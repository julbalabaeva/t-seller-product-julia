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xr:revisionPtr revIDLastSave="0" documentId="11_924874E5C5FBB6926123EA198B3E8C185103838B" xr6:coauthVersionLast="36" xr6:coauthVersionMax="36" xr10:uidLastSave="{00000000-0000-0000-0000-000000000000}"/>
  <bookViews>
    <workbookView xWindow="240" yWindow="105" windowWidth="14805" windowHeight="8010" firstSheet="5" xr2:uid="{00000000-000D-0000-FFFF-FFFF00000000}"/>
  </bookViews>
  <sheets>
    <sheet name="Промо MPStats на главной Селлер" sheetId="1" r:id="rId1"/>
    <sheet name="Активация в бесплатном продукте" sheetId="2" r:id="rId2"/>
    <sheet name="Промо триала MPStats" sheetId="3" r:id="rId3"/>
    <sheet name="Информирование об обновлении пр" sheetId="4" r:id="rId4"/>
    <sheet name="Сбор согласий на переход с плат" sheetId="5" r:id="rId5"/>
    <sheet name="О продукте МПСтатс в Тарифах" sheetId="6" r:id="rId6"/>
  </sheets>
  <calcPr calcId="191028"/>
</workbook>
</file>

<file path=xl/calcChain.xml><?xml version="1.0" encoding="utf-8"?>
<calcChain xmlns="http://schemas.openxmlformats.org/spreadsheetml/2006/main">
  <c r="C10" i="5" l="1"/>
  <c r="D10" i="5"/>
  <c r="C4" i="5"/>
  <c r="D4" i="5"/>
  <c r="C3" i="5"/>
  <c r="D3" i="5"/>
  <c r="C9" i="5"/>
  <c r="D9" i="5"/>
  <c r="C5" i="5"/>
  <c r="D5" i="5"/>
  <c r="C6" i="5"/>
  <c r="D6" i="5"/>
  <c r="C7" i="5"/>
  <c r="D7" i="5"/>
  <c r="C8" i="5"/>
  <c r="D8" i="5"/>
  <c r="C2" i="5"/>
  <c r="D2" i="5"/>
  <c r="C10" i="6"/>
  <c r="D10" i="6"/>
  <c r="C6" i="6"/>
  <c r="D6" i="6"/>
  <c r="C7" i="6"/>
  <c r="D7" i="6"/>
  <c r="C8" i="6"/>
  <c r="D8" i="6"/>
  <c r="C9" i="6"/>
  <c r="D9" i="6"/>
  <c r="C5" i="6"/>
  <c r="D5" i="6"/>
  <c r="C3" i="6"/>
  <c r="D3" i="6"/>
  <c r="C2" i="6"/>
  <c r="D2" i="6"/>
  <c r="C5" i="4"/>
  <c r="D5" i="4"/>
  <c r="D6" i="4"/>
  <c r="D7" i="4"/>
  <c r="D8" i="4"/>
  <c r="C9" i="4"/>
  <c r="D9" i="4"/>
  <c r="D4" i="4"/>
  <c r="C3" i="4"/>
  <c r="D3" i="4"/>
  <c r="C2" i="4"/>
  <c r="D2" i="4"/>
  <c r="C16" i="3"/>
  <c r="D16" i="3"/>
  <c r="C15" i="3"/>
  <c r="D15" i="3"/>
  <c r="D17" i="3"/>
  <c r="C18" i="3"/>
  <c r="D18" i="3"/>
  <c r="D19" i="3"/>
  <c r="C20" i="3"/>
  <c r="D20" i="3"/>
  <c r="C3" i="3"/>
  <c r="D3" i="3"/>
  <c r="D2" i="3"/>
  <c r="D2" i="2"/>
  <c r="D21" i="3"/>
  <c r="C22" i="3"/>
  <c r="D22" i="3"/>
  <c r="C5" i="3"/>
  <c r="D5" i="3"/>
  <c r="D6" i="3"/>
  <c r="C7" i="3"/>
  <c r="D7" i="3"/>
  <c r="D8" i="3"/>
  <c r="C9" i="3"/>
  <c r="D9" i="3"/>
  <c r="D4" i="3"/>
  <c r="C3" i="2"/>
  <c r="D3" i="2"/>
  <c r="C4" i="2"/>
  <c r="D4" i="2"/>
  <c r="C13" i="2"/>
  <c r="C6" i="2"/>
  <c r="D6" i="2"/>
  <c r="D7" i="2"/>
  <c r="C8" i="2"/>
  <c r="D8" i="2"/>
  <c r="D9" i="2"/>
  <c r="C10" i="2"/>
  <c r="D10" i="2"/>
  <c r="D11" i="2"/>
  <c r="C12" i="2"/>
  <c r="D12" i="2"/>
  <c r="D5" i="2"/>
  <c r="C4" i="6"/>
  <c r="C11" i="6"/>
  <c r="C4" i="4"/>
  <c r="C6" i="4"/>
  <c r="C7" i="4"/>
  <c r="C8" i="4"/>
  <c r="C10" i="4"/>
  <c r="C17" i="3"/>
  <c r="C19" i="3"/>
  <c r="C21" i="3"/>
  <c r="C23" i="3"/>
  <c r="C10" i="3"/>
  <c r="C4" i="3"/>
  <c r="C6" i="3"/>
  <c r="C8" i="3"/>
  <c r="C2" i="3"/>
  <c r="C5" i="2"/>
  <c r="C7" i="2"/>
  <c r="C9" i="2"/>
  <c r="C11" i="2"/>
  <c r="C2" i="2"/>
  <c r="C3" i="1"/>
  <c r="C4" i="1"/>
  <c r="C2" i="1"/>
</calcChain>
</file>

<file path=xl/sharedStrings.xml><?xml version="1.0" encoding="utf-8"?>
<sst xmlns="http://schemas.openxmlformats.org/spreadsheetml/2006/main" count="191" uniqueCount="116">
  <si>
    <t>Экран</t>
  </si>
  <si>
    <t>Комментарий Лена</t>
  </si>
  <si>
    <t>Комментарий Юля</t>
  </si>
  <si>
    <t>Заголовок</t>
  </si>
  <si>
    <t>Полный доступ к  аналитике со скидкой 50%</t>
  </si>
  <si>
    <t>Текст</t>
  </si>
  <si>
    <t>При оплате с РКО Т-Банка</t>
  </si>
  <si>
    <t>точно хотим озвучивать ковенанту на баннере? Я бы акцентировала на том, что это спец предложение для клиентов Т-Бизнес или что оно ограничено во времени</t>
  </si>
  <si>
    <t>плюсую</t>
  </si>
  <si>
    <t>Кнопка</t>
  </si>
  <si>
    <t>Получить скидку</t>
  </si>
  <si>
    <t>Знаки</t>
  </si>
  <si>
    <t>ОК или нет</t>
  </si>
  <si>
    <t>Новый кабинет селлера</t>
  </si>
  <si>
    <t>Будем менять в момент, когда он станет не новым? Мое предложение по Заголовку и подзаголовку:
Подключите кабинет селлера 
Следите за ключевыми метриками и зарабатывайте больше
или:
Подключите кабинет селлера 
С нами уже 80 000 клиентов</t>
  </si>
  <si>
    <t>Плюсую: на этом шаге нет необходимости говорить о том что сейрвис "новый" - пользователь его не подключал ранее. 
Актуальная цифра – более 90 тыс (селлеро в Т)</t>
  </si>
  <si>
    <t>Подзаголовок</t>
  </si>
  <si>
    <t>С нами уже больше 80 000 селлеров</t>
  </si>
  <si>
    <t>Вынос</t>
  </si>
  <si>
    <t>Бесплатный доступ к данным от сервиса для работы с маркетплейсами MPStats </t>
  </si>
  <si>
    <t>Буллит 1</t>
  </si>
  <si>
    <t>Управляйте продажами</t>
  </si>
  <si>
    <t>Текст буллита</t>
  </si>
  <si>
    <t>Четыре ключевые метрики на одном экране</t>
  </si>
  <si>
    <t>4 метрики - звучит не очень привлекательно и непоянтно о чем это. Предлагаю изменить: Прибыль, маржа, заказы, реклама — всё в одном экране</t>
  </si>
  <si>
    <t>Буллит 2</t>
  </si>
  <si>
    <t>Развивайте бизнес</t>
  </si>
  <si>
    <t>Предлагаю изменить: Анализируйте рынок/ что-то про конкурентов (развиивайте бизнес- слишком широко)</t>
  </si>
  <si>
    <t>Анализ ниш покажет перспективные направления</t>
  </si>
  <si>
    <t>Предлагаю изменить:  Покажем перспективные ниши персонально для вас/. Сравнивайте себя с рынком и выбирайте прибыльные ниши</t>
  </si>
  <si>
    <t>Буллит 3</t>
  </si>
  <si>
    <t>Оставайтесь в плюсе</t>
  </si>
  <si>
    <t>Про остатки - послдним пунктом (сейчас для части селлеров это неактуально + рейтинг товаров интереснее). Подумать про ценность - слишком широко.  Тут про эффективное управленеи остатками (насколько опитмально товары распределены по скаладам географически, сигнал  когда и сколько остатков нужно пополнить на склда срочно)</t>
  </si>
  <si>
    <t>Напомним заказать новую партию товара</t>
  </si>
  <si>
    <t>Буллит 4</t>
  </si>
  <si>
    <t>Максимизируйте прибыль</t>
  </si>
  <si>
    <t>Покажем, какие товары приносят деньги</t>
  </si>
  <si>
    <t>тут для пользователей также  очень важно какие товары приносят убытки. Предлагаю оставить исходный текст: Следите какие товары в плюсе, а какие тянут вниз</t>
  </si>
  <si>
    <t>Подключить магазин</t>
  </si>
  <si>
    <t>Есть РКО</t>
  </si>
  <si>
    <t>MPStats для Т-Бизнеса</t>
  </si>
  <si>
    <t>В заголовке важно отразить офер с триалом, тем более по ОС от telesales триал  пока главный драйвер. Как пример:
Бесплатный доступ к полной аналитике MP STATS на X дней
Проведите диагностику бизнеса с инструментами от лидера рынка</t>
  </si>
  <si>
    <t>в целом не поянтна структура/логика этого экрана - где-то в буллете ценность, где-то конкретный инструмент. в некоторых пунктах не хватает конкретики/ ценность не считывается.  + мы обсуждали с маркетингом и дизайном чхотим промо УТП в виде мини-лендинга. Поулчается тут нам нужна инфа про оффер и другое важно что хотим подсветить (чеего не будет на общем универсальнмо лендинге)</t>
  </si>
  <si>
    <t>Подключитесь к MPStats на специальных условиях для клиентов Т-Бизнеса</t>
  </si>
  <si>
    <t>Давайте тут пропишем сразу варианты спец условий: скидка 50% / бесплатный проблный доступ на 14 дней. + что это полный доступ к МПСтатс (на ux тестах пользователи думали что за такую стоимость часть только), например: Подключите полный доступ к MP STATS со скидкой 50%</t>
  </si>
  <si>
    <t>Больше, чем аналитика</t>
  </si>
  <si>
    <t>если идем через буллет больше чем аналитика, то логичнее раскрывать через "а что кроме аналитика" 
Может быть зайти через "Один интерфейс для двух маркетплейсов"?</t>
  </si>
  <si>
    <t>Следите за показателями и развивайте бизнес</t>
  </si>
  <si>
    <t xml:space="preserve">давай переформулируем в конкретику? </t>
  </si>
  <si>
    <t>тут непоняно о чем это - не хватает конкретики, ценнность не считывается.</t>
  </si>
  <si>
    <t>Работает в связке с ИИ</t>
  </si>
  <si>
    <t>а в чем тут ценность для пользователя? как-будито в буллете и тексте примерно одно и то же</t>
  </si>
  <si>
    <t>Совместим с популярными ИИ-агентами</t>
  </si>
  <si>
    <t>Экономит ваше время и деньги</t>
  </si>
  <si>
    <t>Больше 200 сценариев для аналитики</t>
  </si>
  <si>
    <t>тут как-будто повтор 1го буллета</t>
  </si>
  <si>
    <t>Начать пробный период</t>
  </si>
  <si>
    <t>Нет РКО</t>
  </si>
  <si>
    <t>Скидка 50% на MPStats при оплате с РКО Т Банка</t>
  </si>
  <si>
    <t>Откройте счёт для вашего бизнеса</t>
  </si>
  <si>
    <t>два разных посыла. В заголовке про скидку, а в подзаголовке про откройте счет.  Либо дополнить подзаголовк: откройте счет в Т-Бизнес и получите привилегии/спец.условия</t>
  </si>
  <si>
    <t>Решаем ежедневные задачи бизнеса</t>
  </si>
  <si>
    <t>я бы в булетах говорила про мп статс, иначе сейчас смешивается счет и аналитика</t>
  </si>
  <si>
    <t>А почему для сценария открытия РКО  в части МПСтста мы транслируем другие УТП? что нам это добавляет?</t>
  </si>
  <si>
    <t>Первые два месяца пользуйтесь счетом за 0 ₽</t>
  </si>
  <si>
    <t>Следите за показателями</t>
  </si>
  <si>
    <t>Главные отчёты на одном экране</t>
  </si>
  <si>
    <t>Экономьте время и деньги</t>
  </si>
  <si>
    <t>200 сценариев для аналитики</t>
  </si>
  <si>
    <t>Открыть счёт для бизнеса</t>
  </si>
  <si>
    <t>и тут я бы тоже делала получить скидку - и вела бы на открытие счета</t>
  </si>
  <si>
    <t>Новый кабинет селлера с MPStats </t>
  </si>
  <si>
    <t>Бесплатные инструменты MPStats на специальных условиях клиентам Т-Бизнеса</t>
  </si>
  <si>
    <t>Тут цель рассказать про апгрейд Селлера. Сейчас буллеты - про бесплатную часть (в продающем формате). Но почему кнопка - Вырбать тариф?  тут флоу: экран с новостями - пользователь смотрит бесплтную часть - далее может пойти по стандартному флоу (баннер промо МПС)</t>
  </si>
  <si>
    <t>Расширенная сводка</t>
  </si>
  <si>
    <t>Динамика чистой прибыли и процент выкупа</t>
  </si>
  <si>
    <t>Предлагаю так же как в активации: Прибыль, маржа, заказы, реклама — всё в одном экране</t>
  </si>
  <si>
    <t>Новые виджеты</t>
  </si>
  <si>
    <t>звучит не продающе. Предлагаю так же как в активации: 2 буллета+ текст  - про рейтинг товаров и Ниши</t>
  </si>
  <si>
    <t>Остатки товаров, анализ ниш</t>
  </si>
  <si>
    <t>Новые показатели</t>
  </si>
  <si>
    <t>ДРР в отчёте по рекламе, рейтинг по марже в товарах</t>
  </si>
  <si>
    <t xml:space="preserve">звучит не продающе. Прделагаю: </t>
  </si>
  <si>
    <t>Выбрать тариф</t>
  </si>
  <si>
    <t>мы обсуждали с маркетингом и дизайном чхотим промо УТП в виде мини-лендинга. Поулчается тут нам нужна инфа про оффер и другое важно что хотим подсветить (чеего не будет на общем универсальнмо лендинге)</t>
  </si>
  <si>
    <t>Подзаголовок с РКО (платит)</t>
  </si>
  <si>
    <t>Скоро Селлер станет частью MPStats, платформы для роста продаж на маркетплейсах.</t>
  </si>
  <si>
    <t>Селлер объединяется с платформой MP STATS</t>
  </si>
  <si>
    <t>Блок фин выгоды</t>
  </si>
  <si>
    <t>Подключите тариф (КАКОЙ) со скидкой 50% при оплате с РКО Т-Бизнес</t>
  </si>
  <si>
    <t>Подключите полный доступ к аналитике MP STATS со скидкой 50%</t>
  </si>
  <si>
    <t xml:space="preserve">
тут стоит подсветить -  полный доступ к МПСтатс , а не только аналитика (на ux тестах пользователи думали что за такую стоимость часть только), например: Подключите полный доступ к MP STATS со скидкой 50%</t>
  </si>
  <si>
    <t>Бесплатный доступ на 14 дней</t>
  </si>
  <si>
    <t xml:space="preserve">По платящим мы обсуждали что можем использовать один из доступных офферов что в тестах (либо скидка + стандарный триа МПС / либо триал 14 дней с базовой стоимостью. </t>
  </si>
  <si>
    <t>Предупредим о списании заранее</t>
  </si>
  <si>
    <t>Все модули MPStats</t>
  </si>
  <si>
    <t>для непросвященных не оч понятно, что такое модлуи MP STATS. Может возьмем из ключевых УТП, которые подсвечивали в рамках промо триала?</t>
  </si>
  <si>
    <t>Автоматизация сэкономит ваше время и деньги</t>
  </si>
  <si>
    <t>Возврат денег за Селлер</t>
  </si>
  <si>
    <t xml:space="preserve">давайте не будем писать это в промо. если пользователь обратится в поддержку - вернем. </t>
  </si>
  <si>
    <t>Если остался неиспользованный период подписки</t>
  </si>
  <si>
    <t>Подключить</t>
  </si>
  <si>
    <t>Кнопка без РКО</t>
  </si>
  <si>
    <t>мне кажется нужно делать кнопку одинаковую для тех, кто с РКО и без, так как таргет действие одно (подключить тарфи), но условия разные</t>
  </si>
  <si>
    <t>такого флоу не будет - мы переводит текущих платящих пользователей на МПС</t>
  </si>
  <si>
    <t>MPStats</t>
  </si>
  <si>
    <t>Платформа для роста продаж на маркетплейсах</t>
  </si>
  <si>
    <t>Блок про спец условия</t>
  </si>
  <si>
    <t>Специальные условия для клиентов Т-Бизнеса</t>
  </si>
  <si>
    <t xml:space="preserve">200 сценариев работы с данными </t>
  </si>
  <si>
    <t>Увеличивайте продажи</t>
  </si>
  <si>
    <t>и экономьте время?</t>
  </si>
  <si>
    <t>Улучшайте карточки товаров с AI-инструментами </t>
  </si>
  <si>
    <t>Снижайте расходы</t>
  </si>
  <si>
    <t>Запускайте рекламные кампании через биддер</t>
  </si>
  <si>
    <t>не все селелры запускают рекламные кампании, может быть неактуально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</si>
</sst>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0" fontId="2" fillId="0" borderId="0" xfId="1"/>
    <xf numFmtId="0" fontId="0" fillId="0" borderId="0" xfId="0" applyAlignment="1">
      <alignment vertical="top"/>
    </xf>
    <xf numFmtId="0" fontId="2" fillId="0" borderId="0" xfId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Font="1" applyAlignment="1">
      <alignment vertical="top"/>
    </xf>
    <xf numFmtId="0" fontId="1" fillId="3" borderId="0" xfId="0" applyFont="1" applyFill="1" applyAlignment="1">
      <alignment vertical="top"/>
    </xf>
    <xf numFmtId="0" fontId="0" fillId="2" borderId="0" xfId="0" applyFill="1" applyAlignment="1">
      <alignment vertical="top" wrapText="1"/>
    </xf>
    <xf numFmtId="0" fontId="0" fillId="3" borderId="0" xfId="0" applyFill="1"/>
    <xf numFmtId="0" fontId="1" fillId="2" borderId="0" xfId="0" applyFont="1" applyFill="1" applyAlignment="1">
      <alignment horizontal="center" vertical="top" wrapText="1"/>
    </xf>
    <xf numFmtId="0" fontId="0" fillId="3" borderId="0" xfId="0" applyFill="1" applyAlignment="1">
      <alignment vertical="top"/>
    </xf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iki.tcsbank.ru/pages/viewpage.action?pageId=887010606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iki.tcsbank.ru/pages/viewpage.action?pageId=887010606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https:/wiki.tcsbank.ru/pages/viewpage.action?pageId=887010606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https:/wiki.tcsbank.ru/pages/viewpage.action?pageId=887010606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iki.tcsbank.ru/pages/viewpage.action?pageId=887010606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https:/wiki.tcsbank.ru/pages/viewpage.action?pageId=88701060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 xr3:uid="{AEA406A1-0E4B-5B11-9CD5-51D6E497D94C}">
      <selection activeCell="B1" sqref="B1"/>
    </sheetView>
  </sheetViews>
  <sheetFormatPr defaultRowHeight="15"/>
  <cols>
    <col min="1" max="1" width="10.42578125" bestFit="1" customWidth="1"/>
    <col min="2" max="2" width="42.28515625" bestFit="1" customWidth="1"/>
    <col min="4" max="4" width="76.85546875" customWidth="1"/>
    <col min="5" max="5" width="29.140625" customWidth="1"/>
  </cols>
  <sheetData>
    <row r="1" spans="1:5">
      <c r="B1" s="6" t="s">
        <v>0</v>
      </c>
      <c r="D1" s="3" t="s">
        <v>1</v>
      </c>
      <c r="E1" s="5" t="s">
        <v>2</v>
      </c>
    </row>
    <row r="2" spans="1:5">
      <c r="A2" t="s">
        <v>3</v>
      </c>
      <c r="B2" t="s">
        <v>4</v>
      </c>
      <c r="C2">
        <f>LEN(B2)</f>
        <v>41</v>
      </c>
    </row>
    <row r="3" spans="1:5">
      <c r="A3" t="s">
        <v>5</v>
      </c>
      <c r="B3" t="s">
        <v>6</v>
      </c>
      <c r="C3">
        <f t="shared" ref="C3:C4" si="0">LEN(B3)</f>
        <v>24</v>
      </c>
      <c r="D3" t="s">
        <v>7</v>
      </c>
      <c r="E3" t="s">
        <v>8</v>
      </c>
    </row>
    <row r="4" spans="1:5">
      <c r="A4" t="s">
        <v>9</v>
      </c>
      <c r="B4" t="s">
        <v>10</v>
      </c>
      <c r="C4">
        <f t="shared" si="0"/>
        <v>15</v>
      </c>
    </row>
  </sheetData>
  <hyperlinks>
    <hyperlink ref="B1" r:id="rId1" location=":~:text=%D0%B2%D0%B8%D0%B7%D0%B8%D1%82%D1%8B%20%D0%B2%20%D0%A1%D0%B5%D0%BB%D0%BB%D0%B5%D1%80-,%D0%94%D1%80%D0%B0%D1%84%D1%82,-%3A" xr:uid="{CDD69CF3-8709-4E43-857C-733C49CD08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B1CA-0BB0-4849-96D3-22B9D8A4DD2F}">
  <dimension ref="A1:F13"/>
  <sheetViews>
    <sheetView topLeftCell="A2" workbookViewId="0" xr3:uid="{E57A6E3C-BC9F-519F-9851-447757358C52}">
      <selection activeCell="F3" sqref="F3"/>
    </sheetView>
  </sheetViews>
  <sheetFormatPr defaultRowHeight="15"/>
  <cols>
    <col min="1" max="1" width="14" style="7" bestFit="1" customWidth="1"/>
    <col min="2" max="2" width="102.140625" style="7" bestFit="1" customWidth="1"/>
    <col min="3" max="3" width="9.140625" style="7"/>
    <col min="4" max="4" width="10.7109375" style="7" customWidth="1"/>
    <col min="5" max="5" width="58.42578125" style="7" customWidth="1"/>
    <col min="6" max="6" width="68.28515625" style="11" customWidth="1"/>
    <col min="7" max="16384" width="9.140625" style="7"/>
  </cols>
  <sheetData>
    <row r="1" spans="1:6">
      <c r="B1" s="8" t="s">
        <v>0</v>
      </c>
      <c r="C1" s="9" t="s">
        <v>11</v>
      </c>
      <c r="D1" s="9" t="s">
        <v>12</v>
      </c>
      <c r="E1" s="10" t="s">
        <v>1</v>
      </c>
      <c r="F1" s="15" t="s">
        <v>2</v>
      </c>
    </row>
    <row r="2" spans="1:6" ht="135">
      <c r="A2" s="9" t="s">
        <v>3</v>
      </c>
      <c r="B2" s="7" t="s">
        <v>13</v>
      </c>
      <c r="C2" s="7">
        <f>LEN(B2)</f>
        <v>21</v>
      </c>
      <c r="D2" s="7">
        <f>70-C2</f>
        <v>49</v>
      </c>
      <c r="E2" s="11" t="s">
        <v>14</v>
      </c>
      <c r="F2" s="11" t="s">
        <v>15</v>
      </c>
    </row>
    <row r="3" spans="1:6">
      <c r="A3" s="9" t="s">
        <v>16</v>
      </c>
      <c r="B3" s="7" t="s">
        <v>17</v>
      </c>
      <c r="C3" s="7">
        <f t="shared" ref="C3:C13" si="0">LEN(B3)</f>
        <v>33</v>
      </c>
      <c r="D3" s="7">
        <f>70-C3</f>
        <v>37</v>
      </c>
      <c r="E3" s="12"/>
    </row>
    <row r="4" spans="1:6">
      <c r="A4" s="9" t="s">
        <v>18</v>
      </c>
      <c r="B4" s="13" t="s">
        <v>19</v>
      </c>
      <c r="C4" s="7">
        <f t="shared" si="0"/>
        <v>74</v>
      </c>
      <c r="D4" s="7">
        <f>70-C4</f>
        <v>-4</v>
      </c>
    </row>
    <row r="5" spans="1:6">
      <c r="A5" s="14" t="s">
        <v>20</v>
      </c>
      <c r="B5" s="14" t="s">
        <v>21</v>
      </c>
      <c r="C5" s="7">
        <f t="shared" si="0"/>
        <v>20</v>
      </c>
      <c r="D5" s="7">
        <f>40-C5</f>
        <v>20</v>
      </c>
    </row>
    <row r="6" spans="1:6" ht="45">
      <c r="A6" s="9" t="s">
        <v>22</v>
      </c>
      <c r="B6" s="13" t="s">
        <v>23</v>
      </c>
      <c r="C6" s="7">
        <f t="shared" si="0"/>
        <v>39</v>
      </c>
      <c r="D6" s="7">
        <f t="shared" ref="D6:D12" si="1">40-C6</f>
        <v>1</v>
      </c>
      <c r="F6" s="11" t="s">
        <v>24</v>
      </c>
    </row>
    <row r="7" spans="1:6" ht="30">
      <c r="A7" s="14" t="s">
        <v>25</v>
      </c>
      <c r="B7" s="14" t="s">
        <v>26</v>
      </c>
      <c r="C7" s="7">
        <f t="shared" si="0"/>
        <v>17</v>
      </c>
      <c r="D7" s="7">
        <f t="shared" si="1"/>
        <v>23</v>
      </c>
      <c r="F7" s="11" t="s">
        <v>27</v>
      </c>
    </row>
    <row r="8" spans="1:6" ht="30">
      <c r="A8" s="9" t="s">
        <v>22</v>
      </c>
      <c r="B8" s="13" t="s">
        <v>28</v>
      </c>
      <c r="C8" s="7">
        <f t="shared" si="0"/>
        <v>44</v>
      </c>
      <c r="D8" s="7">
        <f t="shared" si="1"/>
        <v>-4</v>
      </c>
      <c r="F8" s="11" t="s">
        <v>29</v>
      </c>
    </row>
    <row r="9" spans="1:6" ht="43.5" customHeight="1">
      <c r="A9" s="14" t="s">
        <v>30</v>
      </c>
      <c r="B9" s="14" t="s">
        <v>31</v>
      </c>
      <c r="C9" s="7">
        <f t="shared" si="0"/>
        <v>19</v>
      </c>
      <c r="D9" s="7">
        <f t="shared" si="1"/>
        <v>21</v>
      </c>
      <c r="F9" s="11" t="s">
        <v>32</v>
      </c>
    </row>
    <row r="10" spans="1:6">
      <c r="A10" s="9" t="s">
        <v>22</v>
      </c>
      <c r="B10" s="13" t="s">
        <v>33</v>
      </c>
      <c r="C10" s="7">
        <f t="shared" si="0"/>
        <v>37</v>
      </c>
      <c r="D10" s="7">
        <f t="shared" si="1"/>
        <v>3</v>
      </c>
    </row>
    <row r="11" spans="1:6">
      <c r="A11" s="14" t="s">
        <v>34</v>
      </c>
      <c r="B11" s="14" t="s">
        <v>35</v>
      </c>
      <c r="C11" s="7">
        <f t="shared" si="0"/>
        <v>22</v>
      </c>
      <c r="D11" s="7">
        <f t="shared" si="1"/>
        <v>18</v>
      </c>
    </row>
    <row r="12" spans="1:6" ht="45.75" customHeight="1">
      <c r="A12" s="9" t="s">
        <v>22</v>
      </c>
      <c r="B12" s="13" t="s">
        <v>36</v>
      </c>
      <c r="C12" s="7">
        <f t="shared" si="0"/>
        <v>37</v>
      </c>
      <c r="D12" s="7">
        <f t="shared" si="1"/>
        <v>3</v>
      </c>
      <c r="F12" s="11" t="s">
        <v>37</v>
      </c>
    </row>
    <row r="13" spans="1:6">
      <c r="A13" s="9" t="s">
        <v>9</v>
      </c>
      <c r="B13" s="13" t="s">
        <v>38</v>
      </c>
      <c r="C13" s="7">
        <f t="shared" si="0"/>
        <v>18</v>
      </c>
    </row>
  </sheetData>
  <hyperlinks>
    <hyperlink ref="B1" r:id="rId1" location=":~:text=%D0%B2%20%D0%B1%D0%B5%D1%81%D0%BF%D0%BB%D0%B0%D1%82%D0%BD%D0%BC%D0%BE%20%D0%BF%D1%80%D0%BE%D0%B4%D1%83%D0%BA%D1%82%D0%B5-,%D0%94%D1%80%D0%B0%D1%84%D1%82%20%D1%82%D0%B5%D0%BA%D1%81%D1%82%D0%B0%3A,-%D0%90%D0%BD%D0%B0%D0%BB%D0%B8%D1%82%D0%B8%D0%BA%D0%B0%20%D0%BC%D0%B0%D1%80%D0%BA%D0%B5%D1%82%D0%BF%D0%BB%D0%B5%D0%B9%D1%81%D0%BE%D0%B2" xr:uid="{D73A92A2-C9EA-4DA8-825E-69EF671771E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6CE3-5ECB-492B-8D63-D6A31A64E657}">
  <dimension ref="A1:F23"/>
  <sheetViews>
    <sheetView workbookViewId="0" xr3:uid="{6C5C1261-8E2C-5332-AD3C-8C6C5AAFCDE3}">
      <selection activeCell="F4" sqref="F4"/>
    </sheetView>
  </sheetViews>
  <sheetFormatPr defaultRowHeight="15"/>
  <cols>
    <col min="1" max="1" width="14" bestFit="1" customWidth="1"/>
    <col min="2" max="2" width="71.140625" customWidth="1"/>
    <col min="5" max="5" width="64.5703125" customWidth="1"/>
    <col min="6" max="6" width="81.7109375" customWidth="1"/>
  </cols>
  <sheetData>
    <row r="1" spans="1:6">
      <c r="A1" s="6" t="s">
        <v>0</v>
      </c>
      <c r="B1" t="s">
        <v>39</v>
      </c>
      <c r="C1" s="1" t="s">
        <v>11</v>
      </c>
      <c r="D1" s="1" t="s">
        <v>12</v>
      </c>
      <c r="E1" s="10" t="s">
        <v>1</v>
      </c>
      <c r="F1" s="15" t="s">
        <v>2</v>
      </c>
    </row>
    <row r="2" spans="1:6" ht="75">
      <c r="A2" t="s">
        <v>3</v>
      </c>
      <c r="B2" t="s">
        <v>40</v>
      </c>
      <c r="C2">
        <f>LEN(B2)</f>
        <v>21</v>
      </c>
      <c r="D2">
        <f>70-C2</f>
        <v>49</v>
      </c>
      <c r="E2" s="4" t="s">
        <v>41</v>
      </c>
      <c r="F2" s="11" t="s">
        <v>42</v>
      </c>
    </row>
    <row r="3" spans="1:6" ht="60">
      <c r="A3" t="s">
        <v>16</v>
      </c>
      <c r="B3" t="s">
        <v>43</v>
      </c>
      <c r="C3">
        <f t="shared" ref="C3:C10" si="0">LEN(B3)</f>
        <v>69</v>
      </c>
      <c r="D3">
        <f>70-C3</f>
        <v>1</v>
      </c>
      <c r="E3" s="4"/>
      <c r="F3" s="4" t="s">
        <v>44</v>
      </c>
    </row>
    <row r="4" spans="1:6" ht="45">
      <c r="A4" s="16" t="s">
        <v>20</v>
      </c>
      <c r="B4" s="16" t="s">
        <v>45</v>
      </c>
      <c r="C4">
        <f t="shared" si="0"/>
        <v>21</v>
      </c>
      <c r="D4">
        <f>40-C4</f>
        <v>19</v>
      </c>
      <c r="E4" s="4" t="s">
        <v>46</v>
      </c>
    </row>
    <row r="5" spans="1:6">
      <c r="A5" t="s">
        <v>22</v>
      </c>
      <c r="B5" t="s">
        <v>47</v>
      </c>
      <c r="C5">
        <f t="shared" si="0"/>
        <v>43</v>
      </c>
      <c r="D5">
        <f t="shared" ref="D5:D9" si="1">40-C5</f>
        <v>-3</v>
      </c>
      <c r="E5" t="s">
        <v>48</v>
      </c>
      <c r="F5" t="s">
        <v>49</v>
      </c>
    </row>
    <row r="6" spans="1:6" ht="30">
      <c r="A6" s="16" t="s">
        <v>25</v>
      </c>
      <c r="B6" s="16" t="s">
        <v>50</v>
      </c>
      <c r="C6">
        <f t="shared" si="0"/>
        <v>22</v>
      </c>
      <c r="D6">
        <f t="shared" si="1"/>
        <v>18</v>
      </c>
      <c r="F6" s="4" t="s">
        <v>51</v>
      </c>
    </row>
    <row r="7" spans="1:6">
      <c r="A7" t="s">
        <v>22</v>
      </c>
      <c r="B7" t="s">
        <v>52</v>
      </c>
      <c r="C7">
        <f t="shared" si="0"/>
        <v>35</v>
      </c>
      <c r="D7">
        <f t="shared" si="1"/>
        <v>5</v>
      </c>
    </row>
    <row r="8" spans="1:6">
      <c r="A8" s="16" t="s">
        <v>30</v>
      </c>
      <c r="B8" s="16" t="s">
        <v>53</v>
      </c>
      <c r="C8">
        <f t="shared" si="0"/>
        <v>28</v>
      </c>
      <c r="D8">
        <f t="shared" si="1"/>
        <v>12</v>
      </c>
    </row>
    <row r="9" spans="1:6">
      <c r="A9" t="s">
        <v>22</v>
      </c>
      <c r="B9" t="s">
        <v>54</v>
      </c>
      <c r="C9">
        <f t="shared" si="0"/>
        <v>34</v>
      </c>
      <c r="D9">
        <f t="shared" si="1"/>
        <v>6</v>
      </c>
      <c r="F9" t="s">
        <v>55</v>
      </c>
    </row>
    <row r="10" spans="1:6">
      <c r="A10" t="s">
        <v>9</v>
      </c>
      <c r="B10" t="s">
        <v>56</v>
      </c>
      <c r="C10">
        <f t="shared" si="0"/>
        <v>21</v>
      </c>
    </row>
    <row r="14" spans="1:6">
      <c r="B14" t="s">
        <v>57</v>
      </c>
      <c r="C14" s="1" t="s">
        <v>11</v>
      </c>
      <c r="D14" s="1" t="s">
        <v>12</v>
      </c>
    </row>
    <row r="15" spans="1:6">
      <c r="A15" t="s">
        <v>3</v>
      </c>
      <c r="B15" t="s">
        <v>58</v>
      </c>
      <c r="C15">
        <f t="shared" ref="C15:C23" si="2">LEN(B15)</f>
        <v>46</v>
      </c>
      <c r="D15">
        <f>70-C15</f>
        <v>24</v>
      </c>
    </row>
    <row r="16" spans="1:6" ht="30">
      <c r="A16" t="s">
        <v>16</v>
      </c>
      <c r="B16" t="s">
        <v>59</v>
      </c>
      <c r="C16">
        <f t="shared" si="2"/>
        <v>32</v>
      </c>
      <c r="D16">
        <f>70-C16</f>
        <v>38</v>
      </c>
      <c r="E16" s="4" t="s">
        <v>60</v>
      </c>
    </row>
    <row r="17" spans="1:6" ht="30">
      <c r="A17" t="s">
        <v>20</v>
      </c>
      <c r="B17" t="s">
        <v>61</v>
      </c>
      <c r="C17">
        <f t="shared" si="2"/>
        <v>32</v>
      </c>
      <c r="D17">
        <f t="shared" ref="D17:D22" si="3">40-C17</f>
        <v>8</v>
      </c>
      <c r="E17" t="s">
        <v>62</v>
      </c>
      <c r="F17" s="4" t="s">
        <v>63</v>
      </c>
    </row>
    <row r="18" spans="1:6">
      <c r="A18" t="s">
        <v>22</v>
      </c>
      <c r="B18" t="s">
        <v>64</v>
      </c>
      <c r="C18">
        <f t="shared" si="2"/>
        <v>43</v>
      </c>
      <c r="D18">
        <f t="shared" si="3"/>
        <v>-3</v>
      </c>
    </row>
    <row r="19" spans="1:6">
      <c r="A19" t="s">
        <v>25</v>
      </c>
      <c r="B19" t="s">
        <v>65</v>
      </c>
      <c r="C19">
        <f t="shared" si="2"/>
        <v>23</v>
      </c>
      <c r="D19">
        <f t="shared" si="3"/>
        <v>17</v>
      </c>
    </row>
    <row r="20" spans="1:6">
      <c r="A20" t="s">
        <v>22</v>
      </c>
      <c r="B20" t="s">
        <v>66</v>
      </c>
      <c r="C20">
        <f t="shared" si="2"/>
        <v>30</v>
      </c>
      <c r="D20">
        <f t="shared" si="3"/>
        <v>10</v>
      </c>
    </row>
    <row r="21" spans="1:6">
      <c r="A21" t="s">
        <v>30</v>
      </c>
      <c r="B21" t="s">
        <v>67</v>
      </c>
      <c r="C21">
        <f t="shared" si="2"/>
        <v>24</v>
      </c>
      <c r="D21">
        <f t="shared" si="3"/>
        <v>16</v>
      </c>
    </row>
    <row r="22" spans="1:6">
      <c r="A22" t="s">
        <v>22</v>
      </c>
      <c r="B22" t="s">
        <v>68</v>
      </c>
      <c r="C22">
        <f t="shared" si="2"/>
        <v>27</v>
      </c>
      <c r="D22">
        <f t="shared" si="3"/>
        <v>13</v>
      </c>
    </row>
    <row r="23" spans="1:6">
      <c r="A23" t="s">
        <v>9</v>
      </c>
      <c r="B23" t="s">
        <v>69</v>
      </c>
      <c r="C23">
        <f t="shared" si="2"/>
        <v>24</v>
      </c>
      <c r="E23" s="2" t="s">
        <v>70</v>
      </c>
    </row>
  </sheetData>
  <hyperlinks>
    <hyperlink ref="A1" r:id="rId1" location=":~:text=%D0%9F%D1%80%D0%BE%D0%BC%D0%BE%20%D1%82%D1%80%D0%B8%D0%B0%D0%BB%D0%B0%20MPStats" xr:uid="{5F2A3CFB-9C91-4031-A4C7-61518D516EF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E97EE-4635-455E-852E-9CA3417A86FF}">
  <dimension ref="A1:F10"/>
  <sheetViews>
    <sheetView workbookViewId="0" xr3:uid="{091B5057-02A1-5D4C-88A9-202EB3C83A23}">
      <selection activeCell="F11" sqref="F11"/>
    </sheetView>
  </sheetViews>
  <sheetFormatPr defaultRowHeight="15"/>
  <cols>
    <col min="1" max="1" width="14" bestFit="1" customWidth="1"/>
    <col min="2" max="2" width="64" customWidth="1"/>
    <col min="5" max="5" width="22.42578125" customWidth="1"/>
    <col min="6" max="6" width="93.7109375" customWidth="1"/>
  </cols>
  <sheetData>
    <row r="1" spans="1:6">
      <c r="A1" s="6" t="s">
        <v>0</v>
      </c>
      <c r="B1" s="6"/>
      <c r="C1" t="s">
        <v>11</v>
      </c>
      <c r="D1" t="s">
        <v>12</v>
      </c>
      <c r="E1" s="10" t="s">
        <v>1</v>
      </c>
      <c r="F1" s="15" t="s">
        <v>2</v>
      </c>
    </row>
    <row r="2" spans="1:6">
      <c r="A2" t="s">
        <v>3</v>
      </c>
      <c r="B2" t="s">
        <v>71</v>
      </c>
      <c r="C2">
        <f>LEN(B2)</f>
        <v>32</v>
      </c>
      <c r="D2">
        <f>70-C2</f>
        <v>38</v>
      </c>
    </row>
    <row r="3" spans="1:6" ht="45">
      <c r="A3" t="s">
        <v>16</v>
      </c>
      <c r="B3" t="s">
        <v>72</v>
      </c>
      <c r="C3">
        <f t="shared" ref="C3:C10" si="0">LEN(B3)</f>
        <v>73</v>
      </c>
      <c r="D3">
        <f>70-C3</f>
        <v>-3</v>
      </c>
      <c r="F3" s="4" t="s">
        <v>73</v>
      </c>
    </row>
    <row r="4" spans="1:6">
      <c r="A4" s="16" t="s">
        <v>20</v>
      </c>
      <c r="B4" s="16" t="s">
        <v>74</v>
      </c>
      <c r="C4">
        <f t="shared" si="0"/>
        <v>18</v>
      </c>
      <c r="D4">
        <f>40-C4</f>
        <v>22</v>
      </c>
    </row>
    <row r="5" spans="1:6">
      <c r="A5" t="s">
        <v>22</v>
      </c>
      <c r="B5" t="s">
        <v>75</v>
      </c>
      <c r="C5">
        <f t="shared" si="0"/>
        <v>40</v>
      </c>
      <c r="D5">
        <f t="shared" ref="D5:D9" si="1">40-C5</f>
        <v>0</v>
      </c>
      <c r="F5" t="s">
        <v>76</v>
      </c>
    </row>
    <row r="6" spans="1:6">
      <c r="A6" s="16" t="s">
        <v>25</v>
      </c>
      <c r="B6" s="16" t="s">
        <v>77</v>
      </c>
      <c r="C6">
        <f t="shared" si="0"/>
        <v>13</v>
      </c>
      <c r="D6">
        <f t="shared" si="1"/>
        <v>27</v>
      </c>
      <c r="F6" t="s">
        <v>78</v>
      </c>
    </row>
    <row r="7" spans="1:6">
      <c r="A7" t="s">
        <v>22</v>
      </c>
      <c r="B7" t="s">
        <v>79</v>
      </c>
      <c r="C7">
        <f t="shared" si="0"/>
        <v>27</v>
      </c>
      <c r="D7">
        <f t="shared" si="1"/>
        <v>13</v>
      </c>
    </row>
    <row r="8" spans="1:6">
      <c r="A8" s="16" t="s">
        <v>30</v>
      </c>
      <c r="B8" s="16" t="s">
        <v>80</v>
      </c>
      <c r="C8">
        <f t="shared" si="0"/>
        <v>16</v>
      </c>
      <c r="D8">
        <f t="shared" si="1"/>
        <v>24</v>
      </c>
    </row>
    <row r="9" spans="1:6">
      <c r="A9" t="s">
        <v>22</v>
      </c>
      <c r="B9" t="s">
        <v>81</v>
      </c>
      <c r="C9">
        <f t="shared" si="0"/>
        <v>51</v>
      </c>
      <c r="D9">
        <f t="shared" si="1"/>
        <v>-11</v>
      </c>
      <c r="F9" t="s">
        <v>82</v>
      </c>
    </row>
    <row r="10" spans="1:6">
      <c r="A10" t="s">
        <v>9</v>
      </c>
      <c r="B10" t="s">
        <v>83</v>
      </c>
      <c r="C10">
        <f t="shared" si="0"/>
        <v>13</v>
      </c>
    </row>
  </sheetData>
  <hyperlinks>
    <hyperlink ref="A1" r:id="rId1" location=":~:text=%D0%98%D0%BD%D1%84%D0%BE%D1%80%D0%BC%D0%B8%D1%80%D0%BE%D0%B2%D0%B0%D0%BD%D0%B8%D0%B5%20%D0%BE%D0%B1%20%D0%BE%D0%B1%D0%BD%D0%BE%D0%B2%D0%BB%D0%B5%D0%BD%D0%B8%D0%B8%20%D0%BF%D1%80%D0%BE%D0%B4%D1%83%D0%BA%D1%82%D0%B0%20%D0%A1%D0%B5%D0%BB%D0%BB%D0%B5%D1%80%20%2D%20%D0%BF%D0%BE%D1%81%D0%BB%D0%B5%20%D0%B8%D0%BD%D1%82%D0%B5%D0%B3%D1%80%D0%B0%D1%86%D0%B8%D0%B8" xr:uid="{E9A9D31F-81AB-4B1E-B99A-FFEEF86E409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A7CF-A182-4627-9252-4E335B127F39}">
  <dimension ref="A1:F12"/>
  <sheetViews>
    <sheetView workbookViewId="0" xr3:uid="{171CB394-9F9E-5B91-8282-E97BC2F5425B}">
      <selection activeCell="F1" sqref="E1:F1"/>
    </sheetView>
  </sheetViews>
  <sheetFormatPr defaultRowHeight="15"/>
  <cols>
    <col min="1" max="1" width="30.7109375" style="7" bestFit="1" customWidth="1"/>
    <col min="2" max="2" width="73.28515625" style="7" customWidth="1"/>
    <col min="3" max="4" width="9.140625" style="7"/>
    <col min="5" max="5" width="62.28515625" style="11" customWidth="1"/>
    <col min="6" max="6" width="55.28515625" style="11" customWidth="1"/>
    <col min="7" max="16384" width="9.140625" style="7"/>
  </cols>
  <sheetData>
    <row r="1" spans="1:6" ht="25.5" customHeight="1">
      <c r="A1" s="8" t="s">
        <v>0</v>
      </c>
      <c r="E1" s="17" t="s">
        <v>1</v>
      </c>
      <c r="F1" s="15" t="s">
        <v>2</v>
      </c>
    </row>
    <row r="2" spans="1:6" ht="60">
      <c r="A2" s="7" t="s">
        <v>3</v>
      </c>
      <c r="B2" s="7" t="s">
        <v>13</v>
      </c>
      <c r="C2" s="7">
        <f t="shared" ref="C2:C10" si="0">LEN(B2)</f>
        <v>21</v>
      </c>
      <c r="D2" s="7">
        <f>70-C2</f>
        <v>49</v>
      </c>
      <c r="F2" s="11" t="s">
        <v>84</v>
      </c>
    </row>
    <row r="3" spans="1:6">
      <c r="A3" s="7" t="s">
        <v>85</v>
      </c>
      <c r="B3" s="7" t="s">
        <v>86</v>
      </c>
      <c r="C3" s="7">
        <f t="shared" si="0"/>
        <v>80</v>
      </c>
      <c r="D3" s="7">
        <f>70-C3</f>
        <v>-10</v>
      </c>
      <c r="E3" s="11" t="s">
        <v>87</v>
      </c>
    </row>
    <row r="4" spans="1:6" ht="81" customHeight="1">
      <c r="A4" s="7" t="s">
        <v>88</v>
      </c>
      <c r="B4" s="7" t="s">
        <v>89</v>
      </c>
      <c r="C4" s="7">
        <f t="shared" si="0"/>
        <v>65</v>
      </c>
      <c r="D4" s="7">
        <f>70-C4</f>
        <v>5</v>
      </c>
      <c r="E4" s="11" t="s">
        <v>90</v>
      </c>
      <c r="F4" s="11" t="s">
        <v>91</v>
      </c>
    </row>
    <row r="5" spans="1:6" ht="60">
      <c r="A5" s="18" t="s">
        <v>20</v>
      </c>
      <c r="B5" s="18" t="s">
        <v>92</v>
      </c>
      <c r="C5" s="7">
        <f t="shared" si="0"/>
        <v>28</v>
      </c>
      <c r="D5" s="7">
        <f t="shared" ref="D5:D10" si="1">40-C5</f>
        <v>12</v>
      </c>
      <c r="F5" s="11" t="s">
        <v>93</v>
      </c>
    </row>
    <row r="6" spans="1:6">
      <c r="A6" s="7" t="s">
        <v>22</v>
      </c>
      <c r="B6" s="7" t="s">
        <v>94</v>
      </c>
      <c r="C6" s="7">
        <f t="shared" si="0"/>
        <v>30</v>
      </c>
      <c r="D6" s="7">
        <f t="shared" si="1"/>
        <v>10</v>
      </c>
    </row>
    <row r="7" spans="1:6" ht="45">
      <c r="A7" s="18" t="s">
        <v>25</v>
      </c>
      <c r="B7" s="18" t="s">
        <v>95</v>
      </c>
      <c r="C7" s="7">
        <f t="shared" si="0"/>
        <v>18</v>
      </c>
      <c r="D7" s="7">
        <f t="shared" si="1"/>
        <v>22</v>
      </c>
      <c r="E7" s="11" t="s">
        <v>96</v>
      </c>
    </row>
    <row r="8" spans="1:6">
      <c r="A8" s="7" t="s">
        <v>22</v>
      </c>
      <c r="B8" s="7" t="s">
        <v>97</v>
      </c>
      <c r="C8" s="7">
        <f t="shared" si="0"/>
        <v>43</v>
      </c>
      <c r="D8" s="7">
        <f t="shared" si="1"/>
        <v>-3</v>
      </c>
    </row>
    <row r="9" spans="1:6" ht="30">
      <c r="A9" s="18" t="s">
        <v>30</v>
      </c>
      <c r="B9" s="18" t="s">
        <v>98</v>
      </c>
      <c r="C9" s="7">
        <f t="shared" si="0"/>
        <v>23</v>
      </c>
      <c r="D9" s="7">
        <f t="shared" si="1"/>
        <v>17</v>
      </c>
      <c r="F9" s="11" t="s">
        <v>99</v>
      </c>
    </row>
    <row r="10" spans="1:6">
      <c r="A10" s="7" t="s">
        <v>22</v>
      </c>
      <c r="B10" s="7" t="s">
        <v>100</v>
      </c>
      <c r="C10" s="7">
        <f t="shared" si="0"/>
        <v>45</v>
      </c>
      <c r="D10" s="7">
        <f t="shared" si="1"/>
        <v>-5</v>
      </c>
    </row>
    <row r="11" spans="1:6">
      <c r="A11" s="7" t="s">
        <v>9</v>
      </c>
      <c r="B11" s="7" t="s">
        <v>101</v>
      </c>
    </row>
    <row r="12" spans="1:6" ht="45">
      <c r="A12" s="7" t="s">
        <v>102</v>
      </c>
      <c r="B12" s="7" t="s">
        <v>69</v>
      </c>
      <c r="E12" s="11" t="s">
        <v>103</v>
      </c>
      <c r="F12" s="11" t="s">
        <v>104</v>
      </c>
    </row>
  </sheetData>
  <hyperlinks>
    <hyperlink ref="A1" r:id="rId1" location=":~:text=%D0%A1%D0%B1%D0%BE%D1%80%20%D1%81%D0%BE%D0%B3%D0%BB%D0%B0%D1%81%D0%B8%D0%B9%20%D0%BD%D0%B0%20%D0%BF%D0%B5%D1%80%D0%B5%D1%85%D0%BE%D0%B4%20%D1%81%20%D0%BF%D0%BB%D0%B0%D1%82%D0%BD%D0%BE%D0%B3%D0%BE%20%D1%82%D0%B0%D1%80%D0%B8%D1%84%D0%B0%20%D0%A1%D0%B5%D0%BB%D0%BB%D0%B5%D1%80%20%D0%BD%D0%B0%20%D0%BF%D0%BB%D0%B0%D1%82%D0%BD%D1%8B%D0%B9%20%D1%82%D0%B0%D1%80%D0%B8%D1%84%20%D0%9C%D0%9F%D0%A1%20%E2%80%93%20%D0%B4%D0%BE%20%D0%B8%D0%BD%D1%82%D0%B5%D0%B3%D1%80%D0%B0%D1%86%D0%B8%D0%B8" xr:uid="{1279F338-EDFB-4580-A267-ABB73001782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046D-171A-4D4E-996C-56A6A963AD7C}">
  <dimension ref="A1:F11"/>
  <sheetViews>
    <sheetView workbookViewId="0" xr3:uid="{CBF75789-B9CF-51E1-9CD6-E6A9BB39D2D0}">
      <selection activeCell="B15" sqref="B15"/>
    </sheetView>
  </sheetViews>
  <sheetFormatPr defaultRowHeight="15"/>
  <cols>
    <col min="1" max="1" width="22.42578125" bestFit="1" customWidth="1"/>
    <col min="2" max="2" width="123.42578125" bestFit="1" customWidth="1"/>
    <col min="5" max="5" width="43.28515625" style="4" customWidth="1"/>
    <col min="6" max="6" width="102.5703125" style="4" customWidth="1"/>
  </cols>
  <sheetData>
    <row r="1" spans="1:6">
      <c r="A1" s="6" t="s">
        <v>0</v>
      </c>
      <c r="E1" s="17" t="s">
        <v>1</v>
      </c>
      <c r="F1" s="15" t="s">
        <v>2</v>
      </c>
    </row>
    <row r="2" spans="1:6" ht="45">
      <c r="A2" t="s">
        <v>3</v>
      </c>
      <c r="B2" t="s">
        <v>105</v>
      </c>
      <c r="C2">
        <f>LEN(B2)</f>
        <v>7</v>
      </c>
      <c r="D2">
        <f>70-C2</f>
        <v>63</v>
      </c>
      <c r="F2" s="4" t="s">
        <v>84</v>
      </c>
    </row>
    <row r="3" spans="1:6">
      <c r="A3" t="s">
        <v>16</v>
      </c>
      <c r="B3" t="s">
        <v>106</v>
      </c>
      <c r="C3">
        <f t="shared" ref="C3:C11" si="0">LEN(B3)</f>
        <v>43</v>
      </c>
      <c r="D3">
        <f>70-C3</f>
        <v>27</v>
      </c>
    </row>
    <row r="4" spans="1:6">
      <c r="A4" t="s">
        <v>107</v>
      </c>
      <c r="B4" t="s">
        <v>108</v>
      </c>
      <c r="C4">
        <f t="shared" si="0"/>
        <v>42</v>
      </c>
    </row>
    <row r="5" spans="1:6">
      <c r="A5" s="16" t="s">
        <v>20</v>
      </c>
      <c r="B5" s="16" t="s">
        <v>65</v>
      </c>
      <c r="C5">
        <f t="shared" si="0"/>
        <v>23</v>
      </c>
      <c r="D5">
        <f>40-C5</f>
        <v>17</v>
      </c>
    </row>
    <row r="6" spans="1:6">
      <c r="A6" t="s">
        <v>22</v>
      </c>
      <c r="B6" t="s">
        <v>109</v>
      </c>
      <c r="C6">
        <f t="shared" si="0"/>
        <v>31</v>
      </c>
      <c r="D6">
        <f t="shared" ref="D6:D10" si="1">40-C6</f>
        <v>9</v>
      </c>
    </row>
    <row r="7" spans="1:6">
      <c r="A7" s="16" t="s">
        <v>25</v>
      </c>
      <c r="B7" s="16" t="s">
        <v>110</v>
      </c>
      <c r="C7">
        <f t="shared" si="0"/>
        <v>20</v>
      </c>
      <c r="D7">
        <f t="shared" si="1"/>
        <v>20</v>
      </c>
      <c r="E7" s="4" t="s">
        <v>111</v>
      </c>
    </row>
    <row r="8" spans="1:6">
      <c r="A8" t="s">
        <v>22</v>
      </c>
      <c r="B8" t="s">
        <v>112</v>
      </c>
      <c r="C8">
        <f t="shared" si="0"/>
        <v>46</v>
      </c>
      <c r="D8">
        <f t="shared" si="1"/>
        <v>-6</v>
      </c>
    </row>
    <row r="9" spans="1:6">
      <c r="A9" s="16" t="s">
        <v>30</v>
      </c>
      <c r="B9" s="16" t="s">
        <v>113</v>
      </c>
      <c r="C9">
        <f t="shared" si="0"/>
        <v>16</v>
      </c>
      <c r="D9">
        <f t="shared" si="1"/>
        <v>24</v>
      </c>
    </row>
    <row r="10" spans="1:6" ht="30">
      <c r="A10" t="s">
        <v>22</v>
      </c>
      <c r="B10" t="s">
        <v>114</v>
      </c>
      <c r="C10">
        <f t="shared" ref="C10" si="2">LEN(B10)</f>
        <v>42</v>
      </c>
      <c r="D10">
        <f t="shared" si="1"/>
        <v>-2</v>
      </c>
      <c r="E10" s="4" t="s">
        <v>115</v>
      </c>
    </row>
    <row r="11" spans="1:6">
      <c r="A11" t="s">
        <v>9</v>
      </c>
      <c r="B11" t="s">
        <v>83</v>
      </c>
      <c r="C11">
        <f t="shared" si="0"/>
        <v>13</v>
      </c>
    </row>
  </sheetData>
  <hyperlinks>
    <hyperlink ref="A1" r:id="rId1" location=":~:text=%D0%9E%20%D0%BF%D1%80%D0%BE%D0%B4%D1%83%D0%BA%D1%82%D0%B5%20%D0%9C%D0%9F%D0%A1%D1%82%D0%B0%D1%82%D1%81%20%D0%B2%20%D0%A2%D0%B0%D1%80%D0%B8%D1%84%D0%B0%D1%85" xr:uid="{E225ADAE-0CA7-4689-9505-95EAF380E1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Юлия (Гость)</cp:lastModifiedBy>
  <cp:revision/>
  <dcterms:created xsi:type="dcterms:W3CDTF">2026-10-26T10:20:21Z</dcterms:created>
  <dcterms:modified xsi:type="dcterms:W3CDTF">2026-10-28T10:37:19Z</dcterms:modified>
  <cp:category/>
  <cp:contentStatus/>
</cp:coreProperties>
</file>