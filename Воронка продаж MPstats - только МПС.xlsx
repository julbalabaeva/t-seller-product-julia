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.balabaeva/Desktop/Селлер/! MPStats/Воронка/"/>
    </mc:Choice>
  </mc:AlternateContent>
  <xr:revisionPtr revIDLastSave="0" documentId="13_ncr:1_{71D87A3A-B2FE-9A41-B059-7F6474E3C9D2}" xr6:coauthVersionLast="47" xr6:coauthVersionMax="47" xr10:uidLastSave="{00000000-0000-0000-0000-000000000000}"/>
  <bookViews>
    <workbookView xWindow="0" yWindow="580" windowWidth="29920" windowHeight="16940" xr2:uid="{041A7F1C-756F-014C-8317-A22146C33BA3}"/>
  </bookViews>
  <sheets>
    <sheet name="Воронка MPStats_обработано" sheetId="1" r:id="rId1"/>
    <sheet name="Воронка MPStats_исх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M12" i="1"/>
  <c r="J11" i="1"/>
  <c r="J12" i="1"/>
  <c r="J9" i="1"/>
  <c r="K10" i="1"/>
  <c r="E11" i="1"/>
  <c r="F12" i="1"/>
  <c r="H12" i="1" s="1"/>
  <c r="G14" i="1" l="1"/>
  <c r="H14" i="1"/>
  <c r="G12" i="1"/>
  <c r="D12" i="1"/>
  <c r="D9" i="1"/>
  <c r="D10" i="1" s="1"/>
  <c r="F8" i="1" l="1"/>
  <c r="L8" i="1" s="1"/>
  <c r="L9" i="1" s="1"/>
  <c r="E8" i="1"/>
  <c r="D11" i="1"/>
  <c r="E9" i="1" l="1"/>
  <c r="E10" i="1" s="1"/>
  <c r="E13" i="1" s="1"/>
  <c r="K8" i="1"/>
  <c r="K9" i="1" s="1"/>
  <c r="F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 balabaeva</author>
  </authors>
  <commentList>
    <comment ref="E2" authorId="0" shapeId="0" xr:uid="{9B9CF1BF-D00C-0B41-B6DA-DB3501EB5545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 квалиф. лид, согласились на демо-втречу</t>
        </r>
      </text>
    </comment>
    <comment ref="F2" authorId="0" shapeId="0" xr:uid="{B0AD466A-4421-844E-A067-2899A17991AC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ОТП = квалиф лид, не согласились на демо
</t>
        </r>
      </text>
    </comment>
    <comment ref="G2" authorId="0" shapeId="0" xr:uid="{FF0DB9A2-7151-1547-A657-A82309B87F82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знают про MPStats, высокая вероятность покупки - доля 15,2% от ОТП</t>
        </r>
      </text>
    </comment>
    <comment ref="H2" authorId="0" shapeId="0" xr:uid="{5792192D-DF30-C54F-84A7-A02F188C448C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"не послали" - доля 84,8%</t>
        </r>
      </text>
    </comment>
    <comment ref="K2" authorId="0" shapeId="0" xr:uid="{2E187968-2B72-0648-8E9F-C23EC4F36411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 квалиф. лид, согласились на демо-втречу</t>
        </r>
      </text>
    </comment>
    <comment ref="L2" authorId="0" shapeId="0" xr:uid="{59E561C1-F6C1-4A47-8A76-C265979AA773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ОТП = квалиф лид, не согласились на демо
</t>
        </r>
      </text>
    </comment>
    <comment ref="M2" authorId="0" shapeId="0" xr:uid="{D0F2E80A-BC79-F448-9FE3-FAB322B93955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знают про MPStats, высокая вероятность покупки - доля 15,2% от ОТП</t>
        </r>
      </text>
    </comment>
    <comment ref="N2" authorId="0" shapeId="0" xr:uid="{451985BF-826D-B74A-B1D4-3C3352E4D13D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"не послали" - доля 84,8%</t>
        </r>
      </text>
    </comment>
    <comment ref="C8" authorId="0" shapeId="0" xr:uid="{DDEAC26C-4DA0-E541-94D4-AC0FBFE428F4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1"/>
            <color rgb="FF000000"/>
            <rFont val="Calibri"/>
            <family val="2"/>
            <scheme val="minor"/>
          </rPr>
          <t xml:space="preserve">Квалификация ЦА </t>
        </r>
        <r>
          <rPr>
            <sz val="11"/>
            <color rgb="FF000000"/>
            <rFont val="Calibri"/>
            <family val="2"/>
            <scheme val="minor"/>
          </rPr>
          <t>MPSTats</t>
        </r>
        <r>
          <rPr>
            <sz val="11"/>
            <color rgb="FF000000"/>
            <rFont val="Calibri"/>
            <family val="2"/>
            <scheme val="minor"/>
          </rPr>
          <t xml:space="preserve"> 
</t>
        </r>
        <r>
          <rPr>
            <sz val="11"/>
            <color rgb="FF000000"/>
            <rFont val="Calibri"/>
            <family val="2"/>
            <scheme val="minor"/>
          </rPr>
          <t xml:space="preserve">- 150 000 - есть для старта
</t>
        </r>
        <r>
          <rPr>
            <sz val="11"/>
            <color rgb="FF000000"/>
            <rFont val="Calibri"/>
            <family val="2"/>
            <scheme val="minor"/>
          </rPr>
          <t xml:space="preserve">- в теч 2 мес планирует начать торговать на МП
</t>
        </r>
        <r>
          <rPr>
            <sz val="11"/>
            <color rgb="FF000000"/>
            <rFont val="Calibri"/>
            <family val="2"/>
            <scheme val="minor"/>
          </rPr>
          <t xml:space="preserve">- селлер - есть рега на МП (озон вб яндекс)
</t>
        </r>
        <r>
          <rPr>
            <sz val="11"/>
            <color rgb="FF000000"/>
            <rFont val="Calibri"/>
            <family val="2"/>
            <scheme val="minor"/>
          </rPr>
          <t xml:space="preserve">
</t>
        </r>
        <r>
          <rPr>
            <sz val="11"/>
            <color rgb="FF000000"/>
            <rFont val="Calibri"/>
            <family val="2"/>
            <scheme val="minor"/>
          </rPr>
          <t>Хантеры =  квалиф. лид, согласились на демо-втречу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ОТП = квалиф лид, не согласились на демо</t>
        </r>
      </text>
    </comment>
  </commentList>
</comments>
</file>

<file path=xl/sharedStrings.xml><?xml version="1.0" encoding="utf-8"?>
<sst xmlns="http://schemas.openxmlformats.org/spreadsheetml/2006/main" count="192" uniqueCount="77">
  <si>
    <t>Оставление API ключа</t>
  </si>
  <si>
    <t>?</t>
  </si>
  <si>
    <t>-</t>
  </si>
  <si>
    <t>Unk</t>
  </si>
  <si>
    <t xml:space="preserve">Активация триала </t>
  </si>
  <si>
    <t>Воронка</t>
  </si>
  <si>
    <t>Оффер демо встречи</t>
  </si>
  <si>
    <t>Согласились на демо встречу</t>
  </si>
  <si>
    <t>Демо встреча состоялась</t>
  </si>
  <si>
    <t>доля Хантеры-40%, ОТП - 60%, Самоходы - Unk</t>
  </si>
  <si>
    <t>Триала выдан</t>
  </si>
  <si>
    <t>Лиды (заявка на сайте MPS/ первое посещение Селлера)</t>
  </si>
  <si>
    <t xml:space="preserve">Оффер триала </t>
  </si>
  <si>
    <t>Дозвон sales (продажа без демо)</t>
  </si>
  <si>
    <t>Комментарий к воронке</t>
  </si>
  <si>
    <t>Из них: горячие</t>
  </si>
  <si>
    <t>Из них: заинтересованные</t>
  </si>
  <si>
    <t>40% соглашаются на встречу = Хантеры, 60% не соглашаются = ОТП</t>
  </si>
  <si>
    <t>Ср чек первой покупки</t>
  </si>
  <si>
    <t>10 + млн</t>
  </si>
  <si>
    <t>1-10 млн</t>
  </si>
  <si>
    <t>менее 1 млн</t>
  </si>
  <si>
    <t>LTV по сегментам по оборотам селеров</t>
  </si>
  <si>
    <t>Ср время от лида до первой покупки</t>
  </si>
  <si>
    <t>Квалификация лидов (звонок КЦ) - ЦА</t>
  </si>
  <si>
    <t xml:space="preserve">Mpstats все лиды   </t>
  </si>
  <si>
    <t>Хантеры (демо)</t>
  </si>
  <si>
    <t>ОТП (звонок, без демо)</t>
  </si>
  <si>
    <t>сейчас выдают триал всем автоматом после реги лида</t>
  </si>
  <si>
    <t xml:space="preserve">демо состоялось = 29,8% от квалиф. лидов </t>
  </si>
  <si>
    <t>дозвон = 45,5% от квалиф. лидов . Из них: Горячие  - доля 15,2% (знают про MPStats, высок.  вероятность покупки), Заинтересованные - доля 84,8% (не послали)</t>
  </si>
  <si>
    <t>Хантеры - 0,7% сквозной СR от лидов; ОТП - 0,41% сквозной СR от лидов или 6,85% от звонка  (горячие 34% - от звонка, заинтересован - 2% от звонка)</t>
  </si>
  <si>
    <t>1 флоу</t>
  </si>
  <si>
    <t>2 флоу</t>
  </si>
  <si>
    <t xml:space="preserve">Mpstats Самоходы (оплатили сами без демо и звонка) </t>
  </si>
  <si>
    <t>Оплата тарифа</t>
  </si>
  <si>
    <t>Общий флоу</t>
  </si>
  <si>
    <t>Выставлние счета</t>
  </si>
  <si>
    <t>Не считают в воронке</t>
  </si>
  <si>
    <t>Дополнительные данные для расчетов</t>
  </si>
  <si>
    <t>Воронка продаж: ОТП и Хантеры — средние CR за фев / апр / май 2026</t>
  </si>
  <si>
    <t>Только CR. Среднее по фев/апр/май (март исключён — акция демо-доступов размыла конверсии; лист сам усредняет эти 3 месяца). Источник цифр — лист «Ретро для июня».</t>
  </si>
  <si>
    <t>ХАНТЕРЫ (встречи)</t>
  </si>
  <si>
    <t>СРЕДНЕЕ (Февраль/Апрель/Май)</t>
  </si>
  <si>
    <t>CR лид → квал</t>
  </si>
  <si>
    <t>13%</t>
  </si>
  <si>
    <t>CR квал → встреча</t>
  </si>
  <si>
    <t>29,8%</t>
  </si>
  <si>
    <t>CR встреча → счёт</t>
  </si>
  <si>
    <t>20%</t>
  </si>
  <si>
    <t>CR счёт → оплата</t>
  </si>
  <si>
    <t>90%</t>
  </si>
  <si>
    <t>Сквозной CR лид → оплата</t>
  </si>
  <si>
    <t>ОТП (звонки) — 2 корзины</t>
  </si>
  <si>
    <t>СРЕДНЕЕ</t>
  </si>
  <si>
    <t>CR квал → звонок</t>
  </si>
  <si>
    <t>45,5%</t>
  </si>
  <si>
    <t xml:space="preserve">  доля → корзина ГОРЯЧИЕ</t>
  </si>
  <si>
    <t>15,2%</t>
  </si>
  <si>
    <t xml:space="preserve">  доля → корзина ЗАИНТЕРЕС.</t>
  </si>
  <si>
    <t>84,8%</t>
  </si>
  <si>
    <t xml:space="preserve">  конв. ГОРЯЧИЕ → оплата</t>
  </si>
  <si>
    <t>34%</t>
  </si>
  <si>
    <t xml:space="preserve">  конв. ЗАИНТЕРЕС → оплата</t>
  </si>
  <si>
    <t>2%</t>
  </si>
  <si>
    <t>CR звонок → оплата (итог 2 корзин)</t>
  </si>
  <si>
    <t>6,85%</t>
  </si>
  <si>
    <t>0,41%</t>
  </si>
  <si>
    <t>Повторная покупка</t>
  </si>
  <si>
    <t>Пересечение селлеров Т-Точка-Mpstats</t>
  </si>
  <si>
    <t>CR повторной покупки</t>
  </si>
  <si>
    <t>31000 (оптимистично), скорее меньше - 85%</t>
  </si>
  <si>
    <t>Расходы на 1 клиента - привлечение</t>
  </si>
  <si>
    <t>Расходы на 1 клиента - содержание (триал, саппорт)</t>
  </si>
  <si>
    <t>Воронка от 1го этапа  - лиды</t>
  </si>
  <si>
    <t>Воронка - от квалиф лида</t>
  </si>
  <si>
    <t>большая часть продаж - через счет, но есть и для ФЛ способы оплаты. Хантеры: 20% от демо - выставление счета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</si>
</sst>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Tahoma"/>
      <family val="2"/>
      <charset val="204"/>
    </font>
    <font>
      <b/>
      <sz val="10"/>
      <color rgb="FF000000"/>
      <name val="Tahoma"/>
      <family val="2"/>
      <charset val="204"/>
    </font>
    <font>
      <sz val="12"/>
      <color theme="1"/>
      <name val="Calibri"/>
      <family val="2"/>
      <charset val="204"/>
      <scheme val="minor"/>
    </font>
    <font>
      <sz val="14"/>
      <color theme="0" tint="-0.49998474074526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3"/>
      <name val="Calibri"/>
      <family val="2"/>
    </font>
    <font>
      <i/>
      <sz val="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7BF50"/>
        <bgColor rgb="FF17BF50"/>
      </patternFill>
    </fill>
    <fill>
      <patternFill patternType="solid">
        <fgColor rgb="FFEAF7EE"/>
        <bgColor rgb="FFEAF7EE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1" fillId="0" borderId="4" xfId="0" applyFont="1" applyBorder="1" applyAlignment="1">
      <alignment horizontal="right" vertical="top" wrapText="1"/>
    </xf>
    <xf numFmtId="164" fontId="1" fillId="0" borderId="4" xfId="0" applyNumberFormat="1" applyFont="1" applyBorder="1" applyAlignment="1">
      <alignment horizontal="right" vertical="top"/>
    </xf>
    <xf numFmtId="164" fontId="1" fillId="0" borderId="0" xfId="1" applyNumberFormat="1" applyFont="1" applyFill="1" applyBorder="1" applyAlignment="1">
      <alignment horizontal="right" vertical="top"/>
    </xf>
    <xf numFmtId="0" fontId="6" fillId="0" borderId="4" xfId="0" applyFont="1" applyBorder="1" applyAlignment="1">
      <alignment horizontal="right" vertical="top" wrapText="1"/>
    </xf>
    <xf numFmtId="164" fontId="1" fillId="0" borderId="0" xfId="1" applyNumberFormat="1" applyFont="1" applyFill="1" applyBorder="1" applyAlignment="1">
      <alignment horizontal="right" vertical="top" wrapText="1"/>
    </xf>
    <xf numFmtId="0" fontId="6" fillId="0" borderId="5" xfId="0" applyFont="1" applyBorder="1" applyAlignment="1">
      <alignment horizontal="right" vertical="top" wrapText="1"/>
    </xf>
    <xf numFmtId="0" fontId="1" fillId="0" borderId="5" xfId="0" applyFont="1" applyBorder="1" applyAlignment="1">
      <alignment horizontal="right" vertical="top" wrapText="1"/>
    </xf>
    <xf numFmtId="10" fontId="1" fillId="4" borderId="4" xfId="0" applyNumberFormat="1" applyFont="1" applyFill="1" applyBorder="1" applyAlignment="1">
      <alignment horizontal="right" vertical="top" wrapText="1"/>
    </xf>
    <xf numFmtId="164" fontId="6" fillId="0" borderId="0" xfId="1" applyNumberFormat="1" applyFont="1" applyFill="1" applyBorder="1" applyAlignment="1">
      <alignment horizontal="right" vertical="top" wrapText="1"/>
    </xf>
    <xf numFmtId="0" fontId="1" fillId="5" borderId="4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6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vertical="top"/>
    </xf>
    <xf numFmtId="0" fontId="1" fillId="2" borderId="0" xfId="0" applyFont="1" applyFill="1" applyAlignment="1">
      <alignment vertical="top" wrapText="1"/>
    </xf>
    <xf numFmtId="0" fontId="10" fillId="7" borderId="6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8" borderId="6" xfId="0" applyFont="1" applyFill="1" applyBorder="1" applyAlignment="1">
      <alignment horizontal="left" vertical="center"/>
    </xf>
    <xf numFmtId="10" fontId="11" fillId="8" borderId="6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8" borderId="6" xfId="0" applyFill="1" applyBorder="1" applyAlignment="1">
      <alignment horizontal="left" vertical="center"/>
    </xf>
    <xf numFmtId="0" fontId="0" fillId="8" borderId="6" xfId="0" applyFill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0" borderId="6" xfId="0" applyFont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right" vertical="top"/>
    </xf>
    <xf numFmtId="9" fontId="6" fillId="0" borderId="4" xfId="0" applyNumberFormat="1" applyFont="1" applyBorder="1" applyAlignment="1">
      <alignment horizontal="right" vertical="top" wrapText="1"/>
    </xf>
    <xf numFmtId="0" fontId="1" fillId="0" borderId="4" xfId="0" applyFont="1" applyBorder="1"/>
    <xf numFmtId="0" fontId="2" fillId="6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horizontal="left" vertical="top" wrapText="1"/>
    </xf>
    <xf numFmtId="9" fontId="6" fillId="0" borderId="0" xfId="0" applyNumberFormat="1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 wrapText="1"/>
    </xf>
    <xf numFmtId="9" fontId="1" fillId="0" borderId="0" xfId="0" applyNumberFormat="1" applyFont="1" applyAlignment="1">
      <alignment horizontal="right" vertical="top" wrapText="1"/>
    </xf>
    <xf numFmtId="0" fontId="1" fillId="0" borderId="0" xfId="0" applyFont="1" applyAlignment="1">
      <alignment horizontal="right" vertical="top" wrapText="1"/>
    </xf>
    <xf numFmtId="10" fontId="1" fillId="4" borderId="0" xfId="0" applyNumberFormat="1" applyFont="1" applyFill="1" applyAlignment="1">
      <alignment horizontal="right" vertical="top" wrapText="1"/>
    </xf>
    <xf numFmtId="10" fontId="1" fillId="0" borderId="0" xfId="0" applyNumberFormat="1" applyFont="1" applyAlignment="1">
      <alignment horizontal="right" vertical="top" wrapText="1"/>
    </xf>
    <xf numFmtId="0" fontId="1" fillId="0" borderId="0" xfId="0" applyFont="1" applyAlignment="1">
      <alignment horizontal="right" vertical="top"/>
    </xf>
    <xf numFmtId="0" fontId="2" fillId="5" borderId="4" xfId="0" applyFont="1" applyFill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9" fontId="1" fillId="0" borderId="4" xfId="0" applyNumberFormat="1" applyFont="1" applyBorder="1" applyAlignment="1">
      <alignment horizontal="right" vertical="top"/>
    </xf>
    <xf numFmtId="164" fontId="1" fillId="0" borderId="4" xfId="1" applyNumberFormat="1" applyFont="1" applyFill="1" applyBorder="1" applyAlignment="1">
      <alignment horizontal="right" vertical="top"/>
    </xf>
    <xf numFmtId="164" fontId="1" fillId="0" borderId="4" xfId="0" applyNumberFormat="1" applyFont="1" applyBorder="1" applyAlignment="1">
      <alignment horizontal="right" vertical="top" wrapText="1"/>
    </xf>
    <xf numFmtId="164" fontId="6" fillId="0" borderId="4" xfId="0" applyNumberFormat="1" applyFont="1" applyBorder="1" applyAlignment="1">
      <alignment horizontal="right" vertical="top" wrapText="1"/>
    </xf>
    <xf numFmtId="0" fontId="6" fillId="4" borderId="4" xfId="0" applyFont="1" applyFill="1" applyBorder="1" applyAlignment="1">
      <alignment horizontal="right" vertical="top" wrapText="1"/>
    </xf>
    <xf numFmtId="164" fontId="1" fillId="4" borderId="0" xfId="0" applyNumberFormat="1" applyFont="1" applyFill="1" applyAlignment="1">
      <alignment horizontal="right" vertical="top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8" fillId="0" borderId="0" xfId="0" applyFont="1"/>
    <xf numFmtId="0" fontId="0" fillId="0" borderId="0" xfId="0"/>
    <xf numFmtId="0" fontId="9" fillId="0" borderId="0" xfId="0" applyFont="1" applyAlignment="1">
      <alignment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BDC60-0D8E-DD4A-ACA0-3B5B341E859E}">
  <dimension ref="A1:O33"/>
  <sheetViews>
    <sheetView tabSelected="1" zoomScale="90" zoomScaleNormal="90" workbookViewId="0">
      <pane xSplit="2" ySplit="2" topLeftCell="C4" activePane="bottomRight" state="frozen"/>
      <selection pane="topRight" activeCell="B1" sqref="B1"/>
      <selection pane="bottomLeft" activeCell="A4" sqref="A4"/>
      <selection pane="bottomRight" activeCell="N14" sqref="N14"/>
    </sheetView>
  </sheetViews>
  <sheetFormatPr baseColWidth="10" defaultRowHeight="19" x14ac:dyDescent="0.2"/>
  <cols>
    <col min="1" max="1" width="23.5" style="2" customWidth="1"/>
    <col min="2" max="2" width="45.33203125" style="1" customWidth="1"/>
    <col min="3" max="3" width="47" style="1" customWidth="1"/>
    <col min="4" max="4" width="13.83203125" style="11" customWidth="1"/>
    <col min="5" max="8" width="13.83203125" style="1" customWidth="1"/>
    <col min="9" max="9" width="13.83203125" style="53" customWidth="1"/>
    <col min="10" max="10" width="13.83203125" style="11" customWidth="1"/>
    <col min="11" max="14" width="13.83203125" style="1" customWidth="1"/>
    <col min="15" max="15" width="13.83203125" style="17" customWidth="1"/>
    <col min="16" max="16384" width="10.83203125" style="2"/>
  </cols>
  <sheetData>
    <row r="1" spans="1:15" x14ac:dyDescent="0.25">
      <c r="D1" s="65" t="s">
        <v>74</v>
      </c>
      <c r="E1" s="66"/>
      <c r="F1" s="66"/>
      <c r="G1" s="66"/>
      <c r="H1" s="66"/>
      <c r="I1" s="67"/>
      <c r="J1" s="65" t="s">
        <v>75</v>
      </c>
      <c r="K1" s="66"/>
      <c r="L1" s="66"/>
      <c r="M1" s="66"/>
      <c r="N1" s="66"/>
      <c r="O1" s="67"/>
    </row>
    <row r="2" spans="1:15" s="8" customFormat="1" ht="120" x14ac:dyDescent="0.2">
      <c r="A2" s="6"/>
      <c r="B2" s="7" t="s">
        <v>5</v>
      </c>
      <c r="C2" s="7" t="s">
        <v>14</v>
      </c>
      <c r="D2" s="57" t="s">
        <v>25</v>
      </c>
      <c r="E2" s="45" t="s">
        <v>26</v>
      </c>
      <c r="F2" s="46" t="s">
        <v>27</v>
      </c>
      <c r="G2" s="46" t="s">
        <v>15</v>
      </c>
      <c r="H2" s="46" t="s">
        <v>16</v>
      </c>
      <c r="I2" s="47" t="s">
        <v>34</v>
      </c>
      <c r="J2" s="57" t="s">
        <v>25</v>
      </c>
      <c r="K2" s="45" t="s">
        <v>26</v>
      </c>
      <c r="L2" s="46" t="s">
        <v>27</v>
      </c>
      <c r="M2" s="46" t="s">
        <v>15</v>
      </c>
      <c r="N2" s="46" t="s">
        <v>16</v>
      </c>
      <c r="O2" s="58" t="s">
        <v>34</v>
      </c>
    </row>
    <row r="3" spans="1:15" ht="40" x14ac:dyDescent="0.2">
      <c r="A3" s="20" t="s">
        <v>36</v>
      </c>
      <c r="B3" s="9" t="s">
        <v>11</v>
      </c>
      <c r="D3" s="43">
        <v>1</v>
      </c>
      <c r="E3" s="48">
        <v>1</v>
      </c>
      <c r="F3" s="48">
        <v>1</v>
      </c>
      <c r="G3" s="49" t="s">
        <v>2</v>
      </c>
      <c r="H3" s="49" t="s">
        <v>2</v>
      </c>
      <c r="I3" s="50" t="s">
        <v>3</v>
      </c>
      <c r="J3" s="43">
        <v>1</v>
      </c>
      <c r="K3" s="48">
        <v>1</v>
      </c>
      <c r="L3" s="48">
        <v>1</v>
      </c>
      <c r="M3" s="49" t="s">
        <v>2</v>
      </c>
      <c r="N3" s="49" t="s">
        <v>2</v>
      </c>
      <c r="O3" s="16" t="s">
        <v>3</v>
      </c>
    </row>
    <row r="4" spans="1:15" ht="20" x14ac:dyDescent="0.2">
      <c r="A4" s="24" t="s">
        <v>38</v>
      </c>
      <c r="B4" s="25" t="s">
        <v>12</v>
      </c>
      <c r="C4" s="2"/>
      <c r="D4" s="43">
        <v>1</v>
      </c>
      <c r="E4" s="48">
        <v>1</v>
      </c>
      <c r="F4" s="48">
        <v>1</v>
      </c>
      <c r="G4" s="49" t="s">
        <v>2</v>
      </c>
      <c r="H4" s="49" t="s">
        <v>2</v>
      </c>
      <c r="I4" s="50" t="s">
        <v>3</v>
      </c>
      <c r="J4" s="43">
        <v>1</v>
      </c>
      <c r="K4" s="48">
        <v>1</v>
      </c>
      <c r="L4" s="48">
        <v>1</v>
      </c>
      <c r="M4" s="49" t="s">
        <v>2</v>
      </c>
      <c r="N4" s="49" t="s">
        <v>2</v>
      </c>
      <c r="O4" s="16" t="s">
        <v>3</v>
      </c>
    </row>
    <row r="5" spans="1:15" ht="41" customHeight="1" x14ac:dyDescent="0.2">
      <c r="A5" s="24"/>
      <c r="B5" s="25" t="s">
        <v>10</v>
      </c>
      <c r="C5" s="1" t="s">
        <v>28</v>
      </c>
      <c r="D5" s="43">
        <v>1</v>
      </c>
      <c r="E5" s="48">
        <v>1</v>
      </c>
      <c r="F5" s="48">
        <v>1</v>
      </c>
      <c r="G5" s="49" t="s">
        <v>2</v>
      </c>
      <c r="H5" s="49" t="s">
        <v>2</v>
      </c>
      <c r="I5" s="50" t="s">
        <v>3</v>
      </c>
      <c r="J5" s="43">
        <v>1</v>
      </c>
      <c r="K5" s="48">
        <v>1</v>
      </c>
      <c r="L5" s="48">
        <v>1</v>
      </c>
      <c r="M5" s="49" t="s">
        <v>2</v>
      </c>
      <c r="N5" s="49" t="s">
        <v>2</v>
      </c>
      <c r="O5" s="16" t="s">
        <v>3</v>
      </c>
    </row>
    <row r="6" spans="1:15" ht="20" x14ac:dyDescent="0.2">
      <c r="A6" s="24"/>
      <c r="B6" s="25" t="s">
        <v>4</v>
      </c>
      <c r="D6" s="14" t="s">
        <v>3</v>
      </c>
      <c r="E6" s="50" t="s">
        <v>3</v>
      </c>
      <c r="F6" s="50" t="s">
        <v>3</v>
      </c>
      <c r="G6" s="49" t="s">
        <v>2</v>
      </c>
      <c r="H6" s="49" t="s">
        <v>2</v>
      </c>
      <c r="I6" s="50" t="s">
        <v>3</v>
      </c>
      <c r="J6" s="14" t="s">
        <v>3</v>
      </c>
      <c r="K6" s="50" t="s">
        <v>3</v>
      </c>
      <c r="L6" s="50" t="s">
        <v>3</v>
      </c>
      <c r="M6" s="49" t="s">
        <v>2</v>
      </c>
      <c r="N6" s="49" t="s">
        <v>2</v>
      </c>
      <c r="O6" s="16" t="s">
        <v>3</v>
      </c>
    </row>
    <row r="7" spans="1:15" ht="20" x14ac:dyDescent="0.2">
      <c r="A7" s="24"/>
      <c r="B7" s="25" t="s">
        <v>0</v>
      </c>
      <c r="D7" s="14" t="s">
        <v>3</v>
      </c>
      <c r="E7" s="50" t="s">
        <v>3</v>
      </c>
      <c r="F7" s="50" t="s">
        <v>3</v>
      </c>
      <c r="G7" s="49" t="s">
        <v>2</v>
      </c>
      <c r="H7" s="49" t="s">
        <v>2</v>
      </c>
      <c r="I7" s="50" t="s">
        <v>3</v>
      </c>
      <c r="J7" s="14" t="s">
        <v>3</v>
      </c>
      <c r="K7" s="50" t="s">
        <v>3</v>
      </c>
      <c r="L7" s="50" t="s">
        <v>3</v>
      </c>
      <c r="M7" s="49" t="s">
        <v>2</v>
      </c>
      <c r="N7" s="49" t="s">
        <v>2</v>
      </c>
      <c r="O7" s="16" t="s">
        <v>3</v>
      </c>
    </row>
    <row r="8" spans="1:15" ht="38" customHeight="1" x14ac:dyDescent="0.2">
      <c r="A8" s="20" t="s">
        <v>36</v>
      </c>
      <c r="B8" s="9" t="s">
        <v>24</v>
      </c>
      <c r="C8" s="1" t="s">
        <v>9</v>
      </c>
      <c r="D8" s="59">
        <v>0.13</v>
      </c>
      <c r="E8" s="51">
        <f>D10</f>
        <v>5.2000000000000005E-2</v>
      </c>
      <c r="F8" s="15">
        <f>D8-D10</f>
        <v>7.8E-2</v>
      </c>
      <c r="G8" s="49" t="s">
        <v>2</v>
      </c>
      <c r="H8" s="49" t="s">
        <v>2</v>
      </c>
      <c r="I8" s="50" t="s">
        <v>2</v>
      </c>
      <c r="J8" s="59">
        <v>0.13</v>
      </c>
      <c r="K8" s="51">
        <f>E8</f>
        <v>5.2000000000000005E-2</v>
      </c>
      <c r="L8" s="15">
        <f>F8</f>
        <v>7.8E-2</v>
      </c>
      <c r="M8" s="49" t="s">
        <v>2</v>
      </c>
      <c r="N8" s="49" t="s">
        <v>2</v>
      </c>
      <c r="O8" s="16" t="s">
        <v>2</v>
      </c>
    </row>
    <row r="9" spans="1:15" ht="20" x14ac:dyDescent="0.2">
      <c r="A9" s="20"/>
      <c r="B9" s="9" t="s">
        <v>6</v>
      </c>
      <c r="D9" s="59">
        <f>D8</f>
        <v>0.13</v>
      </c>
      <c r="E9" s="49">
        <f>E8</f>
        <v>5.2000000000000005E-2</v>
      </c>
      <c r="F9" s="49">
        <f>F8</f>
        <v>7.8E-2</v>
      </c>
      <c r="G9" s="49" t="s">
        <v>2</v>
      </c>
      <c r="H9" s="49" t="s">
        <v>2</v>
      </c>
      <c r="I9" s="50" t="s">
        <v>2</v>
      </c>
      <c r="J9" s="59">
        <f>J8</f>
        <v>0.13</v>
      </c>
      <c r="K9" s="49">
        <f t="shared" ref="K9:L9" si="0">K8</f>
        <v>5.2000000000000005E-2</v>
      </c>
      <c r="L9" s="49">
        <f t="shared" si="0"/>
        <v>7.8E-2</v>
      </c>
      <c r="M9" s="49" t="s">
        <v>2</v>
      </c>
      <c r="N9" s="49" t="s">
        <v>2</v>
      </c>
      <c r="O9" s="16" t="s">
        <v>2</v>
      </c>
    </row>
    <row r="10" spans="1:15" ht="40" x14ac:dyDescent="0.2">
      <c r="A10" s="22" t="s">
        <v>32</v>
      </c>
      <c r="B10" s="10" t="s">
        <v>7</v>
      </c>
      <c r="C10" s="1" t="s">
        <v>17</v>
      </c>
      <c r="D10" s="12">
        <f>40%*D9</f>
        <v>5.2000000000000005E-2</v>
      </c>
      <c r="E10" s="51">
        <f>E9</f>
        <v>5.2000000000000005E-2</v>
      </c>
      <c r="F10" s="52">
        <v>0</v>
      </c>
      <c r="G10" s="49" t="s">
        <v>2</v>
      </c>
      <c r="H10" s="49" t="s">
        <v>2</v>
      </c>
      <c r="I10" s="50" t="s">
        <v>2</v>
      </c>
      <c r="J10" s="59">
        <v>0.4</v>
      </c>
      <c r="K10" s="52">
        <f>J10</f>
        <v>0.4</v>
      </c>
      <c r="L10" s="52">
        <v>0</v>
      </c>
      <c r="M10" s="49" t="s">
        <v>2</v>
      </c>
      <c r="N10" s="49" t="s">
        <v>2</v>
      </c>
      <c r="O10" s="16" t="s">
        <v>2</v>
      </c>
    </row>
    <row r="11" spans="1:15" ht="20" x14ac:dyDescent="0.2">
      <c r="A11" s="22"/>
      <c r="B11" s="10" t="s">
        <v>8</v>
      </c>
      <c r="C11" s="1" t="s">
        <v>29</v>
      </c>
      <c r="D11" s="60">
        <f>E11</f>
        <v>3.8739999999999997E-2</v>
      </c>
      <c r="E11" s="13">
        <f>29.8%*D8</f>
        <v>3.8739999999999997E-2</v>
      </c>
      <c r="F11" s="52">
        <v>0</v>
      </c>
      <c r="G11" s="49" t="s">
        <v>2</v>
      </c>
      <c r="H11" s="49" t="s">
        <v>2</v>
      </c>
      <c r="I11" s="50" t="s">
        <v>2</v>
      </c>
      <c r="J11" s="60">
        <f>K11</f>
        <v>0.29799999999999999</v>
      </c>
      <c r="K11" s="13">
        <v>0.29799999999999999</v>
      </c>
      <c r="L11" s="52">
        <v>0</v>
      </c>
      <c r="M11" s="49" t="s">
        <v>2</v>
      </c>
      <c r="N11" s="49" t="s">
        <v>2</v>
      </c>
      <c r="O11" s="16" t="s">
        <v>2</v>
      </c>
    </row>
    <row r="12" spans="1:15" ht="77" customHeight="1" x14ac:dyDescent="0.2">
      <c r="A12" s="23" t="s">
        <v>33</v>
      </c>
      <c r="B12" s="4" t="s">
        <v>13</v>
      </c>
      <c r="C12" s="1" t="s">
        <v>30</v>
      </c>
      <c r="D12" s="61">
        <f>F12</f>
        <v>5.9150000000000001E-2</v>
      </c>
      <c r="E12" s="53" t="s">
        <v>2</v>
      </c>
      <c r="F12" s="15">
        <f>45.5%*D8</f>
        <v>5.9150000000000001E-2</v>
      </c>
      <c r="G12" s="15">
        <f>15.2%*F12</f>
        <v>8.9908000000000002E-3</v>
      </c>
      <c r="H12" s="15">
        <f>84.8%*F12</f>
        <v>5.0159200000000001E-2</v>
      </c>
      <c r="I12" s="50" t="s">
        <v>2</v>
      </c>
      <c r="J12" s="61">
        <f>L12</f>
        <v>0.45500000000000002</v>
      </c>
      <c r="K12" s="53" t="s">
        <v>2</v>
      </c>
      <c r="L12" s="51">
        <v>0.45500000000000002</v>
      </c>
      <c r="M12" s="15">
        <f>15.2%*L12</f>
        <v>6.9159999999999999E-2</v>
      </c>
      <c r="N12" s="15">
        <f>84.8%*L12</f>
        <v>0.38584000000000002</v>
      </c>
      <c r="O12" s="16" t="s">
        <v>2</v>
      </c>
    </row>
    <row r="13" spans="1:15" ht="44" customHeight="1" x14ac:dyDescent="0.2">
      <c r="A13" s="20" t="s">
        <v>36</v>
      </c>
      <c r="B13" s="9" t="s">
        <v>37</v>
      </c>
      <c r="C13" s="1" t="s">
        <v>76</v>
      </c>
      <c r="D13" s="62" t="s">
        <v>3</v>
      </c>
      <c r="E13" s="51">
        <f>20%*E10</f>
        <v>1.0400000000000001E-2</v>
      </c>
      <c r="F13" s="19" t="s">
        <v>3</v>
      </c>
      <c r="G13" s="19" t="s">
        <v>3</v>
      </c>
      <c r="H13" s="19" t="s">
        <v>3</v>
      </c>
      <c r="I13" s="50" t="s">
        <v>2</v>
      </c>
      <c r="J13" s="62" t="s">
        <v>3</v>
      </c>
      <c r="K13" s="64" t="s">
        <v>1</v>
      </c>
      <c r="L13" s="19" t="s">
        <v>3</v>
      </c>
      <c r="M13" s="19" t="s">
        <v>3</v>
      </c>
      <c r="N13" s="19" t="s">
        <v>3</v>
      </c>
      <c r="O13" s="16" t="s">
        <v>2</v>
      </c>
    </row>
    <row r="14" spans="1:15" ht="80" x14ac:dyDescent="0.2">
      <c r="A14" s="20"/>
      <c r="B14" s="9" t="s">
        <v>35</v>
      </c>
      <c r="C14" s="1" t="s">
        <v>31</v>
      </c>
      <c r="D14" s="18" t="s">
        <v>1</v>
      </c>
      <c r="E14" s="54">
        <v>7.0000000000000001E-3</v>
      </c>
      <c r="F14" s="54">
        <v>4.1000000000000003E-3</v>
      </c>
      <c r="G14" s="55">
        <f>34%*F12</f>
        <v>2.0111E-2</v>
      </c>
      <c r="H14" s="55">
        <f>2%*F12</f>
        <v>1.183E-3</v>
      </c>
      <c r="I14" s="50" t="s">
        <v>3</v>
      </c>
      <c r="J14" s="18" t="s">
        <v>1</v>
      </c>
      <c r="K14" s="64" t="s">
        <v>1</v>
      </c>
      <c r="L14" s="64" t="s">
        <v>1</v>
      </c>
      <c r="M14" s="64" t="s">
        <v>1</v>
      </c>
      <c r="N14" s="64" t="s">
        <v>1</v>
      </c>
      <c r="O14" s="16" t="s">
        <v>3</v>
      </c>
    </row>
    <row r="15" spans="1:15" ht="20" x14ac:dyDescent="0.2">
      <c r="A15" s="24" t="s">
        <v>38</v>
      </c>
      <c r="B15" s="25" t="s">
        <v>68</v>
      </c>
      <c r="D15" s="18" t="s">
        <v>1</v>
      </c>
      <c r="E15" s="54" t="s">
        <v>1</v>
      </c>
      <c r="F15" s="54" t="s">
        <v>1</v>
      </c>
      <c r="G15" s="53"/>
      <c r="H15" s="53"/>
      <c r="J15" s="18" t="s">
        <v>1</v>
      </c>
      <c r="K15" s="54" t="s">
        <v>1</v>
      </c>
      <c r="L15" s="54" t="s">
        <v>1</v>
      </c>
      <c r="M15" s="53"/>
      <c r="N15" s="53"/>
    </row>
    <row r="16" spans="1:15" x14ac:dyDescent="0.2">
      <c r="E16" s="55"/>
      <c r="F16" s="53"/>
      <c r="G16" s="53"/>
      <c r="H16" s="53"/>
      <c r="K16" s="55"/>
      <c r="L16" s="53"/>
      <c r="M16" s="53"/>
      <c r="N16" s="53"/>
    </row>
    <row r="17" spans="2:15" x14ac:dyDescent="0.2">
      <c r="E17" s="55"/>
      <c r="F17" s="53"/>
      <c r="G17" s="53"/>
      <c r="H17" s="53"/>
      <c r="K17" s="55"/>
      <c r="L17" s="53"/>
      <c r="M17" s="53"/>
      <c r="N17" s="53"/>
    </row>
    <row r="18" spans="2:15" x14ac:dyDescent="0.2">
      <c r="E18" s="55"/>
      <c r="F18" s="53"/>
      <c r="G18" s="53"/>
      <c r="H18" s="53"/>
      <c r="K18" s="55"/>
      <c r="L18" s="53"/>
      <c r="M18" s="53"/>
      <c r="N18" s="53"/>
    </row>
    <row r="19" spans="2:15" ht="20" x14ac:dyDescent="0.2">
      <c r="B19" s="3" t="s">
        <v>39</v>
      </c>
      <c r="E19" s="55"/>
      <c r="F19" s="53"/>
      <c r="G19" s="53"/>
      <c r="H19" s="53"/>
      <c r="K19" s="55"/>
      <c r="L19" s="53"/>
      <c r="M19" s="53"/>
      <c r="N19" s="53"/>
    </row>
    <row r="20" spans="2:15" ht="20" x14ac:dyDescent="0.2">
      <c r="B20" s="1" t="s">
        <v>18</v>
      </c>
      <c r="C20" s="1" t="s">
        <v>71</v>
      </c>
      <c r="D20" s="11">
        <v>26350</v>
      </c>
      <c r="E20" s="53"/>
      <c r="F20" s="53"/>
      <c r="G20" s="53"/>
      <c r="H20" s="53"/>
      <c r="J20" s="11">
        <v>26350</v>
      </c>
      <c r="K20" s="53"/>
      <c r="L20" s="53"/>
      <c r="M20" s="53"/>
      <c r="N20" s="53"/>
    </row>
    <row r="21" spans="2:15" ht="20" x14ac:dyDescent="0.2">
      <c r="B21" s="1" t="s">
        <v>23</v>
      </c>
      <c r="D21" s="63" t="s">
        <v>3</v>
      </c>
      <c r="E21" s="53"/>
      <c r="F21" s="53"/>
      <c r="G21" s="53"/>
      <c r="H21" s="53"/>
      <c r="J21" s="63" t="s">
        <v>3</v>
      </c>
      <c r="K21" s="53"/>
      <c r="L21" s="53"/>
      <c r="M21" s="53"/>
      <c r="N21" s="53"/>
    </row>
    <row r="22" spans="2:15" x14ac:dyDescent="0.2">
      <c r="D22" s="14"/>
      <c r="E22" s="53"/>
      <c r="F22" s="53"/>
      <c r="G22" s="53"/>
      <c r="H22" s="53"/>
      <c r="J22" s="14"/>
      <c r="K22" s="53"/>
      <c r="L22" s="53"/>
      <c r="M22" s="53"/>
      <c r="N22" s="53"/>
    </row>
    <row r="23" spans="2:15" ht="20" x14ac:dyDescent="0.2">
      <c r="B23" s="1" t="s">
        <v>70</v>
      </c>
      <c r="D23" s="63" t="s">
        <v>3</v>
      </c>
      <c r="E23" s="53"/>
      <c r="F23" s="53"/>
      <c r="G23" s="53"/>
      <c r="H23" s="53"/>
      <c r="J23" s="63" t="s">
        <v>3</v>
      </c>
      <c r="K23" s="53"/>
      <c r="L23" s="53"/>
      <c r="M23" s="53"/>
      <c r="N23" s="53"/>
    </row>
    <row r="24" spans="2:15" ht="20" x14ac:dyDescent="0.2">
      <c r="B24" s="1" t="s">
        <v>22</v>
      </c>
      <c r="C24" s="2"/>
      <c r="D24" s="21"/>
      <c r="E24" s="53"/>
      <c r="F24" s="53"/>
      <c r="G24" s="53"/>
      <c r="H24" s="53"/>
      <c r="I24" s="56"/>
      <c r="J24" s="21"/>
      <c r="K24" s="53"/>
      <c r="L24" s="53"/>
      <c r="M24" s="53"/>
      <c r="N24" s="53"/>
      <c r="O24" s="42"/>
    </row>
    <row r="25" spans="2:15" x14ac:dyDescent="0.25">
      <c r="B25" s="5" t="s">
        <v>19</v>
      </c>
      <c r="C25" s="2"/>
      <c r="D25" s="44">
        <v>116292</v>
      </c>
      <c r="E25" s="53"/>
      <c r="F25" s="53"/>
      <c r="G25" s="53"/>
      <c r="H25" s="53"/>
      <c r="I25" s="56"/>
      <c r="J25" s="44">
        <v>116292</v>
      </c>
      <c r="K25" s="53"/>
      <c r="L25" s="53"/>
      <c r="M25" s="53"/>
      <c r="N25" s="53"/>
      <c r="O25" s="42"/>
    </row>
    <row r="26" spans="2:15" x14ac:dyDescent="0.25">
      <c r="B26" s="5" t="s">
        <v>20</v>
      </c>
      <c r="C26" s="2"/>
      <c r="D26" s="44">
        <v>70587</v>
      </c>
      <c r="I26" s="56"/>
      <c r="J26" s="44">
        <v>70587</v>
      </c>
      <c r="O26" s="42"/>
    </row>
    <row r="27" spans="2:15" x14ac:dyDescent="0.25">
      <c r="B27" s="5" t="s">
        <v>21</v>
      </c>
      <c r="C27" s="2"/>
      <c r="D27" s="44">
        <v>45114</v>
      </c>
      <c r="J27" s="44">
        <v>45114</v>
      </c>
    </row>
    <row r="28" spans="2:15" x14ac:dyDescent="0.25">
      <c r="B28" s="5" t="s">
        <v>3</v>
      </c>
      <c r="D28" s="44">
        <v>28206</v>
      </c>
      <c r="J28" s="44">
        <v>28206</v>
      </c>
    </row>
    <row r="30" spans="2:15" ht="20" x14ac:dyDescent="0.2">
      <c r="B30" s="1" t="s">
        <v>69</v>
      </c>
      <c r="D30" s="63" t="s">
        <v>3</v>
      </c>
      <c r="J30" s="63" t="s">
        <v>3</v>
      </c>
    </row>
    <row r="32" spans="2:15" ht="20" x14ac:dyDescent="0.2">
      <c r="B32" s="1" t="s">
        <v>72</v>
      </c>
      <c r="D32" s="63" t="s">
        <v>3</v>
      </c>
      <c r="J32" s="63" t="s">
        <v>3</v>
      </c>
    </row>
    <row r="33" spans="2:10" ht="40" x14ac:dyDescent="0.2">
      <c r="B33" s="1" t="s">
        <v>73</v>
      </c>
      <c r="D33" s="63" t="s">
        <v>3</v>
      </c>
      <c r="J33" s="63" t="s">
        <v>3</v>
      </c>
    </row>
  </sheetData>
  <mergeCells count="2">
    <mergeCell ref="D1:I1"/>
    <mergeCell ref="J1:O1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78D63-2353-A14F-A44F-541062431287}">
  <dimension ref="A1:C22"/>
  <sheetViews>
    <sheetView workbookViewId="0">
      <selection activeCell="A22" sqref="A22"/>
    </sheetView>
  </sheetViews>
  <sheetFormatPr baseColWidth="10" defaultColWidth="8.83203125" defaultRowHeight="16" x14ac:dyDescent="0.2"/>
  <cols>
    <col min="1" max="1" width="36" customWidth="1"/>
    <col min="2" max="2" width="34.5" customWidth="1"/>
    <col min="3" max="3" width="77.1640625" customWidth="1"/>
  </cols>
  <sheetData>
    <row r="1" spans="1:3" ht="17" x14ac:dyDescent="0.2">
      <c r="A1" s="68" t="s">
        <v>40</v>
      </c>
      <c r="B1" s="69"/>
    </row>
    <row r="2" spans="1:3" ht="42" customHeight="1" x14ac:dyDescent="0.2">
      <c r="A2" s="70" t="s">
        <v>41</v>
      </c>
      <c r="B2" s="69"/>
    </row>
    <row r="4" spans="1:3" x14ac:dyDescent="0.2">
      <c r="A4" s="26" t="s">
        <v>42</v>
      </c>
      <c r="B4" s="27" t="s">
        <v>43</v>
      </c>
      <c r="C4" s="28"/>
    </row>
    <row r="5" spans="1:3" x14ac:dyDescent="0.2">
      <c r="A5" s="29" t="s">
        <v>44</v>
      </c>
      <c r="B5" s="30" t="s">
        <v>45</v>
      </c>
      <c r="C5" s="31"/>
    </row>
    <row r="6" spans="1:3" x14ac:dyDescent="0.2">
      <c r="A6" s="29" t="s">
        <v>46</v>
      </c>
      <c r="B6" s="30" t="s">
        <v>47</v>
      </c>
      <c r="C6" s="31"/>
    </row>
    <row r="7" spans="1:3" x14ac:dyDescent="0.2">
      <c r="A7" s="29" t="s">
        <v>48</v>
      </c>
      <c r="B7" s="30" t="s">
        <v>49</v>
      </c>
      <c r="C7" s="31"/>
    </row>
    <row r="8" spans="1:3" x14ac:dyDescent="0.2">
      <c r="A8" s="29" t="s">
        <v>50</v>
      </c>
      <c r="B8" s="30" t="s">
        <v>51</v>
      </c>
      <c r="C8" s="31"/>
    </row>
    <row r="9" spans="1:3" x14ac:dyDescent="0.2">
      <c r="A9" s="32" t="s">
        <v>52</v>
      </c>
      <c r="B9" s="33">
        <v>7.0000000000000001E-3</v>
      </c>
      <c r="C9" s="34"/>
    </row>
    <row r="14" spans="1:3" x14ac:dyDescent="0.2">
      <c r="A14" s="26" t="s">
        <v>53</v>
      </c>
      <c r="B14" s="35" t="s">
        <v>54</v>
      </c>
      <c r="C14" s="36"/>
    </row>
    <row r="15" spans="1:3" x14ac:dyDescent="0.2">
      <c r="A15" s="29" t="s">
        <v>44</v>
      </c>
      <c r="B15" s="30" t="s">
        <v>45</v>
      </c>
      <c r="C15" s="31"/>
    </row>
    <row r="16" spans="1:3" x14ac:dyDescent="0.2">
      <c r="A16" s="29" t="s">
        <v>55</v>
      </c>
      <c r="B16" s="30" t="s">
        <v>56</v>
      </c>
      <c r="C16" s="31"/>
    </row>
    <row r="17" spans="1:3" x14ac:dyDescent="0.2">
      <c r="A17" s="37" t="s">
        <v>57</v>
      </c>
      <c r="B17" s="38" t="s">
        <v>58</v>
      </c>
      <c r="C17" s="31"/>
    </row>
    <row r="18" spans="1:3" x14ac:dyDescent="0.2">
      <c r="A18" s="37" t="s">
        <v>59</v>
      </c>
      <c r="B18" s="38" t="s">
        <v>60</v>
      </c>
      <c r="C18" s="31"/>
    </row>
    <row r="19" spans="1:3" x14ac:dyDescent="0.2">
      <c r="A19" s="37" t="s">
        <v>61</v>
      </c>
      <c r="B19" s="38" t="s">
        <v>62</v>
      </c>
      <c r="C19" s="31"/>
    </row>
    <row r="20" spans="1:3" x14ac:dyDescent="0.2">
      <c r="A20" s="37" t="s">
        <v>63</v>
      </c>
      <c r="B20" s="38" t="s">
        <v>64</v>
      </c>
      <c r="C20" s="31"/>
    </row>
    <row r="21" spans="1:3" x14ac:dyDescent="0.2">
      <c r="A21" s="39" t="s">
        <v>65</v>
      </c>
      <c r="B21" s="40" t="s">
        <v>66</v>
      </c>
      <c r="C21" s="34"/>
    </row>
    <row r="22" spans="1:3" x14ac:dyDescent="0.2">
      <c r="A22" s="32" t="s">
        <v>52</v>
      </c>
      <c r="B22" s="41" t="s">
        <v>67</v>
      </c>
      <c r="C22" s="34"/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Воронка MPStats_обработано</vt:lpstr>
      <vt:lpstr>Воронка MPStats_исх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balabaeva</dc:creator>
  <cp:lastModifiedBy>y balabaeva</cp:lastModifiedBy>
  <dcterms:created xsi:type="dcterms:W3CDTF">2026-05-26T07:29:26Z</dcterms:created>
  <dcterms:modified xsi:type="dcterms:W3CDTF">2026-06-10T07:42:25Z</dcterms:modified>
</cp:coreProperties>
</file>