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omments18.xml" ContentType="application/vnd.openxmlformats-officedocument.spreadsheetml.comments+xml"/>
  <Override PartName="/xl/comments19.xml" ContentType="application/vnd.openxmlformats-officedocument.spreadsheetml.comments+xml"/>
  <Override PartName="/xl/drawings/drawing1.xml" ContentType="application/vnd.openxmlformats-officedocument.drawing+xml"/>
  <Override PartName="/xl/comments20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codeName="ЭтаКнига" defaultThemeVersion="166925"/>
  <mc:AlternateContent xmlns:mc="http://schemas.openxmlformats.org/markup-compatibility/2006">
    <mc:Choice Requires="x15">
      <x15ac:absPath xmlns:x15ac="http://schemas.microsoft.com/office/spreadsheetml/2010/11/ac" url="/Users/y.balabaeva/Desktop/Селлер/! MPStats/Воронка PnL Юридика/Бизнес модель/"/>
    </mc:Choice>
  </mc:AlternateContent>
  <xr:revisionPtr revIDLastSave="0" documentId="13_ncr:1_{BCCE62B3-3C68-2C46-8074-C3E2992346AE}" xr6:coauthVersionLast="47" xr6:coauthVersionMax="47" xr10:uidLastSave="{00000000-0000-0000-0000-000000000000}"/>
  <bookViews>
    <workbookView xWindow="0" yWindow="600" windowWidth="29920" windowHeight="19040" firstSheet="1" activeTab="23" xr2:uid="{041A7F1C-756F-014C-8317-A22146C33BA3}"/>
  </bookViews>
  <sheets>
    <sheet name="PnL_upd 28 июл" sheetId="62" r:id="rId1"/>
    <sheet name="ИТОГ_new v4_первые оплаты" sheetId="57" state="hidden" r:id="rId2"/>
    <sheet name="первые оплаты" sheetId="58" state="hidden" r:id="rId3"/>
    <sheet name="Воронка" sheetId="18" r:id="rId4"/>
    <sheet name="Гипотезы_v3" sheetId="30" state="hidden" r:id="rId5"/>
    <sheet name="Саммари_воронка" sheetId="21" r:id="rId6"/>
    <sheet name="расходы для PnL" sheetId="63" r:id="rId7"/>
    <sheet name="период вознаграждения" sheetId="39" r:id="rId8"/>
    <sheet name="доп расходы_свод" sheetId="33" r:id="rId9"/>
    <sheet name="ИТОГ_new v4" sheetId="55" state="hidden" r:id="rId10"/>
    <sheet name="ИТОГ_new v2_в презе" sheetId="45" state="hidden" r:id="rId11"/>
    <sheet name="Юля_ИТОГ_new v3" sheetId="50" state="hidden" r:id="rId12"/>
    <sheet name="ИТОГ_new v3" sheetId="44" state="hidden" r:id="rId13"/>
    <sheet name="ИТОГ_v1" sheetId="34" state="hidden" r:id="rId14"/>
    <sheet name="МП" sheetId="59" state="hidden" r:id="rId15"/>
    <sheet name="расходы_маркетинг" sheetId="26" r:id="rId16"/>
    <sheet name="расходы_разработка" sheetId="23" r:id="rId17"/>
    <sheet name="расходы на АПИ" sheetId="37" r:id="rId18"/>
    <sheet name="Гипотезы v3_CR лид, API upd Оле" sheetId="36" state="hidden" r:id="rId19"/>
    <sheet name="Гипотезы v3_CR лиды, API upd" sheetId="32" state="hidden" r:id="rId20"/>
    <sheet name="Гипотезы v3_CR лиды upd" sheetId="31" state="hidden" r:id="rId21"/>
    <sheet name="CR базы селлеров" sheetId="29" state="hidden" r:id="rId22"/>
    <sheet name="ожидания МПСт" sheetId="27" state="hidden" r:id="rId23"/>
    <sheet name="База селлеров" sheetId="6" r:id="rId24"/>
    <sheet name="Гипотезы_v2" sheetId="20" state="hidden" r:id="rId25"/>
    <sheet name="Вопросы" sheetId="10" r:id="rId26"/>
    <sheet name="Воронка MPS_обработано" sheetId="1" r:id="rId27"/>
    <sheet name="Воронка MPS_исх" sheetId="8" r:id="rId28"/>
    <sheet name="Гипотезы_v1" sheetId="17" state="hidden" r:id="rId29"/>
    <sheet name="MPS др метрики" sheetId="15" r:id="rId30"/>
    <sheet name="Гипотезы_драфт" sheetId="7" state="hidden" r:id="rId31"/>
    <sheet name="Пилот Точка" sheetId="16" r:id="rId32"/>
    <sheet name="MAU Селлер as is" sheetId="22" r:id="rId33"/>
    <sheet name="Воронка Селлер as is" sheetId="5" r:id="rId34"/>
    <sheet name="Селлер апи_исх" sheetId="9" r:id="rId35"/>
    <sheet name="Селлер оплаты_исх" sheetId="12" r:id="rId36"/>
    <sheet name="рабоч" sheetId="2" r:id="rId37"/>
    <sheet name="пересечь базы как" sheetId="13" r:id="rId38"/>
  </sheets>
  <externalReferences>
    <externalReference r:id="rId39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88" i="6" l="1"/>
  <c r="E89" i="6"/>
  <c r="E90" i="6"/>
  <c r="E91" i="6"/>
  <c r="E92" i="6"/>
  <c r="E93" i="6"/>
  <c r="E87" i="6"/>
  <c r="E95" i="6"/>
  <c r="B93" i="6"/>
  <c r="C93" i="6"/>
  <c r="D93" i="6"/>
  <c r="D88" i="6"/>
  <c r="D89" i="6"/>
  <c r="D90" i="6"/>
  <c r="D91" i="6"/>
  <c r="D92" i="6"/>
  <c r="D87" i="6"/>
  <c r="E24" i="62"/>
  <c r="C24" i="62"/>
  <c r="N92" i="18"/>
  <c r="T92" i="18" s="1"/>
  <c r="O92" i="18"/>
  <c r="U92" i="18" s="1"/>
  <c r="P92" i="18"/>
  <c r="V92" i="18" s="1"/>
  <c r="Q92" i="18"/>
  <c r="W92" i="18" s="1"/>
  <c r="AI92" i="18"/>
  <c r="AJ92" i="18"/>
  <c r="AK92" i="18"/>
  <c r="AL92" i="18"/>
  <c r="G107" i="18"/>
  <c r="G98" i="18" s="1"/>
  <c r="H107" i="18"/>
  <c r="I107" i="18"/>
  <c r="J107" i="18" s="1"/>
  <c r="N107" i="18"/>
  <c r="G108" i="18"/>
  <c r="G99" i="18" s="1"/>
  <c r="G109" i="18"/>
  <c r="N109" i="18" s="1"/>
  <c r="O109" i="18" s="1"/>
  <c r="P109" i="18" s="1"/>
  <c r="V109" i="18" s="1"/>
  <c r="AE109" i="18" s="1"/>
  <c r="AK109" i="18" s="1"/>
  <c r="Q109" i="18"/>
  <c r="W109" i="18" s="1"/>
  <c r="AF109" i="18" s="1"/>
  <c r="AL109" i="18" s="1"/>
  <c r="T109" i="18"/>
  <c r="AC109" i="18" s="1"/>
  <c r="AI109" i="18" s="1"/>
  <c r="G110" i="18"/>
  <c r="G118" i="18" s="1"/>
  <c r="N118" i="18" s="1"/>
  <c r="G111" i="18"/>
  <c r="G102" i="18" s="1"/>
  <c r="G112" i="18"/>
  <c r="N112" i="18" s="1"/>
  <c r="O112" i="18" s="1"/>
  <c r="P112" i="18" s="1"/>
  <c r="Q112" i="18" s="1"/>
  <c r="W112" i="18" s="1"/>
  <c r="AF112" i="18" s="1"/>
  <c r="AL112" i="18" s="1"/>
  <c r="H112" i="18"/>
  <c r="H103" i="18" s="1"/>
  <c r="I112" i="18"/>
  <c r="J112" i="18" s="1"/>
  <c r="J103" i="18" s="1"/>
  <c r="G126" i="18"/>
  <c r="H126" i="18" s="1"/>
  <c r="I126" i="18" s="1"/>
  <c r="J126" i="18" s="1"/>
  <c r="G131" i="18"/>
  <c r="G123" i="18" s="1"/>
  <c r="H123" i="18" s="1"/>
  <c r="I123" i="18" s="1"/>
  <c r="J123" i="18" s="1"/>
  <c r="G132" i="18"/>
  <c r="H132" i="18"/>
  <c r="O132" i="18" s="1"/>
  <c r="U132" i="18" s="1"/>
  <c r="AD132" i="18" s="1"/>
  <c r="AJ132" i="18" s="1"/>
  <c r="G133" i="18"/>
  <c r="G125" i="18" s="1"/>
  <c r="N125" i="18" s="1"/>
  <c r="H133" i="18"/>
  <c r="I133" i="18" s="1"/>
  <c r="J133" i="18" s="1"/>
  <c r="Q133" i="18" s="1"/>
  <c r="W133" i="18" s="1"/>
  <c r="AF133" i="18" s="1"/>
  <c r="AL133" i="18" s="1"/>
  <c r="N133" i="18"/>
  <c r="T133" i="18" s="1"/>
  <c r="AC133" i="18" s="1"/>
  <c r="AI133" i="18" s="1"/>
  <c r="G134" i="18"/>
  <c r="H134" i="18" s="1"/>
  <c r="I134" i="18" s="1"/>
  <c r="J134" i="18"/>
  <c r="Q134" i="18" s="1"/>
  <c r="W134" i="18" s="1"/>
  <c r="AF134" i="18" s="1"/>
  <c r="AL134" i="18" s="1"/>
  <c r="N134" i="18"/>
  <c r="T134" i="18" s="1"/>
  <c r="AC134" i="18" s="1"/>
  <c r="AI134" i="18" s="1"/>
  <c r="O134" i="18"/>
  <c r="U134" i="18" s="1"/>
  <c r="AD134" i="18" s="1"/>
  <c r="AJ134" i="18" s="1"/>
  <c r="P134" i="18"/>
  <c r="V134" i="18" s="1"/>
  <c r="AE134" i="18" s="1"/>
  <c r="AK134" i="18" s="1"/>
  <c r="G135" i="18"/>
  <c r="H135" i="18"/>
  <c r="G136" i="18"/>
  <c r="G128" i="18" s="1"/>
  <c r="H136" i="18"/>
  <c r="I136" i="18" s="1"/>
  <c r="H140" i="18"/>
  <c r="I140" i="18" s="1"/>
  <c r="N140" i="18"/>
  <c r="T140" i="18" s="1"/>
  <c r="AC140" i="18" s="1"/>
  <c r="AI140" i="18" s="1"/>
  <c r="O140" i="18"/>
  <c r="U140" i="18" s="1"/>
  <c r="AD140" i="18" s="1"/>
  <c r="AJ140" i="18" s="1"/>
  <c r="H141" i="18"/>
  <c r="O141" i="18" s="1"/>
  <c r="I141" i="18"/>
  <c r="P141" i="18" s="1"/>
  <c r="N141" i="18"/>
  <c r="H142" i="18"/>
  <c r="O144" i="18"/>
  <c r="P144" i="18" s="1"/>
  <c r="Q144" i="18" s="1"/>
  <c r="W144" i="18" s="1"/>
  <c r="AF144" i="18" s="1"/>
  <c r="AL144" i="18" s="1"/>
  <c r="T144" i="18"/>
  <c r="AC144" i="18" s="1"/>
  <c r="AI144" i="18" s="1"/>
  <c r="N148" i="18"/>
  <c r="O148" i="18" s="1"/>
  <c r="P148" i="18" s="1"/>
  <c r="Q148" i="18" s="1"/>
  <c r="G149" i="18"/>
  <c r="H149" i="18"/>
  <c r="I149" i="18"/>
  <c r="J149" i="18" s="1"/>
  <c r="AC149" i="18"/>
  <c r="AD149" i="18"/>
  <c r="AE149" i="18"/>
  <c r="AF149" i="18"/>
  <c r="G158" i="18"/>
  <c r="H159" i="18"/>
  <c r="I159" i="18" s="1"/>
  <c r="N159" i="18"/>
  <c r="T159" i="18" s="1"/>
  <c r="AC159" i="18" s="1"/>
  <c r="AI159" i="18" s="1"/>
  <c r="G160" i="18"/>
  <c r="N160" i="18" s="1"/>
  <c r="O160" i="18" s="1"/>
  <c r="P160" i="18" s="1"/>
  <c r="Q160" i="18" s="1"/>
  <c r="G161" i="18"/>
  <c r="G164" i="18"/>
  <c r="H164" i="18" s="1"/>
  <c r="I164" i="18" s="1"/>
  <c r="J164" i="18" s="1"/>
  <c r="G165" i="18"/>
  <c r="N165" i="18" s="1"/>
  <c r="G166" i="18"/>
  <c r="N166" i="18" s="1"/>
  <c r="H168" i="18"/>
  <c r="I168" i="18"/>
  <c r="J168" i="18"/>
  <c r="O168" i="18"/>
  <c r="P168" i="18"/>
  <c r="Q168" i="18"/>
  <c r="U168" i="18"/>
  <c r="V168" i="18" s="1"/>
  <c r="W168" i="18" s="1"/>
  <c r="G170" i="18"/>
  <c r="H170" i="18"/>
  <c r="I170" i="18"/>
  <c r="J170" i="18"/>
  <c r="O170" i="18"/>
  <c r="AJ170" i="18" s="1"/>
  <c r="P170" i="18"/>
  <c r="AK170" i="18" s="1"/>
  <c r="Q170" i="18"/>
  <c r="AL170" i="18" s="1"/>
  <c r="U170" i="18"/>
  <c r="V170" i="18"/>
  <c r="W170" i="18" s="1"/>
  <c r="AD170" i="18"/>
  <c r="AE170" i="18" s="1"/>
  <c r="AF170" i="18" s="1"/>
  <c r="AG170" i="18" s="1"/>
  <c r="AI170" i="18"/>
  <c r="H174" i="18"/>
  <c r="I174" i="18" s="1"/>
  <c r="N174" i="18"/>
  <c r="T174" i="18" s="1"/>
  <c r="H175" i="18"/>
  <c r="I175" i="18"/>
  <c r="J175" i="18"/>
  <c r="U175" i="18"/>
  <c r="V175" i="18"/>
  <c r="W175" i="18"/>
  <c r="H176" i="18"/>
  <c r="I176" i="18" s="1"/>
  <c r="J176" i="18" s="1"/>
  <c r="T176" i="18"/>
  <c r="U176" i="18"/>
  <c r="V176" i="18"/>
  <c r="W176" i="18"/>
  <c r="H177" i="18"/>
  <c r="I177" i="18"/>
  <c r="J177" i="18" s="1"/>
  <c r="T177" i="18"/>
  <c r="U177" i="18"/>
  <c r="V177" i="18"/>
  <c r="W177" i="18"/>
  <c r="H178" i="18"/>
  <c r="I178" i="18"/>
  <c r="J178" i="18" s="1"/>
  <c r="N178" i="18"/>
  <c r="T178" i="18" s="1"/>
  <c r="U178" i="18" s="1"/>
  <c r="V178" i="18" s="1"/>
  <c r="W178" i="18" s="1"/>
  <c r="O178" i="18"/>
  <c r="P178" i="18" s="1"/>
  <c r="Q178" i="18" s="1"/>
  <c r="N179" i="18"/>
  <c r="T179" i="18" s="1"/>
  <c r="O179" i="18"/>
  <c r="U179" i="18" s="1"/>
  <c r="P179" i="18"/>
  <c r="Q179" i="18"/>
  <c r="V179" i="18"/>
  <c r="W179" i="18"/>
  <c r="H181" i="18"/>
  <c r="I181" i="18" s="1"/>
  <c r="N181" i="18"/>
  <c r="T181" i="18" s="1"/>
  <c r="G185" i="18"/>
  <c r="G184" i="18" s="1"/>
  <c r="G190" i="18"/>
  <c r="H190" i="18"/>
  <c r="I190" i="18"/>
  <c r="J190" i="18"/>
  <c r="G193" i="18"/>
  <c r="H193" i="18"/>
  <c r="I193" i="18"/>
  <c r="J193" i="18"/>
  <c r="H197" i="18"/>
  <c r="I197" i="18" s="1"/>
  <c r="J197" i="18" s="1"/>
  <c r="H198" i="18"/>
  <c r="I198" i="18"/>
  <c r="J198" i="18" s="1"/>
  <c r="H199" i="18"/>
  <c r="I199" i="18" s="1"/>
  <c r="J199" i="18" s="1"/>
  <c r="E61" i="62"/>
  <c r="C61" i="62"/>
  <c r="E60" i="62"/>
  <c r="C60" i="62"/>
  <c r="C6" i="63"/>
  <c r="B6" i="63"/>
  <c r="E26" i="62"/>
  <c r="C26" i="62"/>
  <c r="C25" i="62"/>
  <c r="E23" i="62"/>
  <c r="C23" i="62"/>
  <c r="E20" i="62"/>
  <c r="C20" i="62"/>
  <c r="E19" i="62"/>
  <c r="C19" i="62"/>
  <c r="F128" i="62"/>
  <c r="E116" i="62"/>
  <c r="B109" i="62"/>
  <c r="E113" i="62"/>
  <c r="C113" i="62"/>
  <c r="C13" i="62"/>
  <c r="C69" i="62" s="1"/>
  <c r="C148" i="62" s="1"/>
  <c r="E12" i="62"/>
  <c r="C7" i="62"/>
  <c r="E7" i="62" s="1"/>
  <c r="C6" i="62"/>
  <c r="E6" i="62" s="1"/>
  <c r="C5" i="62"/>
  <c r="E5" i="62" s="1"/>
  <c r="T8" i="39"/>
  <c r="T7" i="39"/>
  <c r="V29" i="39"/>
  <c r="V30" i="39"/>
  <c r="V31" i="39"/>
  <c r="V32" i="39"/>
  <c r="V33" i="39"/>
  <c r="V28" i="39"/>
  <c r="S3" i="39"/>
  <c r="S4" i="39"/>
  <c r="S5" i="39"/>
  <c r="S2" i="39"/>
  <c r="S6" i="39" s="1"/>
  <c r="R3" i="39"/>
  <c r="T3" i="39" s="1"/>
  <c r="R4" i="39"/>
  <c r="T4" i="39" s="1"/>
  <c r="R5" i="39"/>
  <c r="T5" i="39" s="1"/>
  <c r="R2" i="39"/>
  <c r="A56" i="33"/>
  <c r="A54" i="33"/>
  <c r="A58" i="33" s="1"/>
  <c r="A51" i="33"/>
  <c r="A46" i="33"/>
  <c r="B8" i="59"/>
  <c r="C3" i="59"/>
  <c r="C2" i="59"/>
  <c r="C1" i="59"/>
  <c r="A4" i="59"/>
  <c r="X39" i="39"/>
  <c r="D21" i="58"/>
  <c r="D20" i="58"/>
  <c r="D19" i="58"/>
  <c r="D18" i="58"/>
  <c r="D17" i="58"/>
  <c r="D16" i="58"/>
  <c r="D15" i="58"/>
  <c r="D14" i="58"/>
  <c r="D13" i="58"/>
  <c r="D12" i="58"/>
  <c r="D11" i="58"/>
  <c r="D10" i="58"/>
  <c r="H3" i="58" s="1"/>
  <c r="I3" i="58" s="1"/>
  <c r="D9" i="58"/>
  <c r="D8" i="58"/>
  <c r="D7" i="58"/>
  <c r="D6" i="58"/>
  <c r="H5" i="58"/>
  <c r="I5" i="58" s="1"/>
  <c r="G5" i="58"/>
  <c r="D5" i="58"/>
  <c r="H4" i="58"/>
  <c r="I4" i="58" s="1"/>
  <c r="G4" i="58"/>
  <c r="D4" i="58"/>
  <c r="G3" i="58"/>
  <c r="D3" i="58"/>
  <c r="G2" i="58"/>
  <c r="D2" i="58"/>
  <c r="H2" i="58" s="1"/>
  <c r="I2" i="58" s="1"/>
  <c r="F128" i="57"/>
  <c r="E116" i="57"/>
  <c r="B109" i="57"/>
  <c r="E61" i="57"/>
  <c r="E113" i="57" s="1"/>
  <c r="C61" i="57"/>
  <c r="C113" i="57" s="1"/>
  <c r="E26" i="57"/>
  <c r="C26" i="57"/>
  <c r="C25" i="57"/>
  <c r="C24" i="57"/>
  <c r="C23" i="57"/>
  <c r="C19" i="57"/>
  <c r="C13" i="57"/>
  <c r="C14" i="57" s="1"/>
  <c r="E12" i="57"/>
  <c r="P3" i="39"/>
  <c r="Q3" i="39" s="1"/>
  <c r="P4" i="39"/>
  <c r="Q4" i="39" s="1"/>
  <c r="P5" i="39"/>
  <c r="Q5" i="39" s="1"/>
  <c r="W39" i="39"/>
  <c r="P2" i="39" s="1"/>
  <c r="J140" i="18" l="1"/>
  <c r="Q140" i="18" s="1"/>
  <c r="W140" i="18" s="1"/>
  <c r="AF140" i="18" s="1"/>
  <c r="AL140" i="18" s="1"/>
  <c r="P140" i="18"/>
  <c r="V140" i="18" s="1"/>
  <c r="AE140" i="18" s="1"/>
  <c r="AK140" i="18" s="1"/>
  <c r="U109" i="18"/>
  <c r="AD109" i="18" s="1"/>
  <c r="AJ109" i="18" s="1"/>
  <c r="O125" i="18"/>
  <c r="P125" i="18" s="1"/>
  <c r="Q125" i="18" s="1"/>
  <c r="T125" i="18"/>
  <c r="U144" i="18"/>
  <c r="AD144" i="18" s="1"/>
  <c r="AJ144" i="18" s="1"/>
  <c r="N131" i="18"/>
  <c r="T131" i="18" s="1"/>
  <c r="AC131" i="18" s="1"/>
  <c r="AI131" i="18" s="1"/>
  <c r="U112" i="18"/>
  <c r="AD112" i="18" s="1"/>
  <c r="AJ112" i="18" s="1"/>
  <c r="G103" i="18"/>
  <c r="G100" i="18"/>
  <c r="P133" i="18"/>
  <c r="V133" i="18" s="1"/>
  <c r="AE133" i="18" s="1"/>
  <c r="AK133" i="18" s="1"/>
  <c r="T112" i="18"/>
  <c r="AC112" i="18" s="1"/>
  <c r="AI112" i="18" s="1"/>
  <c r="N111" i="18"/>
  <c r="N108" i="18"/>
  <c r="H120" i="18"/>
  <c r="N164" i="18"/>
  <c r="V144" i="18"/>
  <c r="AE144" i="18" s="1"/>
  <c r="AK144" i="18" s="1"/>
  <c r="V112" i="18"/>
  <c r="AE112" i="18" s="1"/>
  <c r="AK112" i="18" s="1"/>
  <c r="N185" i="18"/>
  <c r="N155" i="18" s="1"/>
  <c r="N136" i="18"/>
  <c r="T136" i="18" s="1"/>
  <c r="AC136" i="18" s="1"/>
  <c r="AI136" i="18" s="1"/>
  <c r="O133" i="18"/>
  <c r="U133" i="18" s="1"/>
  <c r="AD133" i="18" s="1"/>
  <c r="AJ133" i="18" s="1"/>
  <c r="H131" i="18"/>
  <c r="P174" i="18"/>
  <c r="V174" i="18" s="1"/>
  <c r="J174" i="18"/>
  <c r="Q174" i="18" s="1"/>
  <c r="W174" i="18" s="1"/>
  <c r="H184" i="18"/>
  <c r="I184" i="18" s="1"/>
  <c r="J184" i="18" s="1"/>
  <c r="N184" i="18" s="1"/>
  <c r="O184" i="18" s="1"/>
  <c r="U184" i="18" s="1"/>
  <c r="T184" i="18"/>
  <c r="P181" i="18"/>
  <c r="V181" i="18" s="1"/>
  <c r="J181" i="18"/>
  <c r="Q181" i="18" s="1"/>
  <c r="W181" i="18" s="1"/>
  <c r="P159" i="18"/>
  <c r="V159" i="18" s="1"/>
  <c r="AE159" i="18" s="1"/>
  <c r="AK159" i="18" s="1"/>
  <c r="I160" i="18"/>
  <c r="J159" i="18"/>
  <c r="H165" i="18"/>
  <c r="I165" i="18" s="1"/>
  <c r="J165" i="18" s="1"/>
  <c r="J141" i="18"/>
  <c r="Q141" i="18" s="1"/>
  <c r="W141" i="18" s="1"/>
  <c r="AF141" i="18" s="1"/>
  <c r="AL141" i="18" s="1"/>
  <c r="N110" i="18"/>
  <c r="H160" i="18"/>
  <c r="O181" i="18"/>
  <c r="U181" i="18" s="1"/>
  <c r="O174" i="18"/>
  <c r="U174" i="18" s="1"/>
  <c r="T160" i="18"/>
  <c r="AC160" i="18" s="1"/>
  <c r="O159" i="18"/>
  <c r="U159" i="18" s="1"/>
  <c r="AD159" i="18" s="1"/>
  <c r="AJ159" i="18" s="1"/>
  <c r="I142" i="18"/>
  <c r="J142" i="18" s="1"/>
  <c r="G120" i="18"/>
  <c r="N120" i="18" s="1"/>
  <c r="O120" i="18" s="1"/>
  <c r="P120" i="18" s="1"/>
  <c r="Q120" i="18" s="1"/>
  <c r="G117" i="18"/>
  <c r="N117" i="18" s="1"/>
  <c r="O117" i="18" s="1"/>
  <c r="P117" i="18" s="1"/>
  <c r="Q117" i="18" s="1"/>
  <c r="G101" i="18"/>
  <c r="N126" i="18"/>
  <c r="N101" i="18" s="1"/>
  <c r="T185" i="18"/>
  <c r="O136" i="18"/>
  <c r="U136" i="18" s="1"/>
  <c r="AD136" i="18" s="1"/>
  <c r="AJ136" i="18" s="1"/>
  <c r="I103" i="18"/>
  <c r="O165" i="18"/>
  <c r="T165" i="18"/>
  <c r="AC165" i="18" s="1"/>
  <c r="AI165" i="18" s="1"/>
  <c r="AJ165" i="18" s="1"/>
  <c r="AK165" i="18" s="1"/>
  <c r="AL165" i="18" s="1"/>
  <c r="O166" i="18"/>
  <c r="T166" i="18"/>
  <c r="AC166" i="18" s="1"/>
  <c r="AI166" i="18" s="1"/>
  <c r="AJ166" i="18" s="1"/>
  <c r="AK166" i="18" s="1"/>
  <c r="AL166" i="18" s="1"/>
  <c r="U160" i="18"/>
  <c r="V160" i="18" s="1"/>
  <c r="W160" i="18" s="1"/>
  <c r="J136" i="18"/>
  <c r="P136" i="18"/>
  <c r="V136" i="18" s="1"/>
  <c r="AE136" i="18" s="1"/>
  <c r="AK136" i="18" s="1"/>
  <c r="N128" i="18"/>
  <c r="H128" i="18"/>
  <c r="I128" i="18" s="1"/>
  <c r="J128" i="18" s="1"/>
  <c r="H158" i="18"/>
  <c r="I158" i="18" s="1"/>
  <c r="J158" i="18" s="1"/>
  <c r="N158" i="18"/>
  <c r="G157" i="18"/>
  <c r="T107" i="18"/>
  <c r="AC107" i="18" s="1"/>
  <c r="AI107" i="18" s="1"/>
  <c r="O107" i="18"/>
  <c r="T141" i="18"/>
  <c r="AC141" i="18" s="1"/>
  <c r="AI141" i="18" s="1"/>
  <c r="N143" i="18"/>
  <c r="N123" i="18"/>
  <c r="J98" i="18"/>
  <c r="I98" i="18"/>
  <c r="V141" i="18"/>
  <c r="AE141" i="18" s="1"/>
  <c r="AK141" i="18" s="1"/>
  <c r="O135" i="18"/>
  <c r="U135" i="18" s="1"/>
  <c r="AD135" i="18" s="1"/>
  <c r="AJ135" i="18" s="1"/>
  <c r="I135" i="18"/>
  <c r="H98" i="18"/>
  <c r="G152" i="18"/>
  <c r="U141" i="18"/>
  <c r="AD141" i="18" s="1"/>
  <c r="AJ141" i="18" s="1"/>
  <c r="G119" i="18"/>
  <c r="N119" i="18" s="1"/>
  <c r="G127" i="18"/>
  <c r="N135" i="18"/>
  <c r="T135" i="18" s="1"/>
  <c r="AC135" i="18" s="1"/>
  <c r="AI135" i="18" s="1"/>
  <c r="T118" i="18"/>
  <c r="O118" i="18"/>
  <c r="P118" i="18" s="1"/>
  <c r="Q118" i="18" s="1"/>
  <c r="H185" i="18"/>
  <c r="I185" i="18" s="1"/>
  <c r="J185" i="18" s="1"/>
  <c r="G155" i="18"/>
  <c r="O164" i="18"/>
  <c r="T164" i="18"/>
  <c r="AC164" i="18" s="1"/>
  <c r="AI164" i="18" s="1"/>
  <c r="AJ164" i="18" s="1"/>
  <c r="AK164" i="18" s="1"/>
  <c r="AL164" i="18" s="1"/>
  <c r="H161" i="18"/>
  <c r="I161" i="18" s="1"/>
  <c r="J161" i="18" s="1"/>
  <c r="N161" i="18"/>
  <c r="I120" i="18"/>
  <c r="H166" i="18"/>
  <c r="I166" i="18" s="1"/>
  <c r="J166" i="18" s="1"/>
  <c r="G156" i="18"/>
  <c r="H110" i="18"/>
  <c r="H125" i="18"/>
  <c r="I125" i="18" s="1"/>
  <c r="J125" i="18" s="1"/>
  <c r="H109" i="18"/>
  <c r="G115" i="18"/>
  <c r="N115" i="18" s="1"/>
  <c r="I132" i="18"/>
  <c r="G116" i="18"/>
  <c r="N116" i="18" s="1"/>
  <c r="G124" i="18"/>
  <c r="G129" i="18" s="1"/>
  <c r="N132" i="18"/>
  <c r="T132" i="18" s="1"/>
  <c r="AC132" i="18" s="1"/>
  <c r="AI132" i="18" s="1"/>
  <c r="H111" i="18"/>
  <c r="H108" i="18"/>
  <c r="C22" i="62"/>
  <c r="C32" i="62" s="1"/>
  <c r="C14" i="62"/>
  <c r="E13" i="62"/>
  <c r="E14" i="62" s="1"/>
  <c r="C112" i="62"/>
  <c r="R6" i="39"/>
  <c r="R7" i="39" s="1"/>
  <c r="T2" i="39"/>
  <c r="T6" i="39" s="1"/>
  <c r="C69" i="57"/>
  <c r="C149" i="57" s="1"/>
  <c r="Q2" i="39"/>
  <c r="Q6" i="39" s="1"/>
  <c r="C60" i="57"/>
  <c r="C112" i="57" s="1"/>
  <c r="C22" i="57"/>
  <c r="E13" i="57"/>
  <c r="C54" i="57"/>
  <c r="F128" i="55"/>
  <c r="E116" i="55"/>
  <c r="B109" i="55"/>
  <c r="C24" i="55"/>
  <c r="C23" i="55"/>
  <c r="C19" i="55"/>
  <c r="E12" i="55"/>
  <c r="E110" i="50"/>
  <c r="F122" i="50"/>
  <c r="B103" i="50"/>
  <c r="G91" i="50"/>
  <c r="E91" i="50"/>
  <c r="E121" i="50" s="1"/>
  <c r="C91" i="50"/>
  <c r="C121" i="50" s="1"/>
  <c r="G44" i="50"/>
  <c r="E44" i="50"/>
  <c r="C44" i="50"/>
  <c r="G26" i="50"/>
  <c r="G21" i="50"/>
  <c r="C21" i="50"/>
  <c r="G20" i="50"/>
  <c r="C20" i="50"/>
  <c r="G17" i="50"/>
  <c r="G16" i="50"/>
  <c r="C16" i="50"/>
  <c r="G9" i="50"/>
  <c r="E9" i="50"/>
  <c r="F106" i="45"/>
  <c r="B89" i="45"/>
  <c r="G78" i="45"/>
  <c r="E78" i="45"/>
  <c r="E105" i="45" s="1"/>
  <c r="C78" i="45"/>
  <c r="C105" i="45" s="1"/>
  <c r="G70" i="45"/>
  <c r="E70" i="45"/>
  <c r="E101" i="45" s="1"/>
  <c r="C70" i="45"/>
  <c r="C101" i="45" s="1"/>
  <c r="E44" i="45"/>
  <c r="E92" i="45" s="1"/>
  <c r="C44" i="45"/>
  <c r="C92" i="45" s="1"/>
  <c r="G41" i="45"/>
  <c r="E41" i="45"/>
  <c r="C41" i="45"/>
  <c r="G34" i="45"/>
  <c r="E34" i="45"/>
  <c r="C34" i="45"/>
  <c r="G26" i="45"/>
  <c r="E26" i="45"/>
  <c r="G24" i="45"/>
  <c r="E24" i="45"/>
  <c r="C24" i="45"/>
  <c r="G23" i="45"/>
  <c r="E23" i="45"/>
  <c r="C23" i="45"/>
  <c r="C22" i="45"/>
  <c r="G21" i="45"/>
  <c r="E21" i="45"/>
  <c r="C21" i="45"/>
  <c r="G20" i="45"/>
  <c r="G19" i="45" s="1"/>
  <c r="E20" i="45"/>
  <c r="E19" i="45" s="1"/>
  <c r="C20" i="45"/>
  <c r="G18" i="45"/>
  <c r="E18" i="45"/>
  <c r="C18" i="45"/>
  <c r="G17" i="45"/>
  <c r="E17" i="45"/>
  <c r="C17" i="45"/>
  <c r="G16" i="45"/>
  <c r="E16" i="45"/>
  <c r="C16" i="45"/>
  <c r="C10" i="45"/>
  <c r="E10" i="45" s="1"/>
  <c r="G9" i="45"/>
  <c r="E9" i="45"/>
  <c r="G4" i="45"/>
  <c r="G31" i="45" s="1"/>
  <c r="G42" i="45" s="1"/>
  <c r="E4" i="45"/>
  <c r="E31" i="45" s="1"/>
  <c r="E42" i="45" s="1"/>
  <c r="C4" i="45"/>
  <c r="C31" i="45" s="1"/>
  <c r="C42" i="45" s="1"/>
  <c r="T108" i="18" l="1"/>
  <c r="AC108" i="18" s="1"/>
  <c r="AI108" i="18" s="1"/>
  <c r="O108" i="18"/>
  <c r="T111" i="18"/>
  <c r="AC111" i="18" s="1"/>
  <c r="AI111" i="18" s="1"/>
  <c r="O111" i="18"/>
  <c r="I131" i="18"/>
  <c r="O131" i="18"/>
  <c r="U131" i="18" s="1"/>
  <c r="AD131" i="18" s="1"/>
  <c r="AJ131" i="18" s="1"/>
  <c r="O185" i="18"/>
  <c r="O155" i="18" s="1"/>
  <c r="N100" i="18"/>
  <c r="O100" i="18" s="1"/>
  <c r="P100" i="18" s="1"/>
  <c r="Q100" i="18" s="1"/>
  <c r="T117" i="18"/>
  <c r="U117" i="18" s="1"/>
  <c r="V117" i="18" s="1"/>
  <c r="W117" i="18" s="1"/>
  <c r="P184" i="18"/>
  <c r="V184" i="18" s="1"/>
  <c r="AC125" i="18"/>
  <c r="U125" i="18"/>
  <c r="V125" i="18" s="1"/>
  <c r="W125" i="18" s="1"/>
  <c r="H115" i="18"/>
  <c r="T120" i="18"/>
  <c r="T155" i="18"/>
  <c r="AC155" i="18" s="1"/>
  <c r="AI155" i="18" s="1"/>
  <c r="U185" i="18"/>
  <c r="Q159" i="18"/>
  <c r="W159" i="18" s="1"/>
  <c r="AF159" i="18" s="1"/>
  <c r="AL159" i="18" s="1"/>
  <c r="J160" i="18"/>
  <c r="T126" i="18"/>
  <c r="O126" i="18"/>
  <c r="P126" i="18" s="1"/>
  <c r="Q126" i="18" s="1"/>
  <c r="T110" i="18"/>
  <c r="AC110" i="18" s="1"/>
  <c r="AI110" i="18" s="1"/>
  <c r="O110" i="18"/>
  <c r="P132" i="18"/>
  <c r="V132" i="18" s="1"/>
  <c r="AE132" i="18" s="1"/>
  <c r="AK132" i="18" s="1"/>
  <c r="J132" i="18"/>
  <c r="Q132" i="18" s="1"/>
  <c r="W132" i="18" s="1"/>
  <c r="AF132" i="18" s="1"/>
  <c r="AL132" i="18" s="1"/>
  <c r="H155" i="18"/>
  <c r="I155" i="18" s="1"/>
  <c r="J155" i="18" s="1"/>
  <c r="G154" i="18"/>
  <c r="T119" i="18"/>
  <c r="O119" i="18"/>
  <c r="P119" i="18" s="1"/>
  <c r="Q119" i="18" s="1"/>
  <c r="T123" i="18"/>
  <c r="O123" i="18"/>
  <c r="P123" i="18" s="1"/>
  <c r="Q123" i="18" s="1"/>
  <c r="T100" i="18"/>
  <c r="H152" i="18"/>
  <c r="I152" i="18" s="1"/>
  <c r="J152" i="18" s="1"/>
  <c r="N152" i="18"/>
  <c r="H129" i="18"/>
  <c r="I129" i="18" s="1"/>
  <c r="J129" i="18" s="1"/>
  <c r="N129" i="18"/>
  <c r="T143" i="18"/>
  <c r="O143" i="18"/>
  <c r="N156" i="18"/>
  <c r="H156" i="18"/>
  <c r="I156" i="18" s="1"/>
  <c r="J156" i="18" s="1"/>
  <c r="AD160" i="18"/>
  <c r="AE160" i="18" s="1"/>
  <c r="AF160" i="18" s="1"/>
  <c r="AI160" i="18"/>
  <c r="AJ160" i="18" s="1"/>
  <c r="AK160" i="18" s="1"/>
  <c r="AL160" i="18" s="1"/>
  <c r="P166" i="18"/>
  <c r="U166" i="18"/>
  <c r="AD166" i="18" s="1"/>
  <c r="H99" i="18"/>
  <c r="H116" i="18"/>
  <c r="I108" i="18"/>
  <c r="U107" i="18"/>
  <c r="AD107" i="18" s="1"/>
  <c r="AJ107" i="18" s="1"/>
  <c r="P107" i="18"/>
  <c r="O161" i="18"/>
  <c r="P161" i="18" s="1"/>
  <c r="Q161" i="18" s="1"/>
  <c r="T161" i="18"/>
  <c r="H118" i="18"/>
  <c r="I110" i="18"/>
  <c r="H101" i="18"/>
  <c r="T101" i="18"/>
  <c r="O101" i="18"/>
  <c r="P101" i="18" s="1"/>
  <c r="Q101" i="18" s="1"/>
  <c r="J120" i="18"/>
  <c r="Q136" i="18"/>
  <c r="W136" i="18" s="1"/>
  <c r="AF136" i="18" s="1"/>
  <c r="AL136" i="18" s="1"/>
  <c r="H124" i="18"/>
  <c r="I124" i="18" s="1"/>
  <c r="J124" i="18" s="1"/>
  <c r="N124" i="18"/>
  <c r="N99" i="18" s="1"/>
  <c r="T116" i="18"/>
  <c r="O116" i="18"/>
  <c r="P116" i="18" s="1"/>
  <c r="Q116" i="18" s="1"/>
  <c r="O158" i="18"/>
  <c r="P158" i="18" s="1"/>
  <c r="Q158" i="18" s="1"/>
  <c r="T158" i="18"/>
  <c r="N142" i="18"/>
  <c r="T142" i="18" s="1"/>
  <c r="T115" i="18"/>
  <c r="N98" i="18"/>
  <c r="O115" i="18"/>
  <c r="P115" i="18" s="1"/>
  <c r="Q115" i="18" s="1"/>
  <c r="I109" i="18"/>
  <c r="H117" i="18"/>
  <c r="H100" i="18"/>
  <c r="H102" i="18"/>
  <c r="H119" i="18"/>
  <c r="I111" i="18"/>
  <c r="O128" i="18"/>
  <c r="P128" i="18" s="1"/>
  <c r="Q128" i="18" s="1"/>
  <c r="T128" i="18"/>
  <c r="U118" i="18"/>
  <c r="V118" i="18" s="1"/>
  <c r="W118" i="18" s="1"/>
  <c r="AC118" i="18"/>
  <c r="P135" i="18"/>
  <c r="V135" i="18" s="1"/>
  <c r="AE135" i="18" s="1"/>
  <c r="AK135" i="18" s="1"/>
  <c r="J135" i="18"/>
  <c r="Q135" i="18" s="1"/>
  <c r="W135" i="18" s="1"/>
  <c r="AF135" i="18" s="1"/>
  <c r="AL135" i="18" s="1"/>
  <c r="H157" i="18"/>
  <c r="I157" i="18" s="1"/>
  <c r="J157" i="18" s="1"/>
  <c r="N157" i="18"/>
  <c r="U120" i="18"/>
  <c r="V120" i="18" s="1"/>
  <c r="W120" i="18" s="1"/>
  <c r="AC120" i="18"/>
  <c r="P164" i="18"/>
  <c r="U164" i="18"/>
  <c r="AD164" i="18" s="1"/>
  <c r="H127" i="18"/>
  <c r="I127" i="18" s="1"/>
  <c r="J127" i="18" s="1"/>
  <c r="N127" i="18"/>
  <c r="N102" i="18" s="1"/>
  <c r="N103" i="18"/>
  <c r="U165" i="18"/>
  <c r="AD165" i="18" s="1"/>
  <c r="P165" i="18"/>
  <c r="C81" i="62"/>
  <c r="C116" i="62" s="1"/>
  <c r="E54" i="62"/>
  <c r="E58" i="62"/>
  <c r="C54" i="62"/>
  <c r="E112" i="62"/>
  <c r="E69" i="62"/>
  <c r="E148" i="62" s="1"/>
  <c r="C58" i="62"/>
  <c r="C7" i="57"/>
  <c r="C81" i="57"/>
  <c r="C116" i="57" s="1"/>
  <c r="C32" i="57"/>
  <c r="E60" i="57"/>
  <c r="E112" i="57" s="1"/>
  <c r="E69" i="57"/>
  <c r="E149" i="57" s="1"/>
  <c r="E14" i="57"/>
  <c r="C80" i="57"/>
  <c r="C102" i="57"/>
  <c r="C19" i="45"/>
  <c r="C15" i="45"/>
  <c r="C25" i="45" s="1"/>
  <c r="E15" i="45"/>
  <c r="G15" i="45"/>
  <c r="G19" i="50"/>
  <c r="G37" i="45"/>
  <c r="G82" i="45" s="1"/>
  <c r="G106" i="45" s="1"/>
  <c r="C11" i="45"/>
  <c r="C12" i="45" s="1"/>
  <c r="C43" i="45"/>
  <c r="C91" i="45" s="1"/>
  <c r="E25" i="45"/>
  <c r="E28" i="45" s="1"/>
  <c r="E29" i="45" s="1"/>
  <c r="C37" i="45"/>
  <c r="C82" i="45" s="1"/>
  <c r="C106" i="45" s="1"/>
  <c r="C52" i="45"/>
  <c r="C114" i="45" s="1"/>
  <c r="G25" i="45"/>
  <c r="G28" i="45" s="1"/>
  <c r="G29" i="45" s="1"/>
  <c r="E37" i="45"/>
  <c r="E82" i="45" s="1"/>
  <c r="C59" i="45"/>
  <c r="C90" i="45"/>
  <c r="E90" i="45"/>
  <c r="E59" i="45"/>
  <c r="G90" i="45"/>
  <c r="G59" i="45"/>
  <c r="E43" i="45"/>
  <c r="E40" i="45" s="1"/>
  <c r="E52" i="45"/>
  <c r="E114" i="45" s="1"/>
  <c r="E11" i="45"/>
  <c r="G10" i="45"/>
  <c r="C63" i="45"/>
  <c r="C95" i="45" s="1"/>
  <c r="C28" i="45"/>
  <c r="C29" i="45" s="1"/>
  <c r="E89" i="45"/>
  <c r="G89" i="45"/>
  <c r="E106" i="45"/>
  <c r="C89" i="45"/>
  <c r="G44" i="45"/>
  <c r="AI125" i="18" l="1"/>
  <c r="AJ125" i="18" s="1"/>
  <c r="AK125" i="18" s="1"/>
  <c r="AL125" i="18" s="1"/>
  <c r="AD125" i="18"/>
  <c r="AE125" i="18" s="1"/>
  <c r="AF125" i="18" s="1"/>
  <c r="P131" i="18"/>
  <c r="V131" i="18" s="1"/>
  <c r="AE131" i="18" s="1"/>
  <c r="AK131" i="18" s="1"/>
  <c r="J131" i="18"/>
  <c r="I115" i="18"/>
  <c r="Q184" i="18"/>
  <c r="W184" i="18" s="1"/>
  <c r="AC117" i="18"/>
  <c r="P185" i="18"/>
  <c r="P108" i="18"/>
  <c r="U108" i="18"/>
  <c r="AD108" i="18" s="1"/>
  <c r="AJ108" i="18" s="1"/>
  <c r="P111" i="18"/>
  <c r="U111" i="18"/>
  <c r="AD111" i="18" s="1"/>
  <c r="AJ111" i="18" s="1"/>
  <c r="U110" i="18"/>
  <c r="AD110" i="18" s="1"/>
  <c r="AJ110" i="18" s="1"/>
  <c r="P110" i="18"/>
  <c r="U126" i="18"/>
  <c r="V126" i="18" s="1"/>
  <c r="W126" i="18" s="1"/>
  <c r="AC126" i="18"/>
  <c r="U155" i="18"/>
  <c r="AD155" i="18" s="1"/>
  <c r="AJ155" i="18" s="1"/>
  <c r="V185" i="18"/>
  <c r="O102" i="18"/>
  <c r="P102" i="18" s="1"/>
  <c r="Q102" i="18" s="1"/>
  <c r="T102" i="18"/>
  <c r="U143" i="18"/>
  <c r="V143" i="18" s="1"/>
  <c r="W143" i="18" s="1"/>
  <c r="AC143" i="18"/>
  <c r="O103" i="18"/>
  <c r="P103" i="18" s="1"/>
  <c r="Q103" i="18" s="1"/>
  <c r="T103" i="18"/>
  <c r="U123" i="18"/>
  <c r="V123" i="18" s="1"/>
  <c r="W123" i="18" s="1"/>
  <c r="AC123" i="18"/>
  <c r="T98" i="18"/>
  <c r="O98" i="18"/>
  <c r="P98" i="18" s="1"/>
  <c r="Q98" i="18" s="1"/>
  <c r="U115" i="18"/>
  <c r="V115" i="18" s="1"/>
  <c r="W115" i="18" s="1"/>
  <c r="AC115" i="18"/>
  <c r="AC142" i="18"/>
  <c r="U142" i="18"/>
  <c r="V142" i="18" s="1"/>
  <c r="W142" i="18" s="1"/>
  <c r="AC158" i="18"/>
  <c r="U158" i="18"/>
  <c r="V158" i="18" s="1"/>
  <c r="W158" i="18" s="1"/>
  <c r="AI120" i="18"/>
  <c r="AJ120" i="18" s="1"/>
  <c r="AK120" i="18" s="1"/>
  <c r="AL120" i="18" s="1"/>
  <c r="AD120" i="18"/>
  <c r="AE120" i="18" s="1"/>
  <c r="AF120" i="18" s="1"/>
  <c r="O124" i="18"/>
  <c r="P124" i="18" s="1"/>
  <c r="Q124" i="18" s="1"/>
  <c r="T124" i="18"/>
  <c r="O156" i="18"/>
  <c r="P156" i="18" s="1"/>
  <c r="Q156" i="18" s="1"/>
  <c r="T156" i="18"/>
  <c r="U100" i="18"/>
  <c r="V100" i="18" s="1"/>
  <c r="W100" i="18" s="1"/>
  <c r="AC100" i="18"/>
  <c r="AI117" i="18"/>
  <c r="AJ117" i="18" s="1"/>
  <c r="AK117" i="18" s="1"/>
  <c r="AL117" i="18" s="1"/>
  <c r="AD117" i="18"/>
  <c r="AE117" i="18" s="1"/>
  <c r="AF117" i="18" s="1"/>
  <c r="AI118" i="18"/>
  <c r="AJ118" i="18" s="1"/>
  <c r="AK118" i="18" s="1"/>
  <c r="AL118" i="18" s="1"/>
  <c r="AD118" i="18"/>
  <c r="AE118" i="18" s="1"/>
  <c r="AF118" i="18" s="1"/>
  <c r="I117" i="18"/>
  <c r="J109" i="18"/>
  <c r="I100" i="18"/>
  <c r="V107" i="18"/>
  <c r="AE107" i="18" s="1"/>
  <c r="AK107" i="18" s="1"/>
  <c r="Q107" i="18"/>
  <c r="W107" i="18" s="1"/>
  <c r="AF107" i="18" s="1"/>
  <c r="AL107" i="18" s="1"/>
  <c r="O127" i="18"/>
  <c r="P127" i="18" s="1"/>
  <c r="Q127" i="18" s="1"/>
  <c r="T127" i="18"/>
  <c r="I99" i="18"/>
  <c r="I116" i="18"/>
  <c r="J108" i="18"/>
  <c r="AC119" i="18"/>
  <c r="U119" i="18"/>
  <c r="V119" i="18" s="1"/>
  <c r="W119" i="18" s="1"/>
  <c r="T129" i="18"/>
  <c r="O129" i="18"/>
  <c r="P129" i="18" s="1"/>
  <c r="Q129" i="18" s="1"/>
  <c r="Q164" i="18"/>
  <c r="W164" i="18" s="1"/>
  <c r="AF164" i="18" s="1"/>
  <c r="V164" i="18"/>
  <c r="AE164" i="18" s="1"/>
  <c r="U128" i="18"/>
  <c r="V128" i="18" s="1"/>
  <c r="W128" i="18" s="1"/>
  <c r="AC128" i="18"/>
  <c r="U101" i="18"/>
  <c r="V101" i="18" s="1"/>
  <c r="W101" i="18" s="1"/>
  <c r="AC101" i="18"/>
  <c r="Q166" i="18"/>
  <c r="W166" i="18" s="1"/>
  <c r="AF166" i="18" s="1"/>
  <c r="V166" i="18"/>
  <c r="AE166" i="18" s="1"/>
  <c r="N154" i="18"/>
  <c r="H154" i="18"/>
  <c r="I102" i="18"/>
  <c r="I119" i="18"/>
  <c r="J111" i="18"/>
  <c r="I101" i="18"/>
  <c r="I118" i="18"/>
  <c r="J110" i="18"/>
  <c r="T157" i="18"/>
  <c r="O157" i="18"/>
  <c r="P157" i="18" s="1"/>
  <c r="Q157" i="18" s="1"/>
  <c r="O99" i="18"/>
  <c r="P99" i="18" s="1"/>
  <c r="Q99" i="18" s="1"/>
  <c r="T99" i="18"/>
  <c r="O152" i="18"/>
  <c r="P152" i="18" s="1"/>
  <c r="Q152" i="18" s="1"/>
  <c r="T152" i="18"/>
  <c r="AC116" i="18"/>
  <c r="U116" i="18"/>
  <c r="V116" i="18" s="1"/>
  <c r="W116" i="18" s="1"/>
  <c r="U161" i="18"/>
  <c r="V161" i="18" s="1"/>
  <c r="W161" i="18" s="1"/>
  <c r="AC161" i="18"/>
  <c r="V165" i="18"/>
  <c r="AE165" i="18" s="1"/>
  <c r="Q165" i="18"/>
  <c r="W165" i="18" s="1"/>
  <c r="AF165" i="18" s="1"/>
  <c r="P143" i="18"/>
  <c r="O142" i="18"/>
  <c r="C80" i="62"/>
  <c r="C102" i="62"/>
  <c r="E110" i="62"/>
  <c r="E104" i="62"/>
  <c r="E76" i="62"/>
  <c r="C104" i="62"/>
  <c r="C110" i="62"/>
  <c r="C76" i="62"/>
  <c r="E102" i="62"/>
  <c r="E80" i="62"/>
  <c r="E54" i="57"/>
  <c r="C115" i="57"/>
  <c r="C40" i="45"/>
  <c r="G48" i="45"/>
  <c r="G49" i="45" s="1"/>
  <c r="C88" i="45"/>
  <c r="C38" i="45"/>
  <c r="C62" i="45" s="1"/>
  <c r="C48" i="45"/>
  <c r="C49" i="45" s="1"/>
  <c r="G63" i="45"/>
  <c r="G95" i="45" s="1"/>
  <c r="E63" i="45"/>
  <c r="E95" i="45" s="1"/>
  <c r="E48" i="45"/>
  <c r="E49" i="45" s="1"/>
  <c r="G85" i="45"/>
  <c r="G84" i="45" s="1"/>
  <c r="G57" i="45"/>
  <c r="G74" i="45"/>
  <c r="C83" i="45"/>
  <c r="C81" i="45" s="1"/>
  <c r="E57" i="45"/>
  <c r="E74" i="45"/>
  <c r="E115" i="45" s="1"/>
  <c r="E85" i="45"/>
  <c r="C57" i="45"/>
  <c r="C74" i="45"/>
  <c r="C115" i="45" s="1"/>
  <c r="C85" i="45"/>
  <c r="G11" i="45"/>
  <c r="G52" i="45"/>
  <c r="E38" i="45"/>
  <c r="E12" i="45"/>
  <c r="E91" i="45"/>
  <c r="E88" i="45" s="1"/>
  <c r="G43" i="45"/>
  <c r="P155" i="18" l="1"/>
  <c r="Q185" i="18"/>
  <c r="Q155" i="18" s="1"/>
  <c r="Q111" i="18"/>
  <c r="W111" i="18" s="1"/>
  <c r="AF111" i="18" s="1"/>
  <c r="AL111" i="18" s="1"/>
  <c r="V111" i="18"/>
  <c r="AE111" i="18" s="1"/>
  <c r="AK111" i="18" s="1"/>
  <c r="Q108" i="18"/>
  <c r="W108" i="18" s="1"/>
  <c r="AF108" i="18" s="1"/>
  <c r="AL108" i="18" s="1"/>
  <c r="V108" i="18"/>
  <c r="AE108" i="18" s="1"/>
  <c r="AK108" i="18" s="1"/>
  <c r="Q131" i="18"/>
  <c r="W131" i="18" s="1"/>
  <c r="AF131" i="18" s="1"/>
  <c r="AL131" i="18" s="1"/>
  <c r="J115" i="18"/>
  <c r="V110" i="18"/>
  <c r="AE110" i="18" s="1"/>
  <c r="AK110" i="18" s="1"/>
  <c r="Q110" i="18"/>
  <c r="W110" i="18" s="1"/>
  <c r="AF110" i="18" s="1"/>
  <c r="AL110" i="18" s="1"/>
  <c r="V155" i="18"/>
  <c r="AE155" i="18" s="1"/>
  <c r="AK155" i="18" s="1"/>
  <c r="W185" i="18"/>
  <c r="W155" i="18" s="1"/>
  <c r="AF155" i="18" s="1"/>
  <c r="AL155" i="18" s="1"/>
  <c r="AD126" i="18"/>
  <c r="AE126" i="18" s="1"/>
  <c r="AF126" i="18" s="1"/>
  <c r="AI126" i="18"/>
  <c r="AJ126" i="18" s="1"/>
  <c r="AK126" i="18" s="1"/>
  <c r="AL126" i="18" s="1"/>
  <c r="AI100" i="18"/>
  <c r="AJ100" i="18" s="1"/>
  <c r="AK100" i="18" s="1"/>
  <c r="AL100" i="18" s="1"/>
  <c r="AD100" i="18"/>
  <c r="AE100" i="18" s="1"/>
  <c r="AF100" i="18" s="1"/>
  <c r="Q143" i="18"/>
  <c r="Q142" i="18" s="1"/>
  <c r="P142" i="18"/>
  <c r="AI128" i="18"/>
  <c r="AJ128" i="18" s="1"/>
  <c r="AK128" i="18" s="1"/>
  <c r="AL128" i="18" s="1"/>
  <c r="AD128" i="18"/>
  <c r="AE128" i="18" s="1"/>
  <c r="AF128" i="18" s="1"/>
  <c r="AD161" i="18"/>
  <c r="AE161" i="18" s="1"/>
  <c r="AF161" i="18" s="1"/>
  <c r="AI161" i="18"/>
  <c r="AJ161" i="18" s="1"/>
  <c r="AK161" i="18" s="1"/>
  <c r="AL161" i="18" s="1"/>
  <c r="AI123" i="18"/>
  <c r="AJ123" i="18" s="1"/>
  <c r="AK123" i="18" s="1"/>
  <c r="AL123" i="18" s="1"/>
  <c r="AD123" i="18"/>
  <c r="AE123" i="18" s="1"/>
  <c r="AF123" i="18" s="1"/>
  <c r="J102" i="18"/>
  <c r="J119" i="18"/>
  <c r="U129" i="18"/>
  <c r="V129" i="18" s="1"/>
  <c r="W129" i="18" s="1"/>
  <c r="AC129" i="18"/>
  <c r="U152" i="18"/>
  <c r="V152" i="18" s="1"/>
  <c r="W152" i="18" s="1"/>
  <c r="AC152" i="18"/>
  <c r="AI143" i="18"/>
  <c r="AJ143" i="18" s="1"/>
  <c r="AK143" i="18" s="1"/>
  <c r="AL143" i="18" s="1"/>
  <c r="AD143" i="18"/>
  <c r="AE143" i="18" s="1"/>
  <c r="AF143" i="18" s="1"/>
  <c r="AD158" i="18"/>
  <c r="AE158" i="18" s="1"/>
  <c r="AF158" i="18" s="1"/>
  <c r="AI158" i="18"/>
  <c r="AJ158" i="18" s="1"/>
  <c r="AK158" i="18" s="1"/>
  <c r="AL158" i="18" s="1"/>
  <c r="AC99" i="18"/>
  <c r="U99" i="18"/>
  <c r="V99" i="18" s="1"/>
  <c r="W99" i="18" s="1"/>
  <c r="J99" i="18"/>
  <c r="J116" i="18"/>
  <c r="AC102" i="18"/>
  <c r="U102" i="18"/>
  <c r="V102" i="18" s="1"/>
  <c r="W102" i="18" s="1"/>
  <c r="AD101" i="18"/>
  <c r="AE101" i="18" s="1"/>
  <c r="AF101" i="18" s="1"/>
  <c r="AI101" i="18"/>
  <c r="AJ101" i="18" s="1"/>
  <c r="AK101" i="18" s="1"/>
  <c r="AL101" i="18" s="1"/>
  <c r="AD115" i="18"/>
  <c r="AE115" i="18" s="1"/>
  <c r="AF115" i="18" s="1"/>
  <c r="AI115" i="18"/>
  <c r="AJ115" i="18" s="1"/>
  <c r="AK115" i="18" s="1"/>
  <c r="AL115" i="18" s="1"/>
  <c r="U157" i="18"/>
  <c r="V157" i="18" s="1"/>
  <c r="W157" i="18" s="1"/>
  <c r="AC157" i="18"/>
  <c r="AC127" i="18"/>
  <c r="U127" i="18"/>
  <c r="V127" i="18" s="1"/>
  <c r="W127" i="18" s="1"/>
  <c r="J101" i="18"/>
  <c r="J118" i="18"/>
  <c r="AC156" i="18"/>
  <c r="U156" i="18"/>
  <c r="V156" i="18" s="1"/>
  <c r="W156" i="18" s="1"/>
  <c r="U98" i="18"/>
  <c r="V98" i="18" s="1"/>
  <c r="W98" i="18" s="1"/>
  <c r="AC98" i="18"/>
  <c r="AC124" i="18"/>
  <c r="U124" i="18"/>
  <c r="V124" i="18" s="1"/>
  <c r="W124" i="18" s="1"/>
  <c r="J117" i="18"/>
  <c r="J100" i="18"/>
  <c r="AC103" i="18"/>
  <c r="U103" i="18"/>
  <c r="V103" i="18" s="1"/>
  <c r="W103" i="18" s="1"/>
  <c r="AD116" i="18"/>
  <c r="AE116" i="18" s="1"/>
  <c r="AF116" i="18" s="1"/>
  <c r="AI116" i="18"/>
  <c r="AJ116" i="18" s="1"/>
  <c r="AK116" i="18" s="1"/>
  <c r="AL116" i="18" s="1"/>
  <c r="O154" i="18"/>
  <c r="I154" i="18"/>
  <c r="T154" i="18"/>
  <c r="AC154" i="18" s="1"/>
  <c r="AI154" i="18"/>
  <c r="AD119" i="18"/>
  <c r="AE119" i="18" s="1"/>
  <c r="AF119" i="18" s="1"/>
  <c r="AI119" i="18"/>
  <c r="AJ119" i="18" s="1"/>
  <c r="AK119" i="18" s="1"/>
  <c r="AL119" i="18" s="1"/>
  <c r="AD142" i="18"/>
  <c r="AE142" i="18" s="1"/>
  <c r="AF142" i="18" s="1"/>
  <c r="AI142" i="18"/>
  <c r="AJ142" i="18" s="1"/>
  <c r="AK142" i="18" s="1"/>
  <c r="AL142" i="18" s="1"/>
  <c r="E115" i="62"/>
  <c r="C149" i="62"/>
  <c r="C131" i="62"/>
  <c r="E131" i="62"/>
  <c r="E149" i="62"/>
  <c r="C115" i="62"/>
  <c r="E102" i="57"/>
  <c r="E80" i="57"/>
  <c r="C36" i="45"/>
  <c r="C46" i="45" s="1"/>
  <c r="C47" i="45" s="1"/>
  <c r="G38" i="45"/>
  <c r="G12" i="45"/>
  <c r="C109" i="45"/>
  <c r="C84" i="45"/>
  <c r="E84" i="45"/>
  <c r="E109" i="45"/>
  <c r="G91" i="45"/>
  <c r="G88" i="45" s="1"/>
  <c r="G40" i="45"/>
  <c r="C94" i="45"/>
  <c r="C93" i="45" s="1"/>
  <c r="C87" i="45" s="1"/>
  <c r="C61" i="45"/>
  <c r="C65" i="45" s="1"/>
  <c r="C99" i="45"/>
  <c r="E62" i="45"/>
  <c r="E36" i="45"/>
  <c r="E46" i="45" s="1"/>
  <c r="E83" i="45"/>
  <c r="E81" i="45" s="1"/>
  <c r="AI103" i="18" l="1"/>
  <c r="AJ103" i="18" s="1"/>
  <c r="AK103" i="18" s="1"/>
  <c r="AL103" i="18" s="1"/>
  <c r="AD103" i="18"/>
  <c r="AE103" i="18" s="1"/>
  <c r="AF103" i="18" s="1"/>
  <c r="AI98" i="18"/>
  <c r="AJ98" i="18" s="1"/>
  <c r="AK98" i="18" s="1"/>
  <c r="AL98" i="18" s="1"/>
  <c r="AD98" i="18"/>
  <c r="AE98" i="18" s="1"/>
  <c r="AF98" i="18" s="1"/>
  <c r="AD152" i="18"/>
  <c r="AE152" i="18" s="1"/>
  <c r="AF152" i="18" s="1"/>
  <c r="AI152" i="18"/>
  <c r="AJ152" i="18" s="1"/>
  <c r="AK152" i="18" s="1"/>
  <c r="AL152" i="18" s="1"/>
  <c r="J154" i="18"/>
  <c r="Q154" i="18" s="1"/>
  <c r="P154" i="18"/>
  <c r="AD129" i="18"/>
  <c r="AE129" i="18" s="1"/>
  <c r="AF129" i="18" s="1"/>
  <c r="AI129" i="18"/>
  <c r="AJ129" i="18" s="1"/>
  <c r="AK129" i="18" s="1"/>
  <c r="AL129" i="18" s="1"/>
  <c r="AD127" i="18"/>
  <c r="AE127" i="18" s="1"/>
  <c r="AF127" i="18" s="1"/>
  <c r="AI127" i="18"/>
  <c r="AJ127" i="18" s="1"/>
  <c r="AK127" i="18" s="1"/>
  <c r="AL127" i="18" s="1"/>
  <c r="AD99" i="18"/>
  <c r="AE99" i="18" s="1"/>
  <c r="AF99" i="18" s="1"/>
  <c r="AI99" i="18"/>
  <c r="AJ99" i="18" s="1"/>
  <c r="AK99" i="18" s="1"/>
  <c r="AL99" i="18" s="1"/>
  <c r="AD157" i="18"/>
  <c r="AE157" i="18" s="1"/>
  <c r="AF157" i="18" s="1"/>
  <c r="AI157" i="18"/>
  <c r="AJ157" i="18" s="1"/>
  <c r="AK157" i="18" s="1"/>
  <c r="AL157" i="18" s="1"/>
  <c r="AD124" i="18"/>
  <c r="AE124" i="18" s="1"/>
  <c r="AF124" i="18" s="1"/>
  <c r="AI124" i="18"/>
  <c r="AJ124" i="18" s="1"/>
  <c r="AK124" i="18" s="1"/>
  <c r="AL124" i="18" s="1"/>
  <c r="U154" i="18"/>
  <c r="AD154" i="18" s="1"/>
  <c r="AJ154" i="18"/>
  <c r="AD156" i="18"/>
  <c r="AE156" i="18" s="1"/>
  <c r="AF156" i="18" s="1"/>
  <c r="AI156" i="18"/>
  <c r="AJ156" i="18" s="1"/>
  <c r="AK156" i="18" s="1"/>
  <c r="AL156" i="18" s="1"/>
  <c r="AD102" i="18"/>
  <c r="AE102" i="18" s="1"/>
  <c r="AF102" i="18" s="1"/>
  <c r="AI102" i="18"/>
  <c r="AJ102" i="18" s="1"/>
  <c r="AK102" i="18" s="1"/>
  <c r="AL102" i="18" s="1"/>
  <c r="E137" i="62"/>
  <c r="C137" i="62"/>
  <c r="E115" i="57"/>
  <c r="C53" i="45"/>
  <c r="C54" i="45" s="1"/>
  <c r="C75" i="45"/>
  <c r="C67" i="45"/>
  <c r="C71" i="45"/>
  <c r="C66" i="45"/>
  <c r="C68" i="45"/>
  <c r="E110" i="45"/>
  <c r="E107" i="45"/>
  <c r="E108" i="45" s="1"/>
  <c r="E100" i="45"/>
  <c r="E99" i="45"/>
  <c r="E102" i="45" s="1"/>
  <c r="E80" i="45"/>
  <c r="E97" i="45" s="1"/>
  <c r="E98" i="45" s="1"/>
  <c r="C100" i="45"/>
  <c r="C102" i="45" s="1"/>
  <c r="E47" i="45"/>
  <c r="E53" i="45"/>
  <c r="E117" i="45" s="1"/>
  <c r="C110" i="45"/>
  <c r="C107" i="45"/>
  <c r="C108" i="45" s="1"/>
  <c r="E94" i="45"/>
  <c r="E93" i="45" s="1"/>
  <c r="E87" i="45" s="1"/>
  <c r="E61" i="45"/>
  <c r="E65" i="45" s="1"/>
  <c r="C80" i="45"/>
  <c r="C97" i="45" s="1"/>
  <c r="C98" i="45" s="1"/>
  <c r="G62" i="45"/>
  <c r="G36" i="45"/>
  <c r="G46" i="45" s="1"/>
  <c r="G83" i="45"/>
  <c r="G81" i="45" s="1"/>
  <c r="G80" i="45" s="1"/>
  <c r="V154" i="18" l="1"/>
  <c r="AE154" i="18" s="1"/>
  <c r="AK154" i="18"/>
  <c r="W154" i="18"/>
  <c r="AF154" i="18" s="1"/>
  <c r="AL154" i="18"/>
  <c r="C117" i="45"/>
  <c r="C103" i="45"/>
  <c r="G53" i="45"/>
  <c r="G47" i="45"/>
  <c r="G61" i="45"/>
  <c r="G65" i="45" s="1"/>
  <c r="G94" i="45"/>
  <c r="G93" i="45" s="1"/>
  <c r="G87" i="45" s="1"/>
  <c r="G97" i="45" s="1"/>
  <c r="E71" i="45"/>
  <c r="E68" i="45"/>
  <c r="E66" i="45"/>
  <c r="E75" i="45"/>
  <c r="E118" i="45" s="1"/>
  <c r="E67" i="45"/>
  <c r="E116" i="45"/>
  <c r="C118" i="45"/>
  <c r="C116" i="45" l="1"/>
  <c r="C119" i="45" s="1"/>
  <c r="C76" i="45"/>
  <c r="G68" i="45"/>
  <c r="G71" i="45"/>
  <c r="G75" i="45"/>
  <c r="G73" i="45" s="1"/>
  <c r="G116" i="45" s="1"/>
  <c r="G67" i="45"/>
  <c r="E9" i="44" l="1"/>
  <c r="F116" i="44"/>
  <c r="B99" i="44"/>
  <c r="G88" i="44"/>
  <c r="E88" i="44"/>
  <c r="E115" i="44" s="1"/>
  <c r="C88" i="44"/>
  <c r="C115" i="44" s="1"/>
  <c r="G44" i="44"/>
  <c r="E44" i="44"/>
  <c r="C44" i="44"/>
  <c r="G26" i="44"/>
  <c r="E26" i="44"/>
  <c r="G21" i="44"/>
  <c r="C21" i="44"/>
  <c r="G20" i="44"/>
  <c r="C20" i="44"/>
  <c r="G17" i="44"/>
  <c r="G16" i="44"/>
  <c r="C16" i="44"/>
  <c r="C10" i="44"/>
  <c r="C62" i="44" s="1"/>
  <c r="C124" i="44" s="1"/>
  <c r="G9" i="44"/>
  <c r="E54" i="23"/>
  <c r="E53" i="23"/>
  <c r="E55" i="23" s="1"/>
  <c r="C24" i="23"/>
  <c r="B18" i="33"/>
  <c r="B17" i="33"/>
  <c r="C18" i="33"/>
  <c r="C17" i="33"/>
  <c r="H5" i="39"/>
  <c r="F5" i="39"/>
  <c r="O5" i="39" s="1"/>
  <c r="F4" i="39"/>
  <c r="O4" i="39" s="1"/>
  <c r="F3" i="39"/>
  <c r="F2" i="39"/>
  <c r="K2" i="39" l="1"/>
  <c r="O2" i="39"/>
  <c r="K3" i="39"/>
  <c r="O3" i="39"/>
  <c r="I5" i="39"/>
  <c r="D18" i="33"/>
  <c r="D17" i="33"/>
  <c r="C13" i="55"/>
  <c r="C10" i="50"/>
  <c r="M4" i="39"/>
  <c r="K4" i="39"/>
  <c r="M5" i="39"/>
  <c r="K5" i="39"/>
  <c r="G3" i="39"/>
  <c r="M3" i="39"/>
  <c r="I2" i="39"/>
  <c r="M2" i="39"/>
  <c r="I3" i="39"/>
  <c r="G5" i="39"/>
  <c r="I4" i="39"/>
  <c r="G19" i="44"/>
  <c r="C53" i="44"/>
  <c r="C101" i="44" s="1"/>
  <c r="E10" i="44"/>
  <c r="C11" i="44"/>
  <c r="G2" i="39"/>
  <c r="G4" i="39"/>
  <c r="O6" i="39" l="1"/>
  <c r="K6" i="39"/>
  <c r="K7" i="39" s="1"/>
  <c r="I6" i="39"/>
  <c r="C7" i="55" s="1"/>
  <c r="E7" i="55" s="1"/>
  <c r="C11" i="50"/>
  <c r="C63" i="50"/>
  <c r="C132" i="50" s="1"/>
  <c r="E10" i="50"/>
  <c r="C54" i="50"/>
  <c r="C106" i="50" s="1"/>
  <c r="C69" i="55"/>
  <c r="C146" i="55" s="1"/>
  <c r="E13" i="55"/>
  <c r="C14" i="55"/>
  <c r="C60" i="55"/>
  <c r="C112" i="55" s="1"/>
  <c r="C54" i="44"/>
  <c r="C102" i="44" s="1"/>
  <c r="C55" i="50"/>
  <c r="C107" i="50" s="1"/>
  <c r="C61" i="55"/>
  <c r="C113" i="55" s="1"/>
  <c r="M6" i="39"/>
  <c r="E54" i="44"/>
  <c r="E55" i="50"/>
  <c r="E61" i="55"/>
  <c r="K8" i="39"/>
  <c r="M8" i="39"/>
  <c r="I8" i="39"/>
  <c r="I7" i="39"/>
  <c r="E62" i="44"/>
  <c r="E124" i="44" s="1"/>
  <c r="E53" i="44"/>
  <c r="E11" i="44"/>
  <c r="G10" i="44"/>
  <c r="C48" i="44"/>
  <c r="C72" i="44" s="1"/>
  <c r="G6" i="39"/>
  <c r="E7" i="57" l="1"/>
  <c r="C6" i="57"/>
  <c r="C6" i="55"/>
  <c r="E6" i="55" s="1"/>
  <c r="M7" i="39"/>
  <c r="G8" i="39"/>
  <c r="C5" i="57"/>
  <c r="O8" i="39"/>
  <c r="O7" i="39"/>
  <c r="C54" i="55"/>
  <c r="E113" i="55"/>
  <c r="E63" i="50"/>
  <c r="E132" i="50" s="1"/>
  <c r="E54" i="50"/>
  <c r="G10" i="50"/>
  <c r="E11" i="50"/>
  <c r="E102" i="44"/>
  <c r="G54" i="44"/>
  <c r="C48" i="50"/>
  <c r="C5" i="55"/>
  <c r="E5" i="55" s="1"/>
  <c r="E69" i="55"/>
  <c r="E146" i="55" s="1"/>
  <c r="E60" i="55"/>
  <c r="E14" i="55"/>
  <c r="E107" i="50"/>
  <c r="G55" i="50"/>
  <c r="E48" i="44"/>
  <c r="C93" i="44"/>
  <c r="G62" i="44"/>
  <c r="G11" i="44"/>
  <c r="E101" i="44"/>
  <c r="G53" i="44"/>
  <c r="G7" i="39"/>
  <c r="C145" i="57" l="1"/>
  <c r="E5" i="57"/>
  <c r="E145" i="57"/>
  <c r="E6" i="57"/>
  <c r="G11" i="50"/>
  <c r="G63" i="50"/>
  <c r="G54" i="50"/>
  <c r="G106" i="50" s="1"/>
  <c r="E106" i="50"/>
  <c r="C102" i="55"/>
  <c r="C80" i="55"/>
  <c r="C96" i="50"/>
  <c r="C74" i="50"/>
  <c r="E48" i="50"/>
  <c r="E54" i="55"/>
  <c r="E112" i="55"/>
  <c r="G101" i="44"/>
  <c r="E93" i="44"/>
  <c r="E72" i="44"/>
  <c r="G48" i="44"/>
  <c r="C104" i="44"/>
  <c r="C109" i="50" l="1"/>
  <c r="E96" i="50"/>
  <c r="E74" i="50"/>
  <c r="C115" i="55"/>
  <c r="E102" i="55"/>
  <c r="E80" i="55"/>
  <c r="G48" i="50"/>
  <c r="G93" i="44"/>
  <c r="G72" i="44"/>
  <c r="E104" i="44"/>
  <c r="E115" i="55" l="1"/>
  <c r="E109" i="50"/>
  <c r="G96" i="50"/>
  <c r="G74" i="50"/>
  <c r="G104" i="44"/>
  <c r="G109" i="50" l="1"/>
  <c r="G77" i="34"/>
  <c r="G90" i="34"/>
  <c r="F104" i="34"/>
  <c r="E77" i="34"/>
  <c r="C77" i="34"/>
  <c r="B88" i="34"/>
  <c r="C34" i="37" l="1"/>
  <c r="C30" i="37"/>
  <c r="C32" i="37" s="1"/>
  <c r="C19" i="37"/>
  <c r="C20" i="37" s="1"/>
  <c r="D20" i="37" s="1"/>
  <c r="B20" i="37" s="1"/>
  <c r="D44" i="37"/>
  <c r="B44" i="37" s="1"/>
  <c r="D31" i="37"/>
  <c r="B31" i="37" s="1"/>
  <c r="D29" i="37"/>
  <c r="B29" i="37" s="1"/>
  <c r="D28" i="37"/>
  <c r="B28" i="37" s="1"/>
  <c r="B34" i="37" s="1"/>
  <c r="D18" i="37"/>
  <c r="B18" i="37" s="1"/>
  <c r="J243" i="36"/>
  <c r="K243" i="36" s="1"/>
  <c r="L243" i="36" s="1"/>
  <c r="J242" i="36"/>
  <c r="K242" i="36" s="1"/>
  <c r="L242" i="36" s="1"/>
  <c r="J241" i="36"/>
  <c r="K241" i="36" s="1"/>
  <c r="L241" i="36" s="1"/>
  <c r="L237" i="36"/>
  <c r="K237" i="36"/>
  <c r="J237" i="36"/>
  <c r="I237" i="36"/>
  <c r="L234" i="36"/>
  <c r="K234" i="36"/>
  <c r="J234" i="36"/>
  <c r="I234" i="36"/>
  <c r="P225" i="36"/>
  <c r="V225" i="36" s="1"/>
  <c r="J225" i="36"/>
  <c r="Q225" i="36" s="1"/>
  <c r="W225" i="36" s="1"/>
  <c r="S223" i="36"/>
  <c r="Y223" i="36" s="1"/>
  <c r="R223" i="36"/>
  <c r="X223" i="36" s="1"/>
  <c r="Q223" i="36"/>
  <c r="W223" i="36" s="1"/>
  <c r="P223" i="36"/>
  <c r="V223" i="36" s="1"/>
  <c r="P222" i="36"/>
  <c r="V222" i="36" s="1"/>
  <c r="W222" i="36" s="1"/>
  <c r="X222" i="36" s="1"/>
  <c r="Y222" i="36" s="1"/>
  <c r="J222" i="36"/>
  <c r="K222" i="36" s="1"/>
  <c r="L222" i="36" s="1"/>
  <c r="Y221" i="36"/>
  <c r="X221" i="36"/>
  <c r="W221" i="36"/>
  <c r="V221" i="36"/>
  <c r="J221" i="36"/>
  <c r="K221" i="36" s="1"/>
  <c r="L221" i="36" s="1"/>
  <c r="Y220" i="36"/>
  <c r="X220" i="36"/>
  <c r="W220" i="36"/>
  <c r="V220" i="36"/>
  <c r="J220" i="36"/>
  <c r="K220" i="36" s="1"/>
  <c r="L220" i="36" s="1"/>
  <c r="W219" i="36"/>
  <c r="X219" i="36" s="1"/>
  <c r="Y219" i="36" s="1"/>
  <c r="J219" i="36"/>
  <c r="K219" i="36" s="1"/>
  <c r="L219" i="36" s="1"/>
  <c r="P218" i="36"/>
  <c r="V218" i="36" s="1"/>
  <c r="J218" i="36"/>
  <c r="Q218" i="36" s="1"/>
  <c r="W218" i="36" s="1"/>
  <c r="AK214" i="36"/>
  <c r="AF214" i="36"/>
  <c r="AG214" i="36" s="1"/>
  <c r="AH214" i="36" s="1"/>
  <c r="AI214" i="36" s="1"/>
  <c r="W214" i="36"/>
  <c r="X214" i="36" s="1"/>
  <c r="Y214" i="36" s="1"/>
  <c r="Q214" i="36"/>
  <c r="R214" i="36" s="1"/>
  <c r="I214" i="36"/>
  <c r="J214" i="36" s="1"/>
  <c r="K214" i="36" s="1"/>
  <c r="L214" i="36" s="1"/>
  <c r="W212" i="36"/>
  <c r="X212" i="36" s="1"/>
  <c r="Q212" i="36"/>
  <c r="J212" i="36"/>
  <c r="K212" i="36" s="1"/>
  <c r="L212" i="36" s="1"/>
  <c r="I210" i="36"/>
  <c r="P210" i="36" s="1"/>
  <c r="Q210" i="36" s="1"/>
  <c r="R210" i="36" s="1"/>
  <c r="X210" i="36" s="1"/>
  <c r="AG210" i="36" s="1"/>
  <c r="I209" i="36"/>
  <c r="J209" i="36" s="1"/>
  <c r="K209" i="36" s="1"/>
  <c r="L209" i="36" s="1"/>
  <c r="I208" i="36"/>
  <c r="P208" i="36" s="1"/>
  <c r="I205" i="36"/>
  <c r="P205" i="36" s="1"/>
  <c r="Q205" i="36" s="1"/>
  <c r="R205" i="36" s="1"/>
  <c r="S205" i="36" s="1"/>
  <c r="I204" i="36"/>
  <c r="P204" i="36" s="1"/>
  <c r="P203" i="36"/>
  <c r="V203" i="36" s="1"/>
  <c r="AE203" i="36" s="1"/>
  <c r="AK203" i="36" s="1"/>
  <c r="J203" i="36"/>
  <c r="I202" i="36"/>
  <c r="P202" i="36" s="1"/>
  <c r="AH193" i="36"/>
  <c r="AG193" i="36"/>
  <c r="AF193" i="36"/>
  <c r="AE193" i="36"/>
  <c r="I193" i="36"/>
  <c r="J193" i="36" s="1"/>
  <c r="K193" i="36" s="1"/>
  <c r="L193" i="36" s="1"/>
  <c r="P192" i="36"/>
  <c r="Q192" i="36" s="1"/>
  <c r="R192" i="36" s="1"/>
  <c r="S192" i="36" s="1"/>
  <c r="V188" i="36"/>
  <c r="AE188" i="36" s="1"/>
  <c r="AK188" i="36" s="1"/>
  <c r="Q188" i="36"/>
  <c r="J186" i="36"/>
  <c r="P185" i="36"/>
  <c r="V185" i="36" s="1"/>
  <c r="AE185" i="36" s="1"/>
  <c r="AK185" i="36" s="1"/>
  <c r="J185" i="36"/>
  <c r="Q185" i="36" s="1"/>
  <c r="W185" i="36" s="1"/>
  <c r="AF185" i="36" s="1"/>
  <c r="AL185" i="36" s="1"/>
  <c r="P184" i="36"/>
  <c r="V184" i="36" s="1"/>
  <c r="AE184" i="36" s="1"/>
  <c r="AK184" i="36" s="1"/>
  <c r="J184" i="36"/>
  <c r="Q184" i="36" s="1"/>
  <c r="W184" i="36" s="1"/>
  <c r="AF184" i="36" s="1"/>
  <c r="AL184" i="36" s="1"/>
  <c r="I156" i="36"/>
  <c r="I155" i="36"/>
  <c r="I154" i="36"/>
  <c r="J154" i="36" s="1"/>
  <c r="I153" i="36"/>
  <c r="I152" i="36"/>
  <c r="J152" i="36" s="1"/>
  <c r="I151" i="36"/>
  <c r="I143" i="36"/>
  <c r="AN136" i="36"/>
  <c r="AM136" i="36"/>
  <c r="AL136" i="36"/>
  <c r="AK136" i="36"/>
  <c r="S136" i="36"/>
  <c r="Y136" i="36" s="1"/>
  <c r="R136" i="36"/>
  <c r="X136" i="36" s="1"/>
  <c r="Q136" i="36"/>
  <c r="W136" i="36" s="1"/>
  <c r="P136" i="36"/>
  <c r="V136" i="36" s="1"/>
  <c r="T98" i="36"/>
  <c r="M98" i="36"/>
  <c r="F98" i="36"/>
  <c r="F97" i="36"/>
  <c r="F96" i="36"/>
  <c r="T95" i="36"/>
  <c r="M95" i="36"/>
  <c r="T93" i="36"/>
  <c r="F93" i="36"/>
  <c r="F92" i="36"/>
  <c r="T88" i="36"/>
  <c r="T86" i="36" s="1"/>
  <c r="M88" i="36"/>
  <c r="F88" i="36" s="1"/>
  <c r="H16" i="36"/>
  <c r="O16" i="36" s="1"/>
  <c r="O15" i="36"/>
  <c r="AJ15" i="36" s="1"/>
  <c r="E15" i="36"/>
  <c r="O14" i="36"/>
  <c r="AJ14" i="36" s="1"/>
  <c r="F12" i="36"/>
  <c r="E12" i="36"/>
  <c r="F11" i="36"/>
  <c r="E11" i="36"/>
  <c r="F10" i="36"/>
  <c r="E10" i="36"/>
  <c r="F9" i="36"/>
  <c r="E9" i="36"/>
  <c r="F8" i="36"/>
  <c r="E8" i="36"/>
  <c r="O7" i="36"/>
  <c r="AJ7" i="36" s="1"/>
  <c r="F6" i="36"/>
  <c r="E6" i="36"/>
  <c r="O5" i="36"/>
  <c r="E5" i="36" s="1"/>
  <c r="G34" i="34"/>
  <c r="E34" i="34"/>
  <c r="C34" i="34"/>
  <c r="G26" i="34"/>
  <c r="E26" i="34"/>
  <c r="C21" i="34"/>
  <c r="G21" i="34"/>
  <c r="G20" i="34"/>
  <c r="C20" i="34"/>
  <c r="G17" i="34"/>
  <c r="G16" i="34"/>
  <c r="C16" i="34"/>
  <c r="G9" i="34"/>
  <c r="E9" i="34"/>
  <c r="C9" i="34"/>
  <c r="P155" i="36" l="1"/>
  <c r="V155" i="36" s="1"/>
  <c r="AE155" i="36" s="1"/>
  <c r="AK155" i="36" s="1"/>
  <c r="E7" i="36"/>
  <c r="E14" i="36"/>
  <c r="I146" i="36"/>
  <c r="M86" i="36"/>
  <c r="P152" i="36"/>
  <c r="V152" i="36" s="1"/>
  <c r="AE152" i="36" s="1"/>
  <c r="AK152" i="36" s="1"/>
  <c r="D34" i="37"/>
  <c r="B32" i="37"/>
  <c r="D30" i="37"/>
  <c r="D32" i="37"/>
  <c r="D19" i="37"/>
  <c r="B19" i="37" s="1"/>
  <c r="I200" i="36"/>
  <c r="J200" i="36" s="1"/>
  <c r="K200" i="36" s="1"/>
  <c r="L200" i="36" s="1"/>
  <c r="I201" i="36"/>
  <c r="J201" i="36" s="1"/>
  <c r="K201" i="36" s="1"/>
  <c r="L201" i="36" s="1"/>
  <c r="P209" i="36"/>
  <c r="V209" i="36" s="1"/>
  <c r="AE209" i="36" s="1"/>
  <c r="AK209" i="36" s="1"/>
  <c r="AL209" i="36" s="1"/>
  <c r="AM209" i="36" s="1"/>
  <c r="AN209" i="36" s="1"/>
  <c r="V204" i="36"/>
  <c r="AE204" i="36" s="1"/>
  <c r="Q204" i="36"/>
  <c r="R204" i="36" s="1"/>
  <c r="S204" i="36" s="1"/>
  <c r="Q209" i="36"/>
  <c r="P187" i="36"/>
  <c r="V187" i="36" s="1"/>
  <c r="J205" i="36"/>
  <c r="K205" i="36" s="1"/>
  <c r="L205" i="36" s="1"/>
  <c r="K184" i="36"/>
  <c r="U7" i="36"/>
  <c r="AD7" i="36" s="1"/>
  <c r="J210" i="36"/>
  <c r="K210" i="36" s="1"/>
  <c r="L210" i="36" s="1"/>
  <c r="P201" i="36"/>
  <c r="V201" i="36" s="1"/>
  <c r="W201" i="36" s="1"/>
  <c r="X201" i="36" s="1"/>
  <c r="Y201" i="36" s="1"/>
  <c r="V205" i="36"/>
  <c r="AE205" i="36" s="1"/>
  <c r="S210" i="36"/>
  <c r="Y210" i="36" s="1"/>
  <c r="AH210" i="36" s="1"/>
  <c r="W210" i="36"/>
  <c r="AF210" i="36" s="1"/>
  <c r="V210" i="36"/>
  <c r="AE210" i="36" s="1"/>
  <c r="AK210" i="36" s="1"/>
  <c r="AL210" i="36" s="1"/>
  <c r="AM210" i="36" s="1"/>
  <c r="AN210" i="36" s="1"/>
  <c r="F95" i="36"/>
  <c r="E16" i="36"/>
  <c r="AJ16" i="36"/>
  <c r="P156" i="36"/>
  <c r="J156" i="36"/>
  <c r="V208" i="36"/>
  <c r="AE208" i="36" s="1"/>
  <c r="AK208" i="36" s="1"/>
  <c r="AL208" i="36" s="1"/>
  <c r="AM208" i="36" s="1"/>
  <c r="AN208" i="36" s="1"/>
  <c r="Q208" i="36"/>
  <c r="K154" i="36"/>
  <c r="J145" i="36"/>
  <c r="J208" i="36"/>
  <c r="K208" i="36" s="1"/>
  <c r="L208" i="36" s="1"/>
  <c r="I147" i="36"/>
  <c r="K185" i="36"/>
  <c r="J204" i="36"/>
  <c r="Q203" i="36"/>
  <c r="W203" i="36" s="1"/>
  <c r="AF203" i="36" s="1"/>
  <c r="AL203" i="36" s="1"/>
  <c r="K225" i="36"/>
  <c r="T113" i="36"/>
  <c r="Q152" i="36"/>
  <c r="K203" i="36"/>
  <c r="Q222" i="36"/>
  <c r="R222" i="36" s="1"/>
  <c r="S222" i="36" s="1"/>
  <c r="R188" i="36"/>
  <c r="W188" i="36"/>
  <c r="AF188" i="36" s="1"/>
  <c r="AL188" i="36" s="1"/>
  <c r="I145" i="36"/>
  <c r="P154" i="36"/>
  <c r="U5" i="36"/>
  <c r="Q202" i="36"/>
  <c r="R202" i="36" s="1"/>
  <c r="S202" i="36" s="1"/>
  <c r="V202" i="36"/>
  <c r="J153" i="36"/>
  <c r="I144" i="36"/>
  <c r="Q155" i="36"/>
  <c r="J202" i="36"/>
  <c r="K202" i="36" s="1"/>
  <c r="L202" i="36" s="1"/>
  <c r="R212" i="36"/>
  <c r="AM214" i="36"/>
  <c r="S214" i="36"/>
  <c r="AN214" i="36" s="1"/>
  <c r="K152" i="36"/>
  <c r="J143" i="36"/>
  <c r="P153" i="36"/>
  <c r="Y212" i="36"/>
  <c r="P151" i="36"/>
  <c r="I142" i="36"/>
  <c r="J151" i="36"/>
  <c r="AF204" i="36"/>
  <c r="AG204" i="36" s="1"/>
  <c r="AH204" i="36" s="1"/>
  <c r="AK204" i="36"/>
  <c r="AL204" i="36" s="1"/>
  <c r="AM204" i="36" s="1"/>
  <c r="AN204" i="36" s="1"/>
  <c r="W204" i="36"/>
  <c r="X204" i="36" s="1"/>
  <c r="Y204" i="36" s="1"/>
  <c r="K218" i="36"/>
  <c r="J155" i="36"/>
  <c r="AL214" i="36"/>
  <c r="G19" i="34"/>
  <c r="E24" i="57" l="1"/>
  <c r="E24" i="55"/>
  <c r="E21" i="50"/>
  <c r="E21" i="34"/>
  <c r="E21" i="44"/>
  <c r="P200" i="36"/>
  <c r="V200" i="36" s="1"/>
  <c r="M113" i="36"/>
  <c r="F86" i="36"/>
  <c r="F113" i="36" s="1"/>
  <c r="AE201" i="36"/>
  <c r="AK201" i="36" s="1"/>
  <c r="AL201" i="36" s="1"/>
  <c r="AM201" i="36" s="1"/>
  <c r="AN201" i="36" s="1"/>
  <c r="W205" i="36"/>
  <c r="X205" i="36" s="1"/>
  <c r="Y205" i="36" s="1"/>
  <c r="P186" i="36"/>
  <c r="V186" i="36" s="1"/>
  <c r="W186" i="36" s="1"/>
  <c r="X186" i="36" s="1"/>
  <c r="Y186" i="36" s="1"/>
  <c r="Q187" i="36"/>
  <c r="R187" i="36" s="1"/>
  <c r="S187" i="36" s="1"/>
  <c r="Q201" i="36"/>
  <c r="R201" i="36" s="1"/>
  <c r="S201" i="36" s="1"/>
  <c r="L184" i="36"/>
  <c r="S184" i="36" s="1"/>
  <c r="Y184" i="36" s="1"/>
  <c r="AH184" i="36" s="1"/>
  <c r="AN184" i="36" s="1"/>
  <c r="R184" i="36"/>
  <c r="X184" i="36" s="1"/>
  <c r="AG184" i="36" s="1"/>
  <c r="AM184" i="36" s="1"/>
  <c r="W209" i="36"/>
  <c r="AF209" i="36" s="1"/>
  <c r="R209" i="36"/>
  <c r="K155" i="36"/>
  <c r="J146" i="36"/>
  <c r="S212" i="36"/>
  <c r="K204" i="36"/>
  <c r="R203" i="36"/>
  <c r="X203" i="36" s="1"/>
  <c r="AG203" i="36" s="1"/>
  <c r="AM203" i="36" s="1"/>
  <c r="L203" i="36"/>
  <c r="W208" i="36"/>
  <c r="AF208" i="36" s="1"/>
  <c r="R208" i="36"/>
  <c r="W202" i="36"/>
  <c r="X202" i="36" s="1"/>
  <c r="Y202" i="36" s="1"/>
  <c r="AE202" i="36"/>
  <c r="S188" i="36"/>
  <c r="Y188" i="36" s="1"/>
  <c r="AH188" i="36" s="1"/>
  <c r="AN188" i="36" s="1"/>
  <c r="X188" i="36"/>
  <c r="AG188" i="36" s="1"/>
  <c r="AM188" i="36" s="1"/>
  <c r="J147" i="36"/>
  <c r="K156" i="36"/>
  <c r="AK205" i="36"/>
  <c r="AL205" i="36" s="1"/>
  <c r="AM205" i="36" s="1"/>
  <c r="AN205" i="36" s="1"/>
  <c r="AF205" i="36"/>
  <c r="AG205" i="36" s="1"/>
  <c r="AH205" i="36" s="1"/>
  <c r="V156" i="36"/>
  <c r="AE156" i="36" s="1"/>
  <c r="AK156" i="36" s="1"/>
  <c r="Q156" i="36"/>
  <c r="R218" i="36"/>
  <c r="X218" i="36" s="1"/>
  <c r="L218" i="36"/>
  <c r="S218" i="36" s="1"/>
  <c r="Y218" i="36" s="1"/>
  <c r="W152" i="36"/>
  <c r="AF152" i="36" s="1"/>
  <c r="AL152" i="36" s="1"/>
  <c r="R152" i="36"/>
  <c r="K151" i="36"/>
  <c r="J142" i="36"/>
  <c r="V153" i="36"/>
  <c r="AE153" i="36" s="1"/>
  <c r="AK153" i="36" s="1"/>
  <c r="Q153" i="36"/>
  <c r="V154" i="36"/>
  <c r="AE154" i="36" s="1"/>
  <c r="AK154" i="36" s="1"/>
  <c r="Q154" i="36"/>
  <c r="W187" i="36"/>
  <c r="X187" i="36" s="1"/>
  <c r="Y187" i="36" s="1"/>
  <c r="AE187" i="36"/>
  <c r="W155" i="36"/>
  <c r="AF155" i="36" s="1"/>
  <c r="AL155" i="36" s="1"/>
  <c r="R155" i="36"/>
  <c r="R225" i="36"/>
  <c r="X225" i="36" s="1"/>
  <c r="L225" i="36"/>
  <c r="S225" i="36" s="1"/>
  <c r="Y225" i="36" s="1"/>
  <c r="Q151" i="36"/>
  <c r="V151" i="36"/>
  <c r="AE151" i="36" s="1"/>
  <c r="AK151" i="36" s="1"/>
  <c r="K143" i="36"/>
  <c r="L152" i="36"/>
  <c r="K153" i="36"/>
  <c r="J144" i="36"/>
  <c r="K186" i="36"/>
  <c r="R185" i="36"/>
  <c r="L185" i="36"/>
  <c r="S185" i="36" s="1"/>
  <c r="L154" i="36"/>
  <c r="K145" i="36"/>
  <c r="C10" i="34"/>
  <c r="H196" i="32"/>
  <c r="I196" i="32" s="1"/>
  <c r="J196" i="32" s="1"/>
  <c r="H195" i="32"/>
  <c r="I195" i="32" s="1"/>
  <c r="J195" i="32" s="1"/>
  <c r="H194" i="32"/>
  <c r="I194" i="32" s="1"/>
  <c r="J194" i="32" s="1"/>
  <c r="J190" i="32"/>
  <c r="I190" i="32"/>
  <c r="H190" i="32"/>
  <c r="G190" i="32"/>
  <c r="J187" i="32"/>
  <c r="I187" i="32"/>
  <c r="H187" i="32"/>
  <c r="G187" i="32"/>
  <c r="N178" i="32"/>
  <c r="T178" i="32" s="1"/>
  <c r="H178" i="32"/>
  <c r="Q176" i="32"/>
  <c r="W176" i="32" s="1"/>
  <c r="P176" i="32"/>
  <c r="V176" i="32" s="1"/>
  <c r="O176" i="32"/>
  <c r="U176" i="32" s="1"/>
  <c r="N176" i="32"/>
  <c r="T176" i="32" s="1"/>
  <c r="N175" i="32"/>
  <c r="H175" i="32"/>
  <c r="I175" i="32" s="1"/>
  <c r="J175" i="32" s="1"/>
  <c r="W174" i="32"/>
  <c r="V174" i="32"/>
  <c r="U174" i="32"/>
  <c r="T174" i="32"/>
  <c r="H174" i="32"/>
  <c r="I174" i="32" s="1"/>
  <c r="J174" i="32" s="1"/>
  <c r="W173" i="32"/>
  <c r="V173" i="32"/>
  <c r="U173" i="32"/>
  <c r="T173" i="32"/>
  <c r="H173" i="32"/>
  <c r="I173" i="32" s="1"/>
  <c r="J173" i="32" s="1"/>
  <c r="U172" i="32"/>
  <c r="V172" i="32" s="1"/>
  <c r="W172" i="32" s="1"/>
  <c r="H172" i="32"/>
  <c r="I172" i="32" s="1"/>
  <c r="J172" i="32" s="1"/>
  <c r="N171" i="32"/>
  <c r="T171" i="32" s="1"/>
  <c r="H171" i="32"/>
  <c r="O171" i="32" s="1"/>
  <c r="U171" i="32" s="1"/>
  <c r="AI167" i="32"/>
  <c r="AD167" i="32"/>
  <c r="AE167" i="32" s="1"/>
  <c r="AF167" i="32" s="1"/>
  <c r="AG167" i="32" s="1"/>
  <c r="U167" i="32"/>
  <c r="V167" i="32" s="1"/>
  <c r="W167" i="32" s="1"/>
  <c r="O167" i="32"/>
  <c r="P167" i="32" s="1"/>
  <c r="AK167" i="32" s="1"/>
  <c r="G167" i="32"/>
  <c r="H167" i="32" s="1"/>
  <c r="I167" i="32" s="1"/>
  <c r="J167" i="32" s="1"/>
  <c r="U165" i="32"/>
  <c r="V165" i="32" s="1"/>
  <c r="O165" i="32"/>
  <c r="P165" i="32" s="1"/>
  <c r="Q165" i="32" s="1"/>
  <c r="H165" i="32"/>
  <c r="I165" i="32" s="1"/>
  <c r="J165" i="32" s="1"/>
  <c r="G163" i="32"/>
  <c r="N163" i="32" s="1"/>
  <c r="G162" i="32"/>
  <c r="N162" i="32" s="1"/>
  <c r="G161" i="32"/>
  <c r="G158" i="32"/>
  <c r="N158" i="32" s="1"/>
  <c r="G157" i="32"/>
  <c r="N157" i="32" s="1"/>
  <c r="N156" i="32"/>
  <c r="T156" i="32" s="1"/>
  <c r="AC156" i="32" s="1"/>
  <c r="AI156" i="32" s="1"/>
  <c r="H156" i="32"/>
  <c r="H157" i="32" s="1"/>
  <c r="G155" i="32"/>
  <c r="N155" i="32" s="1"/>
  <c r="O155" i="32" s="1"/>
  <c r="P155" i="32" s="1"/>
  <c r="Q155" i="32" s="1"/>
  <c r="AF146" i="32"/>
  <c r="AE146" i="32"/>
  <c r="AD146" i="32"/>
  <c r="AC146" i="32"/>
  <c r="G146" i="32"/>
  <c r="H146" i="32" s="1"/>
  <c r="I146" i="32" s="1"/>
  <c r="J146" i="32" s="1"/>
  <c r="N145" i="32"/>
  <c r="O145" i="32" s="1"/>
  <c r="P145" i="32" s="1"/>
  <c r="Q145" i="32" s="1"/>
  <c r="T141" i="32"/>
  <c r="AC141" i="32" s="1"/>
  <c r="AI141" i="32" s="1"/>
  <c r="O141" i="32"/>
  <c r="P141" i="32" s="1"/>
  <c r="Q141" i="32" s="1"/>
  <c r="W141" i="32" s="1"/>
  <c r="AF141" i="32" s="1"/>
  <c r="AL141" i="32" s="1"/>
  <c r="H139" i="32"/>
  <c r="N138" i="32"/>
  <c r="T138" i="32" s="1"/>
  <c r="AC138" i="32" s="1"/>
  <c r="AI138" i="32" s="1"/>
  <c r="H138" i="32"/>
  <c r="N137" i="32"/>
  <c r="T137" i="32" s="1"/>
  <c r="AC137" i="32" s="1"/>
  <c r="AI137" i="32" s="1"/>
  <c r="H137" i="32"/>
  <c r="O137" i="32" s="1"/>
  <c r="U137" i="32" s="1"/>
  <c r="AD137" i="32" s="1"/>
  <c r="AJ137" i="32" s="1"/>
  <c r="G109" i="32"/>
  <c r="G108" i="32"/>
  <c r="G99" i="32" s="1"/>
  <c r="G107" i="32"/>
  <c r="G106" i="32"/>
  <c r="G105" i="32"/>
  <c r="H105" i="32" s="1"/>
  <c r="G104" i="32"/>
  <c r="H104" i="32" s="1"/>
  <c r="I104" i="32" s="1"/>
  <c r="J104" i="32" s="1"/>
  <c r="AL89" i="32"/>
  <c r="AK89" i="32"/>
  <c r="AJ89" i="32"/>
  <c r="AI89" i="32"/>
  <c r="Q89" i="32"/>
  <c r="W89" i="32" s="1"/>
  <c r="P89" i="32"/>
  <c r="V89" i="32" s="1"/>
  <c r="O89" i="32"/>
  <c r="U89" i="32" s="1"/>
  <c r="N89" i="32"/>
  <c r="T89" i="32" s="1"/>
  <c r="F16" i="32"/>
  <c r="M16" i="32" s="1"/>
  <c r="AH16" i="32" s="1"/>
  <c r="M15" i="32"/>
  <c r="AH15" i="32" s="1"/>
  <c r="M14" i="32"/>
  <c r="AH14" i="32" s="1"/>
  <c r="M7" i="32"/>
  <c r="S7" i="32" s="1"/>
  <c r="AB7" i="32" s="1"/>
  <c r="M5" i="32"/>
  <c r="S5" i="32" s="1"/>
  <c r="E154" i="21"/>
  <c r="E153" i="21"/>
  <c r="E85" i="21" s="1"/>
  <c r="E70" i="21"/>
  <c r="E69" i="21"/>
  <c r="G70" i="21"/>
  <c r="G69" i="21"/>
  <c r="G153" i="21"/>
  <c r="G154" i="21"/>
  <c r="C154" i="21"/>
  <c r="C153" i="21"/>
  <c r="C85" i="21" s="1"/>
  <c r="C69" i="21"/>
  <c r="C70" i="21"/>
  <c r="D85" i="21"/>
  <c r="B85" i="21"/>
  <c r="C72" i="21"/>
  <c r="C79" i="21" s="1"/>
  <c r="D72" i="21"/>
  <c r="D79" i="21" s="1"/>
  <c r="E72" i="21"/>
  <c r="E79" i="21" s="1"/>
  <c r="C73" i="21"/>
  <c r="C80" i="21" s="1"/>
  <c r="D73" i="21"/>
  <c r="D80" i="21" s="1"/>
  <c r="E73" i="21"/>
  <c r="E80" i="21" s="1"/>
  <c r="C74" i="21"/>
  <c r="C81" i="21" s="1"/>
  <c r="D74" i="21"/>
  <c r="D81" i="21" s="1"/>
  <c r="E74" i="21"/>
  <c r="E81" i="21" s="1"/>
  <c r="C75" i="21"/>
  <c r="C82" i="21" s="1"/>
  <c r="D75" i="21"/>
  <c r="D82" i="21" s="1"/>
  <c r="E75" i="21"/>
  <c r="E82" i="21" s="1"/>
  <c r="C76" i="21"/>
  <c r="C83" i="21" s="1"/>
  <c r="D76" i="21"/>
  <c r="D83" i="21" s="1"/>
  <c r="E76" i="21"/>
  <c r="E83" i="21" s="1"/>
  <c r="C77" i="21"/>
  <c r="C84" i="21" s="1"/>
  <c r="D77" i="21"/>
  <c r="D84" i="21" s="1"/>
  <c r="E77" i="21"/>
  <c r="E84" i="21" s="1"/>
  <c r="B73" i="21"/>
  <c r="B80" i="21" s="1"/>
  <c r="B74" i="21"/>
  <c r="B81" i="21" s="1"/>
  <c r="B75" i="21"/>
  <c r="B82" i="21" s="1"/>
  <c r="B76" i="21"/>
  <c r="B83" i="21" s="1"/>
  <c r="B77" i="21"/>
  <c r="B84" i="21" s="1"/>
  <c r="B72" i="21"/>
  <c r="B79" i="21" s="1"/>
  <c r="C112" i="21"/>
  <c r="C121" i="21" s="1"/>
  <c r="D112" i="21"/>
  <c r="D121" i="21" s="1"/>
  <c r="E112" i="21"/>
  <c r="E121" i="21" s="1"/>
  <c r="C113" i="21"/>
  <c r="C122" i="21" s="1"/>
  <c r="D113" i="21"/>
  <c r="D122" i="21" s="1"/>
  <c r="E113" i="21"/>
  <c r="E122" i="21" s="1"/>
  <c r="C114" i="21"/>
  <c r="C123" i="21" s="1"/>
  <c r="D114" i="21"/>
  <c r="D123" i="21" s="1"/>
  <c r="E114" i="21"/>
  <c r="E123" i="21" s="1"/>
  <c r="C115" i="21"/>
  <c r="C124" i="21" s="1"/>
  <c r="D115" i="21"/>
  <c r="D124" i="21" s="1"/>
  <c r="E115" i="21"/>
  <c r="E124" i="21" s="1"/>
  <c r="C116" i="21"/>
  <c r="C125" i="21" s="1"/>
  <c r="D116" i="21"/>
  <c r="D125" i="21" s="1"/>
  <c r="E116" i="21"/>
  <c r="E125" i="21" s="1"/>
  <c r="C117" i="21"/>
  <c r="C126" i="21" s="1"/>
  <c r="D117" i="21"/>
  <c r="D126" i="21" s="1"/>
  <c r="E117" i="21"/>
  <c r="E126" i="21" s="1"/>
  <c r="B113" i="21"/>
  <c r="B122" i="21" s="1"/>
  <c r="B114" i="21"/>
  <c r="B123" i="21" s="1"/>
  <c r="B115" i="21"/>
  <c r="B124" i="21" s="1"/>
  <c r="B116" i="21"/>
  <c r="B125" i="21" s="1"/>
  <c r="B117" i="21"/>
  <c r="B126" i="21" s="1"/>
  <c r="B112" i="21"/>
  <c r="B121" i="21" s="1"/>
  <c r="H196" i="31"/>
  <c r="I196" i="31" s="1"/>
  <c r="J196" i="31" s="1"/>
  <c r="H195" i="31"/>
  <c r="I195" i="31" s="1"/>
  <c r="J195" i="31" s="1"/>
  <c r="H194" i="31"/>
  <c r="I194" i="31" s="1"/>
  <c r="J194" i="31" s="1"/>
  <c r="J190" i="31"/>
  <c r="I190" i="31"/>
  <c r="H190" i="31"/>
  <c r="G190" i="31"/>
  <c r="J187" i="31"/>
  <c r="I187" i="31"/>
  <c r="H187" i="31"/>
  <c r="G187" i="31"/>
  <c r="N178" i="31"/>
  <c r="T178" i="31" s="1"/>
  <c r="H178" i="31"/>
  <c r="O178" i="31" s="1"/>
  <c r="U178" i="31" s="1"/>
  <c r="Q176" i="31"/>
  <c r="W176" i="31" s="1"/>
  <c r="P176" i="31"/>
  <c r="V176" i="31" s="1"/>
  <c r="O176" i="31"/>
  <c r="U176" i="31" s="1"/>
  <c r="N176" i="31"/>
  <c r="T176" i="31" s="1"/>
  <c r="N175" i="31"/>
  <c r="O175" i="31" s="1"/>
  <c r="P175" i="31" s="1"/>
  <c r="Q175" i="31" s="1"/>
  <c r="H175" i="31"/>
  <c r="I175" i="31" s="1"/>
  <c r="J175" i="31" s="1"/>
  <c r="W174" i="31"/>
  <c r="V174" i="31"/>
  <c r="U174" i="31"/>
  <c r="T174" i="31"/>
  <c r="H174" i="31"/>
  <c r="I174" i="31" s="1"/>
  <c r="J174" i="31" s="1"/>
  <c r="W173" i="31"/>
  <c r="V173" i="31"/>
  <c r="U173" i="31"/>
  <c r="T173" i="31"/>
  <c r="H173" i="31"/>
  <c r="I173" i="31" s="1"/>
  <c r="J173" i="31" s="1"/>
  <c r="U172" i="31"/>
  <c r="V172" i="31" s="1"/>
  <c r="W172" i="31" s="1"/>
  <c r="H172" i="31"/>
  <c r="I172" i="31" s="1"/>
  <c r="J172" i="31" s="1"/>
  <c r="N171" i="31"/>
  <c r="T171" i="31" s="1"/>
  <c r="H171" i="31"/>
  <c r="AI167" i="31"/>
  <c r="AD167" i="31"/>
  <c r="AE167" i="31" s="1"/>
  <c r="AF167" i="31" s="1"/>
  <c r="AG167" i="31" s="1"/>
  <c r="U167" i="31"/>
  <c r="V167" i="31" s="1"/>
  <c r="W167" i="31" s="1"/>
  <c r="O167" i="31"/>
  <c r="P167" i="31" s="1"/>
  <c r="AK167" i="31" s="1"/>
  <c r="G167" i="31"/>
  <c r="H167" i="31" s="1"/>
  <c r="I167" i="31" s="1"/>
  <c r="J167" i="31" s="1"/>
  <c r="N164" i="31"/>
  <c r="H164" i="31"/>
  <c r="I164" i="31" s="1"/>
  <c r="J164" i="31" s="1"/>
  <c r="G163" i="31"/>
  <c r="G162" i="31"/>
  <c r="H162" i="31" s="1"/>
  <c r="I162" i="31" s="1"/>
  <c r="J162" i="31" s="1"/>
  <c r="G161" i="31"/>
  <c r="H161" i="31" s="1"/>
  <c r="I161" i="31" s="1"/>
  <c r="J161" i="31" s="1"/>
  <c r="G158" i="31"/>
  <c r="G157" i="31"/>
  <c r="N157" i="31" s="1"/>
  <c r="N156" i="31"/>
  <c r="T156" i="31" s="1"/>
  <c r="AC156" i="31" s="1"/>
  <c r="AI156" i="31" s="1"/>
  <c r="H156" i="31"/>
  <c r="I156" i="31" s="1"/>
  <c r="G155" i="31"/>
  <c r="N155" i="31" s="1"/>
  <c r="T155" i="31" s="1"/>
  <c r="U155" i="31" s="1"/>
  <c r="V155" i="31" s="1"/>
  <c r="W155" i="31" s="1"/>
  <c r="AF146" i="31"/>
  <c r="AE146" i="31"/>
  <c r="AD146" i="31"/>
  <c r="AC146" i="31"/>
  <c r="G146" i="31"/>
  <c r="H146" i="31" s="1"/>
  <c r="I146" i="31" s="1"/>
  <c r="J146" i="31" s="1"/>
  <c r="N145" i="31"/>
  <c r="O145" i="31" s="1"/>
  <c r="P145" i="31" s="1"/>
  <c r="Q145" i="31" s="1"/>
  <c r="T141" i="31"/>
  <c r="AC141" i="31" s="1"/>
  <c r="AI141" i="31" s="1"/>
  <c r="O141" i="31"/>
  <c r="U141" i="31" s="1"/>
  <c r="AD141" i="31" s="1"/>
  <c r="AJ141" i="31" s="1"/>
  <c r="H139" i="31"/>
  <c r="N138" i="31"/>
  <c r="T138" i="31" s="1"/>
  <c r="AC138" i="31" s="1"/>
  <c r="AI138" i="31" s="1"/>
  <c r="H138" i="31"/>
  <c r="I138" i="31" s="1"/>
  <c r="I139" i="31" s="1"/>
  <c r="J139" i="31" s="1"/>
  <c r="N137" i="31"/>
  <c r="T137" i="31" s="1"/>
  <c r="AC137" i="31" s="1"/>
  <c r="AI137" i="31" s="1"/>
  <c r="H137" i="31"/>
  <c r="I137" i="31" s="1"/>
  <c r="P137" i="31" s="1"/>
  <c r="V137" i="31" s="1"/>
  <c r="AE137" i="31" s="1"/>
  <c r="AK137" i="31" s="1"/>
  <c r="G109" i="31"/>
  <c r="G100" i="31" s="1"/>
  <c r="G108" i="31"/>
  <c r="H108" i="31" s="1"/>
  <c r="G107" i="31"/>
  <c r="N107" i="31" s="1"/>
  <c r="T107" i="31" s="1"/>
  <c r="AC107" i="31" s="1"/>
  <c r="AI107" i="31" s="1"/>
  <c r="G106" i="31"/>
  <c r="H106" i="31" s="1"/>
  <c r="G105" i="31"/>
  <c r="G104" i="31"/>
  <c r="H104" i="31" s="1"/>
  <c r="I104" i="31" s="1"/>
  <c r="I95" i="31" s="1"/>
  <c r="AL89" i="31"/>
  <c r="AK89" i="31"/>
  <c r="AJ89" i="31"/>
  <c r="AI89" i="31"/>
  <c r="Q89" i="31"/>
  <c r="W89" i="31" s="1"/>
  <c r="P89" i="31"/>
  <c r="V89" i="31" s="1"/>
  <c r="O89" i="31"/>
  <c r="U89" i="31" s="1"/>
  <c r="N89" i="31"/>
  <c r="T89" i="31" s="1"/>
  <c r="F16" i="31"/>
  <c r="M16" i="31" s="1"/>
  <c r="AH16" i="31" s="1"/>
  <c r="M15" i="31"/>
  <c r="AH15" i="31" s="1"/>
  <c r="M14" i="31"/>
  <c r="AH14" i="31" s="1"/>
  <c r="M7" i="31"/>
  <c r="M5" i="31"/>
  <c r="S5" i="31" s="1"/>
  <c r="C167" i="21"/>
  <c r="D167" i="21"/>
  <c r="E167" i="21"/>
  <c r="B167" i="21"/>
  <c r="C161" i="21"/>
  <c r="C170" i="21" s="1"/>
  <c r="D161" i="21"/>
  <c r="D170" i="21" s="1"/>
  <c r="E161" i="21"/>
  <c r="E170" i="21" s="1"/>
  <c r="B161" i="21"/>
  <c r="B170" i="21" s="1"/>
  <c r="C159" i="21"/>
  <c r="C168" i="21" s="1"/>
  <c r="D159" i="21"/>
  <c r="D168" i="21" s="1"/>
  <c r="E159" i="21"/>
  <c r="E168" i="21" s="1"/>
  <c r="C160" i="21"/>
  <c r="C169" i="21" s="1"/>
  <c r="D160" i="21"/>
  <c r="D169" i="21" s="1"/>
  <c r="E160" i="21"/>
  <c r="E169" i="21" s="1"/>
  <c r="B160" i="21"/>
  <c r="B169" i="21" s="1"/>
  <c r="C156" i="21"/>
  <c r="C165" i="21" s="1"/>
  <c r="D156" i="21"/>
  <c r="D165" i="21" s="1"/>
  <c r="E156" i="21"/>
  <c r="E165" i="21" s="1"/>
  <c r="C157" i="21"/>
  <c r="C166" i="21" s="1"/>
  <c r="D157" i="21"/>
  <c r="D166" i="21" s="1"/>
  <c r="E157" i="21"/>
  <c r="E166" i="21" s="1"/>
  <c r="B157" i="21"/>
  <c r="B166" i="21" s="1"/>
  <c r="B159" i="21"/>
  <c r="B168" i="21" s="1"/>
  <c r="B156" i="21"/>
  <c r="B165" i="21" s="1"/>
  <c r="H196" i="30"/>
  <c r="I196" i="30" s="1"/>
  <c r="J196" i="30" s="1"/>
  <c r="H195" i="30"/>
  <c r="I195" i="30" s="1"/>
  <c r="J195" i="30" s="1"/>
  <c r="H194" i="30"/>
  <c r="I194" i="30" s="1"/>
  <c r="J194" i="30" s="1"/>
  <c r="J190" i="30"/>
  <c r="I190" i="30"/>
  <c r="H190" i="30"/>
  <c r="G190" i="30"/>
  <c r="J187" i="30"/>
  <c r="I187" i="30"/>
  <c r="H187" i="30"/>
  <c r="G187" i="30"/>
  <c r="N178" i="30"/>
  <c r="T178" i="30" s="1"/>
  <c r="H178" i="30"/>
  <c r="O178" i="30" s="1"/>
  <c r="U178" i="30" s="1"/>
  <c r="Q176" i="30"/>
  <c r="W176" i="30" s="1"/>
  <c r="P176" i="30"/>
  <c r="V176" i="30" s="1"/>
  <c r="O176" i="30"/>
  <c r="U176" i="30" s="1"/>
  <c r="N176" i="30"/>
  <c r="T176" i="30" s="1"/>
  <c r="N175" i="30"/>
  <c r="T175" i="30" s="1"/>
  <c r="U175" i="30" s="1"/>
  <c r="V175" i="30" s="1"/>
  <c r="W175" i="30" s="1"/>
  <c r="H175" i="30"/>
  <c r="I175" i="30" s="1"/>
  <c r="J175" i="30" s="1"/>
  <c r="W174" i="30"/>
  <c r="V174" i="30"/>
  <c r="U174" i="30"/>
  <c r="T174" i="30"/>
  <c r="H174" i="30"/>
  <c r="I174" i="30" s="1"/>
  <c r="J174" i="30" s="1"/>
  <c r="W173" i="30"/>
  <c r="V173" i="30"/>
  <c r="U173" i="30"/>
  <c r="T173" i="30"/>
  <c r="H173" i="30"/>
  <c r="I173" i="30" s="1"/>
  <c r="J173" i="30" s="1"/>
  <c r="U172" i="30"/>
  <c r="V172" i="30" s="1"/>
  <c r="W172" i="30" s="1"/>
  <c r="H172" i="30"/>
  <c r="I172" i="30" s="1"/>
  <c r="J172" i="30" s="1"/>
  <c r="N171" i="30"/>
  <c r="T171" i="30" s="1"/>
  <c r="H171" i="30"/>
  <c r="O171" i="30" s="1"/>
  <c r="U171" i="30" s="1"/>
  <c r="AI167" i="30"/>
  <c r="AD167" i="30"/>
  <c r="AE167" i="30" s="1"/>
  <c r="AF167" i="30" s="1"/>
  <c r="AG167" i="30" s="1"/>
  <c r="U167" i="30"/>
  <c r="V167" i="30" s="1"/>
  <c r="W167" i="30" s="1"/>
  <c r="O167" i="30"/>
  <c r="P167" i="30" s="1"/>
  <c r="G167" i="30"/>
  <c r="H167" i="30" s="1"/>
  <c r="I167" i="30" s="1"/>
  <c r="J167" i="30" s="1"/>
  <c r="N164" i="30"/>
  <c r="T164" i="30" s="1"/>
  <c r="H164" i="30"/>
  <c r="I164" i="30" s="1"/>
  <c r="J164" i="30" s="1"/>
  <c r="G163" i="30"/>
  <c r="G162" i="30"/>
  <c r="N162" i="30" s="1"/>
  <c r="O162" i="30" s="1"/>
  <c r="G161" i="30"/>
  <c r="H161" i="30" s="1"/>
  <c r="I161" i="30" s="1"/>
  <c r="J161" i="30" s="1"/>
  <c r="G158" i="30"/>
  <c r="H158" i="30" s="1"/>
  <c r="I158" i="30" s="1"/>
  <c r="G157" i="30"/>
  <c r="N157" i="30" s="1"/>
  <c r="N156" i="30"/>
  <c r="T156" i="30" s="1"/>
  <c r="AC156" i="30" s="1"/>
  <c r="AI156" i="30" s="1"/>
  <c r="H156" i="30"/>
  <c r="I156" i="30" s="1"/>
  <c r="P156" i="30" s="1"/>
  <c r="V156" i="30" s="1"/>
  <c r="AE156" i="30" s="1"/>
  <c r="AK156" i="30" s="1"/>
  <c r="G155" i="30"/>
  <c r="H155" i="30" s="1"/>
  <c r="I155" i="30" s="1"/>
  <c r="J155" i="30" s="1"/>
  <c r="AF146" i="30"/>
  <c r="AE146" i="30"/>
  <c r="AD146" i="30"/>
  <c r="AC146" i="30"/>
  <c r="G146" i="30"/>
  <c r="H146" i="30" s="1"/>
  <c r="I146" i="30" s="1"/>
  <c r="J146" i="30" s="1"/>
  <c r="N145" i="30"/>
  <c r="O145" i="30" s="1"/>
  <c r="P145" i="30" s="1"/>
  <c r="Q145" i="30" s="1"/>
  <c r="T141" i="30"/>
  <c r="AC141" i="30" s="1"/>
  <c r="AI141" i="30" s="1"/>
  <c r="O141" i="30"/>
  <c r="H139" i="30"/>
  <c r="N138" i="30"/>
  <c r="N140" i="30" s="1"/>
  <c r="T140" i="30" s="1"/>
  <c r="U140" i="30" s="1"/>
  <c r="V140" i="30" s="1"/>
  <c r="W140" i="30" s="1"/>
  <c r="H138" i="30"/>
  <c r="O138" i="30" s="1"/>
  <c r="N137" i="30"/>
  <c r="T137" i="30" s="1"/>
  <c r="AC137" i="30" s="1"/>
  <c r="AI137" i="30" s="1"/>
  <c r="H137" i="30"/>
  <c r="I137" i="30" s="1"/>
  <c r="J137" i="30" s="1"/>
  <c r="Q137" i="30" s="1"/>
  <c r="W137" i="30" s="1"/>
  <c r="AF137" i="30" s="1"/>
  <c r="AL137" i="30" s="1"/>
  <c r="G109" i="30"/>
  <c r="H109" i="30" s="1"/>
  <c r="H100" i="30" s="1"/>
  <c r="G108" i="30"/>
  <c r="G99" i="30" s="1"/>
  <c r="G107" i="30"/>
  <c r="G106" i="30"/>
  <c r="N106" i="30" s="1"/>
  <c r="T106" i="30" s="1"/>
  <c r="AC106" i="30" s="1"/>
  <c r="AI106" i="30" s="1"/>
  <c r="G105" i="30"/>
  <c r="N105" i="30" s="1"/>
  <c r="G104" i="30"/>
  <c r="AL89" i="30"/>
  <c r="AK89" i="30"/>
  <c r="AJ89" i="30"/>
  <c r="AI89" i="30"/>
  <c r="Q89" i="30"/>
  <c r="W89" i="30" s="1"/>
  <c r="P89" i="30"/>
  <c r="V89" i="30" s="1"/>
  <c r="O89" i="30"/>
  <c r="U89" i="30" s="1"/>
  <c r="N89" i="30"/>
  <c r="T89" i="30" s="1"/>
  <c r="F16" i="30"/>
  <c r="M16" i="30" s="1"/>
  <c r="AH16" i="30" s="1"/>
  <c r="M15" i="30"/>
  <c r="AH15" i="30" s="1"/>
  <c r="M14" i="30"/>
  <c r="AH14" i="30" s="1"/>
  <c r="M7" i="30"/>
  <c r="AH7" i="30" s="1"/>
  <c r="M5" i="30"/>
  <c r="S5" i="30" s="1"/>
  <c r="C26" i="26"/>
  <c r="B26" i="26"/>
  <c r="A20" i="26"/>
  <c r="A19" i="26"/>
  <c r="B36" i="23"/>
  <c r="B17" i="23"/>
  <c r="E12" i="23"/>
  <c r="C9" i="23"/>
  <c r="C12" i="23" s="1"/>
  <c r="D5" i="23"/>
  <c r="D12" i="23" s="1"/>
  <c r="E22" i="62" l="1"/>
  <c r="E23" i="57"/>
  <c r="E22" i="57" s="1"/>
  <c r="E20" i="57"/>
  <c r="E19" i="57"/>
  <c r="C20" i="57"/>
  <c r="C17" i="50"/>
  <c r="C20" i="55"/>
  <c r="E19" i="55"/>
  <c r="E16" i="50"/>
  <c r="E17" i="50"/>
  <c r="E20" i="55"/>
  <c r="E20" i="50"/>
  <c r="E19" i="50" s="1"/>
  <c r="E23" i="55"/>
  <c r="E22" i="55" s="1"/>
  <c r="G23" i="50"/>
  <c r="E17" i="34"/>
  <c r="E17" i="44"/>
  <c r="AF201" i="36"/>
  <c r="AG201" i="36" s="1"/>
  <c r="AH201" i="36" s="1"/>
  <c r="E20" i="44"/>
  <c r="E19" i="44" s="1"/>
  <c r="G96" i="30"/>
  <c r="C22" i="34"/>
  <c r="C19" i="34" s="1"/>
  <c r="G23" i="34"/>
  <c r="G23" i="44"/>
  <c r="G10" i="34"/>
  <c r="G51" i="34" s="1"/>
  <c r="Q200" i="36"/>
  <c r="R200" i="36" s="1"/>
  <c r="S200" i="36" s="1"/>
  <c r="C17" i="34"/>
  <c r="C17" i="44"/>
  <c r="D44" i="23"/>
  <c r="D54" i="23" s="1"/>
  <c r="D53" i="23"/>
  <c r="D43" i="23"/>
  <c r="G95" i="31"/>
  <c r="E16" i="34"/>
  <c r="E16" i="44"/>
  <c r="N105" i="32"/>
  <c r="T105" i="32" s="1"/>
  <c r="AC105" i="32" s="1"/>
  <c r="AI105" i="32" s="1"/>
  <c r="V141" i="32"/>
  <c r="AE141" i="32" s="1"/>
  <c r="AK141" i="32" s="1"/>
  <c r="H155" i="32"/>
  <c r="I155" i="32" s="1"/>
  <c r="J155" i="32" s="1"/>
  <c r="C51" i="34"/>
  <c r="C112" i="34" s="1"/>
  <c r="C43" i="34"/>
  <c r="C90" i="34" s="1"/>
  <c r="Q167" i="32"/>
  <c r="AL167" i="32" s="1"/>
  <c r="H109" i="31"/>
  <c r="I109" i="31" s="1"/>
  <c r="AE186" i="36"/>
  <c r="AF186" i="36" s="1"/>
  <c r="AG186" i="36" s="1"/>
  <c r="AH186" i="36" s="1"/>
  <c r="C11" i="34"/>
  <c r="C38" i="34" s="1"/>
  <c r="Q186" i="36"/>
  <c r="X209" i="36"/>
  <c r="AG209" i="36" s="1"/>
  <c r="S209" i="36"/>
  <c r="Y209" i="36" s="1"/>
  <c r="AH209" i="36" s="1"/>
  <c r="L143" i="36"/>
  <c r="X185" i="36"/>
  <c r="AG185" i="36" s="1"/>
  <c r="AM185" i="36" s="1"/>
  <c r="R186" i="36"/>
  <c r="AK187" i="36"/>
  <c r="AL187" i="36" s="1"/>
  <c r="AM187" i="36" s="1"/>
  <c r="AN187" i="36" s="1"/>
  <c r="AF187" i="36"/>
  <c r="AG187" i="36" s="1"/>
  <c r="AH187" i="36" s="1"/>
  <c r="AK202" i="36"/>
  <c r="AL202" i="36" s="1"/>
  <c r="AM202" i="36" s="1"/>
  <c r="AN202" i="36" s="1"/>
  <c r="AF202" i="36"/>
  <c r="AG202" i="36" s="1"/>
  <c r="AH202" i="36" s="1"/>
  <c r="L151" i="36"/>
  <c r="K142" i="36"/>
  <c r="R156" i="36"/>
  <c r="W156" i="36"/>
  <c r="AF156" i="36" s="1"/>
  <c r="AL156" i="36" s="1"/>
  <c r="S186" i="36"/>
  <c r="Y185" i="36"/>
  <c r="AH185" i="36" s="1"/>
  <c r="AN185" i="36" s="1"/>
  <c r="L186" i="36"/>
  <c r="W154" i="36"/>
  <c r="AF154" i="36" s="1"/>
  <c r="AL154" i="36" s="1"/>
  <c r="R154" i="36"/>
  <c r="K146" i="36"/>
  <c r="L155" i="36"/>
  <c r="R153" i="36"/>
  <c r="W153" i="36"/>
  <c r="AF153" i="36" s="1"/>
  <c r="AL153" i="36" s="1"/>
  <c r="L156" i="36"/>
  <c r="K147" i="36"/>
  <c r="L145" i="36"/>
  <c r="X152" i="36"/>
  <c r="AG152" i="36" s="1"/>
  <c r="AM152" i="36" s="1"/>
  <c r="S152" i="36"/>
  <c r="Y152" i="36" s="1"/>
  <c r="AH152" i="36" s="1"/>
  <c r="AN152" i="36" s="1"/>
  <c r="L153" i="36"/>
  <c r="K144" i="36"/>
  <c r="S155" i="36"/>
  <c r="Y155" i="36" s="1"/>
  <c r="AH155" i="36" s="1"/>
  <c r="AN155" i="36" s="1"/>
  <c r="X155" i="36"/>
  <c r="AG155" i="36" s="1"/>
  <c r="AM155" i="36" s="1"/>
  <c r="X208" i="36"/>
  <c r="AG208" i="36" s="1"/>
  <c r="S208" i="36"/>
  <c r="Y208" i="36" s="1"/>
  <c r="AH208" i="36" s="1"/>
  <c r="R151" i="36"/>
  <c r="W151" i="36"/>
  <c r="AF151" i="36" s="1"/>
  <c r="AL151" i="36" s="1"/>
  <c r="S203" i="36"/>
  <c r="L204" i="36"/>
  <c r="W200" i="36"/>
  <c r="X200" i="36" s="1"/>
  <c r="Y200" i="36" s="1"/>
  <c r="AE200" i="36"/>
  <c r="H106" i="30"/>
  <c r="H97" i="30" s="1"/>
  <c r="H107" i="31"/>
  <c r="I107" i="31" s="1"/>
  <c r="N155" i="30"/>
  <c r="T155" i="30" s="1"/>
  <c r="U155" i="30" s="1"/>
  <c r="V155" i="30" s="1"/>
  <c r="W155" i="30" s="1"/>
  <c r="AH7" i="32"/>
  <c r="G154" i="32"/>
  <c r="H154" i="32" s="1"/>
  <c r="I154" i="32" s="1"/>
  <c r="J154" i="32" s="1"/>
  <c r="E10" i="34"/>
  <c r="G97" i="32"/>
  <c r="H108" i="30"/>
  <c r="I108" i="30" s="1"/>
  <c r="J108" i="30" s="1"/>
  <c r="G97" i="30"/>
  <c r="N109" i="31"/>
  <c r="O109" i="31" s="1"/>
  <c r="P109" i="31" s="1"/>
  <c r="V109" i="31" s="1"/>
  <c r="AE109" i="31" s="1"/>
  <c r="AK109" i="31" s="1"/>
  <c r="O138" i="31"/>
  <c r="U138" i="31" s="1"/>
  <c r="AD138" i="31" s="1"/>
  <c r="AJ138" i="31" s="1"/>
  <c r="N109" i="30"/>
  <c r="T109" i="30" s="1"/>
  <c r="AC109" i="30" s="1"/>
  <c r="AI109" i="30" s="1"/>
  <c r="G100" i="30"/>
  <c r="N104" i="31"/>
  <c r="O104" i="31" s="1"/>
  <c r="U104" i="31" s="1"/>
  <c r="AD104" i="31" s="1"/>
  <c r="AJ104" i="31" s="1"/>
  <c r="P138" i="31"/>
  <c r="V138" i="31" s="1"/>
  <c r="AE138" i="31" s="1"/>
  <c r="AK138" i="31" s="1"/>
  <c r="H155" i="31"/>
  <c r="I155" i="31" s="1"/>
  <c r="J155" i="31" s="1"/>
  <c r="I156" i="32"/>
  <c r="P156" i="32" s="1"/>
  <c r="V156" i="32" s="1"/>
  <c r="AE156" i="32" s="1"/>
  <c r="AK156" i="32" s="1"/>
  <c r="O156" i="30"/>
  <c r="U156" i="30" s="1"/>
  <c r="AD156" i="30" s="1"/>
  <c r="AJ156" i="30" s="1"/>
  <c r="H157" i="30"/>
  <c r="AJ167" i="30"/>
  <c r="E20" i="34"/>
  <c r="E19" i="34" s="1"/>
  <c r="T162" i="32"/>
  <c r="AC162" i="32" s="1"/>
  <c r="AI162" i="32" s="1"/>
  <c r="AJ162" i="32" s="1"/>
  <c r="AK162" i="32" s="1"/>
  <c r="AL162" i="32" s="1"/>
  <c r="O162" i="32"/>
  <c r="P162" i="32" s="1"/>
  <c r="I171" i="32"/>
  <c r="P171" i="32" s="1"/>
  <c r="V171" i="32" s="1"/>
  <c r="H158" i="32"/>
  <c r="I158" i="32" s="1"/>
  <c r="J158" i="32" s="1"/>
  <c r="N140" i="32"/>
  <c r="T140" i="32" s="1"/>
  <c r="H162" i="32"/>
  <c r="I162" i="32" s="1"/>
  <c r="J162" i="32" s="1"/>
  <c r="T155" i="32"/>
  <c r="AC155" i="32" s="1"/>
  <c r="AD155" i="32" s="1"/>
  <c r="AE155" i="32" s="1"/>
  <c r="AF155" i="32" s="1"/>
  <c r="U141" i="32"/>
  <c r="AD141" i="32" s="1"/>
  <c r="AJ141" i="32" s="1"/>
  <c r="I105" i="32"/>
  <c r="H96" i="32"/>
  <c r="O105" i="32"/>
  <c r="O178" i="32"/>
  <c r="U178" i="32" s="1"/>
  <c r="I178" i="32"/>
  <c r="U162" i="32"/>
  <c r="AD162" i="32" s="1"/>
  <c r="U140" i="32"/>
  <c r="V140" i="32" s="1"/>
  <c r="W140" i="32" s="1"/>
  <c r="AC140" i="32"/>
  <c r="N108" i="32"/>
  <c r="H108" i="32"/>
  <c r="AI155" i="32"/>
  <c r="AJ155" i="32" s="1"/>
  <c r="AK155" i="32" s="1"/>
  <c r="AL155" i="32" s="1"/>
  <c r="G98" i="32"/>
  <c r="N107" i="32"/>
  <c r="H107" i="32"/>
  <c r="O163" i="32"/>
  <c r="T163" i="32"/>
  <c r="AC163" i="32" s="1"/>
  <c r="AI163" i="32" s="1"/>
  <c r="AJ163" i="32" s="1"/>
  <c r="AK163" i="32" s="1"/>
  <c r="AL163" i="32" s="1"/>
  <c r="I95" i="32"/>
  <c r="H163" i="32"/>
  <c r="I163" i="32" s="1"/>
  <c r="J163" i="32" s="1"/>
  <c r="J95" i="32"/>
  <c r="G100" i="32"/>
  <c r="N109" i="32"/>
  <c r="N161" i="32"/>
  <c r="H161" i="32"/>
  <c r="I161" i="32" s="1"/>
  <c r="J161" i="32" s="1"/>
  <c r="H109" i="32"/>
  <c r="I138" i="32"/>
  <c r="O138" i="32"/>
  <c r="T157" i="32"/>
  <c r="O157" i="32"/>
  <c r="P157" i="32" s="1"/>
  <c r="Q157" i="32" s="1"/>
  <c r="N106" i="32"/>
  <c r="H106" i="32"/>
  <c r="G96" i="32"/>
  <c r="G153" i="32"/>
  <c r="H95" i="32"/>
  <c r="O156" i="32"/>
  <c r="U156" i="32" s="1"/>
  <c r="AD156" i="32" s="1"/>
  <c r="AJ156" i="32" s="1"/>
  <c r="W165" i="32"/>
  <c r="I137" i="32"/>
  <c r="T175" i="32"/>
  <c r="U175" i="32" s="1"/>
  <c r="V175" i="32" s="1"/>
  <c r="W175" i="32" s="1"/>
  <c r="O175" i="32"/>
  <c r="P175" i="32" s="1"/>
  <c r="Q175" i="32" s="1"/>
  <c r="O158" i="32"/>
  <c r="P158" i="32" s="1"/>
  <c r="Q158" i="32" s="1"/>
  <c r="T158" i="32"/>
  <c r="N104" i="32"/>
  <c r="G95" i="32"/>
  <c r="AJ167" i="32"/>
  <c r="N140" i="31"/>
  <c r="T140" i="31" s="1"/>
  <c r="H95" i="31"/>
  <c r="N139" i="30"/>
  <c r="T139" i="30" s="1"/>
  <c r="AC139" i="30" s="1"/>
  <c r="T138" i="30"/>
  <c r="AC138" i="30" s="1"/>
  <c r="AI138" i="30" s="1"/>
  <c r="AC155" i="31"/>
  <c r="AD155" i="31" s="1"/>
  <c r="AE155" i="31" s="1"/>
  <c r="AF155" i="31" s="1"/>
  <c r="J138" i="31"/>
  <c r="Q138" i="31" s="1"/>
  <c r="W138" i="31" s="1"/>
  <c r="AF138" i="31" s="1"/>
  <c r="AL138" i="31" s="1"/>
  <c r="I178" i="31"/>
  <c r="P178" i="31" s="1"/>
  <c r="V178" i="31" s="1"/>
  <c r="O156" i="31"/>
  <c r="U156" i="31" s="1"/>
  <c r="AD156" i="31" s="1"/>
  <c r="AJ156" i="31" s="1"/>
  <c r="H157" i="31"/>
  <c r="T175" i="31"/>
  <c r="U175" i="31" s="1"/>
  <c r="V175" i="31" s="1"/>
  <c r="W175" i="31" s="1"/>
  <c r="J137" i="31"/>
  <c r="Q137" i="31" s="1"/>
  <c r="W137" i="31" s="1"/>
  <c r="AF137" i="31" s="1"/>
  <c r="AL137" i="31" s="1"/>
  <c r="O137" i="31"/>
  <c r="U137" i="31" s="1"/>
  <c r="AD137" i="31" s="1"/>
  <c r="AJ137" i="31" s="1"/>
  <c r="N161" i="31"/>
  <c r="AJ167" i="31"/>
  <c r="H158" i="31"/>
  <c r="N158" i="31"/>
  <c r="T164" i="31"/>
  <c r="O164" i="31"/>
  <c r="P156" i="31"/>
  <c r="V156" i="31" s="1"/>
  <c r="AE156" i="31" s="1"/>
  <c r="AK156" i="31" s="1"/>
  <c r="I157" i="31"/>
  <c r="J156" i="31"/>
  <c r="AH7" i="31"/>
  <c r="S7" i="31"/>
  <c r="AB7" i="31" s="1"/>
  <c r="G98" i="31"/>
  <c r="O107" i="31"/>
  <c r="O171" i="31"/>
  <c r="U171" i="31" s="1"/>
  <c r="I171" i="31"/>
  <c r="N106" i="31"/>
  <c r="G97" i="31"/>
  <c r="H97" i="31"/>
  <c r="P141" i="31"/>
  <c r="I106" i="31"/>
  <c r="H99" i="31"/>
  <c r="Q167" i="31"/>
  <c r="AL167" i="31" s="1"/>
  <c r="G96" i="31"/>
  <c r="N105" i="31"/>
  <c r="I108" i="31"/>
  <c r="H105" i="31"/>
  <c r="N108" i="31"/>
  <c r="G153" i="31"/>
  <c r="N163" i="31"/>
  <c r="H163" i="31"/>
  <c r="I163" i="31" s="1"/>
  <c r="J163" i="31" s="1"/>
  <c r="G99" i="31"/>
  <c r="O157" i="31"/>
  <c r="P157" i="31" s="1"/>
  <c r="Q157" i="31" s="1"/>
  <c r="T157" i="31"/>
  <c r="N162" i="31"/>
  <c r="G154" i="31"/>
  <c r="O155" i="31"/>
  <c r="P155" i="31" s="1"/>
  <c r="Q155" i="31" s="1"/>
  <c r="J104" i="31"/>
  <c r="P137" i="30"/>
  <c r="V137" i="30" s="1"/>
  <c r="AE137" i="30" s="1"/>
  <c r="AK137" i="30" s="1"/>
  <c r="H162" i="30"/>
  <c r="I162" i="30" s="1"/>
  <c r="J162" i="30" s="1"/>
  <c r="G154" i="30"/>
  <c r="H154" i="30" s="1"/>
  <c r="I154" i="30" s="1"/>
  <c r="J154" i="30" s="1"/>
  <c r="O175" i="30"/>
  <c r="P175" i="30" s="1"/>
  <c r="Q175" i="30" s="1"/>
  <c r="O164" i="30"/>
  <c r="P164" i="30" s="1"/>
  <c r="V164" i="30" s="1"/>
  <c r="O106" i="30"/>
  <c r="S7" i="30"/>
  <c r="AB7" i="30" s="1"/>
  <c r="I171" i="30"/>
  <c r="P171" i="30" s="1"/>
  <c r="V171" i="30" s="1"/>
  <c r="I138" i="30"/>
  <c r="N161" i="30"/>
  <c r="T161" i="30" s="1"/>
  <c r="AC161" i="30" s="1"/>
  <c r="AI161" i="30" s="1"/>
  <c r="AJ161" i="30" s="1"/>
  <c r="AK161" i="30" s="1"/>
  <c r="AL161" i="30" s="1"/>
  <c r="U141" i="30"/>
  <c r="AD141" i="30" s="1"/>
  <c r="AJ141" i="30" s="1"/>
  <c r="P141" i="30"/>
  <c r="G153" i="30"/>
  <c r="N163" i="30"/>
  <c r="H163" i="30"/>
  <c r="I163" i="30" s="1"/>
  <c r="J163" i="30" s="1"/>
  <c r="N104" i="30"/>
  <c r="H104" i="30"/>
  <c r="G95" i="30"/>
  <c r="I99" i="30"/>
  <c r="J158" i="30"/>
  <c r="N107" i="30"/>
  <c r="G98" i="30"/>
  <c r="H107" i="30"/>
  <c r="O157" i="30"/>
  <c r="P157" i="30" s="1"/>
  <c r="Q157" i="30" s="1"/>
  <c r="T157" i="30"/>
  <c r="U138" i="30"/>
  <c r="AD138" i="30" s="1"/>
  <c r="AJ138" i="30" s="1"/>
  <c r="I157" i="30"/>
  <c r="I109" i="30"/>
  <c r="J156" i="30"/>
  <c r="J171" i="30"/>
  <c r="Q171" i="30" s="1"/>
  <c r="W171" i="30" s="1"/>
  <c r="I178" i="30"/>
  <c r="T105" i="30"/>
  <c r="AC105" i="30" s="1"/>
  <c r="AI105" i="30" s="1"/>
  <c r="O105" i="30"/>
  <c r="H105" i="30"/>
  <c r="N108" i="30"/>
  <c r="O140" i="30"/>
  <c r="P140" i="30" s="1"/>
  <c r="Q140" i="30" s="1"/>
  <c r="AK167" i="30"/>
  <c r="Q167" i="30"/>
  <c r="AL167" i="30" s="1"/>
  <c r="H99" i="30"/>
  <c r="AC140" i="30"/>
  <c r="N158" i="30"/>
  <c r="P162" i="30"/>
  <c r="U162" i="30"/>
  <c r="AD162" i="30" s="1"/>
  <c r="T162" i="30"/>
  <c r="AC162" i="30" s="1"/>
  <c r="AI162" i="30" s="1"/>
  <c r="AJ162" i="30" s="1"/>
  <c r="AK162" i="30" s="1"/>
  <c r="AL162" i="30" s="1"/>
  <c r="O137" i="30"/>
  <c r="U137" i="30" s="1"/>
  <c r="AD137" i="30" s="1"/>
  <c r="AJ137" i="30" s="1"/>
  <c r="C32" i="26"/>
  <c r="D32" i="26" s="1"/>
  <c r="C29" i="26"/>
  <c r="E29" i="26" s="1"/>
  <c r="C33" i="26"/>
  <c r="D33" i="26" s="1"/>
  <c r="B15" i="23"/>
  <c r="B16" i="23" s="1"/>
  <c r="E13" i="23" s="1"/>
  <c r="D45" i="23"/>
  <c r="C39" i="23" s="1"/>
  <c r="C23" i="34" l="1"/>
  <c r="G11" i="34"/>
  <c r="G38" i="34" s="1"/>
  <c r="G61" i="34" s="1"/>
  <c r="G92" i="34" s="1"/>
  <c r="N139" i="31"/>
  <c r="T139" i="31" s="1"/>
  <c r="AC155" i="30"/>
  <c r="AI155" i="30" s="1"/>
  <c r="AJ155" i="30" s="1"/>
  <c r="AK155" i="30" s="1"/>
  <c r="AL155" i="30" s="1"/>
  <c r="D55" i="23"/>
  <c r="C49" i="23" s="1"/>
  <c r="C50" i="23" s="1"/>
  <c r="U109" i="31"/>
  <c r="AD109" i="31" s="1"/>
  <c r="AJ109" i="31" s="1"/>
  <c r="O140" i="31"/>
  <c r="P140" i="31" s="1"/>
  <c r="Q140" i="31" s="1"/>
  <c r="E23" i="34"/>
  <c r="I157" i="32"/>
  <c r="H98" i="31"/>
  <c r="H100" i="31"/>
  <c r="O109" i="30"/>
  <c r="AK186" i="36"/>
  <c r="AL186" i="36" s="1"/>
  <c r="AM186" i="36" s="1"/>
  <c r="AN186" i="36" s="1"/>
  <c r="I106" i="30"/>
  <c r="I97" i="30" s="1"/>
  <c r="C61" i="34"/>
  <c r="C92" i="34" s="1"/>
  <c r="C82" i="34"/>
  <c r="E51" i="34"/>
  <c r="E112" i="34" s="1"/>
  <c r="E43" i="34"/>
  <c r="E90" i="34" s="1"/>
  <c r="P104" i="31"/>
  <c r="V104" i="31" s="1"/>
  <c r="AE104" i="31" s="1"/>
  <c r="AK104" i="31" s="1"/>
  <c r="T104" i="31"/>
  <c r="AC104" i="31" s="1"/>
  <c r="AI104" i="31" s="1"/>
  <c r="E37" i="26"/>
  <c r="J156" i="32"/>
  <c r="J157" i="32" s="1"/>
  <c r="E11" i="34"/>
  <c r="E38" i="34" s="1"/>
  <c r="Q164" i="30"/>
  <c r="W164" i="30" s="1"/>
  <c r="O155" i="30"/>
  <c r="P155" i="30" s="1"/>
  <c r="Q155" i="30" s="1"/>
  <c r="AK200" i="36"/>
  <c r="AL200" i="36" s="1"/>
  <c r="AM200" i="36" s="1"/>
  <c r="AN200" i="36" s="1"/>
  <c r="AF200" i="36"/>
  <c r="AG200" i="36" s="1"/>
  <c r="AH200" i="36" s="1"/>
  <c r="X154" i="36"/>
  <c r="AG154" i="36" s="1"/>
  <c r="AM154" i="36" s="1"/>
  <c r="S154" i="36"/>
  <c r="Y154" i="36" s="1"/>
  <c r="AH154" i="36" s="1"/>
  <c r="AN154" i="36" s="1"/>
  <c r="L147" i="36"/>
  <c r="S156" i="36"/>
  <c r="Y156" i="36" s="1"/>
  <c r="AH156" i="36" s="1"/>
  <c r="AN156" i="36" s="1"/>
  <c r="X156" i="36"/>
  <c r="AG156" i="36" s="1"/>
  <c r="AM156" i="36" s="1"/>
  <c r="X153" i="36"/>
  <c r="AG153" i="36" s="1"/>
  <c r="AM153" i="36" s="1"/>
  <c r="S153" i="36"/>
  <c r="Y153" i="36" s="1"/>
  <c r="AH153" i="36" s="1"/>
  <c r="AN153" i="36" s="1"/>
  <c r="L144" i="36"/>
  <c r="X151" i="36"/>
  <c r="AG151" i="36" s="1"/>
  <c r="AM151" i="36" s="1"/>
  <c r="S151" i="36"/>
  <c r="Y151" i="36" s="1"/>
  <c r="AH151" i="36" s="1"/>
  <c r="AN151" i="36" s="1"/>
  <c r="Y203" i="36"/>
  <c r="L146" i="36"/>
  <c r="L142" i="36"/>
  <c r="N154" i="32"/>
  <c r="O154" i="32" s="1"/>
  <c r="P154" i="32" s="1"/>
  <c r="Q154" i="32" s="1"/>
  <c r="AI155" i="31"/>
  <c r="AJ155" i="31" s="1"/>
  <c r="AK155" i="31" s="1"/>
  <c r="AL155" i="31" s="1"/>
  <c r="U155" i="32"/>
  <c r="V155" i="32" s="1"/>
  <c r="W155" i="32" s="1"/>
  <c r="O140" i="32"/>
  <c r="P140" i="32" s="1"/>
  <c r="Q140" i="32" s="1"/>
  <c r="U139" i="30"/>
  <c r="V139" i="30" s="1"/>
  <c r="W139" i="30" s="1"/>
  <c r="T109" i="31"/>
  <c r="AC109" i="31" s="1"/>
  <c r="AI109" i="31" s="1"/>
  <c r="D39" i="23"/>
  <c r="C40" i="23"/>
  <c r="U164" i="30"/>
  <c r="J171" i="32"/>
  <c r="Q171" i="32" s="1"/>
  <c r="W171" i="32" s="1"/>
  <c r="N139" i="32"/>
  <c r="T139" i="32" s="1"/>
  <c r="J137" i="32"/>
  <c r="Q137" i="32" s="1"/>
  <c r="W137" i="32" s="1"/>
  <c r="AF137" i="32" s="1"/>
  <c r="AL137" i="32" s="1"/>
  <c r="P137" i="32"/>
  <c r="V137" i="32" s="1"/>
  <c r="AE137" i="32" s="1"/>
  <c r="AK137" i="32" s="1"/>
  <c r="P178" i="32"/>
  <c r="V178" i="32" s="1"/>
  <c r="J178" i="32"/>
  <c r="Q178" i="32" s="1"/>
  <c r="W178" i="32" s="1"/>
  <c r="T161" i="32"/>
  <c r="AC161" i="32" s="1"/>
  <c r="AI161" i="32" s="1"/>
  <c r="AJ161" i="32" s="1"/>
  <c r="AK161" i="32" s="1"/>
  <c r="AL161" i="32" s="1"/>
  <c r="O161" i="32"/>
  <c r="H98" i="32"/>
  <c r="I107" i="32"/>
  <c r="N153" i="32"/>
  <c r="H153" i="32"/>
  <c r="I153" i="32" s="1"/>
  <c r="J153" i="32" s="1"/>
  <c r="U105" i="32"/>
  <c r="AD105" i="32" s="1"/>
  <c r="AJ105" i="32" s="1"/>
  <c r="P105" i="32"/>
  <c r="T107" i="32"/>
  <c r="AC107" i="32" s="1"/>
  <c r="AI107" i="32" s="1"/>
  <c r="O107" i="32"/>
  <c r="I106" i="32"/>
  <c r="H97" i="32"/>
  <c r="J105" i="32"/>
  <c r="I96" i="32"/>
  <c r="Q156" i="32"/>
  <c r="W156" i="32" s="1"/>
  <c r="AF156" i="32" s="1"/>
  <c r="AL156" i="32" s="1"/>
  <c r="AC158" i="32"/>
  <c r="U158" i="32"/>
  <c r="V158" i="32" s="1"/>
  <c r="W158" i="32" s="1"/>
  <c r="AC157" i="32"/>
  <c r="U157" i="32"/>
  <c r="V157" i="32" s="1"/>
  <c r="W157" i="32" s="1"/>
  <c r="O106" i="32"/>
  <c r="T106" i="32"/>
  <c r="AC106" i="32" s="1"/>
  <c r="AI106" i="32" s="1"/>
  <c r="P163" i="32"/>
  <c r="U163" i="32"/>
  <c r="AD163" i="32" s="1"/>
  <c r="O104" i="32"/>
  <c r="T104" i="32"/>
  <c r="AC104" i="32" s="1"/>
  <c r="AI104" i="32" s="1"/>
  <c r="I108" i="32"/>
  <c r="H99" i="32"/>
  <c r="Q162" i="32"/>
  <c r="W162" i="32" s="1"/>
  <c r="AF162" i="32" s="1"/>
  <c r="V162" i="32"/>
  <c r="AE162" i="32" s="1"/>
  <c r="I109" i="32"/>
  <c r="H100" i="32"/>
  <c r="O108" i="32"/>
  <c r="T108" i="32"/>
  <c r="AC108" i="32" s="1"/>
  <c r="AI108" i="32" s="1"/>
  <c r="AI140" i="32"/>
  <c r="AJ140" i="32" s="1"/>
  <c r="AK140" i="32" s="1"/>
  <c r="AL140" i="32" s="1"/>
  <c r="AD140" i="32"/>
  <c r="AE140" i="32" s="1"/>
  <c r="AF140" i="32" s="1"/>
  <c r="O109" i="32"/>
  <c r="T109" i="32"/>
  <c r="AC109" i="32" s="1"/>
  <c r="AI109" i="32" s="1"/>
  <c r="U138" i="32"/>
  <c r="AD138" i="32" s="1"/>
  <c r="AJ138" i="32" s="1"/>
  <c r="O139" i="32"/>
  <c r="I139" i="32"/>
  <c r="J138" i="32"/>
  <c r="Q138" i="32" s="1"/>
  <c r="P138" i="32"/>
  <c r="Q109" i="31"/>
  <c r="W109" i="31" s="1"/>
  <c r="AF109" i="31" s="1"/>
  <c r="AL109" i="31" s="1"/>
  <c r="G63" i="30"/>
  <c r="Q139" i="31"/>
  <c r="J178" i="31"/>
  <c r="Q178" i="31" s="1"/>
  <c r="W178" i="31" s="1"/>
  <c r="T161" i="31"/>
  <c r="AC161" i="31" s="1"/>
  <c r="AI161" i="31" s="1"/>
  <c r="AJ161" i="31" s="1"/>
  <c r="AK161" i="31" s="1"/>
  <c r="AL161" i="31" s="1"/>
  <c r="O161" i="31"/>
  <c r="V141" i="31"/>
  <c r="AE141" i="31" s="1"/>
  <c r="AK141" i="31" s="1"/>
  <c r="Q141" i="31"/>
  <c r="W141" i="31" s="1"/>
  <c r="AF141" i="31" s="1"/>
  <c r="AL141" i="31" s="1"/>
  <c r="I99" i="31"/>
  <c r="J108" i="31"/>
  <c r="N154" i="31"/>
  <c r="H154" i="31"/>
  <c r="I154" i="31" s="1"/>
  <c r="J154" i="31" s="1"/>
  <c r="I97" i="31"/>
  <c r="J106" i="31"/>
  <c r="U107" i="31"/>
  <c r="AD107" i="31" s="1"/>
  <c r="AJ107" i="31" s="1"/>
  <c r="P107" i="31"/>
  <c r="T163" i="31"/>
  <c r="AC163" i="31" s="1"/>
  <c r="AI163" i="31" s="1"/>
  <c r="AJ163" i="31" s="1"/>
  <c r="AK163" i="31" s="1"/>
  <c r="AL163" i="31" s="1"/>
  <c r="O163" i="31"/>
  <c r="T108" i="31"/>
  <c r="AC108" i="31" s="1"/>
  <c r="AI108" i="31" s="1"/>
  <c r="O108" i="31"/>
  <c r="G63" i="31"/>
  <c r="U140" i="31"/>
  <c r="V140" i="31" s="1"/>
  <c r="W140" i="31" s="1"/>
  <c r="AC140" i="31"/>
  <c r="U164" i="31"/>
  <c r="P164" i="31"/>
  <c r="J109" i="31"/>
  <c r="I100" i="31"/>
  <c r="J95" i="31"/>
  <c r="H153" i="31"/>
  <c r="I153" i="31" s="1"/>
  <c r="J153" i="31" s="1"/>
  <c r="N153" i="31"/>
  <c r="J157" i="31"/>
  <c r="Q156" i="31"/>
  <c r="W156" i="31" s="1"/>
  <c r="AF156" i="31" s="1"/>
  <c r="AL156" i="31" s="1"/>
  <c r="O106" i="31"/>
  <c r="T106" i="31"/>
  <c r="AC106" i="31" s="1"/>
  <c r="AI106" i="31" s="1"/>
  <c r="U157" i="31"/>
  <c r="V157" i="31" s="1"/>
  <c r="W157" i="31" s="1"/>
  <c r="AC157" i="31"/>
  <c r="I105" i="31"/>
  <c r="H96" i="31"/>
  <c r="O139" i="31"/>
  <c r="T158" i="31"/>
  <c r="O158" i="31"/>
  <c r="P158" i="31" s="1"/>
  <c r="Q158" i="31" s="1"/>
  <c r="T105" i="31"/>
  <c r="AC105" i="31" s="1"/>
  <c r="AI105" i="31" s="1"/>
  <c r="O105" i="31"/>
  <c r="Q104" i="31"/>
  <c r="W104" i="31" s="1"/>
  <c r="AF104" i="31" s="1"/>
  <c r="AL104" i="31" s="1"/>
  <c r="O162" i="31"/>
  <c r="T162" i="31"/>
  <c r="AC162" i="31" s="1"/>
  <c r="AI162" i="31" s="1"/>
  <c r="AJ162" i="31" s="1"/>
  <c r="AK162" i="31" s="1"/>
  <c r="AL162" i="31" s="1"/>
  <c r="P171" i="31"/>
  <c r="V171" i="31" s="1"/>
  <c r="J171" i="31"/>
  <c r="Q171" i="31" s="1"/>
  <c r="W171" i="31" s="1"/>
  <c r="U139" i="31"/>
  <c r="V139" i="31" s="1"/>
  <c r="W139" i="31" s="1"/>
  <c r="AC139" i="31"/>
  <c r="J107" i="31"/>
  <c r="I98" i="31"/>
  <c r="I158" i="31"/>
  <c r="P106" i="30"/>
  <c r="U106" i="30"/>
  <c r="AD106" i="30" s="1"/>
  <c r="AJ106" i="30" s="1"/>
  <c r="N154" i="30"/>
  <c r="N63" i="30" s="1"/>
  <c r="P109" i="30"/>
  <c r="U109" i="30"/>
  <c r="AD109" i="30" s="1"/>
  <c r="AJ109" i="30" s="1"/>
  <c r="J138" i="30"/>
  <c r="Q138" i="30" s="1"/>
  <c r="W138" i="30" s="1"/>
  <c r="AF138" i="30" s="1"/>
  <c r="AL138" i="30" s="1"/>
  <c r="I139" i="30"/>
  <c r="P138" i="30"/>
  <c r="V138" i="30" s="1"/>
  <c r="AE138" i="30" s="1"/>
  <c r="AK138" i="30" s="1"/>
  <c r="AD155" i="30"/>
  <c r="AE155" i="30" s="1"/>
  <c r="AF155" i="30" s="1"/>
  <c r="O161" i="30"/>
  <c r="U161" i="30" s="1"/>
  <c r="AD161" i="30" s="1"/>
  <c r="T163" i="30"/>
  <c r="AC163" i="30" s="1"/>
  <c r="AI163" i="30" s="1"/>
  <c r="AJ163" i="30" s="1"/>
  <c r="AK163" i="30" s="1"/>
  <c r="AL163" i="30" s="1"/>
  <c r="O163" i="30"/>
  <c r="I63" i="30"/>
  <c r="J63" i="30"/>
  <c r="V141" i="30"/>
  <c r="AE141" i="30" s="1"/>
  <c r="AK141" i="30" s="1"/>
  <c r="Q141" i="30"/>
  <c r="W141" i="30" s="1"/>
  <c r="AF141" i="30" s="1"/>
  <c r="AL141" i="30" s="1"/>
  <c r="P178" i="30"/>
  <c r="V178" i="30" s="1"/>
  <c r="J178" i="30"/>
  <c r="Q178" i="30" s="1"/>
  <c r="W178" i="30" s="1"/>
  <c r="O107" i="30"/>
  <c r="T107" i="30"/>
  <c r="AC107" i="30" s="1"/>
  <c r="AI107" i="30" s="1"/>
  <c r="Q156" i="30"/>
  <c r="J157" i="30"/>
  <c r="I104" i="30"/>
  <c r="H95" i="30"/>
  <c r="T158" i="30"/>
  <c r="O158" i="30"/>
  <c r="O139" i="30"/>
  <c r="V162" i="30"/>
  <c r="AE162" i="30" s="1"/>
  <c r="Q162" i="30"/>
  <c r="W162" i="30" s="1"/>
  <c r="AF162" i="30" s="1"/>
  <c r="O104" i="30"/>
  <c r="T104" i="30"/>
  <c r="AC104" i="30" s="1"/>
  <c r="AI104" i="30" s="1"/>
  <c r="AI139" i="30"/>
  <c r="AJ139" i="30" s="1"/>
  <c r="AK139" i="30" s="1"/>
  <c r="AL139" i="30" s="1"/>
  <c r="AD139" i="30"/>
  <c r="AE139" i="30" s="1"/>
  <c r="AF139" i="30" s="1"/>
  <c r="I107" i="30"/>
  <c r="H98" i="30"/>
  <c r="T108" i="30"/>
  <c r="AC108" i="30" s="1"/>
  <c r="AI108" i="30" s="1"/>
  <c r="O108" i="30"/>
  <c r="J99" i="30"/>
  <c r="H153" i="30"/>
  <c r="I153" i="30" s="1"/>
  <c r="J153" i="30" s="1"/>
  <c r="N153" i="30"/>
  <c r="AD140" i="30"/>
  <c r="AE140" i="30" s="1"/>
  <c r="AF140" i="30" s="1"/>
  <c r="AI140" i="30"/>
  <c r="AJ140" i="30" s="1"/>
  <c r="AK140" i="30" s="1"/>
  <c r="AL140" i="30" s="1"/>
  <c r="I105" i="30"/>
  <c r="H96" i="30"/>
  <c r="I100" i="30"/>
  <c r="J109" i="30"/>
  <c r="H63" i="30"/>
  <c r="U157" i="30"/>
  <c r="V157" i="30" s="1"/>
  <c r="W157" i="30" s="1"/>
  <c r="AC157" i="30"/>
  <c r="P105" i="30"/>
  <c r="U105" i="30"/>
  <c r="AD105" i="30" s="1"/>
  <c r="AJ105" i="30" s="1"/>
  <c r="D29" i="26"/>
  <c r="D37" i="26" s="1"/>
  <c r="D13" i="23"/>
  <c r="C13" i="23"/>
  <c r="D47" i="10"/>
  <c r="E47" i="10" s="1"/>
  <c r="F46" i="10"/>
  <c r="E46" i="10"/>
  <c r="C46" i="10"/>
  <c r="C47" i="10"/>
  <c r="G82" i="34" l="1"/>
  <c r="D49" i="23"/>
  <c r="P139" i="31"/>
  <c r="D50" i="23"/>
  <c r="E49" i="23"/>
  <c r="E50" i="23" s="1"/>
  <c r="J106" i="30"/>
  <c r="J97" i="30" s="1"/>
  <c r="E61" i="34"/>
  <c r="E92" i="34" s="1"/>
  <c r="E82" i="34"/>
  <c r="T154" i="32"/>
  <c r="AC154" i="32" s="1"/>
  <c r="AH203" i="36"/>
  <c r="AN203" i="36" s="1"/>
  <c r="E39" i="23"/>
  <c r="E40" i="23" s="1"/>
  <c r="D40" i="23"/>
  <c r="AC139" i="32"/>
  <c r="U139" i="32"/>
  <c r="V139" i="32" s="1"/>
  <c r="P104" i="32"/>
  <c r="U104" i="32"/>
  <c r="AD104" i="32" s="1"/>
  <c r="AJ104" i="32" s="1"/>
  <c r="V163" i="32"/>
  <c r="AE163" i="32" s="1"/>
  <c r="Q163" i="32"/>
  <c r="W163" i="32" s="1"/>
  <c r="AF163" i="32" s="1"/>
  <c r="J106" i="32"/>
  <c r="I97" i="32"/>
  <c r="I100" i="32"/>
  <c r="J109" i="32"/>
  <c r="P109" i="32"/>
  <c r="U109" i="32"/>
  <c r="AD109" i="32" s="1"/>
  <c r="AJ109" i="32" s="1"/>
  <c r="P106" i="32"/>
  <c r="U106" i="32"/>
  <c r="AD106" i="32" s="1"/>
  <c r="AJ106" i="32" s="1"/>
  <c r="J96" i="32"/>
  <c r="V138" i="32"/>
  <c r="AE138" i="32" s="1"/>
  <c r="AK138" i="32" s="1"/>
  <c r="P139" i="32"/>
  <c r="AD157" i="32"/>
  <c r="AE157" i="32" s="1"/>
  <c r="AF157" i="32" s="1"/>
  <c r="AI157" i="32"/>
  <c r="AJ157" i="32" s="1"/>
  <c r="AK157" i="32" s="1"/>
  <c r="AL157" i="32" s="1"/>
  <c r="J139" i="32"/>
  <c r="V105" i="32"/>
  <c r="AE105" i="32" s="1"/>
  <c r="AK105" i="32" s="1"/>
  <c r="Q105" i="32"/>
  <c r="W105" i="32" s="1"/>
  <c r="AF105" i="32" s="1"/>
  <c r="AL105" i="32" s="1"/>
  <c r="P108" i="32"/>
  <c r="U108" i="32"/>
  <c r="AD108" i="32" s="1"/>
  <c r="AJ108" i="32" s="1"/>
  <c r="U161" i="32"/>
  <c r="AD161" i="32" s="1"/>
  <c r="P161" i="32"/>
  <c r="U107" i="32"/>
  <c r="AD107" i="32" s="1"/>
  <c r="AJ107" i="32" s="1"/>
  <c r="P107" i="32"/>
  <c r="W138" i="32"/>
  <c r="AF138" i="32" s="1"/>
  <c r="AL138" i="32" s="1"/>
  <c r="Q139" i="32"/>
  <c r="I98" i="32"/>
  <c r="J107" i="32"/>
  <c r="AI158" i="32"/>
  <c r="AJ158" i="32" s="1"/>
  <c r="AK158" i="32" s="1"/>
  <c r="AL158" i="32" s="1"/>
  <c r="AD158" i="32"/>
  <c r="AE158" i="32" s="1"/>
  <c r="AF158" i="32" s="1"/>
  <c r="I99" i="32"/>
  <c r="J108" i="32"/>
  <c r="T153" i="32"/>
  <c r="O153" i="32"/>
  <c r="P153" i="32" s="1"/>
  <c r="Q153" i="32" s="1"/>
  <c r="P161" i="30"/>
  <c r="V161" i="30" s="1"/>
  <c r="AE161" i="30" s="1"/>
  <c r="T154" i="30"/>
  <c r="AC154" i="30" s="1"/>
  <c r="O154" i="30"/>
  <c r="P154" i="30" s="1"/>
  <c r="Q154" i="30" s="1"/>
  <c r="U161" i="31"/>
  <c r="AD161" i="31" s="1"/>
  <c r="P161" i="31"/>
  <c r="J158" i="31"/>
  <c r="J63" i="31" s="1"/>
  <c r="I63" i="31"/>
  <c r="J99" i="31"/>
  <c r="U106" i="31"/>
  <c r="AD106" i="31" s="1"/>
  <c r="AJ106" i="31" s="1"/>
  <c r="P106" i="31"/>
  <c r="Q107" i="31"/>
  <c r="W107" i="31" s="1"/>
  <c r="AF107" i="31" s="1"/>
  <c r="AL107" i="31" s="1"/>
  <c r="V107" i="31"/>
  <c r="AE107" i="31" s="1"/>
  <c r="AK107" i="31" s="1"/>
  <c r="AI157" i="31"/>
  <c r="AJ157" i="31" s="1"/>
  <c r="AK157" i="31" s="1"/>
  <c r="AL157" i="31" s="1"/>
  <c r="AD157" i="31"/>
  <c r="AE157" i="31" s="1"/>
  <c r="AF157" i="31" s="1"/>
  <c r="V164" i="31"/>
  <c r="Q164" i="31"/>
  <c r="O153" i="31"/>
  <c r="P153" i="31" s="1"/>
  <c r="Q153" i="31" s="1"/>
  <c r="T153" i="31"/>
  <c r="O154" i="31"/>
  <c r="T154" i="31"/>
  <c r="N63" i="31"/>
  <c r="P108" i="31"/>
  <c r="U108" i="31"/>
  <c r="AD108" i="31" s="1"/>
  <c r="AJ108" i="31" s="1"/>
  <c r="AD140" i="31"/>
  <c r="AE140" i="31" s="1"/>
  <c r="AF140" i="31" s="1"/>
  <c r="AI140" i="31"/>
  <c r="AJ140" i="31" s="1"/>
  <c r="AK140" i="31" s="1"/>
  <c r="AL140" i="31" s="1"/>
  <c r="J97" i="31"/>
  <c r="U158" i="31"/>
  <c r="V158" i="31" s="1"/>
  <c r="W158" i="31" s="1"/>
  <c r="AC158" i="31"/>
  <c r="J105" i="31"/>
  <c r="I96" i="31"/>
  <c r="J100" i="31"/>
  <c r="J98" i="31"/>
  <c r="P105" i="31"/>
  <c r="U105" i="31"/>
  <c r="AD105" i="31" s="1"/>
  <c r="AJ105" i="31" s="1"/>
  <c r="H63" i="31"/>
  <c r="AI139" i="31"/>
  <c r="AJ139" i="31" s="1"/>
  <c r="AK139" i="31" s="1"/>
  <c r="AL139" i="31" s="1"/>
  <c r="AD139" i="31"/>
  <c r="AE139" i="31" s="1"/>
  <c r="AF139" i="31" s="1"/>
  <c r="P162" i="31"/>
  <c r="U162" i="31"/>
  <c r="AD162" i="31" s="1"/>
  <c r="U163" i="31"/>
  <c r="AD163" i="31" s="1"/>
  <c r="P163" i="31"/>
  <c r="J139" i="30"/>
  <c r="V109" i="30"/>
  <c r="AE109" i="30" s="1"/>
  <c r="AK109" i="30" s="1"/>
  <c r="Q109" i="30"/>
  <c r="W109" i="30" s="1"/>
  <c r="AF109" i="30" s="1"/>
  <c r="AL109" i="30" s="1"/>
  <c r="P139" i="30"/>
  <c r="V106" i="30"/>
  <c r="AE106" i="30" s="1"/>
  <c r="AK106" i="30" s="1"/>
  <c r="Q106" i="30"/>
  <c r="W106" i="30" s="1"/>
  <c r="AF106" i="30" s="1"/>
  <c r="AL106" i="30" s="1"/>
  <c r="K63" i="30"/>
  <c r="Q139" i="30"/>
  <c r="Q105" i="30"/>
  <c r="W105" i="30" s="1"/>
  <c r="AF105" i="30" s="1"/>
  <c r="AL105" i="30" s="1"/>
  <c r="V105" i="30"/>
  <c r="AE105" i="30" s="1"/>
  <c r="AK105" i="30" s="1"/>
  <c r="J107" i="30"/>
  <c r="I98" i="30"/>
  <c r="AI157" i="30"/>
  <c r="AJ157" i="30" s="1"/>
  <c r="AK157" i="30" s="1"/>
  <c r="AL157" i="30" s="1"/>
  <c r="AD157" i="30"/>
  <c r="AE157" i="30" s="1"/>
  <c r="P108" i="30"/>
  <c r="U108" i="30"/>
  <c r="AD108" i="30" s="1"/>
  <c r="AJ108" i="30" s="1"/>
  <c r="P107" i="30"/>
  <c r="U107" i="30"/>
  <c r="AD107" i="30" s="1"/>
  <c r="AJ107" i="30" s="1"/>
  <c r="U163" i="30"/>
  <c r="AD163" i="30" s="1"/>
  <c r="P163" i="30"/>
  <c r="J100" i="30"/>
  <c r="J104" i="30"/>
  <c r="I95" i="30"/>
  <c r="P104" i="30"/>
  <c r="U104" i="30"/>
  <c r="AD104" i="30" s="1"/>
  <c r="AJ104" i="30" s="1"/>
  <c r="P158" i="30"/>
  <c r="W156" i="30"/>
  <c r="U158" i="30"/>
  <c r="AC158" i="30"/>
  <c r="J105" i="30"/>
  <c r="I96" i="30"/>
  <c r="T153" i="30"/>
  <c r="O153" i="30"/>
  <c r="P153" i="30" s="1"/>
  <c r="Q153" i="30" s="1"/>
  <c r="F14" i="5"/>
  <c r="C46" i="22"/>
  <c r="C33" i="6"/>
  <c r="C53" i="6" s="1"/>
  <c r="B33" i="6"/>
  <c r="B49" i="6" s="1"/>
  <c r="G28" i="6"/>
  <c r="K28" i="6" s="1"/>
  <c r="G29" i="6"/>
  <c r="K29" i="6" s="1"/>
  <c r="G30" i="6"/>
  <c r="K30" i="6" s="1"/>
  <c r="G31" i="6"/>
  <c r="K31" i="6" s="1"/>
  <c r="G32" i="6"/>
  <c r="K32" i="6" s="1"/>
  <c r="G27" i="6"/>
  <c r="K27" i="6" s="1"/>
  <c r="I159" i="20"/>
  <c r="H159" i="20"/>
  <c r="G159" i="20"/>
  <c r="F159" i="20"/>
  <c r="I156" i="20"/>
  <c r="H156" i="20"/>
  <c r="G156" i="20"/>
  <c r="F156" i="20"/>
  <c r="O151" i="20"/>
  <c r="O130" i="20" s="1"/>
  <c r="N151" i="20"/>
  <c r="N130" i="20" s="1"/>
  <c r="M151" i="20"/>
  <c r="S151" i="20" s="1"/>
  <c r="S130" i="20" s="1"/>
  <c r="Y130" i="20" s="1"/>
  <c r="AE130" i="20" s="1"/>
  <c r="L151" i="20"/>
  <c r="R151" i="20" s="1"/>
  <c r="R130" i="20" s="1"/>
  <c r="X130" i="20" s="1"/>
  <c r="AD130" i="20" s="1"/>
  <c r="F150" i="20"/>
  <c r="G150" i="20" s="1"/>
  <c r="H150" i="20" s="1"/>
  <c r="I150" i="20" s="1"/>
  <c r="L150" i="20" s="1"/>
  <c r="M150" i="20" s="1"/>
  <c r="L147" i="20"/>
  <c r="R147" i="20" s="1"/>
  <c r="G147" i="20"/>
  <c r="H147" i="20" s="1"/>
  <c r="I147" i="20" s="1"/>
  <c r="O147" i="20" s="1"/>
  <c r="U147" i="20" s="1"/>
  <c r="O145" i="20"/>
  <c r="U145" i="20" s="1"/>
  <c r="N145" i="20"/>
  <c r="T145" i="20" s="1"/>
  <c r="M145" i="20"/>
  <c r="S145" i="20" s="1"/>
  <c r="L145" i="20"/>
  <c r="R145" i="20" s="1"/>
  <c r="L144" i="20"/>
  <c r="R144" i="20" s="1"/>
  <c r="S144" i="20" s="1"/>
  <c r="T144" i="20" s="1"/>
  <c r="U144" i="20" s="1"/>
  <c r="G144" i="20"/>
  <c r="H144" i="20" s="1"/>
  <c r="I144" i="20" s="1"/>
  <c r="L143" i="20"/>
  <c r="R143" i="20" s="1"/>
  <c r="G143" i="20"/>
  <c r="H143" i="20" s="1"/>
  <c r="I143" i="20" s="1"/>
  <c r="O143" i="20" s="1"/>
  <c r="U143" i="20" s="1"/>
  <c r="L142" i="20"/>
  <c r="R142" i="20" s="1"/>
  <c r="G142" i="20"/>
  <c r="M142" i="20" s="1"/>
  <c r="S142" i="20" s="1"/>
  <c r="S141" i="20"/>
  <c r="T141" i="20" s="1"/>
  <c r="U141" i="20" s="1"/>
  <c r="L141" i="20"/>
  <c r="G141" i="20"/>
  <c r="M141" i="20" s="1"/>
  <c r="L140" i="20"/>
  <c r="R140" i="20" s="1"/>
  <c r="G140" i="20"/>
  <c r="M140" i="20" s="1"/>
  <c r="S140" i="20" s="1"/>
  <c r="AD136" i="20"/>
  <c r="Y136" i="20"/>
  <c r="Z136" i="20" s="1"/>
  <c r="AA136" i="20" s="1"/>
  <c r="AB136" i="20" s="1"/>
  <c r="S136" i="20"/>
  <c r="T136" i="20" s="1"/>
  <c r="U136" i="20" s="1"/>
  <c r="M136" i="20"/>
  <c r="AE136" i="20" s="1"/>
  <c r="F136" i="20"/>
  <c r="G136" i="20" s="1"/>
  <c r="H136" i="20" s="1"/>
  <c r="I136" i="20" s="1"/>
  <c r="F134" i="20"/>
  <c r="L134" i="20" s="1"/>
  <c r="M134" i="20" s="1"/>
  <c r="N134" i="20" s="1"/>
  <c r="O134" i="20" s="1"/>
  <c r="L133" i="20"/>
  <c r="R133" i="20" s="1"/>
  <c r="X133" i="20" s="1"/>
  <c r="AD133" i="20" s="1"/>
  <c r="G133" i="20"/>
  <c r="H133" i="20" s="1"/>
  <c r="AD132" i="20"/>
  <c r="AE132" i="20" s="1"/>
  <c r="AF132" i="20" s="1"/>
  <c r="AG132" i="20" s="1"/>
  <c r="X132" i="20"/>
  <c r="Y132" i="20" s="1"/>
  <c r="Z132" i="20" s="1"/>
  <c r="AA132" i="20" s="1"/>
  <c r="R132" i="20"/>
  <c r="S132" i="20" s="1"/>
  <c r="T132" i="20" s="1"/>
  <c r="U132" i="20" s="1"/>
  <c r="L132" i="20"/>
  <c r="M132" i="20" s="1"/>
  <c r="N132" i="20" s="1"/>
  <c r="O132" i="20" s="1"/>
  <c r="F132" i="20"/>
  <c r="G132" i="20" s="1"/>
  <c r="H132" i="20" s="1"/>
  <c r="I132" i="20" s="1"/>
  <c r="AD131" i="20"/>
  <c r="AE131" i="20" s="1"/>
  <c r="AF131" i="20" s="1"/>
  <c r="AG131" i="20" s="1"/>
  <c r="X131" i="20"/>
  <c r="Y131" i="20" s="1"/>
  <c r="Z131" i="20" s="1"/>
  <c r="AA131" i="20" s="1"/>
  <c r="R131" i="20"/>
  <c r="S131" i="20" s="1"/>
  <c r="T131" i="20" s="1"/>
  <c r="U131" i="20" s="1"/>
  <c r="L131" i="20"/>
  <c r="M131" i="20" s="1"/>
  <c r="N131" i="20" s="1"/>
  <c r="O131" i="20" s="1"/>
  <c r="F131" i="20"/>
  <c r="G131" i="20" s="1"/>
  <c r="H131" i="20" s="1"/>
  <c r="I131" i="20" s="1"/>
  <c r="F130" i="20"/>
  <c r="G130" i="20" s="1"/>
  <c r="H130" i="20" s="1"/>
  <c r="I130" i="20" s="1"/>
  <c r="AA125" i="20"/>
  <c r="Z125" i="20"/>
  <c r="Y125" i="20"/>
  <c r="X125" i="20"/>
  <c r="F125" i="20"/>
  <c r="L125" i="20" s="1"/>
  <c r="AD125" i="20" s="1"/>
  <c r="L124" i="20"/>
  <c r="M124" i="20" s="1"/>
  <c r="N124" i="20" s="1"/>
  <c r="O124" i="20" s="1"/>
  <c r="R120" i="20"/>
  <c r="X120" i="20" s="1"/>
  <c r="AD120" i="20" s="1"/>
  <c r="M120" i="20"/>
  <c r="N120" i="20" s="1"/>
  <c r="O120" i="20" s="1"/>
  <c r="U120" i="20" s="1"/>
  <c r="AA120" i="20" s="1"/>
  <c r="AG120" i="20" s="1"/>
  <c r="G118" i="20"/>
  <c r="L117" i="20"/>
  <c r="L119" i="20" s="1"/>
  <c r="G117" i="20"/>
  <c r="M117" i="20" s="1"/>
  <c r="S117" i="20" s="1"/>
  <c r="Y117" i="20" s="1"/>
  <c r="AE117" i="20" s="1"/>
  <c r="L116" i="20"/>
  <c r="R116" i="20" s="1"/>
  <c r="X116" i="20" s="1"/>
  <c r="AD116" i="20" s="1"/>
  <c r="G116" i="20"/>
  <c r="H116" i="20" s="1"/>
  <c r="N116" i="20" s="1"/>
  <c r="T116" i="20" s="1"/>
  <c r="Z116" i="20" s="1"/>
  <c r="AF116" i="20" s="1"/>
  <c r="F88" i="20"/>
  <c r="G88" i="20" s="1"/>
  <c r="F87" i="20"/>
  <c r="F78" i="20" s="1"/>
  <c r="F86" i="20"/>
  <c r="F85" i="20"/>
  <c r="G85" i="20" s="1"/>
  <c r="F84" i="20"/>
  <c r="L84" i="20" s="1"/>
  <c r="M84" i="20" s="1"/>
  <c r="S84" i="20" s="1"/>
  <c r="Y84" i="20" s="1"/>
  <c r="AE84" i="20" s="1"/>
  <c r="F83" i="20"/>
  <c r="F74" i="20" s="1"/>
  <c r="AG68" i="20"/>
  <c r="AF68" i="20"/>
  <c r="AE68" i="20"/>
  <c r="AD68" i="20"/>
  <c r="O68" i="20"/>
  <c r="U68" i="20" s="1"/>
  <c r="N68" i="20"/>
  <c r="T68" i="20" s="1"/>
  <c r="M68" i="20"/>
  <c r="S68" i="20" s="1"/>
  <c r="L68" i="20"/>
  <c r="R68" i="20" s="1"/>
  <c r="E15" i="20"/>
  <c r="K15" i="20" s="1"/>
  <c r="AC15" i="20" s="1"/>
  <c r="E14" i="20"/>
  <c r="K14" i="20" s="1"/>
  <c r="AC14" i="20" s="1"/>
  <c r="K13" i="20"/>
  <c r="AC13" i="20" s="1"/>
  <c r="K6" i="20"/>
  <c r="AC6" i="20" s="1"/>
  <c r="K4" i="20"/>
  <c r="Q4" i="20" s="1"/>
  <c r="M8" i="1"/>
  <c r="F8" i="1"/>
  <c r="M15" i="18"/>
  <c r="K23" i="5"/>
  <c r="K20" i="5"/>
  <c r="G23" i="10"/>
  <c r="H23" i="10" s="1"/>
  <c r="H32" i="15"/>
  <c r="H31" i="15"/>
  <c r="H58" i="15"/>
  <c r="I229" i="36" s="1"/>
  <c r="H44" i="15"/>
  <c r="H29" i="15"/>
  <c r="H47" i="15"/>
  <c r="H43" i="15"/>
  <c r="J58" i="15"/>
  <c r="C60" i="15"/>
  <c r="D60" i="15"/>
  <c r="E60" i="15"/>
  <c r="F60" i="15"/>
  <c r="G60" i="15"/>
  <c r="G33" i="15"/>
  <c r="F33" i="15"/>
  <c r="E33" i="15"/>
  <c r="D33" i="15"/>
  <c r="C33" i="15"/>
  <c r="F16" i="18"/>
  <c r="M16" i="18" s="1"/>
  <c r="M14" i="18"/>
  <c r="M7" i="18"/>
  <c r="M5" i="18"/>
  <c r="D61" i="15"/>
  <c r="E61" i="15"/>
  <c r="F61" i="15"/>
  <c r="G61" i="15"/>
  <c r="C61" i="15"/>
  <c r="G30" i="15"/>
  <c r="F30" i="15"/>
  <c r="F36" i="15" s="1"/>
  <c r="E30" i="15"/>
  <c r="E36" i="15" s="1"/>
  <c r="D30" i="15"/>
  <c r="C30" i="15"/>
  <c r="I43" i="15"/>
  <c r="F87" i="15"/>
  <c r="J43" i="15" s="1"/>
  <c r="L43" i="15"/>
  <c r="M43" i="15"/>
  <c r="N41" i="15"/>
  <c r="K43" i="15"/>
  <c r="AA108" i="17"/>
  <c r="AD46" i="17"/>
  <c r="AC46" i="17"/>
  <c r="AB46" i="17"/>
  <c r="AA46" i="17"/>
  <c r="V108" i="17"/>
  <c r="W108" i="17" s="1"/>
  <c r="X108" i="17" s="1"/>
  <c r="Y108" i="17" s="1"/>
  <c r="Y103" i="17"/>
  <c r="V103" i="17"/>
  <c r="W103" i="17"/>
  <c r="X103" i="17"/>
  <c r="U103" i="17"/>
  <c r="C77" i="6"/>
  <c r="B77" i="6"/>
  <c r="D76" i="6"/>
  <c r="D75" i="6"/>
  <c r="D74" i="6"/>
  <c r="G17" i="6"/>
  <c r="C22" i="6"/>
  <c r="C38" i="6" s="1"/>
  <c r="B22" i="6"/>
  <c r="B38" i="6" s="1"/>
  <c r="G62" i="6"/>
  <c r="D127" i="15"/>
  <c r="E127" i="15"/>
  <c r="C127" i="15"/>
  <c r="J108" i="17"/>
  <c r="K108" i="17" s="1"/>
  <c r="L108" i="17" s="1"/>
  <c r="AD108" i="17" s="1"/>
  <c r="B130" i="17"/>
  <c r="D130" i="17"/>
  <c r="D110" i="17" s="1"/>
  <c r="J110" i="17" s="1"/>
  <c r="P110" i="17" s="1"/>
  <c r="V110" i="17" s="1"/>
  <c r="E130" i="17"/>
  <c r="E110" i="17" s="1"/>
  <c r="K110" i="17" s="1"/>
  <c r="Q110" i="17" s="1"/>
  <c r="W110" i="17" s="1"/>
  <c r="F130" i="17"/>
  <c r="F110" i="17" s="1"/>
  <c r="L110" i="17" s="1"/>
  <c r="R110" i="17" s="1"/>
  <c r="X110" i="17" s="1"/>
  <c r="C130" i="17"/>
  <c r="C110" i="17" s="1"/>
  <c r="I110" i="17" s="1"/>
  <c r="O110" i="17" s="1"/>
  <c r="U110" i="17" s="1"/>
  <c r="P108" i="17"/>
  <c r="Q108" i="17" s="1"/>
  <c r="R108" i="17" s="1"/>
  <c r="S108" i="17" s="1"/>
  <c r="C108" i="17"/>
  <c r="C102" i="17"/>
  <c r="I102" i="17" s="1"/>
  <c r="E111" i="15"/>
  <c r="I176" i="36" s="1"/>
  <c r="E112" i="15"/>
  <c r="I177" i="36" s="1"/>
  <c r="E113" i="15"/>
  <c r="I178" i="36" s="1"/>
  <c r="E114" i="15"/>
  <c r="I179" i="36" s="1"/>
  <c r="E115" i="15"/>
  <c r="I180" i="36" s="1"/>
  <c r="E110" i="15"/>
  <c r="I175" i="36" s="1"/>
  <c r="C66" i="17"/>
  <c r="I66" i="17" s="1"/>
  <c r="J66" i="17" s="1"/>
  <c r="K66" i="17" s="1"/>
  <c r="L66" i="17" s="1"/>
  <c r="C62" i="17"/>
  <c r="D62" i="17" s="1"/>
  <c r="E62" i="17" s="1"/>
  <c r="F62" i="17" s="1"/>
  <c r="C63" i="17"/>
  <c r="C54" i="17" s="1"/>
  <c r="C64" i="17"/>
  <c r="C65" i="17"/>
  <c r="I65" i="17" s="1"/>
  <c r="J65" i="17" s="1"/>
  <c r="K65" i="17" s="1"/>
  <c r="L65" i="17" s="1"/>
  <c r="C61" i="17"/>
  <c r="D61" i="17" s="1"/>
  <c r="E61" i="17" s="1"/>
  <c r="F61" i="17" s="1"/>
  <c r="O98" i="17"/>
  <c r="U98" i="17" s="1"/>
  <c r="AA98" i="17" s="1"/>
  <c r="J98" i="17"/>
  <c r="P98" i="17" s="1"/>
  <c r="V98" i="17" s="1"/>
  <c r="AB98" i="17" s="1"/>
  <c r="I95" i="17"/>
  <c r="O95" i="17" s="1"/>
  <c r="U95" i="17" s="1"/>
  <c r="AA95" i="17" s="1"/>
  <c r="D95" i="17"/>
  <c r="E95" i="17" s="1"/>
  <c r="F95" i="17" s="1"/>
  <c r="D39" i="7"/>
  <c r="L46" i="17"/>
  <c r="R46" i="17" s="1"/>
  <c r="K46" i="17"/>
  <c r="Q46" i="17" s="1"/>
  <c r="J46" i="17"/>
  <c r="P46" i="17" s="1"/>
  <c r="I46" i="17"/>
  <c r="O46" i="17" s="1"/>
  <c r="I122" i="17"/>
  <c r="O122" i="17" s="1"/>
  <c r="D122" i="17"/>
  <c r="J122" i="17" s="1"/>
  <c r="P122" i="17" s="1"/>
  <c r="I114" i="17"/>
  <c r="O114" i="17" s="1"/>
  <c r="D114" i="17"/>
  <c r="J114" i="17" s="1"/>
  <c r="P114" i="17" s="1"/>
  <c r="I94" i="17"/>
  <c r="O94" i="17" s="1"/>
  <c r="U94" i="17" s="1"/>
  <c r="AA94" i="17" s="1"/>
  <c r="D94" i="17"/>
  <c r="J94" i="17" s="1"/>
  <c r="P94" i="17" s="1"/>
  <c r="V94" i="17" s="1"/>
  <c r="AB94" i="17" s="1"/>
  <c r="B15" i="17"/>
  <c r="H15" i="17" s="1"/>
  <c r="Z15" i="17" s="1"/>
  <c r="B14" i="17"/>
  <c r="H14" i="17" s="1"/>
  <c r="Z14" i="17" s="1"/>
  <c r="H13" i="17"/>
  <c r="Z13" i="17" s="1"/>
  <c r="H6" i="17"/>
  <c r="N6" i="17" s="1"/>
  <c r="T6" i="17" s="1"/>
  <c r="H4" i="17"/>
  <c r="N4" i="17" s="1"/>
  <c r="I132" i="36" l="1"/>
  <c r="P132" i="36" s="1"/>
  <c r="V132" i="36" s="1"/>
  <c r="G88" i="18"/>
  <c r="N88" i="18" s="1"/>
  <c r="T88" i="18" s="1"/>
  <c r="J132" i="36"/>
  <c r="Q132" i="36" s="1"/>
  <c r="W132" i="36" s="1"/>
  <c r="H88" i="18"/>
  <c r="O88" i="18" s="1"/>
  <c r="U88" i="18" s="1"/>
  <c r="E23" i="44"/>
  <c r="E23" i="50"/>
  <c r="E26" i="55"/>
  <c r="C23" i="50"/>
  <c r="C22" i="50"/>
  <c r="C19" i="50" s="1"/>
  <c r="C26" i="55"/>
  <c r="C25" i="55"/>
  <c r="C22" i="55" s="1"/>
  <c r="U154" i="32"/>
  <c r="V154" i="32" s="1"/>
  <c r="W154" i="32" s="1"/>
  <c r="C23" i="44"/>
  <c r="C22" i="44"/>
  <c r="C19" i="44" s="1"/>
  <c r="Q161" i="30"/>
  <c r="W161" i="30" s="1"/>
  <c r="AF161" i="30" s="1"/>
  <c r="C36" i="15"/>
  <c r="I199" i="36"/>
  <c r="P229" i="36"/>
  <c r="J229" i="36"/>
  <c r="K229" i="36" s="1"/>
  <c r="L229" i="36" s="1"/>
  <c r="I228" i="36"/>
  <c r="U154" i="30"/>
  <c r="V154" i="30" s="1"/>
  <c r="W154" i="30" s="1"/>
  <c r="F75" i="20"/>
  <c r="D36" i="15"/>
  <c r="G36" i="15"/>
  <c r="H33" i="15"/>
  <c r="G84" i="20"/>
  <c r="G75" i="20" s="1"/>
  <c r="P175" i="36"/>
  <c r="V175" i="36" s="1"/>
  <c r="AE175" i="36" s="1"/>
  <c r="AK175" i="36" s="1"/>
  <c r="I167" i="36"/>
  <c r="I159" i="36"/>
  <c r="P159" i="36" s="1"/>
  <c r="J175" i="36"/>
  <c r="T63" i="30"/>
  <c r="I172" i="36"/>
  <c r="P180" i="36"/>
  <c r="V180" i="36" s="1"/>
  <c r="AE180" i="36" s="1"/>
  <c r="AK180" i="36" s="1"/>
  <c r="J180" i="36"/>
  <c r="I164" i="36"/>
  <c r="P164" i="36" s="1"/>
  <c r="J178" i="36"/>
  <c r="P178" i="36"/>
  <c r="V178" i="36" s="1"/>
  <c r="AE178" i="36" s="1"/>
  <c r="AK178" i="36" s="1"/>
  <c r="I170" i="36"/>
  <c r="I162" i="36"/>
  <c r="P162" i="36" s="1"/>
  <c r="I171" i="36"/>
  <c r="I163" i="36"/>
  <c r="P163" i="36" s="1"/>
  <c r="P179" i="36"/>
  <c r="V179" i="36" s="1"/>
  <c r="AE179" i="36" s="1"/>
  <c r="AK179" i="36" s="1"/>
  <c r="J179" i="36"/>
  <c r="I169" i="36"/>
  <c r="P177" i="36"/>
  <c r="V177" i="36" s="1"/>
  <c r="AE177" i="36" s="1"/>
  <c r="AK177" i="36" s="1"/>
  <c r="J177" i="36"/>
  <c r="I161" i="36"/>
  <c r="P161" i="36" s="1"/>
  <c r="I160" i="36"/>
  <c r="P160" i="36" s="1"/>
  <c r="P176" i="36"/>
  <c r="V176" i="36" s="1"/>
  <c r="AE176" i="36" s="1"/>
  <c r="AK176" i="36" s="1"/>
  <c r="I168" i="36"/>
  <c r="J176" i="36"/>
  <c r="F108" i="20"/>
  <c r="G108" i="20" s="1"/>
  <c r="M108" i="20" s="1"/>
  <c r="S108" i="20" s="1"/>
  <c r="Y108" i="20" s="1"/>
  <c r="AE108" i="20" s="1"/>
  <c r="F109" i="20"/>
  <c r="G109" i="20" s="1"/>
  <c r="H109" i="20" s="1"/>
  <c r="I109" i="20" s="1"/>
  <c r="O109" i="20" s="1"/>
  <c r="U109" i="20" s="1"/>
  <c r="AA109" i="20" s="1"/>
  <c r="AG109" i="20" s="1"/>
  <c r="O63" i="30"/>
  <c r="C85" i="17"/>
  <c r="D85" i="17" s="1"/>
  <c r="E85" i="17" s="1"/>
  <c r="F85" i="17" s="1"/>
  <c r="L85" i="17" s="1"/>
  <c r="R85" i="17" s="1"/>
  <c r="X85" i="17" s="1"/>
  <c r="AD85" i="17" s="1"/>
  <c r="G128" i="31"/>
  <c r="G128" i="32"/>
  <c r="G128" i="30"/>
  <c r="C90" i="17"/>
  <c r="D90" i="17" s="1"/>
  <c r="E90" i="17" s="1"/>
  <c r="F90" i="17" s="1"/>
  <c r="L90" i="17" s="1"/>
  <c r="R90" i="17" s="1"/>
  <c r="X90" i="17" s="1"/>
  <c r="AD90" i="17" s="1"/>
  <c r="G133" i="32"/>
  <c r="G133" i="31"/>
  <c r="G133" i="30"/>
  <c r="C42" i="17"/>
  <c r="I42" i="17" s="1"/>
  <c r="O42" i="17" s="1"/>
  <c r="G85" i="31"/>
  <c r="N85" i="31" s="1"/>
  <c r="T85" i="31" s="1"/>
  <c r="G85" i="32"/>
  <c r="N85" i="32" s="1"/>
  <c r="T85" i="32" s="1"/>
  <c r="G85" i="30"/>
  <c r="N85" i="30" s="1"/>
  <c r="T85" i="30" s="1"/>
  <c r="D42" i="17"/>
  <c r="J42" i="17" s="1"/>
  <c r="P42" i="17" s="1"/>
  <c r="H85" i="30"/>
  <c r="O85" i="30" s="1"/>
  <c r="U85" i="30" s="1"/>
  <c r="H85" i="32"/>
  <c r="O85" i="32" s="1"/>
  <c r="U85" i="32" s="1"/>
  <c r="H85" i="31"/>
  <c r="O85" i="31" s="1"/>
  <c r="U85" i="31" s="1"/>
  <c r="F107" i="20"/>
  <c r="C89" i="17"/>
  <c r="D89" i="17" s="1"/>
  <c r="E89" i="17" s="1"/>
  <c r="F89" i="17" s="1"/>
  <c r="L89" i="17" s="1"/>
  <c r="R89" i="17" s="1"/>
  <c r="X89" i="17" s="1"/>
  <c r="AD89" i="17" s="1"/>
  <c r="G132" i="30"/>
  <c r="G132" i="32"/>
  <c r="G132" i="31"/>
  <c r="G182" i="31"/>
  <c r="G182" i="32"/>
  <c r="G182" i="30"/>
  <c r="C87" i="17"/>
  <c r="D87" i="17" s="1"/>
  <c r="E87" i="17" s="1"/>
  <c r="F87" i="17" s="1"/>
  <c r="L87" i="17" s="1"/>
  <c r="R87" i="17" s="1"/>
  <c r="X87" i="17" s="1"/>
  <c r="AD87" i="17" s="1"/>
  <c r="G130" i="31"/>
  <c r="G130" i="30"/>
  <c r="G130" i="32"/>
  <c r="G87" i="20"/>
  <c r="H87" i="20" s="1"/>
  <c r="H78" i="20" s="1"/>
  <c r="C88" i="17"/>
  <c r="D88" i="17" s="1"/>
  <c r="E88" i="17" s="1"/>
  <c r="F88" i="17" s="1"/>
  <c r="L88" i="17" s="1"/>
  <c r="R88" i="17" s="1"/>
  <c r="X88" i="17" s="1"/>
  <c r="AD88" i="17" s="1"/>
  <c r="G131" i="31"/>
  <c r="G131" i="30"/>
  <c r="G131" i="32"/>
  <c r="C86" i="17"/>
  <c r="D86" i="17" s="1"/>
  <c r="E86" i="17" s="1"/>
  <c r="F86" i="17" s="1"/>
  <c r="L86" i="17" s="1"/>
  <c r="R86" i="17" s="1"/>
  <c r="X86" i="17" s="1"/>
  <c r="AD86" i="17" s="1"/>
  <c r="G129" i="31"/>
  <c r="G129" i="30"/>
  <c r="G129" i="32"/>
  <c r="L87" i="20"/>
  <c r="R87" i="20" s="1"/>
  <c r="X87" i="20" s="1"/>
  <c r="AD87" i="20" s="1"/>
  <c r="F110" i="20"/>
  <c r="F94" i="20" s="1"/>
  <c r="L94" i="20" s="1"/>
  <c r="H30" i="15"/>
  <c r="F111" i="20"/>
  <c r="L111" i="20" s="1"/>
  <c r="R111" i="20" s="1"/>
  <c r="X111" i="20" s="1"/>
  <c r="AD111" i="20" s="1"/>
  <c r="F92" i="20"/>
  <c r="L92" i="20" s="1"/>
  <c r="M92" i="20" s="1"/>
  <c r="N92" i="20" s="1"/>
  <c r="O92" i="20" s="1"/>
  <c r="F112" i="20"/>
  <c r="F96" i="20" s="1"/>
  <c r="L96" i="20" s="1"/>
  <c r="S5" i="18"/>
  <c r="AH16" i="18"/>
  <c r="AH15" i="18"/>
  <c r="AH14" i="18"/>
  <c r="AH7" i="18"/>
  <c r="AI154" i="32"/>
  <c r="AJ154" i="32" s="1"/>
  <c r="AK154" i="32" s="1"/>
  <c r="AL154" i="32" s="1"/>
  <c r="AD154" i="32"/>
  <c r="AE154" i="32" s="1"/>
  <c r="AF154" i="32" s="1"/>
  <c r="W139" i="32"/>
  <c r="AD139" i="32"/>
  <c r="AE139" i="32" s="1"/>
  <c r="AI139" i="32"/>
  <c r="AJ139" i="32" s="1"/>
  <c r="AK139" i="32" s="1"/>
  <c r="AL139" i="32" s="1"/>
  <c r="V107" i="32"/>
  <c r="AE107" i="32" s="1"/>
  <c r="AK107" i="32" s="1"/>
  <c r="Q107" i="32"/>
  <c r="W107" i="32" s="1"/>
  <c r="AF107" i="32" s="1"/>
  <c r="AL107" i="32" s="1"/>
  <c r="V106" i="32"/>
  <c r="AE106" i="32" s="1"/>
  <c r="AK106" i="32" s="1"/>
  <c r="Q106" i="32"/>
  <c r="W106" i="32" s="1"/>
  <c r="AF106" i="32" s="1"/>
  <c r="AL106" i="32" s="1"/>
  <c r="Q108" i="32"/>
  <c r="W108" i="32" s="1"/>
  <c r="AF108" i="32" s="1"/>
  <c r="AL108" i="32" s="1"/>
  <c r="V108" i="32"/>
  <c r="AE108" i="32" s="1"/>
  <c r="AK108" i="32" s="1"/>
  <c r="V161" i="32"/>
  <c r="AE161" i="32" s="1"/>
  <c r="Q161" i="32"/>
  <c r="W161" i="32" s="1"/>
  <c r="AF161" i="32" s="1"/>
  <c r="V109" i="32"/>
  <c r="AE109" i="32" s="1"/>
  <c r="AK109" i="32" s="1"/>
  <c r="Q109" i="32"/>
  <c r="W109" i="32" s="1"/>
  <c r="AF109" i="32" s="1"/>
  <c r="AL109" i="32" s="1"/>
  <c r="J97" i="32"/>
  <c r="J100" i="32"/>
  <c r="J98" i="32"/>
  <c r="V104" i="32"/>
  <c r="AE104" i="32" s="1"/>
  <c r="AK104" i="32" s="1"/>
  <c r="Q104" i="32"/>
  <c r="W104" i="32" s="1"/>
  <c r="AF104" i="32" s="1"/>
  <c r="AL104" i="32" s="1"/>
  <c r="J99" i="32"/>
  <c r="U153" i="32"/>
  <c r="V153" i="32" s="1"/>
  <c r="W153" i="32" s="1"/>
  <c r="AC153" i="32"/>
  <c r="K63" i="31"/>
  <c r="Q161" i="31"/>
  <c r="W161" i="31" s="1"/>
  <c r="AF161" i="31" s="1"/>
  <c r="V161" i="31"/>
  <c r="AE161" i="31" s="1"/>
  <c r="W164" i="31"/>
  <c r="AI158" i="31"/>
  <c r="AJ158" i="31" s="1"/>
  <c r="AK158" i="31" s="1"/>
  <c r="AL158" i="31" s="1"/>
  <c r="AD158" i="31"/>
  <c r="AE158" i="31" s="1"/>
  <c r="AF158" i="31" s="1"/>
  <c r="U154" i="31"/>
  <c r="AC154" i="31"/>
  <c r="P154" i="31"/>
  <c r="O63" i="31"/>
  <c r="T63" i="31"/>
  <c r="J96" i="31"/>
  <c r="V162" i="31"/>
  <c r="AE162" i="31" s="1"/>
  <c r="Q162" i="31"/>
  <c r="W162" i="31" s="1"/>
  <c r="AF162" i="31" s="1"/>
  <c r="Q108" i="31"/>
  <c r="W108" i="31" s="1"/>
  <c r="AF108" i="31" s="1"/>
  <c r="AL108" i="31" s="1"/>
  <c r="V108" i="31"/>
  <c r="AE108" i="31" s="1"/>
  <c r="AK108" i="31" s="1"/>
  <c r="V106" i="31"/>
  <c r="AE106" i="31" s="1"/>
  <c r="AK106" i="31" s="1"/>
  <c r="Q106" i="31"/>
  <c r="W106" i="31" s="1"/>
  <c r="AF106" i="31" s="1"/>
  <c r="AL106" i="31" s="1"/>
  <c r="Q105" i="31"/>
  <c r="W105" i="31" s="1"/>
  <c r="AF105" i="31" s="1"/>
  <c r="AL105" i="31" s="1"/>
  <c r="V105" i="31"/>
  <c r="AE105" i="31" s="1"/>
  <c r="AK105" i="31" s="1"/>
  <c r="V163" i="31"/>
  <c r="AE163" i="31" s="1"/>
  <c r="Q163" i="31"/>
  <c r="W163" i="31" s="1"/>
  <c r="AF163" i="31" s="1"/>
  <c r="AC153" i="31"/>
  <c r="U153" i="31"/>
  <c r="V153" i="31" s="1"/>
  <c r="W153" i="31" s="1"/>
  <c r="AF156" i="30"/>
  <c r="V163" i="30"/>
  <c r="AE163" i="30" s="1"/>
  <c r="Q163" i="30"/>
  <c r="W163" i="30" s="1"/>
  <c r="AF163" i="30" s="1"/>
  <c r="Q108" i="30"/>
  <c r="W108" i="30" s="1"/>
  <c r="AF108" i="30" s="1"/>
  <c r="AL108" i="30" s="1"/>
  <c r="V108" i="30"/>
  <c r="AE108" i="30" s="1"/>
  <c r="AK108" i="30" s="1"/>
  <c r="Q158" i="30"/>
  <c r="Q63" i="30" s="1"/>
  <c r="P63" i="30"/>
  <c r="Q107" i="30"/>
  <c r="W107" i="30" s="1"/>
  <c r="AF107" i="30" s="1"/>
  <c r="AL107" i="30" s="1"/>
  <c r="V107" i="30"/>
  <c r="AE107" i="30" s="1"/>
  <c r="AK107" i="30" s="1"/>
  <c r="AI154" i="30"/>
  <c r="AJ154" i="30" s="1"/>
  <c r="AK154" i="30" s="1"/>
  <c r="AL154" i="30" s="1"/>
  <c r="AD154" i="30"/>
  <c r="AE154" i="30" s="1"/>
  <c r="AF154" i="30" s="1"/>
  <c r="AI158" i="30"/>
  <c r="AJ158" i="30" s="1"/>
  <c r="AK158" i="30" s="1"/>
  <c r="AL158" i="30" s="1"/>
  <c r="AD158" i="30"/>
  <c r="AE158" i="30" s="1"/>
  <c r="AF158" i="30" s="1"/>
  <c r="AC153" i="30"/>
  <c r="U153" i="30"/>
  <c r="V153" i="30" s="1"/>
  <c r="W153" i="30" s="1"/>
  <c r="J96" i="30"/>
  <c r="V158" i="30"/>
  <c r="V104" i="30"/>
  <c r="AE104" i="30" s="1"/>
  <c r="AK104" i="30" s="1"/>
  <c r="Q104" i="30"/>
  <c r="W104" i="30" s="1"/>
  <c r="AF104" i="30" s="1"/>
  <c r="AL104" i="30" s="1"/>
  <c r="J95" i="30"/>
  <c r="AF157" i="30"/>
  <c r="J98" i="30"/>
  <c r="K33" i="6"/>
  <c r="L130" i="20"/>
  <c r="T151" i="20"/>
  <c r="T130" i="20" s="1"/>
  <c r="Z130" i="20" s="1"/>
  <c r="AF130" i="20" s="1"/>
  <c r="M130" i="20"/>
  <c r="U151" i="20"/>
  <c r="U130" i="20" s="1"/>
  <c r="AA130" i="20" s="1"/>
  <c r="AG130" i="20" s="1"/>
  <c r="C52" i="6"/>
  <c r="C51" i="6"/>
  <c r="B53" i="6"/>
  <c r="C48" i="6"/>
  <c r="B52" i="6"/>
  <c r="B51" i="6"/>
  <c r="B47" i="6"/>
  <c r="B50" i="6"/>
  <c r="C50" i="6"/>
  <c r="B48" i="6"/>
  <c r="C47" i="6"/>
  <c r="C49" i="6"/>
  <c r="G33" i="6"/>
  <c r="L31" i="6" s="1"/>
  <c r="F64" i="20"/>
  <c r="L64" i="20" s="1"/>
  <c r="R64" i="20" s="1"/>
  <c r="G64" i="20"/>
  <c r="M64" i="20" s="1"/>
  <c r="S64" i="20" s="1"/>
  <c r="G76" i="20"/>
  <c r="M116" i="20"/>
  <c r="S116" i="20" s="1"/>
  <c r="Y116" i="20" s="1"/>
  <c r="AE116" i="20" s="1"/>
  <c r="M133" i="20"/>
  <c r="S133" i="20" s="1"/>
  <c r="Y133" i="20" s="1"/>
  <c r="AE133" i="20" s="1"/>
  <c r="F129" i="20"/>
  <c r="L129" i="20" s="1"/>
  <c r="R129" i="20" s="1"/>
  <c r="X129" i="20" s="1"/>
  <c r="T120" i="20"/>
  <c r="Z120" i="20" s="1"/>
  <c r="AF120" i="20" s="1"/>
  <c r="G134" i="20"/>
  <c r="N133" i="20"/>
  <c r="T133" i="20" s="1"/>
  <c r="Z133" i="20" s="1"/>
  <c r="AF133" i="20" s="1"/>
  <c r="I133" i="20"/>
  <c r="I134" i="20" s="1"/>
  <c r="H134" i="20"/>
  <c r="R84" i="20"/>
  <c r="X84" i="20" s="1"/>
  <c r="AD84" i="20" s="1"/>
  <c r="N143" i="20"/>
  <c r="T143" i="20" s="1"/>
  <c r="Q6" i="20"/>
  <c r="W6" i="20" s="1"/>
  <c r="H117" i="20"/>
  <c r="I117" i="20" s="1"/>
  <c r="O117" i="20" s="1"/>
  <c r="U117" i="20" s="1"/>
  <c r="AA117" i="20" s="1"/>
  <c r="AG117" i="20" s="1"/>
  <c r="H108" i="20"/>
  <c r="G125" i="20"/>
  <c r="R134" i="20"/>
  <c r="R150" i="20"/>
  <c r="M147" i="20"/>
  <c r="S147" i="20" s="1"/>
  <c r="M143" i="20"/>
  <c r="S143" i="20" s="1"/>
  <c r="M109" i="20"/>
  <c r="S109" i="20" s="1"/>
  <c r="Y109" i="20" s="1"/>
  <c r="AE109" i="20" s="1"/>
  <c r="R117" i="20"/>
  <c r="X117" i="20" s="1"/>
  <c r="AD117" i="20" s="1"/>
  <c r="H140" i="20"/>
  <c r="I140" i="20" s="1"/>
  <c r="O140" i="20" s="1"/>
  <c r="U140" i="20" s="1"/>
  <c r="S120" i="20"/>
  <c r="Y120" i="20" s="1"/>
  <c r="AE120" i="20" s="1"/>
  <c r="F127" i="20"/>
  <c r="S150" i="20"/>
  <c r="N150" i="20"/>
  <c r="G79" i="20"/>
  <c r="H88" i="20"/>
  <c r="I116" i="20"/>
  <c r="O116" i="20" s="1"/>
  <c r="U116" i="20" s="1"/>
  <c r="AA116" i="20" s="1"/>
  <c r="AG116" i="20" s="1"/>
  <c r="L83" i="20"/>
  <c r="G83" i="20"/>
  <c r="F91" i="20"/>
  <c r="L91" i="20" s="1"/>
  <c r="L88" i="20"/>
  <c r="F79" i="20"/>
  <c r="F77" i="20"/>
  <c r="G86" i="20"/>
  <c r="L86" i="20"/>
  <c r="L85" i="20"/>
  <c r="M119" i="20"/>
  <c r="L118" i="20"/>
  <c r="R118" i="20" s="1"/>
  <c r="H85" i="20"/>
  <c r="M87" i="20"/>
  <c r="R119" i="20"/>
  <c r="H142" i="20"/>
  <c r="N84" i="20"/>
  <c r="N136" i="20"/>
  <c r="M144" i="20"/>
  <c r="N144" i="20" s="1"/>
  <c r="O144" i="20" s="1"/>
  <c r="N147" i="20"/>
  <c r="T147" i="20" s="1"/>
  <c r="F76" i="20"/>
  <c r="L108" i="20"/>
  <c r="R108" i="20" s="1"/>
  <c r="X108" i="20" s="1"/>
  <c r="AD108" i="20" s="1"/>
  <c r="F100" i="20"/>
  <c r="F101" i="20"/>
  <c r="H141" i="20"/>
  <c r="M10" i="1"/>
  <c r="S7" i="18"/>
  <c r="AB7" i="18" s="1"/>
  <c r="D77" i="6"/>
  <c r="AD110" i="17"/>
  <c r="J102" i="17"/>
  <c r="AA102" i="17"/>
  <c r="AC110" i="17"/>
  <c r="AA110" i="17"/>
  <c r="AB108" i="17"/>
  <c r="Z6" i="17"/>
  <c r="AB110" i="17"/>
  <c r="AC108" i="17"/>
  <c r="D102" i="17"/>
  <c r="D108" i="17"/>
  <c r="E108" i="17" s="1"/>
  <c r="F108" i="17" s="1"/>
  <c r="J89" i="17"/>
  <c r="P89" i="17" s="1"/>
  <c r="V89" i="17" s="1"/>
  <c r="AB89" i="17" s="1"/>
  <c r="C72" i="17"/>
  <c r="I72" i="17" s="1"/>
  <c r="F70" i="17"/>
  <c r="D66" i="17"/>
  <c r="E66" i="17" s="1"/>
  <c r="F66" i="17" s="1"/>
  <c r="E70" i="17"/>
  <c r="D70" i="17"/>
  <c r="J86" i="17"/>
  <c r="P86" i="17" s="1"/>
  <c r="V86" i="17" s="1"/>
  <c r="AB86" i="17" s="1"/>
  <c r="C71" i="17"/>
  <c r="I71" i="17" s="1"/>
  <c r="K89" i="17"/>
  <c r="Q89" i="17" s="1"/>
  <c r="W89" i="17" s="1"/>
  <c r="AC89" i="17" s="1"/>
  <c r="I88" i="17"/>
  <c r="O88" i="17" s="1"/>
  <c r="U88" i="17" s="1"/>
  <c r="AA88" i="17" s="1"/>
  <c r="E69" i="17"/>
  <c r="J87" i="17"/>
  <c r="P87" i="17" s="1"/>
  <c r="V87" i="17" s="1"/>
  <c r="AB87" i="17" s="1"/>
  <c r="I63" i="17"/>
  <c r="J63" i="17" s="1"/>
  <c r="K63" i="17" s="1"/>
  <c r="L63" i="17" s="1"/>
  <c r="D69" i="17"/>
  <c r="I90" i="17"/>
  <c r="O90" i="17" s="1"/>
  <c r="U90" i="17" s="1"/>
  <c r="AA90" i="17" s="1"/>
  <c r="I62" i="17"/>
  <c r="J62" i="17" s="1"/>
  <c r="K62" i="17" s="1"/>
  <c r="L62" i="17" s="1"/>
  <c r="I64" i="17"/>
  <c r="J64" i="17" s="1"/>
  <c r="K64" i="17" s="1"/>
  <c r="L64" i="17" s="1"/>
  <c r="I61" i="17"/>
  <c r="J61" i="17" s="1"/>
  <c r="K61" i="17" s="1"/>
  <c r="L61" i="17" s="1"/>
  <c r="R61" i="17" s="1"/>
  <c r="X61" i="17" s="1"/>
  <c r="AD61" i="17" s="1"/>
  <c r="C79" i="17"/>
  <c r="C78" i="17"/>
  <c r="C82" i="17"/>
  <c r="C77" i="17"/>
  <c r="C81" i="17"/>
  <c r="D64" i="17"/>
  <c r="D63" i="17"/>
  <c r="D65" i="17"/>
  <c r="O65" i="17"/>
  <c r="U65" i="17" s="1"/>
  <c r="AA65" i="17" s="1"/>
  <c r="C57" i="17"/>
  <c r="C52" i="17"/>
  <c r="C56" i="17"/>
  <c r="E52" i="17"/>
  <c r="D52" i="17"/>
  <c r="F52" i="17"/>
  <c r="O66" i="17"/>
  <c r="U66" i="17" s="1"/>
  <c r="AA66" i="17" s="1"/>
  <c r="P66" i="17"/>
  <c r="V66" i="17" s="1"/>
  <c r="AB66" i="17" s="1"/>
  <c r="Q66" i="17"/>
  <c r="W66" i="17" s="1"/>
  <c r="AC66" i="17" s="1"/>
  <c r="R66" i="17"/>
  <c r="X66" i="17" s="1"/>
  <c r="AD66" i="17" s="1"/>
  <c r="I97" i="17"/>
  <c r="E96" i="17"/>
  <c r="K98" i="17"/>
  <c r="Q98" i="17" s="1"/>
  <c r="W98" i="17" s="1"/>
  <c r="AC98" i="17" s="1"/>
  <c r="D96" i="17"/>
  <c r="L95" i="17"/>
  <c r="J95" i="17"/>
  <c r="K95" i="17"/>
  <c r="C55" i="17"/>
  <c r="D53" i="17"/>
  <c r="C53" i="17"/>
  <c r="E94" i="17"/>
  <c r="E122" i="17"/>
  <c r="E114" i="17"/>
  <c r="E102" i="17" s="1"/>
  <c r="C81" i="55" l="1"/>
  <c r="C32" i="55"/>
  <c r="I87" i="20"/>
  <c r="C75" i="50"/>
  <c r="C29" i="50"/>
  <c r="I86" i="17"/>
  <c r="O86" i="17" s="1"/>
  <c r="U86" i="17" s="1"/>
  <c r="AA86" i="17" s="1"/>
  <c r="K86" i="17"/>
  <c r="Q86" i="17" s="1"/>
  <c r="W86" i="17" s="1"/>
  <c r="AC86" i="17" s="1"/>
  <c r="C70" i="17"/>
  <c r="I70" i="17" s="1"/>
  <c r="K87" i="17"/>
  <c r="Q87" i="17" s="1"/>
  <c r="W87" i="17" s="1"/>
  <c r="AC87" i="17" s="1"/>
  <c r="F95" i="20"/>
  <c r="L95" i="20" s="1"/>
  <c r="F69" i="17"/>
  <c r="L109" i="20"/>
  <c r="R109" i="20" s="1"/>
  <c r="X109" i="20" s="1"/>
  <c r="AD109" i="20" s="1"/>
  <c r="I87" i="17"/>
  <c r="O87" i="17" s="1"/>
  <c r="U87" i="17" s="1"/>
  <c r="AA87" i="17" s="1"/>
  <c r="G93" i="20"/>
  <c r="K90" i="17"/>
  <c r="Q90" i="17" s="1"/>
  <c r="W90" i="17" s="1"/>
  <c r="AC90" i="17" s="1"/>
  <c r="C69" i="17"/>
  <c r="I69" i="17" s="1"/>
  <c r="K85" i="17"/>
  <c r="Q85" i="17" s="1"/>
  <c r="W85" i="17" s="1"/>
  <c r="AC85" i="17" s="1"/>
  <c r="F93" i="20"/>
  <c r="L93" i="20" s="1"/>
  <c r="N109" i="20"/>
  <c r="T109" i="20" s="1"/>
  <c r="Z109" i="20" s="1"/>
  <c r="AF109" i="20" s="1"/>
  <c r="C80" i="17"/>
  <c r="C73" i="17"/>
  <c r="I73" i="17" s="1"/>
  <c r="K88" i="17"/>
  <c r="Q88" i="17" s="1"/>
  <c r="W88" i="17" s="1"/>
  <c r="AC88" i="17" s="1"/>
  <c r="F103" i="20"/>
  <c r="L103" i="20" s="1"/>
  <c r="L78" i="20" s="1"/>
  <c r="U63" i="30"/>
  <c r="F74" i="17"/>
  <c r="R92" i="20"/>
  <c r="G92" i="20"/>
  <c r="C74" i="17"/>
  <c r="I74" i="17" s="1"/>
  <c r="J85" i="17"/>
  <c r="P85" i="17" s="1"/>
  <c r="V85" i="17" s="1"/>
  <c r="AB85" i="17" s="1"/>
  <c r="I85" i="17"/>
  <c r="O85" i="17" s="1"/>
  <c r="U85" i="17" s="1"/>
  <c r="AA85" i="17" s="1"/>
  <c r="J90" i="17"/>
  <c r="P90" i="17" s="1"/>
  <c r="V90" i="17" s="1"/>
  <c r="AB90" i="17" s="1"/>
  <c r="J88" i="17"/>
  <c r="P88" i="17" s="1"/>
  <c r="V88" i="17" s="1"/>
  <c r="AB88" i="17" s="1"/>
  <c r="H84" i="20"/>
  <c r="G111" i="20"/>
  <c r="V160" i="36"/>
  <c r="Q160" i="36"/>
  <c r="R160" i="36" s="1"/>
  <c r="S160" i="36" s="1"/>
  <c r="K178" i="36"/>
  <c r="Q178" i="36"/>
  <c r="W178" i="36" s="1"/>
  <c r="AF178" i="36" s="1"/>
  <c r="AL178" i="36" s="1"/>
  <c r="J162" i="36"/>
  <c r="V161" i="36"/>
  <c r="Q161" i="36"/>
  <c r="R161" i="36" s="1"/>
  <c r="S161" i="36" s="1"/>
  <c r="Q164" i="36"/>
  <c r="R164" i="36" s="1"/>
  <c r="S164" i="36" s="1"/>
  <c r="V164" i="36"/>
  <c r="K177" i="36"/>
  <c r="Q177" i="36"/>
  <c r="W177" i="36" s="1"/>
  <c r="AF177" i="36" s="1"/>
  <c r="AL177" i="36" s="1"/>
  <c r="J161" i="36"/>
  <c r="Q180" i="36"/>
  <c r="W180" i="36" s="1"/>
  <c r="AF180" i="36" s="1"/>
  <c r="AL180" i="36" s="1"/>
  <c r="K180" i="36"/>
  <c r="J164" i="36"/>
  <c r="P169" i="36"/>
  <c r="P144" i="36" s="1"/>
  <c r="J169" i="36"/>
  <c r="K169" i="36" s="1"/>
  <c r="L169" i="36" s="1"/>
  <c r="P172" i="36"/>
  <c r="J172" i="36"/>
  <c r="K172" i="36" s="1"/>
  <c r="L172" i="36" s="1"/>
  <c r="I89" i="17"/>
  <c r="O89" i="17" s="1"/>
  <c r="U89" i="17" s="1"/>
  <c r="AA89" i="17" s="1"/>
  <c r="R63" i="30"/>
  <c r="K179" i="36"/>
  <c r="J163" i="36"/>
  <c r="Q179" i="36"/>
  <c r="W179" i="36" s="1"/>
  <c r="AF179" i="36" s="1"/>
  <c r="AL179" i="36" s="1"/>
  <c r="J228" i="36"/>
  <c r="K228" i="36" s="1"/>
  <c r="L228" i="36" s="1"/>
  <c r="P228" i="36" s="1"/>
  <c r="Q228" i="36" s="1"/>
  <c r="I196" i="36"/>
  <c r="V228" i="36"/>
  <c r="K175" i="36"/>
  <c r="J159" i="36"/>
  <c r="Q175" i="36"/>
  <c r="W175" i="36" s="1"/>
  <c r="AF175" i="36" s="1"/>
  <c r="AL175" i="36" s="1"/>
  <c r="G78" i="20"/>
  <c r="V163" i="36"/>
  <c r="Q163" i="36"/>
  <c r="R163" i="36" s="1"/>
  <c r="S163" i="36" s="1"/>
  <c r="Q159" i="36"/>
  <c r="R159" i="36" s="1"/>
  <c r="S159" i="36" s="1"/>
  <c r="V159" i="36"/>
  <c r="Q229" i="36"/>
  <c r="P199" i="36"/>
  <c r="V229" i="36"/>
  <c r="P171" i="36"/>
  <c r="P146" i="36" s="1"/>
  <c r="J171" i="36"/>
  <c r="K171" i="36" s="1"/>
  <c r="L171" i="36" s="1"/>
  <c r="J167" i="36"/>
  <c r="K167" i="36" s="1"/>
  <c r="L167" i="36" s="1"/>
  <c r="P167" i="36"/>
  <c r="P142" i="36" s="1"/>
  <c r="I173" i="36"/>
  <c r="J199" i="36"/>
  <c r="K199" i="36" s="1"/>
  <c r="L199" i="36" s="1"/>
  <c r="I198" i="36"/>
  <c r="J160" i="36"/>
  <c r="Q176" i="36"/>
  <c r="W176" i="36" s="1"/>
  <c r="AF176" i="36" s="1"/>
  <c r="AL176" i="36" s="1"/>
  <c r="K176" i="36"/>
  <c r="Q162" i="36"/>
  <c r="R162" i="36" s="1"/>
  <c r="S162" i="36" s="1"/>
  <c r="V162" i="36"/>
  <c r="P168" i="36"/>
  <c r="P143" i="36" s="1"/>
  <c r="J168" i="36"/>
  <c r="K168" i="36" s="1"/>
  <c r="L168" i="36" s="1"/>
  <c r="P170" i="36"/>
  <c r="J170" i="36"/>
  <c r="K170" i="36" s="1"/>
  <c r="L170" i="36" s="1"/>
  <c r="H131" i="30"/>
  <c r="N131" i="30"/>
  <c r="T131" i="30" s="1"/>
  <c r="AC131" i="30" s="1"/>
  <c r="AI131" i="30" s="1"/>
  <c r="G123" i="30"/>
  <c r="G115" i="30"/>
  <c r="N115" i="30" s="1"/>
  <c r="G124" i="31"/>
  <c r="H132" i="31"/>
  <c r="N132" i="31"/>
  <c r="T132" i="31" s="1"/>
  <c r="AC132" i="31" s="1"/>
  <c r="AI132" i="31" s="1"/>
  <c r="G116" i="31"/>
  <c r="N116" i="31" s="1"/>
  <c r="H131" i="31"/>
  <c r="G123" i="31"/>
  <c r="N131" i="31"/>
  <c r="T131" i="31" s="1"/>
  <c r="AC131" i="31" s="1"/>
  <c r="AI131" i="31" s="1"/>
  <c r="G115" i="31"/>
  <c r="N115" i="31" s="1"/>
  <c r="H132" i="32"/>
  <c r="G124" i="32"/>
  <c r="N132" i="32"/>
  <c r="T132" i="32" s="1"/>
  <c r="AC132" i="32" s="1"/>
  <c r="AI132" i="32" s="1"/>
  <c r="G116" i="32"/>
  <c r="N116" i="32" s="1"/>
  <c r="H132" i="30"/>
  <c r="G124" i="30"/>
  <c r="N132" i="30"/>
  <c r="T132" i="30" s="1"/>
  <c r="AC132" i="30" s="1"/>
  <c r="AI132" i="30" s="1"/>
  <c r="G116" i="30"/>
  <c r="N116" i="30" s="1"/>
  <c r="G122" i="32"/>
  <c r="N130" i="32"/>
  <c r="T130" i="32" s="1"/>
  <c r="AC130" i="32" s="1"/>
  <c r="AI130" i="32" s="1"/>
  <c r="H130" i="32"/>
  <c r="G114" i="32"/>
  <c r="N114" i="32" s="1"/>
  <c r="H133" i="30"/>
  <c r="N133" i="30"/>
  <c r="T133" i="30" s="1"/>
  <c r="AC133" i="30" s="1"/>
  <c r="AI133" i="30" s="1"/>
  <c r="G117" i="30"/>
  <c r="N117" i="30" s="1"/>
  <c r="G125" i="30"/>
  <c r="F102" i="20"/>
  <c r="L110" i="20"/>
  <c r="R110" i="20" s="1"/>
  <c r="X110" i="20" s="1"/>
  <c r="AD110" i="20" s="1"/>
  <c r="G110" i="20"/>
  <c r="G114" i="30"/>
  <c r="N114" i="30" s="1"/>
  <c r="H130" i="30"/>
  <c r="N130" i="30"/>
  <c r="T130" i="30" s="1"/>
  <c r="AC130" i="30" s="1"/>
  <c r="AI130" i="30" s="1"/>
  <c r="G122" i="30"/>
  <c r="H133" i="31"/>
  <c r="G117" i="31"/>
  <c r="N117" i="31" s="1"/>
  <c r="N133" i="31"/>
  <c r="T133" i="31" s="1"/>
  <c r="AC133" i="31" s="1"/>
  <c r="AI133" i="31" s="1"/>
  <c r="G125" i="31"/>
  <c r="N130" i="31"/>
  <c r="T130" i="31" s="1"/>
  <c r="AC130" i="31" s="1"/>
  <c r="AI130" i="31" s="1"/>
  <c r="G122" i="31"/>
  <c r="G114" i="31"/>
  <c r="N114" i="31" s="1"/>
  <c r="H130" i="31"/>
  <c r="N133" i="32"/>
  <c r="T133" i="32" s="1"/>
  <c r="AC133" i="32" s="1"/>
  <c r="AI133" i="32" s="1"/>
  <c r="G125" i="32"/>
  <c r="H133" i="32"/>
  <c r="G117" i="32"/>
  <c r="N117" i="32" s="1"/>
  <c r="N129" i="32"/>
  <c r="T129" i="32" s="1"/>
  <c r="AC129" i="32" s="1"/>
  <c r="AI129" i="32" s="1"/>
  <c r="G121" i="32"/>
  <c r="H129" i="32"/>
  <c r="G113" i="32"/>
  <c r="N113" i="32" s="1"/>
  <c r="F99" i="20"/>
  <c r="L107" i="20"/>
  <c r="R107" i="20" s="1"/>
  <c r="X107" i="20" s="1"/>
  <c r="AD107" i="20" s="1"/>
  <c r="G107" i="20"/>
  <c r="G121" i="30"/>
  <c r="G113" i="30"/>
  <c r="N113" i="30" s="1"/>
  <c r="H129" i="30"/>
  <c r="N129" i="30"/>
  <c r="T129" i="30" s="1"/>
  <c r="AC129" i="30" s="1"/>
  <c r="AI129" i="30" s="1"/>
  <c r="N182" i="30"/>
  <c r="G181" i="30"/>
  <c r="G152" i="30"/>
  <c r="H182" i="30"/>
  <c r="I182" i="30" s="1"/>
  <c r="J182" i="30" s="1"/>
  <c r="H128" i="30"/>
  <c r="G120" i="30"/>
  <c r="N128" i="30"/>
  <c r="T128" i="30" s="1"/>
  <c r="AC128" i="30" s="1"/>
  <c r="AI128" i="30" s="1"/>
  <c r="G112" i="30"/>
  <c r="N112" i="30" s="1"/>
  <c r="G48" i="6"/>
  <c r="G112" i="20"/>
  <c r="F104" i="20"/>
  <c r="L112" i="20"/>
  <c r="R112" i="20" s="1"/>
  <c r="X112" i="20" s="1"/>
  <c r="AD112" i="20" s="1"/>
  <c r="N129" i="31"/>
  <c r="T129" i="31" s="1"/>
  <c r="AC129" i="31" s="1"/>
  <c r="AI129" i="31" s="1"/>
  <c r="H129" i="31"/>
  <c r="G121" i="31"/>
  <c r="G113" i="31"/>
  <c r="N113" i="31" s="1"/>
  <c r="N182" i="32"/>
  <c r="G152" i="32"/>
  <c r="H182" i="32"/>
  <c r="I182" i="32" s="1"/>
  <c r="J182" i="32" s="1"/>
  <c r="G181" i="32"/>
  <c r="N128" i="32"/>
  <c r="T128" i="32" s="1"/>
  <c r="AC128" i="32" s="1"/>
  <c r="AI128" i="32" s="1"/>
  <c r="G120" i="32"/>
  <c r="G112" i="32"/>
  <c r="N112" i="32" s="1"/>
  <c r="H128" i="32"/>
  <c r="G152" i="31"/>
  <c r="G181" i="31"/>
  <c r="N182" i="31"/>
  <c r="H182" i="31"/>
  <c r="I182" i="31" s="1"/>
  <c r="J182" i="31" s="1"/>
  <c r="G120" i="31"/>
  <c r="H128" i="31"/>
  <c r="N128" i="31"/>
  <c r="T128" i="31" s="1"/>
  <c r="AC128" i="31" s="1"/>
  <c r="AI128" i="31" s="1"/>
  <c r="G112" i="31"/>
  <c r="N112" i="31" s="1"/>
  <c r="G115" i="32"/>
  <c r="N115" i="32" s="1"/>
  <c r="N131" i="32"/>
  <c r="T131" i="32" s="1"/>
  <c r="AC131" i="32" s="1"/>
  <c r="AI131" i="32" s="1"/>
  <c r="H131" i="32"/>
  <c r="G123" i="32"/>
  <c r="AF139" i="32"/>
  <c r="AD153" i="32"/>
  <c r="AE153" i="32" s="1"/>
  <c r="AF153" i="32" s="1"/>
  <c r="AI153" i="32"/>
  <c r="AJ153" i="32" s="1"/>
  <c r="AK153" i="32" s="1"/>
  <c r="AL153" i="32" s="1"/>
  <c r="AI154" i="31"/>
  <c r="AJ154" i="31" s="1"/>
  <c r="AK154" i="31" s="1"/>
  <c r="AL154" i="31" s="1"/>
  <c r="AD154" i="31"/>
  <c r="AE154" i="31" s="1"/>
  <c r="AF154" i="31" s="1"/>
  <c r="V154" i="31"/>
  <c r="U63" i="31"/>
  <c r="Q154" i="31"/>
  <c r="Q63" i="31" s="1"/>
  <c r="P63" i="31"/>
  <c r="AD153" i="31"/>
  <c r="AE153" i="31" s="1"/>
  <c r="AF153" i="31" s="1"/>
  <c r="AI153" i="31"/>
  <c r="AJ153" i="31" s="1"/>
  <c r="AK153" i="31" s="1"/>
  <c r="AL153" i="31" s="1"/>
  <c r="AD153" i="30"/>
  <c r="AE153" i="30" s="1"/>
  <c r="AI153" i="30"/>
  <c r="AJ153" i="30" s="1"/>
  <c r="AK153" i="30" s="1"/>
  <c r="AL153" i="30" s="1"/>
  <c r="AL156" i="30"/>
  <c r="W158" i="30"/>
  <c r="W63" i="30" s="1"/>
  <c r="V63" i="30"/>
  <c r="L27" i="6"/>
  <c r="L29" i="6"/>
  <c r="L28" i="6"/>
  <c r="L32" i="6"/>
  <c r="L30" i="6"/>
  <c r="L33" i="6"/>
  <c r="G129" i="20"/>
  <c r="H129" i="20" s="1"/>
  <c r="AD129" i="20"/>
  <c r="H29" i="6"/>
  <c r="G50" i="6"/>
  <c r="G51" i="6"/>
  <c r="G53" i="6"/>
  <c r="G47" i="6"/>
  <c r="G52" i="6"/>
  <c r="G49" i="6"/>
  <c r="H30" i="6"/>
  <c r="H27" i="6"/>
  <c r="H31" i="6"/>
  <c r="H32" i="6"/>
  <c r="H33" i="6"/>
  <c r="H28" i="6"/>
  <c r="I84" i="20"/>
  <c r="I75" i="20" s="1"/>
  <c r="H75" i="20"/>
  <c r="I108" i="20"/>
  <c r="H92" i="20"/>
  <c r="M125" i="20"/>
  <c r="AE125" i="20" s="1"/>
  <c r="H125" i="20"/>
  <c r="H118" i="20"/>
  <c r="N117" i="20"/>
  <c r="T117" i="20" s="1"/>
  <c r="Z117" i="20" s="1"/>
  <c r="AF117" i="20" s="1"/>
  <c r="G127" i="20"/>
  <c r="L127" i="20"/>
  <c r="S134" i="20"/>
  <c r="T134" i="20" s="1"/>
  <c r="U134" i="20" s="1"/>
  <c r="X134" i="20"/>
  <c r="N108" i="20"/>
  <c r="T108" i="20" s="1"/>
  <c r="Z108" i="20" s="1"/>
  <c r="AF108" i="20" s="1"/>
  <c r="O133" i="20"/>
  <c r="U133" i="20" s="1"/>
  <c r="AA133" i="20" s="1"/>
  <c r="AG133" i="20" s="1"/>
  <c r="N140" i="20"/>
  <c r="T140" i="20" s="1"/>
  <c r="O84" i="20"/>
  <c r="U84" i="20" s="1"/>
  <c r="AA84" i="20" s="1"/>
  <c r="AG84" i="20" s="1"/>
  <c r="T84" i="20"/>
  <c r="Z84" i="20" s="1"/>
  <c r="AF84" i="20" s="1"/>
  <c r="M96" i="20"/>
  <c r="N96" i="20" s="1"/>
  <c r="O96" i="20" s="1"/>
  <c r="R96" i="20"/>
  <c r="G103" i="20"/>
  <c r="H103" i="20" s="1"/>
  <c r="I103" i="20" s="1"/>
  <c r="X119" i="20"/>
  <c r="S119" i="20"/>
  <c r="T119" i="20" s="1"/>
  <c r="U119" i="20" s="1"/>
  <c r="R94" i="20"/>
  <c r="M94" i="20"/>
  <c r="N94" i="20" s="1"/>
  <c r="O94" i="20" s="1"/>
  <c r="N141" i="20"/>
  <c r="I141" i="20"/>
  <c r="O141" i="20" s="1"/>
  <c r="S118" i="20"/>
  <c r="T118" i="20" s="1"/>
  <c r="U118" i="20" s="1"/>
  <c r="X118" i="20"/>
  <c r="M85" i="20"/>
  <c r="R85" i="20"/>
  <c r="X85" i="20" s="1"/>
  <c r="AD85" i="20" s="1"/>
  <c r="N142" i="20"/>
  <c r="T142" i="20" s="1"/>
  <c r="I142" i="20"/>
  <c r="O142" i="20" s="1"/>
  <c r="U142" i="20" s="1"/>
  <c r="I78" i="20"/>
  <c r="T150" i="20"/>
  <c r="O150" i="20"/>
  <c r="U150" i="20" s="1"/>
  <c r="S87" i="20"/>
  <c r="Y87" i="20" s="1"/>
  <c r="AE87" i="20" s="1"/>
  <c r="N87" i="20"/>
  <c r="I85" i="20"/>
  <c r="H93" i="20"/>
  <c r="H76" i="20"/>
  <c r="L101" i="20"/>
  <c r="L76" i="20" s="1"/>
  <c r="G101" i="20"/>
  <c r="H101" i="20" s="1"/>
  <c r="I101" i="20" s="1"/>
  <c r="N119" i="20"/>
  <c r="O119" i="20" s="1"/>
  <c r="O118" i="20" s="1"/>
  <c r="M118" i="20"/>
  <c r="L100" i="20"/>
  <c r="G100" i="20"/>
  <c r="H100" i="20" s="1"/>
  <c r="I100" i="20" s="1"/>
  <c r="R88" i="20"/>
  <c r="X88" i="20" s="1"/>
  <c r="AD88" i="20" s="1"/>
  <c r="M88" i="20"/>
  <c r="R86" i="20"/>
  <c r="X86" i="20" s="1"/>
  <c r="AD86" i="20" s="1"/>
  <c r="M86" i="20"/>
  <c r="G94" i="20"/>
  <c r="H86" i="20"/>
  <c r="G77" i="20"/>
  <c r="R91" i="20"/>
  <c r="M91" i="20"/>
  <c r="N91" i="20" s="1"/>
  <c r="O91" i="20" s="1"/>
  <c r="H83" i="20"/>
  <c r="G91" i="20"/>
  <c r="G74" i="20"/>
  <c r="R95" i="20"/>
  <c r="M95" i="20"/>
  <c r="N95" i="20" s="1"/>
  <c r="O95" i="20" s="1"/>
  <c r="AF136" i="20"/>
  <c r="O136" i="20"/>
  <c r="AG136" i="20" s="1"/>
  <c r="R83" i="20"/>
  <c r="X83" i="20" s="1"/>
  <c r="AD83" i="20" s="1"/>
  <c r="M83" i="20"/>
  <c r="M111" i="20"/>
  <c r="S111" i="20" s="1"/>
  <c r="Y111" i="20" s="1"/>
  <c r="AE111" i="20" s="1"/>
  <c r="H111" i="20"/>
  <c r="G95" i="20"/>
  <c r="M93" i="20"/>
  <c r="N93" i="20" s="1"/>
  <c r="O93" i="20" s="1"/>
  <c r="R93" i="20"/>
  <c r="I88" i="20"/>
  <c r="H79" i="20"/>
  <c r="X92" i="20"/>
  <c r="S92" i="20"/>
  <c r="T92" i="20" s="1"/>
  <c r="U92" i="20" s="1"/>
  <c r="K102" i="17"/>
  <c r="AB102" i="17"/>
  <c r="O97" i="17"/>
  <c r="J97" i="17"/>
  <c r="K97" i="17" s="1"/>
  <c r="L97" i="17" s="1"/>
  <c r="R95" i="17"/>
  <c r="X95" i="17" s="1"/>
  <c r="AD95" i="17" s="1"/>
  <c r="I96" i="17"/>
  <c r="O96" i="17" s="1"/>
  <c r="J73" i="17"/>
  <c r="K73" i="17" s="1"/>
  <c r="L73" i="17" s="1"/>
  <c r="O73" i="17"/>
  <c r="J70" i="17"/>
  <c r="K70" i="17" s="1"/>
  <c r="L70" i="17" s="1"/>
  <c r="O70" i="17"/>
  <c r="J71" i="17"/>
  <c r="K71" i="17" s="1"/>
  <c r="L71" i="17" s="1"/>
  <c r="O71" i="17"/>
  <c r="J72" i="17"/>
  <c r="K72" i="17" s="1"/>
  <c r="L72" i="17" s="1"/>
  <c r="O72" i="17"/>
  <c r="J69" i="17"/>
  <c r="K69" i="17" s="1"/>
  <c r="L69" i="17" s="1"/>
  <c r="O69" i="17"/>
  <c r="J74" i="17"/>
  <c r="K74" i="17" s="1"/>
  <c r="L74" i="17" s="1"/>
  <c r="O74" i="17"/>
  <c r="D57" i="17"/>
  <c r="E74" i="17"/>
  <c r="F57" i="17"/>
  <c r="E57" i="17"/>
  <c r="D74" i="17"/>
  <c r="E64" i="17"/>
  <c r="E55" i="17" s="1"/>
  <c r="D72" i="17"/>
  <c r="D80" i="17"/>
  <c r="E80" i="17" s="1"/>
  <c r="F80" i="17" s="1"/>
  <c r="I80" i="17"/>
  <c r="I55" i="17" s="1"/>
  <c r="J55" i="17" s="1"/>
  <c r="K55" i="17" s="1"/>
  <c r="L55" i="17" s="1"/>
  <c r="D77" i="17"/>
  <c r="E77" i="17" s="1"/>
  <c r="F77" i="17" s="1"/>
  <c r="I77" i="17"/>
  <c r="I52" i="17" s="1"/>
  <c r="J52" i="17" s="1"/>
  <c r="D79" i="17"/>
  <c r="E79" i="17" s="1"/>
  <c r="F79" i="17" s="1"/>
  <c r="I79" i="17"/>
  <c r="I54" i="17" s="1"/>
  <c r="J54" i="17" s="1"/>
  <c r="K54" i="17" s="1"/>
  <c r="L54" i="17" s="1"/>
  <c r="O63" i="17"/>
  <c r="U63" i="17" s="1"/>
  <c r="AA63" i="17" s="1"/>
  <c r="P61" i="17"/>
  <c r="V61" i="17" s="1"/>
  <c r="AB61" i="17" s="1"/>
  <c r="E65" i="17"/>
  <c r="E56" i="17" s="1"/>
  <c r="D73" i="17"/>
  <c r="D81" i="17"/>
  <c r="E81" i="17" s="1"/>
  <c r="F81" i="17" s="1"/>
  <c r="I81" i="17"/>
  <c r="D82" i="17"/>
  <c r="E82" i="17" s="1"/>
  <c r="F82" i="17" s="1"/>
  <c r="I82" i="17"/>
  <c r="I57" i="17" s="1"/>
  <c r="J57" i="17" s="1"/>
  <c r="K57" i="17" s="1"/>
  <c r="L57" i="17" s="1"/>
  <c r="D78" i="17"/>
  <c r="E78" i="17" s="1"/>
  <c r="F78" i="17" s="1"/>
  <c r="I78" i="17"/>
  <c r="I53" i="17" s="1"/>
  <c r="J53" i="17" s="1"/>
  <c r="K53" i="17" s="1"/>
  <c r="L53" i="17" s="1"/>
  <c r="Q61" i="17"/>
  <c r="W61" i="17" s="1"/>
  <c r="AC61" i="17" s="1"/>
  <c r="O62" i="17"/>
  <c r="U62" i="17" s="1"/>
  <c r="AA62" i="17" s="1"/>
  <c r="O61" i="17"/>
  <c r="U61" i="17" s="1"/>
  <c r="AA61" i="17" s="1"/>
  <c r="E63" i="17"/>
  <c r="D71" i="17"/>
  <c r="O64" i="17"/>
  <c r="U64" i="17" s="1"/>
  <c r="AA64" i="17" s="1"/>
  <c r="D54" i="17"/>
  <c r="D55" i="17"/>
  <c r="D56" i="17"/>
  <c r="Q95" i="17"/>
  <c r="W95" i="17" s="1"/>
  <c r="AC95" i="17" s="1"/>
  <c r="P95" i="17"/>
  <c r="V95" i="17" s="1"/>
  <c r="AB95" i="17" s="1"/>
  <c r="L98" i="17"/>
  <c r="P65" i="17"/>
  <c r="V65" i="17" s="1"/>
  <c r="AB65" i="17" s="1"/>
  <c r="P64" i="17"/>
  <c r="V64" i="17" s="1"/>
  <c r="AB64" i="17" s="1"/>
  <c r="P62" i="17"/>
  <c r="V62" i="17" s="1"/>
  <c r="AB62" i="17" s="1"/>
  <c r="E53" i="17"/>
  <c r="F94" i="17"/>
  <c r="K94" i="17"/>
  <c r="Q94" i="17" s="1"/>
  <c r="W94" i="17" s="1"/>
  <c r="AC94" i="17" s="1"/>
  <c r="F114" i="17"/>
  <c r="F102" i="17" s="1"/>
  <c r="K114" i="17"/>
  <c r="Q114" i="17" s="1"/>
  <c r="F122" i="17"/>
  <c r="K122" i="17"/>
  <c r="Q122" i="17" s="1"/>
  <c r="P63" i="17"/>
  <c r="V63" i="17" s="1"/>
  <c r="AB63" i="17" s="1"/>
  <c r="C110" i="50" l="1"/>
  <c r="I56" i="17"/>
  <c r="J56" i="17" s="1"/>
  <c r="K56" i="17" s="1"/>
  <c r="L56" i="17" s="1"/>
  <c r="C116" i="55"/>
  <c r="F105" i="20"/>
  <c r="G105" i="20" s="1"/>
  <c r="H105" i="20" s="1"/>
  <c r="I105" i="20" s="1"/>
  <c r="W162" i="36"/>
  <c r="X162" i="36" s="1"/>
  <c r="Y162" i="36" s="1"/>
  <c r="AE162" i="36"/>
  <c r="W164" i="36"/>
  <c r="X164" i="36" s="1"/>
  <c r="Y164" i="36" s="1"/>
  <c r="AE164" i="36"/>
  <c r="V199" i="36"/>
  <c r="AE199" i="36" s="1"/>
  <c r="AK199" i="36" s="1"/>
  <c r="W229" i="36"/>
  <c r="K160" i="36"/>
  <c r="R176" i="36"/>
  <c r="X176" i="36" s="1"/>
  <c r="AG176" i="36" s="1"/>
  <c r="AM176" i="36" s="1"/>
  <c r="L176" i="36"/>
  <c r="L175" i="36"/>
  <c r="R175" i="36"/>
  <c r="X175" i="36" s="1"/>
  <c r="AG175" i="36" s="1"/>
  <c r="AM175" i="36" s="1"/>
  <c r="K159" i="36"/>
  <c r="Q172" i="36"/>
  <c r="R172" i="36" s="1"/>
  <c r="S172" i="36" s="1"/>
  <c r="V172" i="36"/>
  <c r="V144" i="36"/>
  <c r="Q144" i="36"/>
  <c r="R144" i="36" s="1"/>
  <c r="S144" i="36" s="1"/>
  <c r="R229" i="36"/>
  <c r="Q199" i="36"/>
  <c r="M129" i="20"/>
  <c r="S129" i="20" s="1"/>
  <c r="Y129" i="20" s="1"/>
  <c r="X63" i="30"/>
  <c r="V142" i="36"/>
  <c r="Q142" i="36"/>
  <c r="R142" i="36" s="1"/>
  <c r="S142" i="36" s="1"/>
  <c r="J196" i="36"/>
  <c r="K196" i="36" s="1"/>
  <c r="L196" i="36" s="1"/>
  <c r="P196" i="36"/>
  <c r="V169" i="36"/>
  <c r="Q169" i="36"/>
  <c r="R169" i="36" s="1"/>
  <c r="S169" i="36" s="1"/>
  <c r="AE161" i="36"/>
  <c r="W161" i="36"/>
  <c r="X161" i="36" s="1"/>
  <c r="Y161" i="36" s="1"/>
  <c r="J198" i="36"/>
  <c r="P198" i="36"/>
  <c r="AE159" i="36"/>
  <c r="W159" i="36"/>
  <c r="X159" i="36" s="1"/>
  <c r="Y159" i="36" s="1"/>
  <c r="R228" i="36"/>
  <c r="W228" i="36"/>
  <c r="L180" i="36"/>
  <c r="R180" i="36"/>
  <c r="X180" i="36" s="1"/>
  <c r="AG180" i="36" s="1"/>
  <c r="AM180" i="36" s="1"/>
  <c r="K164" i="36"/>
  <c r="J173" i="36"/>
  <c r="K173" i="36" s="1"/>
  <c r="L173" i="36" s="1"/>
  <c r="P173" i="36"/>
  <c r="Q146" i="36"/>
  <c r="R146" i="36" s="1"/>
  <c r="S146" i="36" s="1"/>
  <c r="V146" i="36"/>
  <c r="L178" i="36"/>
  <c r="R178" i="36"/>
  <c r="X178" i="36" s="1"/>
  <c r="AG178" i="36" s="1"/>
  <c r="AM178" i="36" s="1"/>
  <c r="K162" i="36"/>
  <c r="V167" i="36"/>
  <c r="Q167" i="36"/>
  <c r="R167" i="36" s="1"/>
  <c r="S167" i="36" s="1"/>
  <c r="R179" i="36"/>
  <c r="X179" i="36" s="1"/>
  <c r="AG179" i="36" s="1"/>
  <c r="AM179" i="36" s="1"/>
  <c r="K163" i="36"/>
  <c r="L179" i="36"/>
  <c r="Q143" i="36"/>
  <c r="R143" i="36" s="1"/>
  <c r="S143" i="36" s="1"/>
  <c r="V143" i="36"/>
  <c r="P145" i="36"/>
  <c r="V170" i="36"/>
  <c r="Q170" i="36"/>
  <c r="R170" i="36" s="1"/>
  <c r="S170" i="36" s="1"/>
  <c r="AE163" i="36"/>
  <c r="W163" i="36"/>
  <c r="X163" i="36" s="1"/>
  <c r="Y163" i="36" s="1"/>
  <c r="L177" i="36"/>
  <c r="R177" i="36"/>
  <c r="X177" i="36" s="1"/>
  <c r="AG177" i="36" s="1"/>
  <c r="AM177" i="36" s="1"/>
  <c r="K161" i="36"/>
  <c r="AE160" i="36"/>
  <c r="W160" i="36"/>
  <c r="X160" i="36" s="1"/>
  <c r="Y160" i="36" s="1"/>
  <c r="V168" i="36"/>
  <c r="Q168" i="36"/>
  <c r="R168" i="36" s="1"/>
  <c r="S168" i="36" s="1"/>
  <c r="V171" i="36"/>
  <c r="Q171" i="36"/>
  <c r="R171" i="36" s="1"/>
  <c r="S171" i="36" s="1"/>
  <c r="P147" i="36"/>
  <c r="G149" i="31"/>
  <c r="H181" i="31"/>
  <c r="I181" i="31" s="1"/>
  <c r="J181" i="31" s="1"/>
  <c r="N181" i="31" s="1"/>
  <c r="O181" i="31" s="1"/>
  <c r="T181" i="31"/>
  <c r="O182" i="30"/>
  <c r="T182" i="30"/>
  <c r="N152" i="30"/>
  <c r="N123" i="32"/>
  <c r="H123" i="32"/>
  <c r="I123" i="32" s="1"/>
  <c r="J123" i="32" s="1"/>
  <c r="O112" i="32"/>
  <c r="P112" i="32" s="1"/>
  <c r="Q112" i="32" s="1"/>
  <c r="T112" i="32"/>
  <c r="T115" i="32"/>
  <c r="O115" i="32"/>
  <c r="P115" i="32" s="1"/>
  <c r="Q115" i="32" s="1"/>
  <c r="N152" i="32"/>
  <c r="O182" i="32"/>
  <c r="T182" i="32"/>
  <c r="I128" i="30"/>
  <c r="O128" i="30"/>
  <c r="U128" i="30" s="1"/>
  <c r="AD128" i="30" s="1"/>
  <c r="AJ128" i="30" s="1"/>
  <c r="H112" i="30"/>
  <c r="T113" i="32"/>
  <c r="O113" i="32"/>
  <c r="P113" i="32" s="1"/>
  <c r="Q113" i="32" s="1"/>
  <c r="N125" i="31"/>
  <c r="H125" i="31"/>
  <c r="I125" i="31" s="1"/>
  <c r="J125" i="31" s="1"/>
  <c r="T117" i="30"/>
  <c r="O117" i="30"/>
  <c r="P117" i="30" s="1"/>
  <c r="Q117" i="30" s="1"/>
  <c r="H121" i="31"/>
  <c r="I121" i="31" s="1"/>
  <c r="J121" i="31" s="1"/>
  <c r="N121" i="31"/>
  <c r="N96" i="31" s="1"/>
  <c r="G151" i="32"/>
  <c r="H152" i="32"/>
  <c r="I152" i="32" s="1"/>
  <c r="J152" i="32" s="1"/>
  <c r="H120" i="30"/>
  <c r="I120" i="30" s="1"/>
  <c r="J120" i="30" s="1"/>
  <c r="N120" i="30"/>
  <c r="N95" i="30" s="1"/>
  <c r="G126" i="30"/>
  <c r="H107" i="20"/>
  <c r="H91" i="20" s="1"/>
  <c r="M107" i="20"/>
  <c r="S107" i="20" s="1"/>
  <c r="Y107" i="20" s="1"/>
  <c r="AE107" i="20" s="1"/>
  <c r="T114" i="31"/>
  <c r="O114" i="31"/>
  <c r="P114" i="31" s="1"/>
  <c r="Q114" i="31" s="1"/>
  <c r="G126" i="31"/>
  <c r="H122" i="31"/>
  <c r="I122" i="31" s="1"/>
  <c r="J122" i="31" s="1"/>
  <c r="N122" i="31"/>
  <c r="L102" i="20"/>
  <c r="G102" i="20"/>
  <c r="H102" i="20" s="1"/>
  <c r="I102" i="20" s="1"/>
  <c r="N124" i="30"/>
  <c r="H124" i="30"/>
  <c r="I124" i="30" s="1"/>
  <c r="J124" i="30" s="1"/>
  <c r="T182" i="31"/>
  <c r="O182" i="31"/>
  <c r="N152" i="31"/>
  <c r="O113" i="31"/>
  <c r="P113" i="31" s="1"/>
  <c r="Q113" i="31" s="1"/>
  <c r="T113" i="31"/>
  <c r="L99" i="20"/>
  <c r="G99" i="20"/>
  <c r="H99" i="20" s="1"/>
  <c r="I99" i="20" s="1"/>
  <c r="N125" i="30"/>
  <c r="N100" i="30" s="1"/>
  <c r="H125" i="30"/>
  <c r="I125" i="30" s="1"/>
  <c r="J125" i="30" s="1"/>
  <c r="I132" i="30"/>
  <c r="O132" i="30"/>
  <c r="U132" i="30" s="1"/>
  <c r="AD132" i="30" s="1"/>
  <c r="AJ132" i="30" s="1"/>
  <c r="H116" i="30"/>
  <c r="H115" i="32"/>
  <c r="I131" i="32"/>
  <c r="O131" i="32"/>
  <c r="U131" i="32" s="1"/>
  <c r="AD131" i="32" s="1"/>
  <c r="AJ131" i="32" s="1"/>
  <c r="G151" i="31"/>
  <c r="H152" i="31"/>
  <c r="I152" i="31" s="1"/>
  <c r="J152" i="31" s="1"/>
  <c r="O129" i="31"/>
  <c r="U129" i="31" s="1"/>
  <c r="AD129" i="31" s="1"/>
  <c r="AJ129" i="31" s="1"/>
  <c r="I129" i="31"/>
  <c r="H113" i="31"/>
  <c r="G151" i="30"/>
  <c r="H152" i="30"/>
  <c r="I152" i="30" s="1"/>
  <c r="J152" i="30" s="1"/>
  <c r="O129" i="32"/>
  <c r="U129" i="32" s="1"/>
  <c r="AD129" i="32" s="1"/>
  <c r="AJ129" i="32" s="1"/>
  <c r="I129" i="32"/>
  <c r="H113" i="32"/>
  <c r="O116" i="32"/>
  <c r="P116" i="32" s="1"/>
  <c r="Q116" i="32" s="1"/>
  <c r="T116" i="32"/>
  <c r="T116" i="31"/>
  <c r="O116" i="31"/>
  <c r="P116" i="31" s="1"/>
  <c r="Q116" i="31" s="1"/>
  <c r="I128" i="32"/>
  <c r="O128" i="32"/>
  <c r="U128" i="32" s="1"/>
  <c r="AD128" i="32" s="1"/>
  <c r="AJ128" i="32" s="1"/>
  <c r="H112" i="32"/>
  <c r="H181" i="30"/>
  <c r="I181" i="30" s="1"/>
  <c r="J181" i="30" s="1"/>
  <c r="N181" i="30" s="1"/>
  <c r="O181" i="30" s="1"/>
  <c r="G149" i="30"/>
  <c r="T181" i="30"/>
  <c r="N121" i="32"/>
  <c r="N96" i="32" s="1"/>
  <c r="H121" i="32"/>
  <c r="I121" i="32" s="1"/>
  <c r="J121" i="32" s="1"/>
  <c r="T117" i="31"/>
  <c r="O117" i="31"/>
  <c r="P117" i="31" s="1"/>
  <c r="Q117" i="31" s="1"/>
  <c r="N100" i="31"/>
  <c r="I133" i="30"/>
  <c r="O133" i="30"/>
  <c r="U133" i="30" s="1"/>
  <c r="AD133" i="30" s="1"/>
  <c r="AJ133" i="30" s="1"/>
  <c r="H117" i="30"/>
  <c r="H117" i="31"/>
  <c r="I133" i="31"/>
  <c r="O133" i="31"/>
  <c r="U133" i="31" s="1"/>
  <c r="AD133" i="31" s="1"/>
  <c r="AJ133" i="31" s="1"/>
  <c r="T114" i="32"/>
  <c r="O114" i="32"/>
  <c r="P114" i="32" s="1"/>
  <c r="Q114" i="32" s="1"/>
  <c r="H124" i="32"/>
  <c r="I124" i="32" s="1"/>
  <c r="J124" i="32" s="1"/>
  <c r="N124" i="32"/>
  <c r="N99" i="32" s="1"/>
  <c r="O132" i="31"/>
  <c r="U132" i="31" s="1"/>
  <c r="AD132" i="31" s="1"/>
  <c r="AJ132" i="31" s="1"/>
  <c r="I132" i="31"/>
  <c r="H116" i="31"/>
  <c r="H120" i="32"/>
  <c r="I120" i="32" s="1"/>
  <c r="J120" i="32" s="1"/>
  <c r="N120" i="32"/>
  <c r="G126" i="32"/>
  <c r="L104" i="20"/>
  <c r="G104" i="20"/>
  <c r="H104" i="20" s="1"/>
  <c r="I104" i="20" s="1"/>
  <c r="T117" i="32"/>
  <c r="O117" i="32"/>
  <c r="P117" i="32" s="1"/>
  <c r="Q117" i="32" s="1"/>
  <c r="H122" i="30"/>
  <c r="I122" i="30" s="1"/>
  <c r="J122" i="30" s="1"/>
  <c r="N122" i="30"/>
  <c r="N97" i="30" s="1"/>
  <c r="I130" i="32"/>
  <c r="O130" i="32"/>
  <c r="U130" i="32" s="1"/>
  <c r="AD130" i="32" s="1"/>
  <c r="AJ130" i="32" s="1"/>
  <c r="H114" i="32"/>
  <c r="O132" i="32"/>
  <c r="U132" i="32" s="1"/>
  <c r="AD132" i="32" s="1"/>
  <c r="AJ132" i="32" s="1"/>
  <c r="I132" i="32"/>
  <c r="H116" i="32"/>
  <c r="N124" i="31"/>
  <c r="N99" i="31" s="1"/>
  <c r="H124" i="31"/>
  <c r="I124" i="31" s="1"/>
  <c r="J124" i="31" s="1"/>
  <c r="O112" i="31"/>
  <c r="P112" i="31" s="1"/>
  <c r="Q112" i="31" s="1"/>
  <c r="T112" i="31"/>
  <c r="M112" i="20"/>
  <c r="S112" i="20" s="1"/>
  <c r="Y112" i="20" s="1"/>
  <c r="AE112" i="20" s="1"/>
  <c r="H112" i="20"/>
  <c r="G96" i="20"/>
  <c r="I129" i="30"/>
  <c r="O129" i="30"/>
  <c r="U129" i="30" s="1"/>
  <c r="AD129" i="30" s="1"/>
  <c r="AJ129" i="30" s="1"/>
  <c r="H113" i="30"/>
  <c r="O133" i="32"/>
  <c r="U133" i="32" s="1"/>
  <c r="AD133" i="32" s="1"/>
  <c r="AJ133" i="32" s="1"/>
  <c r="I133" i="32"/>
  <c r="H117" i="32"/>
  <c r="O115" i="31"/>
  <c r="P115" i="31" s="1"/>
  <c r="Q115" i="31" s="1"/>
  <c r="T115" i="31"/>
  <c r="O115" i="30"/>
  <c r="P115" i="30" s="1"/>
  <c r="Q115" i="30" s="1"/>
  <c r="T115" i="30"/>
  <c r="N122" i="32"/>
  <c r="H122" i="32"/>
  <c r="I122" i="32" s="1"/>
  <c r="J122" i="32" s="1"/>
  <c r="N123" i="30"/>
  <c r="N98" i="30" s="1"/>
  <c r="H123" i="30"/>
  <c r="I123" i="30" s="1"/>
  <c r="J123" i="30" s="1"/>
  <c r="H125" i="32"/>
  <c r="I125" i="32" s="1"/>
  <c r="J125" i="32" s="1"/>
  <c r="N125" i="32"/>
  <c r="H112" i="31"/>
  <c r="O128" i="31"/>
  <c r="U128" i="31" s="1"/>
  <c r="AD128" i="31" s="1"/>
  <c r="AJ128" i="31" s="1"/>
  <c r="I128" i="31"/>
  <c r="T181" i="32"/>
  <c r="H181" i="32"/>
  <c r="I181" i="32" s="1"/>
  <c r="J181" i="32" s="1"/>
  <c r="N181" i="32" s="1"/>
  <c r="O181" i="32" s="1"/>
  <c r="G149" i="32"/>
  <c r="O112" i="30"/>
  <c r="P112" i="30" s="1"/>
  <c r="Q112" i="30" s="1"/>
  <c r="T112" i="30"/>
  <c r="N121" i="30"/>
  <c r="H121" i="30"/>
  <c r="I121" i="30" s="1"/>
  <c r="J121" i="30" s="1"/>
  <c r="T114" i="30"/>
  <c r="O114" i="30"/>
  <c r="P114" i="30" s="1"/>
  <c r="Q114" i="30" s="1"/>
  <c r="N123" i="31"/>
  <c r="H123" i="31"/>
  <c r="I123" i="31" s="1"/>
  <c r="J123" i="31" s="1"/>
  <c r="T113" i="30"/>
  <c r="O113" i="30"/>
  <c r="P113" i="30" s="1"/>
  <c r="Q113" i="30" s="1"/>
  <c r="O130" i="30"/>
  <c r="U130" i="30" s="1"/>
  <c r="AD130" i="30" s="1"/>
  <c r="AJ130" i="30" s="1"/>
  <c r="I130" i="30"/>
  <c r="H114" i="30"/>
  <c r="N120" i="31"/>
  <c r="N95" i="31" s="1"/>
  <c r="H120" i="31"/>
  <c r="I120" i="31" s="1"/>
  <c r="J120" i="31" s="1"/>
  <c r="H114" i="31"/>
  <c r="I130" i="31"/>
  <c r="O130" i="31"/>
  <c r="U130" i="31" s="1"/>
  <c r="AD130" i="31" s="1"/>
  <c r="AJ130" i="31" s="1"/>
  <c r="M110" i="20"/>
  <c r="S110" i="20" s="1"/>
  <c r="Y110" i="20" s="1"/>
  <c r="AE110" i="20" s="1"/>
  <c r="H110" i="20"/>
  <c r="H94" i="20" s="1"/>
  <c r="T116" i="30"/>
  <c r="N99" i="30"/>
  <c r="O116" i="30"/>
  <c r="P116" i="30" s="1"/>
  <c r="Q116" i="30" s="1"/>
  <c r="O131" i="31"/>
  <c r="U131" i="31" s="1"/>
  <c r="AD131" i="31" s="1"/>
  <c r="AJ131" i="31" s="1"/>
  <c r="I131" i="31"/>
  <c r="H115" i="31"/>
  <c r="I131" i="30"/>
  <c r="O131" i="30"/>
  <c r="U131" i="30" s="1"/>
  <c r="AD131" i="30" s="1"/>
  <c r="AJ131" i="30" s="1"/>
  <c r="H115" i="30"/>
  <c r="R63" i="31"/>
  <c r="W154" i="31"/>
  <c r="W63" i="31" s="1"/>
  <c r="V63" i="31"/>
  <c r="AF153" i="30"/>
  <c r="L105" i="20"/>
  <c r="R105" i="20" s="1"/>
  <c r="H127" i="20"/>
  <c r="I118" i="20"/>
  <c r="AD134" i="20"/>
  <c r="AE134" i="20" s="1"/>
  <c r="AF134" i="20" s="1"/>
  <c r="AG134" i="20" s="1"/>
  <c r="Y134" i="20"/>
  <c r="Z134" i="20" s="1"/>
  <c r="AA134" i="20" s="1"/>
  <c r="N125" i="20"/>
  <c r="AF125" i="20" s="1"/>
  <c r="I125" i="20"/>
  <c r="O125" i="20" s="1"/>
  <c r="AG125" i="20" s="1"/>
  <c r="O108" i="20"/>
  <c r="U108" i="20" s="1"/>
  <c r="AA108" i="20" s="1"/>
  <c r="AG108" i="20" s="1"/>
  <c r="I92" i="20"/>
  <c r="M127" i="20"/>
  <c r="R127" i="20"/>
  <c r="M78" i="20"/>
  <c r="N78" i="20" s="1"/>
  <c r="O78" i="20" s="1"/>
  <c r="R78" i="20"/>
  <c r="X93" i="20"/>
  <c r="S93" i="20"/>
  <c r="T93" i="20" s="1"/>
  <c r="U93" i="20" s="1"/>
  <c r="M100" i="20"/>
  <c r="N100" i="20" s="1"/>
  <c r="O100" i="20" s="1"/>
  <c r="R100" i="20"/>
  <c r="L75" i="20"/>
  <c r="X95" i="20"/>
  <c r="S95" i="20"/>
  <c r="T95" i="20" s="1"/>
  <c r="U95" i="20" s="1"/>
  <c r="N86" i="20"/>
  <c r="S86" i="20"/>
  <c r="Y86" i="20" s="1"/>
  <c r="AE86" i="20" s="1"/>
  <c r="I111" i="20"/>
  <c r="N111" i="20"/>
  <c r="T111" i="20" s="1"/>
  <c r="Z111" i="20" s="1"/>
  <c r="AF111" i="20" s="1"/>
  <c r="H95" i="20"/>
  <c r="I129" i="20"/>
  <c r="O129" i="20" s="1"/>
  <c r="N129" i="20"/>
  <c r="X96" i="20"/>
  <c r="S96" i="20"/>
  <c r="T96" i="20" s="1"/>
  <c r="U96" i="20" s="1"/>
  <c r="N85" i="20"/>
  <c r="S85" i="20"/>
  <c r="Y85" i="20" s="1"/>
  <c r="AE85" i="20" s="1"/>
  <c r="S83" i="20"/>
  <c r="Y83" i="20" s="1"/>
  <c r="AE83" i="20" s="1"/>
  <c r="N83" i="20"/>
  <c r="M76" i="20"/>
  <c r="N76" i="20" s="1"/>
  <c r="O76" i="20" s="1"/>
  <c r="R76" i="20"/>
  <c r="S94" i="20"/>
  <c r="T94" i="20" s="1"/>
  <c r="U94" i="20" s="1"/>
  <c r="X94" i="20"/>
  <c r="H74" i="20"/>
  <c r="I83" i="20"/>
  <c r="R101" i="20"/>
  <c r="M101" i="20"/>
  <c r="N101" i="20" s="1"/>
  <c r="O101" i="20" s="1"/>
  <c r="Y92" i="20"/>
  <c r="Z92" i="20" s="1"/>
  <c r="AA92" i="20" s="1"/>
  <c r="AD92" i="20"/>
  <c r="AE92" i="20" s="1"/>
  <c r="AF92" i="20" s="1"/>
  <c r="AG92" i="20" s="1"/>
  <c r="I93" i="20"/>
  <c r="I76" i="20"/>
  <c r="AD119" i="20"/>
  <c r="AE119" i="20" s="1"/>
  <c r="AF119" i="20" s="1"/>
  <c r="AG119" i="20" s="1"/>
  <c r="Y119" i="20"/>
  <c r="Z119" i="20" s="1"/>
  <c r="AA119" i="20" s="1"/>
  <c r="M103" i="20"/>
  <c r="N103" i="20" s="1"/>
  <c r="O103" i="20" s="1"/>
  <c r="R103" i="20"/>
  <c r="I86" i="20"/>
  <c r="H77" i="20"/>
  <c r="S88" i="20"/>
  <c r="Y88" i="20" s="1"/>
  <c r="AE88" i="20" s="1"/>
  <c r="N88" i="20"/>
  <c r="I79" i="20"/>
  <c r="S91" i="20"/>
  <c r="T91" i="20" s="1"/>
  <c r="U91" i="20" s="1"/>
  <c r="X91" i="20"/>
  <c r="T87" i="20"/>
  <c r="Z87" i="20" s="1"/>
  <c r="AF87" i="20" s="1"/>
  <c r="O87" i="20"/>
  <c r="U87" i="20" s="1"/>
  <c r="AA87" i="20" s="1"/>
  <c r="AG87" i="20" s="1"/>
  <c r="Y118" i="20"/>
  <c r="Z118" i="20" s="1"/>
  <c r="AD118" i="20"/>
  <c r="AE118" i="20" s="1"/>
  <c r="AF118" i="20" s="1"/>
  <c r="AG118" i="20" s="1"/>
  <c r="N118" i="20"/>
  <c r="P71" i="17"/>
  <c r="Q71" i="17" s="1"/>
  <c r="R71" i="17" s="1"/>
  <c r="U71" i="17"/>
  <c r="P70" i="17"/>
  <c r="Q70" i="17" s="1"/>
  <c r="R70" i="17" s="1"/>
  <c r="U70" i="17"/>
  <c r="P72" i="17"/>
  <c r="Q72" i="17" s="1"/>
  <c r="R72" i="17" s="1"/>
  <c r="U72" i="17"/>
  <c r="P73" i="17"/>
  <c r="Q73" i="17" s="1"/>
  <c r="R73" i="17" s="1"/>
  <c r="U73" i="17"/>
  <c r="P74" i="17"/>
  <c r="Q74" i="17" s="1"/>
  <c r="R74" i="17" s="1"/>
  <c r="U74" i="17"/>
  <c r="P96" i="17"/>
  <c r="Q96" i="17" s="1"/>
  <c r="R96" i="17" s="1"/>
  <c r="U96" i="17"/>
  <c r="P69" i="17"/>
  <c r="Q69" i="17" s="1"/>
  <c r="R69" i="17" s="1"/>
  <c r="U69" i="17"/>
  <c r="L102" i="17"/>
  <c r="AD102" i="17" s="1"/>
  <c r="AC102" i="17"/>
  <c r="P97" i="17"/>
  <c r="Q97" i="17" s="1"/>
  <c r="R97" i="17" s="1"/>
  <c r="U97" i="17"/>
  <c r="O77" i="17"/>
  <c r="O80" i="17"/>
  <c r="O79" i="17"/>
  <c r="O78" i="17"/>
  <c r="O82" i="17"/>
  <c r="O81" i="17"/>
  <c r="J96" i="17"/>
  <c r="K96" i="17"/>
  <c r="F63" i="17"/>
  <c r="F71" i="17" s="1"/>
  <c r="E71" i="17"/>
  <c r="J82" i="17"/>
  <c r="K82" i="17" s="1"/>
  <c r="L82" i="17" s="1"/>
  <c r="J80" i="17"/>
  <c r="K80" i="17" s="1"/>
  <c r="L80" i="17" s="1"/>
  <c r="J79" i="17"/>
  <c r="K79" i="17" s="1"/>
  <c r="L79" i="17" s="1"/>
  <c r="J77" i="17"/>
  <c r="K77" i="17" s="1"/>
  <c r="L77" i="17" s="1"/>
  <c r="J81" i="17"/>
  <c r="K81" i="17" s="1"/>
  <c r="L81" i="17" s="1"/>
  <c r="F65" i="17"/>
  <c r="F73" i="17" s="1"/>
  <c r="E73" i="17"/>
  <c r="J78" i="17"/>
  <c r="K78" i="17" s="1"/>
  <c r="L78" i="17" s="1"/>
  <c r="E54" i="17"/>
  <c r="F64" i="17"/>
  <c r="F72" i="17" s="1"/>
  <c r="E72" i="17"/>
  <c r="R98" i="17"/>
  <c r="X98" i="17" s="1"/>
  <c r="AD98" i="17" s="1"/>
  <c r="F96" i="17"/>
  <c r="Q63" i="17"/>
  <c r="W63" i="17" s="1"/>
  <c r="AC63" i="17" s="1"/>
  <c r="L94" i="17"/>
  <c r="R94" i="17" s="1"/>
  <c r="X94" i="17" s="1"/>
  <c r="AD94" i="17" s="1"/>
  <c r="G122" i="17"/>
  <c r="L122" i="17"/>
  <c r="R122" i="17" s="1"/>
  <c r="L114" i="17"/>
  <c r="R114" i="17" s="1"/>
  <c r="Q64" i="17"/>
  <c r="W64" i="17" s="1"/>
  <c r="AC64" i="17" s="1"/>
  <c r="Q65" i="17"/>
  <c r="W65" i="17" s="1"/>
  <c r="AC65" i="17" s="1"/>
  <c r="Q62" i="17"/>
  <c r="W62" i="17" s="1"/>
  <c r="AC62" i="17" s="1"/>
  <c r="F53" i="17"/>
  <c r="AE129" i="20" l="1"/>
  <c r="AK160" i="36"/>
  <c r="AL160" i="36" s="1"/>
  <c r="AM160" i="36" s="1"/>
  <c r="AN160" i="36" s="1"/>
  <c r="AF160" i="36"/>
  <c r="AG160" i="36" s="1"/>
  <c r="AH160" i="36" s="1"/>
  <c r="V196" i="36"/>
  <c r="Q196" i="36"/>
  <c r="R196" i="36" s="1"/>
  <c r="S196" i="36" s="1"/>
  <c r="S180" i="36"/>
  <c r="Y180" i="36" s="1"/>
  <c r="AH180" i="36" s="1"/>
  <c r="AN180" i="36" s="1"/>
  <c r="L164" i="36"/>
  <c r="S175" i="36"/>
  <c r="Y175" i="36" s="1"/>
  <c r="AH175" i="36" s="1"/>
  <c r="AN175" i="36" s="1"/>
  <c r="L159" i="36"/>
  <c r="S177" i="36"/>
  <c r="Y177" i="36" s="1"/>
  <c r="AH177" i="36" s="1"/>
  <c r="AN177" i="36" s="1"/>
  <c r="L161" i="36"/>
  <c r="AE167" i="36"/>
  <c r="W167" i="36"/>
  <c r="X167" i="36" s="1"/>
  <c r="Y167" i="36" s="1"/>
  <c r="X228" i="36"/>
  <c r="S228" i="36"/>
  <c r="Y228" i="36" s="1"/>
  <c r="W142" i="36"/>
  <c r="X142" i="36" s="1"/>
  <c r="Y142" i="36" s="1"/>
  <c r="AE142" i="36"/>
  <c r="S176" i="36"/>
  <c r="Y176" i="36" s="1"/>
  <c r="AH176" i="36" s="1"/>
  <c r="AN176" i="36" s="1"/>
  <c r="L160" i="36"/>
  <c r="AK163" i="36"/>
  <c r="AL163" i="36" s="1"/>
  <c r="AM163" i="36" s="1"/>
  <c r="AN163" i="36" s="1"/>
  <c r="AF163" i="36"/>
  <c r="AG163" i="36" s="1"/>
  <c r="AH163" i="36" s="1"/>
  <c r="AF159" i="36"/>
  <c r="AG159" i="36" s="1"/>
  <c r="AH159" i="36" s="1"/>
  <c r="AK159" i="36"/>
  <c r="AL159" i="36" s="1"/>
  <c r="AM159" i="36" s="1"/>
  <c r="AN159" i="36" s="1"/>
  <c r="Q147" i="36"/>
  <c r="R147" i="36" s="1"/>
  <c r="S147" i="36" s="1"/>
  <c r="V147" i="36"/>
  <c r="S178" i="36"/>
  <c r="Y178" i="36" s="1"/>
  <c r="AH178" i="36" s="1"/>
  <c r="AN178" i="36" s="1"/>
  <c r="L162" i="36"/>
  <c r="V198" i="36"/>
  <c r="AE198" i="36" s="1"/>
  <c r="AK198" i="36"/>
  <c r="W199" i="36"/>
  <c r="AF199" i="36" s="1"/>
  <c r="AL199" i="36" s="1"/>
  <c r="X229" i="36"/>
  <c r="AE170" i="36"/>
  <c r="W170" i="36"/>
  <c r="X170" i="36" s="1"/>
  <c r="Y170" i="36" s="1"/>
  <c r="W146" i="36"/>
  <c r="X146" i="36" s="1"/>
  <c r="Y146" i="36" s="1"/>
  <c r="AE146" i="36"/>
  <c r="Q198" i="36"/>
  <c r="K198" i="36"/>
  <c r="R199" i="36"/>
  <c r="S229" i="36"/>
  <c r="S199" i="36" s="1"/>
  <c r="W171" i="36"/>
  <c r="X171" i="36" s="1"/>
  <c r="Y171" i="36" s="1"/>
  <c r="AE171" i="36"/>
  <c r="Q145" i="36"/>
  <c r="R145" i="36" s="1"/>
  <c r="S145" i="36" s="1"/>
  <c r="V145" i="36"/>
  <c r="AK164" i="36"/>
  <c r="AL164" i="36" s="1"/>
  <c r="AM164" i="36" s="1"/>
  <c r="AN164" i="36" s="1"/>
  <c r="AF164" i="36"/>
  <c r="AG164" i="36" s="1"/>
  <c r="AH164" i="36" s="1"/>
  <c r="AE143" i="36"/>
  <c r="W143" i="36"/>
  <c r="X143" i="36" s="1"/>
  <c r="Y143" i="36" s="1"/>
  <c r="Q173" i="36"/>
  <c r="R173" i="36" s="1"/>
  <c r="S173" i="36" s="1"/>
  <c r="V173" i="36"/>
  <c r="AF161" i="36"/>
  <c r="AG161" i="36" s="1"/>
  <c r="AH161" i="36" s="1"/>
  <c r="AK161" i="36"/>
  <c r="AL161" i="36" s="1"/>
  <c r="AM161" i="36" s="1"/>
  <c r="AN161" i="36" s="1"/>
  <c r="AE144" i="36"/>
  <c r="W144" i="36"/>
  <c r="X144" i="36" s="1"/>
  <c r="Y144" i="36" s="1"/>
  <c r="W168" i="36"/>
  <c r="X168" i="36" s="1"/>
  <c r="Y168" i="36" s="1"/>
  <c r="AE168" i="36"/>
  <c r="W172" i="36"/>
  <c r="X172" i="36" s="1"/>
  <c r="Y172" i="36" s="1"/>
  <c r="AE172" i="36"/>
  <c r="AF162" i="36"/>
  <c r="AG162" i="36" s="1"/>
  <c r="AH162" i="36" s="1"/>
  <c r="AK162" i="36"/>
  <c r="AL162" i="36" s="1"/>
  <c r="AM162" i="36" s="1"/>
  <c r="AN162" i="36" s="1"/>
  <c r="S179" i="36"/>
  <c r="Y179" i="36" s="1"/>
  <c r="AH179" i="36" s="1"/>
  <c r="AN179" i="36" s="1"/>
  <c r="L163" i="36"/>
  <c r="W169" i="36"/>
  <c r="X169" i="36" s="1"/>
  <c r="Y169" i="36" s="1"/>
  <c r="AE169" i="36"/>
  <c r="U116" i="30"/>
  <c r="V116" i="30" s="1"/>
  <c r="W116" i="30" s="1"/>
  <c r="AC116" i="30"/>
  <c r="AC113" i="30"/>
  <c r="U113" i="30"/>
  <c r="V113" i="30" s="1"/>
  <c r="W113" i="30" s="1"/>
  <c r="P181" i="32"/>
  <c r="U181" i="32"/>
  <c r="N110" i="20"/>
  <c r="T110" i="20" s="1"/>
  <c r="Z110" i="20" s="1"/>
  <c r="AF110" i="20" s="1"/>
  <c r="I110" i="20"/>
  <c r="O110" i="20" s="1"/>
  <c r="U110" i="20" s="1"/>
  <c r="AA110" i="20" s="1"/>
  <c r="AG110" i="20" s="1"/>
  <c r="O123" i="31"/>
  <c r="P123" i="31" s="1"/>
  <c r="Q123" i="31" s="1"/>
  <c r="T123" i="31"/>
  <c r="N98" i="31"/>
  <c r="I112" i="31"/>
  <c r="J128" i="31"/>
  <c r="P128" i="31"/>
  <c r="V128" i="31" s="1"/>
  <c r="AE128" i="31" s="1"/>
  <c r="AK128" i="31" s="1"/>
  <c r="U115" i="31"/>
  <c r="V115" i="31" s="1"/>
  <c r="W115" i="31" s="1"/>
  <c r="AC115" i="31"/>
  <c r="T99" i="31"/>
  <c r="O99" i="31"/>
  <c r="P99" i="31" s="1"/>
  <c r="Q99" i="31" s="1"/>
  <c r="P129" i="30"/>
  <c r="V129" i="30" s="1"/>
  <c r="AE129" i="30" s="1"/>
  <c r="AK129" i="30" s="1"/>
  <c r="J129" i="30"/>
  <c r="I113" i="30"/>
  <c r="T122" i="32"/>
  <c r="O122" i="32"/>
  <c r="P122" i="32" s="1"/>
  <c r="Q122" i="32" s="1"/>
  <c r="N97" i="32"/>
  <c r="P131" i="31"/>
  <c r="V131" i="31" s="1"/>
  <c r="AE131" i="31" s="1"/>
  <c r="AK131" i="31" s="1"/>
  <c r="I115" i="31"/>
  <c r="J131" i="31"/>
  <c r="O95" i="30"/>
  <c r="P95" i="30" s="1"/>
  <c r="Q95" i="30" s="1"/>
  <c r="T95" i="30"/>
  <c r="T123" i="30"/>
  <c r="O123" i="30"/>
  <c r="P123" i="30" s="1"/>
  <c r="Q123" i="30" s="1"/>
  <c r="P132" i="32"/>
  <c r="V132" i="32" s="1"/>
  <c r="AE132" i="32" s="1"/>
  <c r="AK132" i="32" s="1"/>
  <c r="J132" i="32"/>
  <c r="I116" i="32"/>
  <c r="N126" i="32"/>
  <c r="H126" i="32"/>
  <c r="I126" i="32" s="1"/>
  <c r="J126" i="32" s="1"/>
  <c r="I117" i="31"/>
  <c r="J133" i="31"/>
  <c r="P133" i="31"/>
  <c r="V133" i="31" s="1"/>
  <c r="AE133" i="31" s="1"/>
  <c r="AK133" i="31" s="1"/>
  <c r="U181" i="30"/>
  <c r="P181" i="30"/>
  <c r="T120" i="30"/>
  <c r="O120" i="30"/>
  <c r="P120" i="30" s="1"/>
  <c r="Q120" i="30" s="1"/>
  <c r="O125" i="31"/>
  <c r="P125" i="31" s="1"/>
  <c r="Q125" i="31" s="1"/>
  <c r="T125" i="31"/>
  <c r="AC115" i="32"/>
  <c r="U115" i="32"/>
  <c r="V115" i="32" s="1"/>
  <c r="W115" i="32" s="1"/>
  <c r="I114" i="30"/>
  <c r="J130" i="30"/>
  <c r="P130" i="30"/>
  <c r="V130" i="30" s="1"/>
  <c r="AE130" i="30" s="1"/>
  <c r="AK130" i="30" s="1"/>
  <c r="AC112" i="30"/>
  <c r="U112" i="30"/>
  <c r="V112" i="30" s="1"/>
  <c r="W112" i="30" s="1"/>
  <c r="O120" i="32"/>
  <c r="P120" i="32" s="1"/>
  <c r="Q120" i="32" s="1"/>
  <c r="T120" i="32"/>
  <c r="J132" i="30"/>
  <c r="P132" i="30"/>
  <c r="V132" i="30" s="1"/>
  <c r="AE132" i="30" s="1"/>
  <c r="AK132" i="30" s="1"/>
  <c r="I116" i="30"/>
  <c r="T124" i="30"/>
  <c r="O124" i="30"/>
  <c r="P124" i="30" s="1"/>
  <c r="Q124" i="30" s="1"/>
  <c r="N95" i="32"/>
  <c r="N151" i="30"/>
  <c r="H151" i="30"/>
  <c r="O96" i="32"/>
  <c r="P96" i="32" s="1"/>
  <c r="Q96" i="32" s="1"/>
  <c r="T96" i="32"/>
  <c r="AC112" i="32"/>
  <c r="U112" i="32"/>
  <c r="V112" i="32" s="1"/>
  <c r="W112" i="32" s="1"/>
  <c r="T99" i="30"/>
  <c r="O99" i="30"/>
  <c r="P99" i="30" s="1"/>
  <c r="Q99" i="30" s="1"/>
  <c r="N149" i="32"/>
  <c r="H149" i="32"/>
  <c r="I149" i="32" s="1"/>
  <c r="J149" i="32" s="1"/>
  <c r="U115" i="30"/>
  <c r="V115" i="30" s="1"/>
  <c r="W115" i="30" s="1"/>
  <c r="AC115" i="30"/>
  <c r="P128" i="32"/>
  <c r="V128" i="32" s="1"/>
  <c r="AE128" i="32" s="1"/>
  <c r="AK128" i="32" s="1"/>
  <c r="I112" i="32"/>
  <c r="J128" i="32"/>
  <c r="O125" i="30"/>
  <c r="P125" i="30" s="1"/>
  <c r="Q125" i="30" s="1"/>
  <c r="T125" i="30"/>
  <c r="M102" i="20"/>
  <c r="N102" i="20" s="1"/>
  <c r="O102" i="20" s="1"/>
  <c r="R102" i="20"/>
  <c r="L77" i="20"/>
  <c r="H151" i="32"/>
  <c r="N151" i="32"/>
  <c r="U113" i="32"/>
  <c r="V113" i="32" s="1"/>
  <c r="W113" i="32" s="1"/>
  <c r="AC113" i="32"/>
  <c r="N112" i="20"/>
  <c r="T112" i="20" s="1"/>
  <c r="Z112" i="20" s="1"/>
  <c r="AF112" i="20" s="1"/>
  <c r="I112" i="20"/>
  <c r="H96" i="20"/>
  <c r="P130" i="32"/>
  <c r="V130" i="32" s="1"/>
  <c r="AE130" i="32" s="1"/>
  <c r="AK130" i="32" s="1"/>
  <c r="J130" i="32"/>
  <c r="I114" i="32"/>
  <c r="I116" i="31"/>
  <c r="J132" i="31"/>
  <c r="P132" i="31"/>
  <c r="V132" i="31" s="1"/>
  <c r="AE132" i="31" s="1"/>
  <c r="AK132" i="31" s="1"/>
  <c r="I117" i="30"/>
  <c r="J133" i="30"/>
  <c r="P133" i="30"/>
  <c r="V133" i="30" s="1"/>
  <c r="AE133" i="30" s="1"/>
  <c r="AK133" i="30" s="1"/>
  <c r="P129" i="31"/>
  <c r="V129" i="31" s="1"/>
  <c r="AE129" i="31" s="1"/>
  <c r="AK129" i="31" s="1"/>
  <c r="J129" i="31"/>
  <c r="I113" i="31"/>
  <c r="N97" i="31"/>
  <c r="T122" i="31"/>
  <c r="O122" i="31"/>
  <c r="P122" i="31" s="1"/>
  <c r="Q122" i="31" s="1"/>
  <c r="T98" i="30"/>
  <c r="O98" i="30"/>
  <c r="P98" i="30" s="1"/>
  <c r="Q98" i="30" s="1"/>
  <c r="O122" i="30"/>
  <c r="P122" i="30" s="1"/>
  <c r="Q122" i="30" s="1"/>
  <c r="T122" i="30"/>
  <c r="T100" i="31"/>
  <c r="O100" i="31"/>
  <c r="P100" i="31" s="1"/>
  <c r="Q100" i="31" s="1"/>
  <c r="R99" i="20"/>
  <c r="M99" i="20"/>
  <c r="N99" i="20" s="1"/>
  <c r="O99" i="20" s="1"/>
  <c r="L74" i="20"/>
  <c r="O123" i="32"/>
  <c r="P123" i="32" s="1"/>
  <c r="Q123" i="32" s="1"/>
  <c r="T123" i="32"/>
  <c r="AC112" i="31"/>
  <c r="U112" i="31"/>
  <c r="V112" i="31" s="1"/>
  <c r="W112" i="31" s="1"/>
  <c r="T124" i="32"/>
  <c r="O124" i="32"/>
  <c r="P124" i="32" s="1"/>
  <c r="Q124" i="32" s="1"/>
  <c r="AC116" i="31"/>
  <c r="U116" i="31"/>
  <c r="V116" i="31" s="1"/>
  <c r="W116" i="31" s="1"/>
  <c r="AC113" i="31"/>
  <c r="U113" i="31"/>
  <c r="V113" i="31" s="1"/>
  <c r="W113" i="31" s="1"/>
  <c r="N126" i="31"/>
  <c r="H126" i="31"/>
  <c r="I126" i="31" s="1"/>
  <c r="J126" i="31" s="1"/>
  <c r="T121" i="31"/>
  <c r="O121" i="31"/>
  <c r="P121" i="31" s="1"/>
  <c r="Q121" i="31" s="1"/>
  <c r="P128" i="30"/>
  <c r="V128" i="30" s="1"/>
  <c r="AE128" i="30" s="1"/>
  <c r="AK128" i="30" s="1"/>
  <c r="J128" i="30"/>
  <c r="I112" i="30"/>
  <c r="T97" i="30"/>
  <c r="O97" i="30"/>
  <c r="P97" i="30" s="1"/>
  <c r="Q97" i="30" s="1"/>
  <c r="T95" i="31"/>
  <c r="O95" i="31"/>
  <c r="P95" i="31" s="1"/>
  <c r="Q95" i="31" s="1"/>
  <c r="AC117" i="31"/>
  <c r="U117" i="31"/>
  <c r="V117" i="31" s="1"/>
  <c r="W117" i="31" s="1"/>
  <c r="U116" i="32"/>
  <c r="V116" i="32" s="1"/>
  <c r="W116" i="32" s="1"/>
  <c r="AC116" i="32"/>
  <c r="N151" i="31"/>
  <c r="H151" i="31"/>
  <c r="T96" i="31"/>
  <c r="O96" i="31"/>
  <c r="P96" i="31" s="1"/>
  <c r="Q96" i="31" s="1"/>
  <c r="U182" i="32"/>
  <c r="T152" i="32"/>
  <c r="AC152" i="32" s="1"/>
  <c r="AI152" i="32" s="1"/>
  <c r="T152" i="30"/>
  <c r="AC152" i="30" s="1"/>
  <c r="AI152" i="30" s="1"/>
  <c r="U182" i="30"/>
  <c r="I114" i="31"/>
  <c r="J130" i="31"/>
  <c r="P130" i="31"/>
  <c r="V130" i="31" s="1"/>
  <c r="AE130" i="31" s="1"/>
  <c r="AK130" i="31" s="1"/>
  <c r="AC117" i="32"/>
  <c r="U117" i="32"/>
  <c r="V117" i="32" s="1"/>
  <c r="W117" i="32" s="1"/>
  <c r="O99" i="32"/>
  <c r="P99" i="32" s="1"/>
  <c r="Q99" i="32" s="1"/>
  <c r="T99" i="32"/>
  <c r="AC114" i="31"/>
  <c r="U114" i="31"/>
  <c r="V114" i="31" s="1"/>
  <c r="W114" i="31" s="1"/>
  <c r="O100" i="30"/>
  <c r="P100" i="30" s="1"/>
  <c r="Q100" i="30" s="1"/>
  <c r="T100" i="30"/>
  <c r="P182" i="32"/>
  <c r="O152" i="32"/>
  <c r="P182" i="30"/>
  <c r="O152" i="30"/>
  <c r="AC114" i="30"/>
  <c r="U114" i="30"/>
  <c r="V114" i="30" s="1"/>
  <c r="W114" i="30" s="1"/>
  <c r="O125" i="32"/>
  <c r="P125" i="32" s="1"/>
  <c r="Q125" i="32" s="1"/>
  <c r="T125" i="32"/>
  <c r="N100" i="32"/>
  <c r="AC114" i="32"/>
  <c r="U114" i="32"/>
  <c r="V114" i="32" s="1"/>
  <c r="W114" i="32" s="1"/>
  <c r="O121" i="32"/>
  <c r="P121" i="32" s="1"/>
  <c r="Q121" i="32" s="1"/>
  <c r="T121" i="32"/>
  <c r="J131" i="32"/>
  <c r="I115" i="32"/>
  <c r="P131" i="32"/>
  <c r="V131" i="32" s="1"/>
  <c r="AE131" i="32" s="1"/>
  <c r="AK131" i="32" s="1"/>
  <c r="J133" i="32"/>
  <c r="P133" i="32"/>
  <c r="V133" i="32" s="1"/>
  <c r="AE133" i="32" s="1"/>
  <c r="AK133" i="32" s="1"/>
  <c r="I117" i="32"/>
  <c r="P182" i="31"/>
  <c r="O152" i="31"/>
  <c r="I107" i="20"/>
  <c r="N107" i="20"/>
  <c r="T107" i="20" s="1"/>
  <c r="Z107" i="20" s="1"/>
  <c r="AF107" i="20" s="1"/>
  <c r="AC117" i="30"/>
  <c r="U117" i="30"/>
  <c r="V117" i="30" s="1"/>
  <c r="W117" i="30" s="1"/>
  <c r="N98" i="32"/>
  <c r="U181" i="31"/>
  <c r="P181" i="31"/>
  <c r="J131" i="30"/>
  <c r="P131" i="30"/>
  <c r="V131" i="30" s="1"/>
  <c r="AE131" i="30" s="1"/>
  <c r="AK131" i="30" s="1"/>
  <c r="I115" i="30"/>
  <c r="T124" i="31"/>
  <c r="O124" i="31"/>
  <c r="P124" i="31" s="1"/>
  <c r="Q124" i="31" s="1"/>
  <c r="T120" i="31"/>
  <c r="O120" i="31"/>
  <c r="P120" i="31" s="1"/>
  <c r="Q120" i="31" s="1"/>
  <c r="N96" i="30"/>
  <c r="T121" i="30"/>
  <c r="O121" i="30"/>
  <c r="P121" i="30" s="1"/>
  <c r="Q121" i="30" s="1"/>
  <c r="R104" i="20"/>
  <c r="M104" i="20"/>
  <c r="N104" i="20" s="1"/>
  <c r="O104" i="20" s="1"/>
  <c r="L79" i="20"/>
  <c r="H149" i="30"/>
  <c r="I149" i="30" s="1"/>
  <c r="J149" i="30" s="1"/>
  <c r="N149" i="30"/>
  <c r="I113" i="32"/>
  <c r="P129" i="32"/>
  <c r="V129" i="32" s="1"/>
  <c r="AE129" i="32" s="1"/>
  <c r="AK129" i="32" s="1"/>
  <c r="J129" i="32"/>
  <c r="T152" i="31"/>
  <c r="AC152" i="31" s="1"/>
  <c r="AI152" i="31" s="1"/>
  <c r="U182" i="31"/>
  <c r="H126" i="30"/>
  <c r="I126" i="30" s="1"/>
  <c r="J126" i="30" s="1"/>
  <c r="N126" i="30"/>
  <c r="N149" i="31"/>
  <c r="H149" i="31"/>
  <c r="I149" i="31" s="1"/>
  <c r="J149" i="31" s="1"/>
  <c r="X63" i="31"/>
  <c r="M105" i="20"/>
  <c r="N105" i="20" s="1"/>
  <c r="O105" i="20" s="1"/>
  <c r="S127" i="20"/>
  <c r="X127" i="20"/>
  <c r="N127" i="20"/>
  <c r="I127" i="20"/>
  <c r="AA118" i="20"/>
  <c r="T88" i="20"/>
  <c r="Z88" i="20" s="1"/>
  <c r="AF88" i="20" s="1"/>
  <c r="O88" i="20"/>
  <c r="U88" i="20" s="1"/>
  <c r="AA88" i="20" s="1"/>
  <c r="AG88" i="20" s="1"/>
  <c r="AD94" i="20"/>
  <c r="AE94" i="20" s="1"/>
  <c r="AF94" i="20" s="1"/>
  <c r="AG94" i="20" s="1"/>
  <c r="Y94" i="20"/>
  <c r="Z94" i="20" s="1"/>
  <c r="AA94" i="20" s="1"/>
  <c r="AD91" i="20"/>
  <c r="AE91" i="20" s="1"/>
  <c r="AF91" i="20" s="1"/>
  <c r="AG91" i="20" s="1"/>
  <c r="Y91" i="20"/>
  <c r="Z91" i="20" s="1"/>
  <c r="AA91" i="20" s="1"/>
  <c r="I74" i="20"/>
  <c r="O85" i="20"/>
  <c r="U85" i="20" s="1"/>
  <c r="AA85" i="20" s="1"/>
  <c r="AG85" i="20" s="1"/>
  <c r="T85" i="20"/>
  <c r="Z85" i="20" s="1"/>
  <c r="AF85" i="20" s="1"/>
  <c r="AF129" i="20"/>
  <c r="T129" i="20"/>
  <c r="Z129" i="20" s="1"/>
  <c r="AG129" i="20"/>
  <c r="U129" i="20"/>
  <c r="AA129" i="20" s="1"/>
  <c r="AD93" i="20"/>
  <c r="AE93" i="20" s="1"/>
  <c r="AF93" i="20" s="1"/>
  <c r="AG93" i="20" s="1"/>
  <c r="Y93" i="20"/>
  <c r="Z93" i="20" s="1"/>
  <c r="AA93" i="20" s="1"/>
  <c r="O111" i="20"/>
  <c r="U111" i="20" s="1"/>
  <c r="AA111" i="20" s="1"/>
  <c r="AG111" i="20" s="1"/>
  <c r="I95" i="20"/>
  <c r="O83" i="20"/>
  <c r="U83" i="20" s="1"/>
  <c r="AA83" i="20" s="1"/>
  <c r="AG83" i="20" s="1"/>
  <c r="T83" i="20"/>
  <c r="Z83" i="20" s="1"/>
  <c r="AF83" i="20" s="1"/>
  <c r="AD95" i="20"/>
  <c r="AE95" i="20" s="1"/>
  <c r="AF95" i="20" s="1"/>
  <c r="AG95" i="20" s="1"/>
  <c r="Y95" i="20"/>
  <c r="Z95" i="20" s="1"/>
  <c r="AA95" i="20" s="1"/>
  <c r="X78" i="20"/>
  <c r="S78" i="20"/>
  <c r="T78" i="20" s="1"/>
  <c r="U78" i="20" s="1"/>
  <c r="S101" i="20"/>
  <c r="T101" i="20" s="1"/>
  <c r="U101" i="20" s="1"/>
  <c r="X101" i="20"/>
  <c r="X100" i="20"/>
  <c r="S100" i="20"/>
  <c r="T100" i="20" s="1"/>
  <c r="U100" i="20" s="1"/>
  <c r="S76" i="20"/>
  <c r="T76" i="20" s="1"/>
  <c r="U76" i="20" s="1"/>
  <c r="X76" i="20"/>
  <c r="I77" i="20"/>
  <c r="I94" i="20"/>
  <c r="AD96" i="20"/>
  <c r="AE96" i="20" s="1"/>
  <c r="AF96" i="20" s="1"/>
  <c r="AG96" i="20" s="1"/>
  <c r="Y96" i="20"/>
  <c r="Z96" i="20" s="1"/>
  <c r="AA96" i="20" s="1"/>
  <c r="O86" i="20"/>
  <c r="U86" i="20" s="1"/>
  <c r="AA86" i="20" s="1"/>
  <c r="AG86" i="20" s="1"/>
  <c r="T86" i="20"/>
  <c r="Z86" i="20" s="1"/>
  <c r="AF86" i="20" s="1"/>
  <c r="S105" i="20"/>
  <c r="T105" i="20" s="1"/>
  <c r="U105" i="20" s="1"/>
  <c r="X105" i="20"/>
  <c r="X103" i="20"/>
  <c r="S103" i="20"/>
  <c r="T103" i="20" s="1"/>
  <c r="U103" i="20" s="1"/>
  <c r="R75" i="20"/>
  <c r="M75" i="20"/>
  <c r="N75" i="20" s="1"/>
  <c r="O75" i="20" s="1"/>
  <c r="V73" i="17"/>
  <c r="W73" i="17" s="1"/>
  <c r="X73" i="17" s="1"/>
  <c r="AA73" i="17"/>
  <c r="AB73" i="17" s="1"/>
  <c r="AC73" i="17" s="1"/>
  <c r="AD73" i="17" s="1"/>
  <c r="V72" i="17"/>
  <c r="W72" i="17" s="1"/>
  <c r="X72" i="17" s="1"/>
  <c r="AA72" i="17"/>
  <c r="AB72" i="17" s="1"/>
  <c r="AC72" i="17" s="1"/>
  <c r="AD72" i="17" s="1"/>
  <c r="V74" i="17"/>
  <c r="W74" i="17" s="1"/>
  <c r="X74" i="17" s="1"/>
  <c r="AA74" i="17"/>
  <c r="AB74" i="17" s="1"/>
  <c r="AC74" i="17" s="1"/>
  <c r="AD74" i="17" s="1"/>
  <c r="V97" i="17"/>
  <c r="W97" i="17" s="1"/>
  <c r="X97" i="17" s="1"/>
  <c r="AA97" i="17"/>
  <c r="AB97" i="17" s="1"/>
  <c r="AC97" i="17" s="1"/>
  <c r="AD97" i="17" s="1"/>
  <c r="P81" i="17"/>
  <c r="Q81" i="17" s="1"/>
  <c r="R81" i="17" s="1"/>
  <c r="U81" i="17"/>
  <c r="V69" i="17"/>
  <c r="W69" i="17" s="1"/>
  <c r="X69" i="17" s="1"/>
  <c r="AA69" i="17"/>
  <c r="AB69" i="17" s="1"/>
  <c r="AC69" i="17" s="1"/>
  <c r="AD69" i="17" s="1"/>
  <c r="V71" i="17"/>
  <c r="W71" i="17" s="1"/>
  <c r="X71" i="17" s="1"/>
  <c r="AA71" i="17"/>
  <c r="AB71" i="17" s="1"/>
  <c r="AC71" i="17" s="1"/>
  <c r="AD71" i="17" s="1"/>
  <c r="P78" i="17"/>
  <c r="Q78" i="17" s="1"/>
  <c r="R78" i="17" s="1"/>
  <c r="U78" i="17"/>
  <c r="V96" i="17"/>
  <c r="W96" i="17" s="1"/>
  <c r="X96" i="17" s="1"/>
  <c r="AA96" i="17"/>
  <c r="AB96" i="17" s="1"/>
  <c r="AC96" i="17" s="1"/>
  <c r="AD96" i="17" s="1"/>
  <c r="P79" i="17"/>
  <c r="Q79" i="17" s="1"/>
  <c r="R79" i="17" s="1"/>
  <c r="U79" i="17"/>
  <c r="P80" i="17"/>
  <c r="Q80" i="17" s="1"/>
  <c r="R80" i="17" s="1"/>
  <c r="U80" i="17"/>
  <c r="P77" i="17"/>
  <c r="Q77" i="17" s="1"/>
  <c r="R77" i="17" s="1"/>
  <c r="U77" i="17"/>
  <c r="V70" i="17"/>
  <c r="W70" i="17" s="1"/>
  <c r="X70" i="17" s="1"/>
  <c r="AA70" i="17"/>
  <c r="AB70" i="17" s="1"/>
  <c r="AC70" i="17" s="1"/>
  <c r="AD70" i="17" s="1"/>
  <c r="P82" i="17"/>
  <c r="Q82" i="17" s="1"/>
  <c r="R82" i="17" s="1"/>
  <c r="U82" i="17"/>
  <c r="L96" i="17"/>
  <c r="K52" i="17"/>
  <c r="L52" i="17" s="1"/>
  <c r="O52" i="17"/>
  <c r="O55" i="17"/>
  <c r="O57" i="17"/>
  <c r="O53" i="17"/>
  <c r="O56" i="17"/>
  <c r="O54" i="17"/>
  <c r="F54" i="17"/>
  <c r="F56" i="17"/>
  <c r="F55" i="17"/>
  <c r="R65" i="17"/>
  <c r="X65" i="17" s="1"/>
  <c r="AD65" i="17" s="1"/>
  <c r="R64" i="17"/>
  <c r="X64" i="17" s="1"/>
  <c r="AD64" i="17" s="1"/>
  <c r="R62" i="17"/>
  <c r="X62" i="17" s="1"/>
  <c r="AD62" i="17" s="1"/>
  <c r="R63" i="17"/>
  <c r="X63" i="17" s="1"/>
  <c r="AD63" i="17" s="1"/>
  <c r="W198" i="36" l="1"/>
  <c r="AF198" i="36" s="1"/>
  <c r="AL198" i="36"/>
  <c r="AK167" i="36"/>
  <c r="AL167" i="36" s="1"/>
  <c r="AM167" i="36" s="1"/>
  <c r="AN167" i="36" s="1"/>
  <c r="AF167" i="36"/>
  <c r="AG167" i="36" s="1"/>
  <c r="AH167" i="36" s="1"/>
  <c r="AK146" i="36"/>
  <c r="AL146" i="36" s="1"/>
  <c r="AM146" i="36" s="1"/>
  <c r="AN146" i="36" s="1"/>
  <c r="AF146" i="36"/>
  <c r="AG146" i="36" s="1"/>
  <c r="AH146" i="36" s="1"/>
  <c r="AK172" i="36"/>
  <c r="AL172" i="36" s="1"/>
  <c r="AM172" i="36" s="1"/>
  <c r="AN172" i="36" s="1"/>
  <c r="AF172" i="36"/>
  <c r="AG172" i="36" s="1"/>
  <c r="AH172" i="36" s="1"/>
  <c r="AK143" i="36"/>
  <c r="AL143" i="36" s="1"/>
  <c r="AM143" i="36" s="1"/>
  <c r="AN143" i="36" s="1"/>
  <c r="AF143" i="36"/>
  <c r="AG143" i="36" s="1"/>
  <c r="AH143" i="36" s="1"/>
  <c r="AK170" i="36"/>
  <c r="AL170" i="36" s="1"/>
  <c r="AM170" i="36" s="1"/>
  <c r="AN170" i="36" s="1"/>
  <c r="AF170" i="36"/>
  <c r="AG170" i="36" s="1"/>
  <c r="AH170" i="36" s="1"/>
  <c r="AK168" i="36"/>
  <c r="AL168" i="36" s="1"/>
  <c r="AM168" i="36" s="1"/>
  <c r="AN168" i="36" s="1"/>
  <c r="AF168" i="36"/>
  <c r="AG168" i="36" s="1"/>
  <c r="AH168" i="36" s="1"/>
  <c r="AE145" i="36"/>
  <c r="W145" i="36"/>
  <c r="X145" i="36" s="1"/>
  <c r="Y145" i="36" s="1"/>
  <c r="Y229" i="36"/>
  <c r="Y199" i="36" s="1"/>
  <c r="AH199" i="36" s="1"/>
  <c r="AN199" i="36" s="1"/>
  <c r="X199" i="36"/>
  <c r="AG199" i="36" s="1"/>
  <c r="AM199" i="36" s="1"/>
  <c r="AF171" i="36"/>
  <c r="AG171" i="36" s="1"/>
  <c r="AH171" i="36" s="1"/>
  <c r="AK171" i="36"/>
  <c r="AL171" i="36" s="1"/>
  <c r="AM171" i="36" s="1"/>
  <c r="AN171" i="36" s="1"/>
  <c r="AK142" i="36"/>
  <c r="AL142" i="36" s="1"/>
  <c r="AM142" i="36" s="1"/>
  <c r="AN142" i="36" s="1"/>
  <c r="AF142" i="36"/>
  <c r="AG142" i="36" s="1"/>
  <c r="AH142" i="36" s="1"/>
  <c r="AF169" i="36"/>
  <c r="AG169" i="36" s="1"/>
  <c r="AH169" i="36" s="1"/>
  <c r="AK169" i="36"/>
  <c r="AL169" i="36" s="1"/>
  <c r="AM169" i="36" s="1"/>
  <c r="AN169" i="36" s="1"/>
  <c r="AK144" i="36"/>
  <c r="AL144" i="36" s="1"/>
  <c r="AM144" i="36" s="1"/>
  <c r="AN144" i="36" s="1"/>
  <c r="AF144" i="36"/>
  <c r="AG144" i="36" s="1"/>
  <c r="AH144" i="36" s="1"/>
  <c r="W196" i="36"/>
  <c r="X196" i="36" s="1"/>
  <c r="Y196" i="36" s="1"/>
  <c r="AE196" i="36"/>
  <c r="AE173" i="36"/>
  <c r="W173" i="36"/>
  <c r="X173" i="36" s="1"/>
  <c r="Y173" i="36" s="1"/>
  <c r="L198" i="36"/>
  <c r="S198" i="36" s="1"/>
  <c r="R198" i="36"/>
  <c r="AE147" i="36"/>
  <c r="W147" i="36"/>
  <c r="X147" i="36" s="1"/>
  <c r="Y147" i="36" s="1"/>
  <c r="Q129" i="32"/>
  <c r="W129" i="32" s="1"/>
  <c r="AF129" i="32" s="1"/>
  <c r="AL129" i="32" s="1"/>
  <c r="J113" i="32"/>
  <c r="AC120" i="31"/>
  <c r="U120" i="31"/>
  <c r="V120" i="31" s="1"/>
  <c r="W120" i="31" s="1"/>
  <c r="O107" i="20"/>
  <c r="U107" i="20" s="1"/>
  <c r="AA107" i="20" s="1"/>
  <c r="AG107" i="20" s="1"/>
  <c r="I91" i="20"/>
  <c r="AI114" i="32"/>
  <c r="AJ114" i="32" s="1"/>
  <c r="AK114" i="32" s="1"/>
  <c r="AL114" i="32" s="1"/>
  <c r="AD114" i="32"/>
  <c r="AE114" i="32" s="1"/>
  <c r="AF114" i="32" s="1"/>
  <c r="U152" i="32"/>
  <c r="AD152" i="32" s="1"/>
  <c r="AJ152" i="32" s="1"/>
  <c r="V182" i="32"/>
  <c r="R79" i="20"/>
  <c r="M79" i="20"/>
  <c r="N79" i="20" s="1"/>
  <c r="O79" i="20" s="1"/>
  <c r="AD116" i="31"/>
  <c r="AE116" i="31" s="1"/>
  <c r="AF116" i="31" s="1"/>
  <c r="AI116" i="31"/>
  <c r="AJ116" i="31" s="1"/>
  <c r="AK116" i="31" s="1"/>
  <c r="AL116" i="31" s="1"/>
  <c r="AC122" i="30"/>
  <c r="U122" i="30"/>
  <c r="V122" i="30" s="1"/>
  <c r="W122" i="30" s="1"/>
  <c r="T151" i="32"/>
  <c r="AC151" i="32" s="1"/>
  <c r="AI151" i="32"/>
  <c r="T126" i="32"/>
  <c r="O126" i="32"/>
  <c r="P126" i="32" s="1"/>
  <c r="Q126" i="32" s="1"/>
  <c r="T98" i="31"/>
  <c r="O98" i="31"/>
  <c r="P98" i="31" s="1"/>
  <c r="Q98" i="31" s="1"/>
  <c r="AC97" i="30"/>
  <c r="U97" i="30"/>
  <c r="V97" i="30" s="1"/>
  <c r="W97" i="30" s="1"/>
  <c r="I151" i="32"/>
  <c r="O151" i="32"/>
  <c r="T149" i="32"/>
  <c r="O149" i="32"/>
  <c r="P149" i="32" s="1"/>
  <c r="Q149" i="32" s="1"/>
  <c r="U124" i="30"/>
  <c r="V124" i="30" s="1"/>
  <c r="W124" i="30" s="1"/>
  <c r="AC124" i="30"/>
  <c r="AD115" i="32"/>
  <c r="AE115" i="32" s="1"/>
  <c r="AF115" i="32" s="1"/>
  <c r="AI115" i="32"/>
  <c r="AJ115" i="32" s="1"/>
  <c r="AK115" i="32" s="1"/>
  <c r="AL115" i="32" s="1"/>
  <c r="U122" i="32"/>
  <c r="V122" i="32" s="1"/>
  <c r="W122" i="32" s="1"/>
  <c r="AC122" i="32"/>
  <c r="AC123" i="31"/>
  <c r="U123" i="31"/>
  <c r="V123" i="31" s="1"/>
  <c r="W123" i="31" s="1"/>
  <c r="T100" i="32"/>
  <c r="O100" i="32"/>
  <c r="P100" i="32" s="1"/>
  <c r="Q100" i="32" s="1"/>
  <c r="AI114" i="31"/>
  <c r="AJ114" i="31" s="1"/>
  <c r="AK114" i="31" s="1"/>
  <c r="AL114" i="31" s="1"/>
  <c r="AD114" i="31"/>
  <c r="AE114" i="31" s="1"/>
  <c r="AF114" i="31" s="1"/>
  <c r="U124" i="32"/>
  <c r="V124" i="32" s="1"/>
  <c r="W124" i="32" s="1"/>
  <c r="AC124" i="32"/>
  <c r="Q132" i="31"/>
  <c r="W132" i="31" s="1"/>
  <c r="AF132" i="31" s="1"/>
  <c r="AL132" i="31" s="1"/>
  <c r="J116" i="31"/>
  <c r="R77" i="20"/>
  <c r="M77" i="20"/>
  <c r="N77" i="20" s="1"/>
  <c r="O77" i="20" s="1"/>
  <c r="AC125" i="31"/>
  <c r="U125" i="31"/>
  <c r="V125" i="31" s="1"/>
  <c r="W125" i="31" s="1"/>
  <c r="Q132" i="32"/>
  <c r="W132" i="32" s="1"/>
  <c r="AF132" i="32" s="1"/>
  <c r="AL132" i="32" s="1"/>
  <c r="J116" i="32"/>
  <c r="U124" i="31"/>
  <c r="V124" i="31" s="1"/>
  <c r="W124" i="31" s="1"/>
  <c r="AC124" i="31"/>
  <c r="Q182" i="31"/>
  <c r="Q152" i="31" s="1"/>
  <c r="P152" i="31"/>
  <c r="U125" i="32"/>
  <c r="V125" i="32" s="1"/>
  <c r="W125" i="32" s="1"/>
  <c r="AC125" i="32"/>
  <c r="U99" i="32"/>
  <c r="V99" i="32" s="1"/>
  <c r="W99" i="32" s="1"/>
  <c r="AC99" i="32"/>
  <c r="AC96" i="31"/>
  <c r="U96" i="31"/>
  <c r="V96" i="31" s="1"/>
  <c r="W96" i="31" s="1"/>
  <c r="Q128" i="30"/>
  <c r="W128" i="30" s="1"/>
  <c r="AF128" i="30" s="1"/>
  <c r="AL128" i="30" s="1"/>
  <c r="J112" i="30"/>
  <c r="U98" i="30"/>
  <c r="V98" i="30" s="1"/>
  <c r="W98" i="30" s="1"/>
  <c r="AC98" i="30"/>
  <c r="S102" i="20"/>
  <c r="T102" i="20" s="1"/>
  <c r="U102" i="20" s="1"/>
  <c r="X102" i="20"/>
  <c r="Q129" i="30"/>
  <c r="W129" i="30" s="1"/>
  <c r="AF129" i="30" s="1"/>
  <c r="AL129" i="30" s="1"/>
  <c r="J113" i="30"/>
  <c r="O149" i="30"/>
  <c r="P149" i="30" s="1"/>
  <c r="Q149" i="30" s="1"/>
  <c r="T149" i="30"/>
  <c r="I151" i="31"/>
  <c r="O151" i="31"/>
  <c r="AD112" i="31"/>
  <c r="AE112" i="31" s="1"/>
  <c r="AF112" i="31" s="1"/>
  <c r="AI112" i="31"/>
  <c r="AJ112" i="31" s="1"/>
  <c r="AK112" i="31" s="1"/>
  <c r="AL112" i="31" s="1"/>
  <c r="U99" i="30"/>
  <c r="V99" i="30" s="1"/>
  <c r="W99" i="30" s="1"/>
  <c r="AC99" i="30"/>
  <c r="Q132" i="30"/>
  <c r="W132" i="30" s="1"/>
  <c r="AF132" i="30" s="1"/>
  <c r="AL132" i="30" s="1"/>
  <c r="J116" i="30"/>
  <c r="AI151" i="31"/>
  <c r="T151" i="31"/>
  <c r="AC151" i="31" s="1"/>
  <c r="AC123" i="32"/>
  <c r="U123" i="32"/>
  <c r="V123" i="32" s="1"/>
  <c r="W123" i="32" s="1"/>
  <c r="AC122" i="31"/>
  <c r="U122" i="31"/>
  <c r="V122" i="31" s="1"/>
  <c r="W122" i="31" s="1"/>
  <c r="Q130" i="32"/>
  <c r="W130" i="32" s="1"/>
  <c r="AF130" i="32" s="1"/>
  <c r="AL130" i="32" s="1"/>
  <c r="J114" i="32"/>
  <c r="U125" i="30"/>
  <c r="V125" i="30" s="1"/>
  <c r="W125" i="30" s="1"/>
  <c r="AC125" i="30"/>
  <c r="U120" i="32"/>
  <c r="V120" i="32" s="1"/>
  <c r="W120" i="32" s="1"/>
  <c r="AC120" i="32"/>
  <c r="U120" i="30"/>
  <c r="V120" i="30" s="1"/>
  <c r="W120" i="30" s="1"/>
  <c r="AC120" i="30"/>
  <c r="U123" i="30"/>
  <c r="V123" i="30" s="1"/>
  <c r="W123" i="30" s="1"/>
  <c r="AC123" i="30"/>
  <c r="O97" i="31"/>
  <c r="P97" i="31" s="1"/>
  <c r="Q97" i="31" s="1"/>
  <c r="T97" i="31"/>
  <c r="AI112" i="32"/>
  <c r="AJ112" i="32" s="1"/>
  <c r="AK112" i="32" s="1"/>
  <c r="AL112" i="32" s="1"/>
  <c r="AD112" i="32"/>
  <c r="AE112" i="32" s="1"/>
  <c r="AF112" i="32" s="1"/>
  <c r="Q181" i="30"/>
  <c r="W181" i="30" s="1"/>
  <c r="V181" i="30"/>
  <c r="U95" i="30"/>
  <c r="V95" i="30" s="1"/>
  <c r="W95" i="30" s="1"/>
  <c r="AC95" i="30"/>
  <c r="U99" i="31"/>
  <c r="V99" i="31" s="1"/>
  <c r="W99" i="31" s="1"/>
  <c r="AC99" i="31"/>
  <c r="V181" i="32"/>
  <c r="Q181" i="32"/>
  <c r="W181" i="32" s="1"/>
  <c r="Q131" i="30"/>
  <c r="W131" i="30" s="1"/>
  <c r="AF131" i="30" s="1"/>
  <c r="AL131" i="30" s="1"/>
  <c r="J115" i="30"/>
  <c r="Q133" i="32"/>
  <c r="W133" i="32" s="1"/>
  <c r="AF133" i="32" s="1"/>
  <c r="AL133" i="32" s="1"/>
  <c r="J117" i="32"/>
  <c r="AD114" i="30"/>
  <c r="AE114" i="30" s="1"/>
  <c r="AF114" i="30" s="1"/>
  <c r="AI114" i="30"/>
  <c r="AJ114" i="30" s="1"/>
  <c r="AK114" i="30" s="1"/>
  <c r="AL114" i="30" s="1"/>
  <c r="AD117" i="32"/>
  <c r="AE117" i="32" s="1"/>
  <c r="AF117" i="32" s="1"/>
  <c r="AI117" i="32"/>
  <c r="AJ117" i="32" s="1"/>
  <c r="AK117" i="32" s="1"/>
  <c r="AL117" i="32" s="1"/>
  <c r="AD116" i="32"/>
  <c r="AE116" i="32" s="1"/>
  <c r="AF116" i="32" s="1"/>
  <c r="AI116" i="32"/>
  <c r="AJ116" i="32" s="1"/>
  <c r="AK116" i="32" s="1"/>
  <c r="AL116" i="32" s="1"/>
  <c r="AC121" i="31"/>
  <c r="U121" i="31"/>
  <c r="V121" i="31" s="1"/>
  <c r="W121" i="31" s="1"/>
  <c r="V181" i="31"/>
  <c r="Q181" i="31"/>
  <c r="W181" i="31" s="1"/>
  <c r="R74" i="20"/>
  <c r="M74" i="20"/>
  <c r="N74" i="20" s="1"/>
  <c r="O74" i="20" s="1"/>
  <c r="Q128" i="32"/>
  <c r="W128" i="32" s="1"/>
  <c r="AF128" i="32" s="1"/>
  <c r="AL128" i="32" s="1"/>
  <c r="J112" i="32"/>
  <c r="AC96" i="32"/>
  <c r="U96" i="32"/>
  <c r="V96" i="32" s="1"/>
  <c r="W96" i="32" s="1"/>
  <c r="AI115" i="31"/>
  <c r="AJ115" i="31" s="1"/>
  <c r="AK115" i="31" s="1"/>
  <c r="AL115" i="31" s="1"/>
  <c r="AD115" i="31"/>
  <c r="AE115" i="31" s="1"/>
  <c r="AF115" i="31" s="1"/>
  <c r="X104" i="20"/>
  <c r="S104" i="20"/>
  <c r="T104" i="20" s="1"/>
  <c r="U104" i="20" s="1"/>
  <c r="O112" i="20"/>
  <c r="U112" i="20" s="1"/>
  <c r="AA112" i="20" s="1"/>
  <c r="AG112" i="20" s="1"/>
  <c r="I96" i="20"/>
  <c r="AD112" i="30"/>
  <c r="AE112" i="30" s="1"/>
  <c r="AF112" i="30" s="1"/>
  <c r="AI112" i="30"/>
  <c r="AJ112" i="30" s="1"/>
  <c r="AK112" i="30" s="1"/>
  <c r="AL112" i="30" s="1"/>
  <c r="Q131" i="31"/>
  <c r="W131" i="31" s="1"/>
  <c r="AF131" i="31" s="1"/>
  <c r="AL131" i="31" s="1"/>
  <c r="J115" i="31"/>
  <c r="AD113" i="30"/>
  <c r="AE113" i="30" s="1"/>
  <c r="AF113" i="30" s="1"/>
  <c r="AI113" i="30"/>
  <c r="AJ113" i="30" s="1"/>
  <c r="AK113" i="30" s="1"/>
  <c r="AL113" i="30" s="1"/>
  <c r="T126" i="30"/>
  <c r="O126" i="30"/>
  <c r="P126" i="30" s="1"/>
  <c r="Q126" i="30" s="1"/>
  <c r="T98" i="32"/>
  <c r="O98" i="32"/>
  <c r="P98" i="32" s="1"/>
  <c r="Q98" i="32" s="1"/>
  <c r="Q131" i="32"/>
  <c r="W131" i="32" s="1"/>
  <c r="AF131" i="32" s="1"/>
  <c r="AL131" i="32" s="1"/>
  <c r="J115" i="32"/>
  <c r="AD117" i="31"/>
  <c r="AE117" i="31" s="1"/>
  <c r="AF117" i="31" s="1"/>
  <c r="AI117" i="31"/>
  <c r="AJ117" i="31" s="1"/>
  <c r="AK117" i="31" s="1"/>
  <c r="AL117" i="31" s="1"/>
  <c r="X99" i="20"/>
  <c r="S99" i="20"/>
  <c r="T99" i="20" s="1"/>
  <c r="U99" i="20" s="1"/>
  <c r="Q133" i="31"/>
  <c r="W133" i="31" s="1"/>
  <c r="AF133" i="31" s="1"/>
  <c r="AL133" i="31" s="1"/>
  <c r="J117" i="31"/>
  <c r="AI116" i="30"/>
  <c r="AJ116" i="30" s="1"/>
  <c r="AK116" i="30" s="1"/>
  <c r="AL116" i="30" s="1"/>
  <c r="AD116" i="30"/>
  <c r="AE116" i="30" s="1"/>
  <c r="AF116" i="30" s="1"/>
  <c r="O149" i="31"/>
  <c r="P149" i="31" s="1"/>
  <c r="Q149" i="31" s="1"/>
  <c r="T149" i="31"/>
  <c r="Q182" i="30"/>
  <c r="Q152" i="30" s="1"/>
  <c r="P152" i="30"/>
  <c r="Q130" i="31"/>
  <c r="W130" i="31" s="1"/>
  <c r="AF130" i="31" s="1"/>
  <c r="AL130" i="31" s="1"/>
  <c r="J114" i="31"/>
  <c r="T126" i="31"/>
  <c r="O126" i="31"/>
  <c r="P126" i="31" s="1"/>
  <c r="Q126" i="31" s="1"/>
  <c r="Q129" i="31"/>
  <c r="W129" i="31" s="1"/>
  <c r="AF129" i="31" s="1"/>
  <c r="AL129" i="31" s="1"/>
  <c r="J113" i="31"/>
  <c r="O151" i="30"/>
  <c r="I151" i="30"/>
  <c r="AC121" i="30"/>
  <c r="U121" i="30"/>
  <c r="V121" i="30" s="1"/>
  <c r="W121" i="30" s="1"/>
  <c r="U121" i="32"/>
  <c r="V121" i="32" s="1"/>
  <c r="W121" i="32" s="1"/>
  <c r="AC121" i="32"/>
  <c r="P152" i="32"/>
  <c r="Q182" i="32"/>
  <c r="Q152" i="32" s="1"/>
  <c r="U152" i="30"/>
  <c r="AD152" i="30" s="1"/>
  <c r="AJ152" i="30" s="1"/>
  <c r="V182" i="30"/>
  <c r="AI113" i="31"/>
  <c r="AJ113" i="31" s="1"/>
  <c r="AK113" i="31" s="1"/>
  <c r="AL113" i="31" s="1"/>
  <c r="AD113" i="31"/>
  <c r="AE113" i="31" s="1"/>
  <c r="AF113" i="31" s="1"/>
  <c r="AI113" i="32"/>
  <c r="AJ113" i="32" s="1"/>
  <c r="AK113" i="32" s="1"/>
  <c r="AL113" i="32" s="1"/>
  <c r="AD113" i="32"/>
  <c r="AE113" i="32" s="1"/>
  <c r="AF113" i="32" s="1"/>
  <c r="AI115" i="30"/>
  <c r="AJ115" i="30" s="1"/>
  <c r="AK115" i="30" s="1"/>
  <c r="AL115" i="30" s="1"/>
  <c r="AD115" i="30"/>
  <c r="AE115" i="30" s="1"/>
  <c r="AF115" i="30" s="1"/>
  <c r="AI151" i="30"/>
  <c r="T151" i="30"/>
  <c r="AC151" i="30" s="1"/>
  <c r="Q130" i="30"/>
  <c r="W130" i="30" s="1"/>
  <c r="AF130" i="30" s="1"/>
  <c r="AL130" i="30" s="1"/>
  <c r="J114" i="30"/>
  <c r="Q128" i="31"/>
  <c r="W128" i="31" s="1"/>
  <c r="AF128" i="31" s="1"/>
  <c r="AL128" i="31" s="1"/>
  <c r="J112" i="31"/>
  <c r="V182" i="31"/>
  <c r="U152" i="31"/>
  <c r="AD152" i="31" s="1"/>
  <c r="AJ152" i="31" s="1"/>
  <c r="T96" i="30"/>
  <c r="O96" i="30"/>
  <c r="P96" i="30" s="1"/>
  <c r="Q96" i="30" s="1"/>
  <c r="AD117" i="30"/>
  <c r="AE117" i="30" s="1"/>
  <c r="AF117" i="30" s="1"/>
  <c r="AI117" i="30"/>
  <c r="AJ117" i="30" s="1"/>
  <c r="AK117" i="30" s="1"/>
  <c r="AL117" i="30" s="1"/>
  <c r="AC100" i="30"/>
  <c r="U100" i="30"/>
  <c r="V100" i="30" s="1"/>
  <c r="W100" i="30" s="1"/>
  <c r="U95" i="31"/>
  <c r="V95" i="31" s="1"/>
  <c r="W95" i="31" s="1"/>
  <c r="AC95" i="31"/>
  <c r="AC100" i="31"/>
  <c r="U100" i="31"/>
  <c r="V100" i="31" s="1"/>
  <c r="W100" i="31" s="1"/>
  <c r="Q133" i="30"/>
  <c r="W133" i="30" s="1"/>
  <c r="AF133" i="30" s="1"/>
  <c r="AL133" i="30" s="1"/>
  <c r="J117" i="30"/>
  <c r="O95" i="32"/>
  <c r="P95" i="32" s="1"/>
  <c r="Q95" i="32" s="1"/>
  <c r="T95" i="32"/>
  <c r="T97" i="32"/>
  <c r="O97" i="32"/>
  <c r="P97" i="32" s="1"/>
  <c r="Q97" i="32" s="1"/>
  <c r="O127" i="20"/>
  <c r="AD127" i="20"/>
  <c r="Y127" i="20"/>
  <c r="T127" i="20"/>
  <c r="X75" i="20"/>
  <c r="S75" i="20"/>
  <c r="T75" i="20" s="1"/>
  <c r="U75" i="20" s="1"/>
  <c r="Y100" i="20"/>
  <c r="Z100" i="20" s="1"/>
  <c r="AA100" i="20" s="1"/>
  <c r="AD100" i="20"/>
  <c r="AE100" i="20" s="1"/>
  <c r="AF100" i="20" s="1"/>
  <c r="AG100" i="20" s="1"/>
  <c r="AD78" i="20"/>
  <c r="AE78" i="20" s="1"/>
  <c r="Y78" i="20"/>
  <c r="Z78" i="20" s="1"/>
  <c r="Y103" i="20"/>
  <c r="Z103" i="20" s="1"/>
  <c r="AA103" i="20" s="1"/>
  <c r="AD103" i="20"/>
  <c r="AE103" i="20" s="1"/>
  <c r="AF103" i="20" s="1"/>
  <c r="AG103" i="20" s="1"/>
  <c r="AD101" i="20"/>
  <c r="AE101" i="20" s="1"/>
  <c r="AF101" i="20" s="1"/>
  <c r="AG101" i="20" s="1"/>
  <c r="Y101" i="20"/>
  <c r="Z101" i="20" s="1"/>
  <c r="AA101" i="20" s="1"/>
  <c r="AD105" i="20"/>
  <c r="AE105" i="20" s="1"/>
  <c r="AF105" i="20" s="1"/>
  <c r="AG105" i="20" s="1"/>
  <c r="Y105" i="20"/>
  <c r="Z105" i="20" s="1"/>
  <c r="AA105" i="20" s="1"/>
  <c r="AD76" i="20"/>
  <c r="AE76" i="20" s="1"/>
  <c r="Y76" i="20"/>
  <c r="Z76" i="20" s="1"/>
  <c r="V78" i="17"/>
  <c r="W78" i="17" s="1"/>
  <c r="X78" i="17" s="1"/>
  <c r="AA78" i="17"/>
  <c r="AB78" i="17" s="1"/>
  <c r="AC78" i="17" s="1"/>
  <c r="AD78" i="17" s="1"/>
  <c r="V77" i="17"/>
  <c r="W77" i="17" s="1"/>
  <c r="X77" i="17" s="1"/>
  <c r="AA77" i="17"/>
  <c r="AB77" i="17" s="1"/>
  <c r="AC77" i="17" s="1"/>
  <c r="AD77" i="17" s="1"/>
  <c r="P53" i="17"/>
  <c r="Q53" i="17" s="1"/>
  <c r="R53" i="17" s="1"/>
  <c r="U53" i="17"/>
  <c r="V80" i="17"/>
  <c r="W80" i="17" s="1"/>
  <c r="X80" i="17" s="1"/>
  <c r="AA80" i="17"/>
  <c r="AB80" i="17" s="1"/>
  <c r="AC80" i="17" s="1"/>
  <c r="AD80" i="17" s="1"/>
  <c r="P57" i="17"/>
  <c r="Q57" i="17" s="1"/>
  <c r="R57" i="17" s="1"/>
  <c r="U57" i="17"/>
  <c r="V82" i="17"/>
  <c r="W82" i="17" s="1"/>
  <c r="X82" i="17" s="1"/>
  <c r="AA82" i="17"/>
  <c r="AB82" i="17" s="1"/>
  <c r="AC82" i="17" s="1"/>
  <c r="AD82" i="17" s="1"/>
  <c r="P54" i="17"/>
  <c r="Q54" i="17" s="1"/>
  <c r="R54" i="17" s="1"/>
  <c r="U54" i="17"/>
  <c r="P56" i="17"/>
  <c r="Q56" i="17" s="1"/>
  <c r="R56" i="17" s="1"/>
  <c r="U56" i="17"/>
  <c r="V81" i="17"/>
  <c r="W81" i="17" s="1"/>
  <c r="X81" i="17" s="1"/>
  <c r="AA81" i="17"/>
  <c r="AB81" i="17" s="1"/>
  <c r="AC81" i="17" s="1"/>
  <c r="AD81" i="17" s="1"/>
  <c r="P55" i="17"/>
  <c r="Q55" i="17" s="1"/>
  <c r="R55" i="17" s="1"/>
  <c r="U55" i="17"/>
  <c r="V79" i="17"/>
  <c r="W79" i="17" s="1"/>
  <c r="X79" i="17" s="1"/>
  <c r="AA79" i="17"/>
  <c r="AB79" i="17" s="1"/>
  <c r="AC79" i="17" s="1"/>
  <c r="AD79" i="17" s="1"/>
  <c r="P52" i="17"/>
  <c r="Q52" i="17" s="1"/>
  <c r="R52" i="17" s="1"/>
  <c r="U52" i="17"/>
  <c r="AK147" i="36" l="1"/>
  <c r="AL147" i="36" s="1"/>
  <c r="AM147" i="36" s="1"/>
  <c r="AN147" i="36" s="1"/>
  <c r="AF147" i="36"/>
  <c r="AG147" i="36" s="1"/>
  <c r="AH147" i="36" s="1"/>
  <c r="X198" i="36"/>
  <c r="AG198" i="36" s="1"/>
  <c r="AM198" i="36"/>
  <c r="Y198" i="36"/>
  <c r="AH198" i="36" s="1"/>
  <c r="AN198" i="36"/>
  <c r="AK173" i="36"/>
  <c r="AL173" i="36" s="1"/>
  <c r="AM173" i="36" s="1"/>
  <c r="AN173" i="36" s="1"/>
  <c r="AF173" i="36"/>
  <c r="AG173" i="36" s="1"/>
  <c r="AH173" i="36" s="1"/>
  <c r="AK196" i="36"/>
  <c r="AL196" i="36" s="1"/>
  <c r="AM196" i="36" s="1"/>
  <c r="AN196" i="36" s="1"/>
  <c r="AF196" i="36"/>
  <c r="AG196" i="36" s="1"/>
  <c r="AH196" i="36" s="1"/>
  <c r="AF145" i="36"/>
  <c r="AG145" i="36" s="1"/>
  <c r="AH145" i="36" s="1"/>
  <c r="AK145" i="36"/>
  <c r="AL145" i="36" s="1"/>
  <c r="AM145" i="36" s="1"/>
  <c r="AN145" i="36" s="1"/>
  <c r="W182" i="31"/>
  <c r="W152" i="31" s="1"/>
  <c r="AF152" i="31" s="1"/>
  <c r="AL152" i="31" s="1"/>
  <c r="V152" i="31"/>
  <c r="AE152" i="31" s="1"/>
  <c r="AK152" i="31" s="1"/>
  <c r="AI95" i="30"/>
  <c r="AJ95" i="30" s="1"/>
  <c r="AK95" i="30" s="1"/>
  <c r="AL95" i="30" s="1"/>
  <c r="AD95" i="30"/>
  <c r="AE95" i="30" s="1"/>
  <c r="AF95" i="30" s="1"/>
  <c r="AD120" i="32"/>
  <c r="AE120" i="32" s="1"/>
  <c r="AF120" i="32" s="1"/>
  <c r="AI120" i="32"/>
  <c r="AJ120" i="32" s="1"/>
  <c r="AK120" i="32" s="1"/>
  <c r="AL120" i="32" s="1"/>
  <c r="AI123" i="31"/>
  <c r="AJ123" i="31" s="1"/>
  <c r="AK123" i="31" s="1"/>
  <c r="AL123" i="31" s="1"/>
  <c r="AD123" i="31"/>
  <c r="AE123" i="31" s="1"/>
  <c r="AF123" i="31" s="1"/>
  <c r="AD97" i="30"/>
  <c r="AE97" i="30" s="1"/>
  <c r="AF97" i="30" s="1"/>
  <c r="AI97" i="30"/>
  <c r="AJ97" i="30" s="1"/>
  <c r="AK97" i="30" s="1"/>
  <c r="AL97" i="30" s="1"/>
  <c r="W182" i="30"/>
  <c r="W152" i="30" s="1"/>
  <c r="AF152" i="30" s="1"/>
  <c r="AL152" i="30" s="1"/>
  <c r="V152" i="30"/>
  <c r="AE152" i="30" s="1"/>
  <c r="AK152" i="30" s="1"/>
  <c r="AD96" i="32"/>
  <c r="AE96" i="32" s="1"/>
  <c r="AF96" i="32" s="1"/>
  <c r="AI96" i="32"/>
  <c r="AJ96" i="32" s="1"/>
  <c r="AK96" i="32" s="1"/>
  <c r="AL96" i="32" s="1"/>
  <c r="X77" i="20"/>
  <c r="S77" i="20"/>
  <c r="T77" i="20" s="1"/>
  <c r="U77" i="20" s="1"/>
  <c r="AI122" i="32"/>
  <c r="AJ122" i="32" s="1"/>
  <c r="AK122" i="32" s="1"/>
  <c r="AL122" i="32" s="1"/>
  <c r="AD122" i="32"/>
  <c r="AE122" i="32" s="1"/>
  <c r="AF122" i="32" s="1"/>
  <c r="X79" i="20"/>
  <c r="S79" i="20"/>
  <c r="T79" i="20" s="1"/>
  <c r="U79" i="20" s="1"/>
  <c r="AD100" i="31"/>
  <c r="AE100" i="31" s="1"/>
  <c r="AF100" i="31" s="1"/>
  <c r="AI100" i="31"/>
  <c r="AJ100" i="31" s="1"/>
  <c r="AK100" i="31" s="1"/>
  <c r="AL100" i="31" s="1"/>
  <c r="AC126" i="31"/>
  <c r="U126" i="31"/>
  <c r="V126" i="31" s="1"/>
  <c r="W126" i="31" s="1"/>
  <c r="AD99" i="20"/>
  <c r="AE99" i="20" s="1"/>
  <c r="AF99" i="20" s="1"/>
  <c r="AG99" i="20" s="1"/>
  <c r="Y99" i="20"/>
  <c r="Z99" i="20" s="1"/>
  <c r="AA99" i="20" s="1"/>
  <c r="AI125" i="30"/>
  <c r="AJ125" i="30" s="1"/>
  <c r="AK125" i="30" s="1"/>
  <c r="AL125" i="30" s="1"/>
  <c r="AD125" i="30"/>
  <c r="AE125" i="30" s="1"/>
  <c r="AF125" i="30" s="1"/>
  <c r="AD125" i="32"/>
  <c r="AE125" i="32" s="1"/>
  <c r="AF125" i="32" s="1"/>
  <c r="AI125" i="32"/>
  <c r="AJ125" i="32" s="1"/>
  <c r="AK125" i="32" s="1"/>
  <c r="AL125" i="32" s="1"/>
  <c r="U98" i="31"/>
  <c r="V98" i="31" s="1"/>
  <c r="W98" i="31" s="1"/>
  <c r="AC98" i="31"/>
  <c r="W182" i="32"/>
  <c r="W152" i="32" s="1"/>
  <c r="AF152" i="32" s="1"/>
  <c r="AL152" i="32" s="1"/>
  <c r="V152" i="32"/>
  <c r="AE152" i="32" s="1"/>
  <c r="AK152" i="32" s="1"/>
  <c r="AD95" i="31"/>
  <c r="AE95" i="31" s="1"/>
  <c r="AF95" i="31" s="1"/>
  <c r="AI95" i="31"/>
  <c r="AJ95" i="31" s="1"/>
  <c r="AK95" i="31" s="1"/>
  <c r="AL95" i="31" s="1"/>
  <c r="AI99" i="30"/>
  <c r="AJ99" i="30" s="1"/>
  <c r="AK99" i="30" s="1"/>
  <c r="AL99" i="30" s="1"/>
  <c r="AD99" i="30"/>
  <c r="AE99" i="30" s="1"/>
  <c r="AF99" i="30" s="1"/>
  <c r="AD102" i="20"/>
  <c r="AE102" i="20" s="1"/>
  <c r="AF102" i="20" s="1"/>
  <c r="AG102" i="20" s="1"/>
  <c r="Y102" i="20"/>
  <c r="Z102" i="20" s="1"/>
  <c r="AA102" i="20" s="1"/>
  <c r="AC126" i="32"/>
  <c r="U126" i="32"/>
  <c r="V126" i="32" s="1"/>
  <c r="W126" i="32" s="1"/>
  <c r="AI121" i="32"/>
  <c r="AJ121" i="32" s="1"/>
  <c r="AK121" i="32" s="1"/>
  <c r="AL121" i="32" s="1"/>
  <c r="AD121" i="32"/>
  <c r="AE121" i="32" s="1"/>
  <c r="AF121" i="32" s="1"/>
  <c r="X74" i="20"/>
  <c r="S74" i="20"/>
  <c r="T74" i="20" s="1"/>
  <c r="U74" i="20" s="1"/>
  <c r="AD98" i="30"/>
  <c r="AE98" i="30" s="1"/>
  <c r="AF98" i="30" s="1"/>
  <c r="AI98" i="30"/>
  <c r="AJ98" i="30" s="1"/>
  <c r="AK98" i="30" s="1"/>
  <c r="AL98" i="30" s="1"/>
  <c r="AI124" i="32"/>
  <c r="AJ124" i="32" s="1"/>
  <c r="AK124" i="32" s="1"/>
  <c r="AL124" i="32" s="1"/>
  <c r="AD124" i="32"/>
  <c r="AE124" i="32" s="1"/>
  <c r="AF124" i="32" s="1"/>
  <c r="AI124" i="30"/>
  <c r="AJ124" i="30" s="1"/>
  <c r="AK124" i="30" s="1"/>
  <c r="AL124" i="30" s="1"/>
  <c r="AD124" i="30"/>
  <c r="AE124" i="30" s="1"/>
  <c r="AF124" i="30" s="1"/>
  <c r="AI100" i="30"/>
  <c r="AJ100" i="30" s="1"/>
  <c r="AK100" i="30" s="1"/>
  <c r="AL100" i="30" s="1"/>
  <c r="AD100" i="30"/>
  <c r="AE100" i="30" s="1"/>
  <c r="AF100" i="30" s="1"/>
  <c r="AC97" i="31"/>
  <c r="U97" i="31"/>
  <c r="V97" i="31" s="1"/>
  <c r="W97" i="31" s="1"/>
  <c r="AD124" i="31"/>
  <c r="AE124" i="31" s="1"/>
  <c r="AF124" i="31" s="1"/>
  <c r="AI124" i="31"/>
  <c r="AJ124" i="31" s="1"/>
  <c r="AK124" i="31" s="1"/>
  <c r="AL124" i="31" s="1"/>
  <c r="AC149" i="31"/>
  <c r="U149" i="31"/>
  <c r="V149" i="31" s="1"/>
  <c r="W149" i="31" s="1"/>
  <c r="AD122" i="31"/>
  <c r="AE122" i="31" s="1"/>
  <c r="AF122" i="31" s="1"/>
  <c r="AI122" i="31"/>
  <c r="AJ122" i="31" s="1"/>
  <c r="AK122" i="31" s="1"/>
  <c r="AL122" i="31" s="1"/>
  <c r="AJ151" i="31"/>
  <c r="U151" i="31"/>
  <c r="AD151" i="31" s="1"/>
  <c r="U97" i="32"/>
  <c r="V97" i="32" s="1"/>
  <c r="W97" i="32" s="1"/>
  <c r="AC97" i="32"/>
  <c r="AD121" i="30"/>
  <c r="AE121" i="30" s="1"/>
  <c r="AF121" i="30" s="1"/>
  <c r="AI121" i="30"/>
  <c r="AJ121" i="30" s="1"/>
  <c r="AK121" i="30" s="1"/>
  <c r="AL121" i="30" s="1"/>
  <c r="AD104" i="20"/>
  <c r="AE104" i="20" s="1"/>
  <c r="AF104" i="20" s="1"/>
  <c r="AG104" i="20" s="1"/>
  <c r="Y104" i="20"/>
  <c r="Z104" i="20" s="1"/>
  <c r="AA104" i="20" s="1"/>
  <c r="AI123" i="30"/>
  <c r="AJ123" i="30" s="1"/>
  <c r="AK123" i="30" s="1"/>
  <c r="AL123" i="30" s="1"/>
  <c r="AD123" i="30"/>
  <c r="AE123" i="30" s="1"/>
  <c r="AF123" i="30" s="1"/>
  <c r="J151" i="31"/>
  <c r="Q151" i="31" s="1"/>
  <c r="P151" i="31"/>
  <c r="U149" i="32"/>
  <c r="V149" i="32" s="1"/>
  <c r="W149" i="32" s="1"/>
  <c r="AC149" i="32"/>
  <c r="AI122" i="30"/>
  <c r="AJ122" i="30" s="1"/>
  <c r="AK122" i="30" s="1"/>
  <c r="AL122" i="30" s="1"/>
  <c r="AD122" i="30"/>
  <c r="AE122" i="30" s="1"/>
  <c r="AF122" i="30" s="1"/>
  <c r="J151" i="30"/>
  <c r="Q151" i="30" s="1"/>
  <c r="P151" i="30"/>
  <c r="AD121" i="31"/>
  <c r="AE121" i="31" s="1"/>
  <c r="AF121" i="31" s="1"/>
  <c r="AI121" i="31"/>
  <c r="AJ121" i="31" s="1"/>
  <c r="AK121" i="31" s="1"/>
  <c r="AL121" i="31" s="1"/>
  <c r="AI123" i="32"/>
  <c r="AJ123" i="32" s="1"/>
  <c r="AK123" i="32" s="1"/>
  <c r="AL123" i="32" s="1"/>
  <c r="AD123" i="32"/>
  <c r="AE123" i="32" s="1"/>
  <c r="AF123" i="32" s="1"/>
  <c r="AC149" i="30"/>
  <c r="U149" i="30"/>
  <c r="V149" i="30" s="1"/>
  <c r="W149" i="30" s="1"/>
  <c r="AJ151" i="32"/>
  <c r="U151" i="32"/>
  <c r="AD151" i="32" s="1"/>
  <c r="AI120" i="31"/>
  <c r="AJ120" i="31" s="1"/>
  <c r="AK120" i="31" s="1"/>
  <c r="AL120" i="31" s="1"/>
  <c r="AD120" i="31"/>
  <c r="AE120" i="31" s="1"/>
  <c r="AF120" i="31" s="1"/>
  <c r="AC98" i="32"/>
  <c r="U98" i="32"/>
  <c r="V98" i="32" s="1"/>
  <c r="W98" i="32" s="1"/>
  <c r="U95" i="32"/>
  <c r="V95" i="32" s="1"/>
  <c r="W95" i="32" s="1"/>
  <c r="AC95" i="32"/>
  <c r="U96" i="30"/>
  <c r="V96" i="30" s="1"/>
  <c r="W96" i="30" s="1"/>
  <c r="AC96" i="30"/>
  <c r="AJ151" i="30"/>
  <c r="U151" i="30"/>
  <c r="AD151" i="30" s="1"/>
  <c r="U126" i="30"/>
  <c r="V126" i="30" s="1"/>
  <c r="W126" i="30" s="1"/>
  <c r="AC126" i="30"/>
  <c r="AI99" i="31"/>
  <c r="AJ99" i="31" s="1"/>
  <c r="AK99" i="31" s="1"/>
  <c r="AL99" i="31" s="1"/>
  <c r="AD99" i="31"/>
  <c r="AE99" i="31" s="1"/>
  <c r="AF99" i="31" s="1"/>
  <c r="AI120" i="30"/>
  <c r="AJ120" i="30" s="1"/>
  <c r="AK120" i="30" s="1"/>
  <c r="AL120" i="30" s="1"/>
  <c r="AD120" i="30"/>
  <c r="AE120" i="30" s="1"/>
  <c r="AF120" i="30" s="1"/>
  <c r="AI96" i="31"/>
  <c r="AJ96" i="31" s="1"/>
  <c r="AK96" i="31" s="1"/>
  <c r="AL96" i="31" s="1"/>
  <c r="AD96" i="31"/>
  <c r="AE96" i="31" s="1"/>
  <c r="AF96" i="31" s="1"/>
  <c r="AC100" i="32"/>
  <c r="U100" i="32"/>
  <c r="V100" i="32" s="1"/>
  <c r="W100" i="32" s="1"/>
  <c r="J151" i="32"/>
  <c r="Q151" i="32" s="1"/>
  <c r="P151" i="32"/>
  <c r="AD99" i="32"/>
  <c r="AE99" i="32" s="1"/>
  <c r="AF99" i="32" s="1"/>
  <c r="AI99" i="32"/>
  <c r="AJ99" i="32" s="1"/>
  <c r="AK99" i="32" s="1"/>
  <c r="AL99" i="32" s="1"/>
  <c r="AI125" i="31"/>
  <c r="AJ125" i="31" s="1"/>
  <c r="AK125" i="31" s="1"/>
  <c r="AL125" i="31" s="1"/>
  <c r="AD125" i="31"/>
  <c r="AE125" i="31" s="1"/>
  <c r="AF125" i="31" s="1"/>
  <c r="U127" i="20"/>
  <c r="Z127" i="20"/>
  <c r="AE127" i="20"/>
  <c r="AA78" i="20"/>
  <c r="AF78" i="20"/>
  <c r="AG78" i="20" s="1"/>
  <c r="AF76" i="20"/>
  <c r="AG76" i="20" s="1"/>
  <c r="AA76" i="20"/>
  <c r="Y75" i="20"/>
  <c r="AD75" i="20"/>
  <c r="AE75" i="20" s="1"/>
  <c r="V53" i="17"/>
  <c r="W53" i="17" s="1"/>
  <c r="X53" i="17" s="1"/>
  <c r="AA53" i="17"/>
  <c r="AB53" i="17" s="1"/>
  <c r="AC53" i="17" s="1"/>
  <c r="AD53" i="17" s="1"/>
  <c r="V57" i="17"/>
  <c r="W57" i="17" s="1"/>
  <c r="X57" i="17" s="1"/>
  <c r="AA57" i="17"/>
  <c r="AB57" i="17" s="1"/>
  <c r="AC57" i="17" s="1"/>
  <c r="AD57" i="17" s="1"/>
  <c r="V52" i="17"/>
  <c r="W52" i="17" s="1"/>
  <c r="X52" i="17" s="1"/>
  <c r="AA52" i="17"/>
  <c r="AB52" i="17" s="1"/>
  <c r="AC52" i="17" s="1"/>
  <c r="AD52" i="17" s="1"/>
  <c r="V55" i="17"/>
  <c r="W55" i="17" s="1"/>
  <c r="X55" i="17" s="1"/>
  <c r="AA55" i="17"/>
  <c r="AB55" i="17" s="1"/>
  <c r="AC55" i="17" s="1"/>
  <c r="AD55" i="17" s="1"/>
  <c r="V56" i="17"/>
  <c r="W56" i="17" s="1"/>
  <c r="X56" i="17" s="1"/>
  <c r="AA56" i="17"/>
  <c r="AB56" i="17" s="1"/>
  <c r="AC56" i="17" s="1"/>
  <c r="AD56" i="17" s="1"/>
  <c r="V54" i="17"/>
  <c r="W54" i="17" s="1"/>
  <c r="X54" i="17" s="1"/>
  <c r="AA54" i="17"/>
  <c r="AB54" i="17" s="1"/>
  <c r="AC54" i="17" s="1"/>
  <c r="AD54" i="17" s="1"/>
  <c r="AI98" i="32" l="1"/>
  <c r="AJ98" i="32" s="1"/>
  <c r="AK98" i="32" s="1"/>
  <c r="AL98" i="32" s="1"/>
  <c r="AD98" i="32"/>
  <c r="AE98" i="32" s="1"/>
  <c r="AF98" i="32" s="1"/>
  <c r="AL151" i="30"/>
  <c r="W151" i="30"/>
  <c r="AF151" i="30" s="1"/>
  <c r="AI126" i="31"/>
  <c r="AJ126" i="31" s="1"/>
  <c r="AK126" i="31" s="1"/>
  <c r="AL126" i="31" s="1"/>
  <c r="AD126" i="31"/>
  <c r="AE126" i="31" s="1"/>
  <c r="AF126" i="31" s="1"/>
  <c r="AD74" i="20"/>
  <c r="AE74" i="20" s="1"/>
  <c r="AF74" i="20" s="1"/>
  <c r="AG74" i="20" s="1"/>
  <c r="Y74" i="20"/>
  <c r="Z74" i="20" s="1"/>
  <c r="AA74" i="20" s="1"/>
  <c r="AD126" i="30"/>
  <c r="AE126" i="30" s="1"/>
  <c r="AF126" i="30" s="1"/>
  <c r="AI126" i="30"/>
  <c r="AJ126" i="30" s="1"/>
  <c r="AK126" i="30" s="1"/>
  <c r="AL126" i="30" s="1"/>
  <c r="AD97" i="32"/>
  <c r="AE97" i="32" s="1"/>
  <c r="AF97" i="32" s="1"/>
  <c r="AI97" i="32"/>
  <c r="AJ97" i="32" s="1"/>
  <c r="AK97" i="32" s="1"/>
  <c r="AL97" i="32" s="1"/>
  <c r="AD98" i="31"/>
  <c r="AE98" i="31" s="1"/>
  <c r="AF98" i="31" s="1"/>
  <c r="AI98" i="31"/>
  <c r="AJ98" i="31" s="1"/>
  <c r="AK98" i="31" s="1"/>
  <c r="AL98" i="31" s="1"/>
  <c r="V151" i="32"/>
  <c r="AE151" i="32" s="1"/>
  <c r="AK151" i="32"/>
  <c r="AI97" i="31"/>
  <c r="AJ97" i="31" s="1"/>
  <c r="AK97" i="31" s="1"/>
  <c r="AL97" i="31" s="1"/>
  <c r="AD97" i="31"/>
  <c r="AE97" i="31" s="1"/>
  <c r="AF97" i="31" s="1"/>
  <c r="W151" i="32"/>
  <c r="AF151" i="32" s="1"/>
  <c r="AL151" i="32"/>
  <c r="AI149" i="32"/>
  <c r="AJ149" i="32" s="1"/>
  <c r="AK149" i="32" s="1"/>
  <c r="AL149" i="32" s="1"/>
  <c r="AD149" i="32"/>
  <c r="AE149" i="32" s="1"/>
  <c r="AF149" i="32" s="1"/>
  <c r="AD79" i="20"/>
  <c r="AE79" i="20" s="1"/>
  <c r="AF79" i="20" s="1"/>
  <c r="AG79" i="20" s="1"/>
  <c r="Y79" i="20"/>
  <c r="Z79" i="20" s="1"/>
  <c r="AA79" i="20" s="1"/>
  <c r="AI126" i="32"/>
  <c r="AJ126" i="32" s="1"/>
  <c r="AK126" i="32" s="1"/>
  <c r="AL126" i="32" s="1"/>
  <c r="AD126" i="32"/>
  <c r="AE126" i="32" s="1"/>
  <c r="AF126" i="32" s="1"/>
  <c r="AD100" i="32"/>
  <c r="AE100" i="32" s="1"/>
  <c r="AF100" i="32" s="1"/>
  <c r="AI100" i="32"/>
  <c r="AJ100" i="32" s="1"/>
  <c r="AK100" i="32" s="1"/>
  <c r="AL100" i="32" s="1"/>
  <c r="AI96" i="30"/>
  <c r="AJ96" i="30" s="1"/>
  <c r="AK96" i="30" s="1"/>
  <c r="AL96" i="30" s="1"/>
  <c r="AD96" i="30"/>
  <c r="AE96" i="30" s="1"/>
  <c r="AF96" i="30" s="1"/>
  <c r="AD149" i="30"/>
  <c r="AE149" i="30" s="1"/>
  <c r="AF149" i="30" s="1"/>
  <c r="AI149" i="30"/>
  <c r="AJ149" i="30" s="1"/>
  <c r="AK149" i="30" s="1"/>
  <c r="AL149" i="30" s="1"/>
  <c r="AK151" i="31"/>
  <c r="V151" i="31"/>
  <c r="AE151" i="31" s="1"/>
  <c r="W151" i="31"/>
  <c r="AF151" i="31" s="1"/>
  <c r="AL151" i="31"/>
  <c r="AD95" i="32"/>
  <c r="AE95" i="32" s="1"/>
  <c r="AF95" i="32" s="1"/>
  <c r="AI95" i="32"/>
  <c r="AJ95" i="32" s="1"/>
  <c r="AK95" i="32" s="1"/>
  <c r="AL95" i="32" s="1"/>
  <c r="Y77" i="20"/>
  <c r="Z77" i="20" s="1"/>
  <c r="AA77" i="20" s="1"/>
  <c r="AD77" i="20"/>
  <c r="AE77" i="20" s="1"/>
  <c r="AF77" i="20" s="1"/>
  <c r="AG77" i="20" s="1"/>
  <c r="AD149" i="31"/>
  <c r="AE149" i="31" s="1"/>
  <c r="AF149" i="31" s="1"/>
  <c r="AI149" i="31"/>
  <c r="AJ149" i="31" s="1"/>
  <c r="AK149" i="31" s="1"/>
  <c r="AL149" i="31" s="1"/>
  <c r="AK151" i="30"/>
  <c r="V151" i="30"/>
  <c r="AE151" i="30" s="1"/>
  <c r="AF127" i="20"/>
  <c r="AA127" i="20"/>
  <c r="AF75" i="20"/>
  <c r="Z75" i="20"/>
  <c r="C85" i="7"/>
  <c r="D85" i="7" s="1"/>
  <c r="E85" i="7" s="1"/>
  <c r="F85" i="7" s="1"/>
  <c r="G85" i="7" s="1"/>
  <c r="I48" i="7"/>
  <c r="O48" i="7" s="1"/>
  <c r="I42" i="7"/>
  <c r="O42" i="7" s="1"/>
  <c r="I39" i="7"/>
  <c r="O39" i="7" s="1"/>
  <c r="H5" i="7"/>
  <c r="N5" i="7" s="1"/>
  <c r="H11" i="7"/>
  <c r="H4" i="7"/>
  <c r="N4" i="7" s="1"/>
  <c r="C82" i="7"/>
  <c r="C31" i="7" s="1"/>
  <c r="C83" i="7"/>
  <c r="C32" i="7" s="1"/>
  <c r="I32" i="7" s="1"/>
  <c r="O32" i="7" s="1"/>
  <c r="C84" i="7"/>
  <c r="I84" i="7" s="1"/>
  <c r="O84" i="7" s="1"/>
  <c r="C81" i="7"/>
  <c r="C30" i="7" s="1"/>
  <c r="D48" i="7"/>
  <c r="E48" i="7" s="1"/>
  <c r="F48" i="7" s="1"/>
  <c r="G48" i="7" s="1"/>
  <c r="D42" i="7"/>
  <c r="E42" i="7" s="1"/>
  <c r="F42" i="7" s="1"/>
  <c r="G42" i="7" s="1"/>
  <c r="E36" i="5"/>
  <c r="E35" i="5"/>
  <c r="E34" i="5"/>
  <c r="E33" i="5"/>
  <c r="E31" i="5"/>
  <c r="E30" i="5"/>
  <c r="E12" i="5"/>
  <c r="F12" i="5" s="1"/>
  <c r="U19" i="36" s="1"/>
  <c r="J11" i="5"/>
  <c r="H11" i="5"/>
  <c r="J10" i="5"/>
  <c r="H10" i="5"/>
  <c r="J9" i="5"/>
  <c r="H9" i="5"/>
  <c r="J8" i="5"/>
  <c r="H8" i="5"/>
  <c r="J7" i="5"/>
  <c r="H7" i="5"/>
  <c r="J6" i="5"/>
  <c r="H6" i="5"/>
  <c r="J5" i="5"/>
  <c r="H5" i="5"/>
  <c r="C9" i="16"/>
  <c r="C8" i="16"/>
  <c r="F7" i="16"/>
  <c r="C7" i="16"/>
  <c r="O20" i="36" l="1"/>
  <c r="AD19" i="36"/>
  <c r="H20" i="36"/>
  <c r="S19" i="31"/>
  <c r="S19" i="32"/>
  <c r="S19" i="30"/>
  <c r="Q18" i="20"/>
  <c r="F43" i="5"/>
  <c r="AG127" i="20"/>
  <c r="AG75" i="20"/>
  <c r="AA75" i="20"/>
  <c r="S19" i="18"/>
  <c r="N18" i="17"/>
  <c r="N16" i="7"/>
  <c r="L48" i="7"/>
  <c r="R48" i="7" s="1"/>
  <c r="I82" i="7"/>
  <c r="O82" i="7" s="1"/>
  <c r="K48" i="7"/>
  <c r="Q48" i="7" s="1"/>
  <c r="I83" i="7"/>
  <c r="O83" i="7" s="1"/>
  <c r="K42" i="7"/>
  <c r="Q42" i="7" s="1"/>
  <c r="J42" i="7"/>
  <c r="P42" i="7" s="1"/>
  <c r="L42" i="7"/>
  <c r="R42" i="7" s="1"/>
  <c r="J48" i="7"/>
  <c r="P48" i="7" s="1"/>
  <c r="I81" i="7"/>
  <c r="O81" i="7" s="1"/>
  <c r="F85" i="15"/>
  <c r="F84" i="15"/>
  <c r="B32" i="2"/>
  <c r="AJ20" i="36" l="1"/>
  <c r="E20" i="36"/>
  <c r="K19" i="20"/>
  <c r="AC19" i="20" s="1"/>
  <c r="W18" i="20"/>
  <c r="E19" i="20"/>
  <c r="F20" i="30"/>
  <c r="M20" i="30"/>
  <c r="AH20" i="30" s="1"/>
  <c r="AB19" i="30"/>
  <c r="M20" i="32"/>
  <c r="AH20" i="32" s="1"/>
  <c r="F20" i="32"/>
  <c r="AB19" i="32"/>
  <c r="M20" i="31"/>
  <c r="AH20" i="31" s="1"/>
  <c r="F20" i="31"/>
  <c r="AB19" i="31"/>
  <c r="F20" i="18"/>
  <c r="D6" i="21"/>
  <c r="M20" i="18"/>
  <c r="AB19" i="18"/>
  <c r="B19" i="17"/>
  <c r="T18" i="17"/>
  <c r="H19" i="17"/>
  <c r="Z19" i="17" s="1"/>
  <c r="B12" i="7"/>
  <c r="H12" i="7" s="1"/>
  <c r="B13" i="7"/>
  <c r="H13" i="7" s="1"/>
  <c r="AH20" i="18" l="1"/>
  <c r="AP37" i="12"/>
  <c r="AO37" i="12"/>
  <c r="AN37" i="12"/>
  <c r="AM37" i="12"/>
  <c r="AL37" i="12"/>
  <c r="AK37" i="12"/>
  <c r="AJ37" i="12"/>
  <c r="AI37" i="12"/>
  <c r="AH37" i="12"/>
  <c r="AG37" i="12"/>
  <c r="AF37" i="12"/>
  <c r="AE37" i="12"/>
  <c r="AD37" i="12"/>
  <c r="AC37" i="12"/>
  <c r="AB37" i="12"/>
  <c r="AA37" i="12"/>
  <c r="Z37" i="12"/>
  <c r="Y37" i="12"/>
  <c r="C37" i="12"/>
  <c r="E37" i="12"/>
  <c r="F37" i="12"/>
  <c r="G37" i="12"/>
  <c r="H37" i="12"/>
  <c r="I37" i="12"/>
  <c r="J37" i="12"/>
  <c r="K37" i="12"/>
  <c r="L37" i="12"/>
  <c r="M37" i="12"/>
  <c r="N37" i="12"/>
  <c r="O37" i="12"/>
  <c r="P37" i="12"/>
  <c r="Q37" i="12"/>
  <c r="R37" i="12"/>
  <c r="S37" i="12"/>
  <c r="T37" i="12"/>
  <c r="D37" i="12"/>
  <c r="D84" i="7"/>
  <c r="C34" i="7"/>
  <c r="D71" i="7"/>
  <c r="J71" i="7" s="1"/>
  <c r="P71" i="7" s="1"/>
  <c r="E71" i="7"/>
  <c r="K71" i="7" s="1"/>
  <c r="Q71" i="7" s="1"/>
  <c r="F71" i="7"/>
  <c r="L71" i="7" s="1"/>
  <c r="R71" i="7" s="1"/>
  <c r="G71" i="7"/>
  <c r="C71" i="7"/>
  <c r="I71" i="7" s="1"/>
  <c r="O71" i="7" s="1"/>
  <c r="G19" i="6"/>
  <c r="G20" i="6"/>
  <c r="G21" i="6"/>
  <c r="G18" i="6"/>
  <c r="E9" i="6"/>
  <c r="D9" i="6"/>
  <c r="C9" i="6"/>
  <c r="B9" i="6"/>
  <c r="V37" i="12" l="1"/>
  <c r="L39" i="12" s="1"/>
  <c r="AR37" i="12"/>
  <c r="AH39" i="12" s="1"/>
  <c r="D62" i="6"/>
  <c r="E62" i="6"/>
  <c r="B58" i="6"/>
  <c r="C58" i="6"/>
  <c r="G22" i="6"/>
  <c r="H18" i="6" s="1"/>
  <c r="I30" i="7"/>
  <c r="O30" i="7" s="1"/>
  <c r="I31" i="7"/>
  <c r="O31" i="7" s="1"/>
  <c r="E84" i="7"/>
  <c r="J84" i="7"/>
  <c r="P84" i="7" s="1"/>
  <c r="E39" i="7"/>
  <c r="J39" i="7"/>
  <c r="P39" i="7" s="1"/>
  <c r="D81" i="7"/>
  <c r="J81" i="7" s="1"/>
  <c r="P81" i="7" s="1"/>
  <c r="D83" i="7"/>
  <c r="J83" i="7" s="1"/>
  <c r="P83" i="7" s="1"/>
  <c r="D82" i="7"/>
  <c r="J82" i="7" s="1"/>
  <c r="P82" i="7" s="1"/>
  <c r="H19" i="6" l="1"/>
  <c r="H21" i="6"/>
  <c r="G38" i="6"/>
  <c r="D38" i="6" s="1"/>
  <c r="H17" i="6"/>
  <c r="G58" i="6"/>
  <c r="H20" i="6"/>
  <c r="F39" i="7"/>
  <c r="K39" i="7"/>
  <c r="Q39" i="7" s="1"/>
  <c r="F84" i="7"/>
  <c r="K84" i="7"/>
  <c r="Q84" i="7" s="1"/>
  <c r="E82" i="7"/>
  <c r="K82" i="7" s="1"/>
  <c r="Q82" i="7" s="1"/>
  <c r="D31" i="7"/>
  <c r="E83" i="7"/>
  <c r="K83" i="7" s="1"/>
  <c r="Q83" i="7" s="1"/>
  <c r="D32" i="7"/>
  <c r="J32" i="7" s="1"/>
  <c r="P32" i="7" s="1"/>
  <c r="E81" i="7"/>
  <c r="K81" i="7" s="1"/>
  <c r="Q81" i="7" s="1"/>
  <c r="D30" i="7"/>
  <c r="G14" i="1"/>
  <c r="R12" i="1"/>
  <c r="Q12" i="1"/>
  <c r="N11" i="1"/>
  <c r="H17" i="36" s="1"/>
  <c r="O17" i="36" s="1"/>
  <c r="N12" i="1"/>
  <c r="H18" i="36" s="1"/>
  <c r="O18" i="36" s="1"/>
  <c r="M9" i="1"/>
  <c r="O10" i="1"/>
  <c r="O13" i="1" s="1"/>
  <c r="C56" i="7"/>
  <c r="G40" i="6"/>
  <c r="F40" i="6" s="1"/>
  <c r="G69" i="7" s="1"/>
  <c r="C39" i="6"/>
  <c r="K46" i="9"/>
  <c r="J46" i="9"/>
  <c r="D46" i="9"/>
  <c r="C46" i="9"/>
  <c r="H11" i="1"/>
  <c r="H13" i="1" s="1"/>
  <c r="I12" i="1"/>
  <c r="K12" i="1" s="1"/>
  <c r="K14" i="1" s="1"/>
  <c r="F5" i="6"/>
  <c r="F9" i="6" s="1"/>
  <c r="K132" i="36" l="1"/>
  <c r="R132" i="36" s="1"/>
  <c r="X132" i="36" s="1"/>
  <c r="I88" i="18"/>
  <c r="P88" i="18" s="1"/>
  <c r="V88" i="18" s="1"/>
  <c r="J133" i="36"/>
  <c r="Q133" i="36" s="1"/>
  <c r="W133" i="36" s="1"/>
  <c r="H89" i="18"/>
  <c r="O89" i="18" s="1"/>
  <c r="U89" i="18" s="1"/>
  <c r="AJ17" i="36"/>
  <c r="E17" i="36"/>
  <c r="AJ18" i="36"/>
  <c r="E18" i="36"/>
  <c r="F18" i="30"/>
  <c r="M18" i="30" s="1"/>
  <c r="AH18" i="30" s="1"/>
  <c r="F18" i="31"/>
  <c r="M18" i="31" s="1"/>
  <c r="AH18" i="31" s="1"/>
  <c r="F18" i="32"/>
  <c r="M18" i="32" s="1"/>
  <c r="AH18" i="32" s="1"/>
  <c r="F17" i="32"/>
  <c r="M17" i="32" s="1"/>
  <c r="AH17" i="32" s="1"/>
  <c r="F17" i="30"/>
  <c r="M17" i="30" s="1"/>
  <c r="AH17" i="30" s="1"/>
  <c r="F17" i="31"/>
  <c r="M17" i="31" s="1"/>
  <c r="AH17" i="31" s="1"/>
  <c r="I85" i="32"/>
  <c r="P85" i="32" s="1"/>
  <c r="V85" i="32" s="1"/>
  <c r="I85" i="30"/>
  <c r="P85" i="30" s="1"/>
  <c r="V85" i="30" s="1"/>
  <c r="I85" i="31"/>
  <c r="P85" i="31" s="1"/>
  <c r="V85" i="31" s="1"/>
  <c r="G65" i="20"/>
  <c r="M65" i="20" s="1"/>
  <c r="S65" i="20" s="1"/>
  <c r="H86" i="30"/>
  <c r="O86" i="30" s="1"/>
  <c r="U86" i="30" s="1"/>
  <c r="H86" i="31"/>
  <c r="O86" i="31" s="1"/>
  <c r="U86" i="31" s="1"/>
  <c r="H86" i="32"/>
  <c r="O86" i="32" s="1"/>
  <c r="U86" i="32" s="1"/>
  <c r="E16" i="20"/>
  <c r="K16" i="20" s="1"/>
  <c r="AC16" i="20" s="1"/>
  <c r="M11" i="1"/>
  <c r="E17" i="20"/>
  <c r="K17" i="20" s="1"/>
  <c r="AC17" i="20" s="1"/>
  <c r="M12" i="1"/>
  <c r="E38" i="6"/>
  <c r="F38" i="6"/>
  <c r="H64" i="20"/>
  <c r="N64" i="20" s="1"/>
  <c r="T64" i="20" s="1"/>
  <c r="C59" i="6"/>
  <c r="F17" i="18"/>
  <c r="M17" i="18" s="1"/>
  <c r="F18" i="18"/>
  <c r="M18" i="18" s="1"/>
  <c r="N14" i="1"/>
  <c r="H19" i="36" s="1"/>
  <c r="O19" i="36" s="1"/>
  <c r="F14" i="1"/>
  <c r="D58" i="6"/>
  <c r="E42" i="17"/>
  <c r="K42" i="17" s="1"/>
  <c r="Q42" i="17" s="1"/>
  <c r="D68" i="7"/>
  <c r="J68" i="7" s="1"/>
  <c r="P68" i="7" s="1"/>
  <c r="D43" i="17"/>
  <c r="J43" i="17" s="1"/>
  <c r="P43" i="17" s="1"/>
  <c r="B17" i="17"/>
  <c r="B15" i="7"/>
  <c r="H15" i="7" s="1"/>
  <c r="B16" i="17"/>
  <c r="B14" i="7"/>
  <c r="H14" i="7" s="1"/>
  <c r="D34" i="7"/>
  <c r="J30" i="7" s="1"/>
  <c r="P30" i="7" s="1"/>
  <c r="G84" i="7"/>
  <c r="L84" i="7"/>
  <c r="R84" i="7" s="1"/>
  <c r="G39" i="7"/>
  <c r="L39" i="7"/>
  <c r="R39" i="7" s="1"/>
  <c r="F81" i="7"/>
  <c r="L81" i="7" s="1"/>
  <c r="R81" i="7" s="1"/>
  <c r="E30" i="7"/>
  <c r="F83" i="7"/>
  <c r="L83" i="7" s="1"/>
  <c r="R83" i="7" s="1"/>
  <c r="E32" i="7"/>
  <c r="K32" i="7" s="1"/>
  <c r="Q32" i="7" s="1"/>
  <c r="F82" i="7"/>
  <c r="L82" i="7" s="1"/>
  <c r="R82" i="7" s="1"/>
  <c r="E31" i="7"/>
  <c r="D56" i="7"/>
  <c r="E56" i="7" s="1"/>
  <c r="F56" i="7" s="1"/>
  <c r="G56" i="7" s="1"/>
  <c r="E40" i="6"/>
  <c r="D40" i="6"/>
  <c r="G39" i="6"/>
  <c r="C41" i="6"/>
  <c r="C40" i="6"/>
  <c r="B39" i="6"/>
  <c r="G42" i="6"/>
  <c r="G41" i="6"/>
  <c r="B41" i="6"/>
  <c r="B40" i="6"/>
  <c r="J12" i="1"/>
  <c r="J14" i="1" s="1"/>
  <c r="G12" i="1"/>
  <c r="F12" i="1" s="1"/>
  <c r="G9" i="1"/>
  <c r="I133" i="36" l="1"/>
  <c r="P133" i="36" s="1"/>
  <c r="V133" i="36" s="1"/>
  <c r="G89" i="18"/>
  <c r="N89" i="18" s="1"/>
  <c r="T89" i="18" s="1"/>
  <c r="J135" i="36"/>
  <c r="Q135" i="36" s="1"/>
  <c r="W135" i="36" s="1"/>
  <c r="H91" i="18"/>
  <c r="O91" i="18" s="1"/>
  <c r="U91" i="18" s="1"/>
  <c r="K134" i="36"/>
  <c r="R134" i="36" s="1"/>
  <c r="X134" i="36" s="1"/>
  <c r="I90" i="18"/>
  <c r="P90" i="18" s="1"/>
  <c r="V90" i="18" s="1"/>
  <c r="L134" i="36"/>
  <c r="S134" i="36" s="1"/>
  <c r="Y134" i="36" s="1"/>
  <c r="J90" i="18"/>
  <c r="Q90" i="18" s="1"/>
  <c r="W90" i="18" s="1"/>
  <c r="I134" i="36"/>
  <c r="P134" i="36" s="1"/>
  <c r="V134" i="36" s="1"/>
  <c r="AK133" i="36" s="1"/>
  <c r="G90" i="18"/>
  <c r="N90" i="18" s="1"/>
  <c r="T90" i="18" s="1"/>
  <c r="AI90" i="18" s="1"/>
  <c r="L132" i="36"/>
  <c r="S132" i="36" s="1"/>
  <c r="Y132" i="36" s="1"/>
  <c r="J88" i="18"/>
  <c r="Q88" i="18" s="1"/>
  <c r="W88" i="18" s="1"/>
  <c r="J134" i="36"/>
  <c r="Q134" i="36" s="1"/>
  <c r="W134" i="36" s="1"/>
  <c r="AL134" i="36" s="1"/>
  <c r="H90" i="18"/>
  <c r="O90" i="18" s="1"/>
  <c r="U90" i="18" s="1"/>
  <c r="AJ90" i="18" s="1"/>
  <c r="AJ89" i="18"/>
  <c r="AJ88" i="18"/>
  <c r="I135" i="36"/>
  <c r="P135" i="36" s="1"/>
  <c r="V135" i="36" s="1"/>
  <c r="G91" i="18"/>
  <c r="N91" i="18" s="1"/>
  <c r="T91" i="18" s="1"/>
  <c r="I64" i="20"/>
  <c r="O64" i="20" s="1"/>
  <c r="U64" i="20" s="1"/>
  <c r="AL132" i="36"/>
  <c r="F42" i="17"/>
  <c r="L42" i="17" s="1"/>
  <c r="R42" i="17" s="1"/>
  <c r="P219" i="36"/>
  <c r="O28" i="36"/>
  <c r="O27" i="36"/>
  <c r="AJ19" i="36"/>
  <c r="E19" i="36"/>
  <c r="AL133" i="36"/>
  <c r="F66" i="20"/>
  <c r="L66" i="20" s="1"/>
  <c r="R66" i="20" s="1"/>
  <c r="G87" i="31"/>
  <c r="N87" i="31" s="1"/>
  <c r="T87" i="31" s="1"/>
  <c r="G87" i="32"/>
  <c r="N87" i="32" s="1"/>
  <c r="T87" i="32" s="1"/>
  <c r="G87" i="30"/>
  <c r="N87" i="30" s="1"/>
  <c r="T87" i="30" s="1"/>
  <c r="F67" i="20"/>
  <c r="L67" i="20" s="1"/>
  <c r="R67" i="20" s="1"/>
  <c r="G88" i="30"/>
  <c r="N88" i="30" s="1"/>
  <c r="T88" i="30" s="1"/>
  <c r="G88" i="31"/>
  <c r="N88" i="31" s="1"/>
  <c r="T88" i="31" s="1"/>
  <c r="G88" i="32"/>
  <c r="N88" i="32" s="1"/>
  <c r="T88" i="32" s="1"/>
  <c r="F65" i="20"/>
  <c r="L65" i="20" s="1"/>
  <c r="R65" i="20" s="1"/>
  <c r="G86" i="30"/>
  <c r="N86" i="30" s="1"/>
  <c r="T86" i="30" s="1"/>
  <c r="G86" i="31"/>
  <c r="N86" i="31" s="1"/>
  <c r="T86" i="31" s="1"/>
  <c r="G86" i="32"/>
  <c r="N86" i="32" s="1"/>
  <c r="T86" i="32" s="1"/>
  <c r="G66" i="20"/>
  <c r="M66" i="20" s="1"/>
  <c r="S66" i="20" s="1"/>
  <c r="AE66" i="20" s="1"/>
  <c r="H87" i="32"/>
  <c r="O87" i="32" s="1"/>
  <c r="U87" i="32" s="1"/>
  <c r="AJ87" i="32" s="1"/>
  <c r="H87" i="30"/>
  <c r="O87" i="30" s="1"/>
  <c r="U87" i="30" s="1"/>
  <c r="AJ87" i="30" s="1"/>
  <c r="H87" i="31"/>
  <c r="O87" i="31" s="1"/>
  <c r="U87" i="31" s="1"/>
  <c r="AJ87" i="31" s="1"/>
  <c r="G67" i="20"/>
  <c r="M67" i="20" s="1"/>
  <c r="S67" i="20" s="1"/>
  <c r="H88" i="31"/>
  <c r="O88" i="31" s="1"/>
  <c r="U88" i="31" s="1"/>
  <c r="H88" i="30"/>
  <c r="O88" i="30" s="1"/>
  <c r="U88" i="30" s="1"/>
  <c r="H88" i="32"/>
  <c r="O88" i="32" s="1"/>
  <c r="U88" i="32" s="1"/>
  <c r="E58" i="6"/>
  <c r="J85" i="31"/>
  <c r="Q85" i="31" s="1"/>
  <c r="W85" i="31" s="1"/>
  <c r="J85" i="32"/>
  <c r="Q85" i="32" s="1"/>
  <c r="W85" i="32" s="1"/>
  <c r="J85" i="30"/>
  <c r="Q85" i="30" s="1"/>
  <c r="W85" i="30" s="1"/>
  <c r="H66" i="20"/>
  <c r="N66" i="20" s="1"/>
  <c r="T66" i="20" s="1"/>
  <c r="I87" i="32"/>
  <c r="P87" i="32" s="1"/>
  <c r="V87" i="32" s="1"/>
  <c r="I87" i="31"/>
  <c r="P87" i="31" s="1"/>
  <c r="V87" i="31" s="1"/>
  <c r="I87" i="30"/>
  <c r="P87" i="30" s="1"/>
  <c r="V87" i="30" s="1"/>
  <c r="F19" i="30"/>
  <c r="F19" i="31"/>
  <c r="F19" i="32"/>
  <c r="M19" i="32" s="1"/>
  <c r="I66" i="20"/>
  <c r="O66" i="20" s="1"/>
  <c r="U66" i="20" s="1"/>
  <c r="J87" i="32"/>
  <c r="Q87" i="32" s="1"/>
  <c r="W87" i="32" s="1"/>
  <c r="J87" i="31"/>
  <c r="Q87" i="31" s="1"/>
  <c r="W87" i="31" s="1"/>
  <c r="J87" i="30"/>
  <c r="Q87" i="30" s="1"/>
  <c r="W87" i="30" s="1"/>
  <c r="B16" i="7"/>
  <c r="H16" i="7" s="1"/>
  <c r="E18" i="20"/>
  <c r="K18" i="20" s="1"/>
  <c r="AC18" i="20" s="1"/>
  <c r="M14" i="1"/>
  <c r="B61" i="6"/>
  <c r="D60" i="6"/>
  <c r="E60" i="6"/>
  <c r="B60" i="6"/>
  <c r="B59" i="6"/>
  <c r="F62" i="6" s="1"/>
  <c r="C60" i="6"/>
  <c r="C61" i="6"/>
  <c r="F19" i="18"/>
  <c r="B18" i="17"/>
  <c r="H18" i="17" s="1"/>
  <c r="Z18" i="17" s="1"/>
  <c r="G10" i="1"/>
  <c r="F10" i="1" s="1"/>
  <c r="F9" i="1"/>
  <c r="AH18" i="18"/>
  <c r="AH17" i="18"/>
  <c r="F69" i="7"/>
  <c r="L69" i="7" s="1"/>
  <c r="R69" i="7" s="1"/>
  <c r="F44" i="17"/>
  <c r="L44" i="17" s="1"/>
  <c r="R44" i="17" s="1"/>
  <c r="C68" i="7"/>
  <c r="I68" i="7" s="1"/>
  <c r="O68" i="7" s="1"/>
  <c r="C43" i="17"/>
  <c r="I43" i="17" s="1"/>
  <c r="O43" i="17" s="1"/>
  <c r="C69" i="7"/>
  <c r="I69" i="7" s="1"/>
  <c r="O69" i="7" s="1"/>
  <c r="C44" i="17"/>
  <c r="I44" i="17" s="1"/>
  <c r="O44" i="17" s="1"/>
  <c r="C70" i="7"/>
  <c r="I70" i="7" s="1"/>
  <c r="O70" i="7" s="1"/>
  <c r="C45" i="17"/>
  <c r="I45" i="17" s="1"/>
  <c r="O45" i="17" s="1"/>
  <c r="E69" i="7"/>
  <c r="K69" i="7" s="1"/>
  <c r="Q69" i="7" s="1"/>
  <c r="E44" i="17"/>
  <c r="K44" i="17" s="1"/>
  <c r="Q44" i="17" s="1"/>
  <c r="D69" i="7"/>
  <c r="J69" i="7" s="1"/>
  <c r="P69" i="7" s="1"/>
  <c r="D44" i="17"/>
  <c r="J44" i="17" s="1"/>
  <c r="P44" i="17" s="1"/>
  <c r="AB44" i="17" s="1"/>
  <c r="D70" i="7"/>
  <c r="J70" i="7" s="1"/>
  <c r="P70" i="7" s="1"/>
  <c r="D45" i="17"/>
  <c r="J45" i="17" s="1"/>
  <c r="P45" i="17" s="1"/>
  <c r="H17" i="17"/>
  <c r="Z17" i="17" s="1"/>
  <c r="H16" i="17"/>
  <c r="Z16" i="17" s="1"/>
  <c r="J31" i="7"/>
  <c r="P31" i="7" s="1"/>
  <c r="E34" i="7"/>
  <c r="K30" i="7" s="1"/>
  <c r="Q30" i="7" s="1"/>
  <c r="G82" i="7"/>
  <c r="F31" i="7"/>
  <c r="G83" i="7"/>
  <c r="F32" i="7"/>
  <c r="L32" i="7" s="1"/>
  <c r="R32" i="7" s="1"/>
  <c r="G81" i="7"/>
  <c r="F30" i="7"/>
  <c r="E41" i="6"/>
  <c r="F41" i="6"/>
  <c r="G70" i="7" s="1"/>
  <c r="D41" i="6"/>
  <c r="F39" i="6"/>
  <c r="G68" i="7" s="1"/>
  <c r="E39" i="6"/>
  <c r="E59" i="6" s="1"/>
  <c r="D39" i="6"/>
  <c r="G11" i="1"/>
  <c r="F11" i="1" s="1"/>
  <c r="AK134" i="36" l="1"/>
  <c r="L135" i="36"/>
  <c r="S135" i="36" s="1"/>
  <c r="Y135" i="36" s="1"/>
  <c r="J91" i="18"/>
  <c r="Q91" i="18" s="1"/>
  <c r="W91" i="18" s="1"/>
  <c r="AK132" i="36"/>
  <c r="K133" i="36"/>
  <c r="R133" i="36" s="1"/>
  <c r="X133" i="36" s="1"/>
  <c r="I89" i="18"/>
  <c r="AD65" i="20"/>
  <c r="AI89" i="18"/>
  <c r="AI88" i="18"/>
  <c r="K135" i="36"/>
  <c r="R135" i="36" s="1"/>
  <c r="X135" i="36" s="1"/>
  <c r="I91" i="18"/>
  <c r="P91" i="18" s="1"/>
  <c r="V91" i="18" s="1"/>
  <c r="AJ85" i="32"/>
  <c r="AJ86" i="32"/>
  <c r="AJ85" i="31"/>
  <c r="AD66" i="20"/>
  <c r="AD64" i="20"/>
  <c r="P193" i="36"/>
  <c r="Q219" i="36"/>
  <c r="R219" i="36" s="1"/>
  <c r="S219" i="36" s="1"/>
  <c r="M19" i="30"/>
  <c r="N172" i="30" s="1"/>
  <c r="AJ85" i="30"/>
  <c r="AJ86" i="30"/>
  <c r="I86" i="30"/>
  <c r="I86" i="31"/>
  <c r="I86" i="32"/>
  <c r="AI86" i="32"/>
  <c r="AI85" i="32"/>
  <c r="AJ86" i="31"/>
  <c r="AI86" i="31"/>
  <c r="AI85" i="31"/>
  <c r="AI87" i="30"/>
  <c r="H8" i="1"/>
  <c r="H9" i="1" s="1"/>
  <c r="I8" i="1"/>
  <c r="Q14" i="1" s="1"/>
  <c r="AI86" i="30"/>
  <c r="AI85" i="30"/>
  <c r="AE65" i="20"/>
  <c r="N172" i="32"/>
  <c r="M28" i="32"/>
  <c r="M27" i="32"/>
  <c r="AH19" i="32"/>
  <c r="AI87" i="31"/>
  <c r="I88" i="31"/>
  <c r="P88" i="31" s="1"/>
  <c r="V88" i="31" s="1"/>
  <c r="I88" i="30"/>
  <c r="P88" i="30" s="1"/>
  <c r="V88" i="30" s="1"/>
  <c r="I88" i="32"/>
  <c r="P88" i="32" s="1"/>
  <c r="V88" i="32" s="1"/>
  <c r="AI87" i="32"/>
  <c r="J88" i="31"/>
  <c r="Q88" i="31" s="1"/>
  <c r="W88" i="31" s="1"/>
  <c r="J88" i="30"/>
  <c r="Q88" i="30" s="1"/>
  <c r="W88" i="30" s="1"/>
  <c r="J88" i="32"/>
  <c r="Q88" i="32" s="1"/>
  <c r="W88" i="32" s="1"/>
  <c r="AE64" i="20"/>
  <c r="M19" i="31"/>
  <c r="N172" i="31" s="1"/>
  <c r="C63" i="6"/>
  <c r="J5" i="36" s="1"/>
  <c r="I67" i="20"/>
  <c r="O67" i="20" s="1"/>
  <c r="U67" i="20" s="1"/>
  <c r="H67" i="20"/>
  <c r="N67" i="20" s="1"/>
  <c r="T67" i="20" s="1"/>
  <c r="B63" i="6"/>
  <c r="I5" i="36" s="1"/>
  <c r="H65" i="20"/>
  <c r="AA44" i="17"/>
  <c r="M19" i="18"/>
  <c r="AA43" i="17"/>
  <c r="AA42" i="17"/>
  <c r="AB42" i="17"/>
  <c r="AB43" i="17"/>
  <c r="E43" i="17"/>
  <c r="K43" i="17" s="1"/>
  <c r="Q43" i="17" s="1"/>
  <c r="D59" i="6"/>
  <c r="F45" i="17"/>
  <c r="L45" i="17" s="1"/>
  <c r="R45" i="17" s="1"/>
  <c r="E61" i="6"/>
  <c r="E63" i="6" s="1"/>
  <c r="E67" i="6" s="1"/>
  <c r="L5" i="36" s="1"/>
  <c r="E45" i="17"/>
  <c r="K45" i="17" s="1"/>
  <c r="Q45" i="17" s="1"/>
  <c r="D61" i="6"/>
  <c r="F60" i="6"/>
  <c r="G60" i="6"/>
  <c r="G61" i="6"/>
  <c r="G59" i="6"/>
  <c r="K31" i="7"/>
  <c r="Q31" i="7" s="1"/>
  <c r="G30" i="7"/>
  <c r="G32" i="7"/>
  <c r="F34" i="7"/>
  <c r="L31" i="7" s="1"/>
  <c r="R31" i="7" s="1"/>
  <c r="G31" i="7"/>
  <c r="E68" i="7"/>
  <c r="K68" i="7" s="1"/>
  <c r="Q68" i="7" s="1"/>
  <c r="F68" i="7"/>
  <c r="L68" i="7" s="1"/>
  <c r="R68" i="7" s="1"/>
  <c r="E70" i="7"/>
  <c r="K70" i="7" s="1"/>
  <c r="Q70" i="7" s="1"/>
  <c r="F70" i="7"/>
  <c r="L70" i="7" s="1"/>
  <c r="R70" i="7" s="1"/>
  <c r="L133" i="36" l="1"/>
  <c r="S133" i="36" s="1"/>
  <c r="Y133" i="36" s="1"/>
  <c r="P89" i="18"/>
  <c r="V89" i="18" s="1"/>
  <c r="J89" i="18"/>
  <c r="Q89" i="18" s="1"/>
  <c r="W89" i="18" s="1"/>
  <c r="N175" i="18"/>
  <c r="P8" i="1"/>
  <c r="L7" i="36"/>
  <c r="S5" i="36"/>
  <c r="P5" i="36"/>
  <c r="I7" i="36"/>
  <c r="AK193" i="36"/>
  <c r="Q193" i="36"/>
  <c r="AN133" i="36"/>
  <c r="AN134" i="36"/>
  <c r="AN132" i="36"/>
  <c r="J7" i="36"/>
  <c r="Q5" i="36"/>
  <c r="D4" i="17"/>
  <c r="J4" i="17" s="1"/>
  <c r="P4" i="17" s="1"/>
  <c r="AM133" i="36"/>
  <c r="AM132" i="36"/>
  <c r="AM134" i="36"/>
  <c r="N146" i="31"/>
  <c r="O172" i="31"/>
  <c r="P172" i="31" s="1"/>
  <c r="Q172" i="31" s="1"/>
  <c r="J86" i="31"/>
  <c r="Q86" i="31" s="1"/>
  <c r="W86" i="31" s="1"/>
  <c r="P86" i="31"/>
  <c r="V86" i="31" s="1"/>
  <c r="H5" i="18"/>
  <c r="H5" i="30"/>
  <c r="H5" i="32"/>
  <c r="H5" i="31"/>
  <c r="P86" i="30"/>
  <c r="V86" i="30" s="1"/>
  <c r="J86" i="30"/>
  <c r="Q86" i="30" s="1"/>
  <c r="W86" i="30" s="1"/>
  <c r="M28" i="31"/>
  <c r="AH19" i="31"/>
  <c r="M27" i="31"/>
  <c r="E69" i="6"/>
  <c r="L6" i="36" s="1"/>
  <c r="J5" i="32"/>
  <c r="J5" i="30"/>
  <c r="J5" i="31"/>
  <c r="J5" i="18"/>
  <c r="N146" i="32"/>
  <c r="O172" i="32"/>
  <c r="P172" i="32" s="1"/>
  <c r="Q172" i="32" s="1"/>
  <c r="I9" i="1"/>
  <c r="P9" i="1" s="1"/>
  <c r="R14" i="1"/>
  <c r="N146" i="30"/>
  <c r="O172" i="30"/>
  <c r="P172" i="30" s="1"/>
  <c r="Q172" i="30" s="1"/>
  <c r="O8" i="1"/>
  <c r="O14" i="1" s="1"/>
  <c r="P14" i="1"/>
  <c r="G5" i="32"/>
  <c r="G5" i="30"/>
  <c r="G5" i="31"/>
  <c r="J86" i="32"/>
  <c r="Q86" i="32" s="1"/>
  <c r="W86" i="32" s="1"/>
  <c r="P86" i="32"/>
  <c r="V86" i="32" s="1"/>
  <c r="M28" i="30"/>
  <c r="AH19" i="30"/>
  <c r="M27" i="30"/>
  <c r="M27" i="18"/>
  <c r="M28" i="18"/>
  <c r="H10" i="1"/>
  <c r="O9" i="1"/>
  <c r="D4" i="7"/>
  <c r="J4" i="7" s="1"/>
  <c r="P4" i="7" s="1"/>
  <c r="AH4" i="7" s="1"/>
  <c r="G4" i="20"/>
  <c r="M4" i="20" s="1"/>
  <c r="S4" i="20" s="1"/>
  <c r="I65" i="20"/>
  <c r="O65" i="20" s="1"/>
  <c r="U65" i="20" s="1"/>
  <c r="N65" i="20"/>
  <c r="T65" i="20" s="1"/>
  <c r="I4" i="20"/>
  <c r="G5" i="18"/>
  <c r="F4" i="20"/>
  <c r="AH19" i="18"/>
  <c r="F4" i="17"/>
  <c r="L4" i="17" s="1"/>
  <c r="I5" i="20"/>
  <c r="F43" i="17"/>
  <c r="L43" i="17" s="1"/>
  <c r="R43" i="17" s="1"/>
  <c r="AD43" i="17" s="1"/>
  <c r="AC43" i="17"/>
  <c r="AC42" i="17"/>
  <c r="AC44" i="17"/>
  <c r="G63" i="6"/>
  <c r="D63" i="6"/>
  <c r="D67" i="6" s="1"/>
  <c r="K5" i="36" s="1"/>
  <c r="F61" i="6"/>
  <c r="F59" i="6"/>
  <c r="L30" i="7"/>
  <c r="R30" i="7" s="1"/>
  <c r="G34" i="7"/>
  <c r="F4" i="7"/>
  <c r="C4" i="17"/>
  <c r="C14" i="2"/>
  <c r="B14" i="2"/>
  <c r="D6" i="17" l="1"/>
  <c r="AL89" i="18"/>
  <c r="AL88" i="18"/>
  <c r="AL90" i="18"/>
  <c r="AK89" i="18"/>
  <c r="AK88" i="18"/>
  <c r="AK90" i="18"/>
  <c r="H7" i="18"/>
  <c r="H64" i="18" s="1"/>
  <c r="J7" i="18"/>
  <c r="J64" i="18" s="1"/>
  <c r="N149" i="18"/>
  <c r="O175" i="18"/>
  <c r="P175" i="18" s="1"/>
  <c r="Q175" i="18" s="1"/>
  <c r="O5" i="18"/>
  <c r="U5" i="18" s="1"/>
  <c r="R193" i="36"/>
  <c r="AL193" i="36"/>
  <c r="R5" i="36"/>
  <c r="X5" i="36" s="1"/>
  <c r="K7" i="36"/>
  <c r="M7" i="36" s="1"/>
  <c r="S6" i="36"/>
  <c r="L77" i="36"/>
  <c r="M5" i="36"/>
  <c r="I64" i="36"/>
  <c r="I14" i="36"/>
  <c r="I13" i="36" s="1"/>
  <c r="P7" i="36"/>
  <c r="I53" i="36"/>
  <c r="V5" i="36"/>
  <c r="W5" i="36"/>
  <c r="Y5" i="36"/>
  <c r="J14" i="36"/>
  <c r="Q7" i="36"/>
  <c r="J64" i="36"/>
  <c r="J53" i="36"/>
  <c r="S7" i="36"/>
  <c r="L14" i="36"/>
  <c r="L13" i="36" s="1"/>
  <c r="L20" i="36" s="1"/>
  <c r="L64" i="36"/>
  <c r="L53" i="36"/>
  <c r="H11" i="18"/>
  <c r="AI146" i="30"/>
  <c r="O146" i="30"/>
  <c r="AL86" i="30"/>
  <c r="AL85" i="30"/>
  <c r="AL87" i="30"/>
  <c r="AK86" i="30"/>
  <c r="AK85" i="30"/>
  <c r="AK87" i="30"/>
  <c r="H7" i="31"/>
  <c r="O5" i="31"/>
  <c r="U5" i="31" s="1"/>
  <c r="AK86" i="32"/>
  <c r="AK85" i="32"/>
  <c r="AK87" i="32"/>
  <c r="AI146" i="32"/>
  <c r="O146" i="32"/>
  <c r="O5" i="32"/>
  <c r="H7" i="32"/>
  <c r="AL86" i="32"/>
  <c r="AL87" i="32"/>
  <c r="AL85" i="32"/>
  <c r="J7" i="31"/>
  <c r="Q5" i="31"/>
  <c r="W5" i="31" s="1"/>
  <c r="H7" i="30"/>
  <c r="O5" i="30"/>
  <c r="U5" i="30" s="1"/>
  <c r="G7" i="31"/>
  <c r="N5" i="31"/>
  <c r="N5" i="30"/>
  <c r="G7" i="30"/>
  <c r="AK86" i="31"/>
  <c r="AK85" i="31"/>
  <c r="AK87" i="31"/>
  <c r="D69" i="6"/>
  <c r="K6" i="36" s="1"/>
  <c r="I5" i="32"/>
  <c r="I5" i="30"/>
  <c r="K5" i="30" s="1"/>
  <c r="I5" i="31"/>
  <c r="K5" i="31" s="1"/>
  <c r="I5" i="18"/>
  <c r="J7" i="30"/>
  <c r="Q5" i="30"/>
  <c r="W5" i="30" s="1"/>
  <c r="G7" i="32"/>
  <c r="N5" i="32"/>
  <c r="Q5" i="32"/>
  <c r="J7" i="32"/>
  <c r="AL86" i="31"/>
  <c r="AL87" i="31"/>
  <c r="AL85" i="31"/>
  <c r="E68" i="6"/>
  <c r="J6" i="30"/>
  <c r="J6" i="31"/>
  <c r="J6" i="32"/>
  <c r="J6" i="18"/>
  <c r="O146" i="31"/>
  <c r="AI146" i="31"/>
  <c r="G6" i="20"/>
  <c r="G45" i="20" s="1"/>
  <c r="D5" i="7"/>
  <c r="D11" i="7" s="1"/>
  <c r="Q5" i="18"/>
  <c r="Y4" i="20"/>
  <c r="AR4" i="20"/>
  <c r="O5" i="20"/>
  <c r="I55" i="20"/>
  <c r="F6" i="20"/>
  <c r="L4" i="20"/>
  <c r="AF65" i="20"/>
  <c r="AF66" i="20"/>
  <c r="AF64" i="20"/>
  <c r="H62" i="6"/>
  <c r="H58" i="6"/>
  <c r="N5" i="18"/>
  <c r="G7" i="18"/>
  <c r="O4" i="20"/>
  <c r="U4" i="20" s="1"/>
  <c r="I6" i="20"/>
  <c r="H4" i="20"/>
  <c r="J4" i="20" s="1"/>
  <c r="AG64" i="20"/>
  <c r="AG65" i="20"/>
  <c r="AG66" i="20"/>
  <c r="F6" i="17"/>
  <c r="L6" i="17" s="1"/>
  <c r="H60" i="6"/>
  <c r="H61" i="6"/>
  <c r="F5" i="17"/>
  <c r="F34" i="17" s="1"/>
  <c r="H59" i="6"/>
  <c r="AD44" i="17"/>
  <c r="AD42" i="17"/>
  <c r="E4" i="17"/>
  <c r="G4" i="17" s="1"/>
  <c r="H5" i="20"/>
  <c r="E4" i="7"/>
  <c r="E5" i="7" s="1"/>
  <c r="F63" i="6"/>
  <c r="AO4" i="17"/>
  <c r="V4" i="17"/>
  <c r="V6" i="17" s="1"/>
  <c r="V18" i="17" s="1"/>
  <c r="D13" i="17"/>
  <c r="D12" i="17" s="1"/>
  <c r="D19" i="17" s="1"/>
  <c r="J6" i="17"/>
  <c r="C6" i="17"/>
  <c r="I4" i="17"/>
  <c r="O4" i="17" s="1"/>
  <c r="R4" i="17"/>
  <c r="F5" i="7"/>
  <c r="L4" i="7"/>
  <c r="R4" i="7" s="1"/>
  <c r="AJ4" i="7" s="1"/>
  <c r="C4" i="7"/>
  <c r="I4" i="7" s="1"/>
  <c r="AH5" i="7"/>
  <c r="J14" i="18" l="1"/>
  <c r="J13" i="18" s="1"/>
  <c r="J20" i="18" s="1"/>
  <c r="J11" i="18"/>
  <c r="Q7" i="18"/>
  <c r="Q64" i="18" s="1"/>
  <c r="O7" i="18"/>
  <c r="O16" i="18" s="1"/>
  <c r="H14" i="18"/>
  <c r="H13" i="18" s="1"/>
  <c r="H20" i="18" s="1"/>
  <c r="H53" i="18"/>
  <c r="J53" i="18"/>
  <c r="H8" i="18"/>
  <c r="J8" i="18"/>
  <c r="AD5" i="18"/>
  <c r="AD7" i="18" s="1"/>
  <c r="AD19" i="18" s="1"/>
  <c r="AD52" i="18" s="1"/>
  <c r="AD37" i="18" s="1"/>
  <c r="I7" i="18"/>
  <c r="I64" i="18" s="1"/>
  <c r="AI149" i="18"/>
  <c r="O149" i="18"/>
  <c r="T5" i="36"/>
  <c r="R213" i="36" s="1"/>
  <c r="R211" i="36" s="1"/>
  <c r="R63" i="36" s="1"/>
  <c r="H13" i="36"/>
  <c r="I20" i="36"/>
  <c r="Q17" i="36"/>
  <c r="Q14" i="36"/>
  <c r="Q19" i="36" s="1"/>
  <c r="Q15" i="36"/>
  <c r="Q16" i="36"/>
  <c r="Q64" i="36"/>
  <c r="Q18" i="36"/>
  <c r="W7" i="36"/>
  <c r="Q53" i="36"/>
  <c r="P15" i="36"/>
  <c r="P17" i="36"/>
  <c r="P14" i="36"/>
  <c r="P64" i="36"/>
  <c r="V7" i="36"/>
  <c r="P18" i="36"/>
  <c r="P16" i="36"/>
  <c r="P53" i="36"/>
  <c r="J17" i="36"/>
  <c r="J18" i="36"/>
  <c r="J16" i="36"/>
  <c r="J15" i="36"/>
  <c r="J19" i="36"/>
  <c r="I17" i="36"/>
  <c r="I15" i="36"/>
  <c r="I18" i="36"/>
  <c r="I16" i="36"/>
  <c r="I19" i="36"/>
  <c r="J213" i="36"/>
  <c r="J211" i="36" s="1"/>
  <c r="J63" i="36" s="1"/>
  <c r="J56" i="36" s="1"/>
  <c r="L213" i="36"/>
  <c r="L211" i="36" s="1"/>
  <c r="L63" i="36" s="1"/>
  <c r="L56" i="36" s="1"/>
  <c r="I213" i="36"/>
  <c r="I211" i="36" s="1"/>
  <c r="AH5" i="36"/>
  <c r="AN5" i="36" s="1"/>
  <c r="Y6" i="36"/>
  <c r="S77" i="36"/>
  <c r="AF5" i="36"/>
  <c r="K213" i="36"/>
  <c r="K211" i="36" s="1"/>
  <c r="K63" i="36" s="1"/>
  <c r="R6" i="36"/>
  <c r="K77" i="36"/>
  <c r="L19" i="36"/>
  <c r="L18" i="36"/>
  <c r="L16" i="36"/>
  <c r="L17" i="36"/>
  <c r="L15" i="36"/>
  <c r="K14" i="36"/>
  <c r="M14" i="36" s="1"/>
  <c r="K64" i="36"/>
  <c r="M64" i="36" s="1"/>
  <c r="R7" i="36"/>
  <c r="T7" i="36" s="1"/>
  <c r="F7" i="36" s="1"/>
  <c r="K53" i="36"/>
  <c r="M53" i="36" s="1"/>
  <c r="S16" i="36"/>
  <c r="S18" i="36"/>
  <c r="S15" i="36"/>
  <c r="Y7" i="36"/>
  <c r="S14" i="36"/>
  <c r="S19" i="36" s="1"/>
  <c r="S17" i="36"/>
  <c r="S64" i="36"/>
  <c r="S53" i="36"/>
  <c r="AG5" i="36"/>
  <c r="AM5" i="36" s="1"/>
  <c r="G36" i="20"/>
  <c r="AE5" i="36"/>
  <c r="AK5" i="36" s="1"/>
  <c r="Z5" i="36"/>
  <c r="V213" i="36" s="1"/>
  <c r="V211" i="36" s="1"/>
  <c r="J13" i="36"/>
  <c r="J20" i="36" s="1"/>
  <c r="AM193" i="36"/>
  <c r="S193" i="36"/>
  <c r="AN193" i="36" s="1"/>
  <c r="O17" i="18"/>
  <c r="O18" i="18"/>
  <c r="O15" i="18"/>
  <c r="O14" i="18"/>
  <c r="O19" i="18" s="1"/>
  <c r="U7" i="18"/>
  <c r="U19" i="18" s="1"/>
  <c r="U52" i="18" s="1"/>
  <c r="U37" i="18" s="1"/>
  <c r="O11" i="18"/>
  <c r="O8" i="18"/>
  <c r="G8" i="18"/>
  <c r="G11" i="18"/>
  <c r="Q11" i="18"/>
  <c r="Q8" i="18"/>
  <c r="K5" i="32"/>
  <c r="I166" i="32" s="1"/>
  <c r="I164" i="32" s="1"/>
  <c r="I63" i="32" s="1"/>
  <c r="P5" i="32"/>
  <c r="R5" i="32" s="1"/>
  <c r="N166" i="32" s="1"/>
  <c r="N164" i="32" s="1"/>
  <c r="I7" i="32"/>
  <c r="K7" i="32" s="1"/>
  <c r="H14" i="30"/>
  <c r="H64" i="30"/>
  <c r="O7" i="30"/>
  <c r="H53" i="30"/>
  <c r="J14" i="32"/>
  <c r="Q7" i="32"/>
  <c r="J64" i="32"/>
  <c r="J53" i="32"/>
  <c r="D68" i="6"/>
  <c r="I6" i="30"/>
  <c r="I6" i="31"/>
  <c r="I6" i="32"/>
  <c r="I6" i="18"/>
  <c r="AF5" i="31"/>
  <c r="AY5" i="31"/>
  <c r="AY7" i="31" s="1"/>
  <c r="W5" i="32"/>
  <c r="Q7" i="31"/>
  <c r="J14" i="31"/>
  <c r="J64" i="31"/>
  <c r="J53" i="31"/>
  <c r="AD5" i="31"/>
  <c r="AD7" i="31" s="1"/>
  <c r="AW5" i="31"/>
  <c r="H53" i="31"/>
  <c r="H64" i="31"/>
  <c r="O7" i="31"/>
  <c r="H14" i="31"/>
  <c r="Q6" i="32"/>
  <c r="J76" i="32"/>
  <c r="N7" i="32"/>
  <c r="G64" i="32"/>
  <c r="G14" i="32"/>
  <c r="G13" i="32" s="1"/>
  <c r="G53" i="32"/>
  <c r="G64" i="30"/>
  <c r="G14" i="30"/>
  <c r="G13" i="30" s="1"/>
  <c r="N7" i="30"/>
  <c r="G53" i="30"/>
  <c r="H14" i="32"/>
  <c r="H53" i="32"/>
  <c r="H64" i="32"/>
  <c r="O7" i="32"/>
  <c r="T5" i="32"/>
  <c r="T5" i="30"/>
  <c r="U5" i="32"/>
  <c r="Q6" i="30"/>
  <c r="J76" i="30"/>
  <c r="AY5" i="30"/>
  <c r="AY7" i="30" s="1"/>
  <c r="AF5" i="30"/>
  <c r="AF7" i="30" s="1"/>
  <c r="Q7" i="30"/>
  <c r="J14" i="30"/>
  <c r="J64" i="30"/>
  <c r="J53" i="30"/>
  <c r="T5" i="31"/>
  <c r="AJ146" i="32"/>
  <c r="P146" i="32"/>
  <c r="G13" i="20"/>
  <c r="G12" i="20" s="1"/>
  <c r="G19" i="20" s="1"/>
  <c r="M6" i="20"/>
  <c r="S6" i="20" s="1"/>
  <c r="P5" i="31"/>
  <c r="V5" i="31" s="1"/>
  <c r="I7" i="31"/>
  <c r="K7" i="31" s="1"/>
  <c r="AJ146" i="30"/>
  <c r="P146" i="30"/>
  <c r="P146" i="31"/>
  <c r="AJ146" i="31"/>
  <c r="Q6" i="31"/>
  <c r="J76" i="31"/>
  <c r="G64" i="31"/>
  <c r="G53" i="31"/>
  <c r="N7" i="31"/>
  <c r="G14" i="31"/>
  <c r="P5" i="30"/>
  <c r="V5" i="30" s="1"/>
  <c r="I7" i="30"/>
  <c r="K7" i="30" s="1"/>
  <c r="AD5" i="30"/>
  <c r="AD7" i="30" s="1"/>
  <c r="AW5" i="30"/>
  <c r="G64" i="18"/>
  <c r="T5" i="18"/>
  <c r="W5" i="18"/>
  <c r="J5" i="7"/>
  <c r="P5" i="7" s="1"/>
  <c r="P16" i="7" s="1"/>
  <c r="P19" i="7" s="1"/>
  <c r="AJ5" i="18"/>
  <c r="Q53" i="18"/>
  <c r="H16" i="18"/>
  <c r="H19" i="18"/>
  <c r="F13" i="17"/>
  <c r="F12" i="17" s="1"/>
  <c r="F19" i="17" s="1"/>
  <c r="H17" i="18"/>
  <c r="H18" i="18"/>
  <c r="K5" i="18"/>
  <c r="I169" i="18" s="1"/>
  <c r="I167" i="18" s="1"/>
  <c r="R4" i="20"/>
  <c r="F45" i="20"/>
  <c r="F36" i="20"/>
  <c r="L6" i="20"/>
  <c r="F13" i="20"/>
  <c r="F12" i="20" s="1"/>
  <c r="I13" i="20"/>
  <c r="I12" i="20" s="1"/>
  <c r="I19" i="20" s="1"/>
  <c r="O6" i="20"/>
  <c r="I45" i="20"/>
  <c r="I36" i="20"/>
  <c r="N5" i="20"/>
  <c r="H55" i="20"/>
  <c r="AA4" i="20"/>
  <c r="AA6" i="20" s="1"/>
  <c r="AT4" i="20"/>
  <c r="AT6" i="20" s="1"/>
  <c r="U5" i="20"/>
  <c r="U55" i="20" s="1"/>
  <c r="O55" i="20"/>
  <c r="P5" i="18"/>
  <c r="G53" i="18"/>
  <c r="G14" i="18"/>
  <c r="N7" i="18"/>
  <c r="N4" i="20"/>
  <c r="T4" i="20" s="1"/>
  <c r="H6" i="20"/>
  <c r="J6" i="20" s="1"/>
  <c r="K4" i="7"/>
  <c r="Q4" i="7" s="1"/>
  <c r="AI4" i="7" s="1"/>
  <c r="AI5" i="7" s="1"/>
  <c r="AE4" i="20"/>
  <c r="AE6" i="20" s="1"/>
  <c r="Y6" i="20"/>
  <c r="L5" i="17"/>
  <c r="L34" i="17" s="1"/>
  <c r="J15" i="18"/>
  <c r="J16" i="18"/>
  <c r="J18" i="18"/>
  <c r="J17" i="18"/>
  <c r="J19" i="18"/>
  <c r="Q6" i="18"/>
  <c r="J77" i="18"/>
  <c r="E5" i="17"/>
  <c r="Q16" i="18"/>
  <c r="W7" i="18"/>
  <c r="Q14" i="18"/>
  <c r="Q19" i="18" s="1"/>
  <c r="Q15" i="18"/>
  <c r="Q18" i="18"/>
  <c r="Q17" i="18"/>
  <c r="AB4" i="17"/>
  <c r="AB6" i="17" s="1"/>
  <c r="AB16" i="17" s="1"/>
  <c r="K4" i="17"/>
  <c r="Q4" i="17" s="1"/>
  <c r="S4" i="17" s="1"/>
  <c r="AR4" i="17" s="1"/>
  <c r="AR6" i="17" s="1"/>
  <c r="E6" i="17"/>
  <c r="AN4" i="17"/>
  <c r="U4" i="17"/>
  <c r="AA4" i="17" s="1"/>
  <c r="X4" i="17"/>
  <c r="AA5" i="20" s="1"/>
  <c r="AA55" i="20" s="1"/>
  <c r="V30" i="17"/>
  <c r="V20" i="17"/>
  <c r="J15" i="17"/>
  <c r="J14" i="17"/>
  <c r="J13" i="17"/>
  <c r="J18" i="17" s="1"/>
  <c r="P6" i="17"/>
  <c r="P18" i="17" s="1"/>
  <c r="J17" i="17"/>
  <c r="J16" i="17"/>
  <c r="D15" i="17"/>
  <c r="D14" i="17"/>
  <c r="D18" i="17"/>
  <c r="D17" i="17"/>
  <c r="D16" i="17"/>
  <c r="C13" i="17"/>
  <c r="C12" i="17" s="1"/>
  <c r="I6" i="17"/>
  <c r="AQ4" i="17"/>
  <c r="AQ6" i="17" s="1"/>
  <c r="L15" i="17"/>
  <c r="L16" i="17"/>
  <c r="L17" i="17"/>
  <c r="R6" i="17"/>
  <c r="L14" i="17"/>
  <c r="L13" i="17"/>
  <c r="O4" i="7"/>
  <c r="E11" i="7"/>
  <c r="K5" i="7"/>
  <c r="Q5" i="7" s="1"/>
  <c r="Q16" i="7" s="1"/>
  <c r="D15" i="7"/>
  <c r="D13" i="7"/>
  <c r="D16" i="7"/>
  <c r="D19" i="7" s="1"/>
  <c r="D14" i="7"/>
  <c r="D12" i="7"/>
  <c r="F11" i="7"/>
  <c r="L5" i="7"/>
  <c r="R5" i="7" s="1"/>
  <c r="R16" i="7" s="1"/>
  <c r="AJ5" i="7"/>
  <c r="C5" i="7"/>
  <c r="G4" i="7"/>
  <c r="H15" i="18" l="1"/>
  <c r="O53" i="18"/>
  <c r="O64" i="18"/>
  <c r="G16" i="20"/>
  <c r="G15" i="20"/>
  <c r="G14" i="20"/>
  <c r="I14" i="18"/>
  <c r="I13" i="18" s="1"/>
  <c r="K7" i="18"/>
  <c r="B35" i="37" s="1"/>
  <c r="I8" i="18"/>
  <c r="K8" i="18" s="1"/>
  <c r="I53" i="18"/>
  <c r="K53" i="18" s="1"/>
  <c r="I11" i="18"/>
  <c r="K11" i="18" s="1"/>
  <c r="D21" i="37" s="1"/>
  <c r="D22" i="37" s="1"/>
  <c r="D2" i="37" s="1"/>
  <c r="P7" i="18"/>
  <c r="P15" i="18" s="1"/>
  <c r="F5" i="36"/>
  <c r="AJ149" i="18"/>
  <c r="P149" i="18"/>
  <c r="G169" i="18"/>
  <c r="G167" i="18" s="1"/>
  <c r="H169" i="18"/>
  <c r="H167" i="18" s="1"/>
  <c r="J169" i="18"/>
  <c r="J167" i="18" s="1"/>
  <c r="O13" i="18"/>
  <c r="O20" i="18" s="1"/>
  <c r="O21" i="18" s="1"/>
  <c r="O39" i="18" s="1"/>
  <c r="M14" i="20"/>
  <c r="M45" i="20"/>
  <c r="U53" i="18"/>
  <c r="S52" i="36"/>
  <c r="S37" i="36" s="1"/>
  <c r="W213" i="36"/>
  <c r="W211" i="36" s="1"/>
  <c r="W63" i="36" s="1"/>
  <c r="K56" i="36"/>
  <c r="G18" i="20"/>
  <c r="S13" i="36"/>
  <c r="S20" i="36" s="1"/>
  <c r="S21" i="36" s="1"/>
  <c r="S71" i="36" s="1"/>
  <c r="S41" i="36" s="1"/>
  <c r="Y213" i="36"/>
  <c r="Y211" i="36" s="1"/>
  <c r="Y63" i="36" s="1"/>
  <c r="P213" i="36"/>
  <c r="P211" i="36" s="1"/>
  <c r="P63" i="36" s="1"/>
  <c r="Q213" i="36"/>
  <c r="Q211" i="36" s="1"/>
  <c r="Q63" i="36" s="1"/>
  <c r="Q56" i="36" s="1"/>
  <c r="S213" i="36"/>
  <c r="S211" i="36" s="1"/>
  <c r="S63" i="36" s="1"/>
  <c r="S56" i="36" s="1"/>
  <c r="Q13" i="36"/>
  <c r="Q20" i="36" s="1"/>
  <c r="Q21" i="36" s="1"/>
  <c r="U11" i="18"/>
  <c r="M94" i="36"/>
  <c r="K13" i="36"/>
  <c r="K20" i="36" s="1"/>
  <c r="M20" i="36" s="1"/>
  <c r="G20" i="36" s="1"/>
  <c r="W64" i="36"/>
  <c r="W56" i="36" s="1"/>
  <c r="W53" i="36"/>
  <c r="W19" i="36"/>
  <c r="U8" i="18"/>
  <c r="K18" i="36"/>
  <c r="M18" i="36" s="1"/>
  <c r="K17" i="36"/>
  <c r="M17" i="36" s="1"/>
  <c r="K16" i="36"/>
  <c r="M16" i="36" s="1"/>
  <c r="K15" i="36"/>
  <c r="M15" i="36" s="1"/>
  <c r="K19" i="36"/>
  <c r="M19" i="36" s="1"/>
  <c r="G19" i="36" s="1"/>
  <c r="AL5" i="36"/>
  <c r="AL7" i="36" s="1"/>
  <c r="AF7" i="36"/>
  <c r="U64" i="18"/>
  <c r="AK7" i="36"/>
  <c r="I77" i="36"/>
  <c r="I52" i="36"/>
  <c r="I21" i="36"/>
  <c r="V63" i="36"/>
  <c r="AH6" i="36"/>
  <c r="AH77" i="36" s="1"/>
  <c r="Y77" i="36"/>
  <c r="O166" i="32"/>
  <c r="O164" i="32" s="1"/>
  <c r="O63" i="32" s="1"/>
  <c r="G17" i="20"/>
  <c r="AE7" i="36"/>
  <c r="AI5" i="36"/>
  <c r="AF213" i="36" s="1"/>
  <c r="Q52" i="36"/>
  <c r="M36" i="20"/>
  <c r="Y64" i="36"/>
  <c r="Y53" i="36"/>
  <c r="Y19" i="36"/>
  <c r="V64" i="36"/>
  <c r="V53" i="36"/>
  <c r="V19" i="36"/>
  <c r="M15" i="20"/>
  <c r="AN7" i="36"/>
  <c r="M17" i="20"/>
  <c r="AM7" i="36"/>
  <c r="AH7" i="36"/>
  <c r="J77" i="36"/>
  <c r="J21" i="36"/>
  <c r="J52" i="36"/>
  <c r="P13" i="36"/>
  <c r="P19" i="36"/>
  <c r="X213" i="36"/>
  <c r="X211" i="36" s="1"/>
  <c r="X63" i="36" s="1"/>
  <c r="L21" i="36"/>
  <c r="L52" i="36"/>
  <c r="M16" i="20"/>
  <c r="AG7" i="36"/>
  <c r="I63" i="36"/>
  <c r="M211" i="36"/>
  <c r="M13" i="20"/>
  <c r="M18" i="20" s="1"/>
  <c r="Q166" i="32"/>
  <c r="Q164" i="32" s="1"/>
  <c r="Q63" i="32" s="1"/>
  <c r="X7" i="36"/>
  <c r="R64" i="36"/>
  <c r="R56" i="36" s="1"/>
  <c r="R18" i="36"/>
  <c r="T18" i="36" s="1"/>
  <c r="F18" i="36" s="1"/>
  <c r="R17" i="36"/>
  <c r="T17" i="36" s="1"/>
  <c r="F17" i="36" s="1"/>
  <c r="R15" i="36"/>
  <c r="T15" i="36" s="1"/>
  <c r="F15" i="36" s="1"/>
  <c r="R16" i="36"/>
  <c r="T16" i="36" s="1"/>
  <c r="F16" i="36" s="1"/>
  <c r="R14" i="36"/>
  <c r="R19" i="36" s="1"/>
  <c r="R53" i="36"/>
  <c r="X6" i="36"/>
  <c r="R77" i="36"/>
  <c r="B4" i="21"/>
  <c r="C4" i="21" s="1"/>
  <c r="AD64" i="18"/>
  <c r="AD11" i="18"/>
  <c r="AD8" i="18"/>
  <c r="AD53" i="18"/>
  <c r="W64" i="18"/>
  <c r="W8" i="18"/>
  <c r="W11" i="18"/>
  <c r="N8" i="18"/>
  <c r="N11" i="18"/>
  <c r="R5" i="30"/>
  <c r="AJ5" i="30"/>
  <c r="AJ7" i="30" s="1"/>
  <c r="AJ16" i="30" s="1"/>
  <c r="G20" i="32"/>
  <c r="F13" i="32"/>
  <c r="N63" i="32"/>
  <c r="G17" i="31"/>
  <c r="G16" i="31"/>
  <c r="G18" i="31"/>
  <c r="G19" i="31"/>
  <c r="G15" i="31"/>
  <c r="P21" i="7"/>
  <c r="AK146" i="32"/>
  <c r="Q146" i="32"/>
  <c r="AL146" i="32" s="1"/>
  <c r="W6" i="30"/>
  <c r="Q76" i="30"/>
  <c r="J18" i="31"/>
  <c r="J15" i="31"/>
  <c r="J16" i="31"/>
  <c r="J17" i="31"/>
  <c r="J19" i="31"/>
  <c r="AE5" i="31"/>
  <c r="AX5" i="31"/>
  <c r="P22" i="7"/>
  <c r="AD5" i="32"/>
  <c r="AD7" i="32" s="1"/>
  <c r="AW5" i="32"/>
  <c r="G20" i="30"/>
  <c r="F13" i="30"/>
  <c r="W6" i="32"/>
  <c r="Q76" i="32"/>
  <c r="Q16" i="31"/>
  <c r="Q14" i="31"/>
  <c r="Q19" i="31" s="1"/>
  <c r="Q18" i="31"/>
  <c r="Q15" i="31"/>
  <c r="Q17" i="31"/>
  <c r="W7" i="31"/>
  <c r="Q64" i="31"/>
  <c r="Q53" i="31"/>
  <c r="R5" i="31"/>
  <c r="H13" i="31"/>
  <c r="H20" i="31" s="1"/>
  <c r="H17" i="31"/>
  <c r="H16" i="31"/>
  <c r="H15" i="31"/>
  <c r="H19" i="31"/>
  <c r="H18" i="31"/>
  <c r="AF5" i="32"/>
  <c r="AY5" i="32"/>
  <c r="AY7" i="32" s="1"/>
  <c r="Q14" i="32"/>
  <c r="Q19" i="32" s="1"/>
  <c r="Q64" i="32"/>
  <c r="Q18" i="32"/>
  <c r="W7" i="32"/>
  <c r="Q16" i="32"/>
  <c r="Q15" i="32"/>
  <c r="Q17" i="32"/>
  <c r="Q53" i="32"/>
  <c r="AF64" i="30"/>
  <c r="AF53" i="30"/>
  <c r="AF19" i="30"/>
  <c r="J16" i="7"/>
  <c r="J19" i="7" s="1"/>
  <c r="W6" i="31"/>
  <c r="Q76" i="31"/>
  <c r="AC5" i="31"/>
  <c r="AV5" i="31"/>
  <c r="X5" i="31"/>
  <c r="AZ5" i="31" s="1"/>
  <c r="AZ7" i="31" s="1"/>
  <c r="N14" i="30"/>
  <c r="N18" i="30"/>
  <c r="N64" i="30"/>
  <c r="N17" i="30"/>
  <c r="N15" i="30"/>
  <c r="N16" i="30"/>
  <c r="T7" i="30"/>
  <c r="N53" i="30"/>
  <c r="O18" i="31"/>
  <c r="O15" i="31"/>
  <c r="U7" i="31"/>
  <c r="O16" i="31"/>
  <c r="O14" i="31"/>
  <c r="O19" i="31" s="1"/>
  <c r="O53" i="31"/>
  <c r="O17" i="31"/>
  <c r="O64" i="31"/>
  <c r="J15" i="32"/>
  <c r="J16" i="32"/>
  <c r="J17" i="32"/>
  <c r="J19" i="32"/>
  <c r="J18" i="32"/>
  <c r="AV5" i="30"/>
  <c r="AC5" i="30"/>
  <c r="AI5" i="30" s="1"/>
  <c r="X5" i="30"/>
  <c r="AZ5" i="30" s="1"/>
  <c r="AZ7" i="30" s="1"/>
  <c r="G17" i="30"/>
  <c r="G19" i="30"/>
  <c r="G18" i="30"/>
  <c r="G15" i="30"/>
  <c r="G16" i="30"/>
  <c r="J11" i="7"/>
  <c r="AD64" i="30"/>
  <c r="AD53" i="30"/>
  <c r="AD19" i="30"/>
  <c r="Q146" i="31"/>
  <c r="AL146" i="31" s="1"/>
  <c r="AK146" i="31"/>
  <c r="AL5" i="31"/>
  <c r="AL7" i="31" s="1"/>
  <c r="AF7" i="31"/>
  <c r="O64" i="30"/>
  <c r="O15" i="30"/>
  <c r="O14" i="30"/>
  <c r="O19" i="30" s="1"/>
  <c r="O52" i="30" s="1"/>
  <c r="O18" i="30"/>
  <c r="O16" i="30"/>
  <c r="O17" i="30"/>
  <c r="U7" i="30"/>
  <c r="O53" i="30"/>
  <c r="J14" i="7"/>
  <c r="J15" i="7"/>
  <c r="P7" i="30"/>
  <c r="I14" i="30"/>
  <c r="I64" i="30"/>
  <c r="K64" i="30" s="1"/>
  <c r="I53" i="30"/>
  <c r="K53" i="30" s="1"/>
  <c r="Q146" i="30"/>
  <c r="AL146" i="30" s="1"/>
  <c r="AK146" i="30"/>
  <c r="J13" i="30"/>
  <c r="J20" i="30" s="1"/>
  <c r="J18" i="30"/>
  <c r="J17" i="30"/>
  <c r="J19" i="30"/>
  <c r="J16" i="30"/>
  <c r="J15" i="30"/>
  <c r="AX5" i="30"/>
  <c r="AE5" i="30"/>
  <c r="AE7" i="30" s="1"/>
  <c r="Q14" i="30"/>
  <c r="Q19" i="30" s="1"/>
  <c r="Q15" i="30"/>
  <c r="Q16" i="30"/>
  <c r="Q17" i="30"/>
  <c r="W7" i="30"/>
  <c r="Q18" i="30"/>
  <c r="Q64" i="30"/>
  <c r="Q53" i="30"/>
  <c r="AV5" i="32"/>
  <c r="AC5" i="32"/>
  <c r="AD64" i="31"/>
  <c r="AD53" i="31"/>
  <c r="AD19" i="31"/>
  <c r="P6" i="32"/>
  <c r="I76" i="32"/>
  <c r="H13" i="30"/>
  <c r="H20" i="30" s="1"/>
  <c r="H16" i="30"/>
  <c r="H19" i="30"/>
  <c r="H17" i="30"/>
  <c r="H15" i="30"/>
  <c r="H18" i="30"/>
  <c r="J13" i="7"/>
  <c r="J12" i="7"/>
  <c r="G13" i="31"/>
  <c r="P7" i="31"/>
  <c r="R7" i="31" s="1"/>
  <c r="I64" i="31"/>
  <c r="K64" i="31" s="1"/>
  <c r="I14" i="31"/>
  <c r="K14" i="31" s="1"/>
  <c r="I53" i="31"/>
  <c r="AL5" i="30"/>
  <c r="AL7" i="30" s="1"/>
  <c r="U7" i="32"/>
  <c r="O64" i="32"/>
  <c r="O17" i="32"/>
  <c r="O15" i="32"/>
  <c r="O16" i="32"/>
  <c r="O14" i="32"/>
  <c r="O19" i="32" s="1"/>
  <c r="O18" i="32"/>
  <c r="O53" i="32"/>
  <c r="AJ5" i="31"/>
  <c r="AJ7" i="31" s="1"/>
  <c r="P6" i="31"/>
  <c r="I76" i="31"/>
  <c r="I14" i="32"/>
  <c r="K14" i="32" s="1"/>
  <c r="P7" i="32"/>
  <c r="I64" i="32"/>
  <c r="I56" i="32" s="1"/>
  <c r="I53" i="32"/>
  <c r="K53" i="32" s="1"/>
  <c r="G19" i="32"/>
  <c r="G16" i="32"/>
  <c r="G18" i="32"/>
  <c r="G17" i="32"/>
  <c r="G15" i="32"/>
  <c r="P6" i="30"/>
  <c r="I76" i="30"/>
  <c r="N18" i="31"/>
  <c r="T7" i="31"/>
  <c r="N15" i="31"/>
  <c r="N14" i="31"/>
  <c r="N53" i="31"/>
  <c r="N17" i="31"/>
  <c r="N64" i="31"/>
  <c r="N16" i="31"/>
  <c r="J13" i="31"/>
  <c r="J20" i="31" s="1"/>
  <c r="V5" i="32"/>
  <c r="P166" i="32"/>
  <c r="P164" i="32" s="1"/>
  <c r="P63" i="32" s="1"/>
  <c r="H13" i="32"/>
  <c r="H20" i="32" s="1"/>
  <c r="H18" i="32"/>
  <c r="H17" i="32"/>
  <c r="H15" i="32"/>
  <c r="H19" i="32"/>
  <c r="H16" i="32"/>
  <c r="N64" i="32"/>
  <c r="T7" i="32"/>
  <c r="N17" i="32"/>
  <c r="N18" i="32"/>
  <c r="N15" i="32"/>
  <c r="N14" i="32"/>
  <c r="N16" i="32"/>
  <c r="N53" i="32"/>
  <c r="J13" i="32"/>
  <c r="J20" i="32" s="1"/>
  <c r="H166" i="32"/>
  <c r="H164" i="32" s="1"/>
  <c r="H63" i="32" s="1"/>
  <c r="H56" i="32" s="1"/>
  <c r="J166" i="32"/>
  <c r="J164" i="32" s="1"/>
  <c r="J63" i="32" s="1"/>
  <c r="J56" i="32" s="1"/>
  <c r="G166" i="32"/>
  <c r="G164" i="32" s="1"/>
  <c r="AJ7" i="18"/>
  <c r="V5" i="18"/>
  <c r="AC5" i="18"/>
  <c r="AF5" i="18"/>
  <c r="G63" i="18"/>
  <c r="AD21" i="18"/>
  <c r="AD22" i="18" s="1"/>
  <c r="AD58" i="18" s="1"/>
  <c r="O52" i="18"/>
  <c r="O37" i="18" s="1"/>
  <c r="H21" i="18"/>
  <c r="H52" i="18"/>
  <c r="H37" i="18" s="1"/>
  <c r="AD71" i="18"/>
  <c r="J21" i="18"/>
  <c r="J52" i="18"/>
  <c r="J37" i="18" s="1"/>
  <c r="P64" i="18"/>
  <c r="N53" i="18"/>
  <c r="N64" i="18"/>
  <c r="H77" i="18"/>
  <c r="F18" i="17"/>
  <c r="F20" i="17" s="1"/>
  <c r="F23" i="17" s="1"/>
  <c r="F16" i="17"/>
  <c r="F17" i="17"/>
  <c r="F14" i="17"/>
  <c r="F15" i="17"/>
  <c r="K64" i="18"/>
  <c r="AG4" i="20"/>
  <c r="AG5" i="20" s="1"/>
  <c r="AG55" i="20" s="1"/>
  <c r="F19" i="20"/>
  <c r="E12" i="20"/>
  <c r="O16" i="20"/>
  <c r="O15" i="20"/>
  <c r="O14" i="20"/>
  <c r="O13" i="20"/>
  <c r="O18" i="20" s="1"/>
  <c r="O17" i="20"/>
  <c r="U6" i="20"/>
  <c r="O45" i="20"/>
  <c r="O36" i="20"/>
  <c r="Y45" i="20"/>
  <c r="Y18" i="20"/>
  <c r="Y36" i="20"/>
  <c r="I17" i="20"/>
  <c r="I15" i="20"/>
  <c r="I18" i="20"/>
  <c r="I20" i="20" s="1"/>
  <c r="I16" i="20"/>
  <c r="I14" i="20"/>
  <c r="G13" i="18"/>
  <c r="K13" i="18" s="1"/>
  <c r="G15" i="18"/>
  <c r="G16" i="18"/>
  <c r="G18" i="18"/>
  <c r="G17" i="18"/>
  <c r="G19" i="18"/>
  <c r="G52" i="18" s="1"/>
  <c r="G37" i="18" s="1"/>
  <c r="AE15" i="20"/>
  <c r="AE14" i="20"/>
  <c r="AE16" i="20"/>
  <c r="AE45" i="20"/>
  <c r="AE13" i="20"/>
  <c r="AE18" i="20" s="1"/>
  <c r="AE17" i="20"/>
  <c r="AE36" i="20"/>
  <c r="F16" i="20"/>
  <c r="F15" i="20"/>
  <c r="F18" i="20"/>
  <c r="F14" i="20"/>
  <c r="F17" i="20"/>
  <c r="G20" i="20"/>
  <c r="G55" i="20"/>
  <c r="M12" i="20"/>
  <c r="M19" i="20" s="1"/>
  <c r="M20" i="20" s="1"/>
  <c r="AA18" i="20"/>
  <c r="AA45" i="20"/>
  <c r="AA36" i="20"/>
  <c r="L45" i="20"/>
  <c r="L36" i="20"/>
  <c r="R6" i="20"/>
  <c r="L13" i="20"/>
  <c r="L12" i="20" s="1"/>
  <c r="L17" i="20"/>
  <c r="L16" i="20"/>
  <c r="L14" i="20"/>
  <c r="L15" i="20"/>
  <c r="N6" i="20"/>
  <c r="H13" i="20"/>
  <c r="J13" i="20" s="1"/>
  <c r="H45" i="20"/>
  <c r="J45" i="20" s="1"/>
  <c r="H36" i="20"/>
  <c r="J36" i="20" s="1"/>
  <c r="M4" i="7"/>
  <c r="R5" i="18"/>
  <c r="S45" i="20"/>
  <c r="S18" i="20"/>
  <c r="S36" i="20"/>
  <c r="Z4" i="20"/>
  <c r="Z6" i="20" s="1"/>
  <c r="AS4" i="20"/>
  <c r="T7" i="18"/>
  <c r="N14" i="18"/>
  <c r="N18" i="18"/>
  <c r="N16" i="18"/>
  <c r="N15" i="18"/>
  <c r="N17" i="18"/>
  <c r="T5" i="20"/>
  <c r="T55" i="20" s="1"/>
  <c r="N55" i="20"/>
  <c r="V4" i="20"/>
  <c r="AU4" i="20" s="1"/>
  <c r="AU6" i="20" s="1"/>
  <c r="AQ4" i="20"/>
  <c r="X4" i="20"/>
  <c r="S4" i="7"/>
  <c r="AK4" i="7" s="1"/>
  <c r="P4" i="20"/>
  <c r="R5" i="17"/>
  <c r="R34" i="17" s="1"/>
  <c r="AB17" i="17"/>
  <c r="AB13" i="17"/>
  <c r="AB18" i="17" s="1"/>
  <c r="AB14" i="17"/>
  <c r="AB15" i="17"/>
  <c r="K5" i="17"/>
  <c r="E34" i="17"/>
  <c r="I20" i="18"/>
  <c r="I16" i="18"/>
  <c r="I15" i="18"/>
  <c r="I18" i="18"/>
  <c r="I17" i="18"/>
  <c r="W53" i="18"/>
  <c r="W19" i="18"/>
  <c r="W52" i="18" s="1"/>
  <c r="W37" i="18" s="1"/>
  <c r="W6" i="18"/>
  <c r="Q77" i="18"/>
  <c r="P18" i="18"/>
  <c r="P17" i="18"/>
  <c r="R7" i="18"/>
  <c r="D35" i="37" s="1"/>
  <c r="D37" i="37" s="1"/>
  <c r="D39" i="37" s="1"/>
  <c r="D4" i="37" s="1"/>
  <c r="M4" i="17"/>
  <c r="U21" i="18"/>
  <c r="U71" i="18"/>
  <c r="O49" i="18"/>
  <c r="Q13" i="18"/>
  <c r="Q20" i="18" s="1"/>
  <c r="Q21" i="18" s="1"/>
  <c r="Q39" i="18" s="1"/>
  <c r="P6" i="18"/>
  <c r="I77" i="18"/>
  <c r="AD4" i="17"/>
  <c r="AD5" i="17" s="1"/>
  <c r="AD34" i="17" s="1"/>
  <c r="E13" i="17"/>
  <c r="G13" i="17" s="1"/>
  <c r="K6" i="17"/>
  <c r="M6" i="17" s="1"/>
  <c r="AP4" i="17"/>
  <c r="W4" i="17"/>
  <c r="G6" i="17"/>
  <c r="U6" i="17"/>
  <c r="AA6" i="17"/>
  <c r="V26" i="17"/>
  <c r="V23" i="17"/>
  <c r="V27" i="17"/>
  <c r="V31" i="17"/>
  <c r="V34" i="17"/>
  <c r="V24" i="17"/>
  <c r="V25" i="17"/>
  <c r="X5" i="17"/>
  <c r="X34" i="17" s="1"/>
  <c r="X6" i="17"/>
  <c r="X18" i="17" s="1"/>
  <c r="C19" i="17"/>
  <c r="B12" i="17"/>
  <c r="I13" i="17"/>
  <c r="I18" i="17" s="1"/>
  <c r="O6" i="17"/>
  <c r="O18" i="17" s="1"/>
  <c r="I14" i="17"/>
  <c r="I15" i="17"/>
  <c r="I17" i="17"/>
  <c r="I16" i="17"/>
  <c r="D34" i="17"/>
  <c r="D20" i="17"/>
  <c r="C15" i="17"/>
  <c r="C14" i="17"/>
  <c r="C17" i="17"/>
  <c r="C16" i="17"/>
  <c r="C18" i="17"/>
  <c r="P20" i="17"/>
  <c r="P30" i="17"/>
  <c r="J12" i="17"/>
  <c r="J19" i="17" s="1"/>
  <c r="J20" i="17" s="1"/>
  <c r="J29" i="17" s="1"/>
  <c r="AG4" i="7"/>
  <c r="AG5" i="7" s="1"/>
  <c r="L18" i="17"/>
  <c r="L12" i="17"/>
  <c r="L19" i="17" s="1"/>
  <c r="R18" i="17"/>
  <c r="R30" i="17" s="1"/>
  <c r="R22" i="7"/>
  <c r="R21" i="7"/>
  <c r="R19" i="7"/>
  <c r="P20" i="7"/>
  <c r="Q21" i="7"/>
  <c r="Q22" i="7"/>
  <c r="Q19" i="7"/>
  <c r="F16" i="7"/>
  <c r="F14" i="7"/>
  <c r="F12" i="7"/>
  <c r="F15" i="7"/>
  <c r="F13" i="7"/>
  <c r="I5" i="7"/>
  <c r="K12" i="7"/>
  <c r="K13" i="7"/>
  <c r="K14" i="7"/>
  <c r="K15" i="7"/>
  <c r="K16" i="7"/>
  <c r="K11" i="7"/>
  <c r="L14" i="7"/>
  <c r="L12" i="7"/>
  <c r="L15" i="7"/>
  <c r="L11" i="7"/>
  <c r="L13" i="7"/>
  <c r="L16" i="7"/>
  <c r="D22" i="7"/>
  <c r="D21" i="7"/>
  <c r="E16" i="7"/>
  <c r="E14" i="7"/>
  <c r="E12" i="7"/>
  <c r="E15" i="7"/>
  <c r="E13" i="7"/>
  <c r="G5" i="7"/>
  <c r="C11" i="7"/>
  <c r="C16" i="7" s="1"/>
  <c r="C19" i="7" s="1"/>
  <c r="C20" i="7" s="1"/>
  <c r="AJ14" i="30" l="1"/>
  <c r="AJ19" i="30" s="1"/>
  <c r="AJ52" i="30" s="1"/>
  <c r="V7" i="18"/>
  <c r="O46" i="18"/>
  <c r="O48" i="18"/>
  <c r="K14" i="18"/>
  <c r="I19" i="18"/>
  <c r="I52" i="18" s="1"/>
  <c r="I37" i="18" s="1"/>
  <c r="O56" i="32"/>
  <c r="Q56" i="32"/>
  <c r="J21" i="7"/>
  <c r="J22" i="7"/>
  <c r="AJ15" i="30"/>
  <c r="AJ17" i="30"/>
  <c r="P11" i="18"/>
  <c r="R11" i="18" s="1"/>
  <c r="C21" i="37" s="1"/>
  <c r="C22" i="37" s="1"/>
  <c r="C2" i="37" s="1"/>
  <c r="P16" i="18"/>
  <c r="AN6" i="36"/>
  <c r="AN77" i="36" s="1"/>
  <c r="P8" i="18"/>
  <c r="R8" i="18" s="1"/>
  <c r="P14" i="18"/>
  <c r="P13" i="18" s="1"/>
  <c r="P53" i="18"/>
  <c r="S47" i="36"/>
  <c r="U39" i="18"/>
  <c r="K167" i="18"/>
  <c r="N169" i="18"/>
  <c r="N167" i="18" s="1"/>
  <c r="N63" i="18" s="1"/>
  <c r="O169" i="18"/>
  <c r="O167" i="18" s="1"/>
  <c r="Q169" i="18"/>
  <c r="Q167" i="18" s="1"/>
  <c r="Q63" i="18" s="1"/>
  <c r="O24" i="18"/>
  <c r="O60" i="18" s="1"/>
  <c r="O25" i="18"/>
  <c r="O61" i="18" s="1"/>
  <c r="O23" i="18"/>
  <c r="O59" i="18" s="1"/>
  <c r="O26" i="18"/>
  <c r="O62" i="18" s="1"/>
  <c r="P169" i="18"/>
  <c r="P167" i="18" s="1"/>
  <c r="O45" i="18"/>
  <c r="O47" i="18"/>
  <c r="AI5" i="18"/>
  <c r="AE5" i="18"/>
  <c r="O22" i="18"/>
  <c r="O58" i="18" s="1"/>
  <c r="AK149" i="18"/>
  <c r="Q149" i="18"/>
  <c r="AL149" i="18" s="1"/>
  <c r="O71" i="18"/>
  <c r="O41" i="18" s="1"/>
  <c r="O77" i="18"/>
  <c r="S22" i="36"/>
  <c r="S58" i="36" s="1"/>
  <c r="S49" i="36"/>
  <c r="S48" i="36"/>
  <c r="S23" i="36"/>
  <c r="S59" i="36" s="1"/>
  <c r="G18" i="50"/>
  <c r="G15" i="50" s="1"/>
  <c r="AO5" i="36"/>
  <c r="AL213" i="36" s="1"/>
  <c r="AJ13" i="30"/>
  <c r="AJ20" i="30" s="1"/>
  <c r="AJ21" i="30" s="1"/>
  <c r="AJ46" i="30" s="1"/>
  <c r="T63" i="36"/>
  <c r="Q52" i="32"/>
  <c r="Q37" i="32" s="1"/>
  <c r="P24" i="7"/>
  <c r="G18" i="44"/>
  <c r="G15" i="44" s="1"/>
  <c r="S25" i="36"/>
  <c r="S61" i="36" s="1"/>
  <c r="S24" i="36"/>
  <c r="S60" i="36" s="1"/>
  <c r="K64" i="32"/>
  <c r="T211" i="36"/>
  <c r="AH213" i="36"/>
  <c r="Y56" i="36"/>
  <c r="AJ18" i="30"/>
  <c r="AJ64" i="30"/>
  <c r="P56" i="36"/>
  <c r="T56" i="36" s="1"/>
  <c r="T64" i="36"/>
  <c r="S26" i="36"/>
  <c r="S70" i="36" s="1"/>
  <c r="S39" i="36"/>
  <c r="S46" i="36"/>
  <c r="AJ53" i="30"/>
  <c r="AG213" i="36"/>
  <c r="S45" i="36"/>
  <c r="Q13" i="32"/>
  <c r="Q20" i="32" s="1"/>
  <c r="Q21" i="32" s="1"/>
  <c r="Q25" i="32" s="1"/>
  <c r="Y71" i="36"/>
  <c r="Y21" i="36"/>
  <c r="Y52" i="36"/>
  <c r="I37" i="36"/>
  <c r="O13" i="32"/>
  <c r="O20" i="32" s="1"/>
  <c r="R13" i="36"/>
  <c r="R20" i="36" s="1"/>
  <c r="R21" i="36" s="1"/>
  <c r="T14" i="36"/>
  <c r="F14" i="36" s="1"/>
  <c r="AK5" i="30"/>
  <c r="AK7" i="30" s="1"/>
  <c r="AK15" i="30" s="1"/>
  <c r="O13" i="31"/>
  <c r="O20" i="31" s="1"/>
  <c r="O21" i="31" s="1"/>
  <c r="R52" i="36"/>
  <c r="M63" i="36"/>
  <c r="I56" i="36"/>
  <c r="P52" i="36"/>
  <c r="T19" i="36"/>
  <c r="O13" i="36"/>
  <c r="P20" i="36"/>
  <c r="P21" i="36" s="1"/>
  <c r="AK14" i="36"/>
  <c r="AK17" i="36"/>
  <c r="AK15" i="36"/>
  <c r="AK18" i="36"/>
  <c r="AK16" i="36"/>
  <c r="AK64" i="36"/>
  <c r="AK53" i="36"/>
  <c r="J37" i="36"/>
  <c r="Q39" i="36"/>
  <c r="Q71" i="36"/>
  <c r="Q41" i="36" s="1"/>
  <c r="Q26" i="36"/>
  <c r="Q25" i="36"/>
  <c r="Q45" i="36"/>
  <c r="Q46" i="36"/>
  <c r="Q23" i="36"/>
  <c r="Q22" i="36"/>
  <c r="Q24" i="36"/>
  <c r="Q77" i="36"/>
  <c r="Q48" i="36"/>
  <c r="Q47" i="36"/>
  <c r="Q49" i="36"/>
  <c r="W71" i="36"/>
  <c r="W21" i="36"/>
  <c r="W52" i="36"/>
  <c r="AG64" i="36"/>
  <c r="AG53" i="36"/>
  <c r="AG19" i="36"/>
  <c r="J47" i="36"/>
  <c r="J48" i="36"/>
  <c r="J25" i="36"/>
  <c r="J23" i="36"/>
  <c r="J24" i="36"/>
  <c r="J45" i="36"/>
  <c r="J22" i="36"/>
  <c r="J26" i="36"/>
  <c r="J71" i="36"/>
  <c r="J41" i="36" s="1"/>
  <c r="J49" i="36"/>
  <c r="J46" i="36"/>
  <c r="J39" i="36"/>
  <c r="Q37" i="36"/>
  <c r="T53" i="36"/>
  <c r="M77" i="36"/>
  <c r="M108" i="36" s="1"/>
  <c r="M118" i="36" s="1"/>
  <c r="AN16" i="36"/>
  <c r="AN17" i="36"/>
  <c r="AN15" i="36"/>
  <c r="AN14" i="36"/>
  <c r="AN19" i="36" s="1"/>
  <c r="AN52" i="36" s="1"/>
  <c r="AN18" i="36"/>
  <c r="AN64" i="36"/>
  <c r="AN53" i="36"/>
  <c r="AF64" i="36"/>
  <c r="AF53" i="36"/>
  <c r="AF19" i="36"/>
  <c r="X64" i="36"/>
  <c r="X56" i="36" s="1"/>
  <c r="X53" i="36"/>
  <c r="Z53" i="36" s="1"/>
  <c r="X19" i="36"/>
  <c r="V71" i="36"/>
  <c r="V52" i="36"/>
  <c r="V21" i="36"/>
  <c r="V39" i="36" s="1"/>
  <c r="Z211" i="36"/>
  <c r="AH64" i="36"/>
  <c r="AH53" i="36"/>
  <c r="AH19" i="36"/>
  <c r="AE213" i="36"/>
  <c r="Z63" i="36"/>
  <c r="AL14" i="36"/>
  <c r="AL19" i="36" s="1"/>
  <c r="AL18" i="36"/>
  <c r="AL16" i="36"/>
  <c r="AL15" i="36"/>
  <c r="AL64" i="36"/>
  <c r="AL17" i="36"/>
  <c r="AL53" i="36"/>
  <c r="F94" i="36"/>
  <c r="M91" i="36"/>
  <c r="L37" i="36"/>
  <c r="AO7" i="36"/>
  <c r="AM64" i="36"/>
  <c r="AM14" i="36"/>
  <c r="AM19" i="36" s="1"/>
  <c r="AM18" i="36"/>
  <c r="AM15" i="36"/>
  <c r="AM17" i="36"/>
  <c r="AM16" i="36"/>
  <c r="AM53" i="36"/>
  <c r="Z7" i="36"/>
  <c r="AE64" i="36"/>
  <c r="AI7" i="36"/>
  <c r="AE53" i="36"/>
  <c r="AE19" i="36"/>
  <c r="K21" i="36"/>
  <c r="M21" i="36" s="1"/>
  <c r="K52" i="36"/>
  <c r="AG6" i="36"/>
  <c r="X77" i="36"/>
  <c r="M13" i="36"/>
  <c r="L26" i="36"/>
  <c r="L46" i="36"/>
  <c r="L24" i="36"/>
  <c r="L71" i="36"/>
  <c r="L41" i="36" s="1"/>
  <c r="L23" i="36"/>
  <c r="L48" i="36"/>
  <c r="L25" i="36"/>
  <c r="L22" i="36"/>
  <c r="L47" i="36"/>
  <c r="L45" i="36"/>
  <c r="L49" i="36"/>
  <c r="L39" i="36"/>
  <c r="V56" i="36"/>
  <c r="I39" i="36"/>
  <c r="I49" i="36"/>
  <c r="I48" i="36"/>
  <c r="I26" i="36"/>
  <c r="I23" i="36"/>
  <c r="I25" i="36"/>
  <c r="I22" i="36"/>
  <c r="I46" i="36"/>
  <c r="I24" i="36"/>
  <c r="I47" i="36"/>
  <c r="I71" i="36"/>
  <c r="I45" i="36"/>
  <c r="I63" i="18"/>
  <c r="I56" i="18" s="1"/>
  <c r="H63" i="18"/>
  <c r="H56" i="18" s="1"/>
  <c r="C35" i="37"/>
  <c r="C37" i="37" s="1"/>
  <c r="C39" i="37" s="1"/>
  <c r="C4" i="37" s="1"/>
  <c r="C11" i="37" s="1"/>
  <c r="B37" i="37"/>
  <c r="B39" i="37" s="1"/>
  <c r="B4" i="37" s="1"/>
  <c r="J63" i="18"/>
  <c r="J56" i="18" s="1"/>
  <c r="AJ17" i="18"/>
  <c r="AJ8" i="18"/>
  <c r="AJ11" i="18"/>
  <c r="V64" i="18"/>
  <c r="V8" i="18"/>
  <c r="V11" i="18"/>
  <c r="T64" i="18"/>
  <c r="T8" i="18"/>
  <c r="T11" i="18"/>
  <c r="Q13" i="30"/>
  <c r="Q20" i="30" s="1"/>
  <c r="Q21" i="30" s="1"/>
  <c r="Q39" i="30" s="1"/>
  <c r="O13" i="30"/>
  <c r="O20" i="30" s="1"/>
  <c r="O21" i="30" s="1"/>
  <c r="O39" i="30" s="1"/>
  <c r="J52" i="31"/>
  <c r="J21" i="31"/>
  <c r="AX5" i="32"/>
  <c r="AE5" i="32"/>
  <c r="AK5" i="32" s="1"/>
  <c r="T53" i="31"/>
  <c r="T64" i="31"/>
  <c r="T19" i="31"/>
  <c r="P64" i="32"/>
  <c r="P56" i="32" s="1"/>
  <c r="P17" i="32"/>
  <c r="R17" i="32" s="1"/>
  <c r="P15" i="32"/>
  <c r="V7" i="32"/>
  <c r="X7" i="32" s="1"/>
  <c r="P18" i="32"/>
  <c r="R18" i="32" s="1"/>
  <c r="P14" i="32"/>
  <c r="P19" i="32" s="1"/>
  <c r="P16" i="32"/>
  <c r="R16" i="32" s="1"/>
  <c r="P53" i="32"/>
  <c r="R53" i="32" s="1"/>
  <c r="I13" i="30"/>
  <c r="I20" i="30" s="1"/>
  <c r="K20" i="30" s="1"/>
  <c r="E20" i="30" s="1"/>
  <c r="I19" i="30"/>
  <c r="K19" i="30" s="1"/>
  <c r="E19" i="30" s="1"/>
  <c r="I16" i="30"/>
  <c r="K16" i="30" s="1"/>
  <c r="I18" i="30"/>
  <c r="K18" i="30" s="1"/>
  <c r="I17" i="30"/>
  <c r="K17" i="30" s="1"/>
  <c r="I15" i="30"/>
  <c r="K15" i="30" s="1"/>
  <c r="J52" i="32"/>
  <c r="J21" i="32"/>
  <c r="T19" i="32"/>
  <c r="T64" i="32"/>
  <c r="T53" i="32"/>
  <c r="I13" i="32"/>
  <c r="I20" i="32" s="1"/>
  <c r="K20" i="32" s="1"/>
  <c r="E20" i="32" s="1"/>
  <c r="I18" i="32"/>
  <c r="K18" i="32" s="1"/>
  <c r="I19" i="32"/>
  <c r="K19" i="32" s="1"/>
  <c r="E19" i="32" s="1"/>
  <c r="I15" i="32"/>
  <c r="K15" i="32" s="1"/>
  <c r="I17" i="32"/>
  <c r="K17" i="32" s="1"/>
  <c r="I16" i="32"/>
  <c r="K16" i="32" s="1"/>
  <c r="U64" i="32"/>
  <c r="U53" i="32"/>
  <c r="U19" i="32"/>
  <c r="H76" i="30"/>
  <c r="H52" i="30"/>
  <c r="H21" i="30"/>
  <c r="P16" i="30"/>
  <c r="R16" i="30" s="1"/>
  <c r="V7" i="30"/>
  <c r="P14" i="30"/>
  <c r="P19" i="30" s="1"/>
  <c r="P52" i="30" s="1"/>
  <c r="P18" i="30"/>
  <c r="R18" i="30" s="1"/>
  <c r="P15" i="30"/>
  <c r="R15" i="30" s="1"/>
  <c r="P64" i="30"/>
  <c r="R64" i="30" s="1"/>
  <c r="P17" i="30"/>
  <c r="R17" i="30" s="1"/>
  <c r="P53" i="30"/>
  <c r="R53" i="30" s="1"/>
  <c r="AF64" i="31"/>
  <c r="AF53" i="31"/>
  <c r="AF19" i="31"/>
  <c r="AG5" i="31"/>
  <c r="AC7" i="31"/>
  <c r="AF21" i="30"/>
  <c r="AF52" i="30"/>
  <c r="AF71" i="30"/>
  <c r="G76" i="31"/>
  <c r="G52" i="31"/>
  <c r="K164" i="32"/>
  <c r="G63" i="32"/>
  <c r="AL17" i="30"/>
  <c r="AL15" i="30"/>
  <c r="AL16" i="30"/>
  <c r="AL18" i="30"/>
  <c r="AL14" i="30"/>
  <c r="AL19" i="30" s="1"/>
  <c r="AL52" i="30" s="1"/>
  <c r="AL64" i="30"/>
  <c r="AL53" i="30"/>
  <c r="AL15" i="31"/>
  <c r="AL16" i="31"/>
  <c r="AL64" i="31"/>
  <c r="AL17" i="31"/>
  <c r="AL14" i="31"/>
  <c r="AL19" i="31" s="1"/>
  <c r="AL52" i="31" s="1"/>
  <c r="AL18" i="31"/>
  <c r="AL53" i="31"/>
  <c r="T64" i="30"/>
  <c r="T53" i="30"/>
  <c r="T19" i="30"/>
  <c r="AL5" i="32"/>
  <c r="AF7" i="32"/>
  <c r="W64" i="31"/>
  <c r="W53" i="31"/>
  <c r="W19" i="31"/>
  <c r="AJ5" i="32"/>
  <c r="AJ7" i="32" s="1"/>
  <c r="N56" i="32"/>
  <c r="V6" i="30"/>
  <c r="P76" i="30"/>
  <c r="V6" i="31"/>
  <c r="P76" i="31"/>
  <c r="K14" i="30"/>
  <c r="AF6" i="31"/>
  <c r="W76" i="31"/>
  <c r="AJ53" i="18"/>
  <c r="V6" i="32"/>
  <c r="P76" i="32"/>
  <c r="AJ26" i="30"/>
  <c r="AJ48" i="30"/>
  <c r="AJ22" i="30"/>
  <c r="AJ71" i="30"/>
  <c r="AJ41" i="30" s="1"/>
  <c r="AJ49" i="30"/>
  <c r="H76" i="31"/>
  <c r="H21" i="31"/>
  <c r="H52" i="31"/>
  <c r="AD64" i="32"/>
  <c r="AD53" i="32"/>
  <c r="AD19" i="32"/>
  <c r="P64" i="31"/>
  <c r="R64" i="31" s="1"/>
  <c r="P14" i="31"/>
  <c r="P19" i="31" s="1"/>
  <c r="P52" i="31" s="1"/>
  <c r="P18" i="31"/>
  <c r="R18" i="31" s="1"/>
  <c r="V7" i="31"/>
  <c r="X7" i="31" s="1"/>
  <c r="P15" i="31"/>
  <c r="R15" i="31" s="1"/>
  <c r="P17" i="31"/>
  <c r="R17" i="31" s="1"/>
  <c r="P16" i="31"/>
  <c r="R16" i="31" s="1"/>
  <c r="P53" i="31"/>
  <c r="R53" i="31" s="1"/>
  <c r="AD52" i="31"/>
  <c r="AD71" i="31"/>
  <c r="AD21" i="31"/>
  <c r="AD39" i="31" s="1"/>
  <c r="U64" i="30"/>
  <c r="U53" i="30"/>
  <c r="U19" i="30"/>
  <c r="AI7" i="30"/>
  <c r="Q52" i="31"/>
  <c r="X5" i="32"/>
  <c r="W76" i="30"/>
  <c r="AF6" i="30"/>
  <c r="AF76" i="30" s="1"/>
  <c r="R63" i="32"/>
  <c r="G18" i="34"/>
  <c r="H76" i="32"/>
  <c r="H21" i="32"/>
  <c r="H52" i="32"/>
  <c r="R7" i="32"/>
  <c r="AD52" i="30"/>
  <c r="AD71" i="30"/>
  <c r="AD21" i="30"/>
  <c r="AD39" i="30" s="1"/>
  <c r="Q13" i="31"/>
  <c r="Q20" i="31" s="1"/>
  <c r="Q21" i="31" s="1"/>
  <c r="R164" i="32"/>
  <c r="AJ64" i="31"/>
  <c r="AJ17" i="31"/>
  <c r="AJ18" i="31"/>
  <c r="AJ15" i="31"/>
  <c r="AJ14" i="31"/>
  <c r="AJ19" i="31" s="1"/>
  <c r="AJ52" i="31" s="1"/>
  <c r="AJ16" i="31"/>
  <c r="AJ53" i="31"/>
  <c r="I13" i="31"/>
  <c r="I20" i="31" s="1"/>
  <c r="I17" i="31"/>
  <c r="K17" i="31" s="1"/>
  <c r="I15" i="31"/>
  <c r="K15" i="31" s="1"/>
  <c r="I16" i="31"/>
  <c r="K16" i="31" s="1"/>
  <c r="I19" i="31"/>
  <c r="K19" i="31" s="1"/>
  <c r="E19" i="31" s="1"/>
  <c r="I18" i="31"/>
  <c r="K18" i="31" s="1"/>
  <c r="W64" i="30"/>
  <c r="W53" i="30"/>
  <c r="W19" i="30"/>
  <c r="J52" i="30"/>
  <c r="J21" i="30"/>
  <c r="G76" i="30"/>
  <c r="G52" i="30"/>
  <c r="G21" i="30"/>
  <c r="Q52" i="30"/>
  <c r="AG5" i="30"/>
  <c r="AC7" i="30"/>
  <c r="O52" i="31"/>
  <c r="N13" i="30"/>
  <c r="N19" i="30"/>
  <c r="F13" i="31"/>
  <c r="G20" i="31"/>
  <c r="X5" i="18"/>
  <c r="V169" i="18" s="1"/>
  <c r="V167" i="18" s="1"/>
  <c r="O52" i="32"/>
  <c r="O21" i="32"/>
  <c r="N13" i="32"/>
  <c r="N19" i="32"/>
  <c r="N13" i="31"/>
  <c r="N19" i="31"/>
  <c r="G76" i="32"/>
  <c r="G52" i="32"/>
  <c r="G21" i="32"/>
  <c r="AK64" i="30"/>
  <c r="AK14" i="30"/>
  <c r="AK19" i="30" s="1"/>
  <c r="AK52" i="30" s="1"/>
  <c r="R7" i="30"/>
  <c r="AJ37" i="30"/>
  <c r="W53" i="32"/>
  <c r="W64" i="32"/>
  <c r="W19" i="32"/>
  <c r="AK5" i="31"/>
  <c r="AK7" i="31" s="1"/>
  <c r="AE7" i="31"/>
  <c r="R15" i="32"/>
  <c r="K53" i="31"/>
  <c r="AI5" i="32"/>
  <c r="AC7" i="32"/>
  <c r="AE19" i="30"/>
  <c r="AE64" i="30"/>
  <c r="AE53" i="30"/>
  <c r="O37" i="30"/>
  <c r="U64" i="31"/>
  <c r="U53" i="31"/>
  <c r="U19" i="31"/>
  <c r="AI5" i="31"/>
  <c r="AF6" i="32"/>
  <c r="AF76" i="32" s="1"/>
  <c r="W76" i="32"/>
  <c r="AF7" i="18"/>
  <c r="AC7" i="18"/>
  <c r="AI7" i="18"/>
  <c r="AL5" i="18"/>
  <c r="AJ15" i="18"/>
  <c r="AJ18" i="18"/>
  <c r="AJ16" i="18"/>
  <c r="AJ64" i="18"/>
  <c r="AJ14" i="18"/>
  <c r="W77" i="18"/>
  <c r="AF6" i="18"/>
  <c r="AF77" i="18" s="1"/>
  <c r="AD41" i="18"/>
  <c r="AD23" i="18"/>
  <c r="AD59" i="18" s="1"/>
  <c r="J24" i="18"/>
  <c r="J68" i="18" s="1"/>
  <c r="J39" i="18"/>
  <c r="AD46" i="18"/>
  <c r="H47" i="18"/>
  <c r="H39" i="18"/>
  <c r="AD39" i="18"/>
  <c r="AD25" i="18"/>
  <c r="AD61" i="18" s="1"/>
  <c r="AD24" i="18"/>
  <c r="AD60" i="18" s="1"/>
  <c r="AD77" i="18"/>
  <c r="AD45" i="18"/>
  <c r="AD30" i="18" s="1"/>
  <c r="H49" i="18"/>
  <c r="H22" i="18"/>
  <c r="H66" i="18" s="1"/>
  <c r="H71" i="18"/>
  <c r="H41" i="18" s="1"/>
  <c r="H48" i="18"/>
  <c r="AD49" i="18"/>
  <c r="H46" i="18"/>
  <c r="J26" i="18"/>
  <c r="J62" i="18" s="1"/>
  <c r="H24" i="18"/>
  <c r="H68" i="18" s="1"/>
  <c r="H25" i="18"/>
  <c r="H61" i="18" s="1"/>
  <c r="AD47" i="18"/>
  <c r="J46" i="18"/>
  <c r="H23" i="18"/>
  <c r="H67" i="18" s="1"/>
  <c r="H26" i="18"/>
  <c r="H70" i="18" s="1"/>
  <c r="AD48" i="18"/>
  <c r="H45" i="18"/>
  <c r="J45" i="18"/>
  <c r="J49" i="18"/>
  <c r="AD26" i="18"/>
  <c r="AD62" i="18" s="1"/>
  <c r="J71" i="18"/>
  <c r="J41" i="18" s="1"/>
  <c r="J22" i="18"/>
  <c r="J58" i="18" s="1"/>
  <c r="R53" i="18"/>
  <c r="R64" i="18"/>
  <c r="J23" i="18"/>
  <c r="J59" i="18" s="1"/>
  <c r="J25" i="18"/>
  <c r="J69" i="18" s="1"/>
  <c r="J48" i="18"/>
  <c r="J47" i="18"/>
  <c r="D4" i="21"/>
  <c r="AG6" i="20"/>
  <c r="AG15" i="20" s="1"/>
  <c r="K17" i="18"/>
  <c r="AE12" i="20"/>
  <c r="AE19" i="20" s="1"/>
  <c r="AE20" i="20" s="1"/>
  <c r="AE55" i="20" s="1"/>
  <c r="R17" i="18"/>
  <c r="O12" i="20"/>
  <c r="O19" i="20" s="1"/>
  <c r="O20" i="20" s="1"/>
  <c r="O33" i="20" s="1"/>
  <c r="R16" i="18"/>
  <c r="R18" i="18"/>
  <c r="R15" i="18"/>
  <c r="K18" i="18"/>
  <c r="AF4" i="20"/>
  <c r="Z18" i="20"/>
  <c r="Z45" i="20"/>
  <c r="Z36" i="20"/>
  <c r="N14" i="20"/>
  <c r="P14" i="20" s="1"/>
  <c r="N13" i="20"/>
  <c r="N18" i="20" s="1"/>
  <c r="N16" i="20"/>
  <c r="P16" i="20" s="1"/>
  <c r="N45" i="20"/>
  <c r="P45" i="20" s="1"/>
  <c r="N15" i="20"/>
  <c r="P15" i="20" s="1"/>
  <c r="T6" i="20"/>
  <c r="V6" i="20" s="1"/>
  <c r="N17" i="20"/>
  <c r="P17" i="20" s="1"/>
  <c r="N36" i="20"/>
  <c r="P36" i="20" s="1"/>
  <c r="F13" i="18"/>
  <c r="G20" i="18"/>
  <c r="G21" i="18" s="1"/>
  <c r="G39" i="18" s="1"/>
  <c r="U45" i="20"/>
  <c r="U18" i="20"/>
  <c r="U36" i="20"/>
  <c r="S52" i="20"/>
  <c r="S20" i="20"/>
  <c r="K12" i="20"/>
  <c r="AC12" i="20" s="1"/>
  <c r="L19" i="20"/>
  <c r="AA52" i="20"/>
  <c r="AA20" i="20"/>
  <c r="M33" i="20"/>
  <c r="M32" i="20"/>
  <c r="M52" i="20"/>
  <c r="M22" i="20"/>
  <c r="M25" i="20"/>
  <c r="M29" i="20"/>
  <c r="M23" i="20"/>
  <c r="M24" i="20"/>
  <c r="M21" i="20"/>
  <c r="M35" i="20"/>
  <c r="M31" i="20"/>
  <c r="M55" i="20"/>
  <c r="M30" i="20"/>
  <c r="K15" i="18"/>
  <c r="P6" i="20"/>
  <c r="I23" i="20"/>
  <c r="I24" i="20"/>
  <c r="I31" i="20"/>
  <c r="I22" i="20"/>
  <c r="I33" i="20"/>
  <c r="I35" i="20"/>
  <c r="I25" i="20"/>
  <c r="I21" i="20"/>
  <c r="I30" i="20"/>
  <c r="I52" i="20"/>
  <c r="I32" i="20"/>
  <c r="I29" i="20"/>
  <c r="H17" i="20"/>
  <c r="J17" i="20" s="1"/>
  <c r="H15" i="20"/>
  <c r="J15" i="20" s="1"/>
  <c r="H16" i="20"/>
  <c r="J16" i="20" s="1"/>
  <c r="H14" i="20"/>
  <c r="J14" i="20" s="1"/>
  <c r="H18" i="20"/>
  <c r="J18" i="20" s="1"/>
  <c r="K16" i="18"/>
  <c r="G24" i="20"/>
  <c r="G31" i="20"/>
  <c r="G52" i="20"/>
  <c r="G25" i="20"/>
  <c r="G22" i="20"/>
  <c r="G29" i="20"/>
  <c r="G32" i="20"/>
  <c r="G23" i="20"/>
  <c r="G33" i="20"/>
  <c r="G35" i="20"/>
  <c r="G30" i="20"/>
  <c r="G21" i="20"/>
  <c r="N13" i="18"/>
  <c r="R13" i="18" s="1"/>
  <c r="N19" i="18"/>
  <c r="N52" i="18" s="1"/>
  <c r="N37" i="18" s="1"/>
  <c r="T53" i="18"/>
  <c r="T19" i="18"/>
  <c r="T52" i="18" s="1"/>
  <c r="T37" i="18" s="1"/>
  <c r="AD4" i="20"/>
  <c r="X6" i="20"/>
  <c r="AB4" i="20"/>
  <c r="L18" i="20"/>
  <c r="F55" i="20"/>
  <c r="J55" i="20" s="1"/>
  <c r="F20" i="20"/>
  <c r="G77" i="18"/>
  <c r="K77" i="18" s="1"/>
  <c r="Y52" i="20"/>
  <c r="Y20" i="20"/>
  <c r="H12" i="20"/>
  <c r="R45" i="20"/>
  <c r="R36" i="20"/>
  <c r="R18" i="20"/>
  <c r="U41" i="18"/>
  <c r="Z5" i="20"/>
  <c r="Z55" i="20" s="1"/>
  <c r="AC4" i="17"/>
  <c r="AC6" i="17" s="1"/>
  <c r="AB12" i="17"/>
  <c r="AB19" i="17" s="1"/>
  <c r="AB20" i="17" s="1"/>
  <c r="AB29" i="17" s="1"/>
  <c r="P20" i="18"/>
  <c r="AD6" i="17"/>
  <c r="AD14" i="17" s="1"/>
  <c r="Q26" i="18"/>
  <c r="Q62" i="18" s="1"/>
  <c r="Q71" i="18"/>
  <c r="Q41" i="18" s="1"/>
  <c r="Q25" i="18"/>
  <c r="Q61" i="18" s="1"/>
  <c r="Q48" i="18"/>
  <c r="Q45" i="18"/>
  <c r="Q24" i="18"/>
  <c r="Q60" i="18" s="1"/>
  <c r="Q47" i="18"/>
  <c r="Q49" i="18"/>
  <c r="Q23" i="18"/>
  <c r="Q59" i="18" s="1"/>
  <c r="Q22" i="18"/>
  <c r="Q58" i="18" s="1"/>
  <c r="Q46" i="18"/>
  <c r="I21" i="18"/>
  <c r="I39" i="18" s="1"/>
  <c r="K19" i="18"/>
  <c r="E19" i="18" s="1"/>
  <c r="O66" i="18"/>
  <c r="V6" i="18"/>
  <c r="P77" i="18"/>
  <c r="O68" i="18"/>
  <c r="AD66" i="18"/>
  <c r="P19" i="18"/>
  <c r="P52" i="18" s="1"/>
  <c r="P37" i="18" s="1"/>
  <c r="R14" i="18"/>
  <c r="O67" i="18"/>
  <c r="U49" i="18"/>
  <c r="U23" i="18"/>
  <c r="U59" i="18" s="1"/>
  <c r="U47" i="18"/>
  <c r="U77" i="18"/>
  <c r="U45" i="18"/>
  <c r="U25" i="18"/>
  <c r="U61" i="18" s="1"/>
  <c r="U22" i="18"/>
  <c r="U58" i="18" s="1"/>
  <c r="U24" i="18"/>
  <c r="U60" i="18" s="1"/>
  <c r="U26" i="18"/>
  <c r="U62" i="18" s="1"/>
  <c r="U46" i="18"/>
  <c r="U48" i="18"/>
  <c r="W71" i="18"/>
  <c r="W21" i="18"/>
  <c r="W39" i="18" s="1"/>
  <c r="K34" i="17"/>
  <c r="Q5" i="17"/>
  <c r="Q34" i="17" s="1"/>
  <c r="V53" i="18"/>
  <c r="V19" i="18"/>
  <c r="V52" i="18" s="1"/>
  <c r="V37" i="18" s="1"/>
  <c r="X7" i="18"/>
  <c r="Y4" i="17"/>
  <c r="W6" i="17"/>
  <c r="W18" i="17" s="1"/>
  <c r="W5" i="17"/>
  <c r="W34" i="17" s="1"/>
  <c r="K13" i="17"/>
  <c r="M13" i="17" s="1"/>
  <c r="Q6" i="17"/>
  <c r="Q18" i="17" s="1"/>
  <c r="K16" i="17"/>
  <c r="M16" i="17" s="1"/>
  <c r="K17" i="17"/>
  <c r="M17" i="17" s="1"/>
  <c r="K14" i="17"/>
  <c r="M14" i="17" s="1"/>
  <c r="K15" i="17"/>
  <c r="M15" i="17" s="1"/>
  <c r="E12" i="17"/>
  <c r="E14" i="17"/>
  <c r="G14" i="17" s="1"/>
  <c r="E18" i="17"/>
  <c r="G18" i="17" s="1"/>
  <c r="E16" i="17"/>
  <c r="G16" i="17" s="1"/>
  <c r="E15" i="17"/>
  <c r="G15" i="17" s="1"/>
  <c r="E17" i="17"/>
  <c r="G17" i="17" s="1"/>
  <c r="D30" i="17"/>
  <c r="D31" i="17"/>
  <c r="D29" i="17"/>
  <c r="X30" i="17"/>
  <c r="X20" i="17"/>
  <c r="AA13" i="17"/>
  <c r="AA12" i="17" s="1"/>
  <c r="AA17" i="17"/>
  <c r="AA16" i="17"/>
  <c r="AA14" i="17"/>
  <c r="AA15" i="17"/>
  <c r="V22" i="17"/>
  <c r="U18" i="17"/>
  <c r="F26" i="17"/>
  <c r="F31" i="17"/>
  <c r="F30" i="17"/>
  <c r="F29" i="17"/>
  <c r="I12" i="17"/>
  <c r="I19" i="17" s="1"/>
  <c r="I20" i="17" s="1"/>
  <c r="I29" i="17" s="1"/>
  <c r="F24" i="17"/>
  <c r="F27" i="17"/>
  <c r="F25" i="17"/>
  <c r="J27" i="17"/>
  <c r="J25" i="17"/>
  <c r="J31" i="17"/>
  <c r="J23" i="17"/>
  <c r="J24" i="17"/>
  <c r="J34" i="17"/>
  <c r="J26" i="17"/>
  <c r="J30" i="17"/>
  <c r="C34" i="17"/>
  <c r="G34" i="17" s="1"/>
  <c r="C20" i="17"/>
  <c r="O20" i="17"/>
  <c r="O30" i="17"/>
  <c r="D24" i="17"/>
  <c r="D23" i="17"/>
  <c r="D25" i="17"/>
  <c r="D26" i="17"/>
  <c r="D27" i="17"/>
  <c r="P34" i="17"/>
  <c r="P31" i="17"/>
  <c r="P25" i="17"/>
  <c r="P23" i="17"/>
  <c r="P24" i="17"/>
  <c r="P27" i="17"/>
  <c r="P26" i="17"/>
  <c r="R20" i="17"/>
  <c r="R31" i="17" s="1"/>
  <c r="Q20" i="7"/>
  <c r="Q24" i="7"/>
  <c r="R24" i="7"/>
  <c r="R20" i="7"/>
  <c r="O5" i="7"/>
  <c r="M5" i="7"/>
  <c r="L22" i="7"/>
  <c r="L21" i="7"/>
  <c r="L19" i="7"/>
  <c r="E22" i="7"/>
  <c r="E19" i="7"/>
  <c r="E21" i="7"/>
  <c r="I13" i="7"/>
  <c r="M13" i="7" s="1"/>
  <c r="I11" i="7"/>
  <c r="M11" i="7" s="1"/>
  <c r="I14" i="7"/>
  <c r="M14" i="7" s="1"/>
  <c r="I15" i="7"/>
  <c r="M15" i="7" s="1"/>
  <c r="I16" i="7"/>
  <c r="M16" i="7" s="1"/>
  <c r="I12" i="7"/>
  <c r="M12" i="7" s="1"/>
  <c r="J20" i="7"/>
  <c r="J24" i="7"/>
  <c r="D20" i="7"/>
  <c r="D24" i="7"/>
  <c r="K21" i="7"/>
  <c r="K22" i="7"/>
  <c r="K19" i="7"/>
  <c r="F22" i="7"/>
  <c r="F19" i="7"/>
  <c r="F21" i="7"/>
  <c r="C13" i="7"/>
  <c r="G13" i="7" s="1"/>
  <c r="C12" i="7"/>
  <c r="C14" i="7"/>
  <c r="G14" i="7" s="1"/>
  <c r="G11" i="7"/>
  <c r="C15" i="7"/>
  <c r="G15" i="7" s="1"/>
  <c r="AK5" i="7"/>
  <c r="AK18" i="30" l="1"/>
  <c r="AK17" i="30"/>
  <c r="Q47" i="32"/>
  <c r="Q46" i="32"/>
  <c r="Q26" i="32"/>
  <c r="AK53" i="30"/>
  <c r="AM5" i="30"/>
  <c r="Q71" i="32"/>
  <c r="Q41" i="32" s="1"/>
  <c r="AJ24" i="30"/>
  <c r="R14" i="30"/>
  <c r="AJ47" i="30"/>
  <c r="AJ76" i="30"/>
  <c r="AJ25" i="30"/>
  <c r="AJ45" i="30"/>
  <c r="AJ23" i="30"/>
  <c r="AG5" i="32"/>
  <c r="AF166" i="32" s="1"/>
  <c r="S66" i="36"/>
  <c r="O32" i="18"/>
  <c r="I31" i="36"/>
  <c r="S30" i="36"/>
  <c r="Q49" i="32"/>
  <c r="O23" i="30"/>
  <c r="O67" i="30" s="1"/>
  <c r="AK16" i="30"/>
  <c r="AL6" i="32"/>
  <c r="AL76" i="32" s="1"/>
  <c r="AP5" i="36"/>
  <c r="O30" i="18"/>
  <c r="AN213" i="36"/>
  <c r="AL13" i="36"/>
  <c r="AL20" i="36" s="1"/>
  <c r="AL21" i="36" s="1"/>
  <c r="AL39" i="36" s="1"/>
  <c r="L31" i="36"/>
  <c r="AM213" i="36"/>
  <c r="S68" i="36"/>
  <c r="K13" i="31"/>
  <c r="S67" i="36"/>
  <c r="S62" i="36"/>
  <c r="S57" i="36" s="1"/>
  <c r="S69" i="36"/>
  <c r="O57" i="18"/>
  <c r="O44" i="18"/>
  <c r="O29" i="18" s="1"/>
  <c r="AL7" i="18"/>
  <c r="AL8" i="18" s="1"/>
  <c r="O33" i="18"/>
  <c r="O69" i="18"/>
  <c r="AG5" i="18"/>
  <c r="R167" i="18"/>
  <c r="AE7" i="18"/>
  <c r="AE11" i="18" s="1"/>
  <c r="U169" i="18"/>
  <c r="U167" i="18" s="1"/>
  <c r="U63" i="18" s="1"/>
  <c r="U56" i="18" s="1"/>
  <c r="T169" i="18"/>
  <c r="T167" i="18" s="1"/>
  <c r="T63" i="18" s="1"/>
  <c r="T56" i="18" s="1"/>
  <c r="W169" i="18"/>
  <c r="W167" i="18" s="1"/>
  <c r="W63" i="18" s="1"/>
  <c r="W56" i="18" s="1"/>
  <c r="O70" i="18"/>
  <c r="AK5" i="18"/>
  <c r="O31" i="18"/>
  <c r="B5" i="63"/>
  <c r="C21" i="57"/>
  <c r="C18" i="57" s="1"/>
  <c r="E21" i="57"/>
  <c r="E18" i="57" s="1"/>
  <c r="Q48" i="32"/>
  <c r="Q33" i="32" s="1"/>
  <c r="E18" i="50"/>
  <c r="E15" i="50" s="1"/>
  <c r="E21" i="55"/>
  <c r="E18" i="55" s="1"/>
  <c r="Q23" i="32"/>
  <c r="Q31" i="32" s="1"/>
  <c r="O47" i="30"/>
  <c r="O45" i="30"/>
  <c r="K76" i="32"/>
  <c r="Q24" i="32"/>
  <c r="Q68" i="32" s="1"/>
  <c r="O76" i="30"/>
  <c r="C18" i="50"/>
  <c r="C15" i="50" s="1"/>
  <c r="C21" i="55"/>
  <c r="C18" i="55" s="1"/>
  <c r="G83" i="50"/>
  <c r="AC166" i="32"/>
  <c r="K13" i="32"/>
  <c r="Q22" i="32"/>
  <c r="Q66" i="32" s="1"/>
  <c r="Q39" i="32"/>
  <c r="Q45" i="32"/>
  <c r="AJ39" i="30"/>
  <c r="S44" i="36"/>
  <c r="S29" i="36" s="1"/>
  <c r="AK213" i="36"/>
  <c r="S31" i="36"/>
  <c r="G69" i="34"/>
  <c r="G80" i="44"/>
  <c r="C18" i="34"/>
  <c r="C15" i="34" s="1"/>
  <c r="C18" i="44"/>
  <c r="C15" i="44" s="1"/>
  <c r="AM13" i="36"/>
  <c r="AM20" i="36" s="1"/>
  <c r="AM21" i="36" s="1"/>
  <c r="R14" i="32"/>
  <c r="S32" i="36"/>
  <c r="S33" i="36"/>
  <c r="E18" i="34"/>
  <c r="E15" i="34" s="1"/>
  <c r="E18" i="44"/>
  <c r="E15" i="44" s="1"/>
  <c r="AG17" i="20"/>
  <c r="O26" i="30"/>
  <c r="Z64" i="36"/>
  <c r="O48" i="30"/>
  <c r="B21" i="37"/>
  <c r="B22" i="37" s="1"/>
  <c r="B2" i="37" s="1"/>
  <c r="O24" i="30"/>
  <c r="O60" i="30" s="1"/>
  <c r="O49" i="30"/>
  <c r="AL13" i="30"/>
  <c r="AL20" i="30" s="1"/>
  <c r="AL21" i="30" s="1"/>
  <c r="AL39" i="30" s="1"/>
  <c r="J31" i="36"/>
  <c r="O25" i="30"/>
  <c r="O69" i="30" s="1"/>
  <c r="AN13" i="36"/>
  <c r="AN20" i="36" s="1"/>
  <c r="AN21" i="36" s="1"/>
  <c r="AN26" i="36" s="1"/>
  <c r="O22" i="30"/>
  <c r="V41" i="36"/>
  <c r="Q31" i="36"/>
  <c r="R23" i="36"/>
  <c r="R25" i="36"/>
  <c r="R48" i="36"/>
  <c r="R22" i="36"/>
  <c r="R26" i="36"/>
  <c r="R45" i="36"/>
  <c r="R24" i="36"/>
  <c r="R47" i="36"/>
  <c r="R71" i="36"/>
  <c r="R41" i="36" s="1"/>
  <c r="R49" i="36"/>
  <c r="R46" i="36"/>
  <c r="R39" i="36"/>
  <c r="I41" i="36"/>
  <c r="L68" i="36"/>
  <c r="L60" i="36"/>
  <c r="AP7" i="36"/>
  <c r="AI195" i="36" s="1"/>
  <c r="AA20" i="36"/>
  <c r="V37" i="36"/>
  <c r="AG71" i="36"/>
  <c r="AG52" i="36"/>
  <c r="AG21" i="36"/>
  <c r="Q60" i="36"/>
  <c r="Q68" i="36"/>
  <c r="N19" i="36"/>
  <c r="F19" i="36"/>
  <c r="M194" i="36"/>
  <c r="G21" i="36"/>
  <c r="M39" i="36"/>
  <c r="Z56" i="36"/>
  <c r="AI64" i="36"/>
  <c r="Q66" i="36"/>
  <c r="Q58" i="36"/>
  <c r="P37" i="36"/>
  <c r="T52" i="36"/>
  <c r="AD41" i="30"/>
  <c r="I32" i="36"/>
  <c r="L62" i="36"/>
  <c r="L70" i="36"/>
  <c r="F91" i="36"/>
  <c r="X21" i="36"/>
  <c r="Z21" i="36" s="1"/>
  <c r="Z194" i="36" s="1"/>
  <c r="X71" i="36"/>
  <c r="X52" i="36"/>
  <c r="Z52" i="36" s="1"/>
  <c r="AN37" i="36"/>
  <c r="Q59" i="36"/>
  <c r="Q67" i="36"/>
  <c r="P23" i="36"/>
  <c r="P22" i="36"/>
  <c r="P46" i="36"/>
  <c r="P26" i="36"/>
  <c r="P25" i="36"/>
  <c r="P77" i="36"/>
  <c r="T77" i="36" s="1"/>
  <c r="P48" i="36"/>
  <c r="P47" i="36"/>
  <c r="P49" i="36"/>
  <c r="P71" i="36"/>
  <c r="P45" i="36"/>
  <c r="P24" i="36"/>
  <c r="T21" i="36"/>
  <c r="P39" i="36"/>
  <c r="I68" i="36"/>
  <c r="I60" i="36"/>
  <c r="W37" i="36"/>
  <c r="AO15" i="36"/>
  <c r="AP15" i="36" s="1"/>
  <c r="M56" i="36"/>
  <c r="AJ13" i="31"/>
  <c r="AJ20" i="31" s="1"/>
  <c r="AJ21" i="31" s="1"/>
  <c r="AJ26" i="31" s="1"/>
  <c r="J70" i="36"/>
  <c r="J62" i="36"/>
  <c r="W48" i="36"/>
  <c r="W22" i="36"/>
  <c r="W45" i="36"/>
  <c r="W47" i="36"/>
  <c r="W26" i="36"/>
  <c r="W25" i="36"/>
  <c r="W24" i="36"/>
  <c r="W23" i="36"/>
  <c r="W49" i="36"/>
  <c r="W77" i="36"/>
  <c r="W46" i="36"/>
  <c r="Q44" i="36"/>
  <c r="Q30" i="36"/>
  <c r="I66" i="36"/>
  <c r="I58" i="36"/>
  <c r="L44" i="36"/>
  <c r="L29" i="36" s="1"/>
  <c r="L30" i="36"/>
  <c r="AM6" i="36"/>
  <c r="AM77" i="36" s="1"/>
  <c r="AG77" i="36"/>
  <c r="AO16" i="36"/>
  <c r="AP16" i="36" s="1"/>
  <c r="AH21" i="36"/>
  <c r="AH39" i="36" s="1"/>
  <c r="AH52" i="36"/>
  <c r="AH71" i="36"/>
  <c r="AF71" i="36"/>
  <c r="AF52" i="36"/>
  <c r="AF21" i="36"/>
  <c r="J58" i="36"/>
  <c r="J66" i="36"/>
  <c r="W41" i="36"/>
  <c r="Q61" i="36"/>
  <c r="Q69" i="36"/>
  <c r="AK13" i="36"/>
  <c r="AK19" i="36"/>
  <c r="AO14" i="36"/>
  <c r="AP14" i="36" s="1"/>
  <c r="R37" i="36"/>
  <c r="I69" i="36"/>
  <c r="I61" i="36"/>
  <c r="L32" i="36"/>
  <c r="K37" i="36"/>
  <c r="AO17" i="36"/>
  <c r="AP17" i="36" s="1"/>
  <c r="J44" i="36"/>
  <c r="J30" i="36"/>
  <c r="Q70" i="36"/>
  <c r="Q62" i="36"/>
  <c r="T13" i="36"/>
  <c r="F13" i="36" s="1"/>
  <c r="M52" i="36"/>
  <c r="I59" i="36"/>
  <c r="I67" i="36"/>
  <c r="L58" i="36"/>
  <c r="L66" i="36"/>
  <c r="K47" i="36"/>
  <c r="K48" i="36"/>
  <c r="K26" i="36"/>
  <c r="K24" i="36"/>
  <c r="K45" i="36"/>
  <c r="K23" i="36"/>
  <c r="K22" i="36"/>
  <c r="K71" i="36"/>
  <c r="K41" i="36" s="1"/>
  <c r="K49" i="36"/>
  <c r="M49" i="36" s="1"/>
  <c r="K46" i="36"/>
  <c r="K25" i="36"/>
  <c r="M25" i="36" s="1"/>
  <c r="K39" i="36"/>
  <c r="W39" i="36"/>
  <c r="J60" i="36"/>
  <c r="J68" i="36"/>
  <c r="T20" i="36"/>
  <c r="I70" i="36"/>
  <c r="I62" i="36"/>
  <c r="L69" i="36"/>
  <c r="L61" i="36"/>
  <c r="AO18" i="36"/>
  <c r="AP18" i="36" s="1"/>
  <c r="T94" i="36"/>
  <c r="T91" i="36" s="1"/>
  <c r="J59" i="36"/>
  <c r="J67" i="36"/>
  <c r="AJ13" i="36"/>
  <c r="E13" i="36"/>
  <c r="Y37" i="36"/>
  <c r="I33" i="36"/>
  <c r="L33" i="36"/>
  <c r="AM52" i="36"/>
  <c r="S65" i="36"/>
  <c r="S55" i="36" s="1"/>
  <c r="S40" i="36" s="1"/>
  <c r="J69" i="36"/>
  <c r="J61" i="36"/>
  <c r="Q32" i="36"/>
  <c r="Y26" i="36"/>
  <c r="Y25" i="36"/>
  <c r="Y24" i="36"/>
  <c r="Y23" i="36"/>
  <c r="Y22" i="36"/>
  <c r="Y48" i="36"/>
  <c r="Y45" i="36"/>
  <c r="Y47" i="36"/>
  <c r="Y49" i="36"/>
  <c r="Y46" i="36"/>
  <c r="AD41" i="31"/>
  <c r="O46" i="30"/>
  <c r="L59" i="36"/>
  <c r="L67" i="36"/>
  <c r="AE52" i="36"/>
  <c r="AE21" i="36"/>
  <c r="AE71" i="36"/>
  <c r="AI19" i="36"/>
  <c r="AO64" i="36"/>
  <c r="Z19" i="36"/>
  <c r="J33" i="36"/>
  <c r="Q33" i="36"/>
  <c r="Y41" i="36"/>
  <c r="AG16" i="20"/>
  <c r="O71" i="30"/>
  <c r="O41" i="30" s="1"/>
  <c r="I44" i="36"/>
  <c r="I30" i="36"/>
  <c r="AI53" i="36"/>
  <c r="AL52" i="36"/>
  <c r="V25" i="36"/>
  <c r="V47" i="36"/>
  <c r="V24" i="36"/>
  <c r="V22" i="36"/>
  <c r="V26" i="36"/>
  <c r="V23" i="36"/>
  <c r="V48" i="36"/>
  <c r="V49" i="36"/>
  <c r="V77" i="36"/>
  <c r="V46" i="36"/>
  <c r="V45" i="36"/>
  <c r="J32" i="36"/>
  <c r="AO53" i="36"/>
  <c r="Y39" i="36"/>
  <c r="X8" i="18"/>
  <c r="X64" i="18"/>
  <c r="G15" i="34"/>
  <c r="P63" i="18"/>
  <c r="P56" i="18" s="1"/>
  <c r="O63" i="18"/>
  <c r="X11" i="18"/>
  <c r="AC11" i="18"/>
  <c r="AC8" i="18"/>
  <c r="AI11" i="18"/>
  <c r="AI8" i="18"/>
  <c r="AF8" i="18"/>
  <c r="AF11" i="18"/>
  <c r="AJ31" i="30"/>
  <c r="AJ30" i="30"/>
  <c r="K76" i="30"/>
  <c r="AN5" i="30"/>
  <c r="Q39" i="31"/>
  <c r="Q26" i="31"/>
  <c r="Q47" i="31"/>
  <c r="Q24" i="31"/>
  <c r="Q25" i="31"/>
  <c r="Q22" i="31"/>
  <c r="Q48" i="31"/>
  <c r="Q46" i="31"/>
  <c r="Q23" i="31"/>
  <c r="Q49" i="31"/>
  <c r="Q71" i="31"/>
  <c r="Q41" i="31" s="1"/>
  <c r="Q45" i="31"/>
  <c r="AK37" i="30"/>
  <c r="AI7" i="31"/>
  <c r="AM5" i="31"/>
  <c r="AN5" i="31" s="1"/>
  <c r="AC64" i="32"/>
  <c r="AC53" i="32"/>
  <c r="AC19" i="32"/>
  <c r="AL6" i="30"/>
  <c r="AL76" i="30" s="1"/>
  <c r="AD45" i="31"/>
  <c r="AD24" i="31"/>
  <c r="AD22" i="31"/>
  <c r="AD26" i="31"/>
  <c r="AD76" i="31"/>
  <c r="AD23" i="31"/>
  <c r="AD25" i="31"/>
  <c r="AD49" i="31"/>
  <c r="AD48" i="31"/>
  <c r="AD46" i="31"/>
  <c r="AD47" i="31"/>
  <c r="AL13" i="31"/>
  <c r="AL20" i="31" s="1"/>
  <c r="AL21" i="31" s="1"/>
  <c r="AL39" i="31" s="1"/>
  <c r="AF24" i="30"/>
  <c r="AF25" i="30"/>
  <c r="AF23" i="30"/>
  <c r="AF26" i="30"/>
  <c r="AF22" i="30"/>
  <c r="AF45" i="30"/>
  <c r="AF49" i="30"/>
  <c r="AF47" i="30"/>
  <c r="AF48" i="30"/>
  <c r="AF46" i="30"/>
  <c r="T71" i="32"/>
  <c r="T21" i="32"/>
  <c r="T39" i="32" s="1"/>
  <c r="T52" i="32"/>
  <c r="I21" i="30"/>
  <c r="K21" i="30" s="1"/>
  <c r="I52" i="30"/>
  <c r="K52" i="30" s="1"/>
  <c r="K37" i="30" s="1"/>
  <c r="U52" i="31"/>
  <c r="U21" i="31"/>
  <c r="U39" i="31" s="1"/>
  <c r="U71" i="31"/>
  <c r="AI7" i="32"/>
  <c r="AM5" i="32"/>
  <c r="AJ166" i="32" s="1"/>
  <c r="G37" i="32"/>
  <c r="M13" i="30"/>
  <c r="AH13" i="30" s="1"/>
  <c r="N20" i="30"/>
  <c r="N21" i="30" s="1"/>
  <c r="G37" i="30"/>
  <c r="AD46" i="30"/>
  <c r="AD76" i="30"/>
  <c r="AD48" i="30"/>
  <c r="AD24" i="30"/>
  <c r="AD22" i="30"/>
  <c r="AD23" i="30"/>
  <c r="AD26" i="30"/>
  <c r="AD25" i="30"/>
  <c r="AD45" i="30"/>
  <c r="AD49" i="30"/>
  <c r="AD47" i="30"/>
  <c r="AC64" i="31"/>
  <c r="AG7" i="31"/>
  <c r="AC53" i="31"/>
  <c r="AC19" i="31"/>
  <c r="T71" i="31"/>
  <c r="T21" i="31"/>
  <c r="T52" i="31"/>
  <c r="O39" i="31"/>
  <c r="O76" i="31"/>
  <c r="O49" i="31"/>
  <c r="O22" i="31"/>
  <c r="O45" i="31"/>
  <c r="O24" i="31"/>
  <c r="O25" i="31"/>
  <c r="O71" i="31"/>
  <c r="O41" i="31" s="1"/>
  <c r="O46" i="31"/>
  <c r="O26" i="31"/>
  <c r="O23" i="31"/>
  <c r="O47" i="31"/>
  <c r="O48" i="31"/>
  <c r="AD37" i="31"/>
  <c r="AJ61" i="30"/>
  <c r="AJ69" i="30"/>
  <c r="AE6" i="32"/>
  <c r="AE76" i="32" s="1"/>
  <c r="V76" i="32"/>
  <c r="K13" i="30"/>
  <c r="AL37" i="30"/>
  <c r="N52" i="31"/>
  <c r="R19" i="31"/>
  <c r="L19" i="31" s="1"/>
  <c r="O37" i="31"/>
  <c r="J47" i="30"/>
  <c r="J25" i="30"/>
  <c r="J49" i="30"/>
  <c r="J23" i="30"/>
  <c r="J26" i="30"/>
  <c r="J24" i="30"/>
  <c r="J22" i="30"/>
  <c r="J71" i="30"/>
  <c r="J41" i="30" s="1"/>
  <c r="J46" i="30"/>
  <c r="J48" i="30"/>
  <c r="J45" i="30"/>
  <c r="J39" i="30"/>
  <c r="AD37" i="30"/>
  <c r="AZ5" i="32"/>
  <c r="AZ7" i="32" s="1"/>
  <c r="T166" i="32"/>
  <c r="T164" i="32" s="1"/>
  <c r="U166" i="32"/>
  <c r="U164" i="32" s="1"/>
  <c r="U63" i="32" s="1"/>
  <c r="U56" i="32" s="1"/>
  <c r="W166" i="32"/>
  <c r="W164" i="32" s="1"/>
  <c r="W63" i="32" s="1"/>
  <c r="W56" i="32" s="1"/>
  <c r="P13" i="31"/>
  <c r="P20" i="31" s="1"/>
  <c r="P21" i="31" s="1"/>
  <c r="P39" i="31" s="1"/>
  <c r="AJ68" i="30"/>
  <c r="AJ60" i="30"/>
  <c r="AF64" i="32"/>
  <c r="AF53" i="32"/>
  <c r="AF19" i="32"/>
  <c r="K63" i="32"/>
  <c r="G56" i="32"/>
  <c r="P37" i="30"/>
  <c r="V63" i="18"/>
  <c r="V56" i="18" s="1"/>
  <c r="AK13" i="30"/>
  <c r="AK20" i="30" s="1"/>
  <c r="AK21" i="30" s="1"/>
  <c r="R14" i="31"/>
  <c r="K20" i="31"/>
  <c r="E20" i="31" s="1"/>
  <c r="AG7" i="30"/>
  <c r="AC64" i="30"/>
  <c r="AG64" i="30" s="1"/>
  <c r="AC53" i="30"/>
  <c r="AG53" i="30" s="1"/>
  <c r="AC19" i="30"/>
  <c r="J37" i="30"/>
  <c r="Q37" i="31"/>
  <c r="AJ58" i="30"/>
  <c r="AJ66" i="30"/>
  <c r="V76" i="31"/>
  <c r="AE6" i="31"/>
  <c r="AE76" i="31" s="1"/>
  <c r="AL7" i="32"/>
  <c r="V64" i="30"/>
  <c r="X64" i="30" s="1"/>
  <c r="V53" i="30"/>
  <c r="X53" i="30" s="1"/>
  <c r="V19" i="30"/>
  <c r="X19" i="30" s="1"/>
  <c r="N20" i="31"/>
  <c r="M13" i="31"/>
  <c r="AH13" i="31" s="1"/>
  <c r="W71" i="30"/>
  <c r="W21" i="30"/>
  <c r="W39" i="30" s="1"/>
  <c r="W52" i="30"/>
  <c r="AJ37" i="31"/>
  <c r="AD52" i="32"/>
  <c r="AD71" i="32"/>
  <c r="AD21" i="32"/>
  <c r="AD39" i="32" s="1"/>
  <c r="Q61" i="32"/>
  <c r="Q69" i="32"/>
  <c r="AJ67" i="30"/>
  <c r="AJ59" i="30"/>
  <c r="O30" i="30"/>
  <c r="AF39" i="30"/>
  <c r="G21" i="31"/>
  <c r="I21" i="32"/>
  <c r="K21" i="32" s="1"/>
  <c r="I52" i="32"/>
  <c r="J23" i="32"/>
  <c r="J45" i="32"/>
  <c r="J22" i="32"/>
  <c r="J49" i="32"/>
  <c r="J71" i="32"/>
  <c r="J41" i="32" s="1"/>
  <c r="J26" i="32"/>
  <c r="J25" i="32"/>
  <c r="J48" i="32"/>
  <c r="J46" i="32"/>
  <c r="J47" i="32"/>
  <c r="J24" i="32"/>
  <c r="J39" i="32"/>
  <c r="P13" i="32"/>
  <c r="P20" i="32" s="1"/>
  <c r="P21" i="32" s="1"/>
  <c r="V166" i="32"/>
  <c r="V164" i="32" s="1"/>
  <c r="V63" i="32" s="1"/>
  <c r="AE64" i="31"/>
  <c r="AE53" i="31"/>
  <c r="AE19" i="31"/>
  <c r="H37" i="32"/>
  <c r="AI17" i="30"/>
  <c r="AM17" i="30" s="1"/>
  <c r="AN17" i="30" s="1"/>
  <c r="AI15" i="30"/>
  <c r="AM15" i="30" s="1"/>
  <c r="AN15" i="30" s="1"/>
  <c r="AI18" i="30"/>
  <c r="AM18" i="30" s="1"/>
  <c r="AN18" i="30" s="1"/>
  <c r="AM7" i="30"/>
  <c r="AI64" i="30"/>
  <c r="AM64" i="30" s="1"/>
  <c r="AI14" i="30"/>
  <c r="AI16" i="30"/>
  <c r="AM16" i="30" s="1"/>
  <c r="AN16" i="30" s="1"/>
  <c r="AI53" i="30"/>
  <c r="Q70" i="32"/>
  <c r="Q62" i="32"/>
  <c r="V76" i="30"/>
  <c r="AE6" i="30"/>
  <c r="AE76" i="30" s="1"/>
  <c r="T71" i="30"/>
  <c r="T52" i="30"/>
  <c r="T21" i="30"/>
  <c r="G37" i="31"/>
  <c r="AF71" i="31"/>
  <c r="AF21" i="31"/>
  <c r="AF39" i="31" s="1"/>
  <c r="AF52" i="31"/>
  <c r="J37" i="32"/>
  <c r="AK7" i="32"/>
  <c r="AG45" i="20"/>
  <c r="AK14" i="31"/>
  <c r="AK19" i="31" s="1"/>
  <c r="AK52" i="31" s="1"/>
  <c r="AK16" i="31"/>
  <c r="AK18" i="31"/>
  <c r="AK17" i="31"/>
  <c r="AK15" i="31"/>
  <c r="AK64" i="31"/>
  <c r="AK53" i="31"/>
  <c r="N52" i="32"/>
  <c r="R19" i="32"/>
  <c r="L19" i="32" s="1"/>
  <c r="H48" i="32"/>
  <c r="H45" i="32"/>
  <c r="H71" i="32"/>
  <c r="H41" i="32" s="1"/>
  <c r="H24" i="32"/>
  <c r="H26" i="32"/>
  <c r="H23" i="32"/>
  <c r="H22" i="32"/>
  <c r="H49" i="32"/>
  <c r="H25" i="32"/>
  <c r="H46" i="32"/>
  <c r="H47" i="32"/>
  <c r="H39" i="32"/>
  <c r="AJ33" i="30"/>
  <c r="R56" i="32"/>
  <c r="P52" i="32"/>
  <c r="AE7" i="32"/>
  <c r="AG7" i="32" s="1"/>
  <c r="AE166" i="32"/>
  <c r="AL37" i="31"/>
  <c r="V64" i="31"/>
  <c r="X64" i="31" s="1"/>
  <c r="V53" i="31"/>
  <c r="V19" i="31"/>
  <c r="H37" i="31"/>
  <c r="Q59" i="32"/>
  <c r="Q67" i="32"/>
  <c r="R64" i="32"/>
  <c r="X7" i="30"/>
  <c r="K76" i="31"/>
  <c r="H71" i="30"/>
  <c r="H41" i="30" s="1"/>
  <c r="H48" i="30"/>
  <c r="H47" i="30"/>
  <c r="H26" i="30"/>
  <c r="H49" i="30"/>
  <c r="H46" i="30"/>
  <c r="H25" i="30"/>
  <c r="H22" i="30"/>
  <c r="H24" i="30"/>
  <c r="H23" i="30"/>
  <c r="H45" i="30"/>
  <c r="H39" i="30"/>
  <c r="U71" i="30"/>
  <c r="U21" i="30"/>
  <c r="U39" i="30" s="1"/>
  <c r="U52" i="30"/>
  <c r="H49" i="31"/>
  <c r="H25" i="31"/>
  <c r="H71" i="31"/>
  <c r="H41" i="31" s="1"/>
  <c r="H45" i="31"/>
  <c r="H24" i="31"/>
  <c r="H46" i="31"/>
  <c r="H23" i="31"/>
  <c r="H47" i="31"/>
  <c r="H26" i="31"/>
  <c r="H22" i="31"/>
  <c r="H48" i="31"/>
  <c r="H39" i="31"/>
  <c r="AJ62" i="30"/>
  <c r="AJ70" i="30"/>
  <c r="O66" i="30"/>
  <c r="O58" i="30"/>
  <c r="AL45" i="30"/>
  <c r="AL71" i="30"/>
  <c r="AL41" i="30" s="1"/>
  <c r="AL46" i="30"/>
  <c r="AL49" i="30"/>
  <c r="H37" i="30"/>
  <c r="V64" i="32"/>
  <c r="V53" i="32"/>
  <c r="V19" i="32"/>
  <c r="P37" i="31"/>
  <c r="AJ44" i="30"/>
  <c r="AJ32" i="30"/>
  <c r="O70" i="30"/>
  <c r="O62" i="30"/>
  <c r="AJ64" i="32"/>
  <c r="AJ16" i="32"/>
  <c r="AJ14" i="32"/>
  <c r="AJ19" i="32" s="1"/>
  <c r="AJ18" i="32"/>
  <c r="AJ15" i="32"/>
  <c r="AJ17" i="32"/>
  <c r="AJ53" i="32"/>
  <c r="AF41" i="30"/>
  <c r="P13" i="30"/>
  <c r="P20" i="30" s="1"/>
  <c r="P21" i="30" s="1"/>
  <c r="P39" i="30" s="1"/>
  <c r="J39" i="31"/>
  <c r="J49" i="31"/>
  <c r="J45" i="31"/>
  <c r="J22" i="31"/>
  <c r="J25" i="31"/>
  <c r="J24" i="31"/>
  <c r="J48" i="31"/>
  <c r="J47" i="31"/>
  <c r="J23" i="31"/>
  <c r="J71" i="31"/>
  <c r="J41" i="31" s="1"/>
  <c r="J26" i="31"/>
  <c r="J46" i="31"/>
  <c r="W21" i="32"/>
  <c r="W52" i="32"/>
  <c r="W71" i="32"/>
  <c r="M13" i="32"/>
  <c r="AH13" i="32" s="1"/>
  <c r="N20" i="32"/>
  <c r="Q37" i="30"/>
  <c r="AE52" i="30"/>
  <c r="AE71" i="30"/>
  <c r="AE21" i="30"/>
  <c r="AE39" i="30" s="1"/>
  <c r="O39" i="32"/>
  <c r="O22" i="32"/>
  <c r="O24" i="32"/>
  <c r="O26" i="32"/>
  <c r="O47" i="32"/>
  <c r="O46" i="32"/>
  <c r="O71" i="32"/>
  <c r="O41" i="32" s="1"/>
  <c r="O76" i="32"/>
  <c r="O23" i="32"/>
  <c r="O48" i="32"/>
  <c r="O25" i="32"/>
  <c r="O49" i="32"/>
  <c r="O45" i="32"/>
  <c r="Q71" i="30"/>
  <c r="Q41" i="30" s="1"/>
  <c r="Q26" i="30"/>
  <c r="Q46" i="30"/>
  <c r="Q24" i="30"/>
  <c r="Q25" i="30"/>
  <c r="Q23" i="30"/>
  <c r="Q22" i="30"/>
  <c r="Q47" i="30"/>
  <c r="Q45" i="30"/>
  <c r="Q48" i="30"/>
  <c r="Q49" i="30"/>
  <c r="I21" i="31"/>
  <c r="I52" i="31"/>
  <c r="K52" i="31" s="1"/>
  <c r="K37" i="31" s="1"/>
  <c r="O37" i="32"/>
  <c r="AD166" i="32"/>
  <c r="G26" i="32"/>
  <c r="G71" i="32"/>
  <c r="G46" i="32"/>
  <c r="G23" i="32"/>
  <c r="G47" i="32"/>
  <c r="G45" i="32"/>
  <c r="G49" i="32"/>
  <c r="G24" i="32"/>
  <c r="G22" i="32"/>
  <c r="G25" i="32"/>
  <c r="G48" i="32"/>
  <c r="G39" i="32"/>
  <c r="N52" i="30"/>
  <c r="R19" i="30"/>
  <c r="L19" i="30" s="1"/>
  <c r="G39" i="30"/>
  <c r="G48" i="30"/>
  <c r="G49" i="30"/>
  <c r="G47" i="30"/>
  <c r="G22" i="30"/>
  <c r="G26" i="30"/>
  <c r="G24" i="30"/>
  <c r="G23" i="30"/>
  <c r="G25" i="30"/>
  <c r="G45" i="30"/>
  <c r="G71" i="30"/>
  <c r="G46" i="30"/>
  <c r="Q32" i="32"/>
  <c r="AL6" i="31"/>
  <c r="AL76" i="31" s="1"/>
  <c r="AF76" i="31"/>
  <c r="W21" i="31"/>
  <c r="W52" i="31"/>
  <c r="W71" i="31"/>
  <c r="AF37" i="30"/>
  <c r="U71" i="32"/>
  <c r="U21" i="32"/>
  <c r="U52" i="32"/>
  <c r="J37" i="31"/>
  <c r="AC64" i="18"/>
  <c r="AC53" i="18"/>
  <c r="AC19" i="18"/>
  <c r="AJ13" i="18"/>
  <c r="AJ20" i="18" s="1"/>
  <c r="AJ19" i="18"/>
  <c r="N56" i="18"/>
  <c r="AI64" i="18"/>
  <c r="AI18" i="18"/>
  <c r="AI14" i="18"/>
  <c r="AI19" i="18" s="1"/>
  <c r="AI52" i="18" s="1"/>
  <c r="AI37" i="18" s="1"/>
  <c r="AI17" i="18"/>
  <c r="AI15" i="18"/>
  <c r="AI53" i="18"/>
  <c r="AI16" i="18"/>
  <c r="Q56" i="18"/>
  <c r="K63" i="18"/>
  <c r="G56" i="18"/>
  <c r="AF64" i="18"/>
  <c r="AF19" i="18"/>
  <c r="AF53" i="18"/>
  <c r="AD31" i="18"/>
  <c r="AD67" i="18"/>
  <c r="J61" i="18"/>
  <c r="J33" i="18"/>
  <c r="H30" i="18"/>
  <c r="H58" i="18"/>
  <c r="V77" i="18"/>
  <c r="AE6" i="18"/>
  <c r="AE77" i="18" s="1"/>
  <c r="AL6" i="18"/>
  <c r="AL77" i="18" s="1"/>
  <c r="AD32" i="18"/>
  <c r="J60" i="18"/>
  <c r="J32" i="18"/>
  <c r="H31" i="18"/>
  <c r="AD68" i="18"/>
  <c r="AD33" i="18"/>
  <c r="AD57" i="18"/>
  <c r="AD69" i="18"/>
  <c r="H60" i="18"/>
  <c r="H32" i="18"/>
  <c r="J70" i="18"/>
  <c r="H44" i="18"/>
  <c r="H29" i="18" s="1"/>
  <c r="J31" i="18"/>
  <c r="AD44" i="18"/>
  <c r="AD29" i="18" s="1"/>
  <c r="H59" i="18"/>
  <c r="H69" i="18"/>
  <c r="H65" i="18" s="1"/>
  <c r="H33" i="18"/>
  <c r="J67" i="18"/>
  <c r="H62" i="18"/>
  <c r="Q52" i="18"/>
  <c r="Q37" i="18" s="1"/>
  <c r="J30" i="18"/>
  <c r="AD70" i="18"/>
  <c r="J66" i="18"/>
  <c r="J44" i="18"/>
  <c r="J29" i="18" s="1"/>
  <c r="AG36" i="20"/>
  <c r="AG13" i="20"/>
  <c r="AG18" i="20" s="1"/>
  <c r="AG14" i="20"/>
  <c r="Q57" i="18"/>
  <c r="AL17" i="18"/>
  <c r="AL64" i="18"/>
  <c r="U57" i="18"/>
  <c r="AE21" i="20"/>
  <c r="AE40" i="20" s="1"/>
  <c r="B19" i="21"/>
  <c r="J169" i="20"/>
  <c r="AL16" i="18"/>
  <c r="AL15" i="18"/>
  <c r="AL14" i="18"/>
  <c r="AL19" i="18" s="1"/>
  <c r="AL53" i="18"/>
  <c r="AL18" i="18"/>
  <c r="E4" i="21"/>
  <c r="AE33" i="20"/>
  <c r="AE32" i="20"/>
  <c r="AE25" i="20"/>
  <c r="AE51" i="20" s="1"/>
  <c r="AE35" i="20"/>
  <c r="AE23" i="20"/>
  <c r="AE42" i="20" s="1"/>
  <c r="AE24" i="20"/>
  <c r="AE43" i="20" s="1"/>
  <c r="AE52" i="20"/>
  <c r="O30" i="20"/>
  <c r="O24" i="20"/>
  <c r="O43" i="20" s="1"/>
  <c r="AE30" i="20"/>
  <c r="O25" i="20"/>
  <c r="O51" i="20" s="1"/>
  <c r="AE31" i="20"/>
  <c r="O31" i="20"/>
  <c r="AE29" i="20"/>
  <c r="O23" i="20"/>
  <c r="O49" i="20" s="1"/>
  <c r="O35" i="20"/>
  <c r="O21" i="20"/>
  <c r="O47" i="20" s="1"/>
  <c r="AE22" i="20"/>
  <c r="AE41" i="20" s="1"/>
  <c r="O52" i="20"/>
  <c r="O32" i="20"/>
  <c r="O22" i="20"/>
  <c r="O48" i="20" s="1"/>
  <c r="O29" i="20"/>
  <c r="P13" i="20"/>
  <c r="AB34" i="17"/>
  <c r="Q30" i="18"/>
  <c r="AB26" i="17"/>
  <c r="AB27" i="17"/>
  <c r="AB30" i="17"/>
  <c r="X53" i="18"/>
  <c r="K20" i="18"/>
  <c r="E20" i="18" s="1"/>
  <c r="I28" i="20"/>
  <c r="AB23" i="17"/>
  <c r="G45" i="18"/>
  <c r="G23" i="18"/>
  <c r="G25" i="18"/>
  <c r="G22" i="18"/>
  <c r="G47" i="18"/>
  <c r="G49" i="18"/>
  <c r="G26" i="18"/>
  <c r="G71" i="18"/>
  <c r="G41" i="18" s="1"/>
  <c r="G48" i="18"/>
  <c r="G24" i="18"/>
  <c r="G46" i="18"/>
  <c r="G48" i="20"/>
  <c r="G41" i="20"/>
  <c r="I49" i="20"/>
  <c r="I42" i="20"/>
  <c r="M44" i="20"/>
  <c r="M51" i="20"/>
  <c r="T45" i="20"/>
  <c r="V45" i="20" s="1"/>
  <c r="T18" i="20"/>
  <c r="T36" i="20"/>
  <c r="V36" i="20" s="1"/>
  <c r="G44" i="20"/>
  <c r="G51" i="20"/>
  <c r="M41" i="20"/>
  <c r="M48" i="20"/>
  <c r="H19" i="20"/>
  <c r="J19" i="20" s="1"/>
  <c r="J12" i="20"/>
  <c r="U52" i="20"/>
  <c r="U20" i="20"/>
  <c r="T21" i="18"/>
  <c r="T39" i="18" s="1"/>
  <c r="T71" i="18"/>
  <c r="P18" i="20"/>
  <c r="L20" i="20"/>
  <c r="M13" i="18"/>
  <c r="N20" i="18"/>
  <c r="N21" i="18" s="1"/>
  <c r="N39" i="18" s="1"/>
  <c r="G50" i="20"/>
  <c r="G43" i="20"/>
  <c r="X45" i="20"/>
  <c r="AB45" i="20" s="1"/>
  <c r="X36" i="20"/>
  <c r="AB36" i="20" s="1"/>
  <c r="X18" i="20"/>
  <c r="AB6" i="20"/>
  <c r="G40" i="20"/>
  <c r="G47" i="20"/>
  <c r="I47" i="20"/>
  <c r="I40" i="20"/>
  <c r="AH4" i="20"/>
  <c r="AI4" i="20" s="1"/>
  <c r="AD6" i="20"/>
  <c r="I51" i="20"/>
  <c r="I44" i="20"/>
  <c r="AA21" i="20"/>
  <c r="AA35" i="20"/>
  <c r="AA23" i="20"/>
  <c r="AA24" i="20"/>
  <c r="AA22" i="20"/>
  <c r="AA25" i="20"/>
  <c r="AA33" i="20"/>
  <c r="AA32" i="20"/>
  <c r="AA29" i="20"/>
  <c r="AA31" i="20"/>
  <c r="AA30" i="20"/>
  <c r="M47" i="20"/>
  <c r="M40" i="20"/>
  <c r="Z52" i="20"/>
  <c r="Z20" i="20"/>
  <c r="G42" i="20"/>
  <c r="G49" i="20"/>
  <c r="I41" i="20"/>
  <c r="I48" i="20"/>
  <c r="M43" i="20"/>
  <c r="M50" i="20"/>
  <c r="R52" i="20"/>
  <c r="R20" i="20"/>
  <c r="M49" i="20"/>
  <c r="M42" i="20"/>
  <c r="N12" i="20"/>
  <c r="Y25" i="20"/>
  <c r="Y22" i="20"/>
  <c r="Y21" i="20"/>
  <c r="Y24" i="20"/>
  <c r="Y23" i="20"/>
  <c r="Y55" i="20"/>
  <c r="Y35" i="20"/>
  <c r="Y32" i="20"/>
  <c r="Y29" i="20"/>
  <c r="Y31" i="20"/>
  <c r="Y33" i="20"/>
  <c r="Y30" i="20"/>
  <c r="F33" i="20"/>
  <c r="F21" i="20"/>
  <c r="F52" i="20"/>
  <c r="F32" i="20"/>
  <c r="F22" i="20"/>
  <c r="F31" i="20"/>
  <c r="F30" i="20"/>
  <c r="F29" i="20"/>
  <c r="F35" i="20"/>
  <c r="F25" i="20"/>
  <c r="F24" i="20"/>
  <c r="F23" i="20"/>
  <c r="G28" i="20"/>
  <c r="I50" i="20"/>
  <c r="I43" i="20"/>
  <c r="M28" i="20"/>
  <c r="S24" i="20"/>
  <c r="S31" i="20"/>
  <c r="S23" i="20"/>
  <c r="S35" i="20"/>
  <c r="S33" i="20"/>
  <c r="S32" i="20"/>
  <c r="S22" i="20"/>
  <c r="S21" i="20"/>
  <c r="S55" i="20"/>
  <c r="S29" i="20"/>
  <c r="S25" i="20"/>
  <c r="S30" i="20"/>
  <c r="AF5" i="20"/>
  <c r="AF55" i="20" s="1"/>
  <c r="AF6" i="20"/>
  <c r="W41" i="18"/>
  <c r="Q33" i="18"/>
  <c r="U33" i="18"/>
  <c r="U31" i="18"/>
  <c r="Q32" i="18"/>
  <c r="U30" i="18"/>
  <c r="U32" i="18"/>
  <c r="Q31" i="18"/>
  <c r="AB31" i="17"/>
  <c r="AB25" i="17"/>
  <c r="AB24" i="17"/>
  <c r="AC5" i="17"/>
  <c r="AC34" i="17" s="1"/>
  <c r="AE4" i="17"/>
  <c r="AF4" i="17" s="1"/>
  <c r="AD17" i="17"/>
  <c r="AD13" i="17"/>
  <c r="AD18" i="17" s="1"/>
  <c r="AD15" i="17"/>
  <c r="AD16" i="17"/>
  <c r="S6" i="17"/>
  <c r="U44" i="18"/>
  <c r="U29" i="18" s="1"/>
  <c r="Q66" i="18"/>
  <c r="Q67" i="18"/>
  <c r="I48" i="18"/>
  <c r="I46" i="18"/>
  <c r="I47" i="18"/>
  <c r="I22" i="18"/>
  <c r="I45" i="18"/>
  <c r="I26" i="18"/>
  <c r="I25" i="18"/>
  <c r="I24" i="18"/>
  <c r="I23" i="18"/>
  <c r="I49" i="18"/>
  <c r="I71" i="18"/>
  <c r="K21" i="18"/>
  <c r="W49" i="18"/>
  <c r="W22" i="18"/>
  <c r="W58" i="18" s="1"/>
  <c r="W26" i="18"/>
  <c r="W62" i="18" s="1"/>
  <c r="W46" i="18"/>
  <c r="W47" i="18"/>
  <c r="W48" i="18"/>
  <c r="W24" i="18"/>
  <c r="W60" i="18" s="1"/>
  <c r="W45" i="18"/>
  <c r="W25" i="18"/>
  <c r="W61" i="18" s="1"/>
  <c r="W23" i="18"/>
  <c r="W59" i="18" s="1"/>
  <c r="U67" i="18"/>
  <c r="P21" i="18"/>
  <c r="P39" i="18" s="1"/>
  <c r="R19" i="18"/>
  <c r="Q68" i="18"/>
  <c r="U70" i="18"/>
  <c r="Q44" i="18"/>
  <c r="Q29" i="18" s="1"/>
  <c r="AG7" i="18"/>
  <c r="U68" i="18"/>
  <c r="U66" i="18"/>
  <c r="Q69" i="18"/>
  <c r="V21" i="18"/>
  <c r="V39" i="18" s="1"/>
  <c r="V71" i="18"/>
  <c r="X19" i="18"/>
  <c r="U69" i="18"/>
  <c r="Q70" i="18"/>
  <c r="Y6" i="17"/>
  <c r="E19" i="17"/>
  <c r="G19" i="17" s="1"/>
  <c r="G12" i="17"/>
  <c r="W30" i="17"/>
  <c r="W20" i="17"/>
  <c r="Q20" i="17"/>
  <c r="S20" i="17" s="1"/>
  <c r="S104" i="17" s="1"/>
  <c r="Q30" i="17"/>
  <c r="S30" i="17" s="1"/>
  <c r="AC14" i="17"/>
  <c r="AE14" i="17" s="1"/>
  <c r="AF14" i="17" s="1"/>
  <c r="AC15" i="17"/>
  <c r="AC16" i="17"/>
  <c r="AC13" i="17"/>
  <c r="AC17" i="17"/>
  <c r="K18" i="17"/>
  <c r="M18" i="17" s="1"/>
  <c r="K12" i="17"/>
  <c r="S18" i="17"/>
  <c r="AE6" i="17"/>
  <c r="H12" i="17"/>
  <c r="Z12" i="17" s="1"/>
  <c r="AA19" i="17"/>
  <c r="C30" i="17"/>
  <c r="C31" i="17"/>
  <c r="C29" i="17"/>
  <c r="AA18" i="17"/>
  <c r="Y18" i="17"/>
  <c r="U20" i="17"/>
  <c r="U30" i="17"/>
  <c r="X27" i="17"/>
  <c r="X26" i="17"/>
  <c r="X31" i="17"/>
  <c r="X23" i="17"/>
  <c r="X25" i="17"/>
  <c r="X24" i="17"/>
  <c r="F28" i="17"/>
  <c r="D28" i="17"/>
  <c r="F22" i="17"/>
  <c r="P22" i="17"/>
  <c r="D22" i="17"/>
  <c r="J22" i="17"/>
  <c r="I24" i="17"/>
  <c r="I31" i="17"/>
  <c r="I30" i="17"/>
  <c r="I27" i="17"/>
  <c r="I23" i="17"/>
  <c r="I34" i="17"/>
  <c r="M34" i="17" s="1"/>
  <c r="I26" i="17"/>
  <c r="I25" i="17"/>
  <c r="J28" i="17"/>
  <c r="O34" i="17"/>
  <c r="S34" i="17" s="1"/>
  <c r="O31" i="17"/>
  <c r="O26" i="17"/>
  <c r="O23" i="17"/>
  <c r="O25" i="17"/>
  <c r="O24" i="17"/>
  <c r="O27" i="17"/>
  <c r="C25" i="17"/>
  <c r="C23" i="17"/>
  <c r="C27" i="17"/>
  <c r="C26" i="17"/>
  <c r="C24" i="17"/>
  <c r="L20" i="17"/>
  <c r="R27" i="17"/>
  <c r="R24" i="17"/>
  <c r="R23" i="17"/>
  <c r="R25" i="17"/>
  <c r="R26" i="17"/>
  <c r="S5" i="7"/>
  <c r="O16" i="7"/>
  <c r="F24" i="7"/>
  <c r="F20" i="7"/>
  <c r="K20" i="7"/>
  <c r="K24" i="7"/>
  <c r="E20" i="7"/>
  <c r="E24" i="7"/>
  <c r="L20" i="7"/>
  <c r="L24" i="7"/>
  <c r="I22" i="7"/>
  <c r="M22" i="7" s="1"/>
  <c r="I19" i="7"/>
  <c r="M19" i="7" s="1"/>
  <c r="I21" i="7"/>
  <c r="M21" i="7" s="1"/>
  <c r="C21" i="7"/>
  <c r="C22" i="7"/>
  <c r="G16" i="7"/>
  <c r="G12" i="7"/>
  <c r="Q44" i="32" l="1"/>
  <c r="O32" i="30"/>
  <c r="AN5" i="32"/>
  <c r="O33" i="30"/>
  <c r="O61" i="30"/>
  <c r="O59" i="30"/>
  <c r="Q60" i="32"/>
  <c r="AJ46" i="31"/>
  <c r="AJ24" i="31"/>
  <c r="AJ71" i="31"/>
  <c r="AJ41" i="31" s="1"/>
  <c r="O68" i="30"/>
  <c r="AL22" i="30"/>
  <c r="O65" i="18"/>
  <c r="O31" i="30"/>
  <c r="AJ47" i="31"/>
  <c r="AJ45" i="31"/>
  <c r="AK166" i="32"/>
  <c r="Q58" i="32"/>
  <c r="X41" i="36"/>
  <c r="AJ49" i="31"/>
  <c r="AJ76" i="31"/>
  <c r="AN71" i="36"/>
  <c r="AN41" i="36" s="1"/>
  <c r="AN64" i="30"/>
  <c r="AN39" i="36"/>
  <c r="AL47" i="30"/>
  <c r="Q30" i="32"/>
  <c r="AL24" i="30"/>
  <c r="AL60" i="30" s="1"/>
  <c r="AL23" i="30"/>
  <c r="J31" i="32"/>
  <c r="AL26" i="30"/>
  <c r="AL11" i="18"/>
  <c r="AL25" i="30"/>
  <c r="AN24" i="36"/>
  <c r="AN60" i="36" s="1"/>
  <c r="AL48" i="30"/>
  <c r="AL33" i="30" s="1"/>
  <c r="AE64" i="18"/>
  <c r="AG64" i="18" s="1"/>
  <c r="AD169" i="18"/>
  <c r="AC169" i="18"/>
  <c r="AF169" i="18"/>
  <c r="AE169" i="18"/>
  <c r="AE53" i="18"/>
  <c r="AG53" i="18" s="1"/>
  <c r="AK7" i="18"/>
  <c r="AK16" i="18" s="1"/>
  <c r="AM16" i="18" s="1"/>
  <c r="AN16" i="18" s="1"/>
  <c r="X167" i="18"/>
  <c r="AE19" i="18"/>
  <c r="AE52" i="18" s="1"/>
  <c r="AE37" i="18" s="1"/>
  <c r="AE8" i="18"/>
  <c r="AG8" i="18" s="1"/>
  <c r="AM5" i="18"/>
  <c r="AN5" i="18" s="1"/>
  <c r="D45" i="37"/>
  <c r="D47" i="37" s="1"/>
  <c r="K150" i="18"/>
  <c r="C5" i="63"/>
  <c r="B2" i="63"/>
  <c r="C21" i="62"/>
  <c r="C18" i="62" s="1"/>
  <c r="AP64" i="36"/>
  <c r="O44" i="30"/>
  <c r="O29" i="30" s="1"/>
  <c r="R13" i="31"/>
  <c r="O33" i="32"/>
  <c r="V56" i="32"/>
  <c r="AN22" i="36"/>
  <c r="AN58" i="36" s="1"/>
  <c r="R33" i="36"/>
  <c r="H33" i="31"/>
  <c r="AL166" i="32"/>
  <c r="AJ25" i="31"/>
  <c r="AJ61" i="31" s="1"/>
  <c r="AI212" i="36"/>
  <c r="AG212" i="36" s="1"/>
  <c r="AG211" i="36" s="1"/>
  <c r="AG63" i="36" s="1"/>
  <c r="AG56" i="36" s="1"/>
  <c r="AJ39" i="31"/>
  <c r="R20" i="32"/>
  <c r="L20" i="32" s="1"/>
  <c r="C31" i="44"/>
  <c r="O31" i="32"/>
  <c r="AF33" i="30"/>
  <c r="Z37" i="36"/>
  <c r="H33" i="30"/>
  <c r="AJ48" i="31"/>
  <c r="K33" i="36"/>
  <c r="E31" i="44"/>
  <c r="R32" i="36"/>
  <c r="AN45" i="36"/>
  <c r="T49" i="36"/>
  <c r="J32" i="32"/>
  <c r="AK6" i="32"/>
  <c r="AK76" i="32" s="1"/>
  <c r="J33" i="31"/>
  <c r="R13" i="32"/>
  <c r="AN49" i="36"/>
  <c r="W41" i="31"/>
  <c r="Z71" i="36"/>
  <c r="Z41" i="36" s="1"/>
  <c r="X39" i="36"/>
  <c r="AN46" i="36"/>
  <c r="R20" i="31"/>
  <c r="L20" i="31" s="1"/>
  <c r="J65" i="36"/>
  <c r="J55" i="36" s="1"/>
  <c r="J40" i="36" s="1"/>
  <c r="AN48" i="36"/>
  <c r="AN25" i="36"/>
  <c r="AN69" i="36" s="1"/>
  <c r="H31" i="32"/>
  <c r="J31" i="31"/>
  <c r="AK13" i="31"/>
  <c r="AK20" i="31" s="1"/>
  <c r="AK21" i="31" s="1"/>
  <c r="AK39" i="31" s="1"/>
  <c r="AN47" i="36"/>
  <c r="Q33" i="31"/>
  <c r="AN23" i="36"/>
  <c r="AN67" i="36" s="1"/>
  <c r="O32" i="31"/>
  <c r="AI166" i="32"/>
  <c r="AH41" i="36"/>
  <c r="R31" i="36"/>
  <c r="V33" i="36"/>
  <c r="AE24" i="36"/>
  <c r="AE46" i="36"/>
  <c r="AE22" i="36"/>
  <c r="AE26" i="36"/>
  <c r="AE49" i="36"/>
  <c r="AE48" i="36"/>
  <c r="AE45" i="36"/>
  <c r="AE25" i="36"/>
  <c r="AE47" i="36"/>
  <c r="AE23" i="36"/>
  <c r="AE77" i="36"/>
  <c r="AI21" i="36"/>
  <c r="AI39" i="36" s="1"/>
  <c r="Y59" i="36"/>
  <c r="Y67" i="36"/>
  <c r="P31" i="36"/>
  <c r="T46" i="36"/>
  <c r="AG46" i="36"/>
  <c r="AG24" i="36"/>
  <c r="AG26" i="36"/>
  <c r="AG49" i="36"/>
  <c r="AG23" i="36"/>
  <c r="AG47" i="36"/>
  <c r="AG45" i="36"/>
  <c r="AG22" i="36"/>
  <c r="AG25" i="36"/>
  <c r="AG48" i="36"/>
  <c r="V67" i="36"/>
  <c r="V59" i="36"/>
  <c r="I29" i="36"/>
  <c r="AE37" i="36"/>
  <c r="AI52" i="36"/>
  <c r="AI37" i="36" s="1"/>
  <c r="Y68" i="36"/>
  <c r="Y60" i="36"/>
  <c r="K58" i="36"/>
  <c r="M58" i="36" s="1"/>
  <c r="K66" i="36"/>
  <c r="M37" i="36"/>
  <c r="M101" i="36"/>
  <c r="W67" i="36"/>
  <c r="W59" i="36"/>
  <c r="P66" i="36"/>
  <c r="P58" i="36"/>
  <c r="T22" i="36"/>
  <c r="AG37" i="36"/>
  <c r="V70" i="36"/>
  <c r="V62" i="36"/>
  <c r="Y69" i="36"/>
  <c r="Y61" i="36"/>
  <c r="K67" i="36"/>
  <c r="M67" i="36" s="1"/>
  <c r="K59" i="36"/>
  <c r="M59" i="36" s="1"/>
  <c r="W60" i="36"/>
  <c r="W68" i="36"/>
  <c r="F21" i="36"/>
  <c r="N21" i="36"/>
  <c r="T194" i="36"/>
  <c r="P67" i="36"/>
  <c r="P59" i="36"/>
  <c r="T23" i="36"/>
  <c r="AG41" i="36"/>
  <c r="X64" i="32"/>
  <c r="H32" i="31"/>
  <c r="AP53" i="36"/>
  <c r="V58" i="36"/>
  <c r="V66" i="36"/>
  <c r="Y70" i="36"/>
  <c r="Y62" i="36"/>
  <c r="K44" i="36"/>
  <c r="K29" i="36" s="1"/>
  <c r="K30" i="36"/>
  <c r="W69" i="36"/>
  <c r="W61" i="36"/>
  <c r="P68" i="36"/>
  <c r="P60" i="36"/>
  <c r="T24" i="36"/>
  <c r="AF41" i="31"/>
  <c r="AJ32" i="31"/>
  <c r="V60" i="36"/>
  <c r="V68" i="36"/>
  <c r="F20" i="36"/>
  <c r="N20" i="36"/>
  <c r="M24" i="36"/>
  <c r="K68" i="36"/>
  <c r="M68" i="36" s="1"/>
  <c r="K60" i="36"/>
  <c r="M60" i="36" s="1"/>
  <c r="W70" i="36"/>
  <c r="W62" i="36"/>
  <c r="P30" i="36"/>
  <c r="P44" i="36"/>
  <c r="T45" i="36"/>
  <c r="T249" i="36"/>
  <c r="T108" i="36"/>
  <c r="V32" i="36"/>
  <c r="K62" i="36"/>
  <c r="M62" i="36" s="1"/>
  <c r="K70" i="36"/>
  <c r="M70" i="36" s="1"/>
  <c r="J57" i="36"/>
  <c r="M22" i="36"/>
  <c r="W32" i="36"/>
  <c r="P41" i="36"/>
  <c r="T71" i="36"/>
  <c r="I194" i="36"/>
  <c r="I54" i="36" s="1"/>
  <c r="L194" i="36"/>
  <c r="L54" i="36" s="1"/>
  <c r="K194" i="36"/>
  <c r="K54" i="36" s="1"/>
  <c r="J194" i="36"/>
  <c r="J54" i="36" s="1"/>
  <c r="R68" i="36"/>
  <c r="R60" i="36"/>
  <c r="Q31" i="31"/>
  <c r="V69" i="36"/>
  <c r="V61" i="36"/>
  <c r="Y31" i="36"/>
  <c r="AF46" i="36"/>
  <c r="AF77" i="36"/>
  <c r="AF47" i="36"/>
  <c r="AF25" i="36"/>
  <c r="AF22" i="36"/>
  <c r="AF26" i="36"/>
  <c r="AF24" i="36"/>
  <c r="AF45" i="36"/>
  <c r="AF23" i="36"/>
  <c r="AF49" i="36"/>
  <c r="AF48" i="36"/>
  <c r="I57" i="36"/>
  <c r="W30" i="36"/>
  <c r="W44" i="36"/>
  <c r="T37" i="36"/>
  <c r="T101" i="36"/>
  <c r="R44" i="36"/>
  <c r="R30" i="36"/>
  <c r="J31" i="30"/>
  <c r="O33" i="31"/>
  <c r="W194" i="36"/>
  <c r="V194" i="36"/>
  <c r="Y194" i="36"/>
  <c r="X194" i="36"/>
  <c r="AL77" i="36"/>
  <c r="AL46" i="36"/>
  <c r="AL71" i="36"/>
  <c r="AL41" i="36" s="1"/>
  <c r="AL49" i="36"/>
  <c r="AL25" i="36"/>
  <c r="AL24" i="36"/>
  <c r="AL45" i="36"/>
  <c r="AL22" i="36"/>
  <c r="AL47" i="36"/>
  <c r="AL48" i="36"/>
  <c r="AL26" i="36"/>
  <c r="AL23" i="36"/>
  <c r="M47" i="36"/>
  <c r="K32" i="36"/>
  <c r="AF37" i="36"/>
  <c r="I65" i="36"/>
  <c r="W58" i="36"/>
  <c r="W66" i="36"/>
  <c r="P32" i="36"/>
  <c r="T47" i="36"/>
  <c r="X37" i="36"/>
  <c r="AO195" i="36"/>
  <c r="R62" i="36"/>
  <c r="R70" i="36"/>
  <c r="AD32" i="31"/>
  <c r="V44" i="36"/>
  <c r="V30" i="36"/>
  <c r="AL37" i="36"/>
  <c r="Y32" i="36"/>
  <c r="AM45" i="36"/>
  <c r="AM49" i="36"/>
  <c r="AM22" i="36"/>
  <c r="AM25" i="36"/>
  <c r="AM23" i="36"/>
  <c r="AM47" i="36"/>
  <c r="AM26" i="36"/>
  <c r="AM24" i="36"/>
  <c r="AM48" i="36"/>
  <c r="AM71" i="36"/>
  <c r="AM41" i="36" s="1"/>
  <c r="AM46" i="36"/>
  <c r="T39" i="36"/>
  <c r="L65" i="36"/>
  <c r="L55" i="36" s="1"/>
  <c r="L40" i="36" s="1"/>
  <c r="J29" i="36"/>
  <c r="AF41" i="36"/>
  <c r="W33" i="36"/>
  <c r="Z39" i="36"/>
  <c r="P33" i="36"/>
  <c r="T48" i="36"/>
  <c r="Q57" i="36"/>
  <c r="R58" i="36"/>
  <c r="R66" i="36"/>
  <c r="H33" i="32"/>
  <c r="AJ22" i="31"/>
  <c r="AJ30" i="31" s="1"/>
  <c r="AF32" i="30"/>
  <c r="AD31" i="31"/>
  <c r="V31" i="36"/>
  <c r="Y44" i="36"/>
  <c r="Y30" i="36"/>
  <c r="AM37" i="36"/>
  <c r="K69" i="36"/>
  <c r="M69" i="36" s="1"/>
  <c r="K61" i="36"/>
  <c r="M61" i="36" s="1"/>
  <c r="L57" i="36"/>
  <c r="Q29" i="36"/>
  <c r="AM39" i="36"/>
  <c r="X26" i="36"/>
  <c r="Z26" i="36" s="1"/>
  <c r="X25" i="36"/>
  <c r="Z25" i="36" s="1"/>
  <c r="X24" i="36"/>
  <c r="Z24" i="36" s="1"/>
  <c r="X23" i="36"/>
  <c r="X22" i="36"/>
  <c r="Z22" i="36" s="1"/>
  <c r="X48" i="36"/>
  <c r="X49" i="36"/>
  <c r="Z49" i="36" s="1"/>
  <c r="X46" i="36"/>
  <c r="Z46" i="36" s="1"/>
  <c r="X47" i="36"/>
  <c r="X45" i="36"/>
  <c r="Q65" i="36"/>
  <c r="Q55" i="36" s="1"/>
  <c r="Q40" i="36" s="1"/>
  <c r="W41" i="32"/>
  <c r="AJ23" i="31"/>
  <c r="AJ67" i="31" s="1"/>
  <c r="AD33" i="31"/>
  <c r="AE39" i="36"/>
  <c r="AA19" i="36"/>
  <c r="Y33" i="36"/>
  <c r="M46" i="36"/>
  <c r="K31" i="36"/>
  <c r="M23" i="36"/>
  <c r="AF39" i="36"/>
  <c r="AK52" i="36"/>
  <c r="AO19" i="36"/>
  <c r="AB19" i="36" s="1"/>
  <c r="AH37" i="36"/>
  <c r="W31" i="36"/>
  <c r="P69" i="36"/>
  <c r="P61" i="36"/>
  <c r="T25" i="36"/>
  <c r="AG39" i="36"/>
  <c r="M71" i="36"/>
  <c r="R69" i="36"/>
  <c r="R61" i="36"/>
  <c r="H32" i="30"/>
  <c r="H32" i="32"/>
  <c r="U41" i="31"/>
  <c r="M45" i="36"/>
  <c r="AE41" i="36"/>
  <c r="AI71" i="36"/>
  <c r="Y58" i="36"/>
  <c r="Y66" i="36"/>
  <c r="M48" i="36"/>
  <c r="M33" i="36" s="1"/>
  <c r="AK20" i="36"/>
  <c r="AO20" i="36" s="1"/>
  <c r="AO13" i="36"/>
  <c r="AP13" i="36" s="1"/>
  <c r="AH24" i="36"/>
  <c r="AH23" i="36"/>
  <c r="AH22" i="36"/>
  <c r="AH25" i="36"/>
  <c r="AH26" i="36"/>
  <c r="AH45" i="36"/>
  <c r="AH49" i="36"/>
  <c r="AH48" i="36"/>
  <c r="AH47" i="36"/>
  <c r="AH46" i="36"/>
  <c r="Z77" i="36"/>
  <c r="M26" i="36"/>
  <c r="P62" i="36"/>
  <c r="P70" i="36"/>
  <c r="T26" i="36"/>
  <c r="AN62" i="36"/>
  <c r="AN70" i="36"/>
  <c r="R67" i="36"/>
  <c r="R59" i="36"/>
  <c r="R63" i="18"/>
  <c r="O56" i="18"/>
  <c r="AG11" i="18"/>
  <c r="AJ65" i="30"/>
  <c r="AE41" i="30"/>
  <c r="AD31" i="30"/>
  <c r="AD32" i="30"/>
  <c r="W41" i="30"/>
  <c r="U41" i="30"/>
  <c r="Q31" i="30"/>
  <c r="X56" i="18"/>
  <c r="K45" i="18"/>
  <c r="Y20" i="32"/>
  <c r="G68" i="30"/>
  <c r="G60" i="30"/>
  <c r="Q59" i="30"/>
  <c r="Q67" i="30"/>
  <c r="U48" i="30"/>
  <c r="U45" i="30"/>
  <c r="U49" i="30"/>
  <c r="U46" i="30"/>
  <c r="U25" i="30"/>
  <c r="U22" i="30"/>
  <c r="U23" i="30"/>
  <c r="U26" i="30"/>
  <c r="U76" i="30"/>
  <c r="U24" i="30"/>
  <c r="U47" i="30"/>
  <c r="V71" i="31"/>
  <c r="X71" i="31" s="1"/>
  <c r="V21" i="31"/>
  <c r="X21" i="31" s="1"/>
  <c r="X147" i="31" s="1"/>
  <c r="V52" i="31"/>
  <c r="X52" i="31" s="1"/>
  <c r="J61" i="32"/>
  <c r="J69" i="32"/>
  <c r="W26" i="30"/>
  <c r="W46" i="30"/>
  <c r="W25" i="30"/>
  <c r="W22" i="30"/>
  <c r="W23" i="30"/>
  <c r="W24" i="30"/>
  <c r="W47" i="30"/>
  <c r="W45" i="30"/>
  <c r="W49" i="30"/>
  <c r="W48" i="30"/>
  <c r="AC21" i="30"/>
  <c r="AG19" i="30"/>
  <c r="AC52" i="30"/>
  <c r="AC71" i="30"/>
  <c r="K56" i="32"/>
  <c r="J60" i="30"/>
  <c r="J68" i="30"/>
  <c r="AI64" i="32"/>
  <c r="AI18" i="32"/>
  <c r="AI16" i="32"/>
  <c r="AI14" i="32"/>
  <c r="AI13" i="32" s="1"/>
  <c r="AI17" i="32"/>
  <c r="AI15" i="32"/>
  <c r="AM7" i="32"/>
  <c r="AN7" i="32" s="1"/>
  <c r="AI53" i="32"/>
  <c r="G70" i="30"/>
  <c r="G62" i="30"/>
  <c r="AL68" i="30"/>
  <c r="H58" i="31"/>
  <c r="H66" i="31"/>
  <c r="H44" i="32"/>
  <c r="H29" i="32" s="1"/>
  <c r="H30" i="32"/>
  <c r="J70" i="32"/>
  <c r="J62" i="32"/>
  <c r="AL18" i="32"/>
  <c r="AL64" i="32"/>
  <c r="AL14" i="32"/>
  <c r="AL19" i="32" s="1"/>
  <c r="AL17" i="32"/>
  <c r="AL15" i="32"/>
  <c r="AL16" i="32"/>
  <c r="AL53" i="32"/>
  <c r="AJ70" i="31"/>
  <c r="AJ62" i="31"/>
  <c r="J70" i="30"/>
  <c r="J62" i="30"/>
  <c r="Q65" i="32"/>
  <c r="Q55" i="32" s="1"/>
  <c r="Q40" i="32" s="1"/>
  <c r="J68" i="31"/>
  <c r="J60" i="31"/>
  <c r="W24" i="31"/>
  <c r="W47" i="31"/>
  <c r="W49" i="31"/>
  <c r="W25" i="31"/>
  <c r="W48" i="31"/>
  <c r="W22" i="31"/>
  <c r="W46" i="31"/>
  <c r="W45" i="31"/>
  <c r="W23" i="31"/>
  <c r="W26" i="31"/>
  <c r="G66" i="30"/>
  <c r="G58" i="30"/>
  <c r="G58" i="32"/>
  <c r="G66" i="32"/>
  <c r="Q68" i="30"/>
  <c r="Q60" i="30"/>
  <c r="O32" i="32"/>
  <c r="J69" i="31"/>
  <c r="J61" i="31"/>
  <c r="AJ13" i="32"/>
  <c r="AJ20" i="32" s="1"/>
  <c r="AJ21" i="32" s="1"/>
  <c r="AJ39" i="32" s="1"/>
  <c r="V52" i="32"/>
  <c r="X52" i="32" s="1"/>
  <c r="V71" i="32"/>
  <c r="V21" i="32"/>
  <c r="X21" i="32" s="1"/>
  <c r="X147" i="32" s="1"/>
  <c r="AL67" i="30"/>
  <c r="AL59" i="30"/>
  <c r="H62" i="31"/>
  <c r="H70" i="31"/>
  <c r="AK37" i="31"/>
  <c r="AE52" i="31"/>
  <c r="AE71" i="31"/>
  <c r="AE21" i="31"/>
  <c r="AE39" i="31" s="1"/>
  <c r="AK6" i="31"/>
  <c r="AK76" i="31" s="1"/>
  <c r="AF71" i="32"/>
  <c r="AF21" i="32"/>
  <c r="AF39" i="32" s="1"/>
  <c r="AF52" i="32"/>
  <c r="X164" i="32"/>
  <c r="T63" i="32"/>
  <c r="AJ68" i="31"/>
  <c r="AJ60" i="31"/>
  <c r="J67" i="30"/>
  <c r="J59" i="30"/>
  <c r="U25" i="31"/>
  <c r="U45" i="31"/>
  <c r="U47" i="31"/>
  <c r="U76" i="31"/>
  <c r="U49" i="31"/>
  <c r="U23" i="31"/>
  <c r="U48" i="31"/>
  <c r="U22" i="31"/>
  <c r="U46" i="31"/>
  <c r="U24" i="31"/>
  <c r="U26" i="31"/>
  <c r="AC71" i="32"/>
  <c r="AC21" i="32"/>
  <c r="AC39" i="32" s="1"/>
  <c r="AC52" i="32"/>
  <c r="Q67" i="31"/>
  <c r="Q59" i="31"/>
  <c r="W37" i="31"/>
  <c r="G33" i="32"/>
  <c r="G69" i="32"/>
  <c r="G61" i="32"/>
  <c r="Q61" i="30"/>
  <c r="Q69" i="30"/>
  <c r="G32" i="30"/>
  <c r="G68" i="32"/>
  <c r="G60" i="32"/>
  <c r="O70" i="32"/>
  <c r="O62" i="32"/>
  <c r="J58" i="31"/>
  <c r="J66" i="31"/>
  <c r="AL70" i="30"/>
  <c r="AL62" i="30"/>
  <c r="AM53" i="30"/>
  <c r="Y20" i="30"/>
  <c r="AJ44" i="31"/>
  <c r="T37" i="31"/>
  <c r="U37" i="31"/>
  <c r="AF30" i="30"/>
  <c r="AF44" i="30"/>
  <c r="Q70" i="30"/>
  <c r="Q62" i="30"/>
  <c r="O68" i="32"/>
  <c r="O60" i="32"/>
  <c r="J44" i="31"/>
  <c r="J29" i="31" s="1"/>
  <c r="J30" i="31"/>
  <c r="AJ52" i="32"/>
  <c r="AL61" i="30"/>
  <c r="AL69" i="30"/>
  <c r="H67" i="31"/>
  <c r="H59" i="31"/>
  <c r="H44" i="30"/>
  <c r="H29" i="30" s="1"/>
  <c r="H30" i="30"/>
  <c r="T24" i="30"/>
  <c r="T25" i="30"/>
  <c r="T46" i="30"/>
  <c r="T45" i="30"/>
  <c r="T76" i="30"/>
  <c r="T49" i="30"/>
  <c r="T47" i="30"/>
  <c r="T22" i="30"/>
  <c r="T48" i="30"/>
  <c r="T23" i="30"/>
  <c r="T26" i="30"/>
  <c r="J58" i="32"/>
  <c r="J66" i="32"/>
  <c r="J61" i="30"/>
  <c r="J69" i="30"/>
  <c r="O59" i="31"/>
  <c r="O67" i="31"/>
  <c r="T39" i="31"/>
  <c r="T49" i="31"/>
  <c r="T24" i="31"/>
  <c r="T26" i="31"/>
  <c r="T76" i="31"/>
  <c r="T48" i="31"/>
  <c r="T25" i="31"/>
  <c r="T23" i="31"/>
  <c r="T45" i="31"/>
  <c r="T46" i="31"/>
  <c r="T22" i="31"/>
  <c r="T47" i="31"/>
  <c r="AD30" i="30"/>
  <c r="AD44" i="30"/>
  <c r="R13" i="30"/>
  <c r="I37" i="30"/>
  <c r="AF66" i="30"/>
  <c r="AF58" i="30"/>
  <c r="G33" i="30"/>
  <c r="G44" i="32"/>
  <c r="G30" i="32"/>
  <c r="I37" i="31"/>
  <c r="O66" i="32"/>
  <c r="O58" i="32"/>
  <c r="W37" i="32"/>
  <c r="AL30" i="30"/>
  <c r="AL44" i="30"/>
  <c r="H31" i="31"/>
  <c r="H59" i="30"/>
  <c r="H67" i="30"/>
  <c r="N37" i="32"/>
  <c r="R52" i="32"/>
  <c r="R37" i="32" s="1"/>
  <c r="T37" i="30"/>
  <c r="AI13" i="30"/>
  <c r="AM14" i="30"/>
  <c r="AN14" i="30" s="1"/>
  <c r="AI19" i="30"/>
  <c r="J30" i="32"/>
  <c r="J44" i="32"/>
  <c r="AD45" i="32"/>
  <c r="AD46" i="32"/>
  <c r="AD26" i="32"/>
  <c r="AD22" i="32"/>
  <c r="AD49" i="32"/>
  <c r="AD23" i="32"/>
  <c r="AD25" i="32"/>
  <c r="AD48" i="32"/>
  <c r="AD47" i="32"/>
  <c r="AD24" i="32"/>
  <c r="AD76" i="32"/>
  <c r="J32" i="30"/>
  <c r="O70" i="31"/>
  <c r="O62" i="31"/>
  <c r="T41" i="31"/>
  <c r="AD69" i="30"/>
  <c r="AD61" i="30"/>
  <c r="R20" i="30"/>
  <c r="L20" i="30" s="1"/>
  <c r="I22" i="30"/>
  <c r="K22" i="30" s="1"/>
  <c r="I71" i="30"/>
  <c r="I41" i="30" s="1"/>
  <c r="I47" i="30"/>
  <c r="K47" i="30" s="1"/>
  <c r="I48" i="30"/>
  <c r="I26" i="30"/>
  <c r="I46" i="30"/>
  <c r="K46" i="30" s="1"/>
  <c r="I25" i="30"/>
  <c r="K25" i="30" s="1"/>
  <c r="I49" i="30"/>
  <c r="K49" i="30" s="1"/>
  <c r="I23" i="30"/>
  <c r="I24" i="30"/>
  <c r="I45" i="30"/>
  <c r="K45" i="30" s="1"/>
  <c r="I39" i="30"/>
  <c r="AF70" i="30"/>
  <c r="AF62" i="30"/>
  <c r="AD61" i="31"/>
  <c r="AD69" i="31"/>
  <c r="Q66" i="31"/>
  <c r="Q58" i="31"/>
  <c r="U37" i="32"/>
  <c r="E21" i="30"/>
  <c r="K147" i="30"/>
  <c r="K39" i="30"/>
  <c r="K147" i="32"/>
  <c r="E21" i="32"/>
  <c r="K39" i="32"/>
  <c r="I23" i="31"/>
  <c r="I25" i="31"/>
  <c r="I49" i="31"/>
  <c r="I71" i="31"/>
  <c r="I41" i="31" s="1"/>
  <c r="I45" i="31"/>
  <c r="I22" i="31"/>
  <c r="I46" i="31"/>
  <c r="I48" i="31"/>
  <c r="I26" i="31"/>
  <c r="I24" i="31"/>
  <c r="I47" i="31"/>
  <c r="I39" i="31"/>
  <c r="O30" i="32"/>
  <c r="O44" i="32"/>
  <c r="W39" i="32"/>
  <c r="W22" i="32"/>
  <c r="W24" i="32"/>
  <c r="W46" i="32"/>
  <c r="W49" i="32"/>
  <c r="W48" i="32"/>
  <c r="W23" i="32"/>
  <c r="W47" i="32"/>
  <c r="W26" i="32"/>
  <c r="W25" i="32"/>
  <c r="W45" i="32"/>
  <c r="H68" i="31"/>
  <c r="H60" i="31"/>
  <c r="H68" i="30"/>
  <c r="H60" i="30"/>
  <c r="AE64" i="32"/>
  <c r="AG64" i="32" s="1"/>
  <c r="AE53" i="32"/>
  <c r="AG53" i="32" s="1"/>
  <c r="AE19" i="32"/>
  <c r="H69" i="32"/>
  <c r="H61" i="32"/>
  <c r="N21" i="32"/>
  <c r="J67" i="32"/>
  <c r="J59" i="32"/>
  <c r="AD41" i="32"/>
  <c r="AJ57" i="30"/>
  <c r="AK26" i="30"/>
  <c r="AK23" i="30"/>
  <c r="AK25" i="30"/>
  <c r="AK22" i="30"/>
  <c r="AK24" i="30"/>
  <c r="AK71" i="30"/>
  <c r="AK41" i="30" s="1"/>
  <c r="AK46" i="30"/>
  <c r="AK45" i="30"/>
  <c r="AK49" i="30"/>
  <c r="AK48" i="30"/>
  <c r="AK47" i="30"/>
  <c r="O31" i="31"/>
  <c r="X19" i="31"/>
  <c r="AD70" i="30"/>
  <c r="AD62" i="30"/>
  <c r="X19" i="32"/>
  <c r="AF67" i="30"/>
  <c r="AF59" i="30"/>
  <c r="AD67" i="31"/>
  <c r="AD59" i="31"/>
  <c r="Q61" i="31"/>
  <c r="Q69" i="31"/>
  <c r="U25" i="32"/>
  <c r="U24" i="32"/>
  <c r="U23" i="32"/>
  <c r="U49" i="32"/>
  <c r="U76" i="32"/>
  <c r="U26" i="32"/>
  <c r="U22" i="32"/>
  <c r="U47" i="32"/>
  <c r="U48" i="32"/>
  <c r="U45" i="32"/>
  <c r="U46" i="32"/>
  <c r="G31" i="30"/>
  <c r="X53" i="32"/>
  <c r="O57" i="30"/>
  <c r="O56" i="30" s="1"/>
  <c r="H44" i="31"/>
  <c r="H29" i="31" s="1"/>
  <c r="H30" i="31"/>
  <c r="H66" i="30"/>
  <c r="H58" i="30"/>
  <c r="P37" i="32"/>
  <c r="AK64" i="32"/>
  <c r="AK16" i="32"/>
  <c r="AK17" i="32"/>
  <c r="AK15" i="32"/>
  <c r="AK14" i="32"/>
  <c r="AK19" i="32" s="1"/>
  <c r="AK52" i="32" s="1"/>
  <c r="AK18" i="32"/>
  <c r="AK53" i="32"/>
  <c r="T41" i="30"/>
  <c r="AN7" i="30"/>
  <c r="AG164" i="30" s="1"/>
  <c r="I37" i="32"/>
  <c r="AD37" i="32"/>
  <c r="X53" i="31"/>
  <c r="J44" i="30"/>
  <c r="J29" i="30" s="1"/>
  <c r="J30" i="30"/>
  <c r="AD67" i="30"/>
  <c r="AD59" i="30"/>
  <c r="T37" i="32"/>
  <c r="AF69" i="30"/>
  <c r="AF61" i="30"/>
  <c r="AI18" i="31"/>
  <c r="AM18" i="31" s="1"/>
  <c r="AN18" i="31" s="1"/>
  <c r="AI14" i="31"/>
  <c r="AI13" i="31" s="1"/>
  <c r="AI64" i="31"/>
  <c r="AM64" i="31" s="1"/>
  <c r="AI53" i="31"/>
  <c r="AM7" i="31"/>
  <c r="AN7" i="31" s="1"/>
  <c r="AG164" i="31" s="1"/>
  <c r="AI15" i="31"/>
  <c r="AM15" i="31" s="1"/>
  <c r="AN15" i="31" s="1"/>
  <c r="AI17" i="31"/>
  <c r="AM17" i="31" s="1"/>
  <c r="AN17" i="31" s="1"/>
  <c r="AI16" i="31"/>
  <c r="AM16" i="31" s="1"/>
  <c r="AN16" i="31" s="1"/>
  <c r="Q60" i="31"/>
  <c r="Q68" i="31"/>
  <c r="U41" i="32"/>
  <c r="G41" i="30"/>
  <c r="G67" i="32"/>
  <c r="G59" i="32"/>
  <c r="Q33" i="30"/>
  <c r="O61" i="32"/>
  <c r="O69" i="32"/>
  <c r="AE24" i="30"/>
  <c r="AE25" i="30"/>
  <c r="AE23" i="30"/>
  <c r="AE26" i="30"/>
  <c r="AE22" i="30"/>
  <c r="AE46" i="30"/>
  <c r="AE49" i="30"/>
  <c r="AE48" i="30"/>
  <c r="AE45" i="30"/>
  <c r="AE47" i="30"/>
  <c r="J70" i="31"/>
  <c r="J62" i="31"/>
  <c r="AL32" i="30"/>
  <c r="O65" i="30"/>
  <c r="H61" i="30"/>
  <c r="H69" i="30"/>
  <c r="P47" i="32"/>
  <c r="P26" i="32"/>
  <c r="P48" i="32"/>
  <c r="P25" i="32"/>
  <c r="P49" i="32"/>
  <c r="P45" i="32"/>
  <c r="P23" i="32"/>
  <c r="P46" i="32"/>
  <c r="P71" i="32"/>
  <c r="P41" i="32" s="1"/>
  <c r="P22" i="32"/>
  <c r="P24" i="32"/>
  <c r="H58" i="32"/>
  <c r="H66" i="32"/>
  <c r="AK23" i="31"/>
  <c r="AK71" i="31"/>
  <c r="AK41" i="31" s="1"/>
  <c r="AK22" i="31"/>
  <c r="AK26" i="31"/>
  <c r="AK24" i="31"/>
  <c r="AK45" i="31"/>
  <c r="AK25" i="31"/>
  <c r="AK46" i="31"/>
  <c r="AK47" i="31"/>
  <c r="AK49" i="31"/>
  <c r="AK48" i="31"/>
  <c r="AK6" i="30"/>
  <c r="AK76" i="30" s="1"/>
  <c r="J60" i="32"/>
  <c r="J68" i="32"/>
  <c r="I25" i="32"/>
  <c r="I49" i="32"/>
  <c r="K49" i="32" s="1"/>
  <c r="I48" i="32"/>
  <c r="K48" i="32" s="1"/>
  <c r="I46" i="32"/>
  <c r="I24" i="32"/>
  <c r="K24" i="32" s="1"/>
  <c r="I47" i="32"/>
  <c r="K47" i="32" s="1"/>
  <c r="I22" i="32"/>
  <c r="K22" i="32" s="1"/>
  <c r="I71" i="32"/>
  <c r="I41" i="32" s="1"/>
  <c r="I26" i="32"/>
  <c r="K26" i="32" s="1"/>
  <c r="I23" i="32"/>
  <c r="K23" i="32" s="1"/>
  <c r="I45" i="32"/>
  <c r="I39" i="32"/>
  <c r="P39" i="32"/>
  <c r="J33" i="30"/>
  <c r="N21" i="31"/>
  <c r="O69" i="31"/>
  <c r="O61" i="31"/>
  <c r="AG19" i="31"/>
  <c r="AC21" i="31"/>
  <c r="AC52" i="31"/>
  <c r="AC71" i="31"/>
  <c r="AD58" i="30"/>
  <c r="AD66" i="30"/>
  <c r="K52" i="32"/>
  <c r="K37" i="32" s="1"/>
  <c r="T24" i="32"/>
  <c r="T23" i="32"/>
  <c r="T22" i="32"/>
  <c r="T47" i="32"/>
  <c r="T46" i="32"/>
  <c r="T76" i="32"/>
  <c r="T26" i="32"/>
  <c r="T25" i="32"/>
  <c r="T48" i="32"/>
  <c r="T49" i="32"/>
  <c r="T45" i="32"/>
  <c r="AF60" i="30"/>
  <c r="AF68" i="30"/>
  <c r="AD70" i="31"/>
  <c r="AD62" i="31"/>
  <c r="Q32" i="31"/>
  <c r="G44" i="30"/>
  <c r="G30" i="30"/>
  <c r="N47" i="30"/>
  <c r="N23" i="30"/>
  <c r="N76" i="30"/>
  <c r="R76" i="30" s="1"/>
  <c r="R202" i="30" s="1"/>
  <c r="N48" i="30"/>
  <c r="N45" i="30"/>
  <c r="N49" i="30"/>
  <c r="N24" i="30"/>
  <c r="N26" i="30"/>
  <c r="R21" i="30"/>
  <c r="N22" i="30"/>
  <c r="N25" i="30"/>
  <c r="N46" i="30"/>
  <c r="N71" i="30"/>
  <c r="N39" i="30"/>
  <c r="G31" i="32"/>
  <c r="Q30" i="30"/>
  <c r="Q44" i="30"/>
  <c r="P24" i="30"/>
  <c r="P22" i="30"/>
  <c r="P49" i="30"/>
  <c r="P25" i="30"/>
  <c r="P71" i="30"/>
  <c r="P41" i="30" s="1"/>
  <c r="P45" i="30"/>
  <c r="P23" i="30"/>
  <c r="P48" i="30"/>
  <c r="P26" i="30"/>
  <c r="P46" i="30"/>
  <c r="P47" i="30"/>
  <c r="H69" i="31"/>
  <c r="H61" i="31"/>
  <c r="H31" i="30"/>
  <c r="H67" i="32"/>
  <c r="H59" i="32"/>
  <c r="G49" i="31"/>
  <c r="G47" i="31"/>
  <c r="G71" i="31"/>
  <c r="G26" i="31"/>
  <c r="G22" i="31"/>
  <c r="G45" i="31"/>
  <c r="G23" i="31"/>
  <c r="K21" i="31"/>
  <c r="G25" i="31"/>
  <c r="G48" i="31"/>
  <c r="G24" i="31"/>
  <c r="G46" i="31"/>
  <c r="G39" i="31"/>
  <c r="V71" i="30"/>
  <c r="X71" i="30" s="1"/>
  <c r="V21" i="30"/>
  <c r="X21" i="30" s="1"/>
  <c r="V52" i="30"/>
  <c r="X52" i="30" s="1"/>
  <c r="X37" i="30" s="1"/>
  <c r="O68" i="31"/>
  <c r="O60" i="31"/>
  <c r="AG53" i="31"/>
  <c r="AD60" i="30"/>
  <c r="AD68" i="30"/>
  <c r="T41" i="32"/>
  <c r="X71" i="32"/>
  <c r="AL25" i="31"/>
  <c r="AL71" i="31"/>
  <c r="AL41" i="31" s="1"/>
  <c r="AL22" i="31"/>
  <c r="AL23" i="31"/>
  <c r="AL45" i="31"/>
  <c r="AL26" i="31"/>
  <c r="AL24" i="31"/>
  <c r="AL49" i="31"/>
  <c r="AL46" i="31"/>
  <c r="AL47" i="31"/>
  <c r="AL48" i="31"/>
  <c r="AD66" i="31"/>
  <c r="AD58" i="31"/>
  <c r="Q62" i="31"/>
  <c r="Q70" i="31"/>
  <c r="G32" i="32"/>
  <c r="X63" i="18"/>
  <c r="G69" i="30"/>
  <c r="G61" i="30"/>
  <c r="N37" i="30"/>
  <c r="R52" i="30"/>
  <c r="R37" i="30" s="1"/>
  <c r="G41" i="32"/>
  <c r="Q32" i="30"/>
  <c r="O67" i="32"/>
  <c r="O59" i="32"/>
  <c r="AE37" i="30"/>
  <c r="J67" i="31"/>
  <c r="J59" i="31"/>
  <c r="AJ29" i="30"/>
  <c r="AL31" i="30"/>
  <c r="H70" i="32"/>
  <c r="H62" i="32"/>
  <c r="AF37" i="31"/>
  <c r="AJ69" i="31"/>
  <c r="R52" i="31"/>
  <c r="R37" i="31" s="1"/>
  <c r="N37" i="31"/>
  <c r="O44" i="31"/>
  <c r="O30" i="31"/>
  <c r="Y20" i="31"/>
  <c r="AD33" i="30"/>
  <c r="U39" i="32"/>
  <c r="W39" i="31"/>
  <c r="AD60" i="31"/>
  <c r="AD68" i="31"/>
  <c r="G67" i="30"/>
  <c r="G59" i="30"/>
  <c r="G70" i="32"/>
  <c r="G62" i="32"/>
  <c r="Q58" i="30"/>
  <c r="Q66" i="30"/>
  <c r="J32" i="31"/>
  <c r="AL58" i="30"/>
  <c r="AL66" i="30"/>
  <c r="U37" i="30"/>
  <c r="H62" i="30"/>
  <c r="H70" i="30"/>
  <c r="T39" i="30"/>
  <c r="H60" i="32"/>
  <c r="H68" i="32"/>
  <c r="AF25" i="31"/>
  <c r="AF26" i="31"/>
  <c r="AF24" i="31"/>
  <c r="AF22" i="31"/>
  <c r="AF45" i="31"/>
  <c r="AF46" i="31"/>
  <c r="AF23" i="31"/>
  <c r="AF49" i="31"/>
  <c r="AF47" i="31"/>
  <c r="AF48" i="31"/>
  <c r="J33" i="32"/>
  <c r="W37" i="30"/>
  <c r="P71" i="31"/>
  <c r="P41" i="31" s="1"/>
  <c r="P22" i="31"/>
  <c r="P48" i="31"/>
  <c r="P46" i="31"/>
  <c r="P25" i="31"/>
  <c r="P23" i="31"/>
  <c r="P26" i="31"/>
  <c r="P49" i="31"/>
  <c r="P45" i="31"/>
  <c r="P24" i="31"/>
  <c r="P47" i="31"/>
  <c r="AJ66" i="31"/>
  <c r="AJ58" i="31"/>
  <c r="J58" i="30"/>
  <c r="J66" i="30"/>
  <c r="AK39" i="30"/>
  <c r="Q29" i="32"/>
  <c r="O58" i="31"/>
  <c r="O66" i="31"/>
  <c r="AG64" i="31"/>
  <c r="AF31" i="30"/>
  <c r="AD30" i="31"/>
  <c r="AD44" i="31"/>
  <c r="Q30" i="31"/>
  <c r="Q44" i="31"/>
  <c r="AH13" i="18"/>
  <c r="L19" i="18"/>
  <c r="AJ21" i="18"/>
  <c r="AJ52" i="18"/>
  <c r="AJ37" i="18" s="1"/>
  <c r="AC52" i="18"/>
  <c r="AC37" i="18" s="1"/>
  <c r="AC71" i="18"/>
  <c r="AC21" i="18"/>
  <c r="J57" i="18"/>
  <c r="AF21" i="18"/>
  <c r="AF71" i="18"/>
  <c r="AF52" i="18"/>
  <c r="AF37" i="18" s="1"/>
  <c r="AI13" i="18"/>
  <c r="AI20" i="18" s="1"/>
  <c r="AI21" i="18" s="1"/>
  <c r="AI39" i="18" s="1"/>
  <c r="AK6" i="18"/>
  <c r="AK77" i="18" s="1"/>
  <c r="AE47" i="20"/>
  <c r="AG12" i="20"/>
  <c r="AG19" i="20" s="1"/>
  <c r="AG20" i="20" s="1"/>
  <c r="AG24" i="20" s="1"/>
  <c r="E21" i="18"/>
  <c r="B6" i="21" s="1"/>
  <c r="K39" i="18"/>
  <c r="AD65" i="18"/>
  <c r="H57" i="18"/>
  <c r="H55" i="18" s="1"/>
  <c r="H40" i="18" s="1"/>
  <c r="AL52" i="18"/>
  <c r="AL37" i="18" s="1"/>
  <c r="J65" i="18"/>
  <c r="J55" i="18" s="1"/>
  <c r="J40" i="18" s="1"/>
  <c r="U65" i="18"/>
  <c r="U55" i="18" s="1"/>
  <c r="W57" i="18"/>
  <c r="AL13" i="18"/>
  <c r="AL20" i="18" s="1"/>
  <c r="AL21" i="18" s="1"/>
  <c r="AL71" i="18" s="1"/>
  <c r="AL41" i="18" s="1"/>
  <c r="N49" i="18"/>
  <c r="R52" i="18"/>
  <c r="AE49" i="20"/>
  <c r="O50" i="20"/>
  <c r="O46" i="20" s="1"/>
  <c r="AE50" i="20"/>
  <c r="AE44" i="20"/>
  <c r="AE39" i="20" s="1"/>
  <c r="AE38" i="20" s="1"/>
  <c r="O42" i="20"/>
  <c r="Y20" i="18"/>
  <c r="AE28" i="20"/>
  <c r="O44" i="20"/>
  <c r="O40" i="20"/>
  <c r="O28" i="20"/>
  <c r="AE48" i="20"/>
  <c r="O41" i="20"/>
  <c r="AE13" i="17"/>
  <c r="AF13" i="17" s="1"/>
  <c r="K49" i="18"/>
  <c r="AB22" i="17"/>
  <c r="AE17" i="17"/>
  <c r="AF17" i="17" s="1"/>
  <c r="R21" i="18"/>
  <c r="R150" i="18" s="1"/>
  <c r="AB28" i="17"/>
  <c r="N47" i="18"/>
  <c r="N46" i="18"/>
  <c r="N25" i="18"/>
  <c r="N61" i="18" s="1"/>
  <c r="N24" i="18"/>
  <c r="T41" i="18"/>
  <c r="AA28" i="20"/>
  <c r="R20" i="18"/>
  <c r="N23" i="18"/>
  <c r="N48" i="18"/>
  <c r="N45" i="18"/>
  <c r="G31" i="18"/>
  <c r="N26" i="18"/>
  <c r="N62" i="18" s="1"/>
  <c r="N71" i="18"/>
  <c r="N41" i="18" s="1"/>
  <c r="M46" i="20"/>
  <c r="N77" i="18"/>
  <c r="R77" i="18" s="1"/>
  <c r="C89" i="62" s="1"/>
  <c r="E89" i="62" s="1"/>
  <c r="G33" i="18"/>
  <c r="N22" i="18"/>
  <c r="S40" i="20"/>
  <c r="S47" i="20"/>
  <c r="F49" i="20"/>
  <c r="F42" i="20"/>
  <c r="Y48" i="20"/>
  <c r="Y41" i="20"/>
  <c r="AA42" i="20"/>
  <c r="AA49" i="20"/>
  <c r="S41" i="20"/>
  <c r="S48" i="20"/>
  <c r="F50" i="20"/>
  <c r="F43" i="20"/>
  <c r="Y51" i="20"/>
  <c r="Y44" i="20"/>
  <c r="G60" i="18"/>
  <c r="G68" i="18"/>
  <c r="F44" i="20"/>
  <c r="F51" i="20"/>
  <c r="AA47" i="20"/>
  <c r="AA40" i="20"/>
  <c r="T20" i="20"/>
  <c r="V20" i="20" s="1"/>
  <c r="V126" i="20" s="1"/>
  <c r="T52" i="20"/>
  <c r="V52" i="20" s="1"/>
  <c r="AE15" i="17"/>
  <c r="AF15" i="17" s="1"/>
  <c r="I39" i="20"/>
  <c r="I38" i="20" s="1"/>
  <c r="AF45" i="20"/>
  <c r="AF14" i="20"/>
  <c r="AF13" i="20"/>
  <c r="AF18" i="20" s="1"/>
  <c r="AF15" i="20"/>
  <c r="AF16" i="20"/>
  <c r="AF17" i="20"/>
  <c r="AF36" i="20"/>
  <c r="F28" i="20"/>
  <c r="N19" i="20"/>
  <c r="P12" i="20"/>
  <c r="Z23" i="20"/>
  <c r="Z35" i="20"/>
  <c r="Z24" i="20"/>
  <c r="Z21" i="20"/>
  <c r="Z25" i="20"/>
  <c r="Z22" i="20"/>
  <c r="Z31" i="20"/>
  <c r="Z29" i="20"/>
  <c r="Z32" i="20"/>
  <c r="Z33" i="20"/>
  <c r="Z30" i="20"/>
  <c r="T23" i="18"/>
  <c r="T59" i="18" s="1"/>
  <c r="T46" i="18"/>
  <c r="T77" i="18"/>
  <c r="X77" i="18" s="1"/>
  <c r="T24" i="18"/>
  <c r="T60" i="18" s="1"/>
  <c r="T48" i="18"/>
  <c r="T26" i="18"/>
  <c r="T62" i="18" s="1"/>
  <c r="T49" i="18"/>
  <c r="T45" i="18"/>
  <c r="T22" i="18"/>
  <c r="T58" i="18" s="1"/>
  <c r="T25" i="18"/>
  <c r="T61" i="18" s="1"/>
  <c r="T47" i="18"/>
  <c r="G70" i="18"/>
  <c r="G62" i="18"/>
  <c r="S49" i="20"/>
  <c r="S42" i="20"/>
  <c r="Y28" i="20"/>
  <c r="I30" i="18"/>
  <c r="AD13" i="20"/>
  <c r="AD16" i="20"/>
  <c r="AD45" i="20"/>
  <c r="AD17" i="20"/>
  <c r="AD14" i="20"/>
  <c r="AH6" i="20"/>
  <c r="AI6" i="20" s="1"/>
  <c r="AD15" i="20"/>
  <c r="AD36" i="20"/>
  <c r="S43" i="20"/>
  <c r="S50" i="20"/>
  <c r="R23" i="20"/>
  <c r="R24" i="20"/>
  <c r="R31" i="20"/>
  <c r="R55" i="20"/>
  <c r="V55" i="20" s="1"/>
  <c r="R32" i="20"/>
  <c r="R21" i="20"/>
  <c r="R22" i="20"/>
  <c r="R35" i="20"/>
  <c r="R25" i="20"/>
  <c r="R33" i="20"/>
  <c r="R29" i="20"/>
  <c r="R30" i="20"/>
  <c r="M39" i="20"/>
  <c r="M38" i="20" s="1"/>
  <c r="G32" i="18"/>
  <c r="S28" i="20"/>
  <c r="V18" i="20"/>
  <c r="G58" i="18"/>
  <c r="G66" i="18"/>
  <c r="F41" i="20"/>
  <c r="F48" i="20"/>
  <c r="S51" i="20"/>
  <c r="S44" i="20"/>
  <c r="Y49" i="20"/>
  <c r="Y42" i="20"/>
  <c r="H20" i="20"/>
  <c r="AA51" i="20"/>
  <c r="AA44" i="20"/>
  <c r="I46" i="20"/>
  <c r="U31" i="20"/>
  <c r="U23" i="20"/>
  <c r="U29" i="20"/>
  <c r="U21" i="20"/>
  <c r="U24" i="20"/>
  <c r="U33" i="20"/>
  <c r="U25" i="20"/>
  <c r="U22" i="20"/>
  <c r="U35" i="20"/>
  <c r="U32" i="20"/>
  <c r="U30" i="20"/>
  <c r="G69" i="18"/>
  <c r="G61" i="18"/>
  <c r="X52" i="20"/>
  <c r="AB52" i="20" s="1"/>
  <c r="X20" i="20"/>
  <c r="AB18" i="20"/>
  <c r="Y43" i="20"/>
  <c r="Y50" i="20"/>
  <c r="AA48" i="20"/>
  <c r="AA41" i="20"/>
  <c r="G46" i="20"/>
  <c r="G59" i="18"/>
  <c r="G67" i="18"/>
  <c r="F40" i="20"/>
  <c r="F47" i="20"/>
  <c r="Y47" i="20"/>
  <c r="Y40" i="20"/>
  <c r="AA50" i="20"/>
  <c r="AA43" i="20"/>
  <c r="G39" i="20"/>
  <c r="G38" i="20" s="1"/>
  <c r="L35" i="20"/>
  <c r="L31" i="20"/>
  <c r="L30" i="20"/>
  <c r="L33" i="20"/>
  <c r="L23" i="20"/>
  <c r="L55" i="20"/>
  <c r="P55" i="20" s="1"/>
  <c r="L21" i="20"/>
  <c r="L52" i="20"/>
  <c r="L29" i="20"/>
  <c r="L25" i="20"/>
  <c r="L22" i="20"/>
  <c r="L32" i="20"/>
  <c r="L24" i="20"/>
  <c r="G44" i="18"/>
  <c r="G29" i="18" s="1"/>
  <c r="G30" i="18"/>
  <c r="X71" i="18"/>
  <c r="V41" i="18"/>
  <c r="K71" i="18"/>
  <c r="I41" i="18"/>
  <c r="K52" i="18"/>
  <c r="K47" i="18"/>
  <c r="I32" i="18"/>
  <c r="K46" i="18"/>
  <c r="I31" i="18"/>
  <c r="W30" i="18"/>
  <c r="W33" i="18"/>
  <c r="W31" i="18"/>
  <c r="K48" i="18"/>
  <c r="I33" i="18"/>
  <c r="W32" i="18"/>
  <c r="AD12" i="17"/>
  <c r="AD19" i="17" s="1"/>
  <c r="AD20" i="17" s="1"/>
  <c r="B5" i="21"/>
  <c r="AE16" i="17"/>
  <c r="AF16" i="17" s="1"/>
  <c r="W44" i="18"/>
  <c r="W29" i="18" s="1"/>
  <c r="AG19" i="18"/>
  <c r="Y19" i="18" s="1"/>
  <c r="P71" i="18"/>
  <c r="P45" i="18"/>
  <c r="P24" i="18"/>
  <c r="P60" i="18" s="1"/>
  <c r="P23" i="18"/>
  <c r="P59" i="18" s="1"/>
  <c r="P46" i="18"/>
  <c r="P49" i="18"/>
  <c r="P47" i="18"/>
  <c r="P25" i="18"/>
  <c r="P61" i="18" s="1"/>
  <c r="P48" i="18"/>
  <c r="P22" i="18"/>
  <c r="P58" i="18" s="1"/>
  <c r="P26" i="18"/>
  <c r="P62" i="18" s="1"/>
  <c r="I61" i="18"/>
  <c r="I69" i="18"/>
  <c r="K25" i="18"/>
  <c r="I62" i="18"/>
  <c r="I70" i="18"/>
  <c r="K26" i="18"/>
  <c r="I68" i="18"/>
  <c r="I60" i="18"/>
  <c r="K24" i="18"/>
  <c r="W70" i="18"/>
  <c r="I44" i="18"/>
  <c r="V23" i="18"/>
  <c r="V59" i="18" s="1"/>
  <c r="V22" i="18"/>
  <c r="V58" i="18" s="1"/>
  <c r="V45" i="18"/>
  <c r="V26" i="18"/>
  <c r="V62" i="18" s="1"/>
  <c r="V48" i="18"/>
  <c r="V25" i="18"/>
  <c r="V61" i="18" s="1"/>
  <c r="V24" i="18"/>
  <c r="V60" i="18" s="1"/>
  <c r="V46" i="18"/>
  <c r="V47" i="18"/>
  <c r="V49" i="18"/>
  <c r="X21" i="18"/>
  <c r="W66" i="18"/>
  <c r="I58" i="18"/>
  <c r="I66" i="18"/>
  <c r="K22" i="18"/>
  <c r="Q65" i="18"/>
  <c r="I67" i="18"/>
  <c r="I59" i="18"/>
  <c r="K23" i="18"/>
  <c r="W68" i="18"/>
  <c r="AF6" i="17"/>
  <c r="W67" i="18"/>
  <c r="W69" i="18"/>
  <c r="E20" i="17"/>
  <c r="G20" i="17" s="1"/>
  <c r="Y30" i="17"/>
  <c r="X22" i="17"/>
  <c r="Q26" i="17"/>
  <c r="S26" i="17" s="1"/>
  <c r="Q25" i="17"/>
  <c r="S25" i="17" s="1"/>
  <c r="Q24" i="17"/>
  <c r="S24" i="17" s="1"/>
  <c r="Q31" i="17"/>
  <c r="S31" i="17" s="1"/>
  <c r="Q23" i="17"/>
  <c r="S23" i="17" s="1"/>
  <c r="Q27" i="17"/>
  <c r="S27" i="17" s="1"/>
  <c r="K19" i="17"/>
  <c r="M12" i="17"/>
  <c r="W27" i="17"/>
  <c r="W24" i="17"/>
  <c r="W26" i="17"/>
  <c r="W25" i="17"/>
  <c r="W31" i="17"/>
  <c r="W23" i="17"/>
  <c r="AC18" i="17"/>
  <c r="AE18" i="17" s="1"/>
  <c r="AF18" i="17" s="1"/>
  <c r="AC12" i="17"/>
  <c r="J32" i="17"/>
  <c r="J36" i="17" s="1"/>
  <c r="AA20" i="17"/>
  <c r="AA29" i="17" s="1"/>
  <c r="U27" i="17"/>
  <c r="U26" i="17"/>
  <c r="U31" i="17"/>
  <c r="Y20" i="17"/>
  <c r="U24" i="17"/>
  <c r="U34" i="17"/>
  <c r="Y34" i="17" s="1"/>
  <c r="U25" i="17"/>
  <c r="U23" i="17"/>
  <c r="L30" i="17"/>
  <c r="L29" i="17"/>
  <c r="R104" i="17"/>
  <c r="Y104" i="17"/>
  <c r="P104" i="17"/>
  <c r="Q104" i="17"/>
  <c r="O104" i="17"/>
  <c r="D32" i="17"/>
  <c r="D36" i="17" s="1"/>
  <c r="F32" i="17"/>
  <c r="F36" i="17" s="1"/>
  <c r="C28" i="17"/>
  <c r="C22" i="17"/>
  <c r="I28" i="17"/>
  <c r="O22" i="17"/>
  <c r="I22" i="17"/>
  <c r="L31" i="17"/>
  <c r="R22" i="17"/>
  <c r="L23" i="17"/>
  <c r="L25" i="17"/>
  <c r="L27" i="17"/>
  <c r="L24" i="17"/>
  <c r="L26" i="17"/>
  <c r="S16" i="7"/>
  <c r="O22" i="7"/>
  <c r="S22" i="7" s="1"/>
  <c r="O21" i="7"/>
  <c r="S21" i="7" s="1"/>
  <c r="O19" i="7"/>
  <c r="C24" i="7"/>
  <c r="I20" i="7"/>
  <c r="M20" i="7" s="1"/>
  <c r="I24" i="7"/>
  <c r="M24" i="7" s="1"/>
  <c r="G22" i="7"/>
  <c r="G19" i="7"/>
  <c r="G21" i="7"/>
  <c r="Q57" i="32" l="1"/>
  <c r="AN68" i="36"/>
  <c r="AI41" i="36"/>
  <c r="O55" i="18"/>
  <c r="O40" i="18" s="1"/>
  <c r="AF31" i="36"/>
  <c r="AI77" i="36"/>
  <c r="AJ31" i="31"/>
  <c r="AI194" i="36"/>
  <c r="AE194" i="36" s="1"/>
  <c r="AE54" i="36" s="1"/>
  <c r="T69" i="36"/>
  <c r="AE212" i="36"/>
  <c r="AE211" i="36" s="1"/>
  <c r="AE63" i="36" s="1"/>
  <c r="AJ33" i="31"/>
  <c r="AO212" i="36"/>
  <c r="AL212" i="36" s="1"/>
  <c r="AL211" i="36" s="1"/>
  <c r="AL63" i="36" s="1"/>
  <c r="AL56" i="36" s="1"/>
  <c r="Q57" i="30"/>
  <c r="Q56" i="30" s="1"/>
  <c r="AN61" i="36"/>
  <c r="AF212" i="36"/>
  <c r="AF211" i="36" s="1"/>
  <c r="AF63" i="36" s="1"/>
  <c r="AF56" i="36" s="1"/>
  <c r="AN66" i="36"/>
  <c r="AN65" i="36" s="1"/>
  <c r="AH212" i="36"/>
  <c r="AH211" i="36" s="1"/>
  <c r="AH63" i="36" s="1"/>
  <c r="AH56" i="36" s="1"/>
  <c r="W32" i="31"/>
  <c r="AN32" i="36"/>
  <c r="AL65" i="30"/>
  <c r="AN30" i="36"/>
  <c r="AE71" i="18"/>
  <c r="AE41" i="18" s="1"/>
  <c r="AK15" i="18"/>
  <c r="AM15" i="18" s="1"/>
  <c r="AN15" i="18" s="1"/>
  <c r="AE21" i="18"/>
  <c r="AE39" i="18" s="1"/>
  <c r="AK14" i="18"/>
  <c r="AK13" i="18" s="1"/>
  <c r="AK11" i="18"/>
  <c r="AM11" i="18" s="1"/>
  <c r="AK64" i="18"/>
  <c r="AM64" i="18" s="1"/>
  <c r="AN64" i="18" s="1"/>
  <c r="I150" i="18"/>
  <c r="J150" i="18"/>
  <c r="J54" i="18" s="1"/>
  <c r="J38" i="18" s="1"/>
  <c r="J36" i="18" s="1"/>
  <c r="G150" i="18"/>
  <c r="H150" i="18"/>
  <c r="Q150" i="18"/>
  <c r="N150" i="18"/>
  <c r="O150" i="18"/>
  <c r="P150" i="18"/>
  <c r="AJ169" i="18"/>
  <c r="AL169" i="18"/>
  <c r="AI169" i="18"/>
  <c r="AM7" i="18"/>
  <c r="AN7" i="18" s="1"/>
  <c r="AK17" i="18"/>
  <c r="AM17" i="18" s="1"/>
  <c r="AN17" i="18" s="1"/>
  <c r="R205" i="18"/>
  <c r="X39" i="18"/>
  <c r="X150" i="18"/>
  <c r="AK18" i="18"/>
  <c r="AM18" i="18" s="1"/>
  <c r="AN18" i="18" s="1"/>
  <c r="AK53" i="18"/>
  <c r="AM53" i="18" s="1"/>
  <c r="B14" i="63"/>
  <c r="C14" i="63" s="1"/>
  <c r="E57" i="62" s="1"/>
  <c r="AK169" i="18"/>
  <c r="AK8" i="18"/>
  <c r="AM8" i="18" s="1"/>
  <c r="E21" i="62"/>
  <c r="E18" i="62" s="1"/>
  <c r="C2" i="63"/>
  <c r="E57" i="57"/>
  <c r="C57" i="57"/>
  <c r="R56" i="18"/>
  <c r="B8" i="37" s="1"/>
  <c r="B11" i="37" s="1"/>
  <c r="T67" i="36"/>
  <c r="AK33" i="30"/>
  <c r="AJ59" i="31"/>
  <c r="AJ57" i="31" s="1"/>
  <c r="M44" i="36"/>
  <c r="M103" i="36" s="1"/>
  <c r="G51" i="50"/>
  <c r="AG31" i="36"/>
  <c r="T31" i="36"/>
  <c r="E57" i="55"/>
  <c r="C57" i="55"/>
  <c r="E51" i="50"/>
  <c r="C51" i="50"/>
  <c r="T60" i="36"/>
  <c r="AE41" i="31"/>
  <c r="T59" i="36"/>
  <c r="G41" i="34"/>
  <c r="G88" i="34" s="1"/>
  <c r="G51" i="44"/>
  <c r="AL57" i="30"/>
  <c r="AM18" i="32"/>
  <c r="AN18" i="32" s="1"/>
  <c r="V39" i="31"/>
  <c r="AK33" i="31"/>
  <c r="AP19" i="36"/>
  <c r="AC19" i="36" s="1"/>
  <c r="AK32" i="31"/>
  <c r="V41" i="31"/>
  <c r="I32" i="32"/>
  <c r="AM32" i="36"/>
  <c r="AL31" i="36"/>
  <c r="T68" i="36"/>
  <c r="AL33" i="31"/>
  <c r="AL32" i="31"/>
  <c r="E51" i="44"/>
  <c r="C51" i="44"/>
  <c r="C99" i="44" s="1"/>
  <c r="W31" i="32"/>
  <c r="X41" i="31"/>
  <c r="U33" i="31"/>
  <c r="M30" i="36"/>
  <c r="T61" i="36"/>
  <c r="X33" i="36"/>
  <c r="W65" i="36"/>
  <c r="W55" i="36" s="1"/>
  <c r="W40" i="36" s="1"/>
  <c r="AN31" i="36"/>
  <c r="X37" i="32"/>
  <c r="T62" i="36"/>
  <c r="T70" i="36"/>
  <c r="AN44" i="36"/>
  <c r="AN29" i="36" s="1"/>
  <c r="AJ65" i="31"/>
  <c r="K49" i="31"/>
  <c r="AM16" i="32"/>
  <c r="AN16" i="32" s="1"/>
  <c r="AD33" i="32"/>
  <c r="AN59" i="36"/>
  <c r="AG33" i="36"/>
  <c r="AF32" i="31"/>
  <c r="K71" i="32"/>
  <c r="K41" i="32" s="1"/>
  <c r="AL33" i="36"/>
  <c r="AF33" i="36"/>
  <c r="X39" i="31"/>
  <c r="AH33" i="36"/>
  <c r="Y57" i="36"/>
  <c r="X32" i="36"/>
  <c r="AL32" i="36"/>
  <c r="AN64" i="31"/>
  <c r="X31" i="36"/>
  <c r="AN33" i="36"/>
  <c r="AK37" i="36"/>
  <c r="AO52" i="36"/>
  <c r="T33" i="36"/>
  <c r="AM68" i="36"/>
  <c r="AM60" i="36"/>
  <c r="V192" i="36"/>
  <c r="V54" i="36"/>
  <c r="S194" i="36"/>
  <c r="S54" i="36" s="1"/>
  <c r="R194" i="36"/>
  <c r="R54" i="36" s="1"/>
  <c r="Q194" i="36"/>
  <c r="Q54" i="36" s="1"/>
  <c r="P194" i="36"/>
  <c r="P54" i="36" s="1"/>
  <c r="AG68" i="36"/>
  <c r="AG60" i="36"/>
  <c r="AE59" i="36"/>
  <c r="AE67" i="36"/>
  <c r="AI23" i="36"/>
  <c r="AM62" i="36"/>
  <c r="AM70" i="36"/>
  <c r="V29" i="36"/>
  <c r="W192" i="36"/>
  <c r="W54" i="36"/>
  <c r="AE32" i="36"/>
  <c r="AI47" i="36"/>
  <c r="P32" i="31"/>
  <c r="X39" i="32"/>
  <c r="AH44" i="36"/>
  <c r="AH30" i="36"/>
  <c r="X44" i="36"/>
  <c r="Z44" i="36" s="1"/>
  <c r="Z29" i="36" s="1"/>
  <c r="X30" i="36"/>
  <c r="AL66" i="36"/>
  <c r="AL58" i="36"/>
  <c r="V65" i="36"/>
  <c r="M66" i="36"/>
  <c r="K65" i="36"/>
  <c r="K55" i="36" s="1"/>
  <c r="K40" i="36" s="1"/>
  <c r="AE69" i="36"/>
  <c r="AE61" i="36"/>
  <c r="AI25" i="36"/>
  <c r="AH70" i="36"/>
  <c r="AH62" i="36"/>
  <c r="AM67" i="36"/>
  <c r="AM59" i="36"/>
  <c r="W57" i="36"/>
  <c r="AL30" i="36"/>
  <c r="AL44" i="36"/>
  <c r="J38" i="36"/>
  <c r="J36" i="36" s="1"/>
  <c r="J35" i="36" s="1"/>
  <c r="J51" i="36"/>
  <c r="J50" i="36" s="1"/>
  <c r="J75" i="36" s="1"/>
  <c r="J79" i="36" s="1"/>
  <c r="Z47" i="36"/>
  <c r="Z32" i="36" s="1"/>
  <c r="V57" i="36"/>
  <c r="K57" i="36"/>
  <c r="M57" i="36" s="1"/>
  <c r="AE30" i="36"/>
  <c r="AE44" i="36"/>
  <c r="AI45" i="36"/>
  <c r="AN8" i="18"/>
  <c r="AH61" i="36"/>
  <c r="AH69" i="36"/>
  <c r="M31" i="36"/>
  <c r="AM69" i="36"/>
  <c r="AM61" i="36"/>
  <c r="I55" i="36"/>
  <c r="AL68" i="36"/>
  <c r="AL60" i="36"/>
  <c r="AF59" i="36"/>
  <c r="AF67" i="36"/>
  <c r="K38" i="36"/>
  <c r="K36" i="36" s="1"/>
  <c r="K51" i="36"/>
  <c r="AE33" i="36"/>
  <c r="AI48" i="36"/>
  <c r="AD65" i="31"/>
  <c r="X41" i="32"/>
  <c r="K32" i="32"/>
  <c r="AD32" i="32"/>
  <c r="AM15" i="32"/>
  <c r="AN15" i="32" s="1"/>
  <c r="AH66" i="36"/>
  <c r="AH58" i="36"/>
  <c r="AM58" i="36"/>
  <c r="AM66" i="36"/>
  <c r="AG194" i="36"/>
  <c r="AG54" i="36" s="1"/>
  <c r="AL69" i="36"/>
  <c r="AL61" i="36"/>
  <c r="R29" i="36"/>
  <c r="AF30" i="36"/>
  <c r="AF44" i="36"/>
  <c r="L38" i="36"/>
  <c r="L36" i="36" s="1"/>
  <c r="L35" i="36" s="1"/>
  <c r="L51" i="36"/>
  <c r="L50" i="36" s="1"/>
  <c r="L75" i="36" s="1"/>
  <c r="L79" i="36" s="1"/>
  <c r="T118" i="36"/>
  <c r="F108" i="36"/>
  <c r="F118" i="36" s="1"/>
  <c r="AG69" i="36"/>
  <c r="AG61" i="36"/>
  <c r="AI49" i="36"/>
  <c r="I31" i="32"/>
  <c r="AM17" i="32"/>
  <c r="AN17" i="32" s="1"/>
  <c r="AH67" i="36"/>
  <c r="AH59" i="36"/>
  <c r="F101" i="36"/>
  <c r="AF68" i="36"/>
  <c r="AF60" i="36"/>
  <c r="M54" i="36"/>
  <c r="M38" i="36" s="1"/>
  <c r="M36" i="36" s="1"/>
  <c r="I38" i="36"/>
  <c r="I36" i="36" s="1"/>
  <c r="I51" i="36"/>
  <c r="AG66" i="36"/>
  <c r="AG58" i="36"/>
  <c r="AE70" i="36"/>
  <c r="AE62" i="36"/>
  <c r="AI26" i="36"/>
  <c r="AF31" i="31"/>
  <c r="U33" i="32"/>
  <c r="AH60" i="36"/>
  <c r="AH68" i="36"/>
  <c r="X66" i="36"/>
  <c r="X58" i="36"/>
  <c r="R65" i="36"/>
  <c r="R55" i="36" s="1"/>
  <c r="R40" i="36" s="1"/>
  <c r="AM44" i="36"/>
  <c r="AM30" i="36"/>
  <c r="AF70" i="36"/>
  <c r="AF62" i="36"/>
  <c r="T102" i="36"/>
  <c r="F102" i="36" s="1"/>
  <c r="T41" i="36"/>
  <c r="P57" i="36"/>
  <c r="T58" i="36"/>
  <c r="AG44" i="36"/>
  <c r="AG30" i="36"/>
  <c r="AE58" i="36"/>
  <c r="AE66" i="36"/>
  <c r="AI22" i="36"/>
  <c r="AL13" i="32"/>
  <c r="AL20" i="32" s="1"/>
  <c r="AL21" i="32" s="1"/>
  <c r="X67" i="36"/>
  <c r="Z67" i="36" s="1"/>
  <c r="X59" i="36"/>
  <c r="Z59" i="36" s="1"/>
  <c r="R57" i="36"/>
  <c r="M32" i="36"/>
  <c r="AF66" i="36"/>
  <c r="AF58" i="36"/>
  <c r="P65" i="36"/>
  <c r="T66" i="36"/>
  <c r="AG32" i="36"/>
  <c r="AE31" i="36"/>
  <c r="AI46" i="36"/>
  <c r="AB20" i="36"/>
  <c r="AP20" i="36"/>
  <c r="AC20" i="36" s="1"/>
  <c r="M41" i="36"/>
  <c r="M102" i="36"/>
  <c r="M100" i="36" s="1"/>
  <c r="X68" i="36"/>
  <c r="Z68" i="36" s="1"/>
  <c r="X60" i="36"/>
  <c r="Z60" i="36" s="1"/>
  <c r="AM31" i="36"/>
  <c r="AF61" i="36"/>
  <c r="AF69" i="36"/>
  <c r="T30" i="36"/>
  <c r="AG67" i="36"/>
  <c r="AG59" i="36"/>
  <c r="AE60" i="36"/>
  <c r="AE68" i="36"/>
  <c r="AI24" i="36"/>
  <c r="AG33" i="20"/>
  <c r="AE33" i="30"/>
  <c r="AG32" i="20"/>
  <c r="U31" i="31"/>
  <c r="AH31" i="36"/>
  <c r="X61" i="36"/>
  <c r="Z61" i="36" s="1"/>
  <c r="X69" i="36"/>
  <c r="Z69" i="36" s="1"/>
  <c r="AL67" i="36"/>
  <c r="AL59" i="36"/>
  <c r="X54" i="36"/>
  <c r="X192" i="36"/>
  <c r="W29" i="36"/>
  <c r="AF32" i="36"/>
  <c r="P29" i="36"/>
  <c r="T44" i="36"/>
  <c r="AA21" i="36"/>
  <c r="Z48" i="36"/>
  <c r="Z33" i="36" s="1"/>
  <c r="AG30" i="20"/>
  <c r="AL31" i="31"/>
  <c r="AG21" i="20"/>
  <c r="AG47" i="20" s="1"/>
  <c r="Q65" i="30"/>
  <c r="Q55" i="30" s="1"/>
  <c r="Q40" i="30" s="1"/>
  <c r="K46" i="32"/>
  <c r="K31" i="32" s="1"/>
  <c r="AE31" i="30"/>
  <c r="AH32" i="36"/>
  <c r="Y65" i="36"/>
  <c r="Y55" i="36" s="1"/>
  <c r="Y40" i="36" s="1"/>
  <c r="AK21" i="36"/>
  <c r="X70" i="36"/>
  <c r="Z70" i="36" s="1"/>
  <c r="X62" i="36"/>
  <c r="Z62" i="36" s="1"/>
  <c r="Y29" i="36"/>
  <c r="AM33" i="36"/>
  <c r="Z45" i="36"/>
  <c r="Z30" i="36" s="1"/>
  <c r="T32" i="36"/>
  <c r="AL70" i="36"/>
  <c r="AL62" i="36"/>
  <c r="Y54" i="36"/>
  <c r="Y192" i="36"/>
  <c r="Z23" i="36"/>
  <c r="Z31" i="36" s="1"/>
  <c r="AG70" i="36"/>
  <c r="AG62" i="36"/>
  <c r="C45" i="37"/>
  <c r="C47" i="37" s="1"/>
  <c r="B45" i="37"/>
  <c r="B47" i="37" s="1"/>
  <c r="AN11" i="18"/>
  <c r="X76" i="30"/>
  <c r="J57" i="30"/>
  <c r="J56" i="30" s="1"/>
  <c r="P31" i="30"/>
  <c r="U31" i="30"/>
  <c r="K71" i="30"/>
  <c r="K41" i="30" s="1"/>
  <c r="J65" i="30"/>
  <c r="O55" i="30"/>
  <c r="O40" i="30" s="1"/>
  <c r="I33" i="30"/>
  <c r="AM164" i="30"/>
  <c r="AI164" i="30" s="1"/>
  <c r="AC164" i="30"/>
  <c r="AG165" i="32"/>
  <c r="AG148" i="32"/>
  <c r="X147" i="30"/>
  <c r="X39" i="30"/>
  <c r="P33" i="31"/>
  <c r="AF66" i="31"/>
  <c r="AF58" i="31"/>
  <c r="AF70" i="31"/>
  <c r="AF62" i="31"/>
  <c r="AL68" i="31"/>
  <c r="AL60" i="31"/>
  <c r="K147" i="31"/>
  <c r="E21" i="31"/>
  <c r="K39" i="31"/>
  <c r="Q29" i="30"/>
  <c r="R49" i="30"/>
  <c r="T59" i="32"/>
  <c r="T67" i="32"/>
  <c r="AK62" i="31"/>
  <c r="AK70" i="31"/>
  <c r="AE30" i="30"/>
  <c r="AE44" i="30"/>
  <c r="AK13" i="32"/>
  <c r="AK20" i="32" s="1"/>
  <c r="AK21" i="32" s="1"/>
  <c r="AK39" i="32" s="1"/>
  <c r="X76" i="32"/>
  <c r="AK61" i="30"/>
  <c r="AK69" i="30"/>
  <c r="I31" i="31"/>
  <c r="I30" i="30"/>
  <c r="I44" i="30"/>
  <c r="I29" i="30" s="1"/>
  <c r="AD67" i="32"/>
  <c r="AD59" i="32"/>
  <c r="T62" i="31"/>
  <c r="T70" i="31"/>
  <c r="T67" i="30"/>
  <c r="T59" i="30"/>
  <c r="AJ29" i="31"/>
  <c r="U68" i="31"/>
  <c r="U60" i="31"/>
  <c r="W58" i="31"/>
  <c r="W66" i="31"/>
  <c r="AM53" i="32"/>
  <c r="W60" i="30"/>
  <c r="W68" i="30"/>
  <c r="T68" i="32"/>
  <c r="T60" i="32"/>
  <c r="I69" i="32"/>
  <c r="K69" i="32" s="1"/>
  <c r="I61" i="32"/>
  <c r="K61" i="32" s="1"/>
  <c r="AK58" i="31"/>
  <c r="AK66" i="31"/>
  <c r="P69" i="32"/>
  <c r="P61" i="32"/>
  <c r="AC164" i="31"/>
  <c r="AM164" i="31"/>
  <c r="AI164" i="31" s="1"/>
  <c r="AK67" i="30"/>
  <c r="AK59" i="30"/>
  <c r="I66" i="31"/>
  <c r="I58" i="31"/>
  <c r="I68" i="30"/>
  <c r="K68" i="30" s="1"/>
  <c r="I60" i="30"/>
  <c r="K60" i="30" s="1"/>
  <c r="O57" i="32"/>
  <c r="V147" i="31"/>
  <c r="U147" i="31"/>
  <c r="T147" i="31"/>
  <c r="W147" i="31"/>
  <c r="T33" i="30"/>
  <c r="J65" i="31"/>
  <c r="K25" i="32"/>
  <c r="K33" i="32" s="1"/>
  <c r="W33" i="31"/>
  <c r="W67" i="30"/>
  <c r="W59" i="30"/>
  <c r="U32" i="30"/>
  <c r="N33" i="30"/>
  <c r="R48" i="30"/>
  <c r="T30" i="32"/>
  <c r="T44" i="32"/>
  <c r="P33" i="32"/>
  <c r="AM53" i="31"/>
  <c r="AK37" i="32"/>
  <c r="U67" i="32"/>
  <c r="U59" i="32"/>
  <c r="AK62" i="30"/>
  <c r="AK70" i="30"/>
  <c r="W68" i="32"/>
  <c r="W60" i="32"/>
  <c r="I44" i="31"/>
  <c r="I29" i="31" s="1"/>
  <c r="I30" i="31"/>
  <c r="I59" i="30"/>
  <c r="K59" i="30" s="1"/>
  <c r="I67" i="30"/>
  <c r="K67" i="30" s="1"/>
  <c r="AD58" i="32"/>
  <c r="AD66" i="32"/>
  <c r="O65" i="32"/>
  <c r="O55" i="32" s="1"/>
  <c r="O40" i="32" s="1"/>
  <c r="AD29" i="30"/>
  <c r="T60" i="31"/>
  <c r="T68" i="31"/>
  <c r="J57" i="31"/>
  <c r="J56" i="31" s="1"/>
  <c r="U66" i="31"/>
  <c r="U58" i="31"/>
  <c r="X63" i="32"/>
  <c r="T56" i="32"/>
  <c r="W69" i="31"/>
  <c r="W61" i="31"/>
  <c r="AI20" i="32"/>
  <c r="W66" i="30"/>
  <c r="W58" i="30"/>
  <c r="U60" i="30"/>
  <c r="U68" i="30"/>
  <c r="AL67" i="31"/>
  <c r="AL59" i="31"/>
  <c r="G58" i="31"/>
  <c r="K22" i="31"/>
  <c r="G66" i="31"/>
  <c r="P62" i="30"/>
  <c r="P70" i="30"/>
  <c r="AD65" i="30"/>
  <c r="I30" i="32"/>
  <c r="I44" i="32"/>
  <c r="I29" i="32" s="1"/>
  <c r="AK67" i="31"/>
  <c r="AK59" i="31"/>
  <c r="U60" i="32"/>
  <c r="U68" i="32"/>
  <c r="W58" i="32"/>
  <c r="W66" i="32"/>
  <c r="Q57" i="31"/>
  <c r="Q56" i="31" s="1"/>
  <c r="AD70" i="32"/>
  <c r="AD62" i="32"/>
  <c r="T58" i="30"/>
  <c r="T66" i="30"/>
  <c r="AG148" i="30"/>
  <c r="G65" i="32"/>
  <c r="K45" i="32"/>
  <c r="K30" i="32" s="1"/>
  <c r="W61" i="30"/>
  <c r="W69" i="30"/>
  <c r="AL70" i="31"/>
  <c r="AL62" i="31"/>
  <c r="G59" i="31"/>
  <c r="G67" i="31"/>
  <c r="K23" i="31"/>
  <c r="G30" i="31"/>
  <c r="G44" i="31"/>
  <c r="K45" i="31"/>
  <c r="P68" i="31"/>
  <c r="P60" i="31"/>
  <c r="P70" i="32"/>
  <c r="P62" i="32"/>
  <c r="AG29" i="20"/>
  <c r="P44" i="31"/>
  <c r="P30" i="31"/>
  <c r="AF33" i="31"/>
  <c r="AL66" i="31"/>
  <c r="AL58" i="31"/>
  <c r="V37" i="30"/>
  <c r="K26" i="31"/>
  <c r="G62" i="31"/>
  <c r="G70" i="31"/>
  <c r="P33" i="30"/>
  <c r="R23" i="30"/>
  <c r="N67" i="30"/>
  <c r="N59" i="30"/>
  <c r="V147" i="32"/>
  <c r="U147" i="32"/>
  <c r="W147" i="32"/>
  <c r="T147" i="32"/>
  <c r="AD57" i="30"/>
  <c r="I67" i="32"/>
  <c r="K67" i="32" s="1"/>
  <c r="I59" i="32"/>
  <c r="K59" i="32" s="1"/>
  <c r="H65" i="32"/>
  <c r="H55" i="32" s="1"/>
  <c r="H40" i="32" s="1"/>
  <c r="P32" i="32"/>
  <c r="AE66" i="30"/>
  <c r="AE58" i="30"/>
  <c r="AM14" i="31"/>
  <c r="AN14" i="31" s="1"/>
  <c r="AI19" i="31"/>
  <c r="U61" i="32"/>
  <c r="U69" i="32"/>
  <c r="AK32" i="30"/>
  <c r="Q65" i="31"/>
  <c r="I61" i="30"/>
  <c r="K61" i="30" s="1"/>
  <c r="I69" i="30"/>
  <c r="K69" i="30" s="1"/>
  <c r="AD31" i="32"/>
  <c r="T32" i="31"/>
  <c r="T32" i="30"/>
  <c r="U67" i="31"/>
  <c r="U59" i="31"/>
  <c r="AF37" i="32"/>
  <c r="G57" i="32"/>
  <c r="AC41" i="30"/>
  <c r="AG71" i="30"/>
  <c r="W31" i="30"/>
  <c r="U70" i="30"/>
  <c r="U62" i="30"/>
  <c r="AD29" i="31"/>
  <c r="AF69" i="31"/>
  <c r="AF61" i="31"/>
  <c r="N30" i="30"/>
  <c r="N44" i="30"/>
  <c r="R45" i="30"/>
  <c r="O29" i="31"/>
  <c r="V45" i="30"/>
  <c r="X45" i="30" s="1"/>
  <c r="V46" i="30"/>
  <c r="V26" i="30"/>
  <c r="X26" i="30" s="1"/>
  <c r="V24" i="30"/>
  <c r="X24" i="30" s="1"/>
  <c r="V22" i="30"/>
  <c r="V49" i="30"/>
  <c r="X49" i="30" s="1"/>
  <c r="V48" i="30"/>
  <c r="X48" i="30" s="1"/>
  <c r="V23" i="30"/>
  <c r="V25" i="30"/>
  <c r="X25" i="30" s="1"/>
  <c r="V47" i="30"/>
  <c r="G41" i="31"/>
  <c r="K71" i="31"/>
  <c r="K41" i="31" s="1"/>
  <c r="P67" i="30"/>
  <c r="P59" i="30"/>
  <c r="R71" i="30"/>
  <c r="R41" i="30" s="1"/>
  <c r="N41" i="30"/>
  <c r="R47" i="30"/>
  <c r="N32" i="30"/>
  <c r="T33" i="32"/>
  <c r="AG71" i="31"/>
  <c r="AC41" i="31"/>
  <c r="I70" i="32"/>
  <c r="K70" i="32" s="1"/>
  <c r="I62" i="32"/>
  <c r="K62" i="32" s="1"/>
  <c r="H57" i="32"/>
  <c r="AE70" i="30"/>
  <c r="AE62" i="30"/>
  <c r="O29" i="32"/>
  <c r="I61" i="31"/>
  <c r="I69" i="31"/>
  <c r="I31" i="30"/>
  <c r="AD30" i="32"/>
  <c r="AD44" i="32"/>
  <c r="T58" i="31"/>
  <c r="T66" i="31"/>
  <c r="AJ25" i="32"/>
  <c r="AJ22" i="32"/>
  <c r="AJ47" i="32"/>
  <c r="AJ76" i="32"/>
  <c r="AJ71" i="32"/>
  <c r="AJ41" i="32" s="1"/>
  <c r="AJ48" i="32"/>
  <c r="AJ45" i="32"/>
  <c r="AJ23" i="32"/>
  <c r="AJ26" i="32"/>
  <c r="AJ24" i="32"/>
  <c r="AJ49" i="32"/>
  <c r="AJ46" i="32"/>
  <c r="AF29" i="30"/>
  <c r="AF23" i="32"/>
  <c r="AF46" i="32"/>
  <c r="AF26" i="32"/>
  <c r="AF48" i="32"/>
  <c r="AF25" i="32"/>
  <c r="AF45" i="32"/>
  <c r="AF49" i="32"/>
  <c r="AF22" i="32"/>
  <c r="AF47" i="32"/>
  <c r="AF24" i="32"/>
  <c r="V46" i="32"/>
  <c r="X46" i="32" s="1"/>
  <c r="V22" i="32"/>
  <c r="X22" i="32" s="1"/>
  <c r="V48" i="32"/>
  <c r="X48" i="32" s="1"/>
  <c r="V45" i="32"/>
  <c r="X45" i="32" s="1"/>
  <c r="V23" i="32"/>
  <c r="V26" i="32"/>
  <c r="X26" i="32" s="1"/>
  <c r="V49" i="32"/>
  <c r="X49" i="32" s="1"/>
  <c r="V47" i="32"/>
  <c r="V24" i="32"/>
  <c r="X24" i="32" s="1"/>
  <c r="V25" i="32"/>
  <c r="X25" i="32" s="1"/>
  <c r="G57" i="30"/>
  <c r="W68" i="31"/>
  <c r="W60" i="31"/>
  <c r="H65" i="31"/>
  <c r="AI19" i="32"/>
  <c r="AM14" i="32"/>
  <c r="AN14" i="32" s="1"/>
  <c r="AC37" i="30"/>
  <c r="AG52" i="30"/>
  <c r="AG37" i="30" s="1"/>
  <c r="W70" i="30"/>
  <c r="W62" i="30"/>
  <c r="U67" i="30"/>
  <c r="U59" i="30"/>
  <c r="K24" i="30"/>
  <c r="K32" i="30" s="1"/>
  <c r="O65" i="31"/>
  <c r="AG31" i="20"/>
  <c r="O57" i="31"/>
  <c r="O56" i="31" s="1"/>
  <c r="P62" i="31"/>
  <c r="P70" i="31"/>
  <c r="K23" i="30"/>
  <c r="K31" i="30" s="1"/>
  <c r="AD57" i="31"/>
  <c r="AL69" i="31"/>
  <c r="AL61" i="31"/>
  <c r="V41" i="30"/>
  <c r="K47" i="31"/>
  <c r="G32" i="31"/>
  <c r="P30" i="30"/>
  <c r="R46" i="30"/>
  <c r="N31" i="30"/>
  <c r="T69" i="32"/>
  <c r="T61" i="32"/>
  <c r="AC37" i="31"/>
  <c r="AG52" i="31"/>
  <c r="AG37" i="31" s="1"/>
  <c r="P68" i="32"/>
  <c r="P60" i="32"/>
  <c r="AE67" i="30"/>
  <c r="AE59" i="30"/>
  <c r="U31" i="32"/>
  <c r="W44" i="32"/>
  <c r="W30" i="32"/>
  <c r="I67" i="31"/>
  <c r="I59" i="31"/>
  <c r="I62" i="30"/>
  <c r="K62" i="30" s="1"/>
  <c r="I70" i="30"/>
  <c r="K70" i="30" s="1"/>
  <c r="J29" i="32"/>
  <c r="G29" i="32"/>
  <c r="T31" i="31"/>
  <c r="AJ37" i="32"/>
  <c r="AF41" i="32"/>
  <c r="V41" i="32"/>
  <c r="H57" i="31"/>
  <c r="H56" i="31" s="1"/>
  <c r="Y19" i="30"/>
  <c r="U66" i="30"/>
  <c r="U58" i="30"/>
  <c r="P67" i="31"/>
  <c r="P59" i="31"/>
  <c r="AF59" i="31"/>
  <c r="AF67" i="31"/>
  <c r="N69" i="30"/>
  <c r="N61" i="30"/>
  <c r="R25" i="30"/>
  <c r="K30" i="30"/>
  <c r="T62" i="32"/>
  <c r="T70" i="32"/>
  <c r="AC46" i="31"/>
  <c r="AC48" i="31"/>
  <c r="AC25" i="31"/>
  <c r="AC26" i="31"/>
  <c r="AC49" i="31"/>
  <c r="AC45" i="31"/>
  <c r="AC24" i="31"/>
  <c r="AC23" i="31"/>
  <c r="AG21" i="31"/>
  <c r="AC76" i="31"/>
  <c r="AG76" i="31" s="1"/>
  <c r="AC47" i="31"/>
  <c r="AC22" i="31"/>
  <c r="I58" i="32"/>
  <c r="K58" i="32" s="1"/>
  <c r="I66" i="32"/>
  <c r="P66" i="32"/>
  <c r="P58" i="32"/>
  <c r="AE69" i="30"/>
  <c r="AE61" i="30"/>
  <c r="U44" i="32"/>
  <c r="U30" i="32"/>
  <c r="AK30" i="30"/>
  <c r="AK44" i="30"/>
  <c r="N24" i="32"/>
  <c r="N23" i="32"/>
  <c r="N45" i="32"/>
  <c r="N22" i="32"/>
  <c r="N48" i="32"/>
  <c r="N47" i="32"/>
  <c r="N46" i="32"/>
  <c r="N71" i="32"/>
  <c r="N49" i="32"/>
  <c r="R49" i="32" s="1"/>
  <c r="N76" i="32"/>
  <c r="R76" i="32" s="1"/>
  <c r="R202" i="32" s="1"/>
  <c r="N26" i="32"/>
  <c r="N25" i="32"/>
  <c r="R21" i="32"/>
  <c r="N39" i="32"/>
  <c r="W69" i="32"/>
  <c r="W61" i="32"/>
  <c r="T44" i="31"/>
  <c r="T30" i="31"/>
  <c r="T44" i="30"/>
  <c r="T30" i="30"/>
  <c r="AN53" i="30"/>
  <c r="U32" i="31"/>
  <c r="V37" i="32"/>
  <c r="G65" i="30"/>
  <c r="AC39" i="30"/>
  <c r="AC48" i="30"/>
  <c r="AC22" i="30"/>
  <c r="AC25" i="30"/>
  <c r="AC47" i="30"/>
  <c r="AC46" i="30"/>
  <c r="AG21" i="30"/>
  <c r="AC49" i="30"/>
  <c r="AG49" i="30" s="1"/>
  <c r="AC26" i="30"/>
  <c r="AC23" i="30"/>
  <c r="AC45" i="30"/>
  <c r="AC24" i="30"/>
  <c r="AC76" i="30"/>
  <c r="AG76" i="30" s="1"/>
  <c r="U69" i="30"/>
  <c r="U61" i="30"/>
  <c r="K46" i="31"/>
  <c r="G31" i="31"/>
  <c r="P69" i="30"/>
  <c r="P61" i="30"/>
  <c r="N58" i="30"/>
  <c r="R22" i="30"/>
  <c r="N66" i="30"/>
  <c r="G29" i="30"/>
  <c r="Y19" i="31"/>
  <c r="AK31" i="31"/>
  <c r="AE68" i="30"/>
  <c r="AE60" i="30"/>
  <c r="AK31" i="30"/>
  <c r="W70" i="32"/>
  <c r="W62" i="32"/>
  <c r="I32" i="31"/>
  <c r="I32" i="30"/>
  <c r="AD68" i="32"/>
  <c r="AD60" i="32"/>
  <c r="AI52" i="30"/>
  <c r="AM19" i="30"/>
  <c r="Z19" i="30" s="1"/>
  <c r="AL29" i="30"/>
  <c r="K48" i="30"/>
  <c r="K33" i="30" s="1"/>
  <c r="T67" i="31"/>
  <c r="T59" i="31"/>
  <c r="T31" i="30"/>
  <c r="AC37" i="32"/>
  <c r="U44" i="31"/>
  <c r="U30" i="31"/>
  <c r="AE45" i="31"/>
  <c r="AE25" i="31"/>
  <c r="AE22" i="31"/>
  <c r="AE24" i="31"/>
  <c r="AE23" i="31"/>
  <c r="AE26" i="31"/>
  <c r="AE46" i="31"/>
  <c r="AE48" i="31"/>
  <c r="AE47" i="31"/>
  <c r="AE49" i="31"/>
  <c r="W70" i="31"/>
  <c r="W62" i="31"/>
  <c r="AL52" i="32"/>
  <c r="AM64" i="32"/>
  <c r="AN64" i="32" s="1"/>
  <c r="W33" i="30"/>
  <c r="P69" i="31"/>
  <c r="P61" i="31"/>
  <c r="AG22" i="20"/>
  <c r="AG48" i="20" s="1"/>
  <c r="P31" i="31"/>
  <c r="AF30" i="31"/>
  <c r="AF44" i="31"/>
  <c r="G68" i="31"/>
  <c r="K24" i="31"/>
  <c r="G60" i="31"/>
  <c r="R147" i="30"/>
  <c r="L21" i="30"/>
  <c r="R39" i="30"/>
  <c r="T31" i="32"/>
  <c r="I60" i="32"/>
  <c r="K60" i="32" s="1"/>
  <c r="I68" i="32"/>
  <c r="K68" i="32" s="1"/>
  <c r="AK61" i="31"/>
  <c r="AK69" i="31"/>
  <c r="P31" i="32"/>
  <c r="AM13" i="31"/>
  <c r="AN13" i="31" s="1"/>
  <c r="AI20" i="31"/>
  <c r="AM20" i="31" s="1"/>
  <c r="H57" i="30"/>
  <c r="H56" i="30" s="1"/>
  <c r="U32" i="32"/>
  <c r="W32" i="32"/>
  <c r="I60" i="31"/>
  <c r="I68" i="31"/>
  <c r="G147" i="32"/>
  <c r="G54" i="32" s="1"/>
  <c r="J147" i="32"/>
  <c r="J54" i="32" s="1"/>
  <c r="H147" i="32"/>
  <c r="H54" i="32" s="1"/>
  <c r="I147" i="32"/>
  <c r="I54" i="32" s="1"/>
  <c r="AF57" i="30"/>
  <c r="T69" i="31"/>
  <c r="T61" i="31"/>
  <c r="J65" i="32"/>
  <c r="J55" i="32" s="1"/>
  <c r="J40" i="32" s="1"/>
  <c r="T61" i="30"/>
  <c r="T69" i="30"/>
  <c r="AC22" i="32"/>
  <c r="AC49" i="32"/>
  <c r="AC47" i="32"/>
  <c r="AC48" i="32"/>
  <c r="AC23" i="32"/>
  <c r="AC46" i="32"/>
  <c r="AC76" i="32"/>
  <c r="AG76" i="32" s="1"/>
  <c r="AC45" i="32"/>
  <c r="AC26" i="32"/>
  <c r="AC25" i="32"/>
  <c r="AC24" i="32"/>
  <c r="U69" i="31"/>
  <c r="U61" i="31"/>
  <c r="W59" i="31"/>
  <c r="W67" i="31"/>
  <c r="P44" i="30"/>
  <c r="P32" i="30"/>
  <c r="AG148" i="31"/>
  <c r="AL30" i="31"/>
  <c r="AL44" i="31"/>
  <c r="P66" i="30"/>
  <c r="P58" i="30"/>
  <c r="T32" i="32"/>
  <c r="AK30" i="31"/>
  <c r="AK44" i="31"/>
  <c r="P67" i="32"/>
  <c r="P59" i="32"/>
  <c r="X41" i="30"/>
  <c r="H65" i="30"/>
  <c r="U66" i="32"/>
  <c r="U58" i="32"/>
  <c r="AK68" i="30"/>
  <c r="AK60" i="30"/>
  <c r="AE52" i="32"/>
  <c r="AE21" i="32"/>
  <c r="AE39" i="32" s="1"/>
  <c r="AE71" i="32"/>
  <c r="AG71" i="32" s="1"/>
  <c r="AG19" i="32"/>
  <c r="W67" i="32"/>
  <c r="W59" i="32"/>
  <c r="I70" i="31"/>
  <c r="I62" i="31"/>
  <c r="I66" i="30"/>
  <c r="I58" i="30"/>
  <c r="AI20" i="30"/>
  <c r="AM20" i="30" s="1"/>
  <c r="AM13" i="30"/>
  <c r="AN13" i="30" s="1"/>
  <c r="AF65" i="30"/>
  <c r="T33" i="31"/>
  <c r="J57" i="32"/>
  <c r="T60" i="30"/>
  <c r="T68" i="30"/>
  <c r="AC41" i="32"/>
  <c r="AE37" i="31"/>
  <c r="W30" i="31"/>
  <c r="W44" i="31"/>
  <c r="K26" i="30"/>
  <c r="W30" i="30"/>
  <c r="W44" i="30"/>
  <c r="V37" i="31"/>
  <c r="U44" i="30"/>
  <c r="U30" i="30"/>
  <c r="E41" i="34"/>
  <c r="E88" i="34" s="1"/>
  <c r="C41" i="34"/>
  <c r="C88" i="34" s="1"/>
  <c r="K48" i="31"/>
  <c r="G33" i="31"/>
  <c r="N70" i="30"/>
  <c r="N62" i="30"/>
  <c r="R26" i="30"/>
  <c r="Q29" i="31"/>
  <c r="P58" i="31"/>
  <c r="P66" i="31"/>
  <c r="AF60" i="31"/>
  <c r="AF68" i="31"/>
  <c r="V39" i="30"/>
  <c r="AC39" i="31"/>
  <c r="G61" i="31"/>
  <c r="K25" i="31"/>
  <c r="G69" i="31"/>
  <c r="P68" i="30"/>
  <c r="P60" i="30"/>
  <c r="R24" i="30"/>
  <c r="N68" i="30"/>
  <c r="N60" i="30"/>
  <c r="T66" i="32"/>
  <c r="T58" i="32"/>
  <c r="N23" i="31"/>
  <c r="N24" i="31"/>
  <c r="R21" i="31"/>
  <c r="N47" i="31"/>
  <c r="N26" i="31"/>
  <c r="N48" i="31"/>
  <c r="N76" i="31"/>
  <c r="R76" i="31" s="1"/>
  <c r="R202" i="31" s="1"/>
  <c r="N71" i="31"/>
  <c r="N25" i="31"/>
  <c r="N46" i="31"/>
  <c r="N22" i="31"/>
  <c r="N45" i="31"/>
  <c r="N49" i="31"/>
  <c r="R49" i="31" s="1"/>
  <c r="N39" i="31"/>
  <c r="I33" i="32"/>
  <c r="AK60" i="31"/>
  <c r="AK68" i="31"/>
  <c r="P44" i="32"/>
  <c r="P30" i="32"/>
  <c r="AE32" i="30"/>
  <c r="U62" i="32"/>
  <c r="U70" i="32"/>
  <c r="AK58" i="30"/>
  <c r="AK66" i="30"/>
  <c r="W33" i="32"/>
  <c r="I33" i="31"/>
  <c r="H147" i="30"/>
  <c r="H54" i="30" s="1"/>
  <c r="I147" i="30"/>
  <c r="I54" i="30" s="1"/>
  <c r="G147" i="30"/>
  <c r="G54" i="30" s="1"/>
  <c r="J147" i="30"/>
  <c r="J54" i="30" s="1"/>
  <c r="AD69" i="32"/>
  <c r="AD61" i="32"/>
  <c r="X76" i="31"/>
  <c r="T70" i="30"/>
  <c r="T62" i="30"/>
  <c r="X37" i="31"/>
  <c r="V39" i="32"/>
  <c r="U62" i="31"/>
  <c r="U70" i="31"/>
  <c r="W31" i="31"/>
  <c r="W32" i="30"/>
  <c r="V45" i="31"/>
  <c r="X45" i="31" s="1"/>
  <c r="V22" i="31"/>
  <c r="X22" i="31" s="1"/>
  <c r="V23" i="31"/>
  <c r="V47" i="31"/>
  <c r="V46" i="31"/>
  <c r="V25" i="31"/>
  <c r="X25" i="31" s="1"/>
  <c r="V24" i="31"/>
  <c r="X24" i="31" s="1"/>
  <c r="V48" i="31"/>
  <c r="X48" i="31" s="1"/>
  <c r="V49" i="31"/>
  <c r="X49" i="31" s="1"/>
  <c r="V26" i="31"/>
  <c r="X26" i="31" s="1"/>
  <c r="U33" i="30"/>
  <c r="L20" i="18"/>
  <c r="R37" i="18"/>
  <c r="K41" i="18"/>
  <c r="B13" i="21" s="1"/>
  <c r="K37" i="18"/>
  <c r="AF41" i="18"/>
  <c r="AC39" i="18"/>
  <c r="AC46" i="18"/>
  <c r="AC23" i="18"/>
  <c r="AC45" i="18"/>
  <c r="AC77" i="18"/>
  <c r="AG77" i="18" s="1"/>
  <c r="AC24" i="18"/>
  <c r="AC22" i="18"/>
  <c r="AC47" i="18"/>
  <c r="AC49" i="18"/>
  <c r="AC26" i="18"/>
  <c r="AC48" i="18"/>
  <c r="AC25" i="18"/>
  <c r="AC41" i="18"/>
  <c r="AF26" i="18"/>
  <c r="AF24" i="18"/>
  <c r="AF46" i="18"/>
  <c r="AF45" i="18"/>
  <c r="AF25" i="18"/>
  <c r="AF47" i="18"/>
  <c r="AF48" i="18"/>
  <c r="AF22" i="18"/>
  <c r="AF49" i="18"/>
  <c r="AF39" i="18"/>
  <c r="AF23" i="18"/>
  <c r="AJ25" i="18"/>
  <c r="AJ39" i="18"/>
  <c r="AJ24" i="18"/>
  <c r="AJ48" i="18"/>
  <c r="AJ45" i="18"/>
  <c r="AJ22" i="18"/>
  <c r="AJ26" i="18"/>
  <c r="AJ23" i="18"/>
  <c r="AJ77" i="18"/>
  <c r="AJ46" i="18"/>
  <c r="AJ47" i="18"/>
  <c r="AJ49" i="18"/>
  <c r="AJ71" i="18"/>
  <c r="AJ41" i="18" s="1"/>
  <c r="AG25" i="20"/>
  <c r="AG44" i="20" s="1"/>
  <c r="AG35" i="20"/>
  <c r="AG52" i="20"/>
  <c r="AG23" i="20"/>
  <c r="AG42" i="20" s="1"/>
  <c r="J35" i="18"/>
  <c r="L21" i="18"/>
  <c r="C6" i="21" s="1"/>
  <c r="H7" i="21" s="1"/>
  <c r="R39" i="18"/>
  <c r="AL39" i="18"/>
  <c r="AE46" i="20"/>
  <c r="X61" i="18"/>
  <c r="X62" i="18"/>
  <c r="V57" i="18"/>
  <c r="T57" i="18"/>
  <c r="X59" i="18"/>
  <c r="R49" i="18"/>
  <c r="X60" i="18"/>
  <c r="X58" i="18"/>
  <c r="W65" i="18"/>
  <c r="W55" i="18" s="1"/>
  <c r="R61" i="18"/>
  <c r="N66" i="18"/>
  <c r="N58" i="18"/>
  <c r="N67" i="18"/>
  <c r="N59" i="18"/>
  <c r="R59" i="18" s="1"/>
  <c r="R62" i="18"/>
  <c r="N68" i="18"/>
  <c r="N60" i="18"/>
  <c r="R60" i="18" s="1"/>
  <c r="P57" i="18"/>
  <c r="AL23" i="18"/>
  <c r="AL46" i="18"/>
  <c r="AL24" i="18"/>
  <c r="AL48" i="18"/>
  <c r="AL22" i="18"/>
  <c r="O39" i="20"/>
  <c r="O38" i="20" s="1"/>
  <c r="C19" i="21"/>
  <c r="P169" i="20"/>
  <c r="D19" i="21"/>
  <c r="V169" i="20"/>
  <c r="AL26" i="18"/>
  <c r="AL47" i="18"/>
  <c r="AL25" i="18"/>
  <c r="AL61" i="18" s="1"/>
  <c r="AL49" i="18"/>
  <c r="AL45" i="18"/>
  <c r="N33" i="18"/>
  <c r="C5" i="21"/>
  <c r="AB32" i="17"/>
  <c r="AB36" i="17" s="1"/>
  <c r="R24" i="18"/>
  <c r="N70" i="18"/>
  <c r="N69" i="18"/>
  <c r="N32" i="18"/>
  <c r="N44" i="18"/>
  <c r="N29" i="18" s="1"/>
  <c r="X49" i="18"/>
  <c r="AH16" i="20"/>
  <c r="AI16" i="20" s="1"/>
  <c r="N31" i="18"/>
  <c r="K68" i="18"/>
  <c r="K62" i="18"/>
  <c r="Q55" i="18"/>
  <c r="N30" i="18"/>
  <c r="K69" i="18"/>
  <c r="AH14" i="20"/>
  <c r="AI14" i="20" s="1"/>
  <c r="AH17" i="20"/>
  <c r="AI17" i="20" s="1"/>
  <c r="K59" i="18"/>
  <c r="K61" i="18"/>
  <c r="K60" i="18"/>
  <c r="AH45" i="20"/>
  <c r="AI45" i="20" s="1"/>
  <c r="T32" i="18"/>
  <c r="AH36" i="20"/>
  <c r="L28" i="20"/>
  <c r="U51" i="20"/>
  <c r="U44" i="20"/>
  <c r="Z50" i="20"/>
  <c r="Z43" i="20"/>
  <c r="AA46" i="20"/>
  <c r="R126" i="20"/>
  <c r="U126" i="20"/>
  <c r="T126" i="20"/>
  <c r="S126" i="20"/>
  <c r="T31" i="18"/>
  <c r="Y39" i="20"/>
  <c r="Y38" i="20" s="1"/>
  <c r="L47" i="20"/>
  <c r="L40" i="20"/>
  <c r="Y46" i="20"/>
  <c r="U43" i="20"/>
  <c r="U50" i="20"/>
  <c r="Z42" i="20"/>
  <c r="Z49" i="20"/>
  <c r="R43" i="20"/>
  <c r="R50" i="20"/>
  <c r="T67" i="18"/>
  <c r="K67" i="18"/>
  <c r="L42" i="20"/>
  <c r="L49" i="20"/>
  <c r="F46" i="20"/>
  <c r="X55" i="20"/>
  <c r="AB55" i="20" s="1"/>
  <c r="X31" i="20"/>
  <c r="AB31" i="20" s="1"/>
  <c r="AB20" i="20"/>
  <c r="X30" i="20"/>
  <c r="AB30" i="20" s="1"/>
  <c r="X35" i="20"/>
  <c r="X25" i="20"/>
  <c r="X23" i="20"/>
  <c r="X32" i="20"/>
  <c r="AB32" i="20" s="1"/>
  <c r="X24" i="20"/>
  <c r="X33" i="20"/>
  <c r="AB33" i="20" s="1"/>
  <c r="X22" i="20"/>
  <c r="X21" i="20"/>
  <c r="X29" i="20"/>
  <c r="U28" i="20"/>
  <c r="R42" i="20"/>
  <c r="R49" i="20"/>
  <c r="AD12" i="20"/>
  <c r="AD18" i="20"/>
  <c r="AH13" i="20"/>
  <c r="AI13" i="20" s="1"/>
  <c r="N20" i="20"/>
  <c r="P19" i="20"/>
  <c r="U40" i="20"/>
  <c r="U47" i="20"/>
  <c r="F39" i="20"/>
  <c r="U42" i="20"/>
  <c r="U49" i="20"/>
  <c r="R28" i="20"/>
  <c r="T69" i="18"/>
  <c r="T66" i="18"/>
  <c r="R44" i="20"/>
  <c r="R51" i="20"/>
  <c r="T30" i="18"/>
  <c r="T44" i="18"/>
  <c r="T29" i="18" s="1"/>
  <c r="Z28" i="20"/>
  <c r="L43" i="20"/>
  <c r="L50" i="20"/>
  <c r="AG50" i="20"/>
  <c r="AG43" i="20"/>
  <c r="G65" i="18"/>
  <c r="R48" i="20"/>
  <c r="R41" i="20"/>
  <c r="T70" i="18"/>
  <c r="Z41" i="20"/>
  <c r="Z48" i="20"/>
  <c r="AF12" i="20"/>
  <c r="AF19" i="20" s="1"/>
  <c r="AF20" i="20" s="1"/>
  <c r="L41" i="20"/>
  <c r="L48" i="20"/>
  <c r="H29" i="20"/>
  <c r="H30" i="20"/>
  <c r="J30" i="20" s="1"/>
  <c r="H23" i="20"/>
  <c r="H35" i="20"/>
  <c r="H24" i="20"/>
  <c r="H25" i="20"/>
  <c r="H31" i="20"/>
  <c r="J31" i="20" s="1"/>
  <c r="H33" i="20"/>
  <c r="J33" i="20" s="1"/>
  <c r="H21" i="20"/>
  <c r="H22" i="20"/>
  <c r="H32" i="20"/>
  <c r="J32" i="20" s="1"/>
  <c r="H52" i="20"/>
  <c r="J52" i="20" s="1"/>
  <c r="J20" i="20"/>
  <c r="J126" i="20" s="1"/>
  <c r="G57" i="18"/>
  <c r="R40" i="20"/>
  <c r="R47" i="20"/>
  <c r="AH15" i="20"/>
  <c r="AI15" i="20" s="1"/>
  <c r="T33" i="18"/>
  <c r="Z51" i="20"/>
  <c r="Z44" i="20"/>
  <c r="T33" i="20"/>
  <c r="V33" i="20" s="1"/>
  <c r="T32" i="20"/>
  <c r="V32" i="20" s="1"/>
  <c r="T22" i="20"/>
  <c r="T21" i="20"/>
  <c r="T31" i="20"/>
  <c r="V31" i="20" s="1"/>
  <c r="T29" i="20"/>
  <c r="V29" i="20" s="1"/>
  <c r="T25" i="20"/>
  <c r="T24" i="20"/>
  <c r="V24" i="20" s="1"/>
  <c r="T23" i="20"/>
  <c r="V23" i="20" s="1"/>
  <c r="T35" i="20"/>
  <c r="V35" i="20" s="1"/>
  <c r="T30" i="20"/>
  <c r="S46" i="20"/>
  <c r="K30" i="18"/>
  <c r="K70" i="18"/>
  <c r="L44" i="20"/>
  <c r="L51" i="20"/>
  <c r="U48" i="20"/>
  <c r="U41" i="20"/>
  <c r="T68" i="18"/>
  <c r="Z47" i="20"/>
  <c r="Z40" i="20"/>
  <c r="AA39" i="20"/>
  <c r="AA38" i="20" s="1"/>
  <c r="S39" i="20"/>
  <c r="S38" i="20" s="1"/>
  <c r="R71" i="18"/>
  <c r="P41" i="18"/>
  <c r="X41" i="18"/>
  <c r="D13" i="21" s="1"/>
  <c r="U40" i="18"/>
  <c r="X47" i="18"/>
  <c r="V32" i="18"/>
  <c r="X46" i="18"/>
  <c r="V31" i="18"/>
  <c r="K44" i="18"/>
  <c r="I29" i="18"/>
  <c r="R45" i="18"/>
  <c r="P30" i="18"/>
  <c r="R47" i="18"/>
  <c r="P32" i="18"/>
  <c r="K33" i="18"/>
  <c r="R46" i="18"/>
  <c r="P31" i="18"/>
  <c r="X48" i="18"/>
  <c r="V33" i="18"/>
  <c r="K31" i="18"/>
  <c r="R48" i="18"/>
  <c r="P33" i="18"/>
  <c r="V30" i="18"/>
  <c r="K32" i="18"/>
  <c r="AD29" i="17"/>
  <c r="AD23" i="17"/>
  <c r="AD25" i="17"/>
  <c r="AD24" i="17"/>
  <c r="AD27" i="17"/>
  <c r="AD30" i="17"/>
  <c r="AD26" i="17"/>
  <c r="AD31" i="17"/>
  <c r="H54" i="18"/>
  <c r="H38" i="18" s="1"/>
  <c r="H36" i="18" s="1"/>
  <c r="H35" i="18" s="1"/>
  <c r="G54" i="18"/>
  <c r="G38" i="18" s="1"/>
  <c r="G36" i="18" s="1"/>
  <c r="I54" i="18"/>
  <c r="D5" i="21"/>
  <c r="E27" i="17"/>
  <c r="G27" i="17" s="1"/>
  <c r="E24" i="17"/>
  <c r="G24" i="17" s="1"/>
  <c r="E23" i="17"/>
  <c r="G23" i="17" s="1"/>
  <c r="E26" i="17"/>
  <c r="G26" i="17" s="1"/>
  <c r="E31" i="17"/>
  <c r="G31" i="17" s="1"/>
  <c r="E30" i="17"/>
  <c r="G30" i="17" s="1"/>
  <c r="E29" i="17"/>
  <c r="G29" i="17" s="1"/>
  <c r="E25" i="17"/>
  <c r="G25" i="17" s="1"/>
  <c r="V69" i="18"/>
  <c r="X25" i="18"/>
  <c r="AK20" i="18"/>
  <c r="AM20" i="18" s="1"/>
  <c r="AM13" i="18"/>
  <c r="AN13" i="18" s="1"/>
  <c r="P70" i="18"/>
  <c r="X52" i="18"/>
  <c r="X37" i="18" s="1"/>
  <c r="AK19" i="18"/>
  <c r="AK52" i="18" s="1"/>
  <c r="AK37" i="18" s="1"/>
  <c r="AM14" i="18"/>
  <c r="AN14" i="18" s="1"/>
  <c r="V70" i="18"/>
  <c r="X26" i="18"/>
  <c r="V44" i="18"/>
  <c r="X45" i="18"/>
  <c r="AI77" i="18"/>
  <c r="AI46" i="18"/>
  <c r="AI45" i="18"/>
  <c r="AI48" i="18"/>
  <c r="AI47" i="18"/>
  <c r="AI25" i="18"/>
  <c r="AI61" i="18" s="1"/>
  <c r="AI22" i="18"/>
  <c r="AI58" i="18" s="1"/>
  <c r="AI23" i="18"/>
  <c r="AI59" i="18" s="1"/>
  <c r="AI24" i="18"/>
  <c r="AI60" i="18" s="1"/>
  <c r="AI71" i="18"/>
  <c r="AI41" i="18" s="1"/>
  <c r="AI26" i="18"/>
  <c r="AI62" i="18" s="1"/>
  <c r="AI49" i="18"/>
  <c r="P69" i="18"/>
  <c r="Y25" i="17"/>
  <c r="V66" i="18"/>
  <c r="X22" i="18"/>
  <c r="P66" i="18"/>
  <c r="AE22" i="18"/>
  <c r="AE58" i="18" s="1"/>
  <c r="AE24" i="18"/>
  <c r="AE60" i="18" s="1"/>
  <c r="AE46" i="18"/>
  <c r="AE23" i="18"/>
  <c r="AE59" i="18" s="1"/>
  <c r="AE25" i="18"/>
  <c r="AE61" i="18" s="1"/>
  <c r="AE47" i="18"/>
  <c r="AE48" i="18"/>
  <c r="AE26" i="18"/>
  <c r="AE62" i="18" s="1"/>
  <c r="AE45" i="18"/>
  <c r="AE49" i="18"/>
  <c r="AG21" i="18"/>
  <c r="Y21" i="18" s="1"/>
  <c r="V67" i="18"/>
  <c r="X23" i="18"/>
  <c r="R25" i="18"/>
  <c r="R22" i="18"/>
  <c r="R26" i="18"/>
  <c r="P67" i="18"/>
  <c r="R23" i="18"/>
  <c r="I65" i="18"/>
  <c r="K66" i="18"/>
  <c r="P68" i="18"/>
  <c r="I57" i="18"/>
  <c r="K58" i="18"/>
  <c r="V68" i="18"/>
  <c r="X24" i="18"/>
  <c r="P44" i="18"/>
  <c r="Y24" i="17"/>
  <c r="Y27" i="17"/>
  <c r="K20" i="17"/>
  <c r="M19" i="17"/>
  <c r="W22" i="17"/>
  <c r="Q22" i="17"/>
  <c r="S22" i="17" s="1"/>
  <c r="AC19" i="17"/>
  <c r="AE19" i="17" s="1"/>
  <c r="AF19" i="17" s="1"/>
  <c r="AE12" i="17"/>
  <c r="AF12" i="17" s="1"/>
  <c r="Y31" i="17"/>
  <c r="Y26" i="17"/>
  <c r="O102" i="17"/>
  <c r="U104" i="17"/>
  <c r="Q102" i="17"/>
  <c r="W104" i="17"/>
  <c r="P102" i="17"/>
  <c r="V104" i="17"/>
  <c r="R102" i="17"/>
  <c r="X104" i="17"/>
  <c r="U22" i="17"/>
  <c r="Y23" i="17"/>
  <c r="AA27" i="17"/>
  <c r="AA34" i="17"/>
  <c r="AE34" i="17" s="1"/>
  <c r="AF34" i="17" s="1"/>
  <c r="AA24" i="17"/>
  <c r="AA26" i="17"/>
  <c r="AA25" i="17"/>
  <c r="AA23" i="17"/>
  <c r="AA31" i="17"/>
  <c r="AA30" i="17"/>
  <c r="I32" i="17"/>
  <c r="I36" i="17" s="1"/>
  <c r="L28" i="17"/>
  <c r="C32" i="17"/>
  <c r="L22" i="17"/>
  <c r="O20" i="7"/>
  <c r="S20" i="7" s="1"/>
  <c r="S19" i="7"/>
  <c r="O24" i="7"/>
  <c r="S24" i="7" s="1"/>
  <c r="G24" i="7"/>
  <c r="G20" i="7"/>
  <c r="AF194" i="36" l="1"/>
  <c r="AF54" i="36" s="1"/>
  <c r="AG71" i="18"/>
  <c r="AH194" i="36"/>
  <c r="AH54" i="36" s="1"/>
  <c r="M29" i="36"/>
  <c r="AM212" i="36"/>
  <c r="AM211" i="36" s="1"/>
  <c r="AM63" i="36" s="1"/>
  <c r="AM56" i="36" s="1"/>
  <c r="AG40" i="20"/>
  <c r="R62" i="30"/>
  <c r="K31" i="31"/>
  <c r="AN212" i="36"/>
  <c r="AN211" i="36" s="1"/>
  <c r="AN63" i="36" s="1"/>
  <c r="AN56" i="36" s="1"/>
  <c r="T57" i="36"/>
  <c r="AI69" i="36"/>
  <c r="AG41" i="20"/>
  <c r="AK212" i="36"/>
  <c r="AK211" i="36" s="1"/>
  <c r="K60" i="31"/>
  <c r="AN57" i="36"/>
  <c r="J55" i="30"/>
  <c r="J40" i="30" s="1"/>
  <c r="K69" i="31"/>
  <c r="AI211" i="36"/>
  <c r="AI31" i="36"/>
  <c r="P57" i="31"/>
  <c r="P56" i="31" s="1"/>
  <c r="K44" i="30"/>
  <c r="K29" i="30" s="1"/>
  <c r="J51" i="18"/>
  <c r="T150" i="18"/>
  <c r="T148" i="18" s="1"/>
  <c r="U150" i="18"/>
  <c r="U148" i="18" s="1"/>
  <c r="W150" i="18"/>
  <c r="W148" i="18" s="1"/>
  <c r="V150" i="18"/>
  <c r="V148" i="18" s="1"/>
  <c r="C57" i="62"/>
  <c r="C109" i="62" s="1"/>
  <c r="AG151" i="18"/>
  <c r="AG168" i="18"/>
  <c r="E109" i="62"/>
  <c r="C109" i="57"/>
  <c r="E109" i="57"/>
  <c r="C103" i="50"/>
  <c r="E103" i="50"/>
  <c r="C109" i="55"/>
  <c r="E109" i="55"/>
  <c r="AG28" i="20"/>
  <c r="G103" i="50"/>
  <c r="G4" i="50"/>
  <c r="O55" i="31"/>
  <c r="O40" i="31" s="1"/>
  <c r="G4" i="44"/>
  <c r="AG51" i="20"/>
  <c r="X30" i="31"/>
  <c r="AI32" i="36"/>
  <c r="E99" i="44"/>
  <c r="AI33" i="36"/>
  <c r="AM20" i="32"/>
  <c r="G99" i="44"/>
  <c r="AE31" i="31"/>
  <c r="T100" i="36"/>
  <c r="AG65" i="36"/>
  <c r="AG55" i="36" s="1"/>
  <c r="AG40" i="36" s="1"/>
  <c r="K50" i="36"/>
  <c r="K75" i="36" s="1"/>
  <c r="K79" i="36" s="1"/>
  <c r="K61" i="31"/>
  <c r="AM65" i="36"/>
  <c r="AM55" i="36" s="1"/>
  <c r="AM40" i="36" s="1"/>
  <c r="K35" i="36"/>
  <c r="AM57" i="36"/>
  <c r="AG41" i="31"/>
  <c r="V32" i="31"/>
  <c r="K32" i="31"/>
  <c r="AI68" i="36"/>
  <c r="AH65" i="36"/>
  <c r="AH55" i="36" s="1"/>
  <c r="AH40" i="36" s="1"/>
  <c r="AG57" i="36"/>
  <c r="AI63" i="36"/>
  <c r="AE56" i="36"/>
  <c r="AI70" i="36"/>
  <c r="AI54" i="36"/>
  <c r="AI38" i="36" s="1"/>
  <c r="AI36" i="36" s="1"/>
  <c r="AE38" i="36"/>
  <c r="AE36" i="36" s="1"/>
  <c r="AE51" i="36"/>
  <c r="Q38" i="36"/>
  <c r="Q36" i="36" s="1"/>
  <c r="Q51" i="36"/>
  <c r="Q50" i="36" s="1"/>
  <c r="AG49" i="31"/>
  <c r="M124" i="36"/>
  <c r="M123" i="36"/>
  <c r="M105" i="36"/>
  <c r="M104" i="36"/>
  <c r="R38" i="36"/>
  <c r="R36" i="36" s="1"/>
  <c r="R51" i="36"/>
  <c r="R50" i="36" s="1"/>
  <c r="X33" i="31"/>
  <c r="AK45" i="36"/>
  <c r="AK26" i="36"/>
  <c r="AK48" i="36"/>
  <c r="AK24" i="36"/>
  <c r="AK25" i="36"/>
  <c r="AK71" i="36"/>
  <c r="AK23" i="36"/>
  <c r="AK47" i="36"/>
  <c r="AK22" i="36"/>
  <c r="AK77" i="36"/>
  <c r="AO77" i="36" s="1"/>
  <c r="AP77" i="36" s="1"/>
  <c r="AK46" i="36"/>
  <c r="AO21" i="36"/>
  <c r="AK49" i="36"/>
  <c r="AO49" i="36" s="1"/>
  <c r="AP49" i="36" s="1"/>
  <c r="AK39" i="36"/>
  <c r="AM29" i="36"/>
  <c r="S38" i="36"/>
  <c r="S36" i="36" s="1"/>
  <c r="S51" i="36"/>
  <c r="S50" i="36" s="1"/>
  <c r="AE33" i="31"/>
  <c r="V32" i="32"/>
  <c r="Y38" i="36"/>
  <c r="Y36" i="36" s="1"/>
  <c r="Y51" i="36"/>
  <c r="Y50" i="36" s="1"/>
  <c r="AE65" i="36"/>
  <c r="AI66" i="36"/>
  <c r="I50" i="36"/>
  <c r="M51" i="36"/>
  <c r="AF29" i="36"/>
  <c r="AH57" i="36"/>
  <c r="AI30" i="36"/>
  <c r="K70" i="31"/>
  <c r="T103" i="36"/>
  <c r="F103" i="36"/>
  <c r="T29" i="36"/>
  <c r="AE57" i="36"/>
  <c r="AI58" i="36"/>
  <c r="X57" i="36"/>
  <c r="Z57" i="36" s="1"/>
  <c r="AE29" i="36"/>
  <c r="AI44" i="36"/>
  <c r="AI29" i="36" s="1"/>
  <c r="AL29" i="36"/>
  <c r="V38" i="36"/>
  <c r="V36" i="36" s="1"/>
  <c r="Z54" i="36"/>
  <c r="Z38" i="36" s="1"/>
  <c r="Z36" i="36" s="1"/>
  <c r="V51" i="36"/>
  <c r="V33" i="31"/>
  <c r="Z66" i="36"/>
  <c r="X65" i="36"/>
  <c r="X55" i="36" s="1"/>
  <c r="X40" i="36" s="1"/>
  <c r="V55" i="36"/>
  <c r="U57" i="32"/>
  <c r="H55" i="30"/>
  <c r="H40" i="30" s="1"/>
  <c r="K30" i="31"/>
  <c r="T65" i="36"/>
  <c r="P55" i="36"/>
  <c r="AG29" i="36"/>
  <c r="AL57" i="36"/>
  <c r="AN55" i="36"/>
  <c r="AN40" i="36" s="1"/>
  <c r="AI67" i="36"/>
  <c r="U65" i="32"/>
  <c r="U55" i="32" s="1"/>
  <c r="U40" i="32" s="1"/>
  <c r="X30" i="32"/>
  <c r="AF31" i="32"/>
  <c r="AJ32" i="32"/>
  <c r="V31" i="30"/>
  <c r="AF57" i="36"/>
  <c r="AI61" i="36"/>
  <c r="M55" i="36"/>
  <c r="I40" i="36"/>
  <c r="I35" i="36" s="1"/>
  <c r="AL65" i="36"/>
  <c r="AL55" i="36" s="1"/>
  <c r="AL40" i="36" s="1"/>
  <c r="AI59" i="36"/>
  <c r="V33" i="32"/>
  <c r="AF65" i="36"/>
  <c r="AF55" i="36" s="1"/>
  <c r="AF40" i="36" s="1"/>
  <c r="M65" i="36"/>
  <c r="AL65" i="31"/>
  <c r="AF38" i="36"/>
  <c r="AF36" i="36" s="1"/>
  <c r="AF51" i="36"/>
  <c r="X29" i="36"/>
  <c r="W38" i="36"/>
  <c r="W36" i="36" s="1"/>
  <c r="W51" i="36"/>
  <c r="W50" i="36" s="1"/>
  <c r="R31" i="30"/>
  <c r="X38" i="36"/>
  <c r="X36" i="36" s="1"/>
  <c r="X51" i="36"/>
  <c r="AI60" i="36"/>
  <c r="F100" i="36"/>
  <c r="AG38" i="36"/>
  <c r="AG36" i="36" s="1"/>
  <c r="AG51" i="36"/>
  <c r="AP52" i="36"/>
  <c r="AO37" i="36"/>
  <c r="Q55" i="31"/>
  <c r="Q40" i="31" s="1"/>
  <c r="AI62" i="36"/>
  <c r="AH38" i="36"/>
  <c r="AH36" i="36" s="1"/>
  <c r="AH51" i="36"/>
  <c r="Z58" i="36"/>
  <c r="AH29" i="36"/>
  <c r="P38" i="36"/>
  <c r="P36" i="36" s="1"/>
  <c r="T54" i="36"/>
  <c r="T38" i="36" s="1"/>
  <c r="T36" i="36" s="1"/>
  <c r="P51" i="36"/>
  <c r="K65" i="18"/>
  <c r="U57" i="30"/>
  <c r="U56" i="30" s="1"/>
  <c r="R60" i="30"/>
  <c r="X46" i="30"/>
  <c r="V32" i="30"/>
  <c r="R30" i="30"/>
  <c r="R70" i="30"/>
  <c r="I57" i="30"/>
  <c r="I56" i="30" s="1"/>
  <c r="AK65" i="30"/>
  <c r="AK57" i="30"/>
  <c r="I65" i="30"/>
  <c r="K65" i="30" s="1"/>
  <c r="X33" i="30"/>
  <c r="AI21" i="30"/>
  <c r="AI76" i="30" s="1"/>
  <c r="AM76" i="30" s="1"/>
  <c r="AN76" i="30" s="1"/>
  <c r="G4" i="34"/>
  <c r="V31" i="31"/>
  <c r="R24" i="31"/>
  <c r="N60" i="31"/>
  <c r="R60" i="31" s="1"/>
  <c r="N68" i="31"/>
  <c r="R68" i="31" s="1"/>
  <c r="AE41" i="32"/>
  <c r="AK29" i="31"/>
  <c r="P29" i="30"/>
  <c r="AC31" i="32"/>
  <c r="AC33" i="30"/>
  <c r="AG48" i="30"/>
  <c r="T29" i="30"/>
  <c r="N41" i="32"/>
  <c r="R71" i="32"/>
  <c r="R41" i="32" s="1"/>
  <c r="AC30" i="31"/>
  <c r="AG45" i="31"/>
  <c r="AC44" i="31"/>
  <c r="R69" i="30"/>
  <c r="V60" i="32"/>
  <c r="X60" i="32" s="1"/>
  <c r="V68" i="32"/>
  <c r="X68" i="32" s="1"/>
  <c r="AJ62" i="32"/>
  <c r="AJ70" i="32"/>
  <c r="AG41" i="30"/>
  <c r="T65" i="30"/>
  <c r="U57" i="31"/>
  <c r="U56" i="31" s="1"/>
  <c r="I57" i="31"/>
  <c r="I56" i="31" s="1"/>
  <c r="T57" i="30"/>
  <c r="U65" i="31"/>
  <c r="AN53" i="31"/>
  <c r="I65" i="31"/>
  <c r="AF57" i="31"/>
  <c r="AE46" i="32"/>
  <c r="AE49" i="32"/>
  <c r="AG49" i="32" s="1"/>
  <c r="AE23" i="32"/>
  <c r="AE47" i="32"/>
  <c r="AG47" i="32" s="1"/>
  <c r="AE22" i="32"/>
  <c r="AG22" i="32" s="1"/>
  <c r="AE45" i="32"/>
  <c r="AE26" i="32"/>
  <c r="AG26" i="32" s="1"/>
  <c r="AE25" i="32"/>
  <c r="AG25" i="32" s="1"/>
  <c r="AE24" i="32"/>
  <c r="AG24" i="32" s="1"/>
  <c r="AE48" i="32"/>
  <c r="AC59" i="32"/>
  <c r="AC67" i="32"/>
  <c r="AN20" i="31"/>
  <c r="AA20" i="31" s="1"/>
  <c r="Z20" i="31"/>
  <c r="AF30" i="32"/>
  <c r="AF44" i="32"/>
  <c r="AJ59" i="32"/>
  <c r="AJ67" i="32"/>
  <c r="AD29" i="32"/>
  <c r="AF69" i="32"/>
  <c r="AF61" i="32"/>
  <c r="AJ44" i="32"/>
  <c r="AJ30" i="32"/>
  <c r="V61" i="30"/>
  <c r="X61" i="30" s="1"/>
  <c r="V69" i="30"/>
  <c r="X69" i="30" s="1"/>
  <c r="K62" i="31"/>
  <c r="AF65" i="31"/>
  <c r="Q147" i="30"/>
  <c r="Q54" i="30" s="1"/>
  <c r="P147" i="30"/>
  <c r="P54" i="30" s="1"/>
  <c r="O147" i="30"/>
  <c r="O54" i="30" s="1"/>
  <c r="N147" i="30"/>
  <c r="N54" i="30" s="1"/>
  <c r="N31" i="32"/>
  <c r="R46" i="32"/>
  <c r="V67" i="31"/>
  <c r="X67" i="31" s="1"/>
  <c r="V59" i="31"/>
  <c r="X59" i="31" s="1"/>
  <c r="N30" i="31"/>
  <c r="N44" i="31"/>
  <c r="R45" i="31"/>
  <c r="AE37" i="32"/>
  <c r="X47" i="32"/>
  <c r="X32" i="32" s="1"/>
  <c r="AC33" i="32"/>
  <c r="AE62" i="31"/>
  <c r="AE70" i="31"/>
  <c r="AG24" i="30"/>
  <c r="AC60" i="30"/>
  <c r="AG60" i="30" s="1"/>
  <c r="AC68" i="30"/>
  <c r="AG68" i="30" s="1"/>
  <c r="N32" i="32"/>
  <c r="R47" i="32"/>
  <c r="P57" i="32"/>
  <c r="AC70" i="31"/>
  <c r="AG26" i="31"/>
  <c r="AC62" i="31"/>
  <c r="V58" i="31"/>
  <c r="X58" i="31" s="1"/>
  <c r="V66" i="31"/>
  <c r="N58" i="31"/>
  <c r="N66" i="31"/>
  <c r="R22" i="31"/>
  <c r="T57" i="32"/>
  <c r="K33" i="31"/>
  <c r="AC32" i="32"/>
  <c r="AE67" i="31"/>
  <c r="AE59" i="31"/>
  <c r="N65" i="30"/>
  <c r="R66" i="30"/>
  <c r="AG45" i="30"/>
  <c r="AC44" i="30"/>
  <c r="AG44" i="30" s="1"/>
  <c r="AG29" i="30" s="1"/>
  <c r="AC30" i="30"/>
  <c r="K66" i="30"/>
  <c r="T29" i="31"/>
  <c r="N33" i="32"/>
  <c r="R48" i="32"/>
  <c r="P65" i="32"/>
  <c r="P55" i="32" s="1"/>
  <c r="P40" i="32" s="1"/>
  <c r="AC69" i="31"/>
  <c r="AC61" i="31"/>
  <c r="AG25" i="31"/>
  <c r="V70" i="32"/>
  <c r="X70" i="32" s="1"/>
  <c r="V62" i="32"/>
  <c r="X62" i="32" s="1"/>
  <c r="AF33" i="32"/>
  <c r="AJ33" i="32"/>
  <c r="X33" i="32"/>
  <c r="V67" i="30"/>
  <c r="X67" i="30" s="1"/>
  <c r="V59" i="30"/>
  <c r="X59" i="30" s="1"/>
  <c r="R44" i="30"/>
  <c r="R29" i="30" s="1"/>
  <c r="N29" i="30"/>
  <c r="J55" i="31"/>
  <c r="J40" i="31" s="1"/>
  <c r="X23" i="30"/>
  <c r="V30" i="31"/>
  <c r="V44" i="31"/>
  <c r="N31" i="31"/>
  <c r="R46" i="31"/>
  <c r="T65" i="32"/>
  <c r="T55" i="32" s="1"/>
  <c r="Z20" i="30"/>
  <c r="AN20" i="30"/>
  <c r="AA20" i="30" s="1"/>
  <c r="P57" i="30"/>
  <c r="P56" i="30" s="1"/>
  <c r="I38" i="32"/>
  <c r="I36" i="32" s="1"/>
  <c r="I51" i="32"/>
  <c r="K68" i="31"/>
  <c r="AE68" i="31"/>
  <c r="AE60" i="31"/>
  <c r="X23" i="31"/>
  <c r="AC67" i="30"/>
  <c r="AG67" i="30" s="1"/>
  <c r="AC59" i="30"/>
  <c r="AG59" i="30" s="1"/>
  <c r="AG23" i="30"/>
  <c r="N66" i="32"/>
  <c r="N58" i="32"/>
  <c r="R22" i="32"/>
  <c r="I65" i="32"/>
  <c r="I55" i="32" s="1"/>
  <c r="I40" i="32" s="1"/>
  <c r="AC33" i="31"/>
  <c r="AG48" i="31"/>
  <c r="W29" i="32"/>
  <c r="V67" i="32"/>
  <c r="X67" i="32" s="1"/>
  <c r="V59" i="32"/>
  <c r="X59" i="32" s="1"/>
  <c r="AF62" i="32"/>
  <c r="AF70" i="32"/>
  <c r="V33" i="30"/>
  <c r="W57" i="30"/>
  <c r="W56" i="30" s="1"/>
  <c r="T29" i="32"/>
  <c r="W145" i="31"/>
  <c r="W54" i="31"/>
  <c r="AJ164" i="31"/>
  <c r="AI63" i="31"/>
  <c r="N69" i="31"/>
  <c r="R69" i="31" s="1"/>
  <c r="N61" i="31"/>
  <c r="R61" i="31" s="1"/>
  <c r="R25" i="31"/>
  <c r="P65" i="30"/>
  <c r="AC58" i="32"/>
  <c r="AC66" i="32"/>
  <c r="H38" i="32"/>
  <c r="H36" i="32" s="1"/>
  <c r="H35" i="32" s="1"/>
  <c r="H51" i="32"/>
  <c r="H50" i="32" s="1"/>
  <c r="H74" i="32" s="1"/>
  <c r="H78" i="32" s="1"/>
  <c r="AL24" i="32"/>
  <c r="AL23" i="32"/>
  <c r="AL47" i="32"/>
  <c r="AL22" i="32"/>
  <c r="AL48" i="32"/>
  <c r="AL71" i="32"/>
  <c r="AL41" i="32" s="1"/>
  <c r="AL49" i="32"/>
  <c r="AL46" i="32"/>
  <c r="AL25" i="32"/>
  <c r="AL26" i="32"/>
  <c r="AL45" i="32"/>
  <c r="AE58" i="31"/>
  <c r="AE66" i="31"/>
  <c r="N57" i="30"/>
  <c r="R58" i="30"/>
  <c r="AC70" i="30"/>
  <c r="AG70" i="30" s="1"/>
  <c r="AG26" i="30"/>
  <c r="AC62" i="30"/>
  <c r="AG62" i="30" s="1"/>
  <c r="N44" i="32"/>
  <c r="N30" i="32"/>
  <c r="R45" i="32"/>
  <c r="I57" i="32"/>
  <c r="K57" i="32" s="1"/>
  <c r="AG46" i="31"/>
  <c r="AC31" i="31"/>
  <c r="AI52" i="32"/>
  <c r="AI21" i="32"/>
  <c r="AM19" i="32"/>
  <c r="Z19" i="32" s="1"/>
  <c r="V30" i="32"/>
  <c r="V44" i="32"/>
  <c r="T145" i="32"/>
  <c r="T54" i="32"/>
  <c r="AL39" i="32"/>
  <c r="W65" i="30"/>
  <c r="T145" i="31"/>
  <c r="T54" i="31"/>
  <c r="AD164" i="31"/>
  <c r="AC63" i="31"/>
  <c r="AK48" i="32"/>
  <c r="AK47" i="32"/>
  <c r="AK71" i="32"/>
  <c r="AK41" i="32" s="1"/>
  <c r="AK45" i="32"/>
  <c r="AK46" i="32"/>
  <c r="AK26" i="32"/>
  <c r="AK25" i="32"/>
  <c r="AK24" i="32"/>
  <c r="AK22" i="32"/>
  <c r="AK49" i="32"/>
  <c r="AK23" i="32"/>
  <c r="N59" i="31"/>
  <c r="R59" i="31" s="1"/>
  <c r="R23" i="31"/>
  <c r="N67" i="31"/>
  <c r="R67" i="31" s="1"/>
  <c r="W29" i="31"/>
  <c r="J38" i="30"/>
  <c r="J36" i="30" s="1"/>
  <c r="J35" i="30" s="1"/>
  <c r="J51" i="30"/>
  <c r="J50" i="30" s="1"/>
  <c r="J74" i="30" s="1"/>
  <c r="J78" i="30" s="1"/>
  <c r="N41" i="31"/>
  <c r="R71" i="31"/>
  <c r="R41" i="31" s="1"/>
  <c r="R68" i="30"/>
  <c r="P65" i="31"/>
  <c r="P55" i="31" s="1"/>
  <c r="P40" i="31" s="1"/>
  <c r="AL29" i="31"/>
  <c r="AG21" i="32"/>
  <c r="J38" i="32"/>
  <c r="J36" i="32" s="1"/>
  <c r="J35" i="32" s="1"/>
  <c r="J51" i="32"/>
  <c r="J50" i="32" s="1"/>
  <c r="J74" i="32" s="1"/>
  <c r="J78" i="32" s="1"/>
  <c r="AF29" i="31"/>
  <c r="AL37" i="32"/>
  <c r="AE69" i="31"/>
  <c r="AE61" i="31"/>
  <c r="N59" i="32"/>
  <c r="R59" i="32" s="1"/>
  <c r="N67" i="32"/>
  <c r="R67" i="32" s="1"/>
  <c r="R23" i="32"/>
  <c r="AC66" i="31"/>
  <c r="AC58" i="31"/>
  <c r="AG22" i="31"/>
  <c r="X46" i="31"/>
  <c r="H55" i="31"/>
  <c r="H40" i="31" s="1"/>
  <c r="AF67" i="32"/>
  <c r="AF59" i="32"/>
  <c r="R32" i="30"/>
  <c r="V58" i="30"/>
  <c r="V66" i="30"/>
  <c r="X66" i="30" s="1"/>
  <c r="W145" i="32"/>
  <c r="W54" i="32"/>
  <c r="AL57" i="31"/>
  <c r="K44" i="31"/>
  <c r="K29" i="31" s="1"/>
  <c r="G29" i="31"/>
  <c r="K66" i="32"/>
  <c r="W65" i="32"/>
  <c r="W55" i="32" s="1"/>
  <c r="W40" i="32" s="1"/>
  <c r="AM13" i="32"/>
  <c r="AN13" i="32" s="1"/>
  <c r="R33" i="30"/>
  <c r="U145" i="31"/>
  <c r="U54" i="31"/>
  <c r="AN53" i="32"/>
  <c r="AE29" i="30"/>
  <c r="J147" i="31"/>
  <c r="J54" i="31" s="1"/>
  <c r="I147" i="31"/>
  <c r="I54" i="31" s="1"/>
  <c r="H147" i="31"/>
  <c r="H54" i="31" s="1"/>
  <c r="G147" i="31"/>
  <c r="G54" i="31" s="1"/>
  <c r="V62" i="31"/>
  <c r="X62" i="31" s="1"/>
  <c r="V70" i="31"/>
  <c r="X70" i="31" s="1"/>
  <c r="K54" i="30"/>
  <c r="K38" i="30" s="1"/>
  <c r="K36" i="30" s="1"/>
  <c r="G38" i="30"/>
  <c r="G36" i="30" s="1"/>
  <c r="G51" i="30"/>
  <c r="U29" i="30"/>
  <c r="AC68" i="32"/>
  <c r="AC60" i="32"/>
  <c r="K54" i="32"/>
  <c r="K38" i="32" s="1"/>
  <c r="K36" i="32" s="1"/>
  <c r="G38" i="32"/>
  <c r="G36" i="32" s="1"/>
  <c r="G51" i="32"/>
  <c r="AE30" i="31"/>
  <c r="AE44" i="31"/>
  <c r="Y21" i="30"/>
  <c r="AG39" i="30"/>
  <c r="R147" i="32"/>
  <c r="L21" i="32"/>
  <c r="R39" i="32"/>
  <c r="N60" i="32"/>
  <c r="R60" i="32" s="1"/>
  <c r="N68" i="32"/>
  <c r="R68" i="32" s="1"/>
  <c r="R24" i="32"/>
  <c r="AG47" i="31"/>
  <c r="AC32" i="31"/>
  <c r="V66" i="32"/>
  <c r="V58" i="32"/>
  <c r="AJ58" i="32"/>
  <c r="AJ66" i="32"/>
  <c r="V60" i="30"/>
  <c r="X60" i="30" s="1"/>
  <c r="V68" i="30"/>
  <c r="X68" i="30" s="1"/>
  <c r="U145" i="32"/>
  <c r="U54" i="32"/>
  <c r="G55" i="32"/>
  <c r="W57" i="32"/>
  <c r="V145" i="31"/>
  <c r="V54" i="31"/>
  <c r="V147" i="30"/>
  <c r="W147" i="30"/>
  <c r="T147" i="30"/>
  <c r="U147" i="30"/>
  <c r="I38" i="30"/>
  <c r="I36" i="30" s="1"/>
  <c r="I51" i="30"/>
  <c r="P29" i="32"/>
  <c r="R48" i="31"/>
  <c r="N33" i="31"/>
  <c r="AC61" i="32"/>
  <c r="AC69" i="32"/>
  <c r="AE65" i="30"/>
  <c r="AG46" i="30"/>
  <c r="AC31" i="30"/>
  <c r="N61" i="32"/>
  <c r="R61" i="32" s="1"/>
  <c r="N69" i="32"/>
  <c r="R69" i="32" s="1"/>
  <c r="R25" i="32"/>
  <c r="AK29" i="30"/>
  <c r="U65" i="30"/>
  <c r="U55" i="30" s="1"/>
  <c r="U40" i="30" s="1"/>
  <c r="V31" i="32"/>
  <c r="AJ69" i="32"/>
  <c r="AJ61" i="32"/>
  <c r="V70" i="30"/>
  <c r="X70" i="30" s="1"/>
  <c r="V62" i="30"/>
  <c r="X62" i="30" s="1"/>
  <c r="AM19" i="31"/>
  <c r="AI52" i="31"/>
  <c r="AI21" i="31"/>
  <c r="V145" i="32"/>
  <c r="V54" i="32"/>
  <c r="K66" i="31"/>
  <c r="G65" i="31"/>
  <c r="W65" i="31"/>
  <c r="AM148" i="32"/>
  <c r="H38" i="30"/>
  <c r="H36" i="30" s="1"/>
  <c r="H35" i="30" s="1"/>
  <c r="H51" i="30"/>
  <c r="R26" i="31"/>
  <c r="N70" i="31"/>
  <c r="R70" i="31" s="1"/>
  <c r="N62" i="31"/>
  <c r="R62" i="31" s="1"/>
  <c r="AM148" i="31"/>
  <c r="AG147" i="31"/>
  <c r="Z20" i="32"/>
  <c r="AN20" i="32"/>
  <c r="AA20" i="32" s="1"/>
  <c r="U29" i="31"/>
  <c r="AC32" i="30"/>
  <c r="AG47" i="30"/>
  <c r="N70" i="32"/>
  <c r="R70" i="32" s="1"/>
  <c r="N62" i="32"/>
  <c r="R62" i="32" s="1"/>
  <c r="R26" i="32"/>
  <c r="AG39" i="31"/>
  <c r="Y21" i="31"/>
  <c r="AN19" i="30"/>
  <c r="AA19" i="30" s="1"/>
  <c r="G56" i="30"/>
  <c r="AF68" i="32"/>
  <c r="AF60" i="32"/>
  <c r="AJ31" i="32"/>
  <c r="X47" i="30"/>
  <c r="X32" i="30" s="1"/>
  <c r="R59" i="30"/>
  <c r="K67" i="31"/>
  <c r="AM148" i="30"/>
  <c r="AG147" i="30"/>
  <c r="AK65" i="31"/>
  <c r="W57" i="31"/>
  <c r="W56" i="31" s="1"/>
  <c r="AE165" i="32"/>
  <c r="AE164" i="32" s="1"/>
  <c r="AE63" i="32" s="1"/>
  <c r="AE56" i="32" s="1"/>
  <c r="AF165" i="32"/>
  <c r="AF164" i="32" s="1"/>
  <c r="AF63" i="32" s="1"/>
  <c r="AF56" i="32" s="1"/>
  <c r="AM165" i="32"/>
  <c r="AC165" i="32"/>
  <c r="AC164" i="32" s="1"/>
  <c r="AD165" i="32"/>
  <c r="AD164" i="32" s="1"/>
  <c r="AD63" i="32" s="1"/>
  <c r="AD56" i="32" s="1"/>
  <c r="AC62" i="32"/>
  <c r="AC70" i="32"/>
  <c r="AB169" i="20"/>
  <c r="AJ33" i="18"/>
  <c r="V68" i="31"/>
  <c r="X68" i="31" s="1"/>
  <c r="V60" i="31"/>
  <c r="X60" i="31" s="1"/>
  <c r="N32" i="31"/>
  <c r="R47" i="31"/>
  <c r="R32" i="31" s="1"/>
  <c r="W29" i="30"/>
  <c r="AC30" i="32"/>
  <c r="AC44" i="32"/>
  <c r="AG25" i="30"/>
  <c r="AC61" i="30"/>
  <c r="AG61" i="30" s="1"/>
  <c r="AC69" i="30"/>
  <c r="AG69" i="30" s="1"/>
  <c r="AG23" i="31"/>
  <c r="AC67" i="31"/>
  <c r="AC59" i="31"/>
  <c r="K44" i="32"/>
  <c r="K29" i="32" s="1"/>
  <c r="K58" i="30"/>
  <c r="AF32" i="32"/>
  <c r="X66" i="31"/>
  <c r="T65" i="31"/>
  <c r="V30" i="30"/>
  <c r="V44" i="30"/>
  <c r="X44" i="30" s="1"/>
  <c r="X29" i="30" s="1"/>
  <c r="AE57" i="30"/>
  <c r="R67" i="30"/>
  <c r="K59" i="31"/>
  <c r="G57" i="31"/>
  <c r="K58" i="31"/>
  <c r="X56" i="32"/>
  <c r="AD65" i="32"/>
  <c r="AK57" i="31"/>
  <c r="X23" i="32"/>
  <c r="X31" i="32" s="1"/>
  <c r="AD164" i="30"/>
  <c r="AC63" i="30"/>
  <c r="V69" i="31"/>
  <c r="X69" i="31" s="1"/>
  <c r="V61" i="31"/>
  <c r="X61" i="31" s="1"/>
  <c r="R147" i="31"/>
  <c r="L21" i="31"/>
  <c r="R39" i="31"/>
  <c r="Y19" i="32"/>
  <c r="AE32" i="31"/>
  <c r="AG52" i="32"/>
  <c r="AG37" i="32" s="1"/>
  <c r="AI37" i="30"/>
  <c r="AM52" i="30"/>
  <c r="AC66" i="30"/>
  <c r="AG22" i="30"/>
  <c r="AC58" i="30"/>
  <c r="U29" i="32"/>
  <c r="AG24" i="31"/>
  <c r="AC60" i="31"/>
  <c r="AC68" i="31"/>
  <c r="R61" i="30"/>
  <c r="V69" i="32"/>
  <c r="X69" i="32" s="1"/>
  <c r="V61" i="32"/>
  <c r="X61" i="32" s="1"/>
  <c r="AF58" i="32"/>
  <c r="AF66" i="32"/>
  <c r="AJ60" i="32"/>
  <c r="AJ68" i="32"/>
  <c r="T57" i="31"/>
  <c r="X47" i="31"/>
  <c r="X32" i="31" s="1"/>
  <c r="P29" i="31"/>
  <c r="X22" i="30"/>
  <c r="X30" i="30" s="1"/>
  <c r="AD57" i="32"/>
  <c r="AI63" i="30"/>
  <c r="AJ164" i="30"/>
  <c r="E123" i="62"/>
  <c r="C123" i="62"/>
  <c r="AF32" i="18"/>
  <c r="R41" i="18"/>
  <c r="C13" i="21" s="1"/>
  <c r="AM77" i="18"/>
  <c r="AN77" i="18" s="1"/>
  <c r="AF33" i="18"/>
  <c r="AC32" i="18"/>
  <c r="AJ62" i="18"/>
  <c r="AJ70" i="18"/>
  <c r="AC62" i="18"/>
  <c r="AC70" i="18"/>
  <c r="AJ60" i="18"/>
  <c r="AJ68" i="18"/>
  <c r="AC58" i="18"/>
  <c r="AC66" i="18"/>
  <c r="AF58" i="18"/>
  <c r="AF66" i="18"/>
  <c r="AJ61" i="18"/>
  <c r="AJ69" i="18"/>
  <c r="AF30" i="18"/>
  <c r="AF44" i="18"/>
  <c r="AF29" i="18" s="1"/>
  <c r="AJ30" i="18"/>
  <c r="AJ44" i="18"/>
  <c r="AJ29" i="18" s="1"/>
  <c r="AF31" i="18"/>
  <c r="AC30" i="18"/>
  <c r="AC44" i="18"/>
  <c r="AC29" i="18" s="1"/>
  <c r="AC61" i="18"/>
  <c r="AC69" i="18"/>
  <c r="AJ32" i="18"/>
  <c r="AF60" i="18"/>
  <c r="AF68" i="18"/>
  <c r="AC59" i="18"/>
  <c r="AC67" i="18"/>
  <c r="AF59" i="18"/>
  <c r="AF67" i="18"/>
  <c r="AC33" i="18"/>
  <c r="AJ66" i="18"/>
  <c r="AJ58" i="18"/>
  <c r="AF69" i="18"/>
  <c r="AF61" i="18"/>
  <c r="AG49" i="18"/>
  <c r="AJ31" i="18"/>
  <c r="AF62" i="18"/>
  <c r="AF70" i="18"/>
  <c r="AC31" i="18"/>
  <c r="AJ59" i="18"/>
  <c r="AJ67" i="18"/>
  <c r="AC60" i="18"/>
  <c r="AC68" i="18"/>
  <c r="AG49" i="20"/>
  <c r="AG46" i="20" s="1"/>
  <c r="AN53" i="18"/>
  <c r="AG39" i="18"/>
  <c r="I51" i="18"/>
  <c r="I38" i="18"/>
  <c r="I36" i="18" s="1"/>
  <c r="V65" i="18"/>
  <c r="V55" i="18" s="1"/>
  <c r="AL31" i="18"/>
  <c r="AL70" i="18"/>
  <c r="AL62" i="18"/>
  <c r="AL67" i="18"/>
  <c r="AL59" i="18"/>
  <c r="AE57" i="18"/>
  <c r="AL66" i="18"/>
  <c r="AL58" i="18"/>
  <c r="AI57" i="18"/>
  <c r="AL68" i="18"/>
  <c r="AL60" i="18"/>
  <c r="R67" i="18"/>
  <c r="R66" i="18"/>
  <c r="T65" i="18"/>
  <c r="X57" i="18"/>
  <c r="R68" i="18"/>
  <c r="N57" i="18"/>
  <c r="R58" i="18"/>
  <c r="Q54" i="18"/>
  <c r="AL32" i="18"/>
  <c r="AL69" i="18"/>
  <c r="AL44" i="18"/>
  <c r="AL29" i="18" s="1"/>
  <c r="AL33" i="18"/>
  <c r="AL30" i="18"/>
  <c r="O54" i="18"/>
  <c r="O38" i="18" s="1"/>
  <c r="O36" i="18" s="1"/>
  <c r="R32" i="18"/>
  <c r="N65" i="18"/>
  <c r="N54" i="18"/>
  <c r="N38" i="18" s="1"/>
  <c r="N36" i="18" s="1"/>
  <c r="R69" i="18"/>
  <c r="R70" i="18"/>
  <c r="K29" i="18"/>
  <c r="B9" i="21" s="1"/>
  <c r="B15" i="21"/>
  <c r="Q40" i="18"/>
  <c r="X68" i="18"/>
  <c r="X69" i="18"/>
  <c r="X70" i="18"/>
  <c r="Z46" i="20"/>
  <c r="X67" i="18"/>
  <c r="T40" i="20"/>
  <c r="V40" i="20" s="1"/>
  <c r="T47" i="20"/>
  <c r="V47" i="20" s="1"/>
  <c r="I126" i="20"/>
  <c r="I37" i="20" s="1"/>
  <c r="I34" i="20" s="1"/>
  <c r="I53" i="20" s="1"/>
  <c r="I57" i="20" s="1"/>
  <c r="H126" i="20"/>
  <c r="H37" i="20" s="1"/>
  <c r="G126" i="20"/>
  <c r="G37" i="20" s="1"/>
  <c r="G34" i="20" s="1"/>
  <c r="G53" i="20" s="1"/>
  <c r="G57" i="20" s="1"/>
  <c r="F126" i="20"/>
  <c r="F37" i="20" s="1"/>
  <c r="H28" i="20"/>
  <c r="J28" i="20" s="1"/>
  <c r="J166" i="20" s="1"/>
  <c r="J29" i="20"/>
  <c r="T48" i="20"/>
  <c r="V48" i="20" s="1"/>
  <c r="T41" i="20"/>
  <c r="V41" i="20" s="1"/>
  <c r="V22" i="20"/>
  <c r="X50" i="20"/>
  <c r="AB50" i="20" s="1"/>
  <c r="AB24" i="20"/>
  <c r="X43" i="20"/>
  <c r="AB43" i="20" s="1"/>
  <c r="AG39" i="20"/>
  <c r="AG38" i="20" s="1"/>
  <c r="S124" i="20"/>
  <c r="S37" i="20"/>
  <c r="S34" i="20" s="1"/>
  <c r="S53" i="20" s="1"/>
  <c r="S57" i="20" s="1"/>
  <c r="AH18" i="20"/>
  <c r="AI18" i="20" s="1"/>
  <c r="T124" i="20"/>
  <c r="T37" i="20"/>
  <c r="F38" i="20"/>
  <c r="AD19" i="20"/>
  <c r="AH19" i="20" s="1"/>
  <c r="AI19" i="20" s="1"/>
  <c r="AH12" i="20"/>
  <c r="AI12" i="20" s="1"/>
  <c r="X49" i="20"/>
  <c r="AB49" i="20" s="1"/>
  <c r="X42" i="20"/>
  <c r="AB42" i="20" s="1"/>
  <c r="AB23" i="20"/>
  <c r="U124" i="20"/>
  <c r="U37" i="20"/>
  <c r="Z39" i="20"/>
  <c r="Z38" i="20" s="1"/>
  <c r="H47" i="20"/>
  <c r="H40" i="20"/>
  <c r="J21" i="20"/>
  <c r="X44" i="20"/>
  <c r="AB44" i="20" s="1"/>
  <c r="X51" i="20"/>
  <c r="AB51" i="20" s="1"/>
  <c r="AB25" i="20"/>
  <c r="R124" i="20"/>
  <c r="R37" i="20"/>
  <c r="T28" i="20"/>
  <c r="V28" i="20" s="1"/>
  <c r="AB35" i="20"/>
  <c r="U46" i="20"/>
  <c r="V30" i="20"/>
  <c r="AD22" i="17"/>
  <c r="T49" i="20"/>
  <c r="V49" i="20" s="1"/>
  <c r="T42" i="20"/>
  <c r="V42" i="20" s="1"/>
  <c r="H44" i="20"/>
  <c r="J44" i="20" s="1"/>
  <c r="H51" i="20"/>
  <c r="J51" i="20" s="1"/>
  <c r="J25" i="20"/>
  <c r="AD28" i="17"/>
  <c r="T50" i="20"/>
  <c r="V50" i="20" s="1"/>
  <c r="T43" i="20"/>
  <c r="V43" i="20" s="1"/>
  <c r="R46" i="20"/>
  <c r="H50" i="20"/>
  <c r="J50" i="20" s="1"/>
  <c r="H43" i="20"/>
  <c r="J43" i="20" s="1"/>
  <c r="J24" i="20"/>
  <c r="U39" i="20"/>
  <c r="U38" i="20" s="1"/>
  <c r="L39" i="20"/>
  <c r="H48" i="20"/>
  <c r="J48" i="20" s="1"/>
  <c r="H41" i="20"/>
  <c r="J41" i="20" s="1"/>
  <c r="J22" i="20"/>
  <c r="AF35" i="20"/>
  <c r="AF21" i="20"/>
  <c r="AF31" i="20"/>
  <c r="AF24" i="20"/>
  <c r="AF52" i="20"/>
  <c r="AF25" i="20"/>
  <c r="AF23" i="20"/>
  <c r="AF22" i="20"/>
  <c r="AF32" i="20"/>
  <c r="AF29" i="20"/>
  <c r="AF33" i="20"/>
  <c r="AF30" i="20"/>
  <c r="AG41" i="18"/>
  <c r="T51" i="20"/>
  <c r="V51" i="20" s="1"/>
  <c r="T44" i="20"/>
  <c r="V44" i="20" s="1"/>
  <c r="R39" i="20"/>
  <c r="J35" i="20"/>
  <c r="AB29" i="20"/>
  <c r="X28" i="20"/>
  <c r="L46" i="20"/>
  <c r="V21" i="20"/>
  <c r="H49" i="20"/>
  <c r="J49" i="20" s="1"/>
  <c r="H42" i="20"/>
  <c r="J42" i="20" s="1"/>
  <c r="J23" i="20"/>
  <c r="N22" i="20"/>
  <c r="N21" i="20"/>
  <c r="N25" i="20"/>
  <c r="N23" i="20"/>
  <c r="N33" i="20"/>
  <c r="P33" i="20" s="1"/>
  <c r="N24" i="20"/>
  <c r="N29" i="20"/>
  <c r="P29" i="20" s="1"/>
  <c r="N35" i="20"/>
  <c r="P35" i="20" s="1"/>
  <c r="N32" i="20"/>
  <c r="P32" i="20" s="1"/>
  <c r="N31" i="20"/>
  <c r="P31" i="20" s="1"/>
  <c r="N52" i="20"/>
  <c r="P52" i="20" s="1"/>
  <c r="N30" i="20"/>
  <c r="P20" i="20"/>
  <c r="P126" i="20" s="1"/>
  <c r="AB21" i="20"/>
  <c r="X47" i="20"/>
  <c r="X40" i="20"/>
  <c r="G55" i="18"/>
  <c r="G40" i="18" s="1"/>
  <c r="G35" i="18" s="1"/>
  <c r="V25" i="20"/>
  <c r="X41" i="20"/>
  <c r="AB41" i="20" s="1"/>
  <c r="AB22" i="20"/>
  <c r="X48" i="20"/>
  <c r="AB48" i="20" s="1"/>
  <c r="J50" i="18"/>
  <c r="AG52" i="18"/>
  <c r="AG37" i="18" s="1"/>
  <c r="W40" i="18"/>
  <c r="R33" i="18"/>
  <c r="R30" i="18"/>
  <c r="H51" i="18"/>
  <c r="AE30" i="18"/>
  <c r="AI32" i="18"/>
  <c r="R31" i="18"/>
  <c r="AG48" i="18"/>
  <c r="AE33" i="18"/>
  <c r="AI33" i="18"/>
  <c r="AG47" i="18"/>
  <c r="AE32" i="18"/>
  <c r="AI31" i="18"/>
  <c r="X30" i="18"/>
  <c r="AI30" i="18"/>
  <c r="AG46" i="18"/>
  <c r="AE31" i="18"/>
  <c r="X44" i="18"/>
  <c r="V29" i="18"/>
  <c r="X31" i="18"/>
  <c r="X33" i="18"/>
  <c r="R44" i="18"/>
  <c r="P29" i="18"/>
  <c r="X32" i="18"/>
  <c r="AN20" i="18"/>
  <c r="AA20" i="18" s="1"/>
  <c r="Z20" i="18"/>
  <c r="E28" i="17"/>
  <c r="E22" i="17"/>
  <c r="G22" i="17" s="1"/>
  <c r="G28" i="17"/>
  <c r="AE69" i="18"/>
  <c r="AG25" i="18"/>
  <c r="AI68" i="18"/>
  <c r="AE67" i="18"/>
  <c r="AG23" i="18"/>
  <c r="AI67" i="18"/>
  <c r="I55" i="18"/>
  <c r="I40" i="18" s="1"/>
  <c r="K57" i="18"/>
  <c r="AE68" i="18"/>
  <c r="AG24" i="18"/>
  <c r="AE66" i="18"/>
  <c r="AG22" i="18"/>
  <c r="AI69" i="18"/>
  <c r="X66" i="18"/>
  <c r="AI66" i="18"/>
  <c r="P65" i="18"/>
  <c r="AE44" i="18"/>
  <c r="AG45" i="18"/>
  <c r="AI44" i="18"/>
  <c r="AI29" i="18" s="1"/>
  <c r="AE70" i="18"/>
  <c r="AG26" i="18"/>
  <c r="AK21" i="18"/>
  <c r="AK39" i="18" s="1"/>
  <c r="AM19" i="18"/>
  <c r="AI70" i="18"/>
  <c r="AC20" i="17"/>
  <c r="AC29" i="17" s="1"/>
  <c r="K29" i="17"/>
  <c r="K30" i="17"/>
  <c r="M30" i="17" s="1"/>
  <c r="K23" i="17"/>
  <c r="K24" i="17"/>
  <c r="M24" i="17" s="1"/>
  <c r="K25" i="17"/>
  <c r="M25" i="17" s="1"/>
  <c r="K26" i="17"/>
  <c r="M26" i="17" s="1"/>
  <c r="K31" i="17"/>
  <c r="M31" i="17" s="1"/>
  <c r="K27" i="17"/>
  <c r="M27" i="17" s="1"/>
  <c r="M20" i="17"/>
  <c r="AA22" i="17"/>
  <c r="X102" i="17"/>
  <c r="X29" i="17" s="1"/>
  <c r="X28" i="17" s="1"/>
  <c r="X32" i="17" s="1"/>
  <c r="X36" i="17" s="1"/>
  <c r="R29" i="17"/>
  <c r="R28" i="17" s="1"/>
  <c r="R32" i="17" s="1"/>
  <c r="R36" i="17" s="1"/>
  <c r="V102" i="17"/>
  <c r="V29" i="17" s="1"/>
  <c r="V28" i="17" s="1"/>
  <c r="V32" i="17" s="1"/>
  <c r="V36" i="17" s="1"/>
  <c r="P29" i="17"/>
  <c r="P28" i="17" s="1"/>
  <c r="P32" i="17" s="1"/>
  <c r="P36" i="17" s="1"/>
  <c r="W102" i="17"/>
  <c r="W29" i="17" s="1"/>
  <c r="W28" i="17" s="1"/>
  <c r="W32" i="17" s="1"/>
  <c r="W36" i="17" s="1"/>
  <c r="Q29" i="17"/>
  <c r="Q28" i="17" s="1"/>
  <c r="Q32" i="17" s="1"/>
  <c r="Q36" i="17" s="1"/>
  <c r="Y22" i="17"/>
  <c r="U102" i="17"/>
  <c r="U29" i="17" s="1"/>
  <c r="O29" i="17"/>
  <c r="AA28" i="17"/>
  <c r="C36" i="17"/>
  <c r="L32" i="17"/>
  <c r="AO211" i="36" l="1"/>
  <c r="U54" i="18"/>
  <c r="U38" i="18" s="1"/>
  <c r="U36" i="18" s="1"/>
  <c r="AK63" i="36"/>
  <c r="AI45" i="30"/>
  <c r="AI23" i="30"/>
  <c r="AI59" i="30" s="1"/>
  <c r="AM59" i="30" s="1"/>
  <c r="AN59" i="30" s="1"/>
  <c r="H50" i="30"/>
  <c r="H74" i="30" s="1"/>
  <c r="H78" i="30" s="1"/>
  <c r="AI71" i="30"/>
  <c r="AI47" i="30"/>
  <c r="AP211" i="36"/>
  <c r="AH50" i="36"/>
  <c r="AH35" i="36" s="1"/>
  <c r="AN19" i="32"/>
  <c r="AA19" i="32" s="1"/>
  <c r="AL31" i="32"/>
  <c r="AM168" i="18"/>
  <c r="AC168" i="18"/>
  <c r="AC167" i="18" s="1"/>
  <c r="AD168" i="18"/>
  <c r="AD167" i="18" s="1"/>
  <c r="AD63" i="18" s="1"/>
  <c r="AD56" i="18" s="1"/>
  <c r="AE168" i="18"/>
  <c r="AE167" i="18" s="1"/>
  <c r="AF168" i="18"/>
  <c r="AF167" i="18" s="1"/>
  <c r="V54" i="18"/>
  <c r="V38" i="18" s="1"/>
  <c r="V36" i="18" s="1"/>
  <c r="AG150" i="18"/>
  <c r="AM151" i="18"/>
  <c r="C4" i="62"/>
  <c r="E4" i="62" s="1"/>
  <c r="C89" i="57"/>
  <c r="C123" i="57" s="1"/>
  <c r="E89" i="57"/>
  <c r="E123" i="57" s="1"/>
  <c r="C83" i="50"/>
  <c r="C117" i="50" s="1"/>
  <c r="C89" i="55"/>
  <c r="C123" i="55" s="1"/>
  <c r="E83" i="50"/>
  <c r="E117" i="50" s="1"/>
  <c r="E89" i="55"/>
  <c r="E123" i="55" s="1"/>
  <c r="K65" i="32"/>
  <c r="AG32" i="30"/>
  <c r="G39" i="50"/>
  <c r="G52" i="50" s="1"/>
  <c r="G47" i="50"/>
  <c r="G12" i="50"/>
  <c r="AK32" i="32"/>
  <c r="AG67" i="31"/>
  <c r="Z65" i="36"/>
  <c r="C69" i="34"/>
  <c r="C99" i="34" s="1"/>
  <c r="C80" i="44"/>
  <c r="C111" i="44" s="1"/>
  <c r="X50" i="36"/>
  <c r="X35" i="36" s="1"/>
  <c r="E69" i="34"/>
  <c r="E99" i="34" s="1"/>
  <c r="E80" i="44"/>
  <c r="E111" i="44" s="1"/>
  <c r="AE33" i="32"/>
  <c r="R30" i="32"/>
  <c r="G47" i="44"/>
  <c r="G39" i="44"/>
  <c r="G52" i="44" s="1"/>
  <c r="G12" i="44"/>
  <c r="AG50" i="36"/>
  <c r="AG35" i="36" s="1"/>
  <c r="AG68" i="31"/>
  <c r="AI22" i="30"/>
  <c r="AI66" i="30" s="1"/>
  <c r="AL32" i="32"/>
  <c r="AG60" i="31"/>
  <c r="AG59" i="31"/>
  <c r="AI46" i="30"/>
  <c r="AM46" i="30" s="1"/>
  <c r="AI49" i="30"/>
  <c r="AM49" i="30" s="1"/>
  <c r="AN49" i="30" s="1"/>
  <c r="AG32" i="32"/>
  <c r="AO63" i="36"/>
  <c r="AP63" i="36" s="1"/>
  <c r="AK56" i="36"/>
  <c r="T124" i="36"/>
  <c r="T123" i="36"/>
  <c r="T105" i="36"/>
  <c r="T104" i="36"/>
  <c r="AO47" i="36"/>
  <c r="AK32" i="36"/>
  <c r="AK67" i="36"/>
  <c r="AO67" i="36" s="1"/>
  <c r="AP67" i="36" s="1"/>
  <c r="AK59" i="36"/>
  <c r="AO59" i="36" s="1"/>
  <c r="AP59" i="36" s="1"/>
  <c r="AO23" i="36"/>
  <c r="AP23" i="36" s="1"/>
  <c r="S35" i="36"/>
  <c r="S75" i="36"/>
  <c r="S79" i="36" s="1"/>
  <c r="AO71" i="36"/>
  <c r="AK41" i="36"/>
  <c r="V40" i="36"/>
  <c r="Z55" i="36"/>
  <c r="Z40" i="36" s="1"/>
  <c r="AK61" i="36"/>
  <c r="AO61" i="36" s="1"/>
  <c r="AP61" i="36" s="1"/>
  <c r="AK69" i="36"/>
  <c r="AO69" i="36" s="1"/>
  <c r="AP69" i="36" s="1"/>
  <c r="AO25" i="36"/>
  <c r="AP25" i="36" s="1"/>
  <c r="AK68" i="36"/>
  <c r="AO68" i="36" s="1"/>
  <c r="AP68" i="36" s="1"/>
  <c r="AO24" i="36"/>
  <c r="AP24" i="36" s="1"/>
  <c r="AK60" i="36"/>
  <c r="AO60" i="36" s="1"/>
  <c r="AP60" i="36" s="1"/>
  <c r="Q35" i="36"/>
  <c r="Q75" i="36"/>
  <c r="Q79" i="36" s="1"/>
  <c r="AK33" i="36"/>
  <c r="AO48" i="36"/>
  <c r="AG31" i="30"/>
  <c r="V57" i="32"/>
  <c r="X57" i="32" s="1"/>
  <c r="AO26" i="36"/>
  <c r="AP26" i="36" s="1"/>
  <c r="AK62" i="36"/>
  <c r="AO62" i="36" s="1"/>
  <c r="AP62" i="36" s="1"/>
  <c r="AK70" i="36"/>
  <c r="AO70" i="36" s="1"/>
  <c r="AP70" i="36" s="1"/>
  <c r="AI51" i="36"/>
  <c r="V65" i="32"/>
  <c r="V55" i="32" s="1"/>
  <c r="V40" i="32" s="1"/>
  <c r="U55" i="31"/>
  <c r="U40" i="31" s="1"/>
  <c r="W35" i="36"/>
  <c r="W75" i="36"/>
  <c r="W79" i="36" s="1"/>
  <c r="M50" i="36"/>
  <c r="I75" i="36"/>
  <c r="AO45" i="36"/>
  <c r="AK30" i="36"/>
  <c r="AK44" i="36"/>
  <c r="AK33" i="32"/>
  <c r="M99" i="36"/>
  <c r="M40" i="36"/>
  <c r="M35" i="36" s="1"/>
  <c r="V50" i="36"/>
  <c r="Z51" i="36"/>
  <c r="AB21" i="36"/>
  <c r="AO39" i="36"/>
  <c r="AO194" i="36"/>
  <c r="AP21" i="36"/>
  <c r="AC21" i="36" s="1"/>
  <c r="AG33" i="31"/>
  <c r="AG62" i="31"/>
  <c r="AE32" i="32"/>
  <c r="P40" i="36"/>
  <c r="T55" i="36"/>
  <c r="AI57" i="36"/>
  <c r="AI65" i="36"/>
  <c r="AO46" i="36"/>
  <c r="AK31" i="36"/>
  <c r="R35" i="36"/>
  <c r="R75" i="36"/>
  <c r="R79" i="36" s="1"/>
  <c r="P50" i="36"/>
  <c r="T51" i="36"/>
  <c r="Y35" i="36"/>
  <c r="Y75" i="36"/>
  <c r="Y79" i="36" s="1"/>
  <c r="AE55" i="36"/>
  <c r="AE50" i="36" s="1"/>
  <c r="AI56" i="36"/>
  <c r="K65" i="31"/>
  <c r="AF50" i="36"/>
  <c r="F124" i="36"/>
  <c r="F123" i="36"/>
  <c r="F105" i="36"/>
  <c r="F104" i="36"/>
  <c r="AO22" i="36"/>
  <c r="AP22" i="36" s="1"/>
  <c r="AK66" i="36"/>
  <c r="AK58" i="36"/>
  <c r="D48" i="37"/>
  <c r="D5" i="37" s="1"/>
  <c r="D3" i="37" s="1"/>
  <c r="D9" i="37"/>
  <c r="V57" i="30"/>
  <c r="V56" i="30" s="1"/>
  <c r="I55" i="30"/>
  <c r="I40" i="30" s="1"/>
  <c r="I35" i="30" s="1"/>
  <c r="AI48" i="30"/>
  <c r="K57" i="30"/>
  <c r="AI26" i="30"/>
  <c r="AM26" i="30" s="1"/>
  <c r="AN26" i="30" s="1"/>
  <c r="W55" i="30"/>
  <c r="W40" i="30" s="1"/>
  <c r="AM21" i="30"/>
  <c r="AN21" i="30" s="1"/>
  <c r="AA21" i="30" s="1"/>
  <c r="AI25" i="30"/>
  <c r="AM25" i="30" s="1"/>
  <c r="AN25" i="30" s="1"/>
  <c r="X31" i="30"/>
  <c r="AI39" i="30"/>
  <c r="AI24" i="30"/>
  <c r="AI60" i="30" s="1"/>
  <c r="AM60" i="30" s="1"/>
  <c r="AN60" i="30" s="1"/>
  <c r="W145" i="30"/>
  <c r="W54" i="30"/>
  <c r="AJ65" i="32"/>
  <c r="N147" i="32"/>
  <c r="N54" i="32" s="1"/>
  <c r="P147" i="32"/>
  <c r="P54" i="32" s="1"/>
  <c r="O147" i="32"/>
  <c r="O54" i="32" s="1"/>
  <c r="Q147" i="32"/>
  <c r="Q54" i="32" s="1"/>
  <c r="AK44" i="32"/>
  <c r="AK30" i="32"/>
  <c r="AL70" i="32"/>
  <c r="AL62" i="32"/>
  <c r="AJ63" i="31"/>
  <c r="AJ56" i="31" s="1"/>
  <c r="AJ55" i="31" s="1"/>
  <c r="AJ40" i="31" s="1"/>
  <c r="AK164" i="31"/>
  <c r="V65" i="31"/>
  <c r="X65" i="31" s="1"/>
  <c r="AE44" i="32"/>
  <c r="AG44" i="32" s="1"/>
  <c r="AG29" i="32" s="1"/>
  <c r="AE30" i="32"/>
  <c r="X58" i="30"/>
  <c r="AG30" i="31"/>
  <c r="AD55" i="32"/>
  <c r="AD40" i="32" s="1"/>
  <c r="AC29" i="32"/>
  <c r="AI41" i="30"/>
  <c r="AM71" i="30"/>
  <c r="V145" i="30"/>
  <c r="V54" i="30"/>
  <c r="AJ57" i="32"/>
  <c r="AG58" i="31"/>
  <c r="AC57" i="31"/>
  <c r="X54" i="32"/>
  <c r="X38" i="32" s="1"/>
  <c r="X36" i="32" s="1"/>
  <c r="T38" i="32"/>
  <c r="T36" i="32" s="1"/>
  <c r="T51" i="32"/>
  <c r="AL61" i="32"/>
  <c r="AL69" i="32"/>
  <c r="AC65" i="32"/>
  <c r="W38" i="31"/>
  <c r="W36" i="31" s="1"/>
  <c r="W51" i="31"/>
  <c r="R31" i="31"/>
  <c r="R33" i="32"/>
  <c r="V57" i="31"/>
  <c r="V56" i="31" s="1"/>
  <c r="AG45" i="32"/>
  <c r="AG30" i="32" s="1"/>
  <c r="AE58" i="32"/>
  <c r="AE66" i="32"/>
  <c r="I55" i="31"/>
  <c r="I40" i="31" s="1"/>
  <c r="AM45" i="30"/>
  <c r="AC147" i="31"/>
  <c r="AC54" i="31" s="1"/>
  <c r="AD147" i="31"/>
  <c r="AD54" i="31" s="1"/>
  <c r="AF147" i="31"/>
  <c r="AF54" i="31" s="1"/>
  <c r="AE147" i="31"/>
  <c r="AE54" i="31" s="1"/>
  <c r="AC65" i="31"/>
  <c r="AG66" i="31"/>
  <c r="Y21" i="32"/>
  <c r="AG39" i="32"/>
  <c r="N29" i="32"/>
  <c r="R44" i="32"/>
  <c r="R29" i="32" s="1"/>
  <c r="AC57" i="32"/>
  <c r="AM47" i="30"/>
  <c r="V38" i="31"/>
  <c r="V36" i="31" s="1"/>
  <c r="V51" i="31"/>
  <c r="K51" i="30"/>
  <c r="W38" i="32"/>
  <c r="W36" i="32" s="1"/>
  <c r="W51" i="32"/>
  <c r="W50" i="32" s="1"/>
  <c r="AE59" i="32"/>
  <c r="AG59" i="32" s="1"/>
  <c r="AE67" i="32"/>
  <c r="AG67" i="32" s="1"/>
  <c r="AE29" i="31"/>
  <c r="V29" i="32"/>
  <c r="AG41" i="32"/>
  <c r="X44" i="32"/>
  <c r="X29" i="32" s="1"/>
  <c r="V29" i="31"/>
  <c r="X44" i="31"/>
  <c r="X29" i="31" s="1"/>
  <c r="R31" i="32"/>
  <c r="AJ29" i="32"/>
  <c r="T56" i="31"/>
  <c r="AG164" i="32"/>
  <c r="AC63" i="32"/>
  <c r="G56" i="31"/>
  <c r="K57" i="31"/>
  <c r="AI165" i="32"/>
  <c r="AI164" i="32" s="1"/>
  <c r="AJ165" i="32"/>
  <c r="AJ164" i="32" s="1"/>
  <c r="AJ63" i="32" s="1"/>
  <c r="AJ56" i="32" s="1"/>
  <c r="AK165" i="32"/>
  <c r="AK164" i="32" s="1"/>
  <c r="AK63" i="32" s="1"/>
  <c r="AK56" i="32" s="1"/>
  <c r="AL165" i="32"/>
  <c r="AL164" i="32" s="1"/>
  <c r="AL63" i="32" s="1"/>
  <c r="AL56" i="32" s="1"/>
  <c r="V38" i="32"/>
  <c r="V36" i="32" s="1"/>
  <c r="V51" i="32"/>
  <c r="R33" i="31"/>
  <c r="U38" i="31"/>
  <c r="U36" i="31" s="1"/>
  <c r="U51" i="31"/>
  <c r="V65" i="30"/>
  <c r="AK67" i="32"/>
  <c r="AK59" i="32"/>
  <c r="AL33" i="32"/>
  <c r="I50" i="32"/>
  <c r="I74" i="32" s="1"/>
  <c r="I78" i="32" s="1"/>
  <c r="AG70" i="31"/>
  <c r="AG48" i="32"/>
  <c r="AG33" i="32" s="1"/>
  <c r="AG23" i="32"/>
  <c r="AE31" i="32"/>
  <c r="K55" i="32"/>
  <c r="K40" i="32" s="1"/>
  <c r="K35" i="32" s="1"/>
  <c r="G40" i="32"/>
  <c r="G35" i="32" s="1"/>
  <c r="AG32" i="31"/>
  <c r="G50" i="32"/>
  <c r="K51" i="32"/>
  <c r="AD63" i="31"/>
  <c r="AD56" i="31" s="1"/>
  <c r="AD55" i="31" s="1"/>
  <c r="AD40" i="31" s="1"/>
  <c r="AE164" i="31"/>
  <c r="AL66" i="32"/>
  <c r="AL58" i="32"/>
  <c r="I35" i="32"/>
  <c r="X58" i="32"/>
  <c r="R54" i="30"/>
  <c r="R38" i="30" s="1"/>
  <c r="R36" i="30" s="1"/>
  <c r="N38" i="30"/>
  <c r="N36" i="30" s="1"/>
  <c r="N51" i="30"/>
  <c r="X54" i="31"/>
  <c r="X38" i="31" s="1"/>
  <c r="X36" i="31" s="1"/>
  <c r="T38" i="31"/>
  <c r="T36" i="31" s="1"/>
  <c r="T51" i="31"/>
  <c r="AI46" i="32"/>
  <c r="AI22" i="32"/>
  <c r="AI49" i="32"/>
  <c r="AM49" i="32" s="1"/>
  <c r="AN49" i="32" s="1"/>
  <c r="AI45" i="32"/>
  <c r="AI47" i="32"/>
  <c r="AI48" i="32"/>
  <c r="AI26" i="32"/>
  <c r="AI76" i="32"/>
  <c r="AM76" i="32" s="1"/>
  <c r="AN76" i="32" s="1"/>
  <c r="AI24" i="32"/>
  <c r="AI71" i="32"/>
  <c r="AI25" i="32"/>
  <c r="AI23" i="32"/>
  <c r="AM21" i="32"/>
  <c r="AN21" i="32" s="1"/>
  <c r="AA21" i="32" s="1"/>
  <c r="AI39" i="32"/>
  <c r="R57" i="30"/>
  <c r="N56" i="30"/>
  <c r="P55" i="30"/>
  <c r="P40" i="30" s="1"/>
  <c r="R32" i="32"/>
  <c r="O38" i="30"/>
  <c r="O36" i="30" s="1"/>
  <c r="O51" i="30"/>
  <c r="O50" i="30" s="1"/>
  <c r="AG33" i="30"/>
  <c r="T40" i="32"/>
  <c r="AK60" i="32"/>
  <c r="AK68" i="32"/>
  <c r="AI37" i="32"/>
  <c r="AM52" i="32"/>
  <c r="AL67" i="32"/>
  <c r="AL59" i="32"/>
  <c r="N57" i="32"/>
  <c r="R57" i="32" s="1"/>
  <c r="R58" i="32"/>
  <c r="AC29" i="30"/>
  <c r="P38" i="30"/>
  <c r="P36" i="30" s="1"/>
  <c r="P51" i="30"/>
  <c r="AF65" i="32"/>
  <c r="AF55" i="32" s="1"/>
  <c r="AF40" i="32" s="1"/>
  <c r="AI26" i="31"/>
  <c r="AI76" i="31"/>
  <c r="AM76" i="31" s="1"/>
  <c r="AN76" i="31" s="1"/>
  <c r="AI49" i="31"/>
  <c r="AM49" i="31" s="1"/>
  <c r="AN49" i="31" s="1"/>
  <c r="AI23" i="31"/>
  <c r="AI47" i="31"/>
  <c r="AM21" i="31"/>
  <c r="AM147" i="31" s="1"/>
  <c r="AI45" i="31"/>
  <c r="AI48" i="31"/>
  <c r="AM48" i="31" s="1"/>
  <c r="AI24" i="31"/>
  <c r="AI22" i="31"/>
  <c r="AI71" i="31"/>
  <c r="AI46" i="31"/>
  <c r="AI25" i="31"/>
  <c r="AI39" i="31"/>
  <c r="AK58" i="32"/>
  <c r="AK66" i="32"/>
  <c r="AJ63" i="30"/>
  <c r="AJ56" i="30" s="1"/>
  <c r="AJ55" i="30" s="1"/>
  <c r="AJ40" i="30" s="1"/>
  <c r="AK164" i="30"/>
  <c r="Z19" i="31"/>
  <c r="AN19" i="31"/>
  <c r="AA19" i="31" s="1"/>
  <c r="H38" i="31"/>
  <c r="H36" i="31" s="1"/>
  <c r="H35" i="31" s="1"/>
  <c r="H51" i="31"/>
  <c r="H50" i="31" s="1"/>
  <c r="H74" i="31" s="1"/>
  <c r="H78" i="31" s="1"/>
  <c r="AK61" i="32"/>
  <c r="AK69" i="32"/>
  <c r="AE65" i="31"/>
  <c r="AL68" i="32"/>
  <c r="AL60" i="32"/>
  <c r="N65" i="32"/>
  <c r="R66" i="32"/>
  <c r="AG30" i="30"/>
  <c r="R66" i="31"/>
  <c r="N65" i="31"/>
  <c r="R65" i="31" s="1"/>
  <c r="Q38" i="30"/>
  <c r="Q36" i="30" s="1"/>
  <c r="Q51" i="30"/>
  <c r="Q50" i="30" s="1"/>
  <c r="AE60" i="32"/>
  <c r="AG60" i="32" s="1"/>
  <c r="AE68" i="32"/>
  <c r="AG68" i="32" s="1"/>
  <c r="AG46" i="32"/>
  <c r="G37" i="34"/>
  <c r="G81" i="34" s="1"/>
  <c r="G31" i="34"/>
  <c r="G12" i="34"/>
  <c r="AC57" i="30"/>
  <c r="AG58" i="30"/>
  <c r="Q147" i="31"/>
  <c r="Q54" i="31" s="1"/>
  <c r="O147" i="31"/>
  <c r="O54" i="31" s="1"/>
  <c r="P147" i="31"/>
  <c r="P54" i="31" s="1"/>
  <c r="N147" i="31"/>
  <c r="N54" i="31" s="1"/>
  <c r="G55" i="30"/>
  <c r="K56" i="30"/>
  <c r="AF57" i="32"/>
  <c r="AC65" i="30"/>
  <c r="AG65" i="30" s="1"/>
  <c r="AG66" i="30"/>
  <c r="W55" i="31"/>
  <c r="W40" i="31" s="1"/>
  <c r="AM48" i="30"/>
  <c r="AI37" i="31"/>
  <c r="AM52" i="31"/>
  <c r="U38" i="32"/>
  <c r="U36" i="32" s="1"/>
  <c r="U51" i="32"/>
  <c r="U50" i="32" s="1"/>
  <c r="G38" i="31"/>
  <c r="G36" i="31" s="1"/>
  <c r="K54" i="31"/>
  <c r="K38" i="31" s="1"/>
  <c r="K36" i="31" s="1"/>
  <c r="G51" i="31"/>
  <c r="V29" i="30"/>
  <c r="AG147" i="32"/>
  <c r="AM37" i="30"/>
  <c r="AN52" i="30"/>
  <c r="AE164" i="30"/>
  <c r="AD63" i="30"/>
  <c r="AD56" i="30" s="1"/>
  <c r="AD55" i="30" s="1"/>
  <c r="AD40" i="30" s="1"/>
  <c r="AI69" i="30"/>
  <c r="AM69" i="30" s="1"/>
  <c r="AN69" i="30" s="1"/>
  <c r="AI61" i="30"/>
  <c r="AM61" i="30" s="1"/>
  <c r="AN61" i="30" s="1"/>
  <c r="U145" i="30"/>
  <c r="U54" i="30"/>
  <c r="I38" i="31"/>
  <c r="I36" i="31" s="1"/>
  <c r="I51" i="31"/>
  <c r="AK70" i="32"/>
  <c r="AK62" i="32"/>
  <c r="AG31" i="31"/>
  <c r="AE57" i="31"/>
  <c r="AG61" i="31"/>
  <c r="R58" i="31"/>
  <c r="N57" i="31"/>
  <c r="R30" i="31"/>
  <c r="AE69" i="32"/>
  <c r="AG69" i="32" s="1"/>
  <c r="AE61" i="32"/>
  <c r="AG61" i="32" s="1"/>
  <c r="AC147" i="30"/>
  <c r="AC54" i="30" s="1"/>
  <c r="AE147" i="30"/>
  <c r="AE54" i="30" s="1"/>
  <c r="AF147" i="30"/>
  <c r="AF54" i="30" s="1"/>
  <c r="AD147" i="30"/>
  <c r="AD54" i="30" s="1"/>
  <c r="T54" i="30"/>
  <c r="T145" i="30"/>
  <c r="J38" i="31"/>
  <c r="J36" i="31" s="1"/>
  <c r="J35" i="31" s="1"/>
  <c r="J51" i="31"/>
  <c r="J50" i="31" s="1"/>
  <c r="J74" i="31" s="1"/>
  <c r="J78" i="31" s="1"/>
  <c r="X31" i="31"/>
  <c r="AK31" i="32"/>
  <c r="AL44" i="32"/>
  <c r="AL30" i="32"/>
  <c r="X66" i="32"/>
  <c r="AG69" i="31"/>
  <c r="R65" i="30"/>
  <c r="R44" i="31"/>
  <c r="R29" i="31" s="1"/>
  <c r="N29" i="31"/>
  <c r="AF29" i="32"/>
  <c r="AE70" i="32"/>
  <c r="AG70" i="32" s="1"/>
  <c r="AE62" i="32"/>
  <c r="AG62" i="32" s="1"/>
  <c r="T56" i="30"/>
  <c r="AG44" i="31"/>
  <c r="AG29" i="31" s="1"/>
  <c r="AC29" i="31"/>
  <c r="AG62" i="18"/>
  <c r="AG59" i="18"/>
  <c r="AF65" i="18"/>
  <c r="AG70" i="18"/>
  <c r="AJ65" i="18"/>
  <c r="AJ57" i="18"/>
  <c r="AG60" i="18"/>
  <c r="AG61" i="18"/>
  <c r="AG68" i="18"/>
  <c r="AF57" i="18"/>
  <c r="AG58" i="18"/>
  <c r="AG67" i="18"/>
  <c r="AG69" i="18"/>
  <c r="AC65" i="18"/>
  <c r="AC57" i="18"/>
  <c r="X65" i="18"/>
  <c r="I35" i="18"/>
  <c r="V51" i="18"/>
  <c r="Q51" i="18"/>
  <c r="Q50" i="18" s="1"/>
  <c r="Q35" i="18" s="1"/>
  <c r="Q38" i="18"/>
  <c r="Q36" i="18" s="1"/>
  <c r="AL57" i="18"/>
  <c r="AI65" i="18"/>
  <c r="AE65" i="18"/>
  <c r="AL65" i="18"/>
  <c r="T55" i="18"/>
  <c r="X55" i="18" s="1"/>
  <c r="R65" i="18"/>
  <c r="R57" i="18"/>
  <c r="N51" i="18"/>
  <c r="P54" i="18"/>
  <c r="V166" i="20"/>
  <c r="E19" i="21"/>
  <c r="AE63" i="18"/>
  <c r="AE56" i="18" s="1"/>
  <c r="O51" i="18"/>
  <c r="O50" i="18" s="1"/>
  <c r="R29" i="18"/>
  <c r="C9" i="21" s="1"/>
  <c r="C15" i="21"/>
  <c r="X29" i="18"/>
  <c r="D9" i="21" s="1"/>
  <c r="D15" i="21"/>
  <c r="AD32" i="17"/>
  <c r="AD36" i="17" s="1"/>
  <c r="AD20" i="20"/>
  <c r="AD30" i="20" s="1"/>
  <c r="AH30" i="20" s="1"/>
  <c r="AI30" i="20" s="1"/>
  <c r="AF50" i="20"/>
  <c r="AF43" i="20"/>
  <c r="N50" i="20"/>
  <c r="P50" i="20" s="1"/>
  <c r="N43" i="20"/>
  <c r="P43" i="20" s="1"/>
  <c r="P24" i="20"/>
  <c r="AF47" i="20"/>
  <c r="AF40" i="20"/>
  <c r="X39" i="20"/>
  <c r="AB40" i="20"/>
  <c r="N49" i="20"/>
  <c r="P49" i="20" s="1"/>
  <c r="N42" i="20"/>
  <c r="P42" i="20" s="1"/>
  <c r="P23" i="20"/>
  <c r="AB47" i="20"/>
  <c r="X46" i="20"/>
  <c r="AB46" i="20" s="1"/>
  <c r="N51" i="20"/>
  <c r="P51" i="20" s="1"/>
  <c r="N44" i="20"/>
  <c r="P44" i="20" s="1"/>
  <c r="P25" i="20"/>
  <c r="N40" i="20"/>
  <c r="N47" i="20"/>
  <c r="P21" i="20"/>
  <c r="H39" i="20"/>
  <c r="J40" i="20"/>
  <c r="J37" i="20"/>
  <c r="F34" i="20"/>
  <c r="F53" i="20" s="1"/>
  <c r="AF48" i="20"/>
  <c r="AF41" i="20"/>
  <c r="AF49" i="20"/>
  <c r="AF42" i="20"/>
  <c r="L38" i="20"/>
  <c r="U34" i="20"/>
  <c r="U53" i="20" s="1"/>
  <c r="U57" i="20" s="1"/>
  <c r="T46" i="20"/>
  <c r="V46" i="20" s="1"/>
  <c r="O126" i="20"/>
  <c r="O37" i="20" s="1"/>
  <c r="O34" i="20" s="1"/>
  <c r="O53" i="20" s="1"/>
  <c r="O57" i="20" s="1"/>
  <c r="N126" i="20"/>
  <c r="N37" i="20" s="1"/>
  <c r="L126" i="20"/>
  <c r="L37" i="20" s="1"/>
  <c r="M126" i="20"/>
  <c r="M37" i="20" s="1"/>
  <c r="M34" i="20" s="1"/>
  <c r="M53" i="20" s="1"/>
  <c r="M57" i="20" s="1"/>
  <c r="N48" i="20"/>
  <c r="P48" i="20" s="1"/>
  <c r="N41" i="20"/>
  <c r="P41" i="20" s="1"/>
  <c r="P22" i="20"/>
  <c r="AB28" i="20"/>
  <c r="AF28" i="20"/>
  <c r="H46" i="20"/>
  <c r="J46" i="20" s="1"/>
  <c r="J47" i="20"/>
  <c r="N28" i="20"/>
  <c r="P28" i="20" s="1"/>
  <c r="P166" i="20" s="1"/>
  <c r="P30" i="20"/>
  <c r="R38" i="20"/>
  <c r="R34" i="20" s="1"/>
  <c r="AF44" i="20"/>
  <c r="AF51" i="20"/>
  <c r="V37" i="20"/>
  <c r="T39" i="20"/>
  <c r="T38" i="20" s="1"/>
  <c r="J75" i="18"/>
  <c r="J79" i="18" s="1"/>
  <c r="H50" i="18"/>
  <c r="P55" i="18"/>
  <c r="U51" i="18"/>
  <c r="I50" i="18"/>
  <c r="K55" i="18"/>
  <c r="AG30" i="18"/>
  <c r="AG31" i="18"/>
  <c r="AG32" i="18"/>
  <c r="AG33" i="18"/>
  <c r="W54" i="18"/>
  <c r="W38" i="18" s="1"/>
  <c r="W36" i="18" s="1"/>
  <c r="AG44" i="18"/>
  <c r="AE29" i="18"/>
  <c r="T54" i="18"/>
  <c r="T38" i="18" s="1"/>
  <c r="T36" i="18" s="1"/>
  <c r="E32" i="17"/>
  <c r="E36" i="17" s="1"/>
  <c r="G36" i="17" s="1"/>
  <c r="AC30" i="17"/>
  <c r="AE30" i="17" s="1"/>
  <c r="AF30" i="17" s="1"/>
  <c r="AC25" i="17"/>
  <c r="AE25" i="17" s="1"/>
  <c r="AF25" i="17" s="1"/>
  <c r="AN19" i="18"/>
  <c r="AA19" i="18" s="1"/>
  <c r="Z19" i="18"/>
  <c r="AC31" i="17"/>
  <c r="AE31" i="17" s="1"/>
  <c r="AF31" i="17" s="1"/>
  <c r="AK22" i="18"/>
  <c r="AK58" i="18" s="1"/>
  <c r="AM58" i="18" s="1"/>
  <c r="AK46" i="18"/>
  <c r="AK49" i="18"/>
  <c r="AM49" i="18" s="1"/>
  <c r="AN49" i="18" s="1"/>
  <c r="AK45" i="18"/>
  <c r="AK47" i="18"/>
  <c r="AK24" i="18"/>
  <c r="AK60" i="18" s="1"/>
  <c r="AM60" i="18" s="1"/>
  <c r="AK26" i="18"/>
  <c r="AK62" i="18" s="1"/>
  <c r="AM62" i="18" s="1"/>
  <c r="AK25" i="18"/>
  <c r="AK61" i="18" s="1"/>
  <c r="AM61" i="18" s="1"/>
  <c r="AK23" i="18"/>
  <c r="AK59" i="18" s="1"/>
  <c r="AK48" i="18"/>
  <c r="AK71" i="18"/>
  <c r="AM21" i="18"/>
  <c r="AM39" i="18" s="1"/>
  <c r="K56" i="18"/>
  <c r="D8" i="37" s="1"/>
  <c r="D11" i="37" s="1"/>
  <c r="AG66" i="18"/>
  <c r="AE20" i="17"/>
  <c r="AF20" i="17" s="1"/>
  <c r="AC26" i="17"/>
  <c r="AE26" i="17" s="1"/>
  <c r="AF26" i="17" s="1"/>
  <c r="AC24" i="17"/>
  <c r="AE24" i="17" s="1"/>
  <c r="AF24" i="17" s="1"/>
  <c r="AC23" i="17"/>
  <c r="AE23" i="17" s="1"/>
  <c r="AF23" i="17" s="1"/>
  <c r="AC27" i="17"/>
  <c r="AE27" i="17" s="1"/>
  <c r="AF27" i="17" s="1"/>
  <c r="K28" i="17"/>
  <c r="M28" i="17" s="1"/>
  <c r="M29" i="17"/>
  <c r="K22" i="17"/>
  <c r="M23" i="17"/>
  <c r="AE29" i="17"/>
  <c r="Y29" i="17"/>
  <c r="U28" i="17"/>
  <c r="O28" i="17"/>
  <c r="S29" i="17"/>
  <c r="AA32" i="17"/>
  <c r="L36" i="17"/>
  <c r="AM23" i="30" l="1"/>
  <c r="AN23" i="30" s="1"/>
  <c r="AI67" i="30"/>
  <c r="AM67" i="30" s="1"/>
  <c r="AN67" i="30" s="1"/>
  <c r="AI31" i="30"/>
  <c r="V55" i="31"/>
  <c r="V40" i="31" s="1"/>
  <c r="U50" i="31"/>
  <c r="AH75" i="36"/>
  <c r="AH79" i="36" s="1"/>
  <c r="AM24" i="30"/>
  <c r="AN24" i="30" s="1"/>
  <c r="AM22" i="30"/>
  <c r="AN22" i="30" s="1"/>
  <c r="AM147" i="32"/>
  <c r="AI58" i="30"/>
  <c r="AM58" i="30" s="1"/>
  <c r="AN58" i="30" s="1"/>
  <c r="AI68" i="30"/>
  <c r="AM68" i="30" s="1"/>
  <c r="AN68" i="30" s="1"/>
  <c r="Z21" i="30"/>
  <c r="AM150" i="18"/>
  <c r="AE150" i="18"/>
  <c r="AF150" i="18"/>
  <c r="AC150" i="18"/>
  <c r="AD150" i="18"/>
  <c r="AG167" i="18"/>
  <c r="AC63" i="18"/>
  <c r="AC56" i="18" s="1"/>
  <c r="AC55" i="18" s="1"/>
  <c r="AC40" i="18" s="1"/>
  <c r="AI168" i="18"/>
  <c r="AI167" i="18" s="1"/>
  <c r="AJ168" i="18"/>
  <c r="AJ167" i="18" s="1"/>
  <c r="AJ63" i="18" s="1"/>
  <c r="AJ56" i="18" s="1"/>
  <c r="AJ55" i="18" s="1"/>
  <c r="AJ40" i="18" s="1"/>
  <c r="AL168" i="18"/>
  <c r="AL167" i="18" s="1"/>
  <c r="AK168" i="18"/>
  <c r="AK167" i="18" s="1"/>
  <c r="AK63" i="18" s="1"/>
  <c r="AK56" i="18" s="1"/>
  <c r="D7" i="37"/>
  <c r="D10" i="37" s="1"/>
  <c r="D13" i="37" s="1"/>
  <c r="E33" i="62"/>
  <c r="E47" i="62" s="1"/>
  <c r="E43" i="62" s="1"/>
  <c r="E53" i="62"/>
  <c r="E15" i="62"/>
  <c r="C53" i="62"/>
  <c r="C33" i="62"/>
  <c r="C47" i="62" s="1"/>
  <c r="C43" i="62" s="1"/>
  <c r="C15" i="62"/>
  <c r="E4" i="57"/>
  <c r="C4" i="57"/>
  <c r="G104" i="50"/>
  <c r="G102" i="50" s="1"/>
  <c r="G70" i="50"/>
  <c r="G50" i="50"/>
  <c r="X75" i="36"/>
  <c r="X79" i="36" s="1"/>
  <c r="AI30" i="30"/>
  <c r="E4" i="50"/>
  <c r="E4" i="55"/>
  <c r="C4" i="50"/>
  <c r="C4" i="55"/>
  <c r="V50" i="32"/>
  <c r="V35" i="32" s="1"/>
  <c r="AI44" i="30"/>
  <c r="G59" i="50"/>
  <c r="G60" i="50" s="1"/>
  <c r="G95" i="50"/>
  <c r="G46" i="50"/>
  <c r="AI62" i="30"/>
  <c r="AM62" i="30" s="1"/>
  <c r="AN62" i="30" s="1"/>
  <c r="AG75" i="36"/>
  <c r="AG79" i="36" s="1"/>
  <c r="G69" i="44"/>
  <c r="G100" i="44"/>
  <c r="G98" i="44" s="1"/>
  <c r="G50" i="44"/>
  <c r="G92" i="44"/>
  <c r="G58" i="44"/>
  <c r="G59" i="44" s="1"/>
  <c r="G46" i="44"/>
  <c r="AJ55" i="32"/>
  <c r="AJ40" i="32" s="1"/>
  <c r="X55" i="32"/>
  <c r="X40" i="32" s="1"/>
  <c r="E4" i="44"/>
  <c r="C4" i="44"/>
  <c r="AI32" i="30"/>
  <c r="I50" i="30"/>
  <c r="I74" i="30" s="1"/>
  <c r="I78" i="30" s="1"/>
  <c r="AK65" i="32"/>
  <c r="AK55" i="32" s="1"/>
  <c r="AK40" i="32" s="1"/>
  <c r="AI33" i="30"/>
  <c r="AG31" i="32"/>
  <c r="X65" i="32"/>
  <c r="G104" i="34"/>
  <c r="G80" i="34"/>
  <c r="X57" i="31"/>
  <c r="T40" i="36"/>
  <c r="T99" i="36"/>
  <c r="AI50" i="36"/>
  <c r="AI35" i="36" s="1"/>
  <c r="AE35" i="36"/>
  <c r="AE75" i="36"/>
  <c r="AE40" i="36"/>
  <c r="AI55" i="36"/>
  <c r="AI40" i="36" s="1"/>
  <c r="M106" i="36"/>
  <c r="M90" i="36"/>
  <c r="AO58" i="36"/>
  <c r="AP58" i="36" s="1"/>
  <c r="AK57" i="36"/>
  <c r="AO57" i="36" s="1"/>
  <c r="AP57" i="36" s="1"/>
  <c r="AO44" i="36"/>
  <c r="AK29" i="36"/>
  <c r="AK65" i="36"/>
  <c r="AO65" i="36" s="1"/>
  <c r="AP65" i="36" s="1"/>
  <c r="AO66" i="36"/>
  <c r="AP66" i="36" s="1"/>
  <c r="AP47" i="36"/>
  <c r="AP32" i="36" s="1"/>
  <c r="AO32" i="36"/>
  <c r="T50" i="36"/>
  <c r="T35" i="36" s="1"/>
  <c r="P35" i="36"/>
  <c r="P75" i="36"/>
  <c r="AP45" i="36"/>
  <c r="AP30" i="36" s="1"/>
  <c r="AO30" i="36"/>
  <c r="M75" i="36"/>
  <c r="I79" i="36"/>
  <c r="M79" i="36" s="1"/>
  <c r="V55" i="30"/>
  <c r="V40" i="30" s="1"/>
  <c r="V50" i="31"/>
  <c r="AN194" i="36"/>
  <c r="AN54" i="36" s="1"/>
  <c r="AM194" i="36"/>
  <c r="AM54" i="36" s="1"/>
  <c r="AK194" i="36"/>
  <c r="AK54" i="36" s="1"/>
  <c r="AL194" i="36"/>
  <c r="AL54" i="36" s="1"/>
  <c r="AO33" i="36"/>
  <c r="AP48" i="36"/>
  <c r="AP33" i="36" s="1"/>
  <c r="AO41" i="36"/>
  <c r="AP71" i="36"/>
  <c r="AP41" i="36" s="1"/>
  <c r="I50" i="31"/>
  <c r="I74" i="31" s="1"/>
  <c r="I78" i="31" s="1"/>
  <c r="I35" i="31"/>
  <c r="AI70" i="30"/>
  <c r="AM70" i="30" s="1"/>
  <c r="AN70" i="30" s="1"/>
  <c r="AP46" i="36"/>
  <c r="AP31" i="36" s="1"/>
  <c r="AO31" i="36"/>
  <c r="AO56" i="36"/>
  <c r="AP56" i="36" s="1"/>
  <c r="AF35" i="36"/>
  <c r="AF75" i="36"/>
  <c r="AF79" i="36" s="1"/>
  <c r="X57" i="30"/>
  <c r="Z50" i="36"/>
  <c r="Z35" i="36" s="1"/>
  <c r="V35" i="36"/>
  <c r="V75" i="36"/>
  <c r="G36" i="34"/>
  <c r="D12" i="37"/>
  <c r="B48" i="37"/>
  <c r="B5" i="37" s="1"/>
  <c r="B9" i="37"/>
  <c r="X65" i="30"/>
  <c r="AM147" i="30"/>
  <c r="AM39" i="30"/>
  <c r="AI147" i="31"/>
  <c r="AI54" i="31" s="1"/>
  <c r="AJ147" i="31"/>
  <c r="AJ54" i="31" s="1"/>
  <c r="AL147" i="31"/>
  <c r="AL54" i="31" s="1"/>
  <c r="AK147" i="31"/>
  <c r="AK54" i="31" s="1"/>
  <c r="AF38" i="30"/>
  <c r="AF36" i="30" s="1"/>
  <c r="AF51" i="30"/>
  <c r="AF164" i="30"/>
  <c r="AF63" i="30" s="1"/>
  <c r="AF56" i="30" s="1"/>
  <c r="AF55" i="30" s="1"/>
  <c r="AF40" i="30" s="1"/>
  <c r="AE63" i="30"/>
  <c r="AI33" i="31"/>
  <c r="AM25" i="31"/>
  <c r="AN25" i="31" s="1"/>
  <c r="AI69" i="31"/>
  <c r="AM69" i="31" s="1"/>
  <c r="AN69" i="31" s="1"/>
  <c r="AI61" i="31"/>
  <c r="AM61" i="31" s="1"/>
  <c r="AN61" i="31" s="1"/>
  <c r="AI70" i="31"/>
  <c r="AM70" i="31" s="1"/>
  <c r="AN70" i="31" s="1"/>
  <c r="AM26" i="31"/>
  <c r="AN26" i="31" s="1"/>
  <c r="AI62" i="31"/>
  <c r="AM62" i="31" s="1"/>
  <c r="AN62" i="31" s="1"/>
  <c r="AI33" i="32"/>
  <c r="AM48" i="32"/>
  <c r="AG63" i="32"/>
  <c r="AC56" i="32"/>
  <c r="AN52" i="31"/>
  <c r="AM37" i="31"/>
  <c r="AI32" i="32"/>
  <c r="AM47" i="32"/>
  <c r="AE65" i="32"/>
  <c r="AE55" i="32" s="1"/>
  <c r="AE40" i="32" s="1"/>
  <c r="T50" i="32"/>
  <c r="X51" i="32"/>
  <c r="R65" i="32"/>
  <c r="N55" i="32"/>
  <c r="AI31" i="31"/>
  <c r="AM46" i="31"/>
  <c r="T55" i="30"/>
  <c r="X56" i="30"/>
  <c r="AC38" i="30"/>
  <c r="AC36" i="30" s="1"/>
  <c r="AG54" i="30"/>
  <c r="AG38" i="30" s="1"/>
  <c r="AG36" i="30" s="1"/>
  <c r="AC51" i="30"/>
  <c r="AM71" i="31"/>
  <c r="AI41" i="31"/>
  <c r="P50" i="30"/>
  <c r="R56" i="30"/>
  <c r="N55" i="30"/>
  <c r="N50" i="30" s="1"/>
  <c r="AI30" i="32"/>
  <c r="AI44" i="32"/>
  <c r="AM45" i="32"/>
  <c r="X56" i="31"/>
  <c r="T55" i="31"/>
  <c r="T50" i="31" s="1"/>
  <c r="AE57" i="32"/>
  <c r="AG57" i="32" s="1"/>
  <c r="AF147" i="32"/>
  <c r="AF54" i="32" s="1"/>
  <c r="AE147" i="32"/>
  <c r="AE54" i="32" s="1"/>
  <c r="AD147" i="32"/>
  <c r="AD54" i="32" s="1"/>
  <c r="AC147" i="32"/>
  <c r="AC54" i="32" s="1"/>
  <c r="AI66" i="31"/>
  <c r="AI58" i="31"/>
  <c r="AM22" i="31"/>
  <c r="AN22" i="31" s="1"/>
  <c r="AL57" i="32"/>
  <c r="AG65" i="31"/>
  <c r="AE38" i="30"/>
  <c r="AE36" i="30" s="1"/>
  <c r="AE51" i="30"/>
  <c r="AN48" i="30"/>
  <c r="AN33" i="30" s="1"/>
  <c r="AM33" i="30"/>
  <c r="AM31" i="30"/>
  <c r="AN46" i="30"/>
  <c r="AN31" i="30" s="1"/>
  <c r="AN47" i="30"/>
  <c r="AM32" i="30"/>
  <c r="AC56" i="31"/>
  <c r="AG57" i="31"/>
  <c r="AK29" i="32"/>
  <c r="AL29" i="32"/>
  <c r="G50" i="30"/>
  <c r="K55" i="30"/>
  <c r="K40" i="30" s="1"/>
  <c r="K35" i="30" s="1"/>
  <c r="G40" i="30"/>
  <c r="G35" i="30" s="1"/>
  <c r="AI60" i="31"/>
  <c r="AM60" i="31" s="1"/>
  <c r="AN60" i="31" s="1"/>
  <c r="AI68" i="31"/>
  <c r="AM68" i="31" s="1"/>
  <c r="AN68" i="31" s="1"/>
  <c r="AM24" i="31"/>
  <c r="AN24" i="31" s="1"/>
  <c r="AI66" i="32"/>
  <c r="AI58" i="32"/>
  <c r="AM22" i="32"/>
  <c r="AN22" i="32" s="1"/>
  <c r="AL65" i="32"/>
  <c r="AL55" i="32" s="1"/>
  <c r="AL40" i="32" s="1"/>
  <c r="C4" i="34"/>
  <c r="C37" i="34" s="1"/>
  <c r="C81" i="34" s="1"/>
  <c r="U38" i="30"/>
  <c r="U36" i="30" s="1"/>
  <c r="U51" i="30"/>
  <c r="U50" i="30" s="1"/>
  <c r="AN48" i="31"/>
  <c r="Z21" i="32"/>
  <c r="AM39" i="32"/>
  <c r="AI31" i="32"/>
  <c r="AM46" i="32"/>
  <c r="AF164" i="31"/>
  <c r="AF63" i="31" s="1"/>
  <c r="AF56" i="31" s="1"/>
  <c r="AF55" i="31" s="1"/>
  <c r="AF40" i="31" s="1"/>
  <c r="AE63" i="31"/>
  <c r="AE56" i="31" s="1"/>
  <c r="AE55" i="31" s="1"/>
  <c r="AE40" i="31" s="1"/>
  <c r="AE38" i="31"/>
  <c r="AE36" i="31" s="1"/>
  <c r="AE51" i="31"/>
  <c r="Q38" i="32"/>
  <c r="Q36" i="32" s="1"/>
  <c r="Q51" i="32"/>
  <c r="Q50" i="32" s="1"/>
  <c r="K51" i="31"/>
  <c r="N38" i="31"/>
  <c r="N36" i="31" s="1"/>
  <c r="R54" i="31"/>
  <c r="R38" i="31" s="1"/>
  <c r="R36" i="31" s="1"/>
  <c r="N51" i="31"/>
  <c r="AL164" i="30"/>
  <c r="AL63" i="30" s="1"/>
  <c r="AL56" i="30" s="1"/>
  <c r="AL55" i="30" s="1"/>
  <c r="AL40" i="30" s="1"/>
  <c r="AK63" i="30"/>
  <c r="AK56" i="30" s="1"/>
  <c r="AK55" i="30" s="1"/>
  <c r="AK40" i="30" s="1"/>
  <c r="AI44" i="31"/>
  <c r="AM45" i="31"/>
  <c r="AI30" i="31"/>
  <c r="AI67" i="32"/>
  <c r="AM67" i="32" s="1"/>
  <c r="AN67" i="32" s="1"/>
  <c r="AI59" i="32"/>
  <c r="AM59" i="32" s="1"/>
  <c r="AN59" i="32" s="1"/>
  <c r="AM23" i="32"/>
  <c r="AN23" i="32" s="1"/>
  <c r="X51" i="31"/>
  <c r="AM66" i="30"/>
  <c r="AN66" i="30" s="1"/>
  <c r="AG58" i="32"/>
  <c r="AF38" i="31"/>
  <c r="AF36" i="31" s="1"/>
  <c r="AF51" i="31"/>
  <c r="O38" i="32"/>
  <c r="O36" i="32" s="1"/>
  <c r="O51" i="32"/>
  <c r="O50" i="32" s="1"/>
  <c r="E4" i="34"/>
  <c r="AL147" i="32"/>
  <c r="AL54" i="32" s="1"/>
  <c r="AK147" i="32"/>
  <c r="AK54" i="32" s="1"/>
  <c r="AJ147" i="32"/>
  <c r="AJ54" i="32" s="1"/>
  <c r="AI147" i="32"/>
  <c r="AI54" i="32" s="1"/>
  <c r="P38" i="31"/>
  <c r="P36" i="31" s="1"/>
  <c r="P51" i="31"/>
  <c r="P50" i="31" s="1"/>
  <c r="Q35" i="30"/>
  <c r="Q74" i="30"/>
  <c r="Q78" i="30" s="1"/>
  <c r="Z21" i="31"/>
  <c r="AN21" i="31"/>
  <c r="AA21" i="31" s="1"/>
  <c r="AM39" i="31"/>
  <c r="AI61" i="32"/>
  <c r="AM61" i="32" s="1"/>
  <c r="AN61" i="32" s="1"/>
  <c r="AI69" i="32"/>
  <c r="AM69" i="32" s="1"/>
  <c r="AN69" i="32" s="1"/>
  <c r="AM25" i="32"/>
  <c r="AN25" i="32" s="1"/>
  <c r="AD38" i="31"/>
  <c r="AD36" i="31" s="1"/>
  <c r="AD51" i="31"/>
  <c r="AD50" i="31" s="1"/>
  <c r="W50" i="31"/>
  <c r="V38" i="30"/>
  <c r="V36" i="30" s="1"/>
  <c r="V51" i="30"/>
  <c r="P38" i="32"/>
  <c r="P36" i="32" s="1"/>
  <c r="P51" i="32"/>
  <c r="P50" i="32" s="1"/>
  <c r="AI32" i="31"/>
  <c r="AM47" i="31"/>
  <c r="AI41" i="32"/>
  <c r="AM71" i="32"/>
  <c r="K50" i="32"/>
  <c r="G74" i="32"/>
  <c r="AM164" i="32"/>
  <c r="AN164" i="32" s="1"/>
  <c r="AI63" i="32"/>
  <c r="AC38" i="31"/>
  <c r="AC36" i="31" s="1"/>
  <c r="AG54" i="31"/>
  <c r="AG38" i="31" s="1"/>
  <c r="AG36" i="31" s="1"/>
  <c r="AC51" i="31"/>
  <c r="AE29" i="32"/>
  <c r="N38" i="32"/>
  <c r="N36" i="32" s="1"/>
  <c r="R54" i="32"/>
  <c r="R38" i="32" s="1"/>
  <c r="R36" i="32" s="1"/>
  <c r="N51" i="32"/>
  <c r="N56" i="31"/>
  <c r="R57" i="31"/>
  <c r="O38" i="31"/>
  <c r="O36" i="31" s="1"/>
  <c r="O51" i="31"/>
  <c r="O50" i="31" s="1"/>
  <c r="Q38" i="31"/>
  <c r="Q36" i="31" s="1"/>
  <c r="Q51" i="31"/>
  <c r="Q50" i="31" s="1"/>
  <c r="AK57" i="32"/>
  <c r="AI59" i="31"/>
  <c r="AM59" i="31" s="1"/>
  <c r="AN59" i="31" s="1"/>
  <c r="AM23" i="31"/>
  <c r="AN23" i="31" s="1"/>
  <c r="AI67" i="31"/>
  <c r="AM67" i="31" s="1"/>
  <c r="AN67" i="31" s="1"/>
  <c r="O35" i="30"/>
  <c r="O74" i="30"/>
  <c r="O78" i="30" s="1"/>
  <c r="AI68" i="32"/>
  <c r="AM68" i="32" s="1"/>
  <c r="AN68" i="32" s="1"/>
  <c r="AI60" i="32"/>
  <c r="AM60" i="32" s="1"/>
  <c r="AN60" i="32" s="1"/>
  <c r="AM24" i="32"/>
  <c r="AN24" i="32" s="1"/>
  <c r="AG66" i="32"/>
  <c r="U35" i="32"/>
  <c r="U74" i="32"/>
  <c r="U78" i="32" s="1"/>
  <c r="R51" i="30"/>
  <c r="U35" i="31"/>
  <c r="U74" i="31"/>
  <c r="U78" i="31" s="1"/>
  <c r="G55" i="31"/>
  <c r="K56" i="31"/>
  <c r="W35" i="32"/>
  <c r="W74" i="32"/>
  <c r="W78" i="32" s="1"/>
  <c r="AN45" i="30"/>
  <c r="AN30" i="30" s="1"/>
  <c r="AM30" i="30"/>
  <c r="AN71" i="30"/>
  <c r="AN41" i="30" s="1"/>
  <c r="AM41" i="30"/>
  <c r="W38" i="30"/>
  <c r="W36" i="30" s="1"/>
  <c r="W51" i="30"/>
  <c r="W50" i="30" s="1"/>
  <c r="T38" i="30"/>
  <c r="T36" i="30" s="1"/>
  <c r="X54" i="30"/>
  <c r="X38" i="30" s="1"/>
  <c r="X36" i="30" s="1"/>
  <c r="T51" i="30"/>
  <c r="AD38" i="30"/>
  <c r="AD36" i="30" s="1"/>
  <c r="AD51" i="30"/>
  <c r="AD50" i="30" s="1"/>
  <c r="AG57" i="30"/>
  <c r="AC56" i="30"/>
  <c r="AM37" i="32"/>
  <c r="AN52" i="32"/>
  <c r="AI62" i="32"/>
  <c r="AM62" i="32" s="1"/>
  <c r="AN62" i="32" s="1"/>
  <c r="AI70" i="32"/>
  <c r="AM70" i="32" s="1"/>
  <c r="AN70" i="32" s="1"/>
  <c r="AM26" i="32"/>
  <c r="AN26" i="32" s="1"/>
  <c r="AM44" i="30"/>
  <c r="AI29" i="30"/>
  <c r="AL164" i="31"/>
  <c r="AL63" i="31" s="1"/>
  <c r="AL56" i="31" s="1"/>
  <c r="AL55" i="31" s="1"/>
  <c r="AL40" i="31" s="1"/>
  <c r="AK63" i="31"/>
  <c r="K40" i="18"/>
  <c r="B12" i="21" s="1"/>
  <c r="AG65" i="18"/>
  <c r="AG57" i="18"/>
  <c r="AD55" i="18"/>
  <c r="AD40" i="18" s="1"/>
  <c r="P51" i="18"/>
  <c r="R51" i="18" s="1"/>
  <c r="P38" i="18"/>
  <c r="P36" i="18" s="1"/>
  <c r="T40" i="18"/>
  <c r="N55" i="18"/>
  <c r="N40" i="18" s="1"/>
  <c r="AE55" i="18"/>
  <c r="AK57" i="18"/>
  <c r="AM59" i="18"/>
  <c r="AN59" i="18" s="1"/>
  <c r="Q75" i="18"/>
  <c r="Q79" i="18" s="1"/>
  <c r="R54" i="18"/>
  <c r="AG29" i="18"/>
  <c r="AB166" i="20"/>
  <c r="AD23" i="20"/>
  <c r="AH23" i="20" s="1"/>
  <c r="AI23" i="20" s="1"/>
  <c r="AD31" i="20"/>
  <c r="AH31" i="20" s="1"/>
  <c r="AI31" i="20" s="1"/>
  <c r="AD35" i="20"/>
  <c r="AH35" i="20" s="1"/>
  <c r="AI35" i="20" s="1"/>
  <c r="AD21" i="20"/>
  <c r="AD40" i="20" s="1"/>
  <c r="AD33" i="20"/>
  <c r="AH33" i="20" s="1"/>
  <c r="AI33" i="20" s="1"/>
  <c r="AH20" i="20"/>
  <c r="AI20" i="20" s="1"/>
  <c r="AB127" i="20" s="1"/>
  <c r="AB126" i="20" s="1"/>
  <c r="G32" i="17"/>
  <c r="AD55" i="20"/>
  <c r="AH55" i="20" s="1"/>
  <c r="AD32" i="20"/>
  <c r="AH32" i="20" s="1"/>
  <c r="AI32" i="20" s="1"/>
  <c r="AD29" i="20"/>
  <c r="AH29" i="20" s="1"/>
  <c r="AI29" i="20" s="1"/>
  <c r="AD22" i="20"/>
  <c r="AH22" i="20" s="1"/>
  <c r="AI22" i="20" s="1"/>
  <c r="AD24" i="20"/>
  <c r="AD43" i="20" s="1"/>
  <c r="AH43" i="20" s="1"/>
  <c r="AI43" i="20" s="1"/>
  <c r="AD52" i="20"/>
  <c r="AH52" i="20" s="1"/>
  <c r="AI52" i="20" s="1"/>
  <c r="AD25" i="20"/>
  <c r="AD51" i="20" s="1"/>
  <c r="AH51" i="20" s="1"/>
  <c r="AI51" i="20" s="1"/>
  <c r="V39" i="20"/>
  <c r="V38" i="20"/>
  <c r="V174" i="20" s="1"/>
  <c r="R53" i="20"/>
  <c r="AB39" i="20"/>
  <c r="X38" i="20"/>
  <c r="AB38" i="20" s="1"/>
  <c r="AF39" i="20"/>
  <c r="AF38" i="20" s="1"/>
  <c r="AC28" i="17"/>
  <c r="AE28" i="17" s="1"/>
  <c r="F57" i="20"/>
  <c r="P37" i="20"/>
  <c r="L34" i="20"/>
  <c r="H38" i="20"/>
  <c r="J39" i="20"/>
  <c r="AF46" i="20"/>
  <c r="N46" i="20"/>
  <c r="P46" i="20" s="1"/>
  <c r="P47" i="20"/>
  <c r="T34" i="20"/>
  <c r="T53" i="20" s="1"/>
  <c r="T57" i="20" s="1"/>
  <c r="N39" i="20"/>
  <c r="P40" i="20"/>
  <c r="O75" i="18"/>
  <c r="O79" i="18" s="1"/>
  <c r="O35" i="18"/>
  <c r="H75" i="18"/>
  <c r="H79" i="18" s="1"/>
  <c r="U50" i="18"/>
  <c r="P40" i="18"/>
  <c r="AM71" i="18"/>
  <c r="AK41" i="18"/>
  <c r="AM52" i="18"/>
  <c r="X54" i="18"/>
  <c r="X38" i="18" s="1"/>
  <c r="T51" i="18"/>
  <c r="W51" i="18"/>
  <c r="V40" i="18"/>
  <c r="I75" i="18"/>
  <c r="AK30" i="18"/>
  <c r="AM47" i="18"/>
  <c r="AK32" i="18"/>
  <c r="AM48" i="18"/>
  <c r="AK33" i="18"/>
  <c r="AM46" i="18"/>
  <c r="AK31" i="18"/>
  <c r="AN21" i="18"/>
  <c r="AA21" i="18" s="1"/>
  <c r="E6" i="21" s="1"/>
  <c r="Z21" i="18"/>
  <c r="AK44" i="18"/>
  <c r="AM45" i="18"/>
  <c r="AK66" i="18"/>
  <c r="AM22" i="18"/>
  <c r="AN22" i="18" s="1"/>
  <c r="AN62" i="18"/>
  <c r="AK70" i="18"/>
  <c r="AM70" i="18" s="1"/>
  <c r="AN70" i="18" s="1"/>
  <c r="AM26" i="18"/>
  <c r="AN26" i="18" s="1"/>
  <c r="AN60" i="18"/>
  <c r="AK68" i="18"/>
  <c r="AM68" i="18" s="1"/>
  <c r="AN68" i="18" s="1"/>
  <c r="AM24" i="18"/>
  <c r="AN24" i="18" s="1"/>
  <c r="AK67" i="18"/>
  <c r="AM67" i="18" s="1"/>
  <c r="AN67" i="18" s="1"/>
  <c r="AM23" i="18"/>
  <c r="AN23" i="18" s="1"/>
  <c r="AN61" i="18"/>
  <c r="AK69" i="18"/>
  <c r="AM69" i="18" s="1"/>
  <c r="AN69" i="18" s="1"/>
  <c r="AM25" i="18"/>
  <c r="AN25" i="18" s="1"/>
  <c r="AC22" i="17"/>
  <c r="AF29" i="17"/>
  <c r="K32" i="17"/>
  <c r="M22" i="17"/>
  <c r="AA36" i="17"/>
  <c r="O32" i="17"/>
  <c r="S28" i="17"/>
  <c r="Y28" i="17"/>
  <c r="U32" i="17"/>
  <c r="AN32" i="30" l="1"/>
  <c r="V50" i="30"/>
  <c r="AI65" i="30"/>
  <c r="AM65" i="30" s="1"/>
  <c r="AN65" i="30" s="1"/>
  <c r="AI57" i="30"/>
  <c r="AI56" i="30" s="1"/>
  <c r="AI150" i="18"/>
  <c r="AJ150" i="18"/>
  <c r="AK150" i="18"/>
  <c r="AL150" i="18"/>
  <c r="AM167" i="18"/>
  <c r="AN167" i="18" s="1"/>
  <c r="AI63" i="18"/>
  <c r="AI56" i="18" s="1"/>
  <c r="AI55" i="18" s="1"/>
  <c r="AI40" i="18" s="1"/>
  <c r="E101" i="62"/>
  <c r="E52" i="62"/>
  <c r="C101" i="62"/>
  <c r="C52" i="62"/>
  <c r="C53" i="57"/>
  <c r="C15" i="57"/>
  <c r="C33" i="57"/>
  <c r="C47" i="57" s="1"/>
  <c r="C43" i="57" s="1"/>
  <c r="E33" i="57"/>
  <c r="E47" i="57" s="1"/>
  <c r="E43" i="57" s="1"/>
  <c r="E53" i="57"/>
  <c r="E15" i="57"/>
  <c r="E47" i="50"/>
  <c r="E30" i="50"/>
  <c r="E41" i="50" s="1"/>
  <c r="E37" i="50" s="1"/>
  <c r="E12" i="50"/>
  <c r="G57" i="50"/>
  <c r="V74" i="32"/>
  <c r="V78" i="32" s="1"/>
  <c r="G122" i="50"/>
  <c r="G94" i="50"/>
  <c r="AF50" i="31"/>
  <c r="AF35" i="31" s="1"/>
  <c r="G24" i="50"/>
  <c r="G25" i="50" s="1"/>
  <c r="C53" i="55"/>
  <c r="C15" i="55"/>
  <c r="C33" i="55"/>
  <c r="C47" i="55" s="1"/>
  <c r="C43" i="55" s="1"/>
  <c r="C47" i="50"/>
  <c r="C12" i="50"/>
  <c r="C30" i="50"/>
  <c r="C41" i="50" s="1"/>
  <c r="C37" i="50" s="1"/>
  <c r="G98" i="50"/>
  <c r="G97" i="50" s="1"/>
  <c r="G87" i="50"/>
  <c r="G68" i="50"/>
  <c r="E53" i="55"/>
  <c r="E33" i="55"/>
  <c r="E47" i="55" s="1"/>
  <c r="E15" i="55"/>
  <c r="G56" i="44"/>
  <c r="G63" i="44" s="1"/>
  <c r="C47" i="44"/>
  <c r="C12" i="44"/>
  <c r="C32" i="44"/>
  <c r="C42" i="44" s="1"/>
  <c r="C38" i="44" s="1"/>
  <c r="G116" i="44"/>
  <c r="G91" i="44"/>
  <c r="E47" i="44"/>
  <c r="E12" i="44"/>
  <c r="E32" i="44"/>
  <c r="E42" i="44" s="1"/>
  <c r="E38" i="44" s="1"/>
  <c r="G24" i="44"/>
  <c r="G25" i="44" s="1"/>
  <c r="G95" i="44"/>
  <c r="G94" i="44" s="1"/>
  <c r="G67" i="44"/>
  <c r="G84" i="44"/>
  <c r="AG63" i="31"/>
  <c r="AK55" i="36"/>
  <c r="AO55" i="36" s="1"/>
  <c r="C80" i="34"/>
  <c r="C104" i="34"/>
  <c r="T75" i="36"/>
  <c r="P79" i="36"/>
  <c r="T79" i="36" s="1"/>
  <c r="M85" i="36"/>
  <c r="M89" i="36"/>
  <c r="M84" i="36" s="1"/>
  <c r="M107" i="36" s="1"/>
  <c r="M109" i="36" s="1"/>
  <c r="M111" i="36"/>
  <c r="AL38" i="36"/>
  <c r="AL36" i="36" s="1"/>
  <c r="AL51" i="36"/>
  <c r="AL50" i="36" s="1"/>
  <c r="AK38" i="36"/>
  <c r="AK36" i="36" s="1"/>
  <c r="AO54" i="36"/>
  <c r="AK51" i="36"/>
  <c r="AM38" i="36"/>
  <c r="AM36" i="36" s="1"/>
  <c r="AM51" i="36"/>
  <c r="AM50" i="36" s="1"/>
  <c r="AE79" i="36"/>
  <c r="AI79" i="36" s="1"/>
  <c r="AI75" i="36"/>
  <c r="AN38" i="36"/>
  <c r="AN36" i="36" s="1"/>
  <c r="AN51" i="36"/>
  <c r="AN50" i="36" s="1"/>
  <c r="V35" i="31"/>
  <c r="V74" i="31"/>
  <c r="V78" i="31" s="1"/>
  <c r="T106" i="36"/>
  <c r="F99" i="36"/>
  <c r="T90" i="36"/>
  <c r="AG65" i="32"/>
  <c r="V79" i="36"/>
  <c r="Z79" i="36" s="1"/>
  <c r="Z75" i="36"/>
  <c r="AP44" i="36"/>
  <c r="AP29" i="36" s="1"/>
  <c r="AO29" i="36"/>
  <c r="C48" i="37"/>
  <c r="C5" i="37" s="1"/>
  <c r="C12" i="37" s="1"/>
  <c r="B12" i="37"/>
  <c r="B3" i="37"/>
  <c r="AI147" i="30"/>
  <c r="AI54" i="30" s="1"/>
  <c r="AL147" i="30"/>
  <c r="AL54" i="30" s="1"/>
  <c r="AJ147" i="30"/>
  <c r="AJ54" i="30" s="1"/>
  <c r="AK147" i="30"/>
  <c r="AK54" i="30" s="1"/>
  <c r="AF50" i="30"/>
  <c r="AF74" i="30" s="1"/>
  <c r="AF78" i="30" s="1"/>
  <c r="AE38" i="32"/>
  <c r="AE36" i="32" s="1"/>
  <c r="AE51" i="32"/>
  <c r="AE50" i="32" s="1"/>
  <c r="AN71" i="31"/>
  <c r="AN41" i="31" s="1"/>
  <c r="AM41" i="31"/>
  <c r="AM32" i="32"/>
  <c r="AN47" i="32"/>
  <c r="AN32" i="32" s="1"/>
  <c r="AN47" i="31"/>
  <c r="AN32" i="31" s="1"/>
  <c r="AM32" i="31"/>
  <c r="AK38" i="32"/>
  <c r="AK36" i="32" s="1"/>
  <c r="AK51" i="32"/>
  <c r="AK50" i="32" s="1"/>
  <c r="K50" i="30"/>
  <c r="G74" i="30"/>
  <c r="G24" i="34"/>
  <c r="W35" i="30"/>
  <c r="W74" i="30"/>
  <c r="W78" i="30" s="1"/>
  <c r="AL38" i="32"/>
  <c r="AL36" i="32" s="1"/>
  <c r="AL51" i="32"/>
  <c r="AL50" i="32" s="1"/>
  <c r="C31" i="34"/>
  <c r="C12" i="34"/>
  <c r="AF38" i="32"/>
  <c r="AF36" i="32" s="1"/>
  <c r="AF51" i="32"/>
  <c r="AF50" i="32" s="1"/>
  <c r="AG51" i="30"/>
  <c r="E37" i="34"/>
  <c r="E81" i="34" s="1"/>
  <c r="E31" i="34"/>
  <c r="E12" i="34"/>
  <c r="R51" i="31"/>
  <c r="AM63" i="31"/>
  <c r="AK56" i="31"/>
  <c r="AK55" i="31" s="1"/>
  <c r="AK40" i="31" s="1"/>
  <c r="AG51" i="31"/>
  <c r="X55" i="31"/>
  <c r="X40" i="31" s="1"/>
  <c r="T40" i="31"/>
  <c r="P35" i="32"/>
  <c r="P74" i="32"/>
  <c r="P78" i="32" s="1"/>
  <c r="AE56" i="30"/>
  <c r="AE55" i="30" s="1"/>
  <c r="AE40" i="30" s="1"/>
  <c r="AG63" i="30"/>
  <c r="Q35" i="31"/>
  <c r="Q74" i="31"/>
  <c r="Q78" i="31" s="1"/>
  <c r="X50" i="31"/>
  <c r="X35" i="31" s="1"/>
  <c r="T35" i="31"/>
  <c r="T74" i="31"/>
  <c r="AN46" i="32"/>
  <c r="AN31" i="32" s="1"/>
  <c r="AM31" i="32"/>
  <c r="AC55" i="30"/>
  <c r="AI57" i="32"/>
  <c r="AM57" i="32" s="1"/>
  <c r="AN57" i="32" s="1"/>
  <c r="AM58" i="32"/>
  <c r="AN58" i="32" s="1"/>
  <c r="AN45" i="32"/>
  <c r="AN30" i="32" s="1"/>
  <c r="AM30" i="32"/>
  <c r="X55" i="30"/>
  <c r="X40" i="30" s="1"/>
  <c r="T40" i="30"/>
  <c r="AC55" i="32"/>
  <c r="AG56" i="32"/>
  <c r="R50" i="30"/>
  <c r="R35" i="30" s="1"/>
  <c r="N35" i="30"/>
  <c r="N74" i="30"/>
  <c r="O35" i="31"/>
  <c r="O74" i="31"/>
  <c r="O78" i="31" s="1"/>
  <c r="AM63" i="32"/>
  <c r="AN63" i="32" s="1"/>
  <c r="AI56" i="32"/>
  <c r="V35" i="30"/>
  <c r="V74" i="30"/>
  <c r="V78" i="30" s="1"/>
  <c r="AI65" i="32"/>
  <c r="AM65" i="32" s="1"/>
  <c r="AM66" i="32"/>
  <c r="AN66" i="32" s="1"/>
  <c r="AI29" i="32"/>
  <c r="AM44" i="32"/>
  <c r="AM31" i="31"/>
  <c r="AN46" i="31"/>
  <c r="AN31" i="31" s="1"/>
  <c r="O35" i="32"/>
  <c r="O74" i="32"/>
  <c r="O78" i="32" s="1"/>
  <c r="AM33" i="32"/>
  <c r="AN48" i="32"/>
  <c r="AN33" i="32" s="1"/>
  <c r="AD35" i="30"/>
  <c r="AD74" i="30"/>
  <c r="AD78" i="30" s="1"/>
  <c r="K74" i="32"/>
  <c r="G78" i="32"/>
  <c r="K78" i="32" s="1"/>
  <c r="W35" i="31"/>
  <c r="W74" i="31"/>
  <c r="W78" i="31" s="1"/>
  <c r="P35" i="31"/>
  <c r="P74" i="31"/>
  <c r="P78" i="31" s="1"/>
  <c r="Q35" i="32"/>
  <c r="Q74" i="32"/>
  <c r="Q78" i="32" s="1"/>
  <c r="AM33" i="31"/>
  <c r="AC55" i="31"/>
  <c r="AG56" i="31"/>
  <c r="AI57" i="31"/>
  <c r="AM58" i="31"/>
  <c r="AN58" i="31" s="1"/>
  <c r="R55" i="30"/>
  <c r="R40" i="30" s="1"/>
  <c r="N40" i="30"/>
  <c r="N40" i="32"/>
  <c r="R55" i="32"/>
  <c r="R40" i="32" s="1"/>
  <c r="AK38" i="31"/>
  <c r="AK36" i="31" s="1"/>
  <c r="AK51" i="31"/>
  <c r="N55" i="31"/>
  <c r="N50" i="31" s="1"/>
  <c r="R56" i="31"/>
  <c r="AD35" i="31"/>
  <c r="AD74" i="31"/>
  <c r="AD78" i="31" s="1"/>
  <c r="AN33" i="31"/>
  <c r="AM66" i="31"/>
  <c r="AN66" i="31" s="1"/>
  <c r="AI65" i="31"/>
  <c r="AM65" i="31" s="1"/>
  <c r="AN65" i="31" s="1"/>
  <c r="AL38" i="31"/>
  <c r="AL36" i="31" s="1"/>
  <c r="AL51" i="31"/>
  <c r="AL50" i="31" s="1"/>
  <c r="X51" i="30"/>
  <c r="T50" i="30"/>
  <c r="R51" i="32"/>
  <c r="N50" i="32"/>
  <c r="AN71" i="32"/>
  <c r="AN41" i="32" s="1"/>
  <c r="AM41" i="32"/>
  <c r="AM54" i="32"/>
  <c r="AI38" i="32"/>
  <c r="AI36" i="32" s="1"/>
  <c r="AI51" i="32"/>
  <c r="AF74" i="31"/>
  <c r="AF78" i="31" s="1"/>
  <c r="AN45" i="31"/>
  <c r="AN30" i="31" s="1"/>
  <c r="AM30" i="31"/>
  <c r="AE50" i="31"/>
  <c r="AM63" i="30"/>
  <c r="AC38" i="32"/>
  <c r="AC36" i="32" s="1"/>
  <c r="AG54" i="32"/>
  <c r="AG38" i="32" s="1"/>
  <c r="AG36" i="32" s="1"/>
  <c r="AC51" i="32"/>
  <c r="P35" i="30"/>
  <c r="P74" i="30"/>
  <c r="P78" i="30" s="1"/>
  <c r="AJ38" i="31"/>
  <c r="AJ36" i="31" s="1"/>
  <c r="AJ51" i="31"/>
  <c r="AJ50" i="31" s="1"/>
  <c r="AN44" i="30"/>
  <c r="AN29" i="30" s="1"/>
  <c r="AM29" i="30"/>
  <c r="G50" i="31"/>
  <c r="G40" i="31"/>
  <c r="G35" i="31" s="1"/>
  <c r="K55" i="31"/>
  <c r="K40" i="31" s="1"/>
  <c r="K35" i="31" s="1"/>
  <c r="AJ38" i="32"/>
  <c r="AJ36" i="32" s="1"/>
  <c r="AJ51" i="32"/>
  <c r="AJ50" i="32" s="1"/>
  <c r="AM44" i="31"/>
  <c r="AI29" i="31"/>
  <c r="U35" i="30"/>
  <c r="U74" i="30"/>
  <c r="U78" i="30" s="1"/>
  <c r="AD38" i="32"/>
  <c r="AD36" i="32" s="1"/>
  <c r="AD51" i="32"/>
  <c r="AD50" i="32" s="1"/>
  <c r="T35" i="32"/>
  <c r="X50" i="32"/>
  <c r="X35" i="32" s="1"/>
  <c r="T74" i="32"/>
  <c r="AI38" i="31"/>
  <c r="AI36" i="31" s="1"/>
  <c r="AM54" i="31"/>
  <c r="AI51" i="31"/>
  <c r="R38" i="18"/>
  <c r="R36" i="18" s="1"/>
  <c r="C11" i="21" s="1"/>
  <c r="P50" i="18"/>
  <c r="P75" i="18" s="1"/>
  <c r="P79" i="18" s="1"/>
  <c r="X36" i="18"/>
  <c r="AN52" i="18"/>
  <c r="AM37" i="18"/>
  <c r="N50" i="18"/>
  <c r="N35" i="18" s="1"/>
  <c r="R55" i="18"/>
  <c r="AD47" i="20"/>
  <c r="AH47" i="20" s="1"/>
  <c r="AI47" i="20" s="1"/>
  <c r="AK65" i="18"/>
  <c r="AM65" i="18" s="1"/>
  <c r="AN65" i="18" s="1"/>
  <c r="AL63" i="18"/>
  <c r="AL56" i="18" s="1"/>
  <c r="AF63" i="18"/>
  <c r="AF56" i="18" s="1"/>
  <c r="AG56" i="18" s="1"/>
  <c r="AM57" i="18"/>
  <c r="AI55" i="20"/>
  <c r="AI169" i="20" s="1"/>
  <c r="AH169" i="20"/>
  <c r="AD49" i="20"/>
  <c r="AH49" i="20" s="1"/>
  <c r="AI49" i="20" s="1"/>
  <c r="AD42" i="20"/>
  <c r="AH42" i="20" s="1"/>
  <c r="AI42" i="20" s="1"/>
  <c r="AH21" i="20"/>
  <c r="AI21" i="20" s="1"/>
  <c r="AH127" i="20"/>
  <c r="AH126" i="20" s="1"/>
  <c r="AF126" i="20" s="1"/>
  <c r="AF37" i="20" s="1"/>
  <c r="AF34" i="20" s="1"/>
  <c r="AF53" i="20" s="1"/>
  <c r="AF57" i="20" s="1"/>
  <c r="AH25" i="20"/>
  <c r="AI25" i="20" s="1"/>
  <c r="AD28" i="20"/>
  <c r="AH28" i="20" s="1"/>
  <c r="AI28" i="20" s="1"/>
  <c r="AD41" i="20"/>
  <c r="AH41" i="20" s="1"/>
  <c r="AI41" i="20" s="1"/>
  <c r="AH24" i="20"/>
  <c r="AI24" i="20" s="1"/>
  <c r="AD50" i="20"/>
  <c r="AH50" i="20" s="1"/>
  <c r="AI50" i="20" s="1"/>
  <c r="AD44" i="20"/>
  <c r="AH44" i="20" s="1"/>
  <c r="AI44" i="20" s="1"/>
  <c r="AD48" i="20"/>
  <c r="AH48" i="20" s="1"/>
  <c r="AI48" i="20" s="1"/>
  <c r="AC32" i="17"/>
  <c r="AC36" i="17" s="1"/>
  <c r="AE36" i="17" s="1"/>
  <c r="AK54" i="18"/>
  <c r="AF28" i="17"/>
  <c r="N38" i="20"/>
  <c r="P39" i="20"/>
  <c r="X126" i="20"/>
  <c r="X37" i="20" s="1"/>
  <c r="Y126" i="20"/>
  <c r="Y37" i="20" s="1"/>
  <c r="Y34" i="20" s="1"/>
  <c r="Y53" i="20" s="1"/>
  <c r="Y57" i="20" s="1"/>
  <c r="AA126" i="20"/>
  <c r="AA37" i="20" s="1"/>
  <c r="AA34" i="20" s="1"/>
  <c r="AA53" i="20" s="1"/>
  <c r="AA57" i="20" s="1"/>
  <c r="Z126" i="20"/>
  <c r="Z37" i="20" s="1"/>
  <c r="Z34" i="20" s="1"/>
  <c r="Z53" i="20" s="1"/>
  <c r="Z57" i="20" s="1"/>
  <c r="AH40" i="20"/>
  <c r="AI40" i="20" s="1"/>
  <c r="L53" i="20"/>
  <c r="AE22" i="17"/>
  <c r="AF22" i="17" s="1"/>
  <c r="H34" i="20"/>
  <c r="H53" i="20" s="1"/>
  <c r="J38" i="20"/>
  <c r="V53" i="20"/>
  <c r="R57" i="20"/>
  <c r="V57" i="20" s="1"/>
  <c r="V34" i="20"/>
  <c r="U75" i="18"/>
  <c r="U79" i="18" s="1"/>
  <c r="U35" i="18"/>
  <c r="W50" i="18"/>
  <c r="AN71" i="18"/>
  <c r="AN41" i="18" s="1"/>
  <c r="E13" i="21" s="1"/>
  <c r="AM41" i="18"/>
  <c r="I79" i="18"/>
  <c r="X51" i="18"/>
  <c r="T50" i="18"/>
  <c r="V50" i="18"/>
  <c r="V35" i="18" s="1"/>
  <c r="X40" i="18"/>
  <c r="D12" i="21" s="1"/>
  <c r="E5" i="21"/>
  <c r="AM44" i="18"/>
  <c r="AK29" i="18"/>
  <c r="AN46" i="18"/>
  <c r="AN31" i="18" s="1"/>
  <c r="AM31" i="18"/>
  <c r="AN48" i="18"/>
  <c r="AN33" i="18" s="1"/>
  <c r="AM33" i="18"/>
  <c r="AN45" i="18"/>
  <c r="AN30" i="18" s="1"/>
  <c r="AM30" i="18"/>
  <c r="AN47" i="18"/>
  <c r="AN32" i="18" s="1"/>
  <c r="AM32" i="18"/>
  <c r="AM66" i="18"/>
  <c r="AN66" i="18" s="1"/>
  <c r="AN58" i="18"/>
  <c r="K36" i="17"/>
  <c r="M36" i="17" s="1"/>
  <c r="M32" i="17"/>
  <c r="U36" i="17"/>
  <c r="Y36" i="17" s="1"/>
  <c r="Y32" i="17"/>
  <c r="O36" i="17"/>
  <c r="S36" i="17" s="1"/>
  <c r="S32" i="17"/>
  <c r="AM57" i="30" l="1"/>
  <c r="AN57" i="30" s="1"/>
  <c r="AM56" i="18"/>
  <c r="B7" i="37"/>
  <c r="B11" i="63"/>
  <c r="C128" i="62"/>
  <c r="C100" i="62"/>
  <c r="E128" i="62"/>
  <c r="E100" i="62"/>
  <c r="E58" i="57"/>
  <c r="E101" i="57"/>
  <c r="E52" i="57"/>
  <c r="C58" i="57"/>
  <c r="C101" i="57"/>
  <c r="C52" i="57"/>
  <c r="G57" i="44"/>
  <c r="G90" i="44"/>
  <c r="C58" i="55"/>
  <c r="C95" i="50"/>
  <c r="C46" i="50"/>
  <c r="B10" i="37"/>
  <c r="B13" i="37" s="1"/>
  <c r="G64" i="50"/>
  <c r="G58" i="50"/>
  <c r="E43" i="55"/>
  <c r="C101" i="55"/>
  <c r="C52" i="55"/>
  <c r="E101" i="55"/>
  <c r="E52" i="55"/>
  <c r="G75" i="50"/>
  <c r="G33" i="50"/>
  <c r="G34" i="50" s="1"/>
  <c r="G93" i="50"/>
  <c r="E52" i="50"/>
  <c r="C52" i="50"/>
  <c r="E95" i="50"/>
  <c r="E46" i="50"/>
  <c r="G73" i="44"/>
  <c r="G33" i="44"/>
  <c r="G34" i="44" s="1"/>
  <c r="AK40" i="36"/>
  <c r="C92" i="44"/>
  <c r="C46" i="44"/>
  <c r="AN63" i="31"/>
  <c r="E92" i="44"/>
  <c r="E46" i="44"/>
  <c r="E80" i="34"/>
  <c r="E104" i="34"/>
  <c r="AO51" i="36"/>
  <c r="AP51" i="36" s="1"/>
  <c r="AP36" i="36" s="1"/>
  <c r="AK50" i="36"/>
  <c r="T111" i="36"/>
  <c r="U90" i="36"/>
  <c r="T85" i="36"/>
  <c r="T89" i="36"/>
  <c r="T84" i="36" s="1"/>
  <c r="T107" i="36" s="1"/>
  <c r="T109" i="36" s="1"/>
  <c r="AO38" i="36"/>
  <c r="AO36" i="36" s="1"/>
  <c r="AP54" i="36"/>
  <c r="AF35" i="30"/>
  <c r="F106" i="36"/>
  <c r="F90" i="36"/>
  <c r="AP55" i="36"/>
  <c r="AP40" i="36" s="1"/>
  <c r="AO40" i="36"/>
  <c r="AL35" i="36"/>
  <c r="AL75" i="36"/>
  <c r="AL79" i="36" s="1"/>
  <c r="AN35" i="36"/>
  <c r="AN75" i="36"/>
  <c r="AN79" i="36" s="1"/>
  <c r="M112" i="36"/>
  <c r="M114" i="36"/>
  <c r="AN65" i="32"/>
  <c r="AM35" i="36"/>
  <c r="AM75" i="36"/>
  <c r="AM79" i="36" s="1"/>
  <c r="T248" i="36"/>
  <c r="T80" i="36"/>
  <c r="AM51" i="31"/>
  <c r="AN51" i="31" s="1"/>
  <c r="AN36" i="31" s="1"/>
  <c r="E36" i="34"/>
  <c r="C3" i="37"/>
  <c r="C10" i="37" s="1"/>
  <c r="C13" i="37" s="1"/>
  <c r="G25" i="34"/>
  <c r="G62" i="34" s="1"/>
  <c r="D11" i="21"/>
  <c r="P35" i="18"/>
  <c r="AK38" i="30"/>
  <c r="AK36" i="30" s="1"/>
  <c r="AK51" i="30"/>
  <c r="AK50" i="30" s="1"/>
  <c r="AK74" i="30" s="1"/>
  <c r="AK78" i="30" s="1"/>
  <c r="AG56" i="30"/>
  <c r="AJ38" i="30"/>
  <c r="AJ36" i="30" s="1"/>
  <c r="AJ51" i="30"/>
  <c r="AJ50" i="30" s="1"/>
  <c r="AL51" i="30"/>
  <c r="AL50" i="30" s="1"/>
  <c r="AL38" i="30"/>
  <c r="AL36" i="30" s="1"/>
  <c r="AI38" i="30"/>
  <c r="AI36" i="30" s="1"/>
  <c r="AM54" i="30"/>
  <c r="AI51" i="30"/>
  <c r="R50" i="31"/>
  <c r="R35" i="31" s="1"/>
  <c r="N35" i="31"/>
  <c r="N74" i="31"/>
  <c r="AM38" i="32"/>
  <c r="AM36" i="32" s="1"/>
  <c r="AN54" i="32"/>
  <c r="G78" i="30"/>
  <c r="K78" i="30" s="1"/>
  <c r="K74" i="30"/>
  <c r="AJ35" i="31"/>
  <c r="AJ74" i="31"/>
  <c r="AJ78" i="31" s="1"/>
  <c r="AM51" i="32"/>
  <c r="AN44" i="32"/>
  <c r="AN29" i="32" s="1"/>
  <c r="AM29" i="32"/>
  <c r="N78" i="30"/>
  <c r="R78" i="30" s="1"/>
  <c r="R74" i="30"/>
  <c r="AK35" i="32"/>
  <c r="AK74" i="32"/>
  <c r="AK78" i="32" s="1"/>
  <c r="AI56" i="31"/>
  <c r="AM57" i="31"/>
  <c r="AN57" i="31" s="1"/>
  <c r="AC40" i="30"/>
  <c r="AG55" i="30"/>
  <c r="AG40" i="30" s="1"/>
  <c r="AG55" i="31"/>
  <c r="AG40" i="31" s="1"/>
  <c r="AC40" i="31"/>
  <c r="AI55" i="30"/>
  <c r="AM56" i="30"/>
  <c r="AL35" i="32"/>
  <c r="AL74" i="32"/>
  <c r="AL78" i="32" s="1"/>
  <c r="AN44" i="31"/>
  <c r="AN29" i="31" s="1"/>
  <c r="AM29" i="31"/>
  <c r="AG51" i="32"/>
  <c r="AC50" i="32"/>
  <c r="T78" i="32"/>
  <c r="X78" i="32" s="1"/>
  <c r="X74" i="32"/>
  <c r="AN63" i="30"/>
  <c r="AK50" i="31"/>
  <c r="AE50" i="30"/>
  <c r="AN54" i="31"/>
  <c r="AM38" i="31"/>
  <c r="AM36" i="31" s="1"/>
  <c r="AJ35" i="32"/>
  <c r="AJ74" i="32"/>
  <c r="AJ78" i="32" s="1"/>
  <c r="AC40" i="32"/>
  <c r="AG55" i="32"/>
  <c r="AG40" i="32" s="1"/>
  <c r="R50" i="32"/>
  <c r="R35" i="32" s="1"/>
  <c r="N35" i="32"/>
  <c r="N74" i="32"/>
  <c r="AE35" i="31"/>
  <c r="AE74" i="31"/>
  <c r="AE78" i="31" s="1"/>
  <c r="T35" i="30"/>
  <c r="X50" i="30"/>
  <c r="X35" i="30" s="1"/>
  <c r="T74" i="30"/>
  <c r="N40" i="31"/>
  <c r="R55" i="31"/>
  <c r="R40" i="31" s="1"/>
  <c r="T78" i="31"/>
  <c r="X78" i="31" s="1"/>
  <c r="X74" i="31"/>
  <c r="K50" i="31"/>
  <c r="G74" i="31"/>
  <c r="AI55" i="32"/>
  <c r="AM56" i="32"/>
  <c r="AN56" i="32" s="1"/>
  <c r="AC50" i="31"/>
  <c r="AC50" i="30"/>
  <c r="AE35" i="32"/>
  <c r="AE74" i="32"/>
  <c r="AE78" i="32" s="1"/>
  <c r="AD35" i="32"/>
  <c r="AD74" i="32"/>
  <c r="AD78" i="32" s="1"/>
  <c r="AL35" i="31"/>
  <c r="AL74" i="31"/>
  <c r="AL78" i="31" s="1"/>
  <c r="AF35" i="32"/>
  <c r="AF74" i="32"/>
  <c r="AF78" i="32" s="1"/>
  <c r="R40" i="18"/>
  <c r="C12" i="21" s="1"/>
  <c r="N75" i="18"/>
  <c r="N79" i="18" s="1"/>
  <c r="R79" i="18" s="1"/>
  <c r="R50" i="18"/>
  <c r="R35" i="18" s="1"/>
  <c r="C10" i="21" s="1"/>
  <c r="AK51" i="18"/>
  <c r="AK38" i="18"/>
  <c r="AK36" i="18" s="1"/>
  <c r="AK55" i="18"/>
  <c r="AG63" i="18"/>
  <c r="AM63" i="18"/>
  <c r="AL55" i="18"/>
  <c r="AL40" i="18" s="1"/>
  <c r="J34" i="20"/>
  <c r="J174" i="20"/>
  <c r="AH166" i="20"/>
  <c r="AG126" i="20"/>
  <c r="AG37" i="20" s="1"/>
  <c r="AG34" i="20" s="1"/>
  <c r="AG53" i="20" s="1"/>
  <c r="AG57" i="20" s="1"/>
  <c r="AD126" i="20"/>
  <c r="AD37" i="20" s="1"/>
  <c r="AE126" i="20"/>
  <c r="AE37" i="20" s="1"/>
  <c r="AE34" i="20" s="1"/>
  <c r="AE53" i="20" s="1"/>
  <c r="AE57" i="20" s="1"/>
  <c r="AD39" i="20"/>
  <c r="AH39" i="20" s="1"/>
  <c r="AI39" i="20" s="1"/>
  <c r="AD54" i="18"/>
  <c r="AD46" i="20"/>
  <c r="AH46" i="20" s="1"/>
  <c r="AI46" i="20" s="1"/>
  <c r="AE32" i="17"/>
  <c r="AF32" i="17" s="1"/>
  <c r="AI54" i="18"/>
  <c r="AL54" i="18"/>
  <c r="AJ54" i="18"/>
  <c r="AB37" i="20"/>
  <c r="X34" i="20"/>
  <c r="H57" i="20"/>
  <c r="J57" i="20" s="1"/>
  <c r="J53" i="20"/>
  <c r="L57" i="20"/>
  <c r="P38" i="20"/>
  <c r="P174" i="20" s="1"/>
  <c r="N34" i="20"/>
  <c r="W75" i="18"/>
  <c r="W79" i="18" s="1"/>
  <c r="W35" i="18"/>
  <c r="T75" i="18"/>
  <c r="T79" i="18" s="1"/>
  <c r="T35" i="18"/>
  <c r="AE40" i="18"/>
  <c r="X50" i="18"/>
  <c r="V75" i="18"/>
  <c r="AN44" i="18"/>
  <c r="AI166" i="20" s="1"/>
  <c r="AM29" i="18"/>
  <c r="AF36" i="17"/>
  <c r="AN57" i="18"/>
  <c r="C27" i="62" l="1"/>
  <c r="C28" i="62" s="1"/>
  <c r="C11" i="63"/>
  <c r="E27" i="62" s="1"/>
  <c r="E132" i="62"/>
  <c r="E138" i="62" s="1"/>
  <c r="C132" i="62"/>
  <c r="C138" i="62" s="1"/>
  <c r="C128" i="57"/>
  <c r="C100" i="57"/>
  <c r="E128" i="57"/>
  <c r="E100" i="57"/>
  <c r="E110" i="57"/>
  <c r="E76" i="57"/>
  <c r="E104" i="57"/>
  <c r="C27" i="57"/>
  <c r="C104" i="57"/>
  <c r="C110" i="57"/>
  <c r="C76" i="57"/>
  <c r="C128" i="55"/>
  <c r="C100" i="55"/>
  <c r="E98" i="50"/>
  <c r="E104" i="50"/>
  <c r="E70" i="50"/>
  <c r="E58" i="55"/>
  <c r="G110" i="50"/>
  <c r="G108" i="50" s="1"/>
  <c r="G101" i="50" s="1"/>
  <c r="G113" i="50" s="1"/>
  <c r="G73" i="50"/>
  <c r="G78" i="50" s="1"/>
  <c r="C24" i="50"/>
  <c r="C27" i="55"/>
  <c r="E122" i="50"/>
  <c r="E94" i="50"/>
  <c r="E128" i="55"/>
  <c r="E100" i="55"/>
  <c r="C122" i="50"/>
  <c r="C94" i="50"/>
  <c r="C70" i="50"/>
  <c r="C98" i="50"/>
  <c r="C104" i="50"/>
  <c r="C110" i="55"/>
  <c r="C104" i="55"/>
  <c r="C76" i="55"/>
  <c r="C116" i="44"/>
  <c r="C91" i="44"/>
  <c r="G105" i="44"/>
  <c r="G103" i="44" s="1"/>
  <c r="G97" i="44" s="1"/>
  <c r="G107" i="44" s="1"/>
  <c r="G71" i="44"/>
  <c r="G75" i="44" s="1"/>
  <c r="E116" i="44"/>
  <c r="E91" i="44"/>
  <c r="C24" i="44"/>
  <c r="G60" i="34"/>
  <c r="G93" i="34"/>
  <c r="G91" i="34" s="1"/>
  <c r="F89" i="36"/>
  <c r="F84" i="36" s="1"/>
  <c r="F107" i="36" s="1"/>
  <c r="F109" i="36" s="1"/>
  <c r="F111" i="36"/>
  <c r="F85" i="36"/>
  <c r="AM51" i="30"/>
  <c r="AN51" i="30" s="1"/>
  <c r="AN36" i="30" s="1"/>
  <c r="AN56" i="30"/>
  <c r="T114" i="36"/>
  <c r="T112" i="36"/>
  <c r="AK35" i="30"/>
  <c r="AO50" i="36"/>
  <c r="AK35" i="36"/>
  <c r="AK75" i="36"/>
  <c r="M115" i="36"/>
  <c r="M116" i="36" s="1"/>
  <c r="M120" i="36"/>
  <c r="R75" i="30"/>
  <c r="G28" i="34"/>
  <c r="G29" i="34" s="1"/>
  <c r="AN54" i="30"/>
  <c r="AM38" i="30"/>
  <c r="AM36" i="30" s="1"/>
  <c r="AL74" i="30"/>
  <c r="AL78" i="30" s="1"/>
  <c r="AL35" i="30"/>
  <c r="AJ35" i="30"/>
  <c r="AJ74" i="30"/>
  <c r="AJ78" i="30" s="1"/>
  <c r="AE35" i="30"/>
  <c r="AE74" i="30"/>
  <c r="AE78" i="30" s="1"/>
  <c r="AM55" i="30"/>
  <c r="AI40" i="30"/>
  <c r="AI50" i="30"/>
  <c r="AI40" i="32"/>
  <c r="AM55" i="32"/>
  <c r="AK35" i="31"/>
  <c r="AK74" i="31"/>
  <c r="AK78" i="31" s="1"/>
  <c r="AN51" i="32"/>
  <c r="AN36" i="32" s="1"/>
  <c r="AI50" i="32"/>
  <c r="N78" i="32"/>
  <c r="R78" i="32" s="1"/>
  <c r="R74" i="32"/>
  <c r="AG50" i="32"/>
  <c r="AG35" i="32" s="1"/>
  <c r="AC35" i="32"/>
  <c r="AC74" i="32"/>
  <c r="AI55" i="31"/>
  <c r="AM56" i="31"/>
  <c r="AN56" i="31" s="1"/>
  <c r="G78" i="31"/>
  <c r="K78" i="31" s="1"/>
  <c r="K74" i="31"/>
  <c r="G42" i="34"/>
  <c r="G89" i="34" s="1"/>
  <c r="G87" i="34" s="1"/>
  <c r="N78" i="31"/>
  <c r="R78" i="31" s="1"/>
  <c r="R74" i="31"/>
  <c r="C24" i="34"/>
  <c r="AG50" i="30"/>
  <c r="AG35" i="30" s="1"/>
  <c r="AC35" i="30"/>
  <c r="AC74" i="30"/>
  <c r="X74" i="30"/>
  <c r="T78" i="30"/>
  <c r="X78" i="30" s="1"/>
  <c r="R201" i="30"/>
  <c r="R80" i="30"/>
  <c r="R79" i="30"/>
  <c r="AG50" i="31"/>
  <c r="AG35" i="31" s="1"/>
  <c r="AC35" i="31"/>
  <c r="AC74" i="31"/>
  <c r="R75" i="18"/>
  <c r="P175" i="20"/>
  <c r="C16" i="21"/>
  <c r="AN63" i="18"/>
  <c r="AJ51" i="18"/>
  <c r="AJ50" i="18" s="1"/>
  <c r="AJ38" i="18"/>
  <c r="AJ36" i="18" s="1"/>
  <c r="AL51" i="18"/>
  <c r="AL50" i="18" s="1"/>
  <c r="AL38" i="18"/>
  <c r="AL36" i="18" s="1"/>
  <c r="AI51" i="18"/>
  <c r="AI38" i="18"/>
  <c r="AI36" i="18" s="1"/>
  <c r="AD51" i="18"/>
  <c r="AD50" i="18" s="1"/>
  <c r="AD38" i="18"/>
  <c r="AD36" i="18" s="1"/>
  <c r="AF55" i="18"/>
  <c r="AM55" i="18"/>
  <c r="V167" i="20"/>
  <c r="V175" i="20"/>
  <c r="AH37" i="20"/>
  <c r="AI37" i="20" s="1"/>
  <c r="AF54" i="18"/>
  <c r="AE54" i="18"/>
  <c r="AC54" i="18"/>
  <c r="AC38" i="18" s="1"/>
  <c r="AC36" i="18" s="1"/>
  <c r="AD38" i="20"/>
  <c r="AH38" i="20" s="1"/>
  <c r="AI38" i="20" s="1"/>
  <c r="X35" i="18"/>
  <c r="D10" i="21" s="1"/>
  <c r="D16" i="21"/>
  <c r="C20" i="21"/>
  <c r="AN29" i="18"/>
  <c r="E9" i="21" s="1"/>
  <c r="E15" i="21"/>
  <c r="AM54" i="18"/>
  <c r="AM38" i="18" s="1"/>
  <c r="N53" i="20"/>
  <c r="P34" i="20"/>
  <c r="P167" i="20" s="1"/>
  <c r="AB34" i="20"/>
  <c r="X53" i="20"/>
  <c r="AK40" i="18"/>
  <c r="V79" i="18"/>
  <c r="X79" i="18" s="1"/>
  <c r="X75" i="18"/>
  <c r="C82" i="62" l="1"/>
  <c r="C117" i="62" s="1"/>
  <c r="C114" i="62" s="1"/>
  <c r="C34" i="62"/>
  <c r="C36" i="62" s="1"/>
  <c r="E82" i="62"/>
  <c r="E28" i="62"/>
  <c r="E34" i="62"/>
  <c r="C131" i="57"/>
  <c r="C82" i="57"/>
  <c r="C34" i="57"/>
  <c r="C28" i="57"/>
  <c r="E27" i="57"/>
  <c r="C150" i="57"/>
  <c r="E131" i="57"/>
  <c r="E150" i="57"/>
  <c r="G86" i="34"/>
  <c r="C125" i="50"/>
  <c r="C126" i="50" s="1"/>
  <c r="G88" i="50"/>
  <c r="G86" i="50" s="1"/>
  <c r="G134" i="50" s="1"/>
  <c r="G81" i="50"/>
  <c r="G80" i="50"/>
  <c r="G84" i="50"/>
  <c r="E110" i="55"/>
  <c r="E147" i="55" s="1"/>
  <c r="E76" i="55"/>
  <c r="E104" i="55"/>
  <c r="C131" i="55"/>
  <c r="C34" i="55"/>
  <c r="C82" i="55"/>
  <c r="C28" i="55"/>
  <c r="E125" i="50"/>
  <c r="E126" i="50" s="1"/>
  <c r="C147" i="55"/>
  <c r="C31" i="50"/>
  <c r="C76" i="50"/>
  <c r="C25" i="50"/>
  <c r="E24" i="50"/>
  <c r="E27" i="55"/>
  <c r="G78" i="44"/>
  <c r="G85" i="44"/>
  <c r="G83" i="44" s="1"/>
  <c r="G126" i="44" s="1"/>
  <c r="G77" i="44"/>
  <c r="G81" i="44"/>
  <c r="C29" i="44"/>
  <c r="C25" i="44"/>
  <c r="C73" i="44" s="1"/>
  <c r="E24" i="44"/>
  <c r="AK79" i="36"/>
  <c r="AO79" i="36" s="1"/>
  <c r="AP79" i="36" s="1"/>
  <c r="AO75" i="36"/>
  <c r="AP75" i="36" s="1"/>
  <c r="AO35" i="36"/>
  <c r="AP50" i="36"/>
  <c r="AP35" i="36" s="1"/>
  <c r="T115" i="36"/>
  <c r="T116" i="36" s="1"/>
  <c r="T120" i="36"/>
  <c r="F112" i="36"/>
  <c r="F114" i="36"/>
  <c r="C18" i="21"/>
  <c r="G47" i="34"/>
  <c r="C25" i="34"/>
  <c r="R201" i="32"/>
  <c r="R80" i="32"/>
  <c r="R79" i="32"/>
  <c r="R80" i="31"/>
  <c r="R79" i="31"/>
  <c r="R201" i="31"/>
  <c r="AM50" i="32"/>
  <c r="AI35" i="32"/>
  <c r="AI74" i="32"/>
  <c r="G58" i="34"/>
  <c r="G40" i="34"/>
  <c r="AN55" i="32"/>
  <c r="AN40" i="32" s="1"/>
  <c r="AM40" i="32"/>
  <c r="AM50" i="30"/>
  <c r="AI35" i="30"/>
  <c r="AI74" i="30"/>
  <c r="AG74" i="30"/>
  <c r="AC78" i="30"/>
  <c r="AG78" i="30" s="1"/>
  <c r="AI50" i="31"/>
  <c r="AM55" i="31"/>
  <c r="AI40" i="31"/>
  <c r="AC78" i="32"/>
  <c r="AG78" i="32" s="1"/>
  <c r="AG74" i="32"/>
  <c r="E24" i="34"/>
  <c r="AN55" i="30"/>
  <c r="AN40" i="30" s="1"/>
  <c r="AM40" i="30"/>
  <c r="AC78" i="31"/>
  <c r="AG78" i="31" s="1"/>
  <c r="AG74" i="31"/>
  <c r="AM36" i="18"/>
  <c r="AN56" i="18"/>
  <c r="AM51" i="18"/>
  <c r="AE51" i="18"/>
  <c r="AE50" i="18" s="1"/>
  <c r="AE38" i="18"/>
  <c r="AE36" i="18" s="1"/>
  <c r="AF51" i="18"/>
  <c r="AF50" i="18" s="1"/>
  <c r="AF38" i="18"/>
  <c r="AF36" i="18" s="1"/>
  <c r="AI50" i="18"/>
  <c r="AI35" i="18" s="1"/>
  <c r="AG55" i="18"/>
  <c r="AG40" i="18" s="1"/>
  <c r="AF40" i="18"/>
  <c r="D18" i="21"/>
  <c r="V168" i="20"/>
  <c r="V173" i="20" s="1"/>
  <c r="D20" i="21"/>
  <c r="V170" i="20"/>
  <c r="AG54" i="18"/>
  <c r="AC51" i="18"/>
  <c r="AD34" i="20"/>
  <c r="AD53" i="20" s="1"/>
  <c r="X57" i="20"/>
  <c r="AB57" i="20" s="1"/>
  <c r="AB53" i="20"/>
  <c r="AB168" i="20" s="1"/>
  <c r="AB173" i="20" s="1"/>
  <c r="N57" i="20"/>
  <c r="P57" i="20" s="1"/>
  <c r="P53" i="20"/>
  <c r="P168" i="20" s="1"/>
  <c r="P173" i="20" s="1"/>
  <c r="AD75" i="18"/>
  <c r="AD79" i="18" s="1"/>
  <c r="AD35" i="18"/>
  <c r="AL75" i="18"/>
  <c r="AL79" i="18" s="1"/>
  <c r="AL35" i="18"/>
  <c r="AJ75" i="18"/>
  <c r="AJ79" i="18" s="1"/>
  <c r="AJ35" i="18"/>
  <c r="AK50" i="18"/>
  <c r="AK35" i="18" s="1"/>
  <c r="C79" i="62" l="1"/>
  <c r="C39" i="62"/>
  <c r="C40" i="62" s="1"/>
  <c r="C37" i="62"/>
  <c r="C35" i="62"/>
  <c r="C48" i="62" s="1"/>
  <c r="C44" i="62" s="1"/>
  <c r="C45" i="62" s="1"/>
  <c r="C46" i="62" s="1"/>
  <c r="C38" i="62"/>
  <c r="E35" i="62"/>
  <c r="E48" i="62" s="1"/>
  <c r="E38" i="62"/>
  <c r="E37" i="62"/>
  <c r="E36" i="62"/>
  <c r="E39" i="62"/>
  <c r="E40" i="62" s="1"/>
  <c r="E59" i="62"/>
  <c r="E117" i="62"/>
  <c r="E114" i="62" s="1"/>
  <c r="E79" i="62"/>
  <c r="C59" i="62"/>
  <c r="E28" i="57"/>
  <c r="E34" i="57"/>
  <c r="E82" i="57"/>
  <c r="C137" i="57"/>
  <c r="C132" i="57"/>
  <c r="C138" i="57" s="1"/>
  <c r="E132" i="57"/>
  <c r="E138" i="57" s="1"/>
  <c r="E137" i="57"/>
  <c r="C117" i="57"/>
  <c r="C114" i="57" s="1"/>
  <c r="C79" i="57"/>
  <c r="C35" i="57"/>
  <c r="C48" i="57" s="1"/>
  <c r="C44" i="57" s="1"/>
  <c r="C39" i="57"/>
  <c r="C40" i="57" s="1"/>
  <c r="C38" i="57"/>
  <c r="C36" i="57"/>
  <c r="C37" i="57"/>
  <c r="E28" i="55"/>
  <c r="E34" i="55"/>
  <c r="E82" i="55"/>
  <c r="C117" i="55"/>
  <c r="C114" i="55" s="1"/>
  <c r="C79" i="55"/>
  <c r="E25" i="50"/>
  <c r="E76" i="50"/>
  <c r="E31" i="50"/>
  <c r="C38" i="55"/>
  <c r="C35" i="55"/>
  <c r="C48" i="55" s="1"/>
  <c r="C44" i="55" s="1"/>
  <c r="C36" i="55"/>
  <c r="C37" i="55"/>
  <c r="C39" i="55"/>
  <c r="C40" i="55" s="1"/>
  <c r="C137" i="55"/>
  <c r="C132" i="55"/>
  <c r="C138" i="55" s="1"/>
  <c r="E131" i="55"/>
  <c r="C111" i="50"/>
  <c r="C108" i="50" s="1"/>
  <c r="C73" i="50"/>
  <c r="C32" i="50"/>
  <c r="C42" i="50" s="1"/>
  <c r="C38" i="50" s="1"/>
  <c r="C33" i="50"/>
  <c r="AH34" i="20"/>
  <c r="AI34" i="20" s="1"/>
  <c r="C105" i="44"/>
  <c r="C103" i="44" s="1"/>
  <c r="C71" i="44"/>
  <c r="C33" i="44"/>
  <c r="C34" i="44" s="1"/>
  <c r="C30" i="44"/>
  <c r="C41" i="44" s="1"/>
  <c r="C37" i="44" s="1"/>
  <c r="C39" i="44" s="1"/>
  <c r="C52" i="44" s="1"/>
  <c r="C69" i="44" s="1"/>
  <c r="E29" i="44"/>
  <c r="E25" i="44"/>
  <c r="E73" i="44" s="1"/>
  <c r="G73" i="34"/>
  <c r="G84" i="34"/>
  <c r="G83" i="34" s="1"/>
  <c r="G79" i="34" s="1"/>
  <c r="G95" i="34" s="1"/>
  <c r="G48" i="34"/>
  <c r="C62" i="34"/>
  <c r="C28" i="34"/>
  <c r="C29" i="34" s="1"/>
  <c r="F115" i="36"/>
  <c r="F116" i="36" s="1"/>
  <c r="F120" i="36"/>
  <c r="G45" i="34"/>
  <c r="G52" i="34" s="1"/>
  <c r="G50" i="34" s="1"/>
  <c r="G56" i="34"/>
  <c r="E25" i="34"/>
  <c r="E62" i="34" s="1"/>
  <c r="AI35" i="31"/>
  <c r="AM50" i="31"/>
  <c r="AI74" i="31"/>
  <c r="AM35" i="32"/>
  <c r="AN50" i="32"/>
  <c r="AN35" i="32" s="1"/>
  <c r="AN55" i="31"/>
  <c r="AN40" i="31" s="1"/>
  <c r="AM40" i="31"/>
  <c r="AM74" i="32"/>
  <c r="AN74" i="32" s="1"/>
  <c r="AI78" i="32"/>
  <c r="AM78" i="32" s="1"/>
  <c r="AN78" i="32" s="1"/>
  <c r="AI78" i="30"/>
  <c r="AM78" i="30" s="1"/>
  <c r="AN78" i="30" s="1"/>
  <c r="AM74" i="30"/>
  <c r="AN74" i="30" s="1"/>
  <c r="AM35" i="30"/>
  <c r="AN50" i="30"/>
  <c r="AN35" i="30" s="1"/>
  <c r="C42" i="34"/>
  <c r="C89" i="34" s="1"/>
  <c r="C87" i="34" s="1"/>
  <c r="C97" i="34" s="1"/>
  <c r="AI75" i="18"/>
  <c r="AI79" i="18" s="1"/>
  <c r="AN54" i="18"/>
  <c r="AG38" i="18"/>
  <c r="P58" i="20"/>
  <c r="P59" i="20" s="1"/>
  <c r="P170" i="20"/>
  <c r="AC50" i="18"/>
  <c r="AC35" i="18" s="1"/>
  <c r="AG51" i="18"/>
  <c r="AN51" i="18" s="1"/>
  <c r="AN36" i="18" s="1"/>
  <c r="E11" i="21" s="1"/>
  <c r="AH53" i="20"/>
  <c r="AI53" i="20" s="1"/>
  <c r="AD57" i="20"/>
  <c r="AH57" i="20" s="1"/>
  <c r="AI57" i="20" s="1"/>
  <c r="AE75" i="18"/>
  <c r="AE79" i="18" s="1"/>
  <c r="AE35" i="18"/>
  <c r="AF75" i="18"/>
  <c r="AF79" i="18" s="1"/>
  <c r="AF35" i="18"/>
  <c r="AN55" i="18"/>
  <c r="AN40" i="18" s="1"/>
  <c r="E12" i="21" s="1"/>
  <c r="AM40" i="18"/>
  <c r="AM50" i="18"/>
  <c r="AK75" i="18"/>
  <c r="C56" i="62" l="1"/>
  <c r="C63" i="62" s="1"/>
  <c r="C111" i="62"/>
  <c r="C105" i="62"/>
  <c r="C77" i="62"/>
  <c r="C65" i="62"/>
  <c r="C66" i="62" s="1"/>
  <c r="E105" i="62"/>
  <c r="E111" i="62"/>
  <c r="E77" i="62"/>
  <c r="E56" i="62"/>
  <c r="E63" i="62" s="1"/>
  <c r="E65" i="62"/>
  <c r="E66" i="62" s="1"/>
  <c r="E44" i="62"/>
  <c r="E45" i="62" s="1"/>
  <c r="E46" i="62"/>
  <c r="E117" i="57"/>
  <c r="E114" i="57" s="1"/>
  <c r="E79" i="57"/>
  <c r="E35" i="57"/>
  <c r="E48" i="57" s="1"/>
  <c r="E39" i="57"/>
  <c r="E40" i="57" s="1"/>
  <c r="E38" i="57"/>
  <c r="E37" i="57"/>
  <c r="E36" i="57"/>
  <c r="C59" i="57"/>
  <c r="C45" i="57"/>
  <c r="C46" i="57" s="1"/>
  <c r="C53" i="50"/>
  <c r="C39" i="50"/>
  <c r="C40" i="50" s="1"/>
  <c r="C59" i="55"/>
  <c r="C45" i="55"/>
  <c r="C46" i="55" s="1"/>
  <c r="E111" i="50"/>
  <c r="E108" i="50" s="1"/>
  <c r="E73" i="50"/>
  <c r="E32" i="50"/>
  <c r="E42" i="50" s="1"/>
  <c r="E33" i="50"/>
  <c r="E132" i="55"/>
  <c r="E138" i="55" s="1"/>
  <c r="E137" i="55"/>
  <c r="E117" i="55"/>
  <c r="E114" i="55" s="1"/>
  <c r="E79" i="55"/>
  <c r="E38" i="55"/>
  <c r="E36" i="55"/>
  <c r="E35" i="55"/>
  <c r="E48" i="55" s="1"/>
  <c r="E37" i="55"/>
  <c r="E39" i="55"/>
  <c r="E40" i="55" s="1"/>
  <c r="E105" i="44"/>
  <c r="E103" i="44" s="1"/>
  <c r="E71" i="44"/>
  <c r="E30" i="44"/>
  <c r="E41" i="44" s="1"/>
  <c r="E33" i="44"/>
  <c r="E34" i="44" s="1"/>
  <c r="E60" i="34"/>
  <c r="E93" i="34"/>
  <c r="E91" i="34" s="1"/>
  <c r="C60" i="34"/>
  <c r="C93" i="34"/>
  <c r="C91" i="34" s="1"/>
  <c r="C86" i="34" s="1"/>
  <c r="C40" i="34"/>
  <c r="C47" i="34"/>
  <c r="E28" i="34"/>
  <c r="E29" i="34" s="1"/>
  <c r="G64" i="34"/>
  <c r="G46" i="34"/>
  <c r="E42" i="34"/>
  <c r="AM35" i="31"/>
  <c r="AN50" i="31"/>
  <c r="AN35" i="31" s="1"/>
  <c r="C58" i="34"/>
  <c r="AM74" i="31"/>
  <c r="AN74" i="31" s="1"/>
  <c r="AI78" i="31"/>
  <c r="AM78" i="31" s="1"/>
  <c r="AN78" i="31" s="1"/>
  <c r="AG36" i="18"/>
  <c r="AC75" i="18"/>
  <c r="AG75" i="18" s="1"/>
  <c r="AG50" i="18"/>
  <c r="AG35" i="18" s="1"/>
  <c r="AM35" i="18"/>
  <c r="AH167" i="20"/>
  <c r="AK79" i="18"/>
  <c r="AM79" i="18" s="1"/>
  <c r="AH170" i="20" s="1"/>
  <c r="AM75" i="18"/>
  <c r="AH168" i="20" s="1"/>
  <c r="AH173" i="20" s="1"/>
  <c r="E93" i="62" l="1"/>
  <c r="E74" i="62"/>
  <c r="E84" i="62" s="1"/>
  <c r="E103" i="62"/>
  <c r="E133" i="62"/>
  <c r="C133" i="62"/>
  <c r="C103" i="62"/>
  <c r="C150" i="62"/>
  <c r="C108" i="62"/>
  <c r="E70" i="62"/>
  <c r="E152" i="62" s="1"/>
  <c r="E64" i="62"/>
  <c r="E150" i="62"/>
  <c r="E108" i="62"/>
  <c r="C74" i="62"/>
  <c r="C84" i="62" s="1"/>
  <c r="C93" i="62"/>
  <c r="C70" i="62"/>
  <c r="C64" i="62"/>
  <c r="C105" i="57"/>
  <c r="C111" i="57"/>
  <c r="C77" i="57"/>
  <c r="C65" i="57"/>
  <c r="C66" i="57" s="1"/>
  <c r="C56" i="57"/>
  <c r="C63" i="57" s="1"/>
  <c r="E44" i="57"/>
  <c r="E46" i="57"/>
  <c r="E38" i="50"/>
  <c r="E40" i="50"/>
  <c r="E44" i="55"/>
  <c r="E46" i="55"/>
  <c r="C105" i="55"/>
  <c r="C111" i="55"/>
  <c r="C77" i="55"/>
  <c r="C65" i="55"/>
  <c r="C66" i="55" s="1"/>
  <c r="C56" i="55"/>
  <c r="C63" i="55" s="1"/>
  <c r="C99" i="50"/>
  <c r="C105" i="50"/>
  <c r="C102" i="50" s="1"/>
  <c r="C71" i="50"/>
  <c r="C59" i="50"/>
  <c r="C60" i="50" s="1"/>
  <c r="C50" i="50"/>
  <c r="C57" i="50" s="1"/>
  <c r="E40" i="44"/>
  <c r="E37" i="44"/>
  <c r="E39" i="44" s="1"/>
  <c r="E52" i="44" s="1"/>
  <c r="E40" i="34"/>
  <c r="E89" i="34"/>
  <c r="E87" i="34" s="1"/>
  <c r="C73" i="34"/>
  <c r="C113" i="34" s="1"/>
  <c r="C84" i="34"/>
  <c r="C48" i="34"/>
  <c r="G67" i="34"/>
  <c r="G74" i="34"/>
  <c r="G72" i="34" s="1"/>
  <c r="G114" i="34" s="1"/>
  <c r="E47" i="34"/>
  <c r="G70" i="34"/>
  <c r="G66" i="34"/>
  <c r="C36" i="34"/>
  <c r="C45" i="34" s="1"/>
  <c r="C56" i="34"/>
  <c r="C64" i="34" s="1"/>
  <c r="C74" i="34" s="1"/>
  <c r="C116" i="34" s="1"/>
  <c r="E58" i="34"/>
  <c r="AN50" i="18"/>
  <c r="AI167" i="20" s="1"/>
  <c r="AC79" i="18"/>
  <c r="AG79" i="18" s="1"/>
  <c r="AB170" i="20" s="1"/>
  <c r="AB167" i="20"/>
  <c r="AN75" i="18"/>
  <c r="C156" i="62" l="1"/>
  <c r="E107" i="62"/>
  <c r="E121" i="62"/>
  <c r="C152" i="62"/>
  <c r="C71" i="62"/>
  <c r="E122" i="62"/>
  <c r="E99" i="62"/>
  <c r="E119" i="62" s="1"/>
  <c r="E120" i="62" s="1"/>
  <c r="C139" i="62"/>
  <c r="C134" i="62"/>
  <c r="C129" i="62"/>
  <c r="C130" i="62" s="1"/>
  <c r="E139" i="62"/>
  <c r="E134" i="62"/>
  <c r="E129" i="62"/>
  <c r="E130" i="62" s="1"/>
  <c r="E90" i="62"/>
  <c r="E85" i="62"/>
  <c r="E87" i="62"/>
  <c r="E86" i="62"/>
  <c r="E94" i="62"/>
  <c r="E153" i="62" s="1"/>
  <c r="E151" i="62" s="1"/>
  <c r="C121" i="62"/>
  <c r="C107" i="62"/>
  <c r="C122" i="62"/>
  <c r="C99" i="62"/>
  <c r="C119" i="62" s="1"/>
  <c r="C120" i="62" s="1"/>
  <c r="C90" i="62"/>
  <c r="C94" i="62"/>
  <c r="C87" i="62"/>
  <c r="C85" i="62"/>
  <c r="C86" i="62"/>
  <c r="C64" i="57"/>
  <c r="C70" i="57"/>
  <c r="C151" i="57"/>
  <c r="C108" i="57"/>
  <c r="E59" i="57"/>
  <c r="E45" i="57"/>
  <c r="C93" i="57"/>
  <c r="C74" i="57"/>
  <c r="C84" i="57" s="1"/>
  <c r="C133" i="57"/>
  <c r="C103" i="57"/>
  <c r="C127" i="50"/>
  <c r="C97" i="50"/>
  <c r="C70" i="55"/>
  <c r="C64" i="55"/>
  <c r="C74" i="55"/>
  <c r="C84" i="55" s="1"/>
  <c r="C93" i="55"/>
  <c r="C87" i="50"/>
  <c r="C133" i="50" s="1"/>
  <c r="C68" i="50"/>
  <c r="C78" i="50" s="1"/>
  <c r="C101" i="50"/>
  <c r="C115" i="50"/>
  <c r="C148" i="55"/>
  <c r="C108" i="55"/>
  <c r="C133" i="55"/>
  <c r="C103" i="55"/>
  <c r="E59" i="55"/>
  <c r="E45" i="55"/>
  <c r="C58" i="50"/>
  <c r="C64" i="50"/>
  <c r="E53" i="50"/>
  <c r="E39" i="50"/>
  <c r="E69" i="44"/>
  <c r="E100" i="44"/>
  <c r="E98" i="44" s="1"/>
  <c r="E50" i="44"/>
  <c r="E56" i="44" s="1"/>
  <c r="E58" i="44"/>
  <c r="E59" i="44" s="1"/>
  <c r="E86" i="34"/>
  <c r="E97" i="34"/>
  <c r="C83" i="34"/>
  <c r="C107" i="34"/>
  <c r="C105" i="34" s="1"/>
  <c r="C46" i="34"/>
  <c r="C52" i="34"/>
  <c r="C115" i="34" s="1"/>
  <c r="C114" i="34" s="1"/>
  <c r="E73" i="34"/>
  <c r="E113" i="34" s="1"/>
  <c r="E84" i="34"/>
  <c r="E107" i="34" s="1"/>
  <c r="C66" i="34"/>
  <c r="E48" i="34"/>
  <c r="C70" i="34"/>
  <c r="C65" i="34"/>
  <c r="C67" i="34"/>
  <c r="E45" i="34"/>
  <c r="E56" i="34"/>
  <c r="E16" i="21"/>
  <c r="AN35" i="18"/>
  <c r="E10" i="21" s="1"/>
  <c r="AN79" i="18"/>
  <c r="E20" i="21" s="1"/>
  <c r="E18" i="21"/>
  <c r="AI168" i="20"/>
  <c r="AI173" i="20" s="1"/>
  <c r="C124" i="62" l="1"/>
  <c r="E140" i="62"/>
  <c r="E142" i="62"/>
  <c r="E143" i="62" s="1"/>
  <c r="E141" i="62"/>
  <c r="C142" i="62"/>
  <c r="C143" i="62" s="1"/>
  <c r="C141" i="62"/>
  <c r="C140" i="62"/>
  <c r="C153" i="62"/>
  <c r="C151" i="62" s="1"/>
  <c r="C155" i="62" s="1"/>
  <c r="C157" i="62" s="1"/>
  <c r="C95" i="62"/>
  <c r="E124" i="62"/>
  <c r="C107" i="57"/>
  <c r="C121" i="57"/>
  <c r="C94" i="57"/>
  <c r="C87" i="57"/>
  <c r="C85" i="57"/>
  <c r="C90" i="57"/>
  <c r="C86" i="57"/>
  <c r="E111" i="57"/>
  <c r="E77" i="57"/>
  <c r="E105" i="57"/>
  <c r="E65" i="57"/>
  <c r="E66" i="57" s="1"/>
  <c r="E56" i="57"/>
  <c r="E63" i="57" s="1"/>
  <c r="C122" i="57"/>
  <c r="C99" i="57"/>
  <c r="C153" i="57"/>
  <c r="C134" i="57"/>
  <c r="C139" i="57"/>
  <c r="C146" i="57"/>
  <c r="C129" i="57"/>
  <c r="C130" i="57" s="1"/>
  <c r="C107" i="55"/>
  <c r="C121" i="55"/>
  <c r="C81" i="50"/>
  <c r="C80" i="50"/>
  <c r="C79" i="50"/>
  <c r="C88" i="50"/>
  <c r="C84" i="50"/>
  <c r="C135" i="50"/>
  <c r="C94" i="55"/>
  <c r="C90" i="55"/>
  <c r="C87" i="55"/>
  <c r="C86" i="55"/>
  <c r="C85" i="55"/>
  <c r="E77" i="55"/>
  <c r="E111" i="55"/>
  <c r="E105" i="55"/>
  <c r="E65" i="55"/>
  <c r="E66" i="55" s="1"/>
  <c r="E56" i="55"/>
  <c r="E63" i="55" s="1"/>
  <c r="C150" i="55"/>
  <c r="E99" i="50"/>
  <c r="E105" i="50"/>
  <c r="E102" i="50" s="1"/>
  <c r="E71" i="50"/>
  <c r="E59" i="50"/>
  <c r="E60" i="50" s="1"/>
  <c r="E50" i="50"/>
  <c r="E57" i="50" s="1"/>
  <c r="C122" i="55"/>
  <c r="C99" i="55"/>
  <c r="C116" i="50"/>
  <c r="C118" i="50" s="1"/>
  <c r="C93" i="50"/>
  <c r="C113" i="50" s="1"/>
  <c r="C114" i="50" s="1"/>
  <c r="C139" i="55"/>
  <c r="C134" i="55"/>
  <c r="C129" i="55"/>
  <c r="C130" i="55" s="1"/>
  <c r="C128" i="50"/>
  <c r="C123" i="50"/>
  <c r="C124" i="50" s="1"/>
  <c r="E63" i="44"/>
  <c r="E127" i="44" s="1"/>
  <c r="E57" i="44"/>
  <c r="E109" i="44"/>
  <c r="E97" i="44"/>
  <c r="E84" i="44"/>
  <c r="E125" i="44" s="1"/>
  <c r="E95" i="44"/>
  <c r="E67" i="44"/>
  <c r="E75" i="44" s="1"/>
  <c r="C79" i="34"/>
  <c r="C95" i="34" s="1"/>
  <c r="C98" i="34"/>
  <c r="C100" i="34" s="1"/>
  <c r="E105" i="34"/>
  <c r="E106" i="34" s="1"/>
  <c r="E108" i="34"/>
  <c r="C106" i="34"/>
  <c r="C108" i="34"/>
  <c r="E52" i="34"/>
  <c r="E115" i="34" s="1"/>
  <c r="E46" i="34"/>
  <c r="C72" i="34"/>
  <c r="C50" i="34"/>
  <c r="E64" i="34"/>
  <c r="AI170" i="20"/>
  <c r="K54" i="18"/>
  <c r="G51" i="18"/>
  <c r="G50" i="18" s="1"/>
  <c r="C125" i="62" l="1"/>
  <c r="C119" i="55"/>
  <c r="C120" i="55" s="1"/>
  <c r="C119" i="57"/>
  <c r="C120" i="57" s="1"/>
  <c r="C124" i="57"/>
  <c r="E133" i="57"/>
  <c r="E103" i="57"/>
  <c r="E151" i="57"/>
  <c r="E108" i="57"/>
  <c r="E74" i="57"/>
  <c r="E84" i="57" s="1"/>
  <c r="E93" i="57"/>
  <c r="C154" i="57"/>
  <c r="C152" i="57" s="1"/>
  <c r="C142" i="57"/>
  <c r="C143" i="57" s="1"/>
  <c r="C144" i="57" s="1"/>
  <c r="C140" i="57"/>
  <c r="C141" i="57"/>
  <c r="E64" i="57"/>
  <c r="E70" i="57"/>
  <c r="C124" i="55"/>
  <c r="E101" i="50"/>
  <c r="E115" i="50"/>
  <c r="C151" i="55"/>
  <c r="C149" i="55" s="1"/>
  <c r="E127" i="50"/>
  <c r="E97" i="50"/>
  <c r="E87" i="50"/>
  <c r="E133" i="50" s="1"/>
  <c r="E68" i="50"/>
  <c r="E78" i="50" s="1"/>
  <c r="C136" i="50"/>
  <c r="C134" i="50" s="1"/>
  <c r="E64" i="55"/>
  <c r="E70" i="55"/>
  <c r="E108" i="55"/>
  <c r="E148" i="55"/>
  <c r="E74" i="55"/>
  <c r="E84" i="55" s="1"/>
  <c r="E93" i="55"/>
  <c r="C140" i="55"/>
  <c r="C142" i="55"/>
  <c r="C141" i="55"/>
  <c r="E133" i="55"/>
  <c r="E103" i="55"/>
  <c r="E58" i="50"/>
  <c r="E64" i="50"/>
  <c r="E81" i="44"/>
  <c r="E85" i="44"/>
  <c r="E128" i="44" s="1"/>
  <c r="E126" i="44" s="1"/>
  <c r="E76" i="44"/>
  <c r="E77" i="44"/>
  <c r="E78" i="44"/>
  <c r="E94" i="44"/>
  <c r="E119" i="44"/>
  <c r="C96" i="34"/>
  <c r="E50" i="34"/>
  <c r="C53" i="34" s="1"/>
  <c r="E65" i="34"/>
  <c r="E67" i="34"/>
  <c r="E74" i="34"/>
  <c r="E116" i="34" s="1"/>
  <c r="E114" i="34" s="1"/>
  <c r="C118" i="34" s="1"/>
  <c r="E70" i="34"/>
  <c r="E66" i="34"/>
  <c r="K38" i="18"/>
  <c r="K36" i="18" s="1"/>
  <c r="K35" i="18" s="1"/>
  <c r="K50" i="18"/>
  <c r="G75" i="18"/>
  <c r="K51" i="18"/>
  <c r="E107" i="57" l="1"/>
  <c r="E121" i="57"/>
  <c r="E87" i="57"/>
  <c r="E85" i="57"/>
  <c r="E86" i="57"/>
  <c r="E94" i="57"/>
  <c r="E90" i="57"/>
  <c r="E134" i="57"/>
  <c r="E139" i="57"/>
  <c r="E146" i="57"/>
  <c r="E129" i="57"/>
  <c r="E130" i="57" s="1"/>
  <c r="E153" i="57"/>
  <c r="C71" i="57"/>
  <c r="E122" i="57"/>
  <c r="E99" i="57"/>
  <c r="E119" i="57" s="1"/>
  <c r="E120" i="57" s="1"/>
  <c r="E139" i="55"/>
  <c r="E134" i="55"/>
  <c r="E129" i="55"/>
  <c r="E130" i="55" s="1"/>
  <c r="E122" i="55"/>
  <c r="E99" i="55"/>
  <c r="E128" i="50"/>
  <c r="E123" i="50"/>
  <c r="E124" i="50" s="1"/>
  <c r="E86" i="55"/>
  <c r="E94" i="55"/>
  <c r="E87" i="55"/>
  <c r="E90" i="55"/>
  <c r="E85" i="55"/>
  <c r="E79" i="50"/>
  <c r="E88" i="50"/>
  <c r="E80" i="50"/>
  <c r="E84" i="50"/>
  <c r="E81" i="50"/>
  <c r="E116" i="50"/>
  <c r="E118" i="50" s="1"/>
  <c r="C119" i="50" s="1"/>
  <c r="E93" i="50"/>
  <c r="E113" i="50" s="1"/>
  <c r="E114" i="50" s="1"/>
  <c r="E107" i="55"/>
  <c r="E121" i="55"/>
  <c r="E135" i="50"/>
  <c r="C65" i="50"/>
  <c r="E150" i="55"/>
  <c r="C71" i="55"/>
  <c r="E120" i="44"/>
  <c r="E117" i="44"/>
  <c r="E118" i="44" s="1"/>
  <c r="E90" i="44"/>
  <c r="E107" i="44" s="1"/>
  <c r="E108" i="44" s="1"/>
  <c r="E110" i="44"/>
  <c r="E112" i="44" s="1"/>
  <c r="E72" i="34"/>
  <c r="C75" i="34" s="1"/>
  <c r="E83" i="34"/>
  <c r="E98" i="34" s="1"/>
  <c r="E100" i="34" s="1"/>
  <c r="B11" i="21"/>
  <c r="G79" i="18"/>
  <c r="K79" i="18" s="1"/>
  <c r="K75" i="18"/>
  <c r="B16" i="21"/>
  <c r="J175" i="20"/>
  <c r="J167" i="20"/>
  <c r="B10" i="21"/>
  <c r="R81" i="18" l="1"/>
  <c r="R204" i="18"/>
  <c r="E154" i="57"/>
  <c r="E152" i="57" s="1"/>
  <c r="C155" i="57" s="1"/>
  <c r="C95" i="57"/>
  <c r="E142" i="57"/>
  <c r="E143" i="57" s="1"/>
  <c r="E144" i="57" s="1"/>
  <c r="E141" i="57"/>
  <c r="E140" i="57"/>
  <c r="E124" i="57"/>
  <c r="C125" i="57" s="1"/>
  <c r="E119" i="55"/>
  <c r="E120" i="55" s="1"/>
  <c r="E124" i="55"/>
  <c r="C125" i="55" s="1"/>
  <c r="E151" i="55"/>
  <c r="E149" i="55" s="1"/>
  <c r="C152" i="55" s="1"/>
  <c r="C95" i="55"/>
  <c r="E136" i="50"/>
  <c r="E134" i="50" s="1"/>
  <c r="C137" i="50" s="1"/>
  <c r="C89" i="50"/>
  <c r="E140" i="55"/>
  <c r="E142" i="55"/>
  <c r="E141" i="55"/>
  <c r="E79" i="34"/>
  <c r="E95" i="34" s="1"/>
  <c r="B18" i="21"/>
  <c r="R76" i="18"/>
  <c r="R80" i="18"/>
  <c r="J168" i="20"/>
  <c r="J173" i="20" s="1"/>
  <c r="B20" i="21"/>
  <c r="J170" i="20"/>
  <c r="E96" i="34" l="1"/>
  <c r="C101" i="34"/>
  <c r="H20" i="21"/>
  <c r="C40" i="44" l="1"/>
  <c r="C58" i="44"/>
  <c r="C59" i="44" s="1"/>
  <c r="C50" i="44" l="1"/>
  <c r="C56" i="44" s="1"/>
  <c r="C57" i="44" s="1"/>
  <c r="C100" i="44"/>
  <c r="C98" i="44" s="1"/>
  <c r="C67" i="44"/>
  <c r="C75" i="44" l="1"/>
  <c r="C78" i="44" s="1"/>
  <c r="C63" i="44"/>
  <c r="C64" i="44" s="1"/>
  <c r="C97" i="44"/>
  <c r="C109" i="44"/>
  <c r="C84" i="44"/>
  <c r="C125" i="44" s="1"/>
  <c r="C95" i="44"/>
  <c r="C76" i="44"/>
  <c r="C77" i="44"/>
  <c r="C81" i="44"/>
  <c r="C85" i="44" l="1"/>
  <c r="C86" i="44" s="1"/>
  <c r="C127" i="44"/>
  <c r="C94" i="44"/>
  <c r="C119" i="44"/>
  <c r="C128" i="44"/>
  <c r="C126" i="44" s="1"/>
  <c r="C129" i="44" s="1"/>
  <c r="C117" i="44" l="1"/>
  <c r="C118" i="44" s="1"/>
  <c r="C120" i="44"/>
  <c r="C110" i="44"/>
  <c r="C112" i="44" s="1"/>
  <c r="C113" i="44" s="1"/>
  <c r="C131" i="44" s="1"/>
  <c r="C90" i="44"/>
  <c r="C107" i="44" s="1"/>
  <c r="C108" i="44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y balabaeva</author>
  </authors>
  <commentList>
    <comment ref="A20" authorId="0" shapeId="0" xr:uid="{506A8FDE-6CEF-F440-B302-61392F6BCEA1}">
      <text>
        <r>
          <rPr>
            <b/>
            <sz val="10"/>
            <color rgb="FF000000"/>
            <rFont val="Tahoma"/>
            <family val="2"/>
            <charset val="204"/>
          </rPr>
          <t>y balabaeva: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>скорректировано - -меньше исзначального плана</t>
        </r>
      </text>
    </comment>
    <comment ref="B34" authorId="0" shapeId="0" xr:uid="{483CB4DC-C4D2-EB45-8B5F-4B9FD9542232}">
      <text>
        <r>
          <rPr>
            <b/>
            <sz val="10"/>
            <color rgb="FF000000"/>
            <rFont val="Tahoma"/>
            <family val="2"/>
            <charset val="204"/>
          </rPr>
          <t>y balabaeva: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 xml:space="preserve">тех поддержку </t>
        </r>
        <r>
          <rPr>
            <sz val="10"/>
            <color rgb="FF000000"/>
            <rFont val="Tahoma"/>
            <family val="2"/>
            <charset val="204"/>
          </rPr>
          <t xml:space="preserve">b FGB - </t>
        </r>
        <r>
          <rPr>
            <sz val="10"/>
            <color rgb="FF000000"/>
            <rFont val="Tahoma"/>
            <family val="2"/>
            <charset val="204"/>
          </rPr>
          <t>сюда перенесла</t>
        </r>
      </text>
    </comment>
    <comment ref="C65" authorId="0" shapeId="0" xr:uid="{BF133310-4B69-0345-B5AD-8FF3D98CFC2B}">
      <text>
        <r>
          <rPr>
            <b/>
            <sz val="10"/>
            <color rgb="FF000000"/>
            <rFont val="Tahoma"/>
            <family val="2"/>
            <charset val="204"/>
          </rPr>
          <t>y balabaeva: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 xml:space="preserve">еще нужно наложить - срок получения вознаграждени за лидген Т 
</t>
        </r>
        <r>
          <rPr>
            <sz val="10"/>
            <color rgb="FF000000"/>
            <rFont val="Tahoma"/>
            <family val="2"/>
            <charset val="204"/>
          </rPr>
          <t>и отдельно понять % МПС для догвоора и реальную долю МПС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y balabaeva</author>
  </authors>
  <commentList>
    <comment ref="A20" authorId="0" shapeId="0" xr:uid="{6DBA37A2-C33E-EB48-8BDD-62CB0C79C0E4}">
      <text>
        <r>
          <rPr>
            <b/>
            <sz val="10"/>
            <color rgb="FF000000"/>
            <rFont val="Tahoma"/>
            <family val="2"/>
            <charset val="204"/>
          </rPr>
          <t>y balabaeva: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>скорректировано - -меньше исзначального плана</t>
        </r>
      </text>
    </comment>
    <comment ref="B34" authorId="0" shapeId="0" xr:uid="{EA99C375-F01E-D540-84A9-270EC8265CD5}">
      <text>
        <r>
          <rPr>
            <b/>
            <sz val="10"/>
            <color rgb="FF000000"/>
            <rFont val="Tahoma"/>
            <family val="2"/>
            <charset val="204"/>
          </rPr>
          <t>y balabaeva: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 xml:space="preserve">тех поддержку </t>
        </r>
        <r>
          <rPr>
            <sz val="10"/>
            <color rgb="FF000000"/>
            <rFont val="Tahoma"/>
            <family val="2"/>
            <charset val="204"/>
          </rPr>
          <t xml:space="preserve">b FGB - </t>
        </r>
        <r>
          <rPr>
            <sz val="10"/>
            <color rgb="FF000000"/>
            <rFont val="Tahoma"/>
            <family val="2"/>
            <charset val="204"/>
          </rPr>
          <t>сюда перенесла</t>
        </r>
      </text>
    </comment>
    <comment ref="C65" authorId="0" shapeId="0" xr:uid="{73BC13EB-F137-2A4D-BC6D-64F4F0EF94FA}">
      <text>
        <r>
          <rPr>
            <b/>
            <sz val="10"/>
            <color rgb="FF000000"/>
            <rFont val="Tahoma"/>
            <family val="2"/>
            <charset val="204"/>
          </rPr>
          <t>y balabaeva: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 xml:space="preserve">еще нужно наложить - срок получения вознаграждени за лидген Т 
</t>
        </r>
        <r>
          <rPr>
            <sz val="10"/>
            <color rgb="FF000000"/>
            <rFont val="Tahoma"/>
            <family val="2"/>
            <charset val="204"/>
          </rPr>
          <t>и отдельно понять % МПС для догвоора и реальную долю МПС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y balabaeva</author>
  </authors>
  <commentList>
    <comment ref="F5" authorId="0" shapeId="0" xr:uid="{9CA93FB8-3405-8741-8507-0E0C0A84F8B1}">
      <text>
        <r>
          <rPr>
            <b/>
            <sz val="10"/>
            <color rgb="FF000000"/>
            <rFont val="Tahoma"/>
            <family val="2"/>
            <charset val="204"/>
          </rPr>
          <t>y balabaeva: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>не очищенная база от пересечений с МПС и Точкой</t>
        </r>
      </text>
    </comment>
    <comment ref="I5" authorId="0" shapeId="0" xr:uid="{ED022DD2-213D-D74F-90FA-4DCB1C94A4CF}">
      <text>
        <r>
          <rPr>
            <b/>
            <sz val="10"/>
            <color rgb="FF000000"/>
            <rFont val="Tahoma"/>
            <family val="2"/>
            <charset val="204"/>
          </rPr>
          <t>y balabaeva: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>бизнес-модель Карины</t>
        </r>
      </text>
    </comment>
    <comment ref="J5" authorId="0" shapeId="0" xr:uid="{B77A9DD8-FC02-EA47-92FD-E514AA3A239E}">
      <text>
        <r>
          <rPr>
            <b/>
            <sz val="10"/>
            <color rgb="FF000000"/>
            <rFont val="Tahoma"/>
            <family val="2"/>
            <charset val="204"/>
          </rPr>
          <t>y balabaeva: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бизнес-модель Карины
</t>
        </r>
      </text>
    </comment>
    <comment ref="I6" authorId="0" shapeId="0" xr:uid="{A964D76F-9A68-F94E-929F-E4CD7EB25050}">
      <text>
        <r>
          <rPr>
            <b/>
            <sz val="10"/>
            <color rgb="FF000000"/>
            <rFont val="Tahoma"/>
            <family val="2"/>
            <charset val="204"/>
          </rPr>
          <t>y balabaeva: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>из базы сегмента  - придут за МПС</t>
        </r>
      </text>
    </comment>
    <comment ref="J6" authorId="0" shapeId="0" xr:uid="{ABD0DFC5-28A3-4941-838A-29AC7076524F}">
      <text>
        <r>
          <rPr>
            <b/>
            <sz val="10"/>
            <color rgb="FF000000"/>
            <rFont val="Tahoma"/>
            <family val="2"/>
            <charset val="204"/>
          </rPr>
          <t>y balabaeva: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из базы сегмента  - придут за МПС
</t>
        </r>
      </text>
    </comment>
    <comment ref="F7" authorId="0" shapeId="0" xr:uid="{4E0654C9-7C77-B74E-A03C-98CA435DF723}">
      <text>
        <r>
          <rPr>
            <b/>
            <sz val="10"/>
            <color rgb="FF000000"/>
            <rFont val="Tahoma"/>
            <family val="2"/>
            <charset val="204"/>
          </rPr>
          <t>y balabaeva: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 xml:space="preserve">сейчас уже коснулись половины базы, гипотеза - с маркетингом коснемся не менее 80%
</t>
        </r>
      </text>
    </comment>
    <comment ref="M7" authorId="0" shapeId="0" xr:uid="{F9299F2D-830A-5D44-B56E-E784913EF5C5}">
      <text>
        <r>
          <rPr>
            <b/>
            <sz val="10"/>
            <color rgb="FF000000"/>
            <rFont val="Tahoma"/>
            <family val="2"/>
            <charset val="204"/>
          </rPr>
          <t>y balabaeva: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 xml:space="preserve">сейчас уже коснулись половины базы, гипотеза - с маркетингом коснемся не менее 80%
</t>
        </r>
      </text>
    </comment>
    <comment ref="S7" authorId="0" shapeId="0" xr:uid="{144CAA39-F5E2-B24C-A0CF-3AC1A7280FAA}">
      <text>
        <r>
          <rPr>
            <b/>
            <sz val="10"/>
            <color rgb="FF000000"/>
            <rFont val="Tahoma"/>
            <family val="2"/>
            <charset val="204"/>
          </rPr>
          <t>y balabaeva: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 xml:space="preserve">сейчас уже коснулись половины базы, гипотеза - с маркетингом коснемся не менее 80%
</t>
        </r>
      </text>
    </comment>
    <comment ref="F14" authorId="0" shapeId="0" xr:uid="{75D3CE2E-62BB-1248-A17A-4F087785E824}">
      <text>
        <r>
          <rPr>
            <b/>
            <sz val="10"/>
            <color rgb="FF000000"/>
            <rFont val="Tahoma"/>
            <family val="2"/>
            <charset val="204"/>
          </rPr>
          <t>y balabaeva: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 xml:space="preserve">гипотеза - довзонились до ЦА. 
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 xml:space="preserve">Наша база - все ЦА (есть обороты на МП). 
</t>
        </r>
        <r>
          <rPr>
            <sz val="10"/>
            <color rgb="FF000000"/>
            <rFont val="Tahoma"/>
            <family val="2"/>
            <charset val="204"/>
          </rPr>
          <t xml:space="preserve">Как считает ЦА MPS:
</t>
        </r>
        <r>
          <rPr>
            <sz val="10"/>
            <color rgb="FF000000"/>
            <rFont val="Calibri"/>
            <family val="2"/>
          </rPr>
          <t xml:space="preserve">- 150 -000 - есть для старта
</t>
        </r>
        <r>
          <rPr>
            <sz val="10"/>
            <color rgb="FF000000"/>
            <rFont val="Calibri"/>
            <family val="2"/>
          </rPr>
          <t xml:space="preserve">- в теч 2 мес планирует начать торговать
</t>
        </r>
        <r>
          <rPr>
            <sz val="10"/>
            <color rgb="FF000000"/>
            <rFont val="Calibri"/>
            <family val="2"/>
          </rPr>
          <t xml:space="preserve">- селлер - есть рега на МП (озон вб яндекс)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>CR в дозвон холодня база Т - 65%. гипотеза теплые - 75%</t>
        </r>
      </text>
    </comment>
    <comment ref="M14" authorId="0" shapeId="0" xr:uid="{3B6AB549-D2FE-8842-9B41-006256E290BA}">
      <text>
        <r>
          <rPr>
            <b/>
            <sz val="10"/>
            <color rgb="FF000000"/>
            <rFont val="Tahoma"/>
            <family val="2"/>
            <charset val="204"/>
          </rPr>
          <t>y balabaeva: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 xml:space="preserve">гипотеза - довзонились до ЦА. 
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 xml:space="preserve">Наша база - все ЦА (есть обороты на МП). 
</t>
        </r>
        <r>
          <rPr>
            <sz val="10"/>
            <color rgb="FF000000"/>
            <rFont val="Tahoma"/>
            <family val="2"/>
            <charset val="204"/>
          </rPr>
          <t xml:space="preserve">Как считает ЦА MPS:
</t>
        </r>
        <r>
          <rPr>
            <sz val="10"/>
            <color rgb="FF000000"/>
            <rFont val="Calibri"/>
            <family val="2"/>
          </rPr>
          <t xml:space="preserve">- 150 -000 - есть для старта
</t>
        </r>
        <r>
          <rPr>
            <sz val="10"/>
            <color rgb="FF000000"/>
            <rFont val="Calibri"/>
            <family val="2"/>
          </rPr>
          <t xml:space="preserve">- в теч 2 мес планирует начать торговать
</t>
        </r>
        <r>
          <rPr>
            <sz val="10"/>
            <color rgb="FF000000"/>
            <rFont val="Calibri"/>
            <family val="2"/>
          </rPr>
          <t>- селлер - есть рега на МП (озон вб яндекс)</t>
        </r>
      </text>
    </comment>
    <comment ref="M19" authorId="0" shapeId="0" xr:uid="{2A5A8015-CED7-F741-BA38-EAAA437E2251}">
      <text>
        <r>
          <rPr>
            <b/>
            <sz val="10"/>
            <color rgb="FF000000"/>
            <rFont val="Tahoma"/>
            <family val="2"/>
            <charset val="204"/>
          </rPr>
          <t>y balabaeva: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 xml:space="preserve">CR в первую оплату
</t>
        </r>
        <r>
          <rPr>
            <sz val="10"/>
            <color rgb="FF000000"/>
            <rFont val="Tahoma"/>
            <family val="2"/>
            <charset val="204"/>
          </rPr>
          <t xml:space="preserve">На данных - автосписания дают аплифт в 2 раза (посомтрели до фичи и после)
</t>
        </r>
        <r>
          <rPr>
            <sz val="10"/>
            <color rgb="FF000000"/>
            <rFont val="Calibri"/>
            <family val="2"/>
          </rPr>
          <t xml:space="preserve">гипотеза - в 1,5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Повторные оплатв
</t>
        </r>
        <r>
          <rPr>
            <sz val="10"/>
            <color rgb="FF000000"/>
            <rFont val="Calibri"/>
            <family val="2"/>
          </rPr>
          <t xml:space="preserve">+ к LT за счет механизма достписаний при недостатке ДС
</t>
        </r>
        <r>
          <rPr>
            <sz val="10"/>
            <color rgb="FF000000"/>
            <rFont val="Calibri"/>
            <family val="2"/>
          </rPr>
          <t xml:space="preserve">На данных - 0.7 мес
</t>
        </r>
        <r>
          <rPr>
            <sz val="10"/>
            <color rgb="FF000000"/>
            <rFont val="Calibri"/>
            <family val="2"/>
          </rPr>
          <t xml:space="preserve">
</t>
        </r>
      </text>
    </comment>
    <comment ref="S19" authorId="0" shapeId="0" xr:uid="{5ED869BE-20B3-E64F-AF45-0586C3C29651}">
      <text>
        <r>
          <rPr>
            <b/>
            <sz val="10"/>
            <color rgb="FF000000"/>
            <rFont val="Tahoma"/>
            <family val="2"/>
            <charset val="204"/>
          </rPr>
          <t>y balabaeva: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>текущий CR (усредненный янв-мар 2026)</t>
        </r>
      </text>
    </comment>
    <comment ref="F20" authorId="0" shapeId="0" xr:uid="{D5B77F99-AAF6-8C48-ADF0-F84B639795A1}">
      <text>
        <r>
          <rPr>
            <b/>
            <sz val="10"/>
            <color rgb="FF000000"/>
            <rFont val="Tahoma"/>
            <family val="2"/>
            <charset val="204"/>
          </rPr>
          <t>y balabaeva: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>CR - digital канал Т</t>
        </r>
      </text>
    </comment>
    <comment ref="M20" authorId="0" shapeId="0" xr:uid="{73E9FCCC-26FC-2247-826C-5D68A6152726}">
      <text>
        <r>
          <rPr>
            <b/>
            <sz val="10"/>
            <color rgb="FF000000"/>
            <rFont val="Tahoma"/>
            <family val="2"/>
            <charset val="204"/>
          </rPr>
          <t>y balabaeva: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>CR - digital канал Т</t>
        </r>
      </text>
    </comment>
    <comment ref="A56" authorId="0" shapeId="0" xr:uid="{4DF53953-48C2-EF48-9D8F-E8F7B5C16CB0}">
      <text>
        <r>
          <rPr>
            <b/>
            <sz val="11"/>
            <color rgb="FF000000"/>
            <rFont val="+mn-lt"/>
            <charset val="1"/>
          </rPr>
          <t>y balabaeva:</t>
        </r>
        <r>
          <rPr>
            <sz val="11"/>
            <color rgb="FF000000"/>
            <rFont val="+mn-lt"/>
            <charset val="1"/>
          </rPr>
          <t xml:space="preserve">
</t>
        </r>
        <r>
          <rPr>
            <sz val="11"/>
            <color rgb="FF000000"/>
            <rFont val="+mn-lt"/>
            <charset val="1"/>
          </rPr>
          <t xml:space="preserve">расходы на API 1) визиты лидов + 2) расходы на платящих пользователей МПСтатс + 3) расходы на НЕ платящих пользователей 
</t>
        </r>
        <r>
          <rPr>
            <sz val="11"/>
            <color rgb="FF000000"/>
            <rFont val="+mn-lt"/>
            <charset val="1"/>
          </rPr>
          <t xml:space="preserve">
</t>
        </r>
        <r>
          <rPr>
            <sz val="11"/>
            <color rgb="FF000000"/>
            <rFont val="+mn-lt"/>
            <charset val="1"/>
          </rPr>
          <t xml:space="preserve">1) </t>
        </r>
        <r>
          <rPr>
            <b/>
            <sz val="11"/>
            <color rgb="FF000000"/>
            <rFont val="+mn-lt"/>
            <charset val="1"/>
          </rPr>
          <t xml:space="preserve">расходы на визиты Селлер лидов </t>
        </r>
        <r>
          <rPr>
            <sz val="11"/>
            <color rgb="FF000000"/>
            <rFont val="+mn-lt"/>
            <charset val="1"/>
          </rPr>
          <t xml:space="preserve">= число лидов Селлер * стоимость главной Селлер на 1 пользователя в 1 день * 1 визит
</t>
        </r>
        <r>
          <rPr>
            <sz val="11"/>
            <color rgb="FF000000"/>
            <rFont val="+mn-lt"/>
            <charset val="1"/>
          </rPr>
          <t xml:space="preserve">2,7 р - стоимость на 1 пользователя в день от МПС на главную Селлер
</t>
        </r>
        <r>
          <rPr>
            <sz val="11"/>
            <color rgb="FF000000"/>
            <rFont val="+mn-lt"/>
            <charset val="1"/>
          </rPr>
          <t xml:space="preserve">1 заход = лид
</t>
        </r>
        <r>
          <rPr>
            <sz val="11"/>
            <color rgb="FF000000"/>
            <rFont val="+mn-lt"/>
            <charset val="1"/>
          </rPr>
          <t xml:space="preserve">35% -  оставят API гипотеза роста на данных Селлера  (текущий CR API - 25%)
</t>
        </r>
        <r>
          <rPr>
            <sz val="11"/>
            <color rgb="FF000000"/>
            <rFont val="+mn-lt"/>
            <charset val="1"/>
          </rPr>
          <t xml:space="preserve">
</t>
        </r>
        <r>
          <rPr>
            <sz val="11"/>
            <color rgb="FF000000"/>
            <rFont val="+mn-lt"/>
            <charset val="1"/>
          </rPr>
          <t xml:space="preserve">2) </t>
        </r>
        <r>
          <rPr>
            <b/>
            <sz val="11"/>
            <color rgb="FF000000"/>
            <rFont val="+mn-lt"/>
            <charset val="1"/>
          </rPr>
          <t xml:space="preserve">расходы на главную Селлер  (платящих + НЕ платящих пользователей МПСтатс) </t>
        </r>
        <r>
          <rPr>
            <sz val="11"/>
            <color rgb="FF000000"/>
            <rFont val="+mn-lt"/>
            <charset val="1"/>
          </rPr>
          <t xml:space="preserve">=
</t>
        </r>
        <r>
          <rPr>
            <sz val="11"/>
            <color rgb="FF000000"/>
            <rFont val="+mn-lt"/>
            <charset val="1"/>
          </rPr>
          <t xml:space="preserve">MAU гипотеза * </t>
        </r>
        <r>
          <rPr>
            <sz val="11"/>
            <color rgb="FF000000"/>
            <rFont val="Calibri"/>
            <family val="2"/>
          </rPr>
          <t xml:space="preserve">* стоимость главной Селлер на 1 пользователя в 1 день * </t>
        </r>
        <r>
          <rPr>
            <sz val="11"/>
            <color rgb="FF000000"/>
            <rFont val="+mn-lt"/>
            <charset val="1"/>
          </rPr>
          <t xml:space="preserve">ср число визитов в мес в Селлер * 12 мес
</t>
        </r>
        <r>
          <rPr>
            <sz val="11"/>
            <color rgb="FF000000"/>
            <rFont val="+mn-lt"/>
            <charset val="1"/>
          </rPr>
          <t xml:space="preserve">
</t>
        </r>
        <r>
          <rPr>
            <sz val="11"/>
            <color rgb="FF000000"/>
            <rFont val="+mn-lt"/>
            <charset val="1"/>
          </rPr>
          <t xml:space="preserve">MAU - взят по данным Селлера в период когда был фокус на моентизации ~15000. Из них - доля с API ключом - по данным Селелра 62% на сейчас. 
</t>
        </r>
        <r>
          <rPr>
            <sz val="11"/>
            <color rgb="FF000000"/>
            <rFont val="+mn-lt"/>
            <charset val="1"/>
          </rPr>
          <t xml:space="preserve">2,7 р - стоимость на 1 пользователя в день от МПС на главную Селлер
</t>
        </r>
        <r>
          <rPr>
            <sz val="11"/>
            <color rgb="FF000000"/>
            <rFont val="+mn-lt"/>
            <charset val="1"/>
          </rPr>
          <t xml:space="preserve">2 заходов в мес - данные Селлер (+заложен небольшой рост)
</t>
        </r>
        <r>
          <rPr>
            <sz val="11"/>
            <color rgb="FF000000"/>
            <rFont val="+mn-lt"/>
            <charset val="1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2) НЕ считаю </t>
        </r>
        <r>
          <rPr>
            <b/>
            <sz val="11"/>
            <color rgb="FF000000"/>
            <rFont val="Calibri"/>
            <family val="2"/>
          </rPr>
          <t xml:space="preserve">расходы на главную Селлер (отдельно платящих пользователей МПСтатс) 
</t>
        </r>
        <r>
          <rPr>
            <b/>
            <sz val="11"/>
            <color rgb="FF000000"/>
            <rFont val="Calibri"/>
            <family val="2"/>
          </rPr>
          <t xml:space="preserve"> ч</t>
        </r>
        <r>
          <rPr>
            <sz val="11"/>
            <color rgb="FF000000"/>
            <rFont val="Calibri"/>
            <family val="2"/>
          </rPr>
          <t xml:space="preserve">исло платящих пользоватлей МПС (по сегментам по оборотам)  * ср число визитов в мес в Селлер * стоимость главной Селлер на 1 пользователя в 1 день * LT (по сегментам по оборотам)  
</t>
        </r>
        <r>
          <rPr>
            <sz val="11"/>
            <color rgb="FF000000"/>
            <rFont val="Calibri"/>
            <family val="2"/>
          </rPr>
          <t xml:space="preserve">2,7 р - стоимость на 1 пользователя в день от МПС на главную Селлер
</t>
        </r>
        <r>
          <rPr>
            <sz val="11"/>
            <color rgb="FF000000"/>
            <rFont val="Calibri"/>
            <family val="2"/>
          </rPr>
          <t xml:space="preserve">9 заходов - данные Селлер (+заложен небольшой рост)
</t>
        </r>
        <r>
          <rPr>
            <sz val="11"/>
            <color rgb="FF000000"/>
            <rFont val="+mn-lt"/>
            <charset val="1"/>
          </rPr>
          <t xml:space="preserve">
</t>
        </r>
      </text>
    </comment>
    <comment ref="A57" authorId="0" shapeId="0" xr:uid="{4C598208-BE74-C644-9042-5F4FBD2F285E}">
      <text>
        <r>
          <rPr>
            <b/>
            <sz val="10"/>
            <color rgb="FF000000"/>
            <rFont val="Tahoma"/>
            <family val="2"/>
            <charset val="204"/>
          </rPr>
          <t>y balabaeva: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 xml:space="preserve">УБРАЛА, тк посчитала из в </t>
        </r>
        <r>
          <rPr>
            <sz val="10"/>
            <color rgb="FF000000"/>
            <rFont val="Tahoma"/>
            <family val="2"/>
            <charset val="204"/>
          </rPr>
          <t>MAU</t>
        </r>
      </text>
    </comment>
    <comment ref="A65" authorId="0" shapeId="0" xr:uid="{8E0C6852-C1E7-354F-AFDC-241C34D9C15B}">
      <text>
        <r>
          <rPr>
            <b/>
            <sz val="10"/>
            <color rgb="FF000000"/>
            <rFont val="Tahoma"/>
            <family val="2"/>
            <charset val="204"/>
          </rPr>
          <t>y balabaeva: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>расходы на МПС платную версию = число платящих пользователей</t>
        </r>
        <r>
          <rPr>
            <sz val="10"/>
            <color rgb="FF000000"/>
            <rFont val="Calibri"/>
            <family val="2"/>
          </rPr>
          <t xml:space="preserve">(по сегментам по оборотам) </t>
        </r>
        <r>
          <rPr>
            <sz val="10"/>
            <color rgb="FF000000"/>
            <rFont val="Tahoma"/>
            <family val="2"/>
            <charset val="204"/>
          </rPr>
          <t xml:space="preserve"> * LT (по сегментам по оборотам) * стоимость API МПСтатс на 1 патящего пользователя as is</t>
        </r>
      </text>
    </comment>
    <comment ref="A71" authorId="0" shapeId="0" xr:uid="{0A082094-4004-AA47-9074-787E9820C5FD}">
      <text>
        <r>
          <rPr>
            <b/>
            <sz val="10"/>
            <color rgb="FF000000"/>
            <rFont val="Tahoma"/>
            <family val="2"/>
            <charset val="204"/>
          </rPr>
          <t>y balabaeva: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>вероятно выставленеи счетов, коммуникации</t>
        </r>
      </text>
    </comment>
    <comment ref="G77" authorId="0" shapeId="0" xr:uid="{72EC2F13-40EC-7C49-A2E9-0A5682DC90B0}">
      <text>
        <r>
          <rPr>
            <b/>
            <sz val="10"/>
            <color rgb="FF000000"/>
            <rFont val="Tahoma"/>
            <family val="2"/>
            <charset val="204"/>
          </rPr>
          <t>y balabaeva: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>уже получаем доход с др продуктов Банка</t>
        </r>
      </text>
    </comment>
    <comment ref="I77" authorId="0" shapeId="0" xr:uid="{C1F2A0E4-A39A-B849-BD0C-327BAAC1E2FA}">
      <text>
        <r>
          <rPr>
            <b/>
            <sz val="10"/>
            <color rgb="FF000000"/>
            <rFont val="Tahoma"/>
            <family val="2"/>
            <charset val="204"/>
          </rPr>
          <t>y balabaeva: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>из расчета на кол-во клиентво в инкременте (из бизнес модели Крины) - клиенты проснулись  в РКО из-за МПС</t>
        </r>
      </text>
    </comment>
    <comment ref="J77" authorId="0" shapeId="0" xr:uid="{F6E7AEEB-1C0E-E749-9F97-5A0DE17951A3}">
      <text>
        <r>
          <rPr>
            <b/>
            <sz val="10"/>
            <color rgb="FF000000"/>
            <rFont val="Tahoma"/>
            <family val="2"/>
            <charset val="204"/>
          </rPr>
          <t>y balabaeva: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>из расчета на кол-во клиентво в инкременте (из бизнес модели Крины) - клиенты открвли  РКО из-за МПС</t>
        </r>
        <r>
          <rPr>
            <sz val="10"/>
            <color rgb="FF000000"/>
            <rFont val="Calibri"/>
            <family val="2"/>
            <scheme val="minor"/>
          </rPr>
          <t xml:space="preserve">
</t>
        </r>
      </text>
    </comment>
    <comment ref="R77" authorId="0" shapeId="0" xr:uid="{50A55520-2686-7349-8891-0AB5FFCD2405}">
      <text>
        <r>
          <rPr>
            <b/>
            <sz val="10"/>
            <color rgb="FF000000"/>
            <rFont val="Tahoma"/>
            <family val="2"/>
            <charset val="204"/>
          </rPr>
          <t>y balabaeva: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>гипотеза - LTV тарифов МПС выше на за счет ковенант</t>
        </r>
      </text>
    </comment>
    <comment ref="X77" authorId="0" shapeId="0" xr:uid="{C3C7A41A-CC0B-514D-89C7-4AF5040352F6}">
      <text>
        <r>
          <rPr>
            <b/>
            <sz val="10"/>
            <color rgb="FF000000"/>
            <rFont val="Tahoma"/>
            <family val="2"/>
            <charset val="204"/>
          </rPr>
          <t>y balabaeva: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>гипотеза - по клиентам с тарифом MPS LTV выше на 30% за счет ковенант)</t>
        </r>
      </text>
    </comment>
    <comment ref="AG77" authorId="0" shapeId="0" xr:uid="{CB5D83E9-6DA9-4541-869A-56ED01E657C4}">
      <text>
        <r>
          <rPr>
            <b/>
            <sz val="10"/>
            <color rgb="FF000000"/>
            <rFont val="Tahoma"/>
            <family val="2"/>
            <charset val="204"/>
          </rPr>
          <t>y balabaeva: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>гипотеза - по клиентам с тарифом MPS LTV выше на 30% за счет ковенант)</t>
        </r>
      </text>
    </comment>
    <comment ref="AM77" authorId="0" shapeId="0" xr:uid="{560A53DA-E159-C247-A1CC-8BCA96B5019D}">
      <text>
        <r>
          <rPr>
            <b/>
            <sz val="10"/>
            <color rgb="FF000000"/>
            <rFont val="Tahoma"/>
            <family val="2"/>
            <charset val="204"/>
          </rPr>
          <t>y balabaeva: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>гипотеза - LTV тарифов МПС выше на за счет ковенант</t>
        </r>
      </text>
    </comment>
    <comment ref="I89" authorId="0" shapeId="0" xr:uid="{70EDCBC1-B8F4-BF47-B134-5E20C8DC74F6}">
      <text>
        <r>
          <rPr>
            <b/>
            <sz val="10"/>
            <color rgb="FF000000"/>
            <rFont val="Tahoma"/>
            <family val="2"/>
            <charset val="204"/>
          </rPr>
          <t>y balabaeva: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>уточнить по сегменту (сейчас ср по 1 и 2 сегменту)</t>
        </r>
      </text>
    </comment>
    <comment ref="M96" authorId="0" shapeId="0" xr:uid="{E6AA54BE-0AEC-5E4E-8D69-E8967573F122}">
      <text>
        <r>
          <rPr>
            <b/>
            <sz val="10"/>
            <color rgb="FF000000"/>
            <rFont val="Tahoma"/>
            <family val="2"/>
            <charset val="204"/>
          </rPr>
          <t xml:space="preserve">y balabaeva:
</t>
        </r>
        <r>
          <rPr>
            <sz val="10"/>
            <color rgb="FF000000"/>
            <rFont val="Tahoma"/>
            <family val="2"/>
            <charset val="204"/>
          </rPr>
          <t xml:space="preserve">as is в Селлере - 35% оплат- досписания </t>
        </r>
        <r>
          <rPr>
            <sz val="10"/>
            <color rgb="FF000000"/>
            <rFont val="Calibri"/>
            <family val="2"/>
          </rPr>
          <t>с РКО  при недостатке средств в конце мес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 xml:space="preserve">Пока предположила LT </t>
        </r>
        <r>
          <rPr>
            <sz val="10"/>
            <color rgb="FF000000"/>
            <rFont val="Calibri"/>
            <family val="2"/>
          </rPr>
          <t xml:space="preserve">экспертно  + 1 мес к LT MPS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Какк уточнить гипотезу:
</t>
        </r>
        <r>
          <rPr>
            <sz val="10"/>
            <color rgb="FF000000"/>
            <rFont val="Calibri"/>
            <family val="2"/>
          </rPr>
          <t xml:space="preserve">1) как изменилось LT в Селлере после фичи досписания? (если не было запущено так изначлаьно)
</t>
        </r>
        <r>
          <rPr>
            <sz val="10"/>
            <color rgb="FF000000"/>
            <rFont val="Calibri"/>
            <family val="2"/>
          </rPr>
          <t xml:space="preserve">2) Бенчи
</t>
        </r>
      </text>
    </comment>
    <comment ref="M143" authorId="0" shapeId="0" xr:uid="{C7F76779-5BB6-5043-B991-C8CBC41843C6}">
      <text>
        <r>
          <rPr>
            <b/>
            <sz val="10"/>
            <color rgb="FF000000"/>
            <rFont val="Tahoma"/>
            <family val="2"/>
            <charset val="204"/>
          </rPr>
          <t>y balabaeva: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>Карина - уточнит как ковенанты влияют на LTV в др продуктах Т</t>
        </r>
      </text>
    </comment>
    <comment ref="S143" authorId="0" shapeId="0" xr:uid="{798E035C-C02D-4848-92AF-67ACBB2E38FF}">
      <text>
        <r>
          <rPr>
            <b/>
            <sz val="10"/>
            <color rgb="FF000000"/>
            <rFont val="Tahoma"/>
            <family val="2"/>
            <charset val="204"/>
          </rPr>
          <t>y balabaeva: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>Карина - уточнит как ковенанты влияют на LTV в др продуктах Т</t>
        </r>
      </text>
    </comment>
    <comment ref="AB143" authorId="0" shapeId="0" xr:uid="{D6578670-9706-3444-883B-A9171E558363}">
      <text>
        <r>
          <rPr>
            <b/>
            <sz val="10"/>
            <color rgb="FF000000"/>
            <rFont val="Tahoma"/>
            <family val="2"/>
            <charset val="204"/>
          </rPr>
          <t>y balabaeva: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>Карина - уточнит как ковенанты влияют на LTV в др продуктах Т</t>
        </r>
      </text>
    </comment>
    <comment ref="AH143" authorId="0" shapeId="0" xr:uid="{3EF40AC3-1480-7146-9CD5-7699D32EB43A}">
      <text>
        <r>
          <rPr>
            <b/>
            <sz val="10"/>
            <color rgb="FF000000"/>
            <rFont val="Tahoma"/>
            <family val="2"/>
            <charset val="204"/>
          </rPr>
          <t>y balabaeva: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>Карина - уточнит как ковенанты влияют на LTV в др продуктах Т</t>
        </r>
      </text>
    </comment>
    <comment ref="A150" authorId="0" shapeId="0" xr:uid="{156C6C68-D723-5F41-80D1-B774CB103A43}">
      <text>
        <r>
          <rPr>
            <b/>
            <sz val="10"/>
            <color rgb="FF000000"/>
            <rFont val="Tahoma"/>
            <family val="2"/>
            <charset val="204"/>
          </rPr>
          <t>y balabaeva: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если будет внешний маркетинг - ср 3 млн на медиа и тг каналы . внутренний маркетинг (почта, пуши и пр)  считается бесплатным каналом
</t>
        </r>
      </text>
    </comment>
    <comment ref="K150" authorId="0" shapeId="0" xr:uid="{280F6CB9-7209-4E4D-B7CF-008A6BFFEC1F}">
      <text>
        <r>
          <rPr>
            <b/>
            <sz val="10"/>
            <color rgb="FF000000"/>
            <rFont val="Tahoma"/>
            <family val="2"/>
            <charset val="204"/>
          </rPr>
          <t>y balabaeva: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>гипотеза - если будет внешний маркетинг (3 млн на медиа и тг каналы). внутренний маркетинг считается бесплатным каналом</t>
        </r>
      </text>
    </comment>
    <comment ref="R150" authorId="0" shapeId="0" xr:uid="{03E397AA-B855-F44F-A254-A072B42A870B}">
      <text>
        <r>
          <rPr>
            <b/>
            <sz val="10"/>
            <color rgb="FF000000"/>
            <rFont val="Tahoma"/>
            <family val="2"/>
            <charset val="204"/>
          </rPr>
          <t>y balabaeva: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>гипотеза - если будет внешний маркетинг (3 млн на медиа и тг каналы). внутренний маркетинг считается бесплатным каналом</t>
        </r>
      </text>
    </comment>
    <comment ref="X150" authorId="0" shapeId="0" xr:uid="{340A5C87-7BA8-6A4E-95DB-187E94B0DBE1}">
      <text>
        <r>
          <rPr>
            <b/>
            <sz val="10"/>
            <color rgb="FF000000"/>
            <rFont val="Tahoma"/>
            <family val="2"/>
            <charset val="204"/>
          </rPr>
          <t>y balabaeva: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>гипотеза - если будет внешний маркетинг (3 млн на медиа и тг каналы). внутренний маркетинг считается бесплатным каналом</t>
        </r>
      </text>
    </comment>
    <comment ref="AG150" authorId="0" shapeId="0" xr:uid="{C930AA89-DA78-224B-AADA-EE11D84F9D6F}">
      <text>
        <r>
          <rPr>
            <b/>
            <sz val="10"/>
            <color rgb="FF000000"/>
            <rFont val="Tahoma"/>
            <family val="2"/>
            <charset val="204"/>
          </rPr>
          <t>y balabaeva: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>гипотеза - если будет внешний маркетинг (3 млн на медиа и тг каналы). внутренний маркетинг считается бесплатным каналом</t>
        </r>
      </text>
    </comment>
    <comment ref="AM150" authorId="0" shapeId="0" xr:uid="{DC6AB96B-D6E1-B04F-A0E1-2FC85C0439F5}">
      <text>
        <r>
          <rPr>
            <b/>
            <sz val="10"/>
            <color rgb="FF000000"/>
            <rFont val="Tahoma"/>
            <family val="2"/>
            <charset val="204"/>
          </rPr>
          <t>y balabaeva: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>гипотеза - если будет внешний маркетинг (3 млн на медиа и тг каналы). внутренний маркетинг считается бесплатным каналом</t>
        </r>
      </text>
    </comment>
    <comment ref="A152" authorId="0" shapeId="0" xr:uid="{239C81EC-20AA-2C42-9402-4A37652087A3}">
      <text>
        <r>
          <rPr>
            <b/>
            <sz val="10"/>
            <color rgb="FF000000"/>
            <rFont val="Tahoma"/>
            <family val="2"/>
            <charset val="204"/>
          </rPr>
          <t>y balabaeva: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>предположение</t>
        </r>
      </text>
    </comment>
    <comment ref="G152" authorId="0" shapeId="0" xr:uid="{439BB069-3ED6-604D-A938-A0B3742EC31E}">
      <text>
        <r>
          <rPr>
            <b/>
            <sz val="10"/>
            <color rgb="FF000000"/>
            <rFont val="Tahoma"/>
            <family val="2"/>
            <charset val="204"/>
          </rPr>
          <t>y balabaeva: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>предположение: из 14 дней пользователь в ср будет посещать сервис 4 дн</t>
        </r>
      </text>
    </comment>
    <comment ref="N152" authorId="0" shapeId="0" xr:uid="{B9BF1941-3FF3-7242-BA0D-7F1C20BC0CAB}">
      <text>
        <r>
          <rPr>
            <b/>
            <sz val="10"/>
            <color rgb="FF000000"/>
            <rFont val="Tahoma"/>
            <family val="2"/>
            <charset val="204"/>
          </rPr>
          <t>y balabaeva: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>предположение: из 14 дней пользователь в ср будет посещать сервис 4 дн</t>
        </r>
      </text>
    </comment>
    <comment ref="T152" authorId="0" shapeId="0" xr:uid="{BDFFB5C0-7D06-6846-9E65-D6C2B8278621}">
      <text>
        <r>
          <rPr>
            <b/>
            <sz val="10"/>
            <color rgb="FF000000"/>
            <rFont val="Tahoma"/>
            <family val="2"/>
            <charset val="204"/>
          </rPr>
          <t>y balabaeva: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>предположение: из 14 дней пользователь в ср будет посещать сервис 4 дн</t>
        </r>
      </text>
    </comment>
    <comment ref="AC152" authorId="0" shapeId="0" xr:uid="{A850ECBF-9DD5-7746-8118-1E507B6818EA}">
      <text>
        <r>
          <rPr>
            <b/>
            <sz val="10"/>
            <color rgb="FF000000"/>
            <rFont val="Tahoma"/>
            <family val="2"/>
            <charset val="204"/>
          </rPr>
          <t>y balabaeva: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>предположение: из 14 дней пользователь в ср будет посещать сервис 4 дн</t>
        </r>
      </text>
    </comment>
    <comment ref="AI152" authorId="0" shapeId="0" xr:uid="{9B09EEB8-54AD-6843-85C9-7F2ED7289C39}">
      <text>
        <r>
          <rPr>
            <b/>
            <sz val="10"/>
            <color rgb="FF000000"/>
            <rFont val="Tahoma"/>
            <family val="2"/>
            <charset val="204"/>
          </rPr>
          <t>y balabaeva: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>предположение: из 14 дней пользователь в ср будет посещать сервис 4 дн</t>
        </r>
      </text>
    </comment>
    <comment ref="A156" authorId="0" shapeId="0" xr:uid="{6ED4A588-A0EE-0948-9526-78A034D74799}">
      <text>
        <r>
          <rPr>
            <b/>
            <sz val="10"/>
            <color rgb="FF000000"/>
            <rFont val="Tahoma"/>
            <family val="2"/>
            <charset val="204"/>
          </rPr>
          <t>y balabaeva: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 xml:space="preserve">2,7 р - стоимость на 1 пользователя в день от МПС на главную Селлер
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>9 заходов - данные Селлер (заложен небольшой рост)</t>
        </r>
      </text>
    </comment>
    <comment ref="G156" authorId="0" shapeId="0" xr:uid="{891D800E-56A7-FE4E-8CB4-C36DC92BC659}">
      <text>
        <r>
          <rPr>
            <b/>
            <sz val="10"/>
            <color rgb="FF000000"/>
            <rFont val="Tahoma"/>
            <family val="2"/>
            <charset val="204"/>
          </rPr>
          <t>y balabaeva: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 xml:space="preserve">знаем что главная будет обходиться примерно 2.7 р в день на 1 пользователя. предполагаем что платящие будут посещать 9 дней в мес. итого 2.7*9
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 xml:space="preserve">as is Селлер ср заходы на 1 платящего - 7,69. гипотеза - рос 20%, 9. </t>
        </r>
      </text>
    </comment>
    <comment ref="A157" authorId="0" shapeId="0" xr:uid="{1C2AFBFE-5347-2D4F-B6C5-E8E43574D1CF}">
      <text>
        <r>
          <rPr>
            <b/>
            <sz val="10"/>
            <color rgb="FF000000"/>
            <rFont val="Tahoma"/>
            <family val="2"/>
            <charset val="204"/>
          </rPr>
          <t>y balabaeva: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+mn-lt"/>
            <charset val="1"/>
          </rPr>
          <t xml:space="preserve">2,7 р - стоимость на 1 пользователя в день от МПС на главную Селлер
</t>
        </r>
        <r>
          <rPr>
            <sz val="10"/>
            <color rgb="FF000000"/>
            <rFont val="+mn-lt"/>
            <charset val="1"/>
          </rPr>
          <t xml:space="preserve">
</t>
        </r>
        <r>
          <rPr>
            <sz val="10"/>
            <color rgb="FF000000"/>
            <rFont val="+mn-lt"/>
            <charset val="1"/>
          </rPr>
          <t xml:space="preserve">2 заходов - данные Селлер (заложен небольшой рост)
</t>
        </r>
      </text>
    </comment>
    <comment ref="G157" authorId="0" shapeId="0" xr:uid="{F3477F5E-A677-D241-B999-3F611F387CAC}">
      <text>
        <r>
          <rPr>
            <b/>
            <sz val="10"/>
            <color rgb="FF000000"/>
            <rFont val="Tahoma"/>
            <family val="2"/>
            <charset val="204"/>
          </rPr>
          <t>y balabaeva: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 xml:space="preserve">знаем что главная будет обходиться примерно 2.7 р в день на 1 пользователя. предполагаем что лиды не платящие в ср зайдут в Селлер 2 раза  
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>As Is  в Селлер: среднее число заходов в Селлер в месяц на 1 неплатящего пользователя - 1,73 раза</t>
        </r>
        <r>
          <rPr>
            <sz val="10"/>
            <color rgb="FF000000"/>
            <rFont val="Calibri"/>
            <family val="2"/>
          </rPr>
          <t xml:space="preserve"> гипотеза - рост 20%, 2. </t>
        </r>
      </text>
    </comment>
    <comment ref="G158" authorId="0" shapeId="0" xr:uid="{B49848E6-51A9-FF42-9E78-F4CD8ECE6418}">
      <text>
        <r>
          <rPr>
            <b/>
            <sz val="10"/>
            <color rgb="FF000000"/>
            <rFont val="Tahoma"/>
            <family val="2"/>
            <charset val="204"/>
          </rPr>
          <t>y balabaeva: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>знаем что главная будет обходиться примерно 2.7 р в день на 1 пользователя</t>
        </r>
      </text>
    </comment>
    <comment ref="A159" authorId="0" shapeId="0" xr:uid="{5B9FD31F-FC89-B144-BB7C-2E2EC1F9C242}">
      <text>
        <r>
          <rPr>
            <b/>
            <sz val="10"/>
            <color rgb="FF000000"/>
            <rFont val="Tahoma"/>
            <family val="2"/>
            <charset val="204"/>
          </rPr>
          <t>y balabaeva: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>гипотеза на данных Селлера AS IS  - 25% оставляют АПИ</t>
        </r>
        <r>
          <rPr>
            <sz val="10"/>
            <color rgb="FF000000"/>
            <rFont val="Calibri"/>
            <family val="2"/>
            <scheme val="minor"/>
          </rPr>
          <t xml:space="preserve">
</t>
        </r>
      </text>
    </comment>
    <comment ref="A160" authorId="0" shapeId="0" xr:uid="{69427EC7-2C70-BA47-B96C-6EE41123C267}">
      <text>
        <r>
          <rPr>
            <b/>
            <sz val="10"/>
            <color rgb="FF000000"/>
            <rFont val="Tahoma"/>
            <family val="2"/>
            <charset val="204"/>
          </rPr>
          <t>y balabaeva: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>на данных Селлера</t>
        </r>
      </text>
    </comment>
    <comment ref="A181" authorId="0" shapeId="0" xr:uid="{30BD9B6C-52F1-1545-80BD-6C30439F8FD0}">
      <text>
        <r>
          <rPr>
            <b/>
            <sz val="10"/>
            <color rgb="FF000000"/>
            <rFont val="Tahoma"/>
            <family val="2"/>
            <charset val="204"/>
          </rPr>
          <t>y balabaeva: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>тут по названию - расходы на коммуникации , повторное выставление счетов</t>
        </r>
      </text>
    </comment>
    <comment ref="G184" authorId="0" shapeId="0" xr:uid="{52482554-ED83-9542-8961-242E9E0022D5}">
      <text>
        <r>
          <rPr>
            <b/>
            <sz val="10"/>
            <color rgb="FF000000"/>
            <rFont val="Tahoma"/>
            <family val="2"/>
            <charset val="204"/>
          </rPr>
          <t>y balabaeva: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>предположение (на основе стоимсти API в мес на 1 платящего) - 212 р в мес /10 дней (предположение: ср посещение платного пользователя) = 21 р</t>
        </r>
      </text>
    </comment>
    <comment ref="N184" authorId="0" shapeId="0" xr:uid="{32721A67-E947-9A45-B6CF-C6773C07689B}">
      <text>
        <r>
          <rPr>
            <b/>
            <sz val="10"/>
            <color rgb="FF000000"/>
            <rFont val="Tahoma"/>
            <family val="2"/>
            <charset val="204"/>
          </rPr>
          <t>y balabaeva: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>предположение (на основе стоимсти API в мес на 1 платящего) - 212 р в мес /10 дней (предположение: ср посещение платного пользователя) = 21 р</t>
        </r>
      </text>
    </comment>
    <comment ref="T184" authorId="0" shapeId="0" xr:uid="{10834180-263E-1441-AFA7-7246246393BB}">
      <text>
        <r>
          <rPr>
            <b/>
            <sz val="10"/>
            <color rgb="FF000000"/>
            <rFont val="Tahoma"/>
            <family val="2"/>
            <charset val="204"/>
          </rPr>
          <t>y balabaeva: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>предположение (на основе стоимсти API в мес на 1 платящего) - 212 р в мес /10 дней (предположение: ср посещение платного пользователя) = 21 р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y balabaeva</author>
  </authors>
  <commentList>
    <comment ref="F5" authorId="0" shapeId="0" xr:uid="{4338025A-3DC0-ED4A-B8FF-B6A67DCC219E}">
      <text>
        <r>
          <rPr>
            <b/>
            <sz val="10"/>
            <color rgb="FF000000"/>
            <rFont val="Tahoma"/>
            <family val="2"/>
            <charset val="204"/>
          </rPr>
          <t>y balabaeva: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>не очищенная база от пересечений с МПС и Точкой</t>
        </r>
      </text>
    </comment>
    <comment ref="I5" authorId="0" shapeId="0" xr:uid="{AA6DEEED-8AC1-E046-A6BF-20BF90B80CC8}">
      <text>
        <r>
          <rPr>
            <b/>
            <sz val="10"/>
            <color rgb="FF000000"/>
            <rFont val="Tahoma"/>
            <family val="2"/>
            <charset val="204"/>
          </rPr>
          <t>y balabaeva: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>бизнес-модель Карины</t>
        </r>
      </text>
    </comment>
    <comment ref="J5" authorId="0" shapeId="0" xr:uid="{6C21615F-2EE2-AE48-AA5F-3B3B75B3F91E}">
      <text>
        <r>
          <rPr>
            <b/>
            <sz val="10"/>
            <color rgb="FF000000"/>
            <rFont val="Tahoma"/>
            <family val="2"/>
            <charset val="204"/>
          </rPr>
          <t>y balabaeva: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бизнес-модель Карины
</t>
        </r>
      </text>
    </comment>
    <comment ref="I6" authorId="0" shapeId="0" xr:uid="{41B2AB81-9065-FB49-A219-33E1C8678000}">
      <text>
        <r>
          <rPr>
            <b/>
            <sz val="10"/>
            <color rgb="FF000000"/>
            <rFont val="Tahoma"/>
            <family val="2"/>
            <charset val="204"/>
          </rPr>
          <t>y balabaeva: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>из базы сегмента  - придут за МПС</t>
        </r>
      </text>
    </comment>
    <comment ref="J6" authorId="0" shapeId="0" xr:uid="{EBE1E0DB-F42E-0E4B-B724-FB556A1A17E1}">
      <text>
        <r>
          <rPr>
            <b/>
            <sz val="10"/>
            <color rgb="FF000000"/>
            <rFont val="Tahoma"/>
            <family val="2"/>
            <charset val="204"/>
          </rPr>
          <t>y balabaeva: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из базы сегмента  - придут за МПС
</t>
        </r>
      </text>
    </comment>
    <comment ref="F7" authorId="0" shapeId="0" xr:uid="{FC9F34DE-0E0D-A84B-9DC3-C840A7EE4DD4}">
      <text>
        <r>
          <rPr>
            <b/>
            <sz val="10"/>
            <color rgb="FF000000"/>
            <rFont val="Tahoma"/>
            <family val="2"/>
            <charset val="204"/>
          </rPr>
          <t>y balabaeva: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 xml:space="preserve">сейчас уже коснулись половины базы, гипотеза - с маркетингом коснемся не менее 80%
</t>
        </r>
      </text>
    </comment>
    <comment ref="M7" authorId="0" shapeId="0" xr:uid="{9D8257F8-23D8-0541-A7C7-E189F279521D}">
      <text>
        <r>
          <rPr>
            <b/>
            <sz val="10"/>
            <color rgb="FF000000"/>
            <rFont val="Tahoma"/>
            <family val="2"/>
            <charset val="204"/>
          </rPr>
          <t>y balabaeva: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 xml:space="preserve">сейчас уже коснулись половины базы, гипотеза - с маркетингом коснемся не менее 80%
</t>
        </r>
      </text>
    </comment>
    <comment ref="S7" authorId="0" shapeId="0" xr:uid="{1DE38129-4CC5-984F-87AC-0633CB1078AA}">
      <text>
        <r>
          <rPr>
            <b/>
            <sz val="10"/>
            <color rgb="FF000000"/>
            <rFont val="Tahoma"/>
            <family val="2"/>
            <charset val="204"/>
          </rPr>
          <t>y balabaeva: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 xml:space="preserve">сейчас уже коснулись половины базы, гипотеза - с маркетингом коснемся не менее 80%
</t>
        </r>
      </text>
    </comment>
    <comment ref="F14" authorId="0" shapeId="0" xr:uid="{FFEB13EC-56AE-7740-98F6-5CB3EEEC9CFF}">
      <text>
        <r>
          <rPr>
            <b/>
            <sz val="10"/>
            <color rgb="FF000000"/>
            <rFont val="Tahoma"/>
            <family val="2"/>
            <charset val="204"/>
          </rPr>
          <t>y balabaeva: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 xml:space="preserve">гипотеза - довзонились до ЦА. 
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 xml:space="preserve">Наша база - все ЦА (есть обороты на МП). 
</t>
        </r>
        <r>
          <rPr>
            <sz val="10"/>
            <color rgb="FF000000"/>
            <rFont val="Tahoma"/>
            <family val="2"/>
            <charset val="204"/>
          </rPr>
          <t xml:space="preserve">Как считает ЦА MPS:
</t>
        </r>
        <r>
          <rPr>
            <sz val="10"/>
            <color rgb="FF000000"/>
            <rFont val="Calibri"/>
            <family val="2"/>
          </rPr>
          <t xml:space="preserve">- 150 -000 - есть для старта
</t>
        </r>
        <r>
          <rPr>
            <sz val="10"/>
            <color rgb="FF000000"/>
            <rFont val="Calibri"/>
            <family val="2"/>
          </rPr>
          <t xml:space="preserve">- в теч 2 мес планирует начать торговать
</t>
        </r>
        <r>
          <rPr>
            <sz val="10"/>
            <color rgb="FF000000"/>
            <rFont val="Calibri"/>
            <family val="2"/>
          </rPr>
          <t xml:space="preserve">- селлер - есть рега на МП (озон вб яндекс)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>CR в дозвон холодня база Т - 65%. гипотеза теплые - 75%</t>
        </r>
      </text>
    </comment>
    <comment ref="M14" authorId="0" shapeId="0" xr:uid="{7495AE41-72DC-7D4F-A20F-E80004612050}">
      <text>
        <r>
          <rPr>
            <b/>
            <sz val="10"/>
            <color rgb="FF000000"/>
            <rFont val="Tahoma"/>
            <family val="2"/>
            <charset val="204"/>
          </rPr>
          <t>y balabaeva: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 xml:space="preserve">гипотеза - довзонились до ЦА. 
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 xml:space="preserve">Наша база - все ЦА (есть обороты на МП). 
</t>
        </r>
        <r>
          <rPr>
            <sz val="10"/>
            <color rgb="FF000000"/>
            <rFont val="Tahoma"/>
            <family val="2"/>
            <charset val="204"/>
          </rPr>
          <t xml:space="preserve">Как считает ЦА MPS:
</t>
        </r>
        <r>
          <rPr>
            <sz val="10"/>
            <color rgb="FF000000"/>
            <rFont val="Calibri"/>
            <family val="2"/>
          </rPr>
          <t xml:space="preserve">- 150 -000 - есть для старта
</t>
        </r>
        <r>
          <rPr>
            <sz val="10"/>
            <color rgb="FF000000"/>
            <rFont val="Calibri"/>
            <family val="2"/>
          </rPr>
          <t xml:space="preserve">- в теч 2 мес планирует начать торговать
</t>
        </r>
        <r>
          <rPr>
            <sz val="10"/>
            <color rgb="FF000000"/>
            <rFont val="Calibri"/>
            <family val="2"/>
          </rPr>
          <t>- селлер - есть рега на МП (озон вб яндекс)</t>
        </r>
      </text>
    </comment>
    <comment ref="M19" authorId="0" shapeId="0" xr:uid="{AC42C0B1-E8BB-B045-A25D-95339055F0F3}">
      <text>
        <r>
          <rPr>
            <b/>
            <sz val="10"/>
            <color rgb="FF000000"/>
            <rFont val="Tahoma"/>
            <family val="2"/>
            <charset val="204"/>
          </rPr>
          <t>y balabaeva: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 xml:space="preserve">CR в первую оплату
</t>
        </r>
        <r>
          <rPr>
            <sz val="10"/>
            <color rgb="FF000000"/>
            <rFont val="Tahoma"/>
            <family val="2"/>
            <charset val="204"/>
          </rPr>
          <t xml:space="preserve">На данных - автосписания дают аплифт в 2 раза (посомтрели до фичи и после)
</t>
        </r>
        <r>
          <rPr>
            <sz val="10"/>
            <color rgb="FF000000"/>
            <rFont val="Calibri"/>
            <family val="2"/>
          </rPr>
          <t xml:space="preserve">гипотеза - в 1,5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Повторные оплатв
</t>
        </r>
        <r>
          <rPr>
            <sz val="10"/>
            <color rgb="FF000000"/>
            <rFont val="Calibri"/>
            <family val="2"/>
          </rPr>
          <t xml:space="preserve">+ к LT за счет механизма достписаний при недостатке ДС
</t>
        </r>
        <r>
          <rPr>
            <sz val="10"/>
            <color rgb="FF000000"/>
            <rFont val="Calibri"/>
            <family val="2"/>
          </rPr>
          <t xml:space="preserve">На данных - 0.7 мес
</t>
        </r>
        <r>
          <rPr>
            <sz val="10"/>
            <color rgb="FF000000"/>
            <rFont val="Calibri"/>
            <family val="2"/>
          </rPr>
          <t xml:space="preserve">
</t>
        </r>
      </text>
    </comment>
    <comment ref="S19" authorId="0" shapeId="0" xr:uid="{871086AA-7B1B-2347-A6FC-7F480AB76D66}">
      <text>
        <r>
          <rPr>
            <b/>
            <sz val="10"/>
            <color rgb="FF000000"/>
            <rFont val="Tahoma"/>
            <family val="2"/>
            <charset val="204"/>
          </rPr>
          <t>y balabaeva: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>текущий CR (усредненный янв-мар 2026)</t>
        </r>
      </text>
    </comment>
    <comment ref="F20" authorId="0" shapeId="0" xr:uid="{AE2852E0-FECF-0549-9539-239828B28E73}">
      <text>
        <r>
          <rPr>
            <b/>
            <sz val="10"/>
            <color rgb="FF000000"/>
            <rFont val="Tahoma"/>
            <family val="2"/>
            <charset val="204"/>
          </rPr>
          <t>y balabaeva: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>CR - digital канал Т</t>
        </r>
      </text>
    </comment>
    <comment ref="M20" authorId="0" shapeId="0" xr:uid="{B798A747-9A40-734E-9757-2AD8954A9146}">
      <text>
        <r>
          <rPr>
            <b/>
            <sz val="10"/>
            <color rgb="FF000000"/>
            <rFont val="Tahoma"/>
            <family val="2"/>
            <charset val="204"/>
          </rPr>
          <t>y balabaeva: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>CR - digital канал Т</t>
        </r>
      </text>
    </comment>
    <comment ref="A56" authorId="0" shapeId="0" xr:uid="{62970D95-18B8-BC42-A6D2-E8577C7A8F0C}">
      <text>
        <r>
          <rPr>
            <b/>
            <sz val="11"/>
            <color rgb="FF000000"/>
            <rFont val="+mn-lt"/>
            <charset val="1"/>
          </rPr>
          <t>y balabaeva:</t>
        </r>
        <r>
          <rPr>
            <sz val="11"/>
            <color rgb="FF000000"/>
            <rFont val="+mn-lt"/>
            <charset val="1"/>
          </rPr>
          <t xml:space="preserve">
</t>
        </r>
        <r>
          <rPr>
            <sz val="11"/>
            <color rgb="FF000000"/>
            <rFont val="+mn-lt"/>
            <charset val="1"/>
          </rPr>
          <t xml:space="preserve">расходы на </t>
        </r>
        <r>
          <rPr>
            <sz val="11"/>
            <color rgb="FF000000"/>
            <rFont val="+mn-lt"/>
            <charset val="1"/>
          </rPr>
          <t xml:space="preserve">API </t>
        </r>
        <r>
          <rPr>
            <sz val="11"/>
            <color rgb="FF000000"/>
            <rFont val="+mn-lt"/>
            <charset val="1"/>
          </rPr>
          <t xml:space="preserve">1) визиты лидов + 2) </t>
        </r>
        <r>
          <rPr>
            <sz val="11"/>
            <color rgb="FF000000"/>
            <rFont val="+mn-lt"/>
            <charset val="1"/>
          </rPr>
          <t xml:space="preserve">расходы на платящих пользователей МПСтатс + 3) расходы на НЕ платящих пользователей 
</t>
        </r>
        <r>
          <rPr>
            <sz val="11"/>
            <color rgb="FF000000"/>
            <rFont val="+mn-lt"/>
            <charset val="1"/>
          </rPr>
          <t xml:space="preserve">
</t>
        </r>
        <r>
          <rPr>
            <sz val="11"/>
            <color rgb="FF000000"/>
            <rFont val="+mn-lt"/>
            <charset val="1"/>
          </rPr>
          <t xml:space="preserve">1) </t>
        </r>
        <r>
          <rPr>
            <b/>
            <sz val="11"/>
            <color rgb="FF000000"/>
            <rFont val="+mn-lt"/>
            <charset val="1"/>
          </rPr>
          <t>расходы на визиты лидов</t>
        </r>
        <r>
          <rPr>
            <b/>
            <sz val="11"/>
            <color rgb="FF000000"/>
            <rFont val="+mn-lt"/>
            <charset val="1"/>
          </rPr>
          <t xml:space="preserve"> </t>
        </r>
        <r>
          <rPr>
            <sz val="11"/>
            <color rgb="FF000000"/>
            <rFont val="+mn-lt"/>
            <charset val="1"/>
          </rPr>
          <t xml:space="preserve">= число лидов Селлер </t>
        </r>
        <r>
          <rPr>
            <sz val="11"/>
            <color rgb="FF000000"/>
            <rFont val="+mn-lt"/>
            <charset val="1"/>
          </rPr>
          <t>* стоимость главной Селлер на 1 пользователя в 1 день</t>
        </r>
        <r>
          <rPr>
            <sz val="11"/>
            <color rgb="FF000000"/>
            <rFont val="+mn-lt"/>
            <charset val="1"/>
          </rPr>
          <t xml:space="preserve"> </t>
        </r>
        <r>
          <rPr>
            <sz val="11"/>
            <color rgb="FF000000"/>
            <rFont val="+mn-lt"/>
            <charset val="1"/>
          </rPr>
          <t xml:space="preserve">* 1 </t>
        </r>
        <r>
          <rPr>
            <sz val="11"/>
            <color rgb="FF000000"/>
            <rFont val="+mn-lt"/>
            <charset val="1"/>
          </rPr>
          <t xml:space="preserve">визит
</t>
        </r>
        <r>
          <rPr>
            <sz val="11"/>
            <color rgb="FF000000"/>
            <rFont val="+mn-lt"/>
            <charset val="1"/>
          </rPr>
          <t xml:space="preserve">2,7 р - стоимость на 1 пользователя в день от МПС на главную Селлер
</t>
        </r>
        <r>
          <rPr>
            <sz val="11"/>
            <color rgb="FF000000"/>
            <rFont val="+mn-lt"/>
            <charset val="1"/>
          </rPr>
          <t xml:space="preserve">1 заход = лид
</t>
        </r>
        <r>
          <rPr>
            <sz val="11"/>
            <color rgb="FF000000"/>
            <rFont val="+mn-lt"/>
            <charset val="1"/>
          </rPr>
          <t>35</t>
        </r>
        <r>
          <rPr>
            <sz val="11"/>
            <color rgb="FF000000"/>
            <rFont val="+mn-lt"/>
            <charset val="1"/>
          </rPr>
          <t>%</t>
        </r>
        <r>
          <rPr>
            <sz val="11"/>
            <color rgb="FF000000"/>
            <rFont val="+mn-lt"/>
            <charset val="1"/>
          </rPr>
          <t xml:space="preserve"> - </t>
        </r>
        <r>
          <rPr>
            <sz val="11"/>
            <color rgb="FF000000"/>
            <rFont val="+mn-lt"/>
            <charset val="1"/>
          </rPr>
          <t xml:space="preserve"> оставят </t>
        </r>
        <r>
          <rPr>
            <sz val="11"/>
            <color rgb="FF000000"/>
            <rFont val="+mn-lt"/>
            <charset val="1"/>
          </rPr>
          <t xml:space="preserve">API </t>
        </r>
        <r>
          <rPr>
            <sz val="11"/>
            <color rgb="FF000000"/>
            <rFont val="+mn-lt"/>
            <charset val="1"/>
          </rPr>
          <t xml:space="preserve">гипотеза роста на данных Селлера  (текущий </t>
        </r>
        <r>
          <rPr>
            <sz val="11"/>
            <color rgb="FF000000"/>
            <rFont val="+mn-lt"/>
            <charset val="1"/>
          </rPr>
          <t xml:space="preserve">CR API </t>
        </r>
        <r>
          <rPr>
            <sz val="11"/>
            <color rgb="FF000000"/>
            <rFont val="+mn-lt"/>
            <charset val="1"/>
          </rPr>
          <t>- 25</t>
        </r>
        <r>
          <rPr>
            <sz val="11"/>
            <color rgb="FF000000"/>
            <rFont val="+mn-lt"/>
            <charset val="1"/>
          </rPr>
          <t>%</t>
        </r>
        <r>
          <rPr>
            <sz val="11"/>
            <color rgb="FF000000"/>
            <rFont val="+mn-lt"/>
            <charset val="1"/>
          </rPr>
          <t>)</t>
        </r>
        <r>
          <rPr>
            <sz val="11"/>
            <color rgb="FF000000"/>
            <rFont val="+mn-lt"/>
            <charset val="1"/>
          </rPr>
          <t xml:space="preserve">
</t>
        </r>
        <r>
          <rPr>
            <sz val="11"/>
            <color rgb="FF000000"/>
            <rFont val="+mn-lt"/>
            <charset val="1"/>
          </rPr>
          <t xml:space="preserve">
</t>
        </r>
        <r>
          <rPr>
            <sz val="11"/>
            <color rgb="FF000000"/>
            <rFont val="+mn-lt"/>
            <charset val="1"/>
          </rPr>
          <t xml:space="preserve">
</t>
        </r>
        <r>
          <rPr>
            <sz val="11"/>
            <color rgb="FF000000"/>
            <rFont val="+mn-lt"/>
            <charset val="1"/>
          </rPr>
          <t xml:space="preserve">2) </t>
        </r>
        <r>
          <rPr>
            <b/>
            <sz val="11"/>
            <color rgb="FF000000"/>
            <rFont val="+mn-lt"/>
            <charset val="1"/>
          </rPr>
          <t xml:space="preserve">расходы на платящих пользователей МПСтатс </t>
        </r>
        <r>
          <rPr>
            <sz val="11"/>
            <color rgb="FF000000"/>
            <rFont val="+mn-lt"/>
            <charset val="1"/>
          </rPr>
          <t>=</t>
        </r>
        <r>
          <rPr>
            <sz val="11"/>
            <color rgb="FF000000"/>
            <rFont val="+mn-lt"/>
            <charset val="1"/>
          </rPr>
          <t xml:space="preserve">
</t>
        </r>
        <r>
          <rPr>
            <sz val="11"/>
            <color rgb="FF000000"/>
            <rFont val="+mn-lt"/>
            <charset val="1"/>
          </rPr>
          <t>число платящих пользоватлей МПС</t>
        </r>
        <r>
          <rPr>
            <sz val="11"/>
            <color rgb="FF000000"/>
            <rFont val="+mn-lt"/>
            <charset val="1"/>
          </rPr>
          <t xml:space="preserve"> (</t>
        </r>
        <r>
          <rPr>
            <sz val="11"/>
            <color rgb="FF000000"/>
            <rFont val="+mn-lt"/>
            <charset val="1"/>
          </rPr>
          <t xml:space="preserve">по сегментам по оборотам)  </t>
        </r>
        <r>
          <rPr>
            <sz val="11"/>
            <color rgb="FF000000"/>
            <rFont val="+mn-lt"/>
            <charset val="1"/>
          </rPr>
          <t xml:space="preserve">* </t>
        </r>
        <r>
          <rPr>
            <sz val="11"/>
            <color rgb="FF000000"/>
            <rFont val="+mn-lt"/>
            <charset val="1"/>
          </rPr>
          <t xml:space="preserve">ср число визитов в мес в Селлер </t>
        </r>
        <r>
          <rPr>
            <sz val="11"/>
            <color rgb="FF000000"/>
            <rFont val="+mn-lt"/>
            <charset val="1"/>
          </rPr>
          <t xml:space="preserve">* </t>
        </r>
        <r>
          <rPr>
            <sz val="11"/>
            <color rgb="FF000000"/>
            <rFont val="+mn-lt"/>
            <charset val="1"/>
          </rPr>
          <t xml:space="preserve">стоимость главной Селлер на 1 пользователя в 1 день </t>
        </r>
        <r>
          <rPr>
            <sz val="11"/>
            <color rgb="FF000000"/>
            <rFont val="+mn-lt"/>
            <charset val="1"/>
          </rPr>
          <t>* LT (</t>
        </r>
        <r>
          <rPr>
            <sz val="11"/>
            <color rgb="FF000000"/>
            <rFont val="+mn-lt"/>
            <charset val="1"/>
          </rPr>
          <t xml:space="preserve">по сегментам по оборотам)  
</t>
        </r>
        <r>
          <rPr>
            <sz val="11"/>
            <color rgb="FF000000"/>
            <rFont val="+mn-lt"/>
            <charset val="1"/>
          </rPr>
          <t xml:space="preserve">
</t>
        </r>
        <r>
          <rPr>
            <sz val="11"/>
            <color rgb="FF000000"/>
            <rFont val="+mn-lt"/>
            <charset val="1"/>
          </rPr>
          <t>2,7 р - стоимость на 1 пользователя в день от МПС на главную Селлер</t>
        </r>
        <r>
          <rPr>
            <sz val="11"/>
            <color rgb="FF000000"/>
            <rFont val="+mn-lt"/>
            <charset val="1"/>
          </rPr>
          <t xml:space="preserve">
</t>
        </r>
        <r>
          <rPr>
            <sz val="11"/>
            <color rgb="FF000000"/>
            <rFont val="+mn-lt"/>
            <charset val="1"/>
          </rPr>
          <t xml:space="preserve">9 заходов - данные Селлер (+заложен небольшой рост)
</t>
        </r>
        <r>
          <rPr>
            <sz val="11"/>
            <color rgb="FF000000"/>
            <rFont val="+mn-lt"/>
            <charset val="1"/>
          </rPr>
          <t xml:space="preserve">
</t>
        </r>
        <r>
          <rPr>
            <sz val="11"/>
            <color rgb="FF000000"/>
            <rFont val="+mn-lt"/>
            <charset val="1"/>
          </rPr>
          <t xml:space="preserve">3) </t>
        </r>
        <r>
          <rPr>
            <b/>
            <sz val="11"/>
            <color rgb="FF000000"/>
            <rFont val="+mn-lt"/>
            <charset val="1"/>
          </rPr>
          <t xml:space="preserve">расходы на НЕ платящих пользователей МПСтатс </t>
        </r>
        <r>
          <rPr>
            <sz val="11"/>
            <color rgb="FF000000"/>
            <rFont val="+mn-lt"/>
            <charset val="1"/>
          </rPr>
          <t>=</t>
        </r>
        <r>
          <rPr>
            <sz val="11"/>
            <color rgb="FF000000"/>
            <rFont val="+mn-lt"/>
            <charset val="1"/>
          </rPr>
          <t xml:space="preserve">
</t>
        </r>
        <r>
          <rPr>
            <sz val="11"/>
            <color rgb="FF000000"/>
            <rFont val="+mn-lt"/>
            <charset val="1"/>
          </rPr>
          <t xml:space="preserve">MAU </t>
        </r>
        <r>
          <rPr>
            <sz val="11"/>
            <color rgb="FF000000"/>
            <rFont val="+mn-lt"/>
            <charset val="1"/>
          </rPr>
          <t xml:space="preserve"> НЕ платящих пользоватлей МПС</t>
        </r>
        <r>
          <rPr>
            <sz val="11"/>
            <color rgb="FF000000"/>
            <rFont val="+mn-lt"/>
            <charset val="1"/>
          </rPr>
          <t xml:space="preserve"> (</t>
        </r>
        <r>
          <rPr>
            <sz val="11"/>
            <color rgb="FF000000"/>
            <rFont val="+mn-lt"/>
            <charset val="1"/>
          </rPr>
          <t xml:space="preserve">по сегментам по оборотам)  </t>
        </r>
        <r>
          <rPr>
            <sz val="11"/>
            <color rgb="FF000000"/>
            <rFont val="+mn-lt"/>
            <charset val="1"/>
          </rPr>
          <t xml:space="preserve">* </t>
        </r>
        <r>
          <rPr>
            <sz val="11"/>
            <color rgb="FF000000"/>
            <rFont val="+mn-lt"/>
            <charset val="1"/>
          </rPr>
          <t xml:space="preserve">ср число визитов в мес в Селлер </t>
        </r>
        <r>
          <rPr>
            <sz val="11"/>
            <color rgb="FF000000"/>
            <rFont val="+mn-lt"/>
            <charset val="1"/>
          </rPr>
          <t xml:space="preserve">* </t>
        </r>
        <r>
          <rPr>
            <sz val="11"/>
            <color rgb="FF000000"/>
            <rFont val="+mn-lt"/>
            <charset val="1"/>
          </rPr>
          <t xml:space="preserve">стоимость главной Селлер на 1 пользователя в 1 день </t>
        </r>
        <r>
          <rPr>
            <sz val="11"/>
            <color rgb="FF000000"/>
            <rFont val="+mn-lt"/>
            <charset val="1"/>
          </rPr>
          <t>* LT (</t>
        </r>
        <r>
          <rPr>
            <sz val="11"/>
            <color rgb="FF000000"/>
            <rFont val="+mn-lt"/>
            <charset val="1"/>
          </rPr>
          <t xml:space="preserve">по сегментам по оборотам)  
</t>
        </r>
        <r>
          <rPr>
            <sz val="11"/>
            <color rgb="FF000000"/>
            <rFont val="+mn-lt"/>
            <charset val="1"/>
          </rPr>
          <t xml:space="preserve">
</t>
        </r>
        <r>
          <rPr>
            <sz val="11"/>
            <color rgb="FF000000"/>
            <rFont val="+mn-lt"/>
            <charset val="1"/>
          </rPr>
          <t xml:space="preserve">MAU </t>
        </r>
        <r>
          <rPr>
            <sz val="11"/>
            <color rgb="FF000000"/>
            <rFont val="+mn-lt"/>
            <charset val="1"/>
          </rPr>
          <t xml:space="preserve">- взят по данным Селлера в период когда был фокус на моентизации </t>
        </r>
        <r>
          <rPr>
            <sz val="11"/>
            <color rgb="FF000000"/>
            <rFont val="+mn-lt"/>
            <charset val="1"/>
          </rPr>
          <t>~15000</t>
        </r>
        <r>
          <rPr>
            <sz val="11"/>
            <color rgb="FF000000"/>
            <rFont val="+mn-lt"/>
            <charset val="1"/>
          </rPr>
          <t xml:space="preserve">. Из них - доля с </t>
        </r>
        <r>
          <rPr>
            <sz val="11"/>
            <color rgb="FF000000"/>
            <rFont val="+mn-lt"/>
            <charset val="1"/>
          </rPr>
          <t xml:space="preserve">API </t>
        </r>
        <r>
          <rPr>
            <sz val="11"/>
            <color rgb="FF000000"/>
            <rFont val="+mn-lt"/>
            <charset val="1"/>
          </rPr>
          <t>ключом - по данным Селелра 62</t>
        </r>
        <r>
          <rPr>
            <sz val="11"/>
            <color rgb="FF000000"/>
            <rFont val="+mn-lt"/>
            <charset val="1"/>
          </rPr>
          <t xml:space="preserve">% </t>
        </r>
        <r>
          <rPr>
            <sz val="11"/>
            <color rgb="FF000000"/>
            <rFont val="+mn-lt"/>
            <charset val="1"/>
          </rPr>
          <t xml:space="preserve">на сейчас. 
</t>
        </r>
        <r>
          <rPr>
            <sz val="11"/>
            <color rgb="FF000000"/>
            <rFont val="+mn-lt"/>
            <charset val="1"/>
          </rPr>
          <t>2,7 р - стоимость на 1 пользователя в день от МПС на главную Селлер</t>
        </r>
        <r>
          <rPr>
            <sz val="11"/>
            <color rgb="FF000000"/>
            <rFont val="+mn-lt"/>
            <charset val="1"/>
          </rPr>
          <t xml:space="preserve">
</t>
        </r>
        <r>
          <rPr>
            <sz val="11"/>
            <color rgb="FF000000"/>
            <rFont val="+mn-lt"/>
            <charset val="1"/>
          </rPr>
          <t>2 заходов в мес - данные Селлер (+заложен небольшой рост)</t>
        </r>
        <r>
          <rPr>
            <sz val="11"/>
            <color rgb="FF000000"/>
            <rFont val="+mn-lt"/>
            <charset val="1"/>
          </rPr>
          <t xml:space="preserve">
</t>
        </r>
        <r>
          <rPr>
            <sz val="11"/>
            <color rgb="FF000000"/>
            <rFont val="+mn-lt"/>
            <charset val="1"/>
          </rPr>
          <t>НО</t>
        </r>
        <r>
          <rPr>
            <sz val="11"/>
            <color rgb="FF000000"/>
            <rFont val="+mn-lt"/>
            <charset val="1"/>
          </rPr>
          <t xml:space="preserve"> не учтено кол-во мес. логично взять 12 мес? тк текущая модель примерно на 1 год. </t>
        </r>
        <r>
          <rPr>
            <sz val="11"/>
            <color rgb="FF000000"/>
            <rFont val="+mn-lt"/>
            <charset val="1"/>
          </rPr>
          <t xml:space="preserve">
</t>
        </r>
        <r>
          <rPr>
            <sz val="10"/>
            <color rgb="FF000000"/>
            <rFont val="+mn-lt"/>
            <charset val="1"/>
          </rPr>
          <t xml:space="preserve">
</t>
        </r>
      </text>
    </comment>
    <comment ref="A65" authorId="0" shapeId="0" xr:uid="{719508F4-BE6C-B64D-8A5F-611D412490A7}">
      <text>
        <r>
          <rPr>
            <b/>
            <sz val="10"/>
            <color rgb="FF000000"/>
            <rFont val="Tahoma"/>
            <family val="2"/>
            <charset val="204"/>
          </rPr>
          <t>y balabaeva: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>расходы на МПС платную версию = число платящих пользователей</t>
        </r>
        <r>
          <rPr>
            <sz val="10"/>
            <color rgb="FF000000"/>
            <rFont val="Calibri"/>
            <family val="2"/>
            <scheme val="minor"/>
          </rPr>
          <t>(по сегментам по оборотам)</t>
        </r>
        <r>
          <rPr>
            <sz val="10"/>
            <color rgb="FF000000"/>
            <rFont val="Calibri"/>
            <family val="2"/>
            <scheme val="minor"/>
          </rPr>
          <t xml:space="preserve"> </t>
        </r>
        <r>
          <rPr>
            <sz val="10"/>
            <color rgb="FF000000"/>
            <rFont val="Tahoma"/>
            <family val="2"/>
            <charset val="204"/>
          </rPr>
          <t xml:space="preserve"> </t>
        </r>
        <r>
          <rPr>
            <sz val="10"/>
            <color rgb="FF000000"/>
            <rFont val="Tahoma"/>
            <family val="2"/>
            <charset val="204"/>
          </rPr>
          <t>* LT (</t>
        </r>
        <r>
          <rPr>
            <sz val="10"/>
            <color rgb="FF000000"/>
            <rFont val="Tahoma"/>
            <family val="2"/>
            <charset val="204"/>
          </rPr>
          <t xml:space="preserve">по сегментам по оборотам) </t>
        </r>
        <r>
          <rPr>
            <sz val="10"/>
            <color rgb="FF000000"/>
            <rFont val="Tahoma"/>
            <family val="2"/>
            <charset val="204"/>
          </rPr>
          <t xml:space="preserve">* </t>
        </r>
        <r>
          <rPr>
            <sz val="10"/>
            <color rgb="FF000000"/>
            <rFont val="Tahoma"/>
            <family val="2"/>
            <charset val="204"/>
          </rPr>
          <t xml:space="preserve">стоимость </t>
        </r>
        <r>
          <rPr>
            <sz val="10"/>
            <color rgb="FF000000"/>
            <rFont val="Tahoma"/>
            <family val="2"/>
            <charset val="204"/>
          </rPr>
          <t xml:space="preserve">API </t>
        </r>
        <r>
          <rPr>
            <sz val="10"/>
            <color rgb="FF000000"/>
            <rFont val="Tahoma"/>
            <family val="2"/>
            <charset val="204"/>
          </rPr>
          <t xml:space="preserve">МПСтатс на 1 патящего пользователя </t>
        </r>
        <r>
          <rPr>
            <sz val="10"/>
            <color rgb="FF000000"/>
            <rFont val="Tahoma"/>
            <family val="2"/>
            <charset val="204"/>
          </rPr>
          <t>as is</t>
        </r>
      </text>
    </comment>
    <comment ref="A71" authorId="0" shapeId="0" xr:uid="{DBFC8655-3353-264C-AFA2-6B2D221A3464}">
      <text>
        <r>
          <rPr>
            <b/>
            <sz val="10"/>
            <color rgb="FF000000"/>
            <rFont val="Tahoma"/>
            <family val="2"/>
            <charset val="204"/>
          </rPr>
          <t>y balabaeva: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>вероятно выставленеи счетов, коммуникации</t>
        </r>
      </text>
    </comment>
    <comment ref="G76" authorId="0" shapeId="0" xr:uid="{783C5354-68E1-2249-9BFB-CC87D9CCAEE0}">
      <text>
        <r>
          <rPr>
            <b/>
            <sz val="10"/>
            <color rgb="FF000000"/>
            <rFont val="Tahoma"/>
            <family val="2"/>
            <charset val="204"/>
          </rPr>
          <t>y balabaeva: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>уже получаем доход с др продуктов Банка</t>
        </r>
      </text>
    </comment>
    <comment ref="I76" authorId="0" shapeId="0" xr:uid="{AC824413-6EC5-CE41-BED0-9911EAD05B4A}">
      <text>
        <r>
          <rPr>
            <b/>
            <sz val="10"/>
            <color rgb="FF000000"/>
            <rFont val="Tahoma"/>
            <family val="2"/>
            <charset val="204"/>
          </rPr>
          <t>y balabaeva: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>из расчета на кол-во клиентво в инкременте (из бизнес модели Крины) - клиенты проснулись  в РКО из-за МПС</t>
        </r>
      </text>
    </comment>
    <comment ref="J76" authorId="0" shapeId="0" xr:uid="{64B52285-CF8D-AE43-96CA-5D86021111E9}">
      <text>
        <r>
          <rPr>
            <b/>
            <sz val="10"/>
            <color rgb="FF000000"/>
            <rFont val="Tahoma"/>
            <family val="2"/>
            <charset val="204"/>
          </rPr>
          <t>y balabaeva: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>из расчета на кол-во клиентво в инкременте (из бизнес модели Крины) - клиенты открвли  РКО из-за МПС</t>
        </r>
        <r>
          <rPr>
            <sz val="10"/>
            <color rgb="FF000000"/>
            <rFont val="Calibri"/>
            <family val="2"/>
            <scheme val="minor"/>
          </rPr>
          <t xml:space="preserve">
</t>
        </r>
      </text>
    </comment>
    <comment ref="R76" authorId="0" shapeId="0" xr:uid="{A44F1E4B-FBD3-954F-B84A-CD6C1CEA8293}">
      <text>
        <r>
          <rPr>
            <b/>
            <sz val="10"/>
            <color rgb="FF000000"/>
            <rFont val="Tahoma"/>
            <family val="2"/>
            <charset val="204"/>
          </rPr>
          <t>y balabaeva: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>гипотеза - LTV тарифов МПС выше на за счет ковенант</t>
        </r>
      </text>
    </comment>
    <comment ref="X76" authorId="0" shapeId="0" xr:uid="{001E9BE6-C0B2-8A48-AF63-9A316152719C}">
      <text>
        <r>
          <rPr>
            <b/>
            <sz val="10"/>
            <color rgb="FF000000"/>
            <rFont val="Tahoma"/>
            <family val="2"/>
            <charset val="204"/>
          </rPr>
          <t>y balabaeva: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>гипотеза - по клиентам с тарифом MPS LTV выше на 30% за счет ковенант)</t>
        </r>
      </text>
    </comment>
    <comment ref="AG76" authorId="0" shapeId="0" xr:uid="{8E05402C-80C0-5346-9BF6-29F31D9AA2A0}">
      <text>
        <r>
          <rPr>
            <b/>
            <sz val="10"/>
            <color rgb="FF000000"/>
            <rFont val="Tahoma"/>
            <family val="2"/>
            <charset val="204"/>
          </rPr>
          <t>y balabaeva: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>гипотеза - по клиентам с тарифом MPS LTV выше на 30% за счет ковенант)</t>
        </r>
      </text>
    </comment>
    <comment ref="AM76" authorId="0" shapeId="0" xr:uid="{8F42228D-0302-0542-9993-3903E07CB1EE}">
      <text>
        <r>
          <rPr>
            <b/>
            <sz val="10"/>
            <color rgb="FF000000"/>
            <rFont val="Tahoma"/>
            <family val="2"/>
            <charset val="204"/>
          </rPr>
          <t>y balabaeva: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>гипотеза - LTV тарифов МПС выше на за счет ковенант</t>
        </r>
      </text>
    </comment>
    <comment ref="I86" authorId="0" shapeId="0" xr:uid="{B471B03B-3A04-8B4F-A8A6-13285014E150}">
      <text>
        <r>
          <rPr>
            <b/>
            <sz val="10"/>
            <color rgb="FF000000"/>
            <rFont val="Tahoma"/>
            <family val="2"/>
            <charset val="204"/>
          </rPr>
          <t>y balabaeva: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>уточнить по сегменту (сейчас ср по 1 и 2 сегменту)</t>
        </r>
      </text>
    </comment>
    <comment ref="M93" authorId="0" shapeId="0" xr:uid="{CAEFCF9C-7A7B-9247-B687-7FB0705F0B42}">
      <text>
        <r>
          <rPr>
            <b/>
            <sz val="10"/>
            <color rgb="FF000000"/>
            <rFont val="Tahoma"/>
            <family val="2"/>
            <charset val="204"/>
          </rPr>
          <t xml:space="preserve">y balabaeva:
</t>
        </r>
        <r>
          <rPr>
            <sz val="10"/>
            <color rgb="FF000000"/>
            <rFont val="Tahoma"/>
            <family val="2"/>
            <charset val="204"/>
          </rPr>
          <t xml:space="preserve">as is в Селлере - 35% оплат- досписания </t>
        </r>
        <r>
          <rPr>
            <sz val="10"/>
            <color rgb="FF000000"/>
            <rFont val="Calibri"/>
            <family val="2"/>
          </rPr>
          <t>с РКО  при недостатке средств в конце мес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 xml:space="preserve">Пока предположила LT </t>
        </r>
        <r>
          <rPr>
            <sz val="10"/>
            <color rgb="FF000000"/>
            <rFont val="Calibri"/>
            <family val="2"/>
          </rPr>
          <t xml:space="preserve">экспертно  + 1 мес к LT MPS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Какк уточнить гипотезу:
</t>
        </r>
        <r>
          <rPr>
            <sz val="10"/>
            <color rgb="FF000000"/>
            <rFont val="Calibri"/>
            <family val="2"/>
          </rPr>
          <t xml:space="preserve">1) как изменилось LT в Селлере после фичи досписания? (если не было запущено так изначлаьно)
</t>
        </r>
        <r>
          <rPr>
            <sz val="10"/>
            <color rgb="FF000000"/>
            <rFont val="Calibri"/>
            <family val="2"/>
          </rPr>
          <t xml:space="preserve">2) Бенчи
</t>
        </r>
      </text>
    </comment>
    <comment ref="M140" authorId="0" shapeId="0" xr:uid="{25A461A3-18A2-AF47-9E75-540CF20F62E8}">
      <text>
        <r>
          <rPr>
            <b/>
            <sz val="10"/>
            <color rgb="FF000000"/>
            <rFont val="Tahoma"/>
            <family val="2"/>
            <charset val="204"/>
          </rPr>
          <t>y balabaeva: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>Карина - уточнит как ковенанты влияют на LTV в др продуктах Т</t>
        </r>
      </text>
    </comment>
    <comment ref="S140" authorId="0" shapeId="0" xr:uid="{6E6F1868-A307-0943-85F7-B91A9DF77BC0}">
      <text>
        <r>
          <rPr>
            <b/>
            <sz val="10"/>
            <color rgb="FF000000"/>
            <rFont val="Tahoma"/>
            <family val="2"/>
            <charset val="204"/>
          </rPr>
          <t>y balabaeva: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>Карина - уточнит как ковенанты влияют на LTV в др продуктах Т</t>
        </r>
      </text>
    </comment>
    <comment ref="AB140" authorId="0" shapeId="0" xr:uid="{03A77C18-A268-754A-AF48-7162D72B291B}">
      <text>
        <r>
          <rPr>
            <b/>
            <sz val="10"/>
            <color rgb="FF000000"/>
            <rFont val="Tahoma"/>
            <family val="2"/>
            <charset val="204"/>
          </rPr>
          <t>y balabaeva: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>Карина - уточнит как ковенанты влияют на LTV в др продуктах Т</t>
        </r>
      </text>
    </comment>
    <comment ref="AH140" authorId="0" shapeId="0" xr:uid="{BBD9FF25-BA3B-8E45-8067-70F6F4482CD8}">
      <text>
        <r>
          <rPr>
            <b/>
            <sz val="10"/>
            <color rgb="FF000000"/>
            <rFont val="Tahoma"/>
            <family val="2"/>
            <charset val="204"/>
          </rPr>
          <t>y balabaeva: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>Карина - уточнит как ковенанты влияют на LTV в др продуктах Т</t>
        </r>
      </text>
    </comment>
    <comment ref="A147" authorId="0" shapeId="0" xr:uid="{8E87E153-768D-DC4F-84A0-03B3A69A29A1}">
      <text>
        <r>
          <rPr>
            <b/>
            <sz val="10"/>
            <color rgb="FF000000"/>
            <rFont val="Tahoma"/>
            <family val="2"/>
            <charset val="204"/>
          </rPr>
          <t>y balabaeva: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если будет внешний маркетинг - ср 3 млн на медиа и тг каналы . внутренний маркетинг (почта, пуши и пр)  считается бесплатным каналом
</t>
        </r>
      </text>
    </comment>
    <comment ref="K147" authorId="0" shapeId="0" xr:uid="{A30066AD-E7CA-474D-91F1-5095C43BA93C}">
      <text>
        <r>
          <rPr>
            <b/>
            <sz val="10"/>
            <color rgb="FF000000"/>
            <rFont val="Tahoma"/>
            <family val="2"/>
            <charset val="204"/>
          </rPr>
          <t>y balabaeva: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>гипотеза - если будет внешний маркетинг (3 млн на медиа и тг каналы). внутренний маркетинг считается бесплатным каналом</t>
        </r>
      </text>
    </comment>
    <comment ref="R147" authorId="0" shapeId="0" xr:uid="{9DE70098-FDC8-F044-A888-33F687BE06E5}">
      <text>
        <r>
          <rPr>
            <b/>
            <sz val="10"/>
            <color rgb="FF000000"/>
            <rFont val="Tahoma"/>
            <family val="2"/>
            <charset val="204"/>
          </rPr>
          <t>y balabaeva: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>гипотеза - если будет внешний маркетинг (3 млн на медиа и тг каналы). внутренний маркетинг считается бесплатным каналом</t>
        </r>
      </text>
    </comment>
    <comment ref="X147" authorId="0" shapeId="0" xr:uid="{E3706739-5644-6040-AA6F-7D31038B0692}">
      <text>
        <r>
          <rPr>
            <b/>
            <sz val="10"/>
            <color rgb="FF000000"/>
            <rFont val="Tahoma"/>
            <family val="2"/>
            <charset val="204"/>
          </rPr>
          <t>y balabaeva: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>гипотеза - если будет внешний маркетинг (3 млн на медиа и тг каналы). внутренний маркетинг считается бесплатным каналом</t>
        </r>
      </text>
    </comment>
    <comment ref="AG147" authorId="0" shapeId="0" xr:uid="{C1619942-D108-E145-8EFA-06779B6471B5}">
      <text>
        <r>
          <rPr>
            <b/>
            <sz val="10"/>
            <color rgb="FF000000"/>
            <rFont val="Tahoma"/>
            <family val="2"/>
            <charset val="204"/>
          </rPr>
          <t>y balabaeva: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>гипотеза - если будет внешний маркетинг (3 млн на медиа и тг каналы). внутренний маркетинг считается бесплатным каналом</t>
        </r>
      </text>
    </comment>
    <comment ref="AM147" authorId="0" shapeId="0" xr:uid="{BC373F1E-29A4-A44D-AB40-A4313D62D1E4}">
      <text>
        <r>
          <rPr>
            <b/>
            <sz val="10"/>
            <color rgb="FF000000"/>
            <rFont val="Tahoma"/>
            <family val="2"/>
            <charset val="204"/>
          </rPr>
          <t>y balabaeva: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>гипотеза - если будет внешний маркетинг (3 млн на медиа и тг каналы). внутренний маркетинг считается бесплатным каналом</t>
        </r>
      </text>
    </comment>
    <comment ref="A149" authorId="0" shapeId="0" xr:uid="{7E80EB1E-8FF8-E048-94D7-2CB85618A4FA}">
      <text>
        <r>
          <rPr>
            <b/>
            <sz val="10"/>
            <color rgb="FF000000"/>
            <rFont val="Tahoma"/>
            <family val="2"/>
            <charset val="204"/>
          </rPr>
          <t>y balabaeva: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>предположение</t>
        </r>
      </text>
    </comment>
    <comment ref="G149" authorId="0" shapeId="0" xr:uid="{75B32B63-6E70-FC48-BBFE-46A7E15876C9}">
      <text>
        <r>
          <rPr>
            <b/>
            <sz val="10"/>
            <color rgb="FF000000"/>
            <rFont val="Tahoma"/>
            <family val="2"/>
            <charset val="204"/>
          </rPr>
          <t>y balabaeva: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>предположение: из 14 дней пользователь в ср будет посещать сервис 4 дн</t>
        </r>
      </text>
    </comment>
    <comment ref="N149" authorId="0" shapeId="0" xr:uid="{ED048A97-4D3F-A740-932A-89D32F13435D}">
      <text>
        <r>
          <rPr>
            <b/>
            <sz val="10"/>
            <color rgb="FF000000"/>
            <rFont val="Tahoma"/>
            <family val="2"/>
            <charset val="204"/>
          </rPr>
          <t>y balabaeva: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>предположение: из 14 дней пользователь в ср будет посещать сервис 4 дн</t>
        </r>
      </text>
    </comment>
    <comment ref="T149" authorId="0" shapeId="0" xr:uid="{891AD90A-780B-9746-ABCA-7001EE56131D}">
      <text>
        <r>
          <rPr>
            <b/>
            <sz val="10"/>
            <color rgb="FF000000"/>
            <rFont val="Tahoma"/>
            <family val="2"/>
            <charset val="204"/>
          </rPr>
          <t>y balabaeva: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>предположение: из 14 дней пользователь в ср будет посещать сервис 4 дн</t>
        </r>
      </text>
    </comment>
    <comment ref="AC149" authorId="0" shapeId="0" xr:uid="{86F84E68-D7AF-DB44-8C63-0CB9ADABBC75}">
      <text>
        <r>
          <rPr>
            <b/>
            <sz val="10"/>
            <color rgb="FF000000"/>
            <rFont val="Tahoma"/>
            <family val="2"/>
            <charset val="204"/>
          </rPr>
          <t>y balabaeva: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>предположение: из 14 дней пользователь в ср будет посещать сервис 4 дн</t>
        </r>
      </text>
    </comment>
    <comment ref="AI149" authorId="0" shapeId="0" xr:uid="{E2332151-5DC9-0649-A5EA-DDE36BA21D6D}">
      <text>
        <r>
          <rPr>
            <b/>
            <sz val="10"/>
            <color rgb="FF000000"/>
            <rFont val="Tahoma"/>
            <family val="2"/>
            <charset val="204"/>
          </rPr>
          <t>y balabaeva: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>предположение: из 14 дней пользователь в ср будет посещать сервис 4 дн</t>
        </r>
      </text>
    </comment>
    <comment ref="A153" authorId="0" shapeId="0" xr:uid="{6D9439FC-7B2C-7B45-9096-C84B4385F3F3}">
      <text>
        <r>
          <rPr>
            <b/>
            <sz val="10"/>
            <color rgb="FF000000"/>
            <rFont val="Tahoma"/>
            <family val="2"/>
            <charset val="204"/>
          </rPr>
          <t>y balabaeva: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 xml:space="preserve">2,7 р - стоимость на 1 пользователя в день от МПС на главную Селлер
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>9 заходов - данные Селлер (заложен небольшой рост)</t>
        </r>
      </text>
    </comment>
    <comment ref="G153" authorId="0" shapeId="0" xr:uid="{C94AEB46-16DE-2D45-B048-30FA1D952826}">
      <text>
        <r>
          <rPr>
            <b/>
            <sz val="10"/>
            <color rgb="FF000000"/>
            <rFont val="Tahoma"/>
            <family val="2"/>
            <charset val="204"/>
          </rPr>
          <t>y balabaeva: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 xml:space="preserve">знаем что главная будет обходиться примерно 2.7 р в день на 1 пользователя. предполагаем что платящие будут посещать 9 дней в мес. итого 2.7*9
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 xml:space="preserve">as is Селлер ср заходы на 1 платящего - 7,69. гипотеза - рос 20%, 9. </t>
        </r>
      </text>
    </comment>
    <comment ref="A154" authorId="0" shapeId="0" xr:uid="{D46B41E2-01B9-CF4A-95D3-CA93DB90C179}">
      <text>
        <r>
          <rPr>
            <b/>
            <sz val="10"/>
            <color rgb="FF000000"/>
            <rFont val="Tahoma"/>
            <family val="2"/>
            <charset val="204"/>
          </rPr>
          <t>y balabaeva: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+mn-lt"/>
            <charset val="1"/>
          </rPr>
          <t xml:space="preserve">2,7 р - стоимость на 1 пользователя в день от МПС на главную Селлер
</t>
        </r>
        <r>
          <rPr>
            <sz val="10"/>
            <color rgb="FF000000"/>
            <rFont val="+mn-lt"/>
            <charset val="1"/>
          </rPr>
          <t xml:space="preserve">
</t>
        </r>
        <r>
          <rPr>
            <sz val="10"/>
            <color rgb="FF000000"/>
            <rFont val="+mn-lt"/>
            <charset val="1"/>
          </rPr>
          <t xml:space="preserve">2 заходов - данные Селлер (заложен небольшой рост)
</t>
        </r>
      </text>
    </comment>
    <comment ref="G154" authorId="0" shapeId="0" xr:uid="{D13D050B-EEB0-8441-B1AF-BFC839F71A84}">
      <text>
        <r>
          <rPr>
            <b/>
            <sz val="10"/>
            <color rgb="FF000000"/>
            <rFont val="Tahoma"/>
            <family val="2"/>
            <charset val="204"/>
          </rPr>
          <t>y balabaeva: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 xml:space="preserve">знаем что главная будет обходиться примерно 2.7 р в день на 1 пользователя. предполагаем что лиды не платящие в ср зайдут в Селлер 2 раза  
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>As Is  в Селлер: среднее число заходов в Селлер в месяц на 1 неплатящего пользователя - 1,73 раза</t>
        </r>
        <r>
          <rPr>
            <sz val="10"/>
            <color rgb="FF000000"/>
            <rFont val="Calibri"/>
            <family val="2"/>
          </rPr>
          <t xml:space="preserve"> гипотеза - рост 20%, 2. </t>
        </r>
      </text>
    </comment>
    <comment ref="G155" authorId="0" shapeId="0" xr:uid="{43957DB0-5E13-814A-9052-2AA98158A441}">
      <text>
        <r>
          <rPr>
            <b/>
            <sz val="10"/>
            <color rgb="FF000000"/>
            <rFont val="Tahoma"/>
            <family val="2"/>
            <charset val="204"/>
          </rPr>
          <t>y balabaeva: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>знаем что главная будет обходиться примерно 2.7 р в день на 1 пользователя</t>
        </r>
      </text>
    </comment>
    <comment ref="A156" authorId="0" shapeId="0" xr:uid="{88CD5459-3992-C74C-8C32-5A3420A4FDA4}">
      <text>
        <r>
          <rPr>
            <b/>
            <sz val="10"/>
            <color rgb="FF000000"/>
            <rFont val="Tahoma"/>
            <family val="2"/>
            <charset val="204"/>
          </rPr>
          <t>y balabaeva: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>гипотеза на данных Селлера AS IS  - 25% оставляют АПИ</t>
        </r>
        <r>
          <rPr>
            <sz val="10"/>
            <color rgb="FF000000"/>
            <rFont val="Calibri"/>
            <family val="2"/>
            <scheme val="minor"/>
          </rPr>
          <t xml:space="preserve">
</t>
        </r>
      </text>
    </comment>
    <comment ref="A157" authorId="0" shapeId="0" xr:uid="{655050CD-0495-A648-9CB1-9729781C8416}">
      <text>
        <r>
          <rPr>
            <b/>
            <sz val="10"/>
            <color rgb="FF000000"/>
            <rFont val="Tahoma"/>
            <family val="2"/>
            <charset val="204"/>
          </rPr>
          <t>y balabaeva: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>на данных Селлера</t>
        </r>
      </text>
    </comment>
    <comment ref="A178" authorId="0" shapeId="0" xr:uid="{EC5A342B-48D8-D94A-8C85-B1C6D8729CE6}">
      <text>
        <r>
          <rPr>
            <b/>
            <sz val="10"/>
            <color rgb="FF000000"/>
            <rFont val="Tahoma"/>
            <family val="2"/>
            <charset val="204"/>
          </rPr>
          <t>y balabaeva: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>тут по названию - расходы на коммуникации , повторное выставление счетов</t>
        </r>
      </text>
    </comment>
    <comment ref="G181" authorId="0" shapeId="0" xr:uid="{1949140B-B1D5-464F-A80F-F3B76936074A}">
      <text>
        <r>
          <rPr>
            <b/>
            <sz val="10"/>
            <color rgb="FF000000"/>
            <rFont val="Tahoma"/>
            <family val="2"/>
            <charset val="204"/>
          </rPr>
          <t>y balabaeva: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>предположение (на основе стоимсти API в мес на 1 платящего) - 212 р в мес /10 дней (предположение: ср посещение платного пользователя) = 21 р</t>
        </r>
      </text>
    </comment>
    <comment ref="N181" authorId="0" shapeId="0" xr:uid="{F1F8BE28-E28A-DA45-B943-4DF296BB6CA2}">
      <text>
        <r>
          <rPr>
            <b/>
            <sz val="10"/>
            <color rgb="FF000000"/>
            <rFont val="Tahoma"/>
            <family val="2"/>
            <charset val="204"/>
          </rPr>
          <t>y balabaeva: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>предположение (на основе стоимсти API в мес на 1 платящего) - 212 р в мес /10 дней (предположение: ср посещение платного пользователя) = 21 р</t>
        </r>
      </text>
    </comment>
    <comment ref="T181" authorId="0" shapeId="0" xr:uid="{FD6547C4-0BE9-F148-8A73-66780F573402}">
      <text>
        <r>
          <rPr>
            <b/>
            <sz val="10"/>
            <color rgb="FF000000"/>
            <rFont val="Tahoma"/>
            <family val="2"/>
            <charset val="204"/>
          </rPr>
          <t>y balabaeva: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>предположение (на основе стоимсти API в мес на 1 платящего) - 212 р в мес /10 дней (предположение: ср посещение платного пользователя) = 21 р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y balabaeva</author>
  </authors>
  <commentList>
    <comment ref="E4" authorId="0" shapeId="0" xr:uid="{E90FBED1-83A9-A049-9DB8-2373D81F7CC7}">
      <text>
        <r>
          <rPr>
            <b/>
            <sz val="10"/>
            <color rgb="FF000000"/>
            <rFont val="Tahoma"/>
            <family val="2"/>
            <charset val="204"/>
          </rPr>
          <t>y balabaeva: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>учтено 3 млн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y balabaeva</author>
  </authors>
  <commentList>
    <comment ref="Q1" authorId="0" shapeId="0" xr:uid="{224B28C4-6300-6846-A35D-81441DAA7169}">
      <text>
        <r>
          <rPr>
            <b/>
            <sz val="10"/>
            <color rgb="FF000000"/>
            <rFont val="Tahoma"/>
            <family val="2"/>
            <charset val="204"/>
          </rPr>
          <t>y balabaeva: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>не похоже на правду</t>
        </r>
      </text>
    </comment>
    <comment ref="X38" authorId="0" shapeId="0" xr:uid="{83EB5595-07CC-6742-92C4-426607E0A5C0}">
      <text>
        <r>
          <rPr>
            <b/>
            <sz val="10"/>
            <color rgb="FF000000"/>
            <rFont val="Tahoma"/>
            <family val="2"/>
            <charset val="204"/>
          </rPr>
          <t>y balabaeva: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>не похоже на правду</t>
        </r>
        <r>
          <rPr>
            <sz val="10"/>
            <color rgb="FF000000"/>
            <rFont val="Calibri"/>
            <family val="2"/>
            <scheme val="minor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>- маловероятно что все купят Бизнес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y balabaeva</author>
  </authors>
  <commentList>
    <comment ref="B12" authorId="0" shapeId="0" xr:uid="{7B526265-0AAC-F643-B4E6-FD4F7B676F22}">
      <text>
        <r>
          <rPr>
            <b/>
            <sz val="10"/>
            <color rgb="FF000000"/>
            <rFont val="Tahoma"/>
            <family val="2"/>
            <charset val="204"/>
          </rPr>
          <t>y balabaeva: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>обновить от МПС</t>
        </r>
      </text>
    </comment>
    <comment ref="A20" authorId="0" shapeId="0" xr:uid="{27F91528-2CB2-3440-9A3E-A6746DB832C0}">
      <text>
        <r>
          <rPr>
            <b/>
            <sz val="10"/>
            <color rgb="FF000000"/>
            <rFont val="Tahoma"/>
            <family val="2"/>
            <charset val="204"/>
          </rPr>
          <t>y balabaeva: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>скорректировано - -меньше исзначального плана</t>
        </r>
      </text>
    </comment>
    <comment ref="B34" authorId="0" shapeId="0" xr:uid="{CFC8883E-8B5F-7545-8665-235328ADA247}">
      <text>
        <r>
          <rPr>
            <b/>
            <sz val="10"/>
            <color rgb="FF000000"/>
            <rFont val="Tahoma"/>
            <family val="2"/>
            <charset val="204"/>
          </rPr>
          <t>y balabaeva: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 xml:space="preserve">тех поддержку </t>
        </r>
        <r>
          <rPr>
            <sz val="10"/>
            <color rgb="FF000000"/>
            <rFont val="Tahoma"/>
            <family val="2"/>
            <charset val="204"/>
          </rPr>
          <t xml:space="preserve">b FGB - </t>
        </r>
        <r>
          <rPr>
            <sz val="10"/>
            <color rgb="FF000000"/>
            <rFont val="Tahoma"/>
            <family val="2"/>
            <charset val="204"/>
          </rPr>
          <t>сюда перенесла</t>
        </r>
      </text>
    </comment>
    <comment ref="C65" authorId="0" shapeId="0" xr:uid="{EAEFBF99-96C5-4449-A604-0591CCE3095C}">
      <text>
        <r>
          <rPr>
            <b/>
            <sz val="10"/>
            <color rgb="FF000000"/>
            <rFont val="Tahoma"/>
            <family val="2"/>
            <charset val="204"/>
          </rPr>
          <t>y balabaeva: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 xml:space="preserve">еще нужно наложить - срок получения вознаграждени за лидген Т 
</t>
        </r>
        <r>
          <rPr>
            <sz val="10"/>
            <color rgb="FF000000"/>
            <rFont val="Tahoma"/>
            <family val="2"/>
            <charset val="204"/>
          </rPr>
          <t>и отдельно понять % МПС для догвоора и реальную долю МПС</t>
        </r>
      </text>
    </comment>
    <comment ref="B139" authorId="0" shapeId="0" xr:uid="{D3BF86A6-9072-CF41-98F2-DC95CE75F098}">
      <text>
        <r>
          <rPr>
            <b/>
            <sz val="10"/>
            <color rgb="FF000000"/>
            <rFont val="Tahoma"/>
            <family val="2"/>
            <charset val="204"/>
          </rPr>
          <t>y balabaeva: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>тут нужно уточнять ср кол-во мес в первой оплате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y balabaeva</author>
  </authors>
  <commentList>
    <comment ref="A17" authorId="0" shapeId="0" xr:uid="{73F2FA6B-46D8-42E4-A054-CE968F88EE62}">
      <text>
        <r>
          <rPr>
            <b/>
            <sz val="10"/>
            <color rgb="FF000000"/>
            <rFont val="Tahoma"/>
            <family val="2"/>
            <charset val="204"/>
          </rPr>
          <t>y balabaeva: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>скорректировано - -меньше исзначального плана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y balabaeva</author>
  </authors>
  <commentList>
    <comment ref="A17" authorId="0" shapeId="0" xr:uid="{E6E78CED-8029-1440-8E64-E4539462A3F6}">
      <text>
        <r>
          <rPr>
            <b/>
            <sz val="10"/>
            <color rgb="FF000000"/>
            <rFont val="Tahoma"/>
            <family val="2"/>
            <charset val="204"/>
          </rPr>
          <t>y balabaeva: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>скорректировано - -меньше исзначального плана</t>
        </r>
      </text>
    </comment>
    <comment ref="C26" authorId="0" shapeId="0" xr:uid="{6DFEC5C2-37C5-4941-8E98-343C801C5F87}">
      <text>
        <r>
          <rPr>
            <b/>
            <sz val="10"/>
            <color rgb="FF000000"/>
            <rFont val="Tahoma"/>
            <family val="2"/>
            <charset val="204"/>
          </rPr>
          <t>y balabaeva: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>увеличила маржинальность</t>
        </r>
      </text>
    </comment>
    <comment ref="B31" authorId="0" shapeId="0" xr:uid="{B97D36BE-BA90-B84A-91E8-F0B260DF26F8}">
      <text>
        <r>
          <rPr>
            <b/>
            <sz val="10"/>
            <color rgb="FF000000"/>
            <rFont val="Tahoma"/>
            <family val="2"/>
            <charset val="204"/>
          </rPr>
          <t>y balabaeva: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 xml:space="preserve">тех поддержку </t>
        </r>
        <r>
          <rPr>
            <sz val="10"/>
            <color rgb="FF000000"/>
            <rFont val="Tahoma"/>
            <family val="2"/>
            <charset val="204"/>
          </rPr>
          <t xml:space="preserve">b FGB - </t>
        </r>
        <r>
          <rPr>
            <sz val="10"/>
            <color rgb="FF000000"/>
            <rFont val="Tahoma"/>
            <family val="2"/>
            <charset val="204"/>
          </rPr>
          <t>сюда перенесла</t>
        </r>
      </text>
    </comment>
    <comment ref="C59" authorId="0" shapeId="0" xr:uid="{B6CC775D-CFC9-3348-936D-F49DEEF1AAAD}">
      <text>
        <r>
          <rPr>
            <b/>
            <sz val="10"/>
            <color rgb="FF000000"/>
            <rFont val="Tahoma"/>
            <family val="2"/>
            <charset val="204"/>
          </rPr>
          <t>y balabaeva: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 xml:space="preserve">еще нужно наложить - срок получения вознаграждени за лидген Т 
</t>
        </r>
        <r>
          <rPr>
            <sz val="10"/>
            <color rgb="FF000000"/>
            <rFont val="Tahoma"/>
            <family val="2"/>
            <charset val="204"/>
          </rPr>
          <t xml:space="preserve">и отдельно понять </t>
        </r>
        <r>
          <rPr>
            <sz val="10"/>
            <color rgb="FF000000"/>
            <rFont val="Tahoma"/>
            <family val="2"/>
            <charset val="204"/>
          </rPr>
          <t>%</t>
        </r>
        <r>
          <rPr>
            <sz val="10"/>
            <color rgb="FF000000"/>
            <rFont val="Tahoma"/>
            <family val="2"/>
            <charset val="204"/>
          </rPr>
          <t xml:space="preserve"> МПС для догвоора и реальную долю МПС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y balabaeva</author>
  </authors>
  <commentList>
    <comment ref="A17" authorId="0" shapeId="0" xr:uid="{1298DF29-27AD-CA4B-BE4B-C5B32A0289EE}">
      <text>
        <r>
          <rPr>
            <b/>
            <sz val="10"/>
            <color rgb="FF000000"/>
            <rFont val="Tahoma"/>
            <family val="2"/>
            <charset val="204"/>
          </rPr>
          <t>y balabaeva: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>скорректировано - -меньше исзначального плана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y balabaeva</author>
  </authors>
  <commentList>
    <comment ref="A17" authorId="0" shapeId="0" xr:uid="{A0E9CEEF-6888-431D-A35A-C25E0B7BE463}">
      <text>
        <r>
          <rPr>
            <b/>
            <sz val="10"/>
            <color rgb="FF000000"/>
            <rFont val="Tahoma"/>
            <family val="2"/>
            <charset val="204"/>
          </rPr>
          <t>y balabaeva: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>скорректировано - -меньше исзначального плана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y balabaeva</author>
  </authors>
  <commentList>
    <comment ref="E39" authorId="0" shapeId="0" xr:uid="{002C725F-2B52-8846-BF21-9DAE9194F2A6}">
      <text>
        <r>
          <rPr>
            <b/>
            <sz val="10"/>
            <color rgb="FF000000"/>
            <rFont val="Tahoma"/>
            <family val="2"/>
            <charset val="204"/>
          </rPr>
          <t>y balabaeva: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сил тратим меньше, но в любом случае нужно поддерживать в нашем приложение какое то получение подписки от мпстатс + передачу ковенант и тд - срезаем </t>
        </r>
        <r>
          <rPr>
            <sz val="10"/>
            <color rgb="FF000000"/>
            <rFont val="Calibri"/>
            <family val="2"/>
          </rPr>
          <t>50%</t>
        </r>
      </text>
    </comment>
    <comment ref="E49" authorId="0" shapeId="0" xr:uid="{5BA5A0DC-4F54-104B-9E23-28D3C4CA9B73}">
      <text>
        <r>
          <rPr>
            <b/>
            <sz val="10"/>
            <color rgb="FF000000"/>
            <rFont val="Tahoma"/>
            <family val="2"/>
            <charset val="204"/>
          </rPr>
          <t>y balabaeva: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Calibri"/>
            <family val="2"/>
          </rPr>
          <t>сил тратим меньше, но в любом случае нужно поддерживать в нашем приложение какое то получение подписки от мпстатс + передачу ковенант и тд - срезаем 50%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y balabaeva</author>
  </authors>
  <commentList>
    <comment ref="A4" authorId="0" shapeId="0" xr:uid="{105C3E30-42A0-2742-A9CC-937AB29025DA}">
      <text>
        <r>
          <rPr>
            <b/>
            <sz val="11"/>
            <color rgb="FF000000"/>
            <rFont val="+mn-lt"/>
            <charset val="1"/>
          </rPr>
          <t>y balabaeva:</t>
        </r>
        <r>
          <rPr>
            <sz val="11"/>
            <color rgb="FF000000"/>
            <rFont val="+mn-lt"/>
            <charset val="1"/>
          </rPr>
          <t xml:space="preserve">
</t>
        </r>
        <r>
          <rPr>
            <sz val="11"/>
            <color rgb="FF000000"/>
            <rFont val="+mn-lt"/>
            <charset val="1"/>
          </rPr>
          <t xml:space="preserve">расходы на API 1) визиты лидов + 2) расходы на платящих пользователей МПСтатс + 3) расходы на НЕ платящих пользователей 
</t>
        </r>
        <r>
          <rPr>
            <sz val="11"/>
            <color rgb="FF000000"/>
            <rFont val="+mn-lt"/>
            <charset val="1"/>
          </rPr>
          <t xml:space="preserve">
</t>
        </r>
        <r>
          <rPr>
            <sz val="11"/>
            <color rgb="FF000000"/>
            <rFont val="+mn-lt"/>
            <charset val="1"/>
          </rPr>
          <t xml:space="preserve">1) </t>
        </r>
        <r>
          <rPr>
            <b/>
            <sz val="11"/>
            <color rgb="FF000000"/>
            <rFont val="+mn-lt"/>
            <charset val="1"/>
          </rPr>
          <t xml:space="preserve">расходы на визиты Селлер лидов </t>
        </r>
        <r>
          <rPr>
            <sz val="11"/>
            <color rgb="FF000000"/>
            <rFont val="+mn-lt"/>
            <charset val="1"/>
          </rPr>
          <t xml:space="preserve">= число лидов Селлер * стоимость главной Селлер на 1 пользователя в 1 день * 1 визит
</t>
        </r>
        <r>
          <rPr>
            <sz val="11"/>
            <color rgb="FF000000"/>
            <rFont val="+mn-lt"/>
            <charset val="1"/>
          </rPr>
          <t xml:space="preserve">2,7 р - стоимость на 1 пользователя в день от МПС на главную Селлер
</t>
        </r>
        <r>
          <rPr>
            <sz val="11"/>
            <color rgb="FF000000"/>
            <rFont val="+mn-lt"/>
            <charset val="1"/>
          </rPr>
          <t xml:space="preserve">1 заход = лид
</t>
        </r>
        <r>
          <rPr>
            <sz val="11"/>
            <color rgb="FF000000"/>
            <rFont val="+mn-lt"/>
            <charset val="1"/>
          </rPr>
          <t xml:space="preserve">35% -  оставят API гипотеза роста на данных Селлера  (текущий CR API - 25%)
</t>
        </r>
        <r>
          <rPr>
            <sz val="11"/>
            <color rgb="FF000000"/>
            <rFont val="+mn-lt"/>
            <charset val="1"/>
          </rPr>
          <t xml:space="preserve">
</t>
        </r>
        <r>
          <rPr>
            <sz val="11"/>
            <color rgb="FF000000"/>
            <rFont val="+mn-lt"/>
            <charset val="1"/>
          </rPr>
          <t xml:space="preserve">2) </t>
        </r>
        <r>
          <rPr>
            <b/>
            <sz val="11"/>
            <color rgb="FF000000"/>
            <rFont val="+mn-lt"/>
            <charset val="1"/>
          </rPr>
          <t xml:space="preserve">расходы на главную Селлер  (платящих + НЕ платящих пользователей МПСтатс) </t>
        </r>
        <r>
          <rPr>
            <sz val="11"/>
            <color rgb="FF000000"/>
            <rFont val="+mn-lt"/>
            <charset val="1"/>
          </rPr>
          <t xml:space="preserve">=
</t>
        </r>
        <r>
          <rPr>
            <sz val="11"/>
            <color rgb="FF000000"/>
            <rFont val="+mn-lt"/>
            <charset val="1"/>
          </rPr>
          <t xml:space="preserve">MAU гипотеза * </t>
        </r>
        <r>
          <rPr>
            <sz val="11"/>
            <color rgb="FF000000"/>
            <rFont val="Calibri"/>
            <family val="2"/>
          </rPr>
          <t xml:space="preserve">* стоимость главной Селлер на 1 пользователя в 1 день * </t>
        </r>
        <r>
          <rPr>
            <sz val="11"/>
            <color rgb="FF000000"/>
            <rFont val="+mn-lt"/>
            <charset val="1"/>
          </rPr>
          <t xml:space="preserve">ср число визитов в мес в Селлер * 12 мес
</t>
        </r>
        <r>
          <rPr>
            <sz val="11"/>
            <color rgb="FF000000"/>
            <rFont val="+mn-lt"/>
            <charset val="1"/>
          </rPr>
          <t xml:space="preserve">
</t>
        </r>
        <r>
          <rPr>
            <sz val="11"/>
            <color rgb="FF000000"/>
            <rFont val="+mn-lt"/>
            <charset val="1"/>
          </rPr>
          <t xml:space="preserve">MAU - взят по данным Селлера в период когда был фокус на моентизации ~15000. Из них - доля с API ключом - по данным Селелра 62% на сейчас. 
</t>
        </r>
        <r>
          <rPr>
            <sz val="11"/>
            <color rgb="FF000000"/>
            <rFont val="+mn-lt"/>
            <charset val="1"/>
          </rPr>
          <t xml:space="preserve">2,7 р - стоимость на 1 пользователя в день от МПС на главную Селлер
</t>
        </r>
        <r>
          <rPr>
            <sz val="11"/>
            <color rgb="FF000000"/>
            <rFont val="+mn-lt"/>
            <charset val="1"/>
          </rPr>
          <t xml:space="preserve">2 заходов в мес - данные Селлер (+заложен небольшой рост)
</t>
        </r>
        <r>
          <rPr>
            <sz val="11"/>
            <color rgb="FF000000"/>
            <rFont val="+mn-lt"/>
            <charset val="1"/>
          </rPr>
          <t xml:space="preserve">
</t>
        </r>
      </text>
    </comment>
    <comment ref="A5" authorId="0" shapeId="0" xr:uid="{6D3732FC-349F-4A4C-AD29-3B2B0AB2132F}">
      <text>
        <r>
          <rPr>
            <b/>
            <sz val="10"/>
            <color rgb="FF000000"/>
            <rFont val="Tahoma"/>
            <family val="2"/>
            <charset val="204"/>
          </rPr>
          <t>y balabaeva: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>расходы на МПС платную версию = число платящих пользователей</t>
        </r>
        <r>
          <rPr>
            <sz val="10"/>
            <color rgb="FF000000"/>
            <rFont val="Calibri"/>
            <family val="2"/>
          </rPr>
          <t xml:space="preserve">(по сегментам по оборотам) </t>
        </r>
        <r>
          <rPr>
            <sz val="10"/>
            <color rgb="FF000000"/>
            <rFont val="Tahoma"/>
            <family val="2"/>
            <charset val="204"/>
          </rPr>
          <t xml:space="preserve"> * LT (по сегментам по оборотам) * стоимость API МПСтатс на 1 патящего пользователя as is</t>
        </r>
      </text>
    </comment>
    <comment ref="A8" authorId="0" shapeId="0" xr:uid="{21BEBD10-C661-A54C-A25A-86C2D88FB8BB}">
      <text>
        <r>
          <rPr>
            <b/>
            <sz val="11"/>
            <color rgb="FF000000"/>
            <rFont val="+mn-lt"/>
            <charset val="1"/>
          </rPr>
          <t>y balabaeva:</t>
        </r>
        <r>
          <rPr>
            <sz val="11"/>
            <color rgb="FF000000"/>
            <rFont val="+mn-lt"/>
            <charset val="1"/>
          </rPr>
          <t xml:space="preserve">
</t>
        </r>
        <r>
          <rPr>
            <sz val="11"/>
            <color rgb="FF000000"/>
            <rFont val="+mn-lt"/>
            <charset val="1"/>
          </rPr>
          <t xml:space="preserve">расходы на API 1) визиты лидов + 2) расходы на платящих пользователей МПСтатс + 3) расходы на НЕ платящих пользователей 
</t>
        </r>
        <r>
          <rPr>
            <sz val="11"/>
            <color rgb="FF000000"/>
            <rFont val="+mn-lt"/>
            <charset val="1"/>
          </rPr>
          <t xml:space="preserve">
</t>
        </r>
        <r>
          <rPr>
            <sz val="11"/>
            <color rgb="FF000000"/>
            <rFont val="+mn-lt"/>
            <charset val="1"/>
          </rPr>
          <t xml:space="preserve">1) </t>
        </r>
        <r>
          <rPr>
            <b/>
            <sz val="11"/>
            <color rgb="FF000000"/>
            <rFont val="+mn-lt"/>
            <charset val="1"/>
          </rPr>
          <t xml:space="preserve">расходы на визиты Селлер лидов </t>
        </r>
        <r>
          <rPr>
            <sz val="11"/>
            <color rgb="FF000000"/>
            <rFont val="+mn-lt"/>
            <charset val="1"/>
          </rPr>
          <t xml:space="preserve">= число лидов Селлер * стоимость главной Селлер на 1 пользователя в 1 день * 1 визит
</t>
        </r>
        <r>
          <rPr>
            <sz val="11"/>
            <color rgb="FF000000"/>
            <rFont val="+mn-lt"/>
            <charset val="1"/>
          </rPr>
          <t xml:space="preserve">2,7 р - стоимость на 1 пользователя в день от МПС на главную Селлер
</t>
        </r>
        <r>
          <rPr>
            <sz val="11"/>
            <color rgb="FF000000"/>
            <rFont val="+mn-lt"/>
            <charset val="1"/>
          </rPr>
          <t xml:space="preserve">1 заход = лид
</t>
        </r>
        <r>
          <rPr>
            <sz val="11"/>
            <color rgb="FF000000"/>
            <rFont val="+mn-lt"/>
            <charset val="1"/>
          </rPr>
          <t xml:space="preserve">35% -  оставят API гипотеза роста на данных Селлера  (текущий CR API - 25%)
</t>
        </r>
        <r>
          <rPr>
            <sz val="11"/>
            <color rgb="FF000000"/>
            <rFont val="+mn-lt"/>
            <charset val="1"/>
          </rPr>
          <t xml:space="preserve">
</t>
        </r>
        <r>
          <rPr>
            <sz val="11"/>
            <color rgb="FF000000"/>
            <rFont val="+mn-lt"/>
            <charset val="1"/>
          </rPr>
          <t xml:space="preserve">2) </t>
        </r>
        <r>
          <rPr>
            <b/>
            <sz val="11"/>
            <color rgb="FF000000"/>
            <rFont val="+mn-lt"/>
            <charset val="1"/>
          </rPr>
          <t xml:space="preserve">расходы на главную Селлер  (платящих + НЕ платящих пользователей МПСтатс) </t>
        </r>
        <r>
          <rPr>
            <sz val="11"/>
            <color rgb="FF000000"/>
            <rFont val="+mn-lt"/>
            <charset val="1"/>
          </rPr>
          <t xml:space="preserve">=
</t>
        </r>
        <r>
          <rPr>
            <sz val="11"/>
            <color rgb="FF000000"/>
            <rFont val="+mn-lt"/>
            <charset val="1"/>
          </rPr>
          <t xml:space="preserve">MAU гипотеза * </t>
        </r>
        <r>
          <rPr>
            <sz val="11"/>
            <color rgb="FF000000"/>
            <rFont val="Calibri"/>
            <family val="2"/>
          </rPr>
          <t xml:space="preserve">* стоимость главной Селлер на 1 пользователя в 1 день * </t>
        </r>
        <r>
          <rPr>
            <sz val="11"/>
            <color rgb="FF000000"/>
            <rFont val="+mn-lt"/>
            <charset val="1"/>
          </rPr>
          <t xml:space="preserve">ср число визитов в мес в Селлер * 12 мес
</t>
        </r>
        <r>
          <rPr>
            <sz val="11"/>
            <color rgb="FF000000"/>
            <rFont val="+mn-lt"/>
            <charset val="1"/>
          </rPr>
          <t xml:space="preserve">
</t>
        </r>
        <r>
          <rPr>
            <sz val="11"/>
            <color rgb="FF000000"/>
            <rFont val="+mn-lt"/>
            <charset val="1"/>
          </rPr>
          <t xml:space="preserve">MAU - взят по данным Селлера в период когда был фокус на моентизации ~15000. Из них - доля с API ключом - по данным Селелра 62% на сейчас. 
</t>
        </r>
        <r>
          <rPr>
            <sz val="11"/>
            <color rgb="FF000000"/>
            <rFont val="+mn-lt"/>
            <charset val="1"/>
          </rPr>
          <t xml:space="preserve">2,7 р - стоимость на 1 пользователя в день от МПС на главную Селлер
</t>
        </r>
        <r>
          <rPr>
            <sz val="11"/>
            <color rgb="FF000000"/>
            <rFont val="+mn-lt"/>
            <charset val="1"/>
          </rPr>
          <t xml:space="preserve">2 заходов в мес - данные Селлер (+заложен небольшой рост)
</t>
        </r>
        <r>
          <rPr>
            <sz val="11"/>
            <color rgb="FF000000"/>
            <rFont val="+mn-lt"/>
            <charset val="1"/>
          </rPr>
          <t xml:space="preserve">
</t>
        </r>
      </text>
    </comment>
    <comment ref="A9" authorId="0" shapeId="0" xr:uid="{3215631E-8DD5-244A-8BD6-71C713D0AC46}">
      <text>
        <r>
          <rPr>
            <b/>
            <sz val="10"/>
            <color rgb="FF000000"/>
            <rFont val="Tahoma"/>
            <family val="2"/>
            <charset val="204"/>
          </rPr>
          <t>y balabaeva: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>расходы на МПС платную версию = число платящих пользователей</t>
        </r>
        <r>
          <rPr>
            <sz val="10"/>
            <color rgb="FF000000"/>
            <rFont val="Calibri"/>
            <family val="2"/>
          </rPr>
          <t xml:space="preserve">(по сегментам по оборотам) </t>
        </r>
        <r>
          <rPr>
            <sz val="10"/>
            <color rgb="FF000000"/>
            <rFont val="Tahoma"/>
            <family val="2"/>
            <charset val="204"/>
          </rPr>
          <t xml:space="preserve"> * LT (по сегментам по оборотам) * стоимость API МПСтатс на 1 патящего пользователя as is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y balabaeva</author>
  </authors>
  <commentList>
    <comment ref="H5" authorId="0" shapeId="0" xr:uid="{50BBD5AA-76D1-D44B-838F-1244EE18AC49}">
      <text>
        <r>
          <rPr>
            <b/>
            <sz val="10"/>
            <color rgb="FF000000"/>
            <rFont val="Tahoma"/>
            <family val="2"/>
            <charset val="204"/>
          </rPr>
          <t>y balabaeva: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>не очищенная база от пересечений с МПС и Точкой</t>
        </r>
      </text>
    </comment>
    <comment ref="K5" authorId="0" shapeId="0" xr:uid="{5AC2C6A0-68E0-C942-B0F9-25247F81C9F5}">
      <text>
        <r>
          <rPr>
            <b/>
            <sz val="10"/>
            <color rgb="FF000000"/>
            <rFont val="Tahoma"/>
            <family val="2"/>
            <charset val="204"/>
          </rPr>
          <t>y balabaeva: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>бизнес-модель Карины</t>
        </r>
      </text>
    </comment>
    <comment ref="L5" authorId="0" shapeId="0" xr:uid="{BBBD9D4B-DECA-6745-9D37-7DEB0282B5A8}">
      <text>
        <r>
          <rPr>
            <b/>
            <sz val="10"/>
            <color rgb="FF000000"/>
            <rFont val="Tahoma"/>
            <family val="2"/>
            <charset val="204"/>
          </rPr>
          <t>y balabaeva: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бизнес-модель Карины
</t>
        </r>
      </text>
    </comment>
    <comment ref="K6" authorId="0" shapeId="0" xr:uid="{D8CF817C-6DA4-F84A-BB75-82A695FA8156}">
      <text>
        <r>
          <rPr>
            <b/>
            <sz val="10"/>
            <color rgb="FF000000"/>
            <rFont val="Tahoma"/>
            <family val="2"/>
            <charset val="204"/>
          </rPr>
          <t>y balabaeva: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>из базы сегмента  - придут за МПС</t>
        </r>
      </text>
    </comment>
    <comment ref="L6" authorId="0" shapeId="0" xr:uid="{27D07E22-24CE-C246-9247-239A02546B93}">
      <text>
        <r>
          <rPr>
            <b/>
            <sz val="10"/>
            <color rgb="FF000000"/>
            <rFont val="Tahoma"/>
            <family val="2"/>
            <charset val="204"/>
          </rPr>
          <t>y balabaeva: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из базы сегмента  - придут за МПС
</t>
        </r>
      </text>
    </comment>
    <comment ref="H7" authorId="0" shapeId="0" xr:uid="{71D6538D-0456-F04F-BF55-18543A3A71B0}">
      <text>
        <r>
          <rPr>
            <b/>
            <sz val="10"/>
            <color rgb="FF000000"/>
            <rFont val="Tahoma"/>
            <family val="2"/>
            <charset val="204"/>
          </rPr>
          <t>y balabaeva: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 xml:space="preserve">сейчас уже коснулись половины базы, гипотеза - с маркетингом коснемся не менее 80%
</t>
        </r>
      </text>
    </comment>
    <comment ref="O7" authorId="0" shapeId="0" xr:uid="{28BB427A-9B2C-DE45-A300-60FDDB05D4BA}">
      <text>
        <r>
          <rPr>
            <b/>
            <sz val="10"/>
            <color rgb="FF000000"/>
            <rFont val="Tahoma"/>
            <family val="2"/>
            <charset val="204"/>
          </rPr>
          <t>y balabaeva: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 xml:space="preserve">сейчас уже коснулись половины базы, гипотеза - с маркетингом коснемся не менее 80%
</t>
        </r>
      </text>
    </comment>
    <comment ref="U7" authorId="0" shapeId="0" xr:uid="{2149ED5F-88D5-E847-B778-C5A3E476BF1B}">
      <text>
        <r>
          <rPr>
            <b/>
            <sz val="10"/>
            <color rgb="FF000000"/>
            <rFont val="Tahoma"/>
            <family val="2"/>
            <charset val="204"/>
          </rPr>
          <t>y balabaeva: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 xml:space="preserve">сейчас уже коснулись половины базы, гипотеза - с маркетингом коснемся не менее 80%
</t>
        </r>
      </text>
    </comment>
    <comment ref="H14" authorId="0" shapeId="0" xr:uid="{83D38866-2B3E-AC41-ACC5-28B4BC8F9A5A}">
      <text>
        <r>
          <rPr>
            <b/>
            <sz val="10"/>
            <color rgb="FF000000"/>
            <rFont val="Tahoma"/>
            <family val="2"/>
            <charset val="204"/>
          </rPr>
          <t>y balabaeva: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 xml:space="preserve">гипотеза - довзонились до ЦА. 
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 xml:space="preserve">Наша база - все ЦА (есть обороты на МП). 
</t>
        </r>
        <r>
          <rPr>
            <sz val="10"/>
            <color rgb="FF000000"/>
            <rFont val="Tahoma"/>
            <family val="2"/>
            <charset val="204"/>
          </rPr>
          <t xml:space="preserve">Как считает ЦА MPS:
</t>
        </r>
        <r>
          <rPr>
            <sz val="10"/>
            <color rgb="FF000000"/>
            <rFont val="Calibri"/>
            <family val="2"/>
          </rPr>
          <t xml:space="preserve">- 150 -000 - есть для старта
</t>
        </r>
        <r>
          <rPr>
            <sz val="10"/>
            <color rgb="FF000000"/>
            <rFont val="Calibri"/>
            <family val="2"/>
          </rPr>
          <t xml:space="preserve">- в теч 2 мес планирует начать торговать
</t>
        </r>
        <r>
          <rPr>
            <sz val="10"/>
            <color rgb="FF000000"/>
            <rFont val="Calibri"/>
            <family val="2"/>
          </rPr>
          <t xml:space="preserve">- селлер - есть рега на МП (озон вб яндекс)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>CR в дозвон холодня база Т - 65%. гипотеза теплые - 75%</t>
        </r>
      </text>
    </comment>
    <comment ref="O14" authorId="0" shapeId="0" xr:uid="{5D6020D8-68A4-D54B-AC35-7A26D5C877C6}">
      <text>
        <r>
          <rPr>
            <b/>
            <sz val="10"/>
            <color rgb="FF000000"/>
            <rFont val="Tahoma"/>
            <family val="2"/>
            <charset val="204"/>
          </rPr>
          <t>y balabaeva: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 xml:space="preserve">гипотеза - довзонились до ЦА. 
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 xml:space="preserve">Наша база - все ЦА (есть обороты на МП). 
</t>
        </r>
        <r>
          <rPr>
            <sz val="10"/>
            <color rgb="FF000000"/>
            <rFont val="Tahoma"/>
            <family val="2"/>
            <charset val="204"/>
          </rPr>
          <t xml:space="preserve">Как считает ЦА MPS:
</t>
        </r>
        <r>
          <rPr>
            <sz val="10"/>
            <color rgb="FF000000"/>
            <rFont val="Calibri"/>
            <family val="2"/>
          </rPr>
          <t xml:space="preserve">- 150 -000 - есть для старта
</t>
        </r>
        <r>
          <rPr>
            <sz val="10"/>
            <color rgb="FF000000"/>
            <rFont val="Calibri"/>
            <family val="2"/>
          </rPr>
          <t xml:space="preserve">- в теч 2 мес планирует начать торговать
</t>
        </r>
        <r>
          <rPr>
            <sz val="10"/>
            <color rgb="FF000000"/>
            <rFont val="Calibri"/>
            <family val="2"/>
          </rPr>
          <t>- селлер - есть рега на МП (озон вб яндекс)</t>
        </r>
      </text>
    </comment>
    <comment ref="O19" authorId="0" shapeId="0" xr:uid="{DF70C0C8-EA3C-0942-8D54-4243ED0C14EB}">
      <text>
        <r>
          <rPr>
            <b/>
            <sz val="10"/>
            <color rgb="FF000000"/>
            <rFont val="Tahoma"/>
            <family val="2"/>
            <charset val="204"/>
          </rPr>
          <t>y balabaeva: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 xml:space="preserve">CR в первую оплату
</t>
        </r>
        <r>
          <rPr>
            <sz val="10"/>
            <color rgb="FF000000"/>
            <rFont val="Tahoma"/>
            <family val="2"/>
            <charset val="204"/>
          </rPr>
          <t xml:space="preserve">На данных - автосписания дают аплифт в 2 раза (посомтрели до фичи и после)
</t>
        </r>
        <r>
          <rPr>
            <sz val="10"/>
            <color rgb="FF000000"/>
            <rFont val="Calibri"/>
            <family val="2"/>
          </rPr>
          <t xml:space="preserve">гипотеза - в 1,5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Повторные оплатв
</t>
        </r>
        <r>
          <rPr>
            <sz val="10"/>
            <color rgb="FF000000"/>
            <rFont val="Calibri"/>
            <family val="2"/>
          </rPr>
          <t xml:space="preserve">+ к LT за счет механизма достписаний при недостатке ДС
</t>
        </r>
        <r>
          <rPr>
            <sz val="10"/>
            <color rgb="FF000000"/>
            <rFont val="Calibri"/>
            <family val="2"/>
          </rPr>
          <t xml:space="preserve">На данных - 0.7 мес
</t>
        </r>
        <r>
          <rPr>
            <sz val="10"/>
            <color rgb="FF000000"/>
            <rFont val="Calibri"/>
            <family val="2"/>
          </rPr>
          <t xml:space="preserve">
</t>
        </r>
      </text>
    </comment>
    <comment ref="U19" authorId="0" shapeId="0" xr:uid="{CF200D2F-E46B-E84B-ADD7-084D41E4A2FD}">
      <text>
        <r>
          <rPr>
            <b/>
            <sz val="10"/>
            <color rgb="FF000000"/>
            <rFont val="Tahoma"/>
            <family val="2"/>
            <charset val="204"/>
          </rPr>
          <t>y balabaeva: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>текущий CR (усредненный янв-мар 2026)</t>
        </r>
      </text>
    </comment>
    <comment ref="H20" authorId="0" shapeId="0" xr:uid="{A2694EBD-D64D-7645-8579-A5509B4F63C6}">
      <text>
        <r>
          <rPr>
            <b/>
            <sz val="10"/>
            <color rgb="FF000000"/>
            <rFont val="Tahoma"/>
            <family val="2"/>
            <charset val="204"/>
          </rPr>
          <t>y balabaeva: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>CR - digital канал Т</t>
        </r>
      </text>
    </comment>
    <comment ref="O20" authorId="0" shapeId="0" xr:uid="{FFC29314-C150-BB42-883F-8F66DFB4EF3D}">
      <text>
        <r>
          <rPr>
            <b/>
            <sz val="10"/>
            <color rgb="FF000000"/>
            <rFont val="Tahoma"/>
            <family val="2"/>
            <charset val="204"/>
          </rPr>
          <t>y balabaeva: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>CR - digital канал Т</t>
        </r>
      </text>
    </comment>
    <comment ref="A56" authorId="0" shapeId="0" xr:uid="{2B2FF768-3F37-7444-B2A4-F94A7062F2DB}">
      <text>
        <r>
          <rPr>
            <b/>
            <sz val="11"/>
            <color rgb="FF000000"/>
            <rFont val="+mn-lt"/>
            <charset val="1"/>
          </rPr>
          <t>y balabaeva:</t>
        </r>
        <r>
          <rPr>
            <sz val="11"/>
            <color rgb="FF000000"/>
            <rFont val="+mn-lt"/>
            <charset val="1"/>
          </rPr>
          <t xml:space="preserve">
</t>
        </r>
        <r>
          <rPr>
            <sz val="11"/>
            <color rgb="FF000000"/>
            <rFont val="+mn-lt"/>
            <charset val="1"/>
          </rPr>
          <t xml:space="preserve">расходы на API 1) визиты лидов + 2) расходы на платящих пользователей МПСтатс + 3) расходы на НЕ платящих пользователей 
</t>
        </r>
        <r>
          <rPr>
            <sz val="11"/>
            <color rgb="FF000000"/>
            <rFont val="+mn-lt"/>
            <charset val="1"/>
          </rPr>
          <t xml:space="preserve">
</t>
        </r>
        <r>
          <rPr>
            <sz val="11"/>
            <color rgb="FF000000"/>
            <rFont val="+mn-lt"/>
            <charset val="1"/>
          </rPr>
          <t xml:space="preserve">1) </t>
        </r>
        <r>
          <rPr>
            <b/>
            <sz val="11"/>
            <color rgb="FF000000"/>
            <rFont val="+mn-lt"/>
            <charset val="1"/>
          </rPr>
          <t xml:space="preserve">расходы на визиты Селлер лидов </t>
        </r>
        <r>
          <rPr>
            <sz val="11"/>
            <color rgb="FF000000"/>
            <rFont val="+mn-lt"/>
            <charset val="1"/>
          </rPr>
          <t xml:space="preserve">= число лидов Селлер * стоимость главной Селлер на 1 пользователя в 1 день * 1 визит
</t>
        </r>
        <r>
          <rPr>
            <sz val="11"/>
            <color rgb="FF000000"/>
            <rFont val="+mn-lt"/>
            <charset val="1"/>
          </rPr>
          <t xml:space="preserve">2,7 р - стоимость на 1 пользователя в день от МПС на главную Селлер
</t>
        </r>
        <r>
          <rPr>
            <sz val="11"/>
            <color rgb="FF000000"/>
            <rFont val="+mn-lt"/>
            <charset val="1"/>
          </rPr>
          <t xml:space="preserve">1 заход = лид
</t>
        </r>
        <r>
          <rPr>
            <sz val="11"/>
            <color rgb="FF000000"/>
            <rFont val="+mn-lt"/>
            <charset val="1"/>
          </rPr>
          <t xml:space="preserve">35% -  оставят API гипотеза роста на данных Селлера  (текущий CR API - 25%)
</t>
        </r>
        <r>
          <rPr>
            <sz val="11"/>
            <color rgb="FF000000"/>
            <rFont val="+mn-lt"/>
            <charset val="1"/>
          </rPr>
          <t xml:space="preserve">
</t>
        </r>
        <r>
          <rPr>
            <sz val="11"/>
            <color rgb="FF000000"/>
            <rFont val="+mn-lt"/>
            <charset val="1"/>
          </rPr>
          <t xml:space="preserve">2) </t>
        </r>
        <r>
          <rPr>
            <b/>
            <sz val="11"/>
            <color rgb="FF000000"/>
            <rFont val="+mn-lt"/>
            <charset val="1"/>
          </rPr>
          <t xml:space="preserve">расходы на главную Селлер  (платящих + НЕ платящих пользователей МПСтатс) </t>
        </r>
        <r>
          <rPr>
            <sz val="11"/>
            <color rgb="FF000000"/>
            <rFont val="+mn-lt"/>
            <charset val="1"/>
          </rPr>
          <t xml:space="preserve">=
</t>
        </r>
        <r>
          <rPr>
            <sz val="11"/>
            <color rgb="FF000000"/>
            <rFont val="+mn-lt"/>
            <charset val="1"/>
          </rPr>
          <t xml:space="preserve">MAU гипотеза * </t>
        </r>
        <r>
          <rPr>
            <sz val="11"/>
            <color rgb="FF000000"/>
            <rFont val="Calibri"/>
            <family val="2"/>
          </rPr>
          <t xml:space="preserve">* стоимость главной Селлер на 1 пользователя в 1 день * </t>
        </r>
        <r>
          <rPr>
            <sz val="11"/>
            <color rgb="FF000000"/>
            <rFont val="+mn-lt"/>
            <charset val="1"/>
          </rPr>
          <t xml:space="preserve">ср число визитов в мес в Селлер * 12 мес
</t>
        </r>
        <r>
          <rPr>
            <sz val="11"/>
            <color rgb="FF000000"/>
            <rFont val="+mn-lt"/>
            <charset val="1"/>
          </rPr>
          <t xml:space="preserve">
</t>
        </r>
        <r>
          <rPr>
            <sz val="11"/>
            <color rgb="FF000000"/>
            <rFont val="+mn-lt"/>
            <charset val="1"/>
          </rPr>
          <t xml:space="preserve">MAU - взят по данным Селлера в период когда был фокус на моентизации ~15000. Из них - доля с API ключом - по данным Селелра 62% на сейчас. 
</t>
        </r>
        <r>
          <rPr>
            <sz val="11"/>
            <color rgb="FF000000"/>
            <rFont val="+mn-lt"/>
            <charset val="1"/>
          </rPr>
          <t xml:space="preserve">2,7 р - стоимость на 1 пользователя в день от МПС на главную Селлер
</t>
        </r>
        <r>
          <rPr>
            <sz val="11"/>
            <color rgb="FF000000"/>
            <rFont val="+mn-lt"/>
            <charset val="1"/>
          </rPr>
          <t xml:space="preserve">2 заходов в мес - данные Селлер (+заложен небольшой рост)
</t>
        </r>
        <r>
          <rPr>
            <sz val="11"/>
            <color rgb="FF000000"/>
            <rFont val="+mn-lt"/>
            <charset val="1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2) НЕ считаю </t>
        </r>
        <r>
          <rPr>
            <b/>
            <sz val="11"/>
            <color rgb="FF000000"/>
            <rFont val="Calibri"/>
            <family val="2"/>
          </rPr>
          <t xml:space="preserve">расходы на главную Селлер (отдельно платящих пользователей МПСтатс) 
</t>
        </r>
        <r>
          <rPr>
            <b/>
            <sz val="11"/>
            <color rgb="FF000000"/>
            <rFont val="Calibri"/>
            <family val="2"/>
          </rPr>
          <t xml:space="preserve"> ч</t>
        </r>
        <r>
          <rPr>
            <sz val="11"/>
            <color rgb="FF000000"/>
            <rFont val="Calibri"/>
            <family val="2"/>
          </rPr>
          <t xml:space="preserve">исло платящих пользоватлей МПС (по сегментам по оборотам)  * ср число визитов в мес в Селлер * стоимость главной Селлер на 1 пользователя в 1 день * LT (по сегментам по оборотам)  
</t>
        </r>
        <r>
          <rPr>
            <sz val="11"/>
            <color rgb="FF000000"/>
            <rFont val="Calibri"/>
            <family val="2"/>
          </rPr>
          <t xml:space="preserve">2,7 р - стоимость на 1 пользователя в день от МПС на главную Селлер
</t>
        </r>
        <r>
          <rPr>
            <sz val="11"/>
            <color rgb="FF000000"/>
            <rFont val="Calibri"/>
            <family val="2"/>
          </rPr>
          <t xml:space="preserve">9 заходов - данные Селлер (+заложен небольшой рост)
</t>
        </r>
        <r>
          <rPr>
            <sz val="11"/>
            <color rgb="FF000000"/>
            <rFont val="+mn-lt"/>
            <charset val="1"/>
          </rPr>
          <t xml:space="preserve">
</t>
        </r>
      </text>
    </comment>
    <comment ref="A65" authorId="0" shapeId="0" xr:uid="{6E245329-DF56-134D-992A-47ADA5812FF1}">
      <text>
        <r>
          <rPr>
            <b/>
            <sz val="10"/>
            <color rgb="FF000000"/>
            <rFont val="Tahoma"/>
            <family val="2"/>
            <charset val="204"/>
          </rPr>
          <t>y balabaeva: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>расходы на МПС платную версию = число платящих пользователей</t>
        </r>
        <r>
          <rPr>
            <sz val="10"/>
            <color rgb="FF000000"/>
            <rFont val="Calibri"/>
            <family val="2"/>
          </rPr>
          <t xml:space="preserve">(по сегментам по оборотам) </t>
        </r>
        <r>
          <rPr>
            <sz val="10"/>
            <color rgb="FF000000"/>
            <rFont val="Tahoma"/>
            <family val="2"/>
            <charset val="204"/>
          </rPr>
          <t xml:space="preserve"> * LT (по сегментам по оборотам) * стоимость API МПСтатс на 1 патящего пользователя as is</t>
        </r>
      </text>
    </comment>
    <comment ref="A71" authorId="0" shapeId="0" xr:uid="{E50A02EA-1084-5B4A-AA16-8CBEB4CEEE28}">
      <text>
        <r>
          <rPr>
            <b/>
            <sz val="10"/>
            <color rgb="FF000000"/>
            <rFont val="Tahoma"/>
            <family val="2"/>
            <charset val="204"/>
          </rPr>
          <t>y balabaeva: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>вероятно выставленеи счетов, коммуникации</t>
        </r>
      </text>
    </comment>
    <comment ref="I77" authorId="0" shapeId="0" xr:uid="{358569CE-8CF8-7848-9EE5-B29215B9D208}">
      <text>
        <r>
          <rPr>
            <b/>
            <sz val="10"/>
            <color rgb="FF000000"/>
            <rFont val="Tahoma"/>
            <family val="2"/>
            <charset val="204"/>
          </rPr>
          <t>y balabaeva: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>уже получаем доход с др продуктов Банка</t>
        </r>
      </text>
    </comment>
    <comment ref="K77" authorId="0" shapeId="0" xr:uid="{C19EED00-B926-FA42-B1FC-E9B859DD8E04}">
      <text>
        <r>
          <rPr>
            <b/>
            <sz val="10"/>
            <color rgb="FF000000"/>
            <rFont val="Tahoma"/>
            <family val="2"/>
            <charset val="204"/>
          </rPr>
          <t>y balabaeva: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>из расчета на кол-во клиентво в инкременте (из бизнес модели Крины) - клиенты проснулись  в РКО из-за МПС</t>
        </r>
      </text>
    </comment>
    <comment ref="L77" authorId="0" shapeId="0" xr:uid="{9E4B0D84-EC37-8A42-9F40-70200B1CCD01}">
      <text>
        <r>
          <rPr>
            <b/>
            <sz val="10"/>
            <color rgb="FF000000"/>
            <rFont val="Tahoma"/>
            <family val="2"/>
            <charset val="204"/>
          </rPr>
          <t>y balabaeva: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>из расчета на кол-во клиентво в инкременте (из бизнес модели Крины) - клиенты открвли  РКО из-за МПС</t>
        </r>
        <r>
          <rPr>
            <sz val="10"/>
            <color rgb="FF000000"/>
            <rFont val="Calibri"/>
            <family val="2"/>
            <scheme val="minor"/>
          </rPr>
          <t xml:space="preserve">
</t>
        </r>
      </text>
    </comment>
    <comment ref="T77" authorId="0" shapeId="0" xr:uid="{39E1CE8E-7067-4C4C-9821-14E89468A34A}">
      <text>
        <r>
          <rPr>
            <b/>
            <sz val="10"/>
            <color rgb="FF000000"/>
            <rFont val="Tahoma"/>
            <family val="2"/>
            <charset val="204"/>
          </rPr>
          <t>y balabaeva: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>гипотеза - LTV тарифов МПС выше на за счет ковенант</t>
        </r>
      </text>
    </comment>
    <comment ref="Z77" authorId="0" shapeId="0" xr:uid="{23EF7EAC-BDCD-1B48-8EFC-8456873FBD84}">
      <text>
        <r>
          <rPr>
            <b/>
            <sz val="10"/>
            <color rgb="FF000000"/>
            <rFont val="Tahoma"/>
            <family val="2"/>
            <charset val="204"/>
          </rPr>
          <t>y balabaeva: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>гипотеза - по клиентам с тарифом MPS LTV выше на 30% за счет ковенант)</t>
        </r>
      </text>
    </comment>
    <comment ref="AI77" authorId="0" shapeId="0" xr:uid="{7D2B76C9-C988-EE45-A9FD-2F0B9835AA19}">
      <text>
        <r>
          <rPr>
            <b/>
            <sz val="10"/>
            <color rgb="FF000000"/>
            <rFont val="Tahoma"/>
            <family val="2"/>
            <charset val="204"/>
          </rPr>
          <t>y balabaeva: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>гипотеза - по клиентам с тарифом MPS LTV выше на 30% за счет ковенант)</t>
        </r>
      </text>
    </comment>
    <comment ref="AO77" authorId="0" shapeId="0" xr:uid="{B782797F-4C32-0947-BA58-1A933F1A0735}">
      <text>
        <r>
          <rPr>
            <b/>
            <sz val="10"/>
            <color rgb="FF000000"/>
            <rFont val="Tahoma"/>
            <family val="2"/>
            <charset val="204"/>
          </rPr>
          <t>y balabaeva: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>гипотеза - LTV тарифов МПС выше на за счет ковенант</t>
        </r>
      </text>
    </comment>
    <comment ref="A93" authorId="0" shapeId="0" xr:uid="{42FC4C20-E646-224A-AF0A-651F51DA20C7}">
      <text>
        <r>
          <rPr>
            <b/>
            <sz val="10"/>
            <color rgb="FF000000"/>
            <rFont val="Tahoma"/>
            <family val="2"/>
            <charset val="204"/>
          </rPr>
          <t>y balabaeva: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>скорректировано - -меньше исзначального плана</t>
        </r>
      </text>
    </comment>
    <comment ref="A100" authorId="0" shapeId="0" xr:uid="{BA6D07D9-74C4-0C4F-80A7-FF6FCCC8F6D7}">
      <text>
        <r>
          <rPr>
            <b/>
            <sz val="10"/>
            <color rgb="FF000000"/>
            <rFont val="Tahoma"/>
            <family val="2"/>
            <charset val="204"/>
          </rPr>
          <t>y balabaeva: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>убрать для налоговиков</t>
        </r>
      </text>
    </comment>
    <comment ref="K133" authorId="0" shapeId="0" xr:uid="{B7298566-F49E-734B-8DC8-01C3611EEFDE}">
      <text>
        <r>
          <rPr>
            <b/>
            <sz val="10"/>
            <color rgb="FF000000"/>
            <rFont val="Tahoma"/>
            <family val="2"/>
            <charset val="204"/>
          </rPr>
          <t>y balabaeva: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>уточнить по сегменту (сейчас ср по 1 и 2 сегменту)</t>
        </r>
      </text>
    </comment>
    <comment ref="O140" authorId="0" shapeId="0" xr:uid="{57DAD89F-4348-5A4B-8C02-97EB58120E82}">
      <text>
        <r>
          <rPr>
            <b/>
            <sz val="10"/>
            <color rgb="FF000000"/>
            <rFont val="Tahoma"/>
            <family val="2"/>
            <charset val="204"/>
          </rPr>
          <t xml:space="preserve">y balabaeva:
</t>
        </r>
        <r>
          <rPr>
            <sz val="10"/>
            <color rgb="FF000000"/>
            <rFont val="Tahoma"/>
            <family val="2"/>
            <charset val="204"/>
          </rPr>
          <t xml:space="preserve">as is в Селлере - 35% оплат- досписания </t>
        </r>
        <r>
          <rPr>
            <sz val="10"/>
            <color rgb="FF000000"/>
            <rFont val="Calibri"/>
            <family val="2"/>
          </rPr>
          <t>с РКО  при недостатке средств в конце мес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 xml:space="preserve">Пока предположила LT </t>
        </r>
        <r>
          <rPr>
            <sz val="10"/>
            <color rgb="FF000000"/>
            <rFont val="Calibri"/>
            <family val="2"/>
          </rPr>
          <t xml:space="preserve">экспертно  + 1 мес к LT MPS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Какк уточнить гипотезу:
</t>
        </r>
        <r>
          <rPr>
            <sz val="10"/>
            <color rgb="FF000000"/>
            <rFont val="Calibri"/>
            <family val="2"/>
          </rPr>
          <t xml:space="preserve">1) как изменилось LT в Селлере после фичи досписания? (если не было запущено так изначлаьно)
</t>
        </r>
        <r>
          <rPr>
            <sz val="10"/>
            <color rgb="FF000000"/>
            <rFont val="Calibri"/>
            <family val="2"/>
          </rPr>
          <t xml:space="preserve">2) Бенчи
</t>
        </r>
      </text>
    </comment>
    <comment ref="O187" authorId="0" shapeId="0" xr:uid="{A1BB4683-E47E-1B4C-A76B-D4EF1F4EE6BF}">
      <text>
        <r>
          <rPr>
            <b/>
            <sz val="10"/>
            <color rgb="FF000000"/>
            <rFont val="Tahoma"/>
            <family val="2"/>
            <charset val="204"/>
          </rPr>
          <t>y balabaeva: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>Карина - уточнит как ковенанты влияют на LTV в др продуктах Т</t>
        </r>
      </text>
    </comment>
    <comment ref="U187" authorId="0" shapeId="0" xr:uid="{11FC3316-DBAB-A94F-A19F-7E2DED6F5E5F}">
      <text>
        <r>
          <rPr>
            <b/>
            <sz val="10"/>
            <color rgb="FF000000"/>
            <rFont val="Tahoma"/>
            <family val="2"/>
            <charset val="204"/>
          </rPr>
          <t>y balabaeva: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>Карина - уточнит как ковенанты влияют на LTV в др продуктах Т</t>
        </r>
      </text>
    </comment>
    <comment ref="AD187" authorId="0" shapeId="0" xr:uid="{1888E2CA-2D07-874E-821C-A69CF63F7271}">
      <text>
        <r>
          <rPr>
            <b/>
            <sz val="10"/>
            <color rgb="FF000000"/>
            <rFont val="Tahoma"/>
            <family val="2"/>
            <charset val="204"/>
          </rPr>
          <t>y balabaeva: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>Карина - уточнит как ковенанты влияют на LTV в др продуктах Т</t>
        </r>
      </text>
    </comment>
    <comment ref="AJ187" authorId="0" shapeId="0" xr:uid="{3238A980-4F8C-574C-861A-0DE1B8397798}">
      <text>
        <r>
          <rPr>
            <b/>
            <sz val="10"/>
            <color rgb="FF000000"/>
            <rFont val="Tahoma"/>
            <family val="2"/>
            <charset val="204"/>
          </rPr>
          <t>y balabaeva: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>Карина - уточнит как ковенанты влияют на LTV в др продуктах Т</t>
        </r>
      </text>
    </comment>
    <comment ref="A194" authorId="0" shapeId="0" xr:uid="{DBD64349-3C1C-7449-A74C-DB87838A15B8}">
      <text>
        <r>
          <rPr>
            <b/>
            <sz val="10"/>
            <color rgb="FF000000"/>
            <rFont val="Tahoma"/>
            <family val="2"/>
            <charset val="204"/>
          </rPr>
          <t>y balabaeva: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если будет внешний маркетинг - ср 3 млн на медиа и тг каналы . внутренний маркетинг (почта, пуши и пр)  считается бесплатным каналом
</t>
        </r>
      </text>
    </comment>
    <comment ref="M194" authorId="0" shapeId="0" xr:uid="{84A05739-5A3B-E14C-9795-9CEF28D1AD58}">
      <text>
        <r>
          <rPr>
            <b/>
            <sz val="10"/>
            <color rgb="FF000000"/>
            <rFont val="Tahoma"/>
            <family val="2"/>
            <charset val="204"/>
          </rPr>
          <t>y balabaeva: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>гипотеза - если будет внешний маркетинг (3 млн на медиа и тг каналы). внутренний маркетинг считается бесплатным каналом</t>
        </r>
      </text>
    </comment>
    <comment ref="T194" authorId="0" shapeId="0" xr:uid="{5E21D21D-1B80-8245-9CFE-CF8D3618426F}">
      <text>
        <r>
          <rPr>
            <b/>
            <sz val="10"/>
            <color rgb="FF000000"/>
            <rFont val="Tahoma"/>
            <family val="2"/>
            <charset val="204"/>
          </rPr>
          <t>y balabaeva: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>гипотеза - если будет внешний маркетинг (3 млн на медиа и тг каналы). внутренний маркетинг считается бесплатным каналом</t>
        </r>
      </text>
    </comment>
    <comment ref="Z194" authorId="0" shapeId="0" xr:uid="{99190004-8AED-1249-9914-5689CFE95C01}">
      <text>
        <r>
          <rPr>
            <b/>
            <sz val="10"/>
            <color rgb="FF000000"/>
            <rFont val="Tahoma"/>
            <family val="2"/>
            <charset val="204"/>
          </rPr>
          <t>y balabaeva: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>гипотеза - если будет внешний маркетинг (3 млн на медиа и тг каналы). внутренний маркетинг считается бесплатным каналом</t>
        </r>
      </text>
    </comment>
    <comment ref="AI194" authorId="0" shapeId="0" xr:uid="{2E6D6782-B155-BF41-946F-217DC03EBB06}">
      <text>
        <r>
          <rPr>
            <b/>
            <sz val="10"/>
            <color rgb="FF000000"/>
            <rFont val="Tahoma"/>
            <family val="2"/>
            <charset val="204"/>
          </rPr>
          <t>y balabaeva: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>гипотеза - если будет внешний маркетинг (3 млн на медиа и тг каналы). внутренний маркетинг считается бесплатным каналом</t>
        </r>
      </text>
    </comment>
    <comment ref="AO194" authorId="0" shapeId="0" xr:uid="{75AA894F-C6BB-5345-80EE-56A0AE4FBFD9}">
      <text>
        <r>
          <rPr>
            <b/>
            <sz val="10"/>
            <color rgb="FF000000"/>
            <rFont val="Tahoma"/>
            <family val="2"/>
            <charset val="204"/>
          </rPr>
          <t>y balabaeva: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>гипотеза - если будет внешний маркетинг (3 млн на медиа и тг каналы). внутренний маркетинг считается бесплатным каналом</t>
        </r>
      </text>
    </comment>
    <comment ref="A196" authorId="0" shapeId="0" xr:uid="{A07EF226-450E-C949-AC9D-2F424D360230}">
      <text>
        <r>
          <rPr>
            <b/>
            <sz val="10"/>
            <color rgb="FF000000"/>
            <rFont val="Tahoma"/>
            <family val="2"/>
            <charset val="204"/>
          </rPr>
          <t>y balabaeva: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>предположение</t>
        </r>
      </text>
    </comment>
    <comment ref="I196" authorId="0" shapeId="0" xr:uid="{3CDD4C7C-B1DF-964F-99F3-92E100251502}">
      <text>
        <r>
          <rPr>
            <b/>
            <sz val="10"/>
            <color rgb="FF000000"/>
            <rFont val="Tahoma"/>
            <family val="2"/>
            <charset val="204"/>
          </rPr>
          <t>y balabaeva: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>предположение: из 14 дней пользователь в ср будет посещать сервис 4 дн</t>
        </r>
      </text>
    </comment>
    <comment ref="P196" authorId="0" shapeId="0" xr:uid="{640342C5-88AF-6E45-BA40-118A11ED0D10}">
      <text>
        <r>
          <rPr>
            <b/>
            <sz val="10"/>
            <color rgb="FF000000"/>
            <rFont val="Tahoma"/>
            <family val="2"/>
            <charset val="204"/>
          </rPr>
          <t>y balabaeva: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>предположение: из 14 дней пользователь в ср будет посещать сервис 4 дн</t>
        </r>
      </text>
    </comment>
    <comment ref="V196" authorId="0" shapeId="0" xr:uid="{7B932D3C-6F36-7049-A98B-65B34226D058}">
      <text>
        <r>
          <rPr>
            <b/>
            <sz val="10"/>
            <color rgb="FF000000"/>
            <rFont val="Tahoma"/>
            <family val="2"/>
            <charset val="204"/>
          </rPr>
          <t>y balabaeva: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>предположение: из 14 дней пользователь в ср будет посещать сервис 4 дн</t>
        </r>
      </text>
    </comment>
    <comment ref="AE196" authorId="0" shapeId="0" xr:uid="{114D050D-9FF4-064F-A7C8-5CBF6E3DFCAB}">
      <text>
        <r>
          <rPr>
            <b/>
            <sz val="10"/>
            <color rgb="FF000000"/>
            <rFont val="Tahoma"/>
            <family val="2"/>
            <charset val="204"/>
          </rPr>
          <t>y balabaeva: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>предположение: из 14 дней пользователь в ср будет посещать сервис 4 дн</t>
        </r>
      </text>
    </comment>
    <comment ref="AK196" authorId="0" shapeId="0" xr:uid="{617F6CFC-45AC-6745-891A-53E219EA7E57}">
      <text>
        <r>
          <rPr>
            <b/>
            <sz val="10"/>
            <color rgb="FF000000"/>
            <rFont val="Tahoma"/>
            <family val="2"/>
            <charset val="204"/>
          </rPr>
          <t>y balabaeva: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>предположение: из 14 дней пользователь в ср будет посещать сервис 4 дн</t>
        </r>
      </text>
    </comment>
    <comment ref="A200" authorId="0" shapeId="0" xr:uid="{F25EDBE8-C084-9F40-8BCD-BA4C61ED5BF4}">
      <text>
        <r>
          <rPr>
            <b/>
            <sz val="10"/>
            <color rgb="FF000000"/>
            <rFont val="Tahoma"/>
            <family val="2"/>
            <charset val="204"/>
          </rPr>
          <t>y balabaeva: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 xml:space="preserve">2,7 р - стоимость на 1 пользователя в день от МПС на главную Селлер
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>9 заходов - данные Селлер (заложен небольшой рост)</t>
        </r>
      </text>
    </comment>
    <comment ref="I200" authorId="0" shapeId="0" xr:uid="{0F22DC40-F939-5749-8AA2-89CF74734525}">
      <text>
        <r>
          <rPr>
            <b/>
            <sz val="10"/>
            <color rgb="FF000000"/>
            <rFont val="Tahoma"/>
            <family val="2"/>
            <charset val="204"/>
          </rPr>
          <t>y balabaeva: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 xml:space="preserve">знаем что главная будет обходиться примерно 2.7 р в день на 1 пользователя. предполагаем что платящие будут посещать 9 дней в мес. итого 2.7*9
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 xml:space="preserve">as is Селлер ср заходы на 1 платящего - 7,69. гипотеза - рос 20%, 9. </t>
        </r>
      </text>
    </comment>
    <comment ref="A201" authorId="0" shapeId="0" xr:uid="{42A05C72-9D07-BE46-A0A2-4CA66803C286}">
      <text>
        <r>
          <rPr>
            <b/>
            <sz val="10"/>
            <color rgb="FF000000"/>
            <rFont val="Tahoma"/>
            <family val="2"/>
            <charset val="204"/>
          </rPr>
          <t>y balabaeva: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+mn-lt"/>
            <charset val="1"/>
          </rPr>
          <t xml:space="preserve">2,7 р - стоимость на 1 пользователя в день от МПС на главную Селлер
</t>
        </r>
        <r>
          <rPr>
            <sz val="10"/>
            <color rgb="FF000000"/>
            <rFont val="+mn-lt"/>
            <charset val="1"/>
          </rPr>
          <t xml:space="preserve">
</t>
        </r>
        <r>
          <rPr>
            <sz val="10"/>
            <color rgb="FF000000"/>
            <rFont val="+mn-lt"/>
            <charset val="1"/>
          </rPr>
          <t xml:space="preserve">2 заходов - данные Селлер (заложен небольшой рост)
</t>
        </r>
      </text>
    </comment>
    <comment ref="I201" authorId="0" shapeId="0" xr:uid="{F62DB04B-AB3D-7241-AD3F-F6E5CBDFE047}">
      <text>
        <r>
          <rPr>
            <b/>
            <sz val="10"/>
            <color rgb="FF000000"/>
            <rFont val="Tahoma"/>
            <family val="2"/>
            <charset val="204"/>
          </rPr>
          <t>y balabaeva: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 xml:space="preserve">знаем что главная будет обходиться примерно 2.7 р в день на 1 пользователя. предполагаем что лиды не платящие в ср зайдут в Селлер 2 раза  
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>As Is  в Селлер: среднее число заходов в Селлер в месяц на 1 неплатящего пользователя - 1,73 раза</t>
        </r>
        <r>
          <rPr>
            <sz val="10"/>
            <color rgb="FF000000"/>
            <rFont val="Calibri"/>
            <family val="2"/>
          </rPr>
          <t xml:space="preserve"> гипотеза - рост 20%, 2. </t>
        </r>
      </text>
    </comment>
    <comment ref="I202" authorId="0" shapeId="0" xr:uid="{F40C83A2-B96B-BF40-83D5-58DC1339E692}">
      <text>
        <r>
          <rPr>
            <b/>
            <sz val="10"/>
            <color rgb="FF000000"/>
            <rFont val="Tahoma"/>
            <family val="2"/>
            <charset val="204"/>
          </rPr>
          <t>y balabaeva: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>знаем что главная будет обходиться примерно 2.7 р в день на 1 пользователя</t>
        </r>
      </text>
    </comment>
    <comment ref="A203" authorId="0" shapeId="0" xr:uid="{2318F985-AB0A-9344-92D8-8C37A12BFA12}">
      <text>
        <r>
          <rPr>
            <b/>
            <sz val="10"/>
            <color rgb="FF000000"/>
            <rFont val="Tahoma"/>
            <family val="2"/>
            <charset val="204"/>
          </rPr>
          <t>y balabaeva: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>гипотеза на данных Селлера AS IS  - 25% оставляют АПИ</t>
        </r>
        <r>
          <rPr>
            <sz val="10"/>
            <color rgb="FF000000"/>
            <rFont val="Calibri"/>
            <family val="2"/>
            <scheme val="minor"/>
          </rPr>
          <t xml:space="preserve">
</t>
        </r>
      </text>
    </comment>
    <comment ref="A204" authorId="0" shapeId="0" xr:uid="{08284620-15CB-8C4C-A878-E1895A7296EA}">
      <text>
        <r>
          <rPr>
            <b/>
            <sz val="10"/>
            <color rgb="FF000000"/>
            <rFont val="Tahoma"/>
            <family val="2"/>
            <charset val="204"/>
          </rPr>
          <t>y balabaeva: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>на данных Селлера</t>
        </r>
      </text>
    </comment>
    <comment ref="A225" authorId="0" shapeId="0" xr:uid="{2B153D66-90A0-274A-BF18-D718D4670E03}">
      <text>
        <r>
          <rPr>
            <b/>
            <sz val="10"/>
            <color rgb="FF000000"/>
            <rFont val="Tahoma"/>
            <family val="2"/>
            <charset val="204"/>
          </rPr>
          <t>y balabaeva: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>тут по названию - расходы на коммуникации , повторное выставление счетов</t>
        </r>
      </text>
    </comment>
    <comment ref="I228" authorId="0" shapeId="0" xr:uid="{66EB7F61-48C9-6640-B6AA-EB37381C5C71}">
      <text>
        <r>
          <rPr>
            <b/>
            <sz val="10"/>
            <color rgb="FF000000"/>
            <rFont val="Tahoma"/>
            <family val="2"/>
            <charset val="204"/>
          </rPr>
          <t>y balabaeva: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>предположение (на основе стоимсти API в мес на 1 платящего) - 212 р в мес /10 дней (предположение: ср посещение платного пользователя) = 21 р</t>
        </r>
      </text>
    </comment>
    <comment ref="P228" authorId="0" shapeId="0" xr:uid="{B039EAAE-9AF2-0F44-BE85-0D935ADDE9FD}">
      <text>
        <r>
          <rPr>
            <b/>
            <sz val="10"/>
            <color rgb="FF000000"/>
            <rFont val="Tahoma"/>
            <family val="2"/>
            <charset val="204"/>
          </rPr>
          <t>y balabaeva: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>предположение (на основе стоимсти API в мес на 1 платящего) - 212 р в мес /10 дней (предположение: ср посещение платного пользователя) = 21 р</t>
        </r>
      </text>
    </comment>
    <comment ref="V228" authorId="0" shapeId="0" xr:uid="{F20BA8B6-55B0-F148-BAC3-44D85E73FAE4}">
      <text>
        <r>
          <rPr>
            <b/>
            <sz val="10"/>
            <color rgb="FF000000"/>
            <rFont val="Tahoma"/>
            <family val="2"/>
            <charset val="204"/>
          </rPr>
          <t>y balabaeva: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>предположение (на основе стоимсти API в мес на 1 платящего) - 212 р в мес /10 дней (предположение: ср посещение платного пользователя) = 21 р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y balabaeva</author>
  </authors>
  <commentList>
    <comment ref="F5" authorId="0" shapeId="0" xr:uid="{6BACACFB-88F0-3B44-8344-E1F28EC15EE1}">
      <text>
        <r>
          <rPr>
            <b/>
            <sz val="10"/>
            <color rgb="FF000000"/>
            <rFont val="Tahoma"/>
            <family val="2"/>
            <charset val="204"/>
          </rPr>
          <t>y balabaeva: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>не очищенная база от пересечений с МПС и Точкой</t>
        </r>
      </text>
    </comment>
    <comment ref="I5" authorId="0" shapeId="0" xr:uid="{AD5090F9-16C3-5D4E-9A98-1F7E8B0F19F7}">
      <text>
        <r>
          <rPr>
            <b/>
            <sz val="10"/>
            <color rgb="FF000000"/>
            <rFont val="Tahoma"/>
            <family val="2"/>
            <charset val="204"/>
          </rPr>
          <t>y balabaeva: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>бизнес-модель Карины</t>
        </r>
      </text>
    </comment>
    <comment ref="J5" authorId="0" shapeId="0" xr:uid="{09C6903C-86BD-5E48-9B42-1B72E9B40060}">
      <text>
        <r>
          <rPr>
            <b/>
            <sz val="10"/>
            <color rgb="FF000000"/>
            <rFont val="Tahoma"/>
            <family val="2"/>
            <charset val="204"/>
          </rPr>
          <t>y balabaeva: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бизнес-модель Карины
</t>
        </r>
      </text>
    </comment>
    <comment ref="I6" authorId="0" shapeId="0" xr:uid="{2CB81FE2-9212-0943-A742-F631FE17A8C8}">
      <text>
        <r>
          <rPr>
            <b/>
            <sz val="10"/>
            <color rgb="FF000000"/>
            <rFont val="Tahoma"/>
            <family val="2"/>
            <charset val="204"/>
          </rPr>
          <t>y balabaeva: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>из базы сегмента  - придут за МПС</t>
        </r>
      </text>
    </comment>
    <comment ref="J6" authorId="0" shapeId="0" xr:uid="{70FA6948-1D4D-EE44-BB4D-CD1860D984E2}">
      <text>
        <r>
          <rPr>
            <b/>
            <sz val="10"/>
            <color rgb="FF000000"/>
            <rFont val="Tahoma"/>
            <family val="2"/>
            <charset val="204"/>
          </rPr>
          <t>y balabaeva: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из базы сегмента  - придут за МПС
</t>
        </r>
      </text>
    </comment>
    <comment ref="F7" authorId="0" shapeId="0" xr:uid="{3CAE7485-971C-A04C-BBF4-C430A5EC41B1}">
      <text>
        <r>
          <rPr>
            <b/>
            <sz val="10"/>
            <color rgb="FF000000"/>
            <rFont val="Tahoma"/>
            <family val="2"/>
            <charset val="204"/>
          </rPr>
          <t>y balabaeva: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 xml:space="preserve">сейчас уже коснулись половины базы, гипотеза - с маркетингом коснемся не менее 80%
</t>
        </r>
      </text>
    </comment>
    <comment ref="M7" authorId="0" shapeId="0" xr:uid="{0D610184-FCC7-9145-BD0A-C515985B1BE7}">
      <text>
        <r>
          <rPr>
            <b/>
            <sz val="10"/>
            <color rgb="FF000000"/>
            <rFont val="Tahoma"/>
            <family val="2"/>
            <charset val="204"/>
          </rPr>
          <t>y balabaeva: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 xml:space="preserve">сейчас уже коснулись половины базы, гипотеза - с маркетингом коснемся не менее 80%
</t>
        </r>
      </text>
    </comment>
    <comment ref="S7" authorId="0" shapeId="0" xr:uid="{B148404E-2AE6-0646-8067-99EB402916FB}">
      <text>
        <r>
          <rPr>
            <b/>
            <sz val="10"/>
            <color rgb="FF000000"/>
            <rFont val="Tahoma"/>
            <family val="2"/>
            <charset val="204"/>
          </rPr>
          <t>y balabaeva: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 xml:space="preserve">сейчас уже коснулись половины базы, гипотеза - с маркетингом коснемся не менее 80%
</t>
        </r>
      </text>
    </comment>
    <comment ref="F14" authorId="0" shapeId="0" xr:uid="{E2669945-3672-B94B-A39D-D0118F482F49}">
      <text>
        <r>
          <rPr>
            <b/>
            <sz val="10"/>
            <color rgb="FF000000"/>
            <rFont val="Tahoma"/>
            <family val="2"/>
            <charset val="204"/>
          </rPr>
          <t>y balabaeva: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 xml:space="preserve">гипотеза - довзонились до ЦА. 
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 xml:space="preserve">Наша база - все ЦА (есть обороты на МП). 
</t>
        </r>
        <r>
          <rPr>
            <sz val="10"/>
            <color rgb="FF000000"/>
            <rFont val="Tahoma"/>
            <family val="2"/>
            <charset val="204"/>
          </rPr>
          <t xml:space="preserve">Как считает ЦА MPS:
</t>
        </r>
        <r>
          <rPr>
            <sz val="10"/>
            <color rgb="FF000000"/>
            <rFont val="Calibri"/>
            <family val="2"/>
          </rPr>
          <t xml:space="preserve">- 150 -000 - есть для старта
</t>
        </r>
        <r>
          <rPr>
            <sz val="10"/>
            <color rgb="FF000000"/>
            <rFont val="Calibri"/>
            <family val="2"/>
          </rPr>
          <t xml:space="preserve">- в теч 2 мес планирует начать торговать
</t>
        </r>
        <r>
          <rPr>
            <sz val="10"/>
            <color rgb="FF000000"/>
            <rFont val="Calibri"/>
            <family val="2"/>
          </rPr>
          <t xml:space="preserve">- селлер - есть рега на МП (озон вб яндекс)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>CR в дозвон холодня база Т - 65%. гипотеза теплые - 75%</t>
        </r>
      </text>
    </comment>
    <comment ref="M14" authorId="0" shapeId="0" xr:uid="{0735975B-F1F0-B64F-BFD8-0B30D26ADA03}">
      <text>
        <r>
          <rPr>
            <b/>
            <sz val="10"/>
            <color rgb="FF000000"/>
            <rFont val="Tahoma"/>
            <family val="2"/>
            <charset val="204"/>
          </rPr>
          <t>y balabaeva: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 xml:space="preserve">гипотеза - довзонились до ЦА. 
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 xml:space="preserve">Наша база - все ЦА (есть обороты на МП). 
</t>
        </r>
        <r>
          <rPr>
            <sz val="10"/>
            <color rgb="FF000000"/>
            <rFont val="Tahoma"/>
            <family val="2"/>
            <charset val="204"/>
          </rPr>
          <t xml:space="preserve">Как считает ЦА MPS:
</t>
        </r>
        <r>
          <rPr>
            <sz val="10"/>
            <color rgb="FF000000"/>
            <rFont val="Calibri"/>
            <family val="2"/>
          </rPr>
          <t xml:space="preserve">- 150 -000 - есть для старта
</t>
        </r>
        <r>
          <rPr>
            <sz val="10"/>
            <color rgb="FF000000"/>
            <rFont val="Calibri"/>
            <family val="2"/>
          </rPr>
          <t xml:space="preserve">- в теч 2 мес планирует начать торговать
</t>
        </r>
        <r>
          <rPr>
            <sz val="10"/>
            <color rgb="FF000000"/>
            <rFont val="Calibri"/>
            <family val="2"/>
          </rPr>
          <t>- селлер - есть рега на МП (озон вб яндекс)</t>
        </r>
      </text>
    </comment>
    <comment ref="M19" authorId="0" shapeId="0" xr:uid="{23C6F1B7-C541-3546-9FD2-21D5EEF9C9DC}">
      <text>
        <r>
          <rPr>
            <b/>
            <sz val="10"/>
            <color rgb="FF000000"/>
            <rFont val="Tahoma"/>
            <family val="2"/>
            <charset val="204"/>
          </rPr>
          <t>y balabaeva: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 xml:space="preserve">CR в первую оплату
</t>
        </r>
        <r>
          <rPr>
            <sz val="10"/>
            <color rgb="FF000000"/>
            <rFont val="Tahoma"/>
            <family val="2"/>
            <charset val="204"/>
          </rPr>
          <t xml:space="preserve">На данных - автосписания дают аплифт в 2 раза (посомтрели до фичи и после)
</t>
        </r>
        <r>
          <rPr>
            <sz val="10"/>
            <color rgb="FF000000"/>
            <rFont val="Calibri"/>
            <family val="2"/>
          </rPr>
          <t xml:space="preserve">гипотеза - в 1,5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Повторные оплатв
</t>
        </r>
        <r>
          <rPr>
            <sz val="10"/>
            <color rgb="FF000000"/>
            <rFont val="Calibri"/>
            <family val="2"/>
          </rPr>
          <t xml:space="preserve">+ к LT за счет механизма достписаний при недостатке ДС
</t>
        </r>
        <r>
          <rPr>
            <sz val="10"/>
            <color rgb="FF000000"/>
            <rFont val="Calibri"/>
            <family val="2"/>
          </rPr>
          <t xml:space="preserve">На данных - 0.7 мес
</t>
        </r>
        <r>
          <rPr>
            <sz val="10"/>
            <color rgb="FF000000"/>
            <rFont val="Calibri"/>
            <family val="2"/>
          </rPr>
          <t xml:space="preserve">
</t>
        </r>
      </text>
    </comment>
    <comment ref="S19" authorId="0" shapeId="0" xr:uid="{671D0A1A-C904-0349-8CE0-CC6F73270A7B}">
      <text>
        <r>
          <rPr>
            <b/>
            <sz val="10"/>
            <color rgb="FF000000"/>
            <rFont val="Tahoma"/>
            <family val="2"/>
            <charset val="204"/>
          </rPr>
          <t>y balabaeva: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>текущий CR (усредненный янв-мар 2026)</t>
        </r>
      </text>
    </comment>
    <comment ref="F20" authorId="0" shapeId="0" xr:uid="{0845332D-A5ED-0541-9478-0CF8039E1F56}">
      <text>
        <r>
          <rPr>
            <b/>
            <sz val="10"/>
            <color rgb="FF000000"/>
            <rFont val="Tahoma"/>
            <family val="2"/>
            <charset val="204"/>
          </rPr>
          <t>y balabaeva: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>CR - digital канал Т</t>
        </r>
      </text>
    </comment>
    <comment ref="M20" authorId="0" shapeId="0" xr:uid="{B79F40C2-CBEA-D445-BBEF-3DA1867EFBC7}">
      <text>
        <r>
          <rPr>
            <b/>
            <sz val="10"/>
            <color rgb="FF000000"/>
            <rFont val="Tahoma"/>
            <family val="2"/>
            <charset val="204"/>
          </rPr>
          <t>y balabaeva: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>CR - digital канал Т</t>
        </r>
      </text>
    </comment>
    <comment ref="A56" authorId="0" shapeId="0" xr:uid="{1478ED9E-E8C5-224C-9242-4F9AEC909A71}">
      <text>
        <r>
          <rPr>
            <b/>
            <sz val="11"/>
            <color rgb="FF000000"/>
            <rFont val="+mn-lt"/>
            <charset val="1"/>
          </rPr>
          <t>y balabaeva:</t>
        </r>
        <r>
          <rPr>
            <sz val="11"/>
            <color rgb="FF000000"/>
            <rFont val="+mn-lt"/>
            <charset val="1"/>
          </rPr>
          <t xml:space="preserve">
</t>
        </r>
        <r>
          <rPr>
            <sz val="11"/>
            <color rgb="FF000000"/>
            <rFont val="+mn-lt"/>
            <charset val="1"/>
          </rPr>
          <t xml:space="preserve">расходы на API 1) визиты лидов + 2) расходы на платящих пользователей МПСтатс + 3) расходы на НЕ платящих пользователей 
</t>
        </r>
        <r>
          <rPr>
            <sz val="11"/>
            <color rgb="FF000000"/>
            <rFont val="+mn-lt"/>
            <charset val="1"/>
          </rPr>
          <t xml:space="preserve">
</t>
        </r>
        <r>
          <rPr>
            <sz val="11"/>
            <color rgb="FF000000"/>
            <rFont val="+mn-lt"/>
            <charset val="1"/>
          </rPr>
          <t xml:space="preserve">1) </t>
        </r>
        <r>
          <rPr>
            <b/>
            <sz val="11"/>
            <color rgb="FF000000"/>
            <rFont val="+mn-lt"/>
            <charset val="1"/>
          </rPr>
          <t xml:space="preserve">расходы на визиты Селлер лидов </t>
        </r>
        <r>
          <rPr>
            <sz val="11"/>
            <color rgb="FF000000"/>
            <rFont val="+mn-lt"/>
            <charset val="1"/>
          </rPr>
          <t xml:space="preserve">= число лидов Селлер * стоимость главной Селлер на 1 пользователя в 1 день * 1 визит
</t>
        </r>
        <r>
          <rPr>
            <sz val="11"/>
            <color rgb="FF000000"/>
            <rFont val="+mn-lt"/>
            <charset val="1"/>
          </rPr>
          <t xml:space="preserve">2,7 р - стоимость на 1 пользователя в день от МПС на главную Селлер
</t>
        </r>
        <r>
          <rPr>
            <sz val="11"/>
            <color rgb="FF000000"/>
            <rFont val="+mn-lt"/>
            <charset val="1"/>
          </rPr>
          <t xml:space="preserve">1 заход = лид
</t>
        </r>
        <r>
          <rPr>
            <sz val="11"/>
            <color rgb="FF000000"/>
            <rFont val="+mn-lt"/>
            <charset val="1"/>
          </rPr>
          <t xml:space="preserve">35% -  оставят API гипотеза роста на данных Селлера  (текущий CR API - 25%)
</t>
        </r>
        <r>
          <rPr>
            <sz val="11"/>
            <color rgb="FF000000"/>
            <rFont val="+mn-lt"/>
            <charset val="1"/>
          </rPr>
          <t xml:space="preserve">
</t>
        </r>
        <r>
          <rPr>
            <sz val="11"/>
            <color rgb="FF000000"/>
            <rFont val="+mn-lt"/>
            <charset val="1"/>
          </rPr>
          <t xml:space="preserve">2) </t>
        </r>
        <r>
          <rPr>
            <b/>
            <sz val="11"/>
            <color rgb="FF000000"/>
            <rFont val="+mn-lt"/>
            <charset val="1"/>
          </rPr>
          <t xml:space="preserve">расходы на главную Селлер  (платящих + НЕ платящих пользователей МПСтатс) </t>
        </r>
        <r>
          <rPr>
            <sz val="11"/>
            <color rgb="FF000000"/>
            <rFont val="+mn-lt"/>
            <charset val="1"/>
          </rPr>
          <t xml:space="preserve">=
</t>
        </r>
        <r>
          <rPr>
            <sz val="11"/>
            <color rgb="FF000000"/>
            <rFont val="+mn-lt"/>
            <charset val="1"/>
          </rPr>
          <t xml:space="preserve">MAU гипотеза * </t>
        </r>
        <r>
          <rPr>
            <sz val="11"/>
            <color rgb="FF000000"/>
            <rFont val="Calibri"/>
            <family val="2"/>
          </rPr>
          <t xml:space="preserve">* стоимость главной Селлер на 1 пользователя в 1 день * </t>
        </r>
        <r>
          <rPr>
            <sz val="11"/>
            <color rgb="FF000000"/>
            <rFont val="+mn-lt"/>
            <charset val="1"/>
          </rPr>
          <t xml:space="preserve">ср число визитов в мес в Селлер * 12 мес
</t>
        </r>
        <r>
          <rPr>
            <sz val="11"/>
            <color rgb="FF000000"/>
            <rFont val="+mn-lt"/>
            <charset val="1"/>
          </rPr>
          <t xml:space="preserve">
</t>
        </r>
        <r>
          <rPr>
            <sz val="11"/>
            <color rgb="FF000000"/>
            <rFont val="+mn-lt"/>
            <charset val="1"/>
          </rPr>
          <t xml:space="preserve">MAU - взят по данным Селлера в период когда был фокус на моентизации ~15000. Из них - доля с API ключом - по данным Селелра 62% на сейчас. 
</t>
        </r>
        <r>
          <rPr>
            <sz val="11"/>
            <color rgb="FF000000"/>
            <rFont val="+mn-lt"/>
            <charset val="1"/>
          </rPr>
          <t xml:space="preserve">2,7 р - стоимость на 1 пользователя в день от МПС на главную Селлер
</t>
        </r>
        <r>
          <rPr>
            <sz val="11"/>
            <color rgb="FF000000"/>
            <rFont val="+mn-lt"/>
            <charset val="1"/>
          </rPr>
          <t xml:space="preserve">2 заходов в мес - данные Селлер (+заложен небольшой рост)
</t>
        </r>
        <r>
          <rPr>
            <sz val="11"/>
            <color rgb="FF000000"/>
            <rFont val="+mn-lt"/>
            <charset val="1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2) НЕ считаю </t>
        </r>
        <r>
          <rPr>
            <b/>
            <sz val="11"/>
            <color rgb="FF000000"/>
            <rFont val="Calibri"/>
            <family val="2"/>
          </rPr>
          <t xml:space="preserve">расходы на главную Селлер (отдельно платящих пользователей МПСтатс) 
</t>
        </r>
        <r>
          <rPr>
            <b/>
            <sz val="11"/>
            <color rgb="FF000000"/>
            <rFont val="Calibri"/>
            <family val="2"/>
          </rPr>
          <t xml:space="preserve"> ч</t>
        </r>
        <r>
          <rPr>
            <sz val="11"/>
            <color rgb="FF000000"/>
            <rFont val="Calibri"/>
            <family val="2"/>
          </rPr>
          <t xml:space="preserve">исло платящих пользоватлей МПС (по сегментам по оборотам)  * ср число визитов в мес в Селлер * стоимость главной Селлер на 1 пользователя в 1 день * LT (по сегментам по оборотам)  
</t>
        </r>
        <r>
          <rPr>
            <sz val="11"/>
            <color rgb="FF000000"/>
            <rFont val="Calibri"/>
            <family val="2"/>
          </rPr>
          <t xml:space="preserve">2,7 р - стоимость на 1 пользователя в день от МПС на главную Селлер
</t>
        </r>
        <r>
          <rPr>
            <sz val="11"/>
            <color rgb="FF000000"/>
            <rFont val="Calibri"/>
            <family val="2"/>
          </rPr>
          <t xml:space="preserve">9 заходов - данные Селлер (+заложен небольшой рост)
</t>
        </r>
        <r>
          <rPr>
            <sz val="11"/>
            <color rgb="FF000000"/>
            <rFont val="+mn-lt"/>
            <charset val="1"/>
          </rPr>
          <t xml:space="preserve">
</t>
        </r>
      </text>
    </comment>
    <comment ref="A65" authorId="0" shapeId="0" xr:uid="{8E82A717-2251-0C4D-8747-2891A58C39CA}">
      <text>
        <r>
          <rPr>
            <b/>
            <sz val="10"/>
            <color rgb="FF000000"/>
            <rFont val="Tahoma"/>
            <family val="2"/>
            <charset val="204"/>
          </rPr>
          <t>y balabaeva: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>расходы на МПС платную версию = число платящих пользователей</t>
        </r>
        <r>
          <rPr>
            <sz val="10"/>
            <color rgb="FF000000"/>
            <rFont val="Calibri"/>
            <family val="2"/>
          </rPr>
          <t xml:space="preserve">(по сегментам по оборотам) </t>
        </r>
        <r>
          <rPr>
            <sz val="10"/>
            <color rgb="FF000000"/>
            <rFont val="Tahoma"/>
            <family val="2"/>
            <charset val="204"/>
          </rPr>
          <t xml:space="preserve"> * LT (по сегментам по оборотам) * стоимость API МПСтатс на 1 патящего пользователя as is</t>
        </r>
      </text>
    </comment>
    <comment ref="A71" authorId="0" shapeId="0" xr:uid="{426FDEE2-7FF4-BF4D-BE09-D70ED5E394BE}">
      <text>
        <r>
          <rPr>
            <b/>
            <sz val="10"/>
            <color rgb="FF000000"/>
            <rFont val="Tahoma"/>
            <family val="2"/>
            <charset val="204"/>
          </rPr>
          <t>y balabaeva: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>вероятно выставленеи счетов, коммуникации</t>
        </r>
      </text>
    </comment>
    <comment ref="G76" authorId="0" shapeId="0" xr:uid="{61237A58-DE66-D04C-AE26-3AD1393E9D85}">
      <text>
        <r>
          <rPr>
            <b/>
            <sz val="10"/>
            <color rgb="FF000000"/>
            <rFont val="Tahoma"/>
            <family val="2"/>
            <charset val="204"/>
          </rPr>
          <t>y balabaeva: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>уже получаем доход с др продуктов Банка</t>
        </r>
      </text>
    </comment>
    <comment ref="I76" authorId="0" shapeId="0" xr:uid="{9B067B84-C2CA-E74D-B979-684F01DC7D0D}">
      <text>
        <r>
          <rPr>
            <b/>
            <sz val="10"/>
            <color rgb="FF000000"/>
            <rFont val="Tahoma"/>
            <family val="2"/>
            <charset val="204"/>
          </rPr>
          <t>y balabaeva: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>из расчета на кол-во клиентво в инкременте (из бизнес модели Крины) - клиенты проснулись  в РКО из-за МПС</t>
        </r>
      </text>
    </comment>
    <comment ref="J76" authorId="0" shapeId="0" xr:uid="{2EF22FF9-A24B-D342-B18C-24E12F604C92}">
      <text>
        <r>
          <rPr>
            <b/>
            <sz val="10"/>
            <color rgb="FF000000"/>
            <rFont val="Tahoma"/>
            <family val="2"/>
            <charset val="204"/>
          </rPr>
          <t>y balabaeva: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>из расчета на кол-во клиентво в инкременте (из бизнес модели Крины) - клиенты открвли  РКО из-за МПС</t>
        </r>
        <r>
          <rPr>
            <sz val="10"/>
            <color rgb="FF000000"/>
            <rFont val="Calibri"/>
            <family val="2"/>
            <scheme val="minor"/>
          </rPr>
          <t xml:space="preserve">
</t>
        </r>
      </text>
    </comment>
    <comment ref="R76" authorId="0" shapeId="0" xr:uid="{8E8F6396-37B2-7F4B-9483-D3D4986B2CB3}">
      <text>
        <r>
          <rPr>
            <b/>
            <sz val="10"/>
            <color rgb="FF000000"/>
            <rFont val="Tahoma"/>
            <family val="2"/>
            <charset val="204"/>
          </rPr>
          <t>y balabaeva: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>гипотеза - LTV тарифов МПС выше на за счет ковенант</t>
        </r>
      </text>
    </comment>
    <comment ref="X76" authorId="0" shapeId="0" xr:uid="{D3541390-2FF7-9249-B10F-D7CD5B623172}">
      <text>
        <r>
          <rPr>
            <b/>
            <sz val="10"/>
            <color rgb="FF000000"/>
            <rFont val="Tahoma"/>
            <family val="2"/>
            <charset val="204"/>
          </rPr>
          <t>y balabaeva: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>гипотеза - по клиентам с тарифом MPS LTV выше на 30% за счет ковенант)</t>
        </r>
      </text>
    </comment>
    <comment ref="AG76" authorId="0" shapeId="0" xr:uid="{35EE02EA-E947-E54F-9DBA-23F22A276B9C}">
      <text>
        <r>
          <rPr>
            <b/>
            <sz val="10"/>
            <color rgb="FF000000"/>
            <rFont val="Tahoma"/>
            <family val="2"/>
            <charset val="204"/>
          </rPr>
          <t>y balabaeva: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>гипотеза - по клиентам с тарифом MPS LTV выше на 30% за счет ковенант)</t>
        </r>
      </text>
    </comment>
    <comment ref="AM76" authorId="0" shapeId="0" xr:uid="{AE207C60-6C60-BC4B-B31E-DF1892A17A83}">
      <text>
        <r>
          <rPr>
            <b/>
            <sz val="10"/>
            <color rgb="FF000000"/>
            <rFont val="Tahoma"/>
            <family val="2"/>
            <charset val="204"/>
          </rPr>
          <t>y balabaeva: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>гипотеза - LTV тарифов МПС выше на за счет ковенант</t>
        </r>
      </text>
    </comment>
    <comment ref="I86" authorId="0" shapeId="0" xr:uid="{0C67AB89-B4C5-8D45-A9F9-3D530D5E6CEF}">
      <text>
        <r>
          <rPr>
            <b/>
            <sz val="10"/>
            <color rgb="FF000000"/>
            <rFont val="Tahoma"/>
            <family val="2"/>
            <charset val="204"/>
          </rPr>
          <t>y balabaeva: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>уточнить по сегменту (сейчас ср по 1 и 2 сегменту)</t>
        </r>
      </text>
    </comment>
    <comment ref="M93" authorId="0" shapeId="0" xr:uid="{F0122E00-CA71-2E45-A1C5-DCA808EA87F6}">
      <text>
        <r>
          <rPr>
            <b/>
            <sz val="10"/>
            <color rgb="FF000000"/>
            <rFont val="Tahoma"/>
            <family val="2"/>
            <charset val="204"/>
          </rPr>
          <t xml:space="preserve">y balabaeva:
</t>
        </r>
        <r>
          <rPr>
            <sz val="10"/>
            <color rgb="FF000000"/>
            <rFont val="Tahoma"/>
            <family val="2"/>
            <charset val="204"/>
          </rPr>
          <t xml:space="preserve">as is в Селлере - 35% оплат- досписания </t>
        </r>
        <r>
          <rPr>
            <sz val="10"/>
            <color rgb="FF000000"/>
            <rFont val="Calibri"/>
            <family val="2"/>
          </rPr>
          <t>с РКО  при недостатке средств в конце мес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 xml:space="preserve">Пока предположила LT </t>
        </r>
        <r>
          <rPr>
            <sz val="10"/>
            <color rgb="FF000000"/>
            <rFont val="Calibri"/>
            <family val="2"/>
          </rPr>
          <t xml:space="preserve">экспертно  + 1 мес к LT MPS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Какк уточнить гипотезу:
</t>
        </r>
        <r>
          <rPr>
            <sz val="10"/>
            <color rgb="FF000000"/>
            <rFont val="Calibri"/>
            <family val="2"/>
          </rPr>
          <t xml:space="preserve">1) как изменилось LT в Селлере после фичи досписания? (если не было запущено так изначлаьно)
</t>
        </r>
        <r>
          <rPr>
            <sz val="10"/>
            <color rgb="FF000000"/>
            <rFont val="Calibri"/>
            <family val="2"/>
          </rPr>
          <t xml:space="preserve">2) Бенчи
</t>
        </r>
      </text>
    </comment>
    <comment ref="M140" authorId="0" shapeId="0" xr:uid="{90C1DAFB-A2BF-8548-BDA0-C45C33CC6ECA}">
      <text>
        <r>
          <rPr>
            <b/>
            <sz val="10"/>
            <color rgb="FF000000"/>
            <rFont val="Tahoma"/>
            <family val="2"/>
            <charset val="204"/>
          </rPr>
          <t>y balabaeva: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>Карина - уточнит как ковенанты влияют на LTV в др продуктах Т</t>
        </r>
      </text>
    </comment>
    <comment ref="S140" authorId="0" shapeId="0" xr:uid="{46BDEAFA-8E1B-8141-9C52-EBAC7C8C850E}">
      <text>
        <r>
          <rPr>
            <b/>
            <sz val="10"/>
            <color rgb="FF000000"/>
            <rFont val="Tahoma"/>
            <family val="2"/>
            <charset val="204"/>
          </rPr>
          <t>y balabaeva: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>Карина - уточнит как ковенанты влияют на LTV в др продуктах Т</t>
        </r>
      </text>
    </comment>
    <comment ref="AB140" authorId="0" shapeId="0" xr:uid="{59574290-44CB-8643-B790-B2ED457156C8}">
      <text>
        <r>
          <rPr>
            <b/>
            <sz val="10"/>
            <color rgb="FF000000"/>
            <rFont val="Tahoma"/>
            <family val="2"/>
            <charset val="204"/>
          </rPr>
          <t>y balabaeva: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>Карина - уточнит как ковенанты влияют на LTV в др продуктах Т</t>
        </r>
      </text>
    </comment>
    <comment ref="AH140" authorId="0" shapeId="0" xr:uid="{338C8598-580F-5349-A18C-F3308595FFA5}">
      <text>
        <r>
          <rPr>
            <b/>
            <sz val="10"/>
            <color rgb="FF000000"/>
            <rFont val="Tahoma"/>
            <family val="2"/>
            <charset val="204"/>
          </rPr>
          <t>y balabaeva: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>Карина - уточнит как ковенанты влияют на LTV в др продуктах Т</t>
        </r>
      </text>
    </comment>
    <comment ref="A147" authorId="0" shapeId="0" xr:uid="{47B6DC9B-4FC6-4742-AB61-B37E6B922370}">
      <text>
        <r>
          <rPr>
            <b/>
            <sz val="10"/>
            <color rgb="FF000000"/>
            <rFont val="Tahoma"/>
            <family val="2"/>
            <charset val="204"/>
          </rPr>
          <t>y balabaeva: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если будет внешний маркетинг - ср 3 млн на медиа и тг каналы . внутренний маркетинг (почта, пуши и пр)  считается бесплатным каналом
</t>
        </r>
      </text>
    </comment>
    <comment ref="K147" authorId="0" shapeId="0" xr:uid="{12D5F308-45E1-DE47-99A9-B55A80D318C0}">
      <text>
        <r>
          <rPr>
            <b/>
            <sz val="10"/>
            <color rgb="FF000000"/>
            <rFont val="Tahoma"/>
            <family val="2"/>
            <charset val="204"/>
          </rPr>
          <t>y balabaeva: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>гипотеза - если будет внешний маркетинг (3 млн на медиа и тг каналы). внутренний маркетинг считается бесплатным каналом</t>
        </r>
      </text>
    </comment>
    <comment ref="R147" authorId="0" shapeId="0" xr:uid="{F1D66E8C-BA78-FB47-9514-46C8C7F8C37D}">
      <text>
        <r>
          <rPr>
            <b/>
            <sz val="10"/>
            <color rgb="FF000000"/>
            <rFont val="Tahoma"/>
            <family val="2"/>
            <charset val="204"/>
          </rPr>
          <t>y balabaeva: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>гипотеза - если будет внешний маркетинг (3 млн на медиа и тг каналы). внутренний маркетинг считается бесплатным каналом</t>
        </r>
      </text>
    </comment>
    <comment ref="X147" authorId="0" shapeId="0" xr:uid="{5A42E05A-53A2-204A-BC08-6561C9C35680}">
      <text>
        <r>
          <rPr>
            <b/>
            <sz val="10"/>
            <color rgb="FF000000"/>
            <rFont val="Tahoma"/>
            <family val="2"/>
            <charset val="204"/>
          </rPr>
          <t>y balabaeva: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>гипотеза - если будет внешний маркетинг (3 млн на медиа и тг каналы). внутренний маркетинг считается бесплатным каналом</t>
        </r>
      </text>
    </comment>
    <comment ref="AG147" authorId="0" shapeId="0" xr:uid="{CD34AA03-F6CE-7247-A7BD-6A010D3BC403}">
      <text>
        <r>
          <rPr>
            <b/>
            <sz val="10"/>
            <color rgb="FF000000"/>
            <rFont val="Tahoma"/>
            <family val="2"/>
            <charset val="204"/>
          </rPr>
          <t>y balabaeva: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>гипотеза - если будет внешний маркетинг (3 млн на медиа и тг каналы). внутренний маркетинг считается бесплатным каналом</t>
        </r>
      </text>
    </comment>
    <comment ref="AM147" authorId="0" shapeId="0" xr:uid="{3437A347-EA2C-044C-88A2-D6971457DE2B}">
      <text>
        <r>
          <rPr>
            <b/>
            <sz val="10"/>
            <color rgb="FF000000"/>
            <rFont val="Tahoma"/>
            <family val="2"/>
            <charset val="204"/>
          </rPr>
          <t>y balabaeva: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>гипотеза - если будет внешний маркетинг (3 млн на медиа и тг каналы). внутренний маркетинг считается бесплатным каналом</t>
        </r>
      </text>
    </comment>
    <comment ref="A149" authorId="0" shapeId="0" xr:uid="{CBB8308A-EEA4-524C-8F31-AF45445CEDF4}">
      <text>
        <r>
          <rPr>
            <b/>
            <sz val="10"/>
            <color rgb="FF000000"/>
            <rFont val="Tahoma"/>
            <family val="2"/>
            <charset val="204"/>
          </rPr>
          <t>y balabaeva: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>предположение</t>
        </r>
      </text>
    </comment>
    <comment ref="G149" authorId="0" shapeId="0" xr:uid="{74C61B87-5ECE-314B-8B2E-C84978FE1479}">
      <text>
        <r>
          <rPr>
            <b/>
            <sz val="10"/>
            <color rgb="FF000000"/>
            <rFont val="Tahoma"/>
            <family val="2"/>
            <charset val="204"/>
          </rPr>
          <t>y balabaeva: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>предположение: из 14 дней пользователь в ср будет посещать сервис 4 дн</t>
        </r>
      </text>
    </comment>
    <comment ref="N149" authorId="0" shapeId="0" xr:uid="{063F10A4-D727-9A46-9A41-26FC86510355}">
      <text>
        <r>
          <rPr>
            <b/>
            <sz val="10"/>
            <color rgb="FF000000"/>
            <rFont val="Tahoma"/>
            <family val="2"/>
            <charset val="204"/>
          </rPr>
          <t>y balabaeva: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>предположение: из 14 дней пользователь в ср будет посещать сервис 4 дн</t>
        </r>
      </text>
    </comment>
    <comment ref="T149" authorId="0" shapeId="0" xr:uid="{AB082C0D-06AD-E948-96DC-737CD702C665}">
      <text>
        <r>
          <rPr>
            <b/>
            <sz val="10"/>
            <color rgb="FF000000"/>
            <rFont val="Tahoma"/>
            <family val="2"/>
            <charset val="204"/>
          </rPr>
          <t>y balabaeva: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>предположение: из 14 дней пользователь в ср будет посещать сервис 4 дн</t>
        </r>
      </text>
    </comment>
    <comment ref="AC149" authorId="0" shapeId="0" xr:uid="{33D059EE-E1C5-5B46-8B08-7960A99296BC}">
      <text>
        <r>
          <rPr>
            <b/>
            <sz val="10"/>
            <color rgb="FF000000"/>
            <rFont val="Tahoma"/>
            <family val="2"/>
            <charset val="204"/>
          </rPr>
          <t>y balabaeva: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>предположение: из 14 дней пользователь в ср будет посещать сервис 4 дн</t>
        </r>
      </text>
    </comment>
    <comment ref="AI149" authorId="0" shapeId="0" xr:uid="{1233C485-C3D1-5548-811D-2E0FD35D8BBC}">
      <text>
        <r>
          <rPr>
            <b/>
            <sz val="10"/>
            <color rgb="FF000000"/>
            <rFont val="Tahoma"/>
            <family val="2"/>
            <charset val="204"/>
          </rPr>
          <t>y balabaeva: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>предположение: из 14 дней пользователь в ср будет посещать сервис 4 дн</t>
        </r>
      </text>
    </comment>
    <comment ref="A153" authorId="0" shapeId="0" xr:uid="{93B07236-493C-F64B-9F35-5E2A919F3125}">
      <text>
        <r>
          <rPr>
            <b/>
            <sz val="10"/>
            <color rgb="FF000000"/>
            <rFont val="Tahoma"/>
            <family val="2"/>
            <charset val="204"/>
          </rPr>
          <t>y balabaeva: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 xml:space="preserve">2,7 р - стоимость на 1 пользователя в день от МПС на главную Селлер
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>9 заходов - данные Селлер (заложен небольшой рост)</t>
        </r>
      </text>
    </comment>
    <comment ref="G153" authorId="0" shapeId="0" xr:uid="{3AD79EE2-B1C2-F340-AECC-011D0041E54A}">
      <text>
        <r>
          <rPr>
            <b/>
            <sz val="10"/>
            <color rgb="FF000000"/>
            <rFont val="Tahoma"/>
            <family val="2"/>
            <charset val="204"/>
          </rPr>
          <t>y balabaeva: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 xml:space="preserve">знаем что главная будет обходиться примерно 2.7 р в день на 1 пользователя. предполагаем что платящие будут посещать 9 дней в мес. итого 2.7*9
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 xml:space="preserve">as is Селлер ср заходы на 1 платящего - 7,69. гипотеза - рос 20%, 9. </t>
        </r>
      </text>
    </comment>
    <comment ref="A154" authorId="0" shapeId="0" xr:uid="{17BD251B-CCF3-2641-8142-027D6B68CC47}">
      <text>
        <r>
          <rPr>
            <b/>
            <sz val="10"/>
            <color rgb="FF000000"/>
            <rFont val="Tahoma"/>
            <family val="2"/>
            <charset val="204"/>
          </rPr>
          <t>y balabaeva: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+mn-lt"/>
            <charset val="1"/>
          </rPr>
          <t xml:space="preserve">2,7 р - стоимость на 1 пользователя в день от МПС на главную Селлер
</t>
        </r>
        <r>
          <rPr>
            <sz val="10"/>
            <color rgb="FF000000"/>
            <rFont val="+mn-lt"/>
            <charset val="1"/>
          </rPr>
          <t xml:space="preserve">
</t>
        </r>
        <r>
          <rPr>
            <sz val="10"/>
            <color rgb="FF000000"/>
            <rFont val="+mn-lt"/>
            <charset val="1"/>
          </rPr>
          <t xml:space="preserve">2 заходов - данные Селлер (заложен небольшой рост)
</t>
        </r>
      </text>
    </comment>
    <comment ref="G154" authorId="0" shapeId="0" xr:uid="{C51A8151-9A5F-3542-A61C-D779A07DE181}">
      <text>
        <r>
          <rPr>
            <b/>
            <sz val="10"/>
            <color rgb="FF000000"/>
            <rFont val="Tahoma"/>
            <family val="2"/>
            <charset val="204"/>
          </rPr>
          <t>y balabaeva: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 xml:space="preserve">знаем что главная будет обходиться примерно 2.7 р в день на 1 пользователя. предполагаем что лиды не платящие в ср зайдут в Селлер 2 раза  
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>As Is  в Селлер: среднее число заходов в Селлер в месяц на 1 неплатящего пользователя - 1,73 раза</t>
        </r>
        <r>
          <rPr>
            <sz val="10"/>
            <color rgb="FF000000"/>
            <rFont val="Calibri"/>
            <family val="2"/>
          </rPr>
          <t xml:space="preserve"> гипотеза - рост 20%, 2. </t>
        </r>
      </text>
    </comment>
    <comment ref="G155" authorId="0" shapeId="0" xr:uid="{DBF9CFCE-7A84-DE4D-AD00-2FF81F32BF38}">
      <text>
        <r>
          <rPr>
            <b/>
            <sz val="10"/>
            <color rgb="FF000000"/>
            <rFont val="Tahoma"/>
            <family val="2"/>
            <charset val="204"/>
          </rPr>
          <t>y balabaeva: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>знаем что главная будет обходиться примерно 2.7 р в день на 1 пользователя</t>
        </r>
      </text>
    </comment>
    <comment ref="A156" authorId="0" shapeId="0" xr:uid="{288455CF-01C4-3A4C-8638-80737DC065D4}">
      <text>
        <r>
          <rPr>
            <b/>
            <sz val="10"/>
            <color rgb="FF000000"/>
            <rFont val="Tahoma"/>
            <family val="2"/>
            <charset val="204"/>
          </rPr>
          <t>y balabaeva: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>гипотеза на данных Селлера AS IS  - 25% оставляют АПИ</t>
        </r>
        <r>
          <rPr>
            <sz val="10"/>
            <color rgb="FF000000"/>
            <rFont val="Calibri"/>
            <family val="2"/>
            <scheme val="minor"/>
          </rPr>
          <t xml:space="preserve">
</t>
        </r>
      </text>
    </comment>
    <comment ref="A157" authorId="0" shapeId="0" xr:uid="{EF38066E-D595-DF4F-B9F5-9570D7DD4DB3}">
      <text>
        <r>
          <rPr>
            <b/>
            <sz val="10"/>
            <color rgb="FF000000"/>
            <rFont val="Tahoma"/>
            <family val="2"/>
            <charset val="204"/>
          </rPr>
          <t>y balabaeva: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>на данных Селлера</t>
        </r>
      </text>
    </comment>
    <comment ref="A178" authorId="0" shapeId="0" xr:uid="{C96B45E4-B5B2-634C-B2A8-C7CAB507418A}">
      <text>
        <r>
          <rPr>
            <b/>
            <sz val="10"/>
            <color rgb="FF000000"/>
            <rFont val="Tahoma"/>
            <family val="2"/>
            <charset val="204"/>
          </rPr>
          <t>y balabaeva: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>тут по названию - расходы на коммуникации , повторное выставление счетов</t>
        </r>
      </text>
    </comment>
    <comment ref="G181" authorId="0" shapeId="0" xr:uid="{CDAC2659-5EA7-8A46-A6E8-DD5530BD42FE}">
      <text>
        <r>
          <rPr>
            <b/>
            <sz val="10"/>
            <color rgb="FF000000"/>
            <rFont val="Tahoma"/>
            <family val="2"/>
            <charset val="204"/>
          </rPr>
          <t>y balabaeva: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>предположение (на основе стоимсти API в мес на 1 платящего) - 212 р в мес /10 дней (предположение: ср посещение платного пользователя) = 21 р</t>
        </r>
      </text>
    </comment>
    <comment ref="N181" authorId="0" shapeId="0" xr:uid="{DB5EAF8E-645D-5E4E-833D-0B7E6707E8BA}">
      <text>
        <r>
          <rPr>
            <b/>
            <sz val="10"/>
            <color rgb="FF000000"/>
            <rFont val="Tahoma"/>
            <family val="2"/>
            <charset val="204"/>
          </rPr>
          <t>y balabaeva: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>предположение (на основе стоимсти API в мес на 1 платящего) - 212 р в мес /10 дней (предположение: ср посещение платного пользователя) = 21 р</t>
        </r>
      </text>
    </comment>
    <comment ref="T181" authorId="0" shapeId="0" xr:uid="{E5A4E2B3-C0DB-F74B-87F5-F55983713491}">
      <text>
        <r>
          <rPr>
            <b/>
            <sz val="10"/>
            <color rgb="FF000000"/>
            <rFont val="Tahoma"/>
            <family val="2"/>
            <charset val="204"/>
          </rPr>
          <t>y balabaeva: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>предположение (на основе стоимсти API в мес на 1 платящего) - 212 р в мес /10 дней (предположение: ср посещение платного пользователя) = 21 р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y balabaeva</author>
  </authors>
  <commentList>
    <comment ref="F5" authorId="0" shapeId="0" xr:uid="{01311B17-13CE-9541-BCD6-92DBE9A1528F}">
      <text>
        <r>
          <rPr>
            <b/>
            <sz val="10"/>
            <color rgb="FF000000"/>
            <rFont val="Tahoma"/>
            <family val="2"/>
            <charset val="204"/>
          </rPr>
          <t>y balabaeva: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>не очищенная база от пересечений с МПС и Точкой</t>
        </r>
      </text>
    </comment>
    <comment ref="I5" authorId="0" shapeId="0" xr:uid="{D9399399-D938-E740-9763-EF085C9C97B9}">
      <text>
        <r>
          <rPr>
            <b/>
            <sz val="10"/>
            <color rgb="FF000000"/>
            <rFont val="Tahoma"/>
            <family val="2"/>
            <charset val="204"/>
          </rPr>
          <t>y balabaeva: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>бизнес-модель Карины</t>
        </r>
      </text>
    </comment>
    <comment ref="J5" authorId="0" shapeId="0" xr:uid="{B9F35C2F-4765-C841-A95E-FC7BCDA36DE8}">
      <text>
        <r>
          <rPr>
            <b/>
            <sz val="10"/>
            <color rgb="FF000000"/>
            <rFont val="Tahoma"/>
            <family val="2"/>
            <charset val="204"/>
          </rPr>
          <t>y balabaeva: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бизнес-модель Карины
</t>
        </r>
      </text>
    </comment>
    <comment ref="I6" authorId="0" shapeId="0" xr:uid="{8B5183FF-3C79-BD45-AEA4-A70BAEB03CE6}">
      <text>
        <r>
          <rPr>
            <b/>
            <sz val="10"/>
            <color rgb="FF000000"/>
            <rFont val="Tahoma"/>
            <family val="2"/>
            <charset val="204"/>
          </rPr>
          <t>y balabaeva: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>из базы сегмента  - придут за МПС</t>
        </r>
      </text>
    </comment>
    <comment ref="J6" authorId="0" shapeId="0" xr:uid="{88F20ABA-C9F0-904F-9B7E-8AFD3D2F61B2}">
      <text>
        <r>
          <rPr>
            <b/>
            <sz val="10"/>
            <color rgb="FF000000"/>
            <rFont val="Tahoma"/>
            <family val="2"/>
            <charset val="204"/>
          </rPr>
          <t>y balabaeva: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из базы сегмента  - придут за МПС
</t>
        </r>
      </text>
    </comment>
    <comment ref="F7" authorId="0" shapeId="0" xr:uid="{B43A40B4-3FFD-C249-9F13-BF1FF00E854B}">
      <text>
        <r>
          <rPr>
            <b/>
            <sz val="10"/>
            <color rgb="FF000000"/>
            <rFont val="Tahoma"/>
            <family val="2"/>
            <charset val="204"/>
          </rPr>
          <t>y balabaeva: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 xml:space="preserve">сейчас уже коснулись половины базы, гипотеза - с маркетингом коснемся не менее 80%
</t>
        </r>
      </text>
    </comment>
    <comment ref="M7" authorId="0" shapeId="0" xr:uid="{A978380D-413F-B04E-B9EC-9ED6D5152650}">
      <text>
        <r>
          <rPr>
            <b/>
            <sz val="10"/>
            <color rgb="FF000000"/>
            <rFont val="Tahoma"/>
            <family val="2"/>
            <charset val="204"/>
          </rPr>
          <t>y balabaeva: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 xml:space="preserve">сейчас уже коснулись половины базы, гипотеза - с маркетингом коснемся не менее 80%
</t>
        </r>
      </text>
    </comment>
    <comment ref="S7" authorId="0" shapeId="0" xr:uid="{28855C54-7BBF-344C-AA16-C882F3ABDEFA}">
      <text>
        <r>
          <rPr>
            <b/>
            <sz val="10"/>
            <color rgb="FF000000"/>
            <rFont val="Tahoma"/>
            <family val="2"/>
            <charset val="204"/>
          </rPr>
          <t>y balabaeva: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 xml:space="preserve">сейчас уже коснулись половины базы, гипотеза - с маркетингом коснемся не менее 80%
</t>
        </r>
      </text>
    </comment>
    <comment ref="F14" authorId="0" shapeId="0" xr:uid="{DBD53B2A-AF3A-0E4B-8EBA-3162A67EF252}">
      <text>
        <r>
          <rPr>
            <b/>
            <sz val="10"/>
            <color rgb="FF000000"/>
            <rFont val="Tahoma"/>
            <family val="2"/>
            <charset val="204"/>
          </rPr>
          <t>y balabaeva: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 xml:space="preserve">гипотеза - довзонились до ЦА. 
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 xml:space="preserve">Наша база - все ЦА (есть обороты на МП). 
</t>
        </r>
        <r>
          <rPr>
            <sz val="10"/>
            <color rgb="FF000000"/>
            <rFont val="Tahoma"/>
            <family val="2"/>
            <charset val="204"/>
          </rPr>
          <t xml:space="preserve">Как считает ЦА MPS:
</t>
        </r>
        <r>
          <rPr>
            <sz val="10"/>
            <color rgb="FF000000"/>
            <rFont val="Calibri"/>
            <family val="2"/>
          </rPr>
          <t xml:space="preserve">- 150 -000 - есть для старта
</t>
        </r>
        <r>
          <rPr>
            <sz val="10"/>
            <color rgb="FF000000"/>
            <rFont val="Calibri"/>
            <family val="2"/>
          </rPr>
          <t xml:space="preserve">- в теч 2 мес планирует начать торговать
</t>
        </r>
        <r>
          <rPr>
            <sz val="10"/>
            <color rgb="FF000000"/>
            <rFont val="Calibri"/>
            <family val="2"/>
          </rPr>
          <t xml:space="preserve">- селлер - есть рега на МП (озон вб яндекс)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>CR в дозвон холодня база Т - 65%. гипотеза теплые - 75%</t>
        </r>
      </text>
    </comment>
    <comment ref="M14" authorId="0" shapeId="0" xr:uid="{63051D5C-DB1A-924C-910F-53E50A2F8547}">
      <text>
        <r>
          <rPr>
            <b/>
            <sz val="10"/>
            <color rgb="FF000000"/>
            <rFont val="Tahoma"/>
            <family val="2"/>
            <charset val="204"/>
          </rPr>
          <t>y balabaeva: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 xml:space="preserve">гипотеза - довзонились до ЦА. 
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 xml:space="preserve">Наша база - все ЦА (есть обороты на МП). 
</t>
        </r>
        <r>
          <rPr>
            <sz val="10"/>
            <color rgb="FF000000"/>
            <rFont val="Tahoma"/>
            <family val="2"/>
            <charset val="204"/>
          </rPr>
          <t xml:space="preserve">Как считает ЦА MPS:
</t>
        </r>
        <r>
          <rPr>
            <sz val="10"/>
            <color rgb="FF000000"/>
            <rFont val="Calibri"/>
            <family val="2"/>
          </rPr>
          <t xml:space="preserve">- 150 -000 - есть для старта
</t>
        </r>
        <r>
          <rPr>
            <sz val="10"/>
            <color rgb="FF000000"/>
            <rFont val="Calibri"/>
            <family val="2"/>
          </rPr>
          <t xml:space="preserve">- в теч 2 мес планирует начать торговать
</t>
        </r>
        <r>
          <rPr>
            <sz val="10"/>
            <color rgb="FF000000"/>
            <rFont val="Calibri"/>
            <family val="2"/>
          </rPr>
          <t>- селлер - есть рега на МП (озон вб яндекс)</t>
        </r>
      </text>
    </comment>
    <comment ref="M19" authorId="0" shapeId="0" xr:uid="{07AC135E-6424-EA4A-A37F-DBBF6C03D74C}">
      <text>
        <r>
          <rPr>
            <b/>
            <sz val="10"/>
            <color rgb="FF000000"/>
            <rFont val="Tahoma"/>
            <family val="2"/>
            <charset val="204"/>
          </rPr>
          <t>y balabaeva: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 xml:space="preserve">CR в первую оплату
</t>
        </r>
        <r>
          <rPr>
            <sz val="10"/>
            <color rgb="FF000000"/>
            <rFont val="Tahoma"/>
            <family val="2"/>
            <charset val="204"/>
          </rPr>
          <t xml:space="preserve">На данных - автосписания дают аплифт в 2 раза (посомтрели до фичи и после)
</t>
        </r>
        <r>
          <rPr>
            <sz val="10"/>
            <color rgb="FF000000"/>
            <rFont val="Calibri"/>
            <family val="2"/>
          </rPr>
          <t xml:space="preserve">гипотеза - в 1,5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Повторные оплатв
</t>
        </r>
        <r>
          <rPr>
            <sz val="10"/>
            <color rgb="FF000000"/>
            <rFont val="Calibri"/>
            <family val="2"/>
          </rPr>
          <t xml:space="preserve">+ к LT за счет механизма достписаний при недостатке ДС
</t>
        </r>
        <r>
          <rPr>
            <sz val="10"/>
            <color rgb="FF000000"/>
            <rFont val="Calibri"/>
            <family val="2"/>
          </rPr>
          <t xml:space="preserve">На данных - 0.7 мес
</t>
        </r>
        <r>
          <rPr>
            <sz val="10"/>
            <color rgb="FF000000"/>
            <rFont val="Calibri"/>
            <family val="2"/>
          </rPr>
          <t xml:space="preserve">
</t>
        </r>
      </text>
    </comment>
    <comment ref="S19" authorId="0" shapeId="0" xr:uid="{E317D471-3256-EA44-A0F7-65C0263F840A}">
      <text>
        <r>
          <rPr>
            <b/>
            <sz val="10"/>
            <color rgb="FF000000"/>
            <rFont val="Tahoma"/>
            <family val="2"/>
            <charset val="204"/>
          </rPr>
          <t>y balabaeva: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>текущий CR (усредненный янв-мар 2026)</t>
        </r>
      </text>
    </comment>
    <comment ref="F20" authorId="0" shapeId="0" xr:uid="{2BB272A7-D2FA-0646-849D-B0294987E8E5}">
      <text>
        <r>
          <rPr>
            <b/>
            <sz val="10"/>
            <color rgb="FF000000"/>
            <rFont val="Tahoma"/>
            <family val="2"/>
            <charset val="204"/>
          </rPr>
          <t>y balabaeva: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>CR - digital канал Т</t>
        </r>
      </text>
    </comment>
    <comment ref="M20" authorId="0" shapeId="0" xr:uid="{01577CC7-8DE9-2D40-8A1A-8A359DEB6AEB}">
      <text>
        <r>
          <rPr>
            <b/>
            <sz val="10"/>
            <color rgb="FF000000"/>
            <rFont val="Tahoma"/>
            <family val="2"/>
            <charset val="204"/>
          </rPr>
          <t>y balabaeva: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>CR - digital канал Т</t>
        </r>
      </text>
    </comment>
    <comment ref="A56" authorId="0" shapeId="0" xr:uid="{1B13B308-A60D-2B4B-8D4B-CFDF035FFB7F}">
      <text>
        <r>
          <rPr>
            <b/>
            <sz val="11"/>
            <color rgb="FF000000"/>
            <rFont val="+mn-lt"/>
            <charset val="1"/>
          </rPr>
          <t>y balabaeva:</t>
        </r>
        <r>
          <rPr>
            <sz val="11"/>
            <color rgb="FF000000"/>
            <rFont val="+mn-lt"/>
            <charset val="1"/>
          </rPr>
          <t xml:space="preserve">
</t>
        </r>
        <r>
          <rPr>
            <sz val="11"/>
            <color rgb="FF000000"/>
            <rFont val="+mn-lt"/>
            <charset val="1"/>
          </rPr>
          <t xml:space="preserve">расходы на </t>
        </r>
        <r>
          <rPr>
            <sz val="11"/>
            <color rgb="FF000000"/>
            <rFont val="+mn-lt"/>
            <charset val="1"/>
          </rPr>
          <t xml:space="preserve">API </t>
        </r>
        <r>
          <rPr>
            <sz val="11"/>
            <color rgb="FF000000"/>
            <rFont val="+mn-lt"/>
            <charset val="1"/>
          </rPr>
          <t xml:space="preserve">1) визиты лидов + 2) </t>
        </r>
        <r>
          <rPr>
            <sz val="11"/>
            <color rgb="FF000000"/>
            <rFont val="+mn-lt"/>
            <charset val="1"/>
          </rPr>
          <t xml:space="preserve">расходы на платящих пользователей МПСтатс + 3) расходы на НЕ платящих пользователей 
</t>
        </r>
        <r>
          <rPr>
            <sz val="11"/>
            <color rgb="FF000000"/>
            <rFont val="+mn-lt"/>
            <charset val="1"/>
          </rPr>
          <t xml:space="preserve">
</t>
        </r>
        <r>
          <rPr>
            <sz val="11"/>
            <color rgb="FF000000"/>
            <rFont val="+mn-lt"/>
            <charset val="1"/>
          </rPr>
          <t xml:space="preserve">1) </t>
        </r>
        <r>
          <rPr>
            <b/>
            <sz val="11"/>
            <color rgb="FF000000"/>
            <rFont val="+mn-lt"/>
            <charset val="1"/>
          </rPr>
          <t>расходы на визиты лидов</t>
        </r>
        <r>
          <rPr>
            <b/>
            <sz val="11"/>
            <color rgb="FF000000"/>
            <rFont val="+mn-lt"/>
            <charset val="1"/>
          </rPr>
          <t xml:space="preserve"> </t>
        </r>
        <r>
          <rPr>
            <sz val="11"/>
            <color rgb="FF000000"/>
            <rFont val="+mn-lt"/>
            <charset val="1"/>
          </rPr>
          <t xml:space="preserve">= число лидов Селлер </t>
        </r>
        <r>
          <rPr>
            <sz val="11"/>
            <color rgb="FF000000"/>
            <rFont val="+mn-lt"/>
            <charset val="1"/>
          </rPr>
          <t>* стоимость главной Селлер на 1 пользователя в 1 день</t>
        </r>
        <r>
          <rPr>
            <sz val="11"/>
            <color rgb="FF000000"/>
            <rFont val="+mn-lt"/>
            <charset val="1"/>
          </rPr>
          <t xml:space="preserve"> </t>
        </r>
        <r>
          <rPr>
            <sz val="11"/>
            <color rgb="FF000000"/>
            <rFont val="+mn-lt"/>
            <charset val="1"/>
          </rPr>
          <t xml:space="preserve">* 1 </t>
        </r>
        <r>
          <rPr>
            <sz val="11"/>
            <color rgb="FF000000"/>
            <rFont val="+mn-lt"/>
            <charset val="1"/>
          </rPr>
          <t xml:space="preserve">визит
</t>
        </r>
        <r>
          <rPr>
            <sz val="11"/>
            <color rgb="FF000000"/>
            <rFont val="+mn-lt"/>
            <charset val="1"/>
          </rPr>
          <t xml:space="preserve">2,7 р - стоимость на 1 пользователя в день от МПС на главную Селлер
</t>
        </r>
        <r>
          <rPr>
            <sz val="11"/>
            <color rgb="FF000000"/>
            <rFont val="+mn-lt"/>
            <charset val="1"/>
          </rPr>
          <t xml:space="preserve">1 заход = лид
</t>
        </r>
        <r>
          <rPr>
            <sz val="11"/>
            <color rgb="FF000000"/>
            <rFont val="+mn-lt"/>
            <charset val="1"/>
          </rPr>
          <t>35</t>
        </r>
        <r>
          <rPr>
            <sz val="11"/>
            <color rgb="FF000000"/>
            <rFont val="+mn-lt"/>
            <charset val="1"/>
          </rPr>
          <t>%</t>
        </r>
        <r>
          <rPr>
            <sz val="11"/>
            <color rgb="FF000000"/>
            <rFont val="+mn-lt"/>
            <charset val="1"/>
          </rPr>
          <t xml:space="preserve"> - </t>
        </r>
        <r>
          <rPr>
            <sz val="11"/>
            <color rgb="FF000000"/>
            <rFont val="+mn-lt"/>
            <charset val="1"/>
          </rPr>
          <t xml:space="preserve"> оставят </t>
        </r>
        <r>
          <rPr>
            <sz val="11"/>
            <color rgb="FF000000"/>
            <rFont val="+mn-lt"/>
            <charset val="1"/>
          </rPr>
          <t xml:space="preserve">API </t>
        </r>
        <r>
          <rPr>
            <sz val="11"/>
            <color rgb="FF000000"/>
            <rFont val="+mn-lt"/>
            <charset val="1"/>
          </rPr>
          <t xml:space="preserve">гипотеза роста на данных Селлера  (текущий </t>
        </r>
        <r>
          <rPr>
            <sz val="11"/>
            <color rgb="FF000000"/>
            <rFont val="+mn-lt"/>
            <charset val="1"/>
          </rPr>
          <t xml:space="preserve">CR API </t>
        </r>
        <r>
          <rPr>
            <sz val="11"/>
            <color rgb="FF000000"/>
            <rFont val="+mn-lt"/>
            <charset val="1"/>
          </rPr>
          <t>- 25</t>
        </r>
        <r>
          <rPr>
            <sz val="11"/>
            <color rgb="FF000000"/>
            <rFont val="+mn-lt"/>
            <charset val="1"/>
          </rPr>
          <t>%</t>
        </r>
        <r>
          <rPr>
            <sz val="11"/>
            <color rgb="FF000000"/>
            <rFont val="+mn-lt"/>
            <charset val="1"/>
          </rPr>
          <t>)</t>
        </r>
        <r>
          <rPr>
            <sz val="11"/>
            <color rgb="FF000000"/>
            <rFont val="+mn-lt"/>
            <charset val="1"/>
          </rPr>
          <t xml:space="preserve">
</t>
        </r>
        <r>
          <rPr>
            <sz val="11"/>
            <color rgb="FF000000"/>
            <rFont val="+mn-lt"/>
            <charset val="1"/>
          </rPr>
          <t xml:space="preserve">
</t>
        </r>
        <r>
          <rPr>
            <sz val="11"/>
            <color rgb="FF000000"/>
            <rFont val="+mn-lt"/>
            <charset val="1"/>
          </rPr>
          <t xml:space="preserve">
</t>
        </r>
        <r>
          <rPr>
            <sz val="11"/>
            <color rgb="FF000000"/>
            <rFont val="+mn-lt"/>
            <charset val="1"/>
          </rPr>
          <t xml:space="preserve">2) </t>
        </r>
        <r>
          <rPr>
            <b/>
            <sz val="11"/>
            <color rgb="FF000000"/>
            <rFont val="+mn-lt"/>
            <charset val="1"/>
          </rPr>
          <t xml:space="preserve">расходы на платящих пользователей МПСтатс </t>
        </r>
        <r>
          <rPr>
            <sz val="11"/>
            <color rgb="FF000000"/>
            <rFont val="+mn-lt"/>
            <charset val="1"/>
          </rPr>
          <t>=</t>
        </r>
        <r>
          <rPr>
            <sz val="11"/>
            <color rgb="FF000000"/>
            <rFont val="+mn-lt"/>
            <charset val="1"/>
          </rPr>
          <t xml:space="preserve">
</t>
        </r>
        <r>
          <rPr>
            <sz val="11"/>
            <color rgb="FF000000"/>
            <rFont val="+mn-lt"/>
            <charset val="1"/>
          </rPr>
          <t>число платящих пользоватлей МПС</t>
        </r>
        <r>
          <rPr>
            <sz val="11"/>
            <color rgb="FF000000"/>
            <rFont val="+mn-lt"/>
            <charset val="1"/>
          </rPr>
          <t xml:space="preserve"> (</t>
        </r>
        <r>
          <rPr>
            <sz val="11"/>
            <color rgb="FF000000"/>
            <rFont val="+mn-lt"/>
            <charset val="1"/>
          </rPr>
          <t xml:space="preserve">по сегментам по оборотам)  </t>
        </r>
        <r>
          <rPr>
            <sz val="11"/>
            <color rgb="FF000000"/>
            <rFont val="+mn-lt"/>
            <charset val="1"/>
          </rPr>
          <t xml:space="preserve">* </t>
        </r>
        <r>
          <rPr>
            <sz val="11"/>
            <color rgb="FF000000"/>
            <rFont val="+mn-lt"/>
            <charset val="1"/>
          </rPr>
          <t xml:space="preserve">ср число визитов в мес в Селлер </t>
        </r>
        <r>
          <rPr>
            <sz val="11"/>
            <color rgb="FF000000"/>
            <rFont val="+mn-lt"/>
            <charset val="1"/>
          </rPr>
          <t xml:space="preserve">* </t>
        </r>
        <r>
          <rPr>
            <sz val="11"/>
            <color rgb="FF000000"/>
            <rFont val="+mn-lt"/>
            <charset val="1"/>
          </rPr>
          <t xml:space="preserve">стоимость главной Селлер на 1 пользователя в 1 день </t>
        </r>
        <r>
          <rPr>
            <sz val="11"/>
            <color rgb="FF000000"/>
            <rFont val="+mn-lt"/>
            <charset val="1"/>
          </rPr>
          <t>* LT (</t>
        </r>
        <r>
          <rPr>
            <sz val="11"/>
            <color rgb="FF000000"/>
            <rFont val="+mn-lt"/>
            <charset val="1"/>
          </rPr>
          <t xml:space="preserve">по сегментам по оборотам)  
</t>
        </r>
        <r>
          <rPr>
            <sz val="11"/>
            <color rgb="FF000000"/>
            <rFont val="+mn-lt"/>
            <charset val="1"/>
          </rPr>
          <t xml:space="preserve">
</t>
        </r>
        <r>
          <rPr>
            <sz val="11"/>
            <color rgb="FF000000"/>
            <rFont val="+mn-lt"/>
            <charset val="1"/>
          </rPr>
          <t>2,7 р - стоимость на 1 пользователя в день от МПС на главную Селлер</t>
        </r>
        <r>
          <rPr>
            <sz val="11"/>
            <color rgb="FF000000"/>
            <rFont val="+mn-lt"/>
            <charset val="1"/>
          </rPr>
          <t xml:space="preserve">
</t>
        </r>
        <r>
          <rPr>
            <sz val="11"/>
            <color rgb="FF000000"/>
            <rFont val="+mn-lt"/>
            <charset val="1"/>
          </rPr>
          <t xml:space="preserve">9 заходов - данные Селлер (+заложен небольшой рост)
</t>
        </r>
        <r>
          <rPr>
            <sz val="11"/>
            <color rgb="FF000000"/>
            <rFont val="+mn-lt"/>
            <charset val="1"/>
          </rPr>
          <t xml:space="preserve">
</t>
        </r>
        <r>
          <rPr>
            <sz val="11"/>
            <color rgb="FF000000"/>
            <rFont val="+mn-lt"/>
            <charset val="1"/>
          </rPr>
          <t xml:space="preserve">3) </t>
        </r>
        <r>
          <rPr>
            <b/>
            <sz val="11"/>
            <color rgb="FF000000"/>
            <rFont val="+mn-lt"/>
            <charset val="1"/>
          </rPr>
          <t xml:space="preserve">расходы на НЕ платящих пользователей МПСтатс </t>
        </r>
        <r>
          <rPr>
            <sz val="11"/>
            <color rgb="FF000000"/>
            <rFont val="+mn-lt"/>
            <charset val="1"/>
          </rPr>
          <t>=</t>
        </r>
        <r>
          <rPr>
            <sz val="11"/>
            <color rgb="FF000000"/>
            <rFont val="+mn-lt"/>
            <charset val="1"/>
          </rPr>
          <t xml:space="preserve">
</t>
        </r>
        <r>
          <rPr>
            <sz val="11"/>
            <color rgb="FF000000"/>
            <rFont val="+mn-lt"/>
            <charset val="1"/>
          </rPr>
          <t xml:space="preserve">MAU </t>
        </r>
        <r>
          <rPr>
            <sz val="11"/>
            <color rgb="FF000000"/>
            <rFont val="+mn-lt"/>
            <charset val="1"/>
          </rPr>
          <t xml:space="preserve"> НЕ платящих пользоватлей МПС</t>
        </r>
        <r>
          <rPr>
            <sz val="11"/>
            <color rgb="FF000000"/>
            <rFont val="+mn-lt"/>
            <charset val="1"/>
          </rPr>
          <t xml:space="preserve"> (</t>
        </r>
        <r>
          <rPr>
            <sz val="11"/>
            <color rgb="FF000000"/>
            <rFont val="+mn-lt"/>
            <charset val="1"/>
          </rPr>
          <t xml:space="preserve">по сегментам по оборотам)  </t>
        </r>
        <r>
          <rPr>
            <sz val="11"/>
            <color rgb="FF000000"/>
            <rFont val="+mn-lt"/>
            <charset val="1"/>
          </rPr>
          <t xml:space="preserve">* </t>
        </r>
        <r>
          <rPr>
            <sz val="11"/>
            <color rgb="FF000000"/>
            <rFont val="+mn-lt"/>
            <charset val="1"/>
          </rPr>
          <t xml:space="preserve">ср число визитов в мес в Селлер </t>
        </r>
        <r>
          <rPr>
            <sz val="11"/>
            <color rgb="FF000000"/>
            <rFont val="+mn-lt"/>
            <charset val="1"/>
          </rPr>
          <t xml:space="preserve">* </t>
        </r>
        <r>
          <rPr>
            <sz val="11"/>
            <color rgb="FF000000"/>
            <rFont val="+mn-lt"/>
            <charset val="1"/>
          </rPr>
          <t xml:space="preserve">стоимость главной Селлер на 1 пользователя в 1 день </t>
        </r>
        <r>
          <rPr>
            <sz val="11"/>
            <color rgb="FF000000"/>
            <rFont val="+mn-lt"/>
            <charset val="1"/>
          </rPr>
          <t>* LT (</t>
        </r>
        <r>
          <rPr>
            <sz val="11"/>
            <color rgb="FF000000"/>
            <rFont val="+mn-lt"/>
            <charset val="1"/>
          </rPr>
          <t xml:space="preserve">по сегментам по оборотам)  
</t>
        </r>
        <r>
          <rPr>
            <sz val="11"/>
            <color rgb="FF000000"/>
            <rFont val="+mn-lt"/>
            <charset val="1"/>
          </rPr>
          <t xml:space="preserve">
</t>
        </r>
        <r>
          <rPr>
            <sz val="11"/>
            <color rgb="FF000000"/>
            <rFont val="+mn-lt"/>
            <charset val="1"/>
          </rPr>
          <t xml:space="preserve">MAU </t>
        </r>
        <r>
          <rPr>
            <sz val="11"/>
            <color rgb="FF000000"/>
            <rFont val="+mn-lt"/>
            <charset val="1"/>
          </rPr>
          <t xml:space="preserve">- взят по данным Селлера в период когда был фокус на моентизации </t>
        </r>
        <r>
          <rPr>
            <sz val="11"/>
            <color rgb="FF000000"/>
            <rFont val="+mn-lt"/>
            <charset val="1"/>
          </rPr>
          <t>~15000</t>
        </r>
        <r>
          <rPr>
            <sz val="11"/>
            <color rgb="FF000000"/>
            <rFont val="+mn-lt"/>
            <charset val="1"/>
          </rPr>
          <t xml:space="preserve">. Из них - доля с </t>
        </r>
        <r>
          <rPr>
            <sz val="11"/>
            <color rgb="FF000000"/>
            <rFont val="+mn-lt"/>
            <charset val="1"/>
          </rPr>
          <t xml:space="preserve">API </t>
        </r>
        <r>
          <rPr>
            <sz val="11"/>
            <color rgb="FF000000"/>
            <rFont val="+mn-lt"/>
            <charset val="1"/>
          </rPr>
          <t>ключом - по данным Селелра 62</t>
        </r>
        <r>
          <rPr>
            <sz val="11"/>
            <color rgb="FF000000"/>
            <rFont val="+mn-lt"/>
            <charset val="1"/>
          </rPr>
          <t xml:space="preserve">% </t>
        </r>
        <r>
          <rPr>
            <sz val="11"/>
            <color rgb="FF000000"/>
            <rFont val="+mn-lt"/>
            <charset val="1"/>
          </rPr>
          <t xml:space="preserve">на сейчас. 
</t>
        </r>
        <r>
          <rPr>
            <sz val="11"/>
            <color rgb="FF000000"/>
            <rFont val="+mn-lt"/>
            <charset val="1"/>
          </rPr>
          <t>2,7 р - стоимость на 1 пользователя в день от МПС на главную Селлер</t>
        </r>
        <r>
          <rPr>
            <sz val="11"/>
            <color rgb="FF000000"/>
            <rFont val="+mn-lt"/>
            <charset val="1"/>
          </rPr>
          <t xml:space="preserve">
</t>
        </r>
        <r>
          <rPr>
            <sz val="11"/>
            <color rgb="FF000000"/>
            <rFont val="+mn-lt"/>
            <charset val="1"/>
          </rPr>
          <t>2 заходов в мес - данные Селлер (+заложен небольшой рост)</t>
        </r>
        <r>
          <rPr>
            <sz val="11"/>
            <color rgb="FF000000"/>
            <rFont val="+mn-lt"/>
            <charset val="1"/>
          </rPr>
          <t xml:space="preserve">
</t>
        </r>
        <r>
          <rPr>
            <sz val="11"/>
            <color rgb="FF000000"/>
            <rFont val="+mn-lt"/>
            <charset val="1"/>
          </rPr>
          <t>НО</t>
        </r>
        <r>
          <rPr>
            <sz val="11"/>
            <color rgb="FF000000"/>
            <rFont val="+mn-lt"/>
            <charset val="1"/>
          </rPr>
          <t xml:space="preserve"> не учтено кол-во мес. логично взять 12 мес? тк текущая модель примерно на 1 год. </t>
        </r>
        <r>
          <rPr>
            <sz val="11"/>
            <color rgb="FF000000"/>
            <rFont val="+mn-lt"/>
            <charset val="1"/>
          </rPr>
          <t xml:space="preserve">
</t>
        </r>
        <r>
          <rPr>
            <sz val="10"/>
            <color rgb="FF000000"/>
            <rFont val="+mn-lt"/>
            <charset val="1"/>
          </rPr>
          <t xml:space="preserve">
</t>
        </r>
      </text>
    </comment>
    <comment ref="A65" authorId="0" shapeId="0" xr:uid="{AFBB0D89-DD77-AA4C-8569-C9AD22D332AB}">
      <text>
        <r>
          <rPr>
            <b/>
            <sz val="10"/>
            <color rgb="FF000000"/>
            <rFont val="Tahoma"/>
            <family val="2"/>
            <charset val="204"/>
          </rPr>
          <t>y balabaeva: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>расходы на МПС платную версию = число платящих пользователей</t>
        </r>
        <r>
          <rPr>
            <sz val="10"/>
            <color rgb="FF000000"/>
            <rFont val="Calibri"/>
            <family val="2"/>
            <scheme val="minor"/>
          </rPr>
          <t>(по сегментам по оборотам)</t>
        </r>
        <r>
          <rPr>
            <sz val="10"/>
            <color rgb="FF000000"/>
            <rFont val="Calibri"/>
            <family val="2"/>
            <scheme val="minor"/>
          </rPr>
          <t xml:space="preserve"> </t>
        </r>
        <r>
          <rPr>
            <sz val="10"/>
            <color rgb="FF000000"/>
            <rFont val="Tahoma"/>
            <family val="2"/>
            <charset val="204"/>
          </rPr>
          <t xml:space="preserve"> </t>
        </r>
        <r>
          <rPr>
            <sz val="10"/>
            <color rgb="FF000000"/>
            <rFont val="Tahoma"/>
            <family val="2"/>
            <charset val="204"/>
          </rPr>
          <t>* LT (</t>
        </r>
        <r>
          <rPr>
            <sz val="10"/>
            <color rgb="FF000000"/>
            <rFont val="Tahoma"/>
            <family val="2"/>
            <charset val="204"/>
          </rPr>
          <t xml:space="preserve">по сегментам по оборотам) </t>
        </r>
        <r>
          <rPr>
            <sz val="10"/>
            <color rgb="FF000000"/>
            <rFont val="Tahoma"/>
            <family val="2"/>
            <charset val="204"/>
          </rPr>
          <t xml:space="preserve">* </t>
        </r>
        <r>
          <rPr>
            <sz val="10"/>
            <color rgb="FF000000"/>
            <rFont val="Tahoma"/>
            <family val="2"/>
            <charset val="204"/>
          </rPr>
          <t xml:space="preserve">стоимость </t>
        </r>
        <r>
          <rPr>
            <sz val="10"/>
            <color rgb="FF000000"/>
            <rFont val="Tahoma"/>
            <family val="2"/>
            <charset val="204"/>
          </rPr>
          <t xml:space="preserve">API </t>
        </r>
        <r>
          <rPr>
            <sz val="10"/>
            <color rgb="FF000000"/>
            <rFont val="Tahoma"/>
            <family val="2"/>
            <charset val="204"/>
          </rPr>
          <t xml:space="preserve">МПСтатс на 1 патящего пользователя </t>
        </r>
        <r>
          <rPr>
            <sz val="10"/>
            <color rgb="FF000000"/>
            <rFont val="Tahoma"/>
            <family val="2"/>
            <charset val="204"/>
          </rPr>
          <t>as is</t>
        </r>
      </text>
    </comment>
    <comment ref="A71" authorId="0" shapeId="0" xr:uid="{155B9D34-59BD-4B4F-96CD-57728116F7FC}">
      <text>
        <r>
          <rPr>
            <b/>
            <sz val="10"/>
            <color rgb="FF000000"/>
            <rFont val="Tahoma"/>
            <family val="2"/>
            <charset val="204"/>
          </rPr>
          <t>y balabaeva: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>вероятно выставленеи счетов, коммуникации</t>
        </r>
      </text>
    </comment>
    <comment ref="G76" authorId="0" shapeId="0" xr:uid="{51EBD010-44E7-134D-9269-AC124E997A3C}">
      <text>
        <r>
          <rPr>
            <b/>
            <sz val="10"/>
            <color rgb="FF000000"/>
            <rFont val="Tahoma"/>
            <family val="2"/>
            <charset val="204"/>
          </rPr>
          <t>y balabaeva: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>уже получаем доход с др продуктов Банка</t>
        </r>
      </text>
    </comment>
    <comment ref="I76" authorId="0" shapeId="0" xr:uid="{1C948D58-64FC-0B4F-8141-85F2586362F6}">
      <text>
        <r>
          <rPr>
            <b/>
            <sz val="10"/>
            <color rgb="FF000000"/>
            <rFont val="Tahoma"/>
            <family val="2"/>
            <charset val="204"/>
          </rPr>
          <t>y balabaeva: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>из расчета на кол-во клиентво в инкременте (из бизнес модели Крины) - клиенты проснулись  в РКО из-за МПС</t>
        </r>
      </text>
    </comment>
    <comment ref="J76" authorId="0" shapeId="0" xr:uid="{25A2F95B-4353-9D4A-B1DB-DDC44DDD9AF9}">
      <text>
        <r>
          <rPr>
            <b/>
            <sz val="10"/>
            <color rgb="FF000000"/>
            <rFont val="Tahoma"/>
            <family val="2"/>
            <charset val="204"/>
          </rPr>
          <t>y balabaeva: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>из расчета на кол-во клиентво в инкременте (из бизнес модели Крины) - клиенты открвли  РКО из-за МПС</t>
        </r>
        <r>
          <rPr>
            <sz val="10"/>
            <color rgb="FF000000"/>
            <rFont val="Calibri"/>
            <family val="2"/>
            <scheme val="minor"/>
          </rPr>
          <t xml:space="preserve">
</t>
        </r>
      </text>
    </comment>
    <comment ref="R76" authorId="0" shapeId="0" xr:uid="{7C2C71BF-9DB1-AF47-BC8F-AA5C574D4F14}">
      <text>
        <r>
          <rPr>
            <b/>
            <sz val="10"/>
            <color rgb="FF000000"/>
            <rFont val="Tahoma"/>
            <family val="2"/>
            <charset val="204"/>
          </rPr>
          <t>y balabaeva: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>гипотеза - LTV тарифов МПС выше на за счет ковенант</t>
        </r>
      </text>
    </comment>
    <comment ref="X76" authorId="0" shapeId="0" xr:uid="{3B934E74-C46A-8642-8BFE-B6F73ACF4472}">
      <text>
        <r>
          <rPr>
            <b/>
            <sz val="10"/>
            <color rgb="FF000000"/>
            <rFont val="Tahoma"/>
            <family val="2"/>
            <charset val="204"/>
          </rPr>
          <t>y balabaeva: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>гипотеза - по клиентам с тарифом MPS LTV выше на 30% за счет ковенант)</t>
        </r>
      </text>
    </comment>
    <comment ref="AG76" authorId="0" shapeId="0" xr:uid="{742589CE-D5CA-8E46-822A-BDD9E43D5E4A}">
      <text>
        <r>
          <rPr>
            <b/>
            <sz val="10"/>
            <color rgb="FF000000"/>
            <rFont val="Tahoma"/>
            <family val="2"/>
            <charset val="204"/>
          </rPr>
          <t>y balabaeva: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>гипотеза - по клиентам с тарифом MPS LTV выше на 30% за счет ковенант)</t>
        </r>
      </text>
    </comment>
    <comment ref="AM76" authorId="0" shapeId="0" xr:uid="{3E8AFE8C-6A55-EB40-BE15-4322958407C9}">
      <text>
        <r>
          <rPr>
            <b/>
            <sz val="10"/>
            <color rgb="FF000000"/>
            <rFont val="Tahoma"/>
            <family val="2"/>
            <charset val="204"/>
          </rPr>
          <t>y balabaeva: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>гипотеза - LTV тарифов МПС выше на за счет ковенант</t>
        </r>
      </text>
    </comment>
    <comment ref="I86" authorId="0" shapeId="0" xr:uid="{8E7C004C-2426-BE4E-9D6A-14E66B613843}">
      <text>
        <r>
          <rPr>
            <b/>
            <sz val="10"/>
            <color rgb="FF000000"/>
            <rFont val="Tahoma"/>
            <family val="2"/>
            <charset val="204"/>
          </rPr>
          <t>y balabaeva: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>уточнить по сегменту (сейчас ср по 1 и 2 сегменту)</t>
        </r>
      </text>
    </comment>
    <comment ref="M93" authorId="0" shapeId="0" xr:uid="{F36CECD5-9930-2D40-B0B1-496EFAE15604}">
      <text>
        <r>
          <rPr>
            <b/>
            <sz val="10"/>
            <color rgb="FF000000"/>
            <rFont val="Tahoma"/>
            <family val="2"/>
            <charset val="204"/>
          </rPr>
          <t xml:space="preserve">y balabaeva:
</t>
        </r>
        <r>
          <rPr>
            <sz val="10"/>
            <color rgb="FF000000"/>
            <rFont val="Tahoma"/>
            <family val="2"/>
            <charset val="204"/>
          </rPr>
          <t xml:space="preserve">as is в Селлере - 35% оплат- досписания </t>
        </r>
        <r>
          <rPr>
            <sz val="10"/>
            <color rgb="FF000000"/>
            <rFont val="Calibri"/>
            <family val="2"/>
          </rPr>
          <t>с РКО  при недостатке средств в конце мес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 xml:space="preserve">Пока предположила LT </t>
        </r>
        <r>
          <rPr>
            <sz val="10"/>
            <color rgb="FF000000"/>
            <rFont val="Calibri"/>
            <family val="2"/>
          </rPr>
          <t xml:space="preserve">экспертно  + 1 мес к LT MPS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Какк уточнить гипотезу:
</t>
        </r>
        <r>
          <rPr>
            <sz val="10"/>
            <color rgb="FF000000"/>
            <rFont val="Calibri"/>
            <family val="2"/>
          </rPr>
          <t xml:space="preserve">1) как изменилось LT в Селлере после фичи досписания? (если не было запущено так изначлаьно)
</t>
        </r>
        <r>
          <rPr>
            <sz val="10"/>
            <color rgb="FF000000"/>
            <rFont val="Calibri"/>
            <family val="2"/>
          </rPr>
          <t xml:space="preserve">2) Бенчи
</t>
        </r>
      </text>
    </comment>
    <comment ref="M140" authorId="0" shapeId="0" xr:uid="{F4FDEEA1-330A-5643-BB04-9EDC3A26CE0D}">
      <text>
        <r>
          <rPr>
            <b/>
            <sz val="10"/>
            <color rgb="FF000000"/>
            <rFont val="Tahoma"/>
            <family val="2"/>
            <charset val="204"/>
          </rPr>
          <t>y balabaeva: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>Карина - уточнит как ковенанты влияют на LTV в др продуктах Т</t>
        </r>
      </text>
    </comment>
    <comment ref="S140" authorId="0" shapeId="0" xr:uid="{D804B4E9-0517-9045-98F3-90FFB3C8CC12}">
      <text>
        <r>
          <rPr>
            <b/>
            <sz val="10"/>
            <color rgb="FF000000"/>
            <rFont val="Tahoma"/>
            <family val="2"/>
            <charset val="204"/>
          </rPr>
          <t>y balabaeva: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>Карина - уточнит как ковенанты влияют на LTV в др продуктах Т</t>
        </r>
      </text>
    </comment>
    <comment ref="AB140" authorId="0" shapeId="0" xr:uid="{E4AAE741-5AE1-4A4E-B41D-FF6C3CFA20F5}">
      <text>
        <r>
          <rPr>
            <b/>
            <sz val="10"/>
            <color rgb="FF000000"/>
            <rFont val="Tahoma"/>
            <family val="2"/>
            <charset val="204"/>
          </rPr>
          <t>y balabaeva: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>Карина - уточнит как ковенанты влияют на LTV в др продуктах Т</t>
        </r>
      </text>
    </comment>
    <comment ref="AH140" authorId="0" shapeId="0" xr:uid="{869F4654-5E8D-A447-B0AB-FF39490AA3D3}">
      <text>
        <r>
          <rPr>
            <b/>
            <sz val="10"/>
            <color rgb="FF000000"/>
            <rFont val="Tahoma"/>
            <family val="2"/>
            <charset val="204"/>
          </rPr>
          <t>y balabaeva: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>Карина - уточнит как ковенанты влияют на LTV в др продуктах Т</t>
        </r>
      </text>
    </comment>
    <comment ref="A147" authorId="0" shapeId="0" xr:uid="{26D54AB0-2F95-9248-90C0-A297D0D1B481}">
      <text>
        <r>
          <rPr>
            <b/>
            <sz val="10"/>
            <color rgb="FF000000"/>
            <rFont val="Tahoma"/>
            <family val="2"/>
            <charset val="204"/>
          </rPr>
          <t>y balabaeva: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если будет внешний маркетинг - ср 3 млн на медиа и тг каналы . внутренний маркетинг (почта, пуши и пр)  считается бесплатным каналом
</t>
        </r>
      </text>
    </comment>
    <comment ref="K147" authorId="0" shapeId="0" xr:uid="{385DC957-5B84-0247-BA9E-BDDE90A34298}">
      <text>
        <r>
          <rPr>
            <b/>
            <sz val="10"/>
            <color rgb="FF000000"/>
            <rFont val="Tahoma"/>
            <family val="2"/>
            <charset val="204"/>
          </rPr>
          <t>y balabaeva: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>гипотеза - если будет внешний маркетинг (3 млн на медиа и тг каналы). внутренний маркетинг считается бесплатным каналом</t>
        </r>
      </text>
    </comment>
    <comment ref="R147" authorId="0" shapeId="0" xr:uid="{F022D78D-2073-9A48-BC0E-849384F4CF6C}">
      <text>
        <r>
          <rPr>
            <b/>
            <sz val="10"/>
            <color rgb="FF000000"/>
            <rFont val="Tahoma"/>
            <family val="2"/>
            <charset val="204"/>
          </rPr>
          <t>y balabaeva: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>гипотеза - если будет внешний маркетинг (3 млн на медиа и тг каналы). внутренний маркетинг считается бесплатным каналом</t>
        </r>
      </text>
    </comment>
    <comment ref="X147" authorId="0" shapeId="0" xr:uid="{C3608CB8-FDA4-4D42-ADC8-94F585EFC3AE}">
      <text>
        <r>
          <rPr>
            <b/>
            <sz val="10"/>
            <color rgb="FF000000"/>
            <rFont val="Tahoma"/>
            <family val="2"/>
            <charset val="204"/>
          </rPr>
          <t>y balabaeva: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>гипотеза - если будет внешний маркетинг (3 млн на медиа и тг каналы). внутренний маркетинг считается бесплатным каналом</t>
        </r>
      </text>
    </comment>
    <comment ref="AG147" authorId="0" shapeId="0" xr:uid="{0CB97633-1D5F-4D44-A39F-439F9CCA3AD1}">
      <text>
        <r>
          <rPr>
            <b/>
            <sz val="10"/>
            <color rgb="FF000000"/>
            <rFont val="Tahoma"/>
            <family val="2"/>
            <charset val="204"/>
          </rPr>
          <t>y balabaeva: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>гипотеза - если будет внешний маркетинг (3 млн на медиа и тг каналы). внутренний маркетинг считается бесплатным каналом</t>
        </r>
      </text>
    </comment>
    <comment ref="AM147" authorId="0" shapeId="0" xr:uid="{1D1B9EA0-778F-0B4B-97F2-97DB4F1AAFEB}">
      <text>
        <r>
          <rPr>
            <b/>
            <sz val="10"/>
            <color rgb="FF000000"/>
            <rFont val="Tahoma"/>
            <family val="2"/>
            <charset val="204"/>
          </rPr>
          <t>y balabaeva: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>гипотеза - если будет внешний маркетинг (3 млн на медиа и тг каналы). внутренний маркетинг считается бесплатным каналом</t>
        </r>
      </text>
    </comment>
    <comment ref="A149" authorId="0" shapeId="0" xr:uid="{78F4FE89-2FE4-8B41-9605-041AB34D6295}">
      <text>
        <r>
          <rPr>
            <b/>
            <sz val="10"/>
            <color rgb="FF000000"/>
            <rFont val="Tahoma"/>
            <family val="2"/>
            <charset val="204"/>
          </rPr>
          <t>y balabaeva: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>предположение</t>
        </r>
      </text>
    </comment>
    <comment ref="G149" authorId="0" shapeId="0" xr:uid="{A3DE88BE-BFD6-0649-9ACB-849459D60106}">
      <text>
        <r>
          <rPr>
            <b/>
            <sz val="10"/>
            <color rgb="FF000000"/>
            <rFont val="Tahoma"/>
            <family val="2"/>
            <charset val="204"/>
          </rPr>
          <t>y balabaeva: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>предположение: из 14 дней пользователь в ср будет посещать сервис 4 дн</t>
        </r>
      </text>
    </comment>
    <comment ref="N149" authorId="0" shapeId="0" xr:uid="{5C231F85-8272-8448-B0FE-F0B1AE9EC1AC}">
      <text>
        <r>
          <rPr>
            <b/>
            <sz val="10"/>
            <color rgb="FF000000"/>
            <rFont val="Tahoma"/>
            <family val="2"/>
            <charset val="204"/>
          </rPr>
          <t>y balabaeva: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>предположение: из 14 дней пользователь в ср будет посещать сервис 4 дн</t>
        </r>
      </text>
    </comment>
    <comment ref="T149" authorId="0" shapeId="0" xr:uid="{D9B795A3-DE54-844C-8839-AB41C61C3A59}">
      <text>
        <r>
          <rPr>
            <b/>
            <sz val="10"/>
            <color rgb="FF000000"/>
            <rFont val="Tahoma"/>
            <family val="2"/>
            <charset val="204"/>
          </rPr>
          <t>y balabaeva: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>предположение: из 14 дней пользователь в ср будет посещать сервис 4 дн</t>
        </r>
      </text>
    </comment>
    <comment ref="AC149" authorId="0" shapeId="0" xr:uid="{86C725EA-6A3D-224C-B332-17750A142163}">
      <text>
        <r>
          <rPr>
            <b/>
            <sz val="10"/>
            <color rgb="FF000000"/>
            <rFont val="Tahoma"/>
            <family val="2"/>
            <charset val="204"/>
          </rPr>
          <t>y balabaeva: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>предположение: из 14 дней пользователь в ср будет посещать сервис 4 дн</t>
        </r>
      </text>
    </comment>
    <comment ref="AI149" authorId="0" shapeId="0" xr:uid="{E88EF36A-643B-3043-A94B-21B84DF1CCD5}">
      <text>
        <r>
          <rPr>
            <b/>
            <sz val="10"/>
            <color rgb="FF000000"/>
            <rFont val="Tahoma"/>
            <family val="2"/>
            <charset val="204"/>
          </rPr>
          <t>y balabaeva: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>предположение: из 14 дней пользователь в ср будет посещать сервис 4 дн</t>
        </r>
      </text>
    </comment>
    <comment ref="A153" authorId="0" shapeId="0" xr:uid="{1B1F43D7-2338-7649-A223-1FAD96C55C4E}">
      <text>
        <r>
          <rPr>
            <b/>
            <sz val="10"/>
            <color rgb="FF000000"/>
            <rFont val="Tahoma"/>
            <family val="2"/>
            <charset val="204"/>
          </rPr>
          <t>y balabaeva: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 xml:space="preserve">2,7 р - стоимость на 1 пользователя в день от МПС на главную Селлер
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>9 заходов - данные Селлер (заложен небольшой рост)</t>
        </r>
      </text>
    </comment>
    <comment ref="G153" authorId="0" shapeId="0" xr:uid="{9B7D379A-5743-424A-9547-C1A383E67B33}">
      <text>
        <r>
          <rPr>
            <b/>
            <sz val="10"/>
            <color rgb="FF000000"/>
            <rFont val="Tahoma"/>
            <family val="2"/>
            <charset val="204"/>
          </rPr>
          <t>y balabaeva: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 xml:space="preserve">знаем что главная будет обходиться примерно 2.7 р в день на 1 пользователя. предполагаем что платящие будут посещать 9 дней в мес. итого 2.7*9
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 xml:space="preserve">as is Селлер ср заходы на 1 платящего - 7,69. гипотеза - рос 20%, 9. </t>
        </r>
      </text>
    </comment>
    <comment ref="A154" authorId="0" shapeId="0" xr:uid="{C073B44A-27C7-F344-B707-BE26143A92C2}">
      <text>
        <r>
          <rPr>
            <b/>
            <sz val="10"/>
            <color rgb="FF000000"/>
            <rFont val="Tahoma"/>
            <family val="2"/>
            <charset val="204"/>
          </rPr>
          <t>y balabaeva: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+mn-lt"/>
            <charset val="1"/>
          </rPr>
          <t xml:space="preserve">2,7 р - стоимость на 1 пользователя в день от МПС на главную Селлер
</t>
        </r>
        <r>
          <rPr>
            <sz val="10"/>
            <color rgb="FF000000"/>
            <rFont val="+mn-lt"/>
            <charset val="1"/>
          </rPr>
          <t xml:space="preserve">
</t>
        </r>
        <r>
          <rPr>
            <sz val="10"/>
            <color rgb="FF000000"/>
            <rFont val="+mn-lt"/>
            <charset val="1"/>
          </rPr>
          <t xml:space="preserve">2 заходов - данные Селлер (заложен небольшой рост)
</t>
        </r>
      </text>
    </comment>
    <comment ref="G154" authorId="0" shapeId="0" xr:uid="{008BB496-5632-754A-BE71-4A30EEE23AD2}">
      <text>
        <r>
          <rPr>
            <b/>
            <sz val="10"/>
            <color rgb="FF000000"/>
            <rFont val="Tahoma"/>
            <family val="2"/>
            <charset val="204"/>
          </rPr>
          <t>y balabaeva: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 xml:space="preserve">знаем что главная будет обходиться примерно 2.7 р в день на 1 пользователя. предполагаем что лиды не платящие в ср зайдут в Селлер 2 раза  
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>As Is  в Селлер: среднее число заходов в Селлер в месяц на 1 неплатящего пользователя - 1,73 раза</t>
        </r>
        <r>
          <rPr>
            <sz val="10"/>
            <color rgb="FF000000"/>
            <rFont val="Calibri"/>
            <family val="2"/>
          </rPr>
          <t xml:space="preserve"> гипотеза - рост 20%, 2. </t>
        </r>
      </text>
    </comment>
    <comment ref="G155" authorId="0" shapeId="0" xr:uid="{9EF08CB1-C23E-C64B-A2C4-0D21747101F6}">
      <text>
        <r>
          <rPr>
            <b/>
            <sz val="10"/>
            <color rgb="FF000000"/>
            <rFont val="Tahoma"/>
            <family val="2"/>
            <charset val="204"/>
          </rPr>
          <t>y balabaeva: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>знаем что главная будет обходиться примерно 2.7 р в день на 1 пользователя</t>
        </r>
      </text>
    </comment>
    <comment ref="A156" authorId="0" shapeId="0" xr:uid="{EB549754-A11F-DF48-BDE8-D2416096E205}">
      <text>
        <r>
          <rPr>
            <b/>
            <sz val="10"/>
            <color rgb="FF000000"/>
            <rFont val="Tahoma"/>
            <family val="2"/>
            <charset val="204"/>
          </rPr>
          <t>y balabaeva: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>гипотеза на данных Селлера AS IS  - 25% оставляют АПИ</t>
        </r>
        <r>
          <rPr>
            <sz val="10"/>
            <color rgb="FF000000"/>
            <rFont val="Calibri"/>
            <family val="2"/>
            <scheme val="minor"/>
          </rPr>
          <t xml:space="preserve">
</t>
        </r>
      </text>
    </comment>
    <comment ref="A157" authorId="0" shapeId="0" xr:uid="{B07D1674-C55D-9142-9B09-99837DD8C71D}">
      <text>
        <r>
          <rPr>
            <b/>
            <sz val="10"/>
            <color rgb="FF000000"/>
            <rFont val="Tahoma"/>
            <family val="2"/>
            <charset val="204"/>
          </rPr>
          <t>y balabaeva: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>на данных Селлера</t>
        </r>
      </text>
    </comment>
    <comment ref="A178" authorId="0" shapeId="0" xr:uid="{A9BD41C6-447E-A042-8918-0367B65498E9}">
      <text>
        <r>
          <rPr>
            <b/>
            <sz val="10"/>
            <color rgb="FF000000"/>
            <rFont val="Tahoma"/>
            <family val="2"/>
            <charset val="204"/>
          </rPr>
          <t>y balabaeva: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>тут по названию - расходы на коммуникации , повторное выставление счетов</t>
        </r>
      </text>
    </comment>
    <comment ref="G181" authorId="0" shapeId="0" xr:uid="{3163DD3F-652E-2F43-A9FE-9EC5F97B339A}">
      <text>
        <r>
          <rPr>
            <b/>
            <sz val="10"/>
            <color rgb="FF000000"/>
            <rFont val="Tahoma"/>
            <family val="2"/>
            <charset val="204"/>
          </rPr>
          <t>y balabaeva: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>предположение (на основе стоимсти API в мес на 1 платящего) - 212 р в мес /10 дней (предположение: ср посещение платного пользователя) = 21 р</t>
        </r>
      </text>
    </comment>
    <comment ref="N181" authorId="0" shapeId="0" xr:uid="{6BE08668-76AC-7B41-A54D-3EB679C27A75}">
      <text>
        <r>
          <rPr>
            <b/>
            <sz val="10"/>
            <color rgb="FF000000"/>
            <rFont val="Tahoma"/>
            <family val="2"/>
            <charset val="204"/>
          </rPr>
          <t>y balabaeva: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>предположение (на основе стоимсти API в мес на 1 платящего) - 212 р в мес /10 дней (предположение: ср посещение платного пользователя) = 21 р</t>
        </r>
      </text>
    </comment>
    <comment ref="T181" authorId="0" shapeId="0" xr:uid="{361C4A37-89EF-8541-89DF-47FADE170995}">
      <text>
        <r>
          <rPr>
            <b/>
            <sz val="10"/>
            <color rgb="FF000000"/>
            <rFont val="Tahoma"/>
            <family val="2"/>
            <charset val="204"/>
          </rPr>
          <t>y balabaeva: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>предположение (на основе стоимсти API в мес на 1 платящего) - 212 р в мес /10 дней (предположение: ср посещение платного пользователя) = 21 р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y balabaeva</author>
  </authors>
  <commentList>
    <comment ref="E4" authorId="0" shapeId="0" xr:uid="{57990256-0AEA-FF44-9E03-328E5BA23DE7}">
      <text>
        <r>
          <rPr>
            <b/>
            <sz val="10"/>
            <color rgb="FF000000"/>
            <rFont val="Tahoma"/>
            <family val="2"/>
            <charset val="204"/>
          </rPr>
          <t>y balabaeva: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>не очищенная база от пересечений с МПС и Точкой</t>
        </r>
      </text>
    </comment>
    <comment ref="H4" authorId="0" shapeId="0" xr:uid="{2120CD6C-A059-0E40-AC57-4111230424A8}">
      <text>
        <r>
          <rPr>
            <b/>
            <sz val="10"/>
            <color rgb="FF000000"/>
            <rFont val="Tahoma"/>
            <family val="2"/>
            <charset val="204"/>
          </rPr>
          <t>y balabaeva: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>бизнес-модель Карины</t>
        </r>
      </text>
    </comment>
    <comment ref="I4" authorId="0" shapeId="0" xr:uid="{1C05705B-E278-6440-9E17-F6C58F26C764}">
      <text>
        <r>
          <rPr>
            <b/>
            <sz val="10"/>
            <color rgb="FF000000"/>
            <rFont val="Tahoma"/>
            <family val="2"/>
            <charset val="204"/>
          </rPr>
          <t>y balabaeva: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бизнес-модель Карины
</t>
        </r>
      </text>
    </comment>
    <comment ref="H5" authorId="0" shapeId="0" xr:uid="{A7B56479-4957-E245-A938-488B3C380EE4}">
      <text>
        <r>
          <rPr>
            <b/>
            <sz val="10"/>
            <color rgb="FF000000"/>
            <rFont val="Tahoma"/>
            <family val="2"/>
            <charset val="204"/>
          </rPr>
          <t>y balabaeva: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>из базы сегмента  - придут за МПС</t>
        </r>
      </text>
    </comment>
    <comment ref="I5" authorId="0" shapeId="0" xr:uid="{BCA90DA4-D713-C349-884D-CBBDC75A81A2}">
      <text>
        <r>
          <rPr>
            <b/>
            <sz val="10"/>
            <color rgb="FF000000"/>
            <rFont val="Tahoma"/>
            <family val="2"/>
            <charset val="204"/>
          </rPr>
          <t>y balabaeva: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из базы сегмента  - придут за МПС
</t>
        </r>
      </text>
    </comment>
    <comment ref="E6" authorId="0" shapeId="0" xr:uid="{BFF556ED-BBEB-B54E-9250-4C02DFCCB3EB}">
      <text>
        <r>
          <rPr>
            <b/>
            <sz val="10"/>
            <color rgb="FF000000"/>
            <rFont val="Tahoma"/>
            <family val="2"/>
            <charset val="204"/>
          </rPr>
          <t>y balabaeva: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 xml:space="preserve">сейчас уже коснулись половины базы, гипотеза - с маркетингом коснемся не менее 80%
</t>
        </r>
      </text>
    </comment>
    <comment ref="K6" authorId="0" shapeId="0" xr:uid="{E082EC38-F576-8F4A-B83E-FE312CFD5CF5}">
      <text>
        <r>
          <rPr>
            <b/>
            <sz val="10"/>
            <color rgb="FF000000"/>
            <rFont val="Tahoma"/>
            <family val="2"/>
            <charset val="204"/>
          </rPr>
          <t>y balabaeva: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 xml:space="preserve">сейчас уже коснулись половины базы, гипотеза - с маркетингом коснемся не менее 80%
</t>
        </r>
      </text>
    </comment>
    <comment ref="Q6" authorId="0" shapeId="0" xr:uid="{594793A0-E7A5-904C-86E8-43E8EC1B7B89}">
      <text>
        <r>
          <rPr>
            <b/>
            <sz val="10"/>
            <color rgb="FF000000"/>
            <rFont val="Tahoma"/>
            <family val="2"/>
            <charset val="204"/>
          </rPr>
          <t>y balabaeva: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 xml:space="preserve">сейчас уже коснулись половины базы, гипотеза - с маркетингом коснемся не менее 80%
</t>
        </r>
      </text>
    </comment>
    <comment ref="E13" authorId="0" shapeId="0" xr:uid="{96B533DE-631E-0049-8C35-AAEE5D58C862}">
      <text>
        <r>
          <rPr>
            <b/>
            <sz val="10"/>
            <color rgb="FF000000"/>
            <rFont val="Tahoma"/>
            <family val="2"/>
            <charset val="204"/>
          </rPr>
          <t>y balabaeva: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 xml:space="preserve">гипотеза - довзонились до ЦА. 
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 xml:space="preserve">Наша база - все ЦА (есть обороты на МП). 
</t>
        </r>
        <r>
          <rPr>
            <sz val="10"/>
            <color rgb="FF000000"/>
            <rFont val="Tahoma"/>
            <family val="2"/>
            <charset val="204"/>
          </rPr>
          <t xml:space="preserve">Как считает ЦА MPS:
</t>
        </r>
        <r>
          <rPr>
            <sz val="10"/>
            <color rgb="FF000000"/>
            <rFont val="Calibri"/>
            <family val="2"/>
          </rPr>
          <t xml:space="preserve">- 150 -000 - есть для старта
</t>
        </r>
        <r>
          <rPr>
            <sz val="10"/>
            <color rgb="FF000000"/>
            <rFont val="Calibri"/>
            <family val="2"/>
          </rPr>
          <t xml:space="preserve">- в теч 2 мес планирует начать торговать
</t>
        </r>
        <r>
          <rPr>
            <sz val="10"/>
            <color rgb="FF000000"/>
            <rFont val="Calibri"/>
            <family val="2"/>
          </rPr>
          <t>- селлер - есть рега на МП (озон вб яндекс)</t>
        </r>
      </text>
    </comment>
    <comment ref="K13" authorId="0" shapeId="0" xr:uid="{2B84ED33-6E07-A341-963D-B1AB6B44B580}">
      <text>
        <r>
          <rPr>
            <b/>
            <sz val="10"/>
            <color rgb="FF000000"/>
            <rFont val="Tahoma"/>
            <family val="2"/>
            <charset val="204"/>
          </rPr>
          <t>y balabaeva: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 xml:space="preserve">гипотеза - довзонились до ЦА. 
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 xml:space="preserve">Наша база - все ЦА (есть обороты на МП). 
</t>
        </r>
        <r>
          <rPr>
            <sz val="10"/>
            <color rgb="FF000000"/>
            <rFont val="Tahoma"/>
            <family val="2"/>
            <charset val="204"/>
          </rPr>
          <t xml:space="preserve">Как считает ЦА MPS:
</t>
        </r>
        <r>
          <rPr>
            <sz val="10"/>
            <color rgb="FF000000"/>
            <rFont val="Calibri"/>
            <family val="2"/>
          </rPr>
          <t xml:space="preserve">- 150 -000 - есть для старта
</t>
        </r>
        <r>
          <rPr>
            <sz val="10"/>
            <color rgb="FF000000"/>
            <rFont val="Calibri"/>
            <family val="2"/>
          </rPr>
          <t xml:space="preserve">- в теч 2 мес планирует начать торговать
</t>
        </r>
        <r>
          <rPr>
            <sz val="10"/>
            <color rgb="FF000000"/>
            <rFont val="Calibri"/>
            <family val="2"/>
          </rPr>
          <t>- селлер - есть рега на МП (озон вб яндекс)</t>
        </r>
      </text>
    </comment>
    <comment ref="K18" authorId="0" shapeId="0" xr:uid="{73ACFA4F-2CC9-F24C-9904-C7C25F53B49B}">
      <text>
        <r>
          <rPr>
            <b/>
            <sz val="10"/>
            <color rgb="FF000000"/>
            <rFont val="Tahoma"/>
            <family val="2"/>
            <charset val="204"/>
          </rPr>
          <t>y balabaeva: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 xml:space="preserve">CR в первую оплату
</t>
        </r>
        <r>
          <rPr>
            <sz val="10"/>
            <color rgb="FF000000"/>
            <rFont val="Tahoma"/>
            <family val="2"/>
            <charset val="204"/>
          </rPr>
          <t xml:space="preserve">На данных - автосписания дают аплифт в 2 раза (посомтрели до фичи и после)
</t>
        </r>
        <r>
          <rPr>
            <sz val="10"/>
            <color rgb="FF000000"/>
            <rFont val="Calibri"/>
            <family val="2"/>
          </rPr>
          <t xml:space="preserve">гипотеза - в 1,5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Повторные оплатв
</t>
        </r>
        <r>
          <rPr>
            <sz val="10"/>
            <color rgb="FF000000"/>
            <rFont val="Calibri"/>
            <family val="2"/>
          </rPr>
          <t xml:space="preserve">+ к LT за счет механизма достписаний при недостатке ДС
</t>
        </r>
        <r>
          <rPr>
            <sz val="10"/>
            <color rgb="FF000000"/>
            <rFont val="Calibri"/>
            <family val="2"/>
          </rPr>
          <t xml:space="preserve">На данных - 0.7 мес
</t>
        </r>
        <r>
          <rPr>
            <sz val="10"/>
            <color rgb="FF000000"/>
            <rFont val="Calibri"/>
            <family val="2"/>
          </rPr>
          <t xml:space="preserve">
</t>
        </r>
      </text>
    </comment>
    <comment ref="Q18" authorId="0" shapeId="0" xr:uid="{4BDDE579-C34E-B543-9861-4EA91AFF5588}">
      <text>
        <r>
          <rPr>
            <b/>
            <sz val="10"/>
            <color rgb="FF000000"/>
            <rFont val="Tahoma"/>
            <family val="2"/>
            <charset val="204"/>
          </rPr>
          <t>y balabaeva: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>текущий CR (усредненный янв-мар 2026)</t>
        </r>
      </text>
    </comment>
    <comment ref="E19" authorId="0" shapeId="0" xr:uid="{9F430FA1-8800-204A-B929-CB8A3BE24BAA}">
      <text>
        <r>
          <rPr>
            <b/>
            <sz val="10"/>
            <color rgb="FF000000"/>
            <rFont val="Tahoma"/>
            <family val="2"/>
            <charset val="204"/>
          </rPr>
          <t>y balabaeva: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>CR - digital канал Т</t>
        </r>
      </text>
    </comment>
    <comment ref="K19" authorId="0" shapeId="0" xr:uid="{41939952-4BA5-D946-92CE-A459B43D02AD}">
      <text>
        <r>
          <rPr>
            <b/>
            <sz val="10"/>
            <color rgb="FF000000"/>
            <rFont val="Tahoma"/>
            <family val="2"/>
            <charset val="204"/>
          </rPr>
          <t>y balabaeva: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>CR - digital канал Т</t>
        </r>
      </text>
    </comment>
    <comment ref="A38" authorId="0" shapeId="0" xr:uid="{12F9F0C9-CCFD-3447-AFC8-16891A6E8D64}">
      <text>
        <r>
          <rPr>
            <b/>
            <sz val="10"/>
            <color rgb="FF000000"/>
            <rFont val="Tahoma"/>
            <family val="2"/>
            <charset val="204"/>
          </rPr>
          <t>y balabaeva: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>расходы на платящих пользователй + лидов</t>
        </r>
      </text>
    </comment>
    <comment ref="A45" authorId="0" shapeId="0" xr:uid="{12553A40-CC63-3B44-8B84-C8AA21F4B71D}">
      <text>
        <r>
          <rPr>
            <b/>
            <sz val="10"/>
            <color rgb="FF000000"/>
            <rFont val="Tahoma"/>
            <family val="2"/>
            <charset val="204"/>
          </rPr>
          <t>y balabaeva: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>из расчета 35% от лидов оставят API</t>
        </r>
      </text>
    </comment>
    <comment ref="A46" authorId="0" shapeId="0" xr:uid="{4D8CA3E6-204C-1440-AEEF-E9571632DC33}">
      <text>
        <r>
          <rPr>
            <b/>
            <sz val="10"/>
            <color rgb="FF000000"/>
            <rFont val="Tahoma"/>
            <family val="2"/>
            <charset val="204"/>
          </rPr>
          <t>y balabaeva: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>пока взяли расходы МПС + заложили главную Селлер</t>
        </r>
      </text>
    </comment>
    <comment ref="A52" authorId="0" shapeId="0" xr:uid="{C53DAD27-C7F9-0548-A8F4-963BBDB6AB7C}">
      <text>
        <r>
          <rPr>
            <b/>
            <sz val="10"/>
            <color rgb="FF000000"/>
            <rFont val="Tahoma"/>
            <family val="2"/>
            <charset val="204"/>
          </rPr>
          <t>y balabaeva: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>вероятно выставленеи счетов, коммуникации</t>
        </r>
      </text>
    </comment>
    <comment ref="F55" authorId="0" shapeId="0" xr:uid="{80F91EB6-1085-354E-B6E7-E87B3194A1A0}">
      <text>
        <r>
          <rPr>
            <b/>
            <sz val="10"/>
            <color rgb="FF000000"/>
            <rFont val="Tahoma"/>
            <family val="2"/>
            <charset val="204"/>
          </rPr>
          <t>y balabaeva: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>уже получаем доход с др продуктов Банка</t>
        </r>
      </text>
    </comment>
    <comment ref="H55" authorId="0" shapeId="0" xr:uid="{C1B58AE6-55E0-284B-9FBD-6A69BF53B748}">
      <text>
        <r>
          <rPr>
            <b/>
            <sz val="10"/>
            <color rgb="FF000000"/>
            <rFont val="Tahoma"/>
            <family val="2"/>
            <charset val="204"/>
          </rPr>
          <t>y balabaeva: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>из расчета на кол-во клиентво в инкременте (из бизнес модели Крины) - клиенты проснулись  в РКО из-за МПС</t>
        </r>
      </text>
    </comment>
    <comment ref="I55" authorId="0" shapeId="0" xr:uid="{E709413D-2E64-2B43-A673-01D6804EC0F2}">
      <text>
        <r>
          <rPr>
            <b/>
            <sz val="10"/>
            <color rgb="FF000000"/>
            <rFont val="Tahoma"/>
            <family val="2"/>
            <charset val="204"/>
          </rPr>
          <t>y balabaeva: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>из расчета на кол-во клиентво в инкременте (из бизнес модели Крины) - клиенты открвли  РКО из-за МПС</t>
        </r>
        <r>
          <rPr>
            <sz val="10"/>
            <color rgb="FF000000"/>
            <rFont val="Calibri"/>
            <family val="2"/>
            <scheme val="minor"/>
          </rPr>
          <t xml:space="preserve">
</t>
        </r>
      </text>
    </comment>
    <comment ref="P55" authorId="0" shapeId="0" xr:uid="{AB7FC6B8-5D5B-7842-B95D-24E044FF9A78}">
      <text>
        <r>
          <rPr>
            <b/>
            <sz val="10"/>
            <color rgb="FF000000"/>
            <rFont val="Tahoma"/>
            <family val="2"/>
            <charset val="204"/>
          </rPr>
          <t>y balabaeva: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>гипотеза - LTV тарифов МПС выше на за счет ковенант</t>
        </r>
      </text>
    </comment>
    <comment ref="V55" authorId="0" shapeId="0" xr:uid="{5A10B262-E78A-5C4F-8279-0B231BB21770}">
      <text>
        <r>
          <rPr>
            <b/>
            <sz val="10"/>
            <color rgb="FF000000"/>
            <rFont val="Tahoma"/>
            <family val="2"/>
            <charset val="204"/>
          </rPr>
          <t>y balabaeva: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>гипотеза - по клиентам с тарифом MPS LTV выше на 30% за счет ковенант)</t>
        </r>
      </text>
    </comment>
    <comment ref="AB55" authorId="0" shapeId="0" xr:uid="{4B4239F5-CF94-794B-98B5-97334A9A4772}">
      <text>
        <r>
          <rPr>
            <b/>
            <sz val="10"/>
            <color rgb="FF000000"/>
            <rFont val="Tahoma"/>
            <family val="2"/>
            <charset val="204"/>
          </rPr>
          <t>y balabaeva: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>гипотеза - по клиентам с тарифом MPS LTV выше на 30% за счет ковенант)</t>
        </r>
      </text>
    </comment>
    <comment ref="AH55" authorId="0" shapeId="0" xr:uid="{3A0EA420-0A27-D24F-BF0C-63F6E5480260}">
      <text>
        <r>
          <rPr>
            <b/>
            <sz val="10"/>
            <color rgb="FF000000"/>
            <rFont val="Tahoma"/>
            <family val="2"/>
            <charset val="204"/>
          </rPr>
          <t>y balabaeva: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>гипотеза - LTV тарифов МПС выше на за счет ковенант</t>
        </r>
      </text>
    </comment>
    <comment ref="H65" authorId="0" shapeId="0" xr:uid="{52FF564D-71CA-7B49-9467-D4481BAEAA89}">
      <text>
        <r>
          <rPr>
            <b/>
            <sz val="10"/>
            <color rgb="FF000000"/>
            <rFont val="Tahoma"/>
            <family val="2"/>
            <charset val="204"/>
          </rPr>
          <t>y balabaeva: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>уточнить по сегменту (сейчас ср по 1 и 2 сегменту)</t>
        </r>
      </text>
    </comment>
    <comment ref="K72" authorId="0" shapeId="0" xr:uid="{8BE6A5A7-A38B-EB47-A703-A87B32ECC708}">
      <text>
        <r>
          <rPr>
            <b/>
            <sz val="10"/>
            <color rgb="FF000000"/>
            <rFont val="Tahoma"/>
            <family val="2"/>
            <charset val="204"/>
          </rPr>
          <t xml:space="preserve">y balabaeva:
</t>
        </r>
        <r>
          <rPr>
            <sz val="10"/>
            <color rgb="FF000000"/>
            <rFont val="Tahoma"/>
            <family val="2"/>
            <charset val="204"/>
          </rPr>
          <t xml:space="preserve">as is в Селлере - 35% оплат- досписания </t>
        </r>
        <r>
          <rPr>
            <sz val="10"/>
            <color rgb="FF000000"/>
            <rFont val="Calibri"/>
            <family val="2"/>
          </rPr>
          <t>с РКО  при недостатке средств в конце мес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 xml:space="preserve">Пока предположила LT </t>
        </r>
        <r>
          <rPr>
            <sz val="10"/>
            <color rgb="FF000000"/>
            <rFont val="Calibri"/>
            <family val="2"/>
          </rPr>
          <t xml:space="preserve">экспертно </t>
        </r>
        <r>
          <rPr>
            <sz val="10"/>
            <color rgb="FF000000"/>
            <rFont val="Calibri"/>
            <family val="2"/>
          </rPr>
          <t xml:space="preserve"> + 1</t>
        </r>
        <r>
          <rPr>
            <sz val="10"/>
            <color rgb="FF000000"/>
            <rFont val="Calibri"/>
            <family val="2"/>
          </rPr>
          <t xml:space="preserve"> мес к </t>
        </r>
        <r>
          <rPr>
            <sz val="10"/>
            <color rgb="FF000000"/>
            <rFont val="Calibri"/>
            <family val="2"/>
          </rPr>
          <t>LT MPS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 xml:space="preserve">Какк уточнить гипотезу:
</t>
        </r>
        <r>
          <rPr>
            <sz val="10"/>
            <color rgb="FF000000"/>
            <rFont val="Calibri"/>
            <family val="2"/>
            <scheme val="minor"/>
          </rPr>
          <t>1</t>
        </r>
        <r>
          <rPr>
            <sz val="10"/>
            <color rgb="FF000000"/>
            <rFont val="Calibri"/>
            <family val="2"/>
            <scheme val="minor"/>
          </rPr>
          <t>)</t>
        </r>
        <r>
          <rPr>
            <sz val="10"/>
            <color rgb="FF000000"/>
            <rFont val="Calibri"/>
            <family val="2"/>
            <scheme val="minor"/>
          </rPr>
          <t xml:space="preserve"> как изменилось </t>
        </r>
        <r>
          <rPr>
            <sz val="10"/>
            <color rgb="FF000000"/>
            <rFont val="Calibri"/>
            <family val="2"/>
            <scheme val="minor"/>
          </rPr>
          <t xml:space="preserve">LT </t>
        </r>
        <r>
          <rPr>
            <sz val="10"/>
            <color rgb="FF000000"/>
            <rFont val="Calibri"/>
            <family val="2"/>
            <scheme val="minor"/>
          </rPr>
          <t xml:space="preserve">в Селлере после фичи досписания? (если не было запущено так изначлаьно)
</t>
        </r>
        <r>
          <rPr>
            <sz val="10"/>
            <color rgb="FF000000"/>
            <rFont val="Calibri"/>
            <family val="2"/>
            <scheme val="minor"/>
          </rPr>
          <t>2</t>
        </r>
        <r>
          <rPr>
            <sz val="10"/>
            <color rgb="FF000000"/>
            <rFont val="Calibri"/>
            <family val="2"/>
            <scheme val="minor"/>
          </rPr>
          <t>) Бенчи</t>
        </r>
        <r>
          <rPr>
            <sz val="10"/>
            <color rgb="FF000000"/>
            <rFont val="Calibri"/>
            <family val="2"/>
            <scheme val="minor"/>
          </rPr>
          <t xml:space="preserve">
</t>
        </r>
      </text>
    </comment>
    <comment ref="K119" authorId="0" shapeId="0" xr:uid="{A931B036-F3C9-B54D-A9F9-4D83B8683FFF}">
      <text>
        <r>
          <rPr>
            <b/>
            <sz val="10"/>
            <color rgb="FF000000"/>
            <rFont val="Tahoma"/>
            <family val="2"/>
            <charset val="204"/>
          </rPr>
          <t>y balabaeva: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>Карина - уточнит как ковенанты влияют на LTV в др продуктах Т</t>
        </r>
      </text>
    </comment>
    <comment ref="Q119" authorId="0" shapeId="0" xr:uid="{1DDD1C04-1453-C646-87B3-4E7D6349F23C}">
      <text>
        <r>
          <rPr>
            <b/>
            <sz val="10"/>
            <color rgb="FF000000"/>
            <rFont val="Tahoma"/>
            <family val="2"/>
            <charset val="204"/>
          </rPr>
          <t>y balabaeva: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>Карина - уточнит как ковенанты влияют на LTV в др продуктах Т</t>
        </r>
      </text>
    </comment>
    <comment ref="W119" authorId="0" shapeId="0" xr:uid="{2C2302B5-D756-B840-9FF9-FA6FEF1E28E9}">
      <text>
        <r>
          <rPr>
            <b/>
            <sz val="10"/>
            <color rgb="FF000000"/>
            <rFont val="Tahoma"/>
            <family val="2"/>
            <charset val="204"/>
          </rPr>
          <t>y balabaeva: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>Карина - уточнит как ковенанты влияют на LTV в др продуктах Т</t>
        </r>
      </text>
    </comment>
    <comment ref="AC119" authorId="0" shapeId="0" xr:uid="{B48B13E3-99BC-3341-9D91-276E30E03541}">
      <text>
        <r>
          <rPr>
            <b/>
            <sz val="10"/>
            <color rgb="FF000000"/>
            <rFont val="Tahoma"/>
            <family val="2"/>
            <charset val="204"/>
          </rPr>
          <t>y balabaeva: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>Карина - уточнит как ковенанты влияют на LTV в др продуктах Т</t>
        </r>
      </text>
    </comment>
    <comment ref="A126" authorId="0" shapeId="0" xr:uid="{FB9EFCF0-E9BA-EC43-9AC5-7CBCAF19DAE5}">
      <text>
        <r>
          <rPr>
            <b/>
            <sz val="10"/>
            <color rgb="FF000000"/>
            <rFont val="Tahoma"/>
            <family val="2"/>
            <charset val="204"/>
          </rPr>
          <t>y balabaeva: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>если будет внешний маркетинг - ср 3 млн на медиа и тг каналы . внутренний маркетинг (почта, пуши и пр)  считается бесплатным каналом</t>
        </r>
        <r>
          <rPr>
            <sz val="10"/>
            <color rgb="FF000000"/>
            <rFont val="Calibri"/>
            <family val="2"/>
            <scheme val="minor"/>
          </rPr>
          <t xml:space="preserve">
</t>
        </r>
      </text>
    </comment>
    <comment ref="J126" authorId="0" shapeId="0" xr:uid="{A80DC451-FEBA-B744-88D6-17A7235EDE83}">
      <text>
        <r>
          <rPr>
            <b/>
            <sz val="10"/>
            <color rgb="FF000000"/>
            <rFont val="Tahoma"/>
            <family val="2"/>
            <charset val="204"/>
          </rPr>
          <t>y balabaeva: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>гипотеза - если будет внешний маркетинг (3 млн на медиа и тг каналы). внутренний маркетинг считается бесплатным каналом</t>
        </r>
      </text>
    </comment>
    <comment ref="P126" authorId="0" shapeId="0" xr:uid="{B2A9981B-5987-134B-9705-A32FC888910B}">
      <text>
        <r>
          <rPr>
            <b/>
            <sz val="10"/>
            <color rgb="FF000000"/>
            <rFont val="Tahoma"/>
            <family val="2"/>
            <charset val="204"/>
          </rPr>
          <t>y balabaeva: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>гипотеза - если будет внешний маркетинг (3 млн на медиа и тг каналы). внутренний маркетинг считается бесплатным каналом</t>
        </r>
      </text>
    </comment>
    <comment ref="V126" authorId="0" shapeId="0" xr:uid="{F15B698F-E8AD-0B47-9A17-9F69965EF1AB}">
      <text>
        <r>
          <rPr>
            <b/>
            <sz val="10"/>
            <color rgb="FF000000"/>
            <rFont val="Tahoma"/>
            <family val="2"/>
            <charset val="204"/>
          </rPr>
          <t>y balabaeva: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>гипотеза - если будет внешний маркетинг (3 млн на медиа и тг каналы). внутренний маркетинг считается бесплатным каналом</t>
        </r>
      </text>
    </comment>
    <comment ref="AB126" authorId="0" shapeId="0" xr:uid="{5C9D6B96-0D6E-684F-8DD3-74C39647810C}">
      <text>
        <r>
          <rPr>
            <b/>
            <sz val="10"/>
            <color rgb="FF000000"/>
            <rFont val="Tahoma"/>
            <family val="2"/>
            <charset val="204"/>
          </rPr>
          <t>y balabaeva: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>гипотеза - если будет внешний маркетинг (3 млн на медиа и тг каналы). внутренний маркетинг считается бесплатным каналом</t>
        </r>
      </text>
    </comment>
    <comment ref="AH126" authorId="0" shapeId="0" xr:uid="{638BCD5F-8CD6-E946-8FA7-1C42AF9DA723}">
      <text>
        <r>
          <rPr>
            <b/>
            <sz val="10"/>
            <color rgb="FF000000"/>
            <rFont val="Tahoma"/>
            <family val="2"/>
            <charset val="204"/>
          </rPr>
          <t>y balabaeva: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>гипотеза - если будет внешний маркетинг (3 млн на медиа и тг каналы). внутренний маркетинг считается бесплатным каналом</t>
        </r>
      </text>
    </comment>
    <comment ref="F127" authorId="0" shapeId="0" xr:uid="{57DB46B9-B9D2-1C41-BBF3-3429542D7299}">
      <text>
        <r>
          <rPr>
            <b/>
            <sz val="10"/>
            <color rgb="FF000000"/>
            <rFont val="Tahoma"/>
            <family val="2"/>
            <charset val="204"/>
          </rPr>
          <t>y balabaeva: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>предположение: из 14 дней пользователь в ср будет посещать сервис 4 дн</t>
        </r>
      </text>
    </comment>
    <comment ref="L127" authorId="0" shapeId="0" xr:uid="{3BDCC696-DBEA-444A-9859-AA973389AD09}">
      <text>
        <r>
          <rPr>
            <b/>
            <sz val="10"/>
            <color rgb="FF000000"/>
            <rFont val="Tahoma"/>
            <family val="2"/>
            <charset val="204"/>
          </rPr>
          <t>y balabaeva: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>предположение: из 14 дней пользователь в ср будет посещать сервис 4 дн</t>
        </r>
      </text>
    </comment>
    <comment ref="R127" authorId="0" shapeId="0" xr:uid="{10994F6B-E55D-C54E-B3C0-DF543D1D3715}">
      <text>
        <r>
          <rPr>
            <b/>
            <sz val="10"/>
            <color rgb="FF000000"/>
            <rFont val="Tahoma"/>
            <family val="2"/>
            <charset val="204"/>
          </rPr>
          <t>y balabaeva: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>предположение: из 14 дней пользователь в ср будет посещать сервис 4 дн</t>
        </r>
      </text>
    </comment>
    <comment ref="X127" authorId="0" shapeId="0" xr:uid="{069015D5-447C-134A-A683-C67E9E3D188C}">
      <text>
        <r>
          <rPr>
            <b/>
            <sz val="10"/>
            <color rgb="FF000000"/>
            <rFont val="Tahoma"/>
            <family val="2"/>
            <charset val="204"/>
          </rPr>
          <t>y balabaeva: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>предположение: из 14 дней пользователь в ср будет посещать сервис 4 дн</t>
        </r>
      </text>
    </comment>
    <comment ref="AD127" authorId="0" shapeId="0" xr:uid="{74818B13-FEBF-354D-A47B-1151FF5573B9}">
      <text>
        <r>
          <rPr>
            <b/>
            <sz val="10"/>
            <color rgb="FF000000"/>
            <rFont val="Tahoma"/>
            <family val="2"/>
            <charset val="204"/>
          </rPr>
          <t>y balabaeva: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>предположение: из 14 дней пользователь в ср будет посещать сервис 4 дн</t>
        </r>
      </text>
    </comment>
    <comment ref="F131" authorId="0" shapeId="0" xr:uid="{D7CFA2EC-12EC-1444-9518-3C983AF96BC7}">
      <text>
        <r>
          <rPr>
            <b/>
            <sz val="10"/>
            <color rgb="FF000000"/>
            <rFont val="Tahoma"/>
            <family val="2"/>
            <charset val="204"/>
          </rPr>
          <t>y balabaeva: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>знаем что главная будет обходиться примерно 2.7 р в день на 1 пользователя. предполагаем что платящие будут посещать 10 дней в мес. итого 2.7*10</t>
        </r>
      </text>
    </comment>
    <comment ref="F132" authorId="0" shapeId="0" xr:uid="{A9003185-D77E-7149-A00E-F2648905FDBE}">
      <text>
        <r>
          <rPr>
            <b/>
            <sz val="10"/>
            <color rgb="FF000000"/>
            <rFont val="Tahoma"/>
            <family val="2"/>
            <charset val="204"/>
          </rPr>
          <t>y balabaeva: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 xml:space="preserve">знаем что главная будет обходиться примерно 2.7 р в день на 1 пользователя. предполагаем что лиды не платящие в ср зайдут в Селлер 2 раза  </t>
        </r>
      </text>
    </comment>
    <comment ref="F133" authorId="0" shapeId="0" xr:uid="{77042177-A362-7149-88FC-3316ADFDEC98}">
      <text>
        <r>
          <rPr>
            <b/>
            <sz val="10"/>
            <color rgb="FF000000"/>
            <rFont val="Tahoma"/>
            <family val="2"/>
            <charset val="204"/>
          </rPr>
          <t>y balabaeva: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>гипотеза на данных Селлера - 25</t>
        </r>
        <r>
          <rPr>
            <sz val="10"/>
            <color rgb="FF000000"/>
            <rFont val="Tahoma"/>
            <family val="2"/>
            <charset val="204"/>
          </rPr>
          <t>%</t>
        </r>
        <r>
          <rPr>
            <sz val="10"/>
            <color rgb="FF000000"/>
            <rFont val="Tahoma"/>
            <family val="2"/>
            <charset val="204"/>
          </rPr>
          <t xml:space="preserve"> оставляют АПИ</t>
        </r>
      </text>
    </comment>
    <comment ref="A147" authorId="0" shapeId="0" xr:uid="{2E9C4D43-7A8C-FB43-92AD-418A6D635DE4}">
      <text>
        <r>
          <rPr>
            <b/>
            <sz val="10"/>
            <color rgb="FF000000"/>
            <rFont val="Tahoma"/>
            <family val="2"/>
            <charset val="204"/>
          </rPr>
          <t>y balabaeva: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>тут по названию - расходы на коммуникации , повторное выставление счетов</t>
        </r>
      </text>
    </comment>
    <comment ref="F150" authorId="0" shapeId="0" xr:uid="{1606BA7A-FB3F-814A-BEC0-142D50A990B4}">
      <text>
        <r>
          <rPr>
            <b/>
            <sz val="10"/>
            <color rgb="FF000000"/>
            <rFont val="Tahoma"/>
            <family val="2"/>
            <charset val="204"/>
          </rPr>
          <t>y balabaeva: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>предположение (на основе стоимсти API в мес на 1 платящего) - 212 р в мес /10 дней (предположение: ср посещение платного пользователя) = 21 р</t>
        </r>
      </text>
    </comment>
    <comment ref="L150" authorId="0" shapeId="0" xr:uid="{B4FA0856-D0E1-724C-AD6E-858BB6C4C1CA}">
      <text>
        <r>
          <rPr>
            <b/>
            <sz val="10"/>
            <color rgb="FF000000"/>
            <rFont val="Tahoma"/>
            <family val="2"/>
            <charset val="204"/>
          </rPr>
          <t>y balabaeva: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>предположение (на основе стоимсти API в мес на 1 платящего) - 212 р в мес /10 дней (предположение: ср посещение платного пользователя) = 21 р</t>
        </r>
      </text>
    </comment>
    <comment ref="R150" authorId="0" shapeId="0" xr:uid="{9C0F17F4-5611-C542-A4BD-F2B3774ECC54}">
      <text>
        <r>
          <rPr>
            <b/>
            <sz val="10"/>
            <color rgb="FF000000"/>
            <rFont val="Tahoma"/>
            <family val="2"/>
            <charset val="204"/>
          </rPr>
          <t>y balabaeva: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>предположение (на основе стоимсти API в мес на 1 платящего) - 212 р в мес /10 дней (предположение: ср посещение платного пользователя) = 21 р</t>
        </r>
      </text>
    </comment>
  </commentList>
</comments>
</file>

<file path=xl/comments1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y balabaeva</author>
  </authors>
  <commentList>
    <comment ref="H2" authorId="0" shapeId="0" xr:uid="{9B9CF1BF-D00C-0B41-B6DA-DB3501EB5545}">
      <text>
        <r>
          <rPr>
            <b/>
            <sz val="10"/>
            <color rgb="FF000000"/>
            <rFont val="Tahoma"/>
            <family val="2"/>
            <charset val="204"/>
          </rPr>
          <t>y balabaeva: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 xml:space="preserve"> квалиф. лид, согласились на демо-втречу</t>
        </r>
      </text>
    </comment>
    <comment ref="I2" authorId="0" shapeId="0" xr:uid="{B0AD466A-4421-844E-A067-2899A17991AC}">
      <text>
        <r>
          <rPr>
            <b/>
            <sz val="10"/>
            <color rgb="FF000000"/>
            <rFont val="Tahoma"/>
            <family val="2"/>
            <charset val="204"/>
          </rPr>
          <t>y balabaeva: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ОТП = квалиф лид, не согласились на демо
</t>
        </r>
      </text>
    </comment>
    <comment ref="J2" authorId="0" shapeId="0" xr:uid="{FF0DB9A2-7151-1547-A657-A82309B87F82}">
      <text>
        <r>
          <rPr>
            <b/>
            <sz val="10"/>
            <color rgb="FF000000"/>
            <rFont val="Tahoma"/>
            <family val="2"/>
            <charset val="204"/>
          </rPr>
          <t>y balabaeva: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>знают про MPStats, высокая вероятность покупки - доля 15,2% от ОТП</t>
        </r>
      </text>
    </comment>
    <comment ref="K2" authorId="0" shapeId="0" xr:uid="{5792192D-DF30-C54F-84A7-A02F188C448C}">
      <text>
        <r>
          <rPr>
            <b/>
            <sz val="10"/>
            <color rgb="FF000000"/>
            <rFont val="Tahoma"/>
            <family val="2"/>
            <charset val="204"/>
          </rPr>
          <t>y balabaeva: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>"не послали" - доля 84,8%</t>
        </r>
      </text>
    </comment>
    <comment ref="O2" authorId="0" shapeId="0" xr:uid="{2E187968-2B72-0648-8E9F-C23EC4F36411}">
      <text>
        <r>
          <rPr>
            <b/>
            <sz val="10"/>
            <color rgb="FF000000"/>
            <rFont val="Tahoma"/>
            <family val="2"/>
            <charset val="204"/>
          </rPr>
          <t>y balabaeva: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 xml:space="preserve"> квалиф. лид, согласились на демо-втречу</t>
        </r>
      </text>
    </comment>
    <comment ref="P2" authorId="0" shapeId="0" xr:uid="{59E561C1-F6C1-4A47-8A76-C265979AA773}">
      <text>
        <r>
          <rPr>
            <b/>
            <sz val="10"/>
            <color rgb="FF000000"/>
            <rFont val="Tahoma"/>
            <family val="2"/>
            <charset val="204"/>
          </rPr>
          <t>y balabaeva: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ОТП = квалиф лид, не согласились на демо
</t>
        </r>
      </text>
    </comment>
    <comment ref="Q2" authorId="0" shapeId="0" xr:uid="{D0F2E80A-BC79-F448-9FE3-FAB322B93955}">
      <text>
        <r>
          <rPr>
            <b/>
            <sz val="10"/>
            <color rgb="FF000000"/>
            <rFont val="Tahoma"/>
            <family val="2"/>
            <charset val="204"/>
          </rPr>
          <t>y balabaeva: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>знают про MPStats, высокая вероятность покупки - доля 15,2% от ОТП</t>
        </r>
      </text>
    </comment>
    <comment ref="R2" authorId="0" shapeId="0" xr:uid="{451985BF-826D-B74A-B1D4-3C3352E4D13D}">
      <text>
        <r>
          <rPr>
            <b/>
            <sz val="10"/>
            <color rgb="FF000000"/>
            <rFont val="Tahoma"/>
            <family val="2"/>
            <charset val="204"/>
          </rPr>
          <t>y balabaeva: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>"не послали" - доля 84,8%</t>
        </r>
      </text>
    </comment>
    <comment ref="C8" authorId="0" shapeId="0" xr:uid="{DDEAC26C-4DA0-E541-94D4-AC0FBFE428F4}">
      <text>
        <r>
          <rPr>
            <b/>
            <sz val="10"/>
            <color rgb="FF000000"/>
            <rFont val="Tahoma"/>
            <family val="2"/>
            <charset val="204"/>
          </rPr>
          <t>y balabaeva: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Квалификация ЦА MPSTats 
</t>
        </r>
        <r>
          <rPr>
            <sz val="11"/>
            <color rgb="FF000000"/>
            <rFont val="Calibri"/>
            <family val="2"/>
          </rPr>
          <t xml:space="preserve">- 150 000 - есть для старта
</t>
        </r>
        <r>
          <rPr>
            <sz val="11"/>
            <color rgb="FF000000"/>
            <rFont val="Calibri"/>
            <family val="2"/>
          </rPr>
          <t xml:space="preserve">- в теч 2 мес планирует начать торговать на МП
</t>
        </r>
        <r>
          <rPr>
            <sz val="11"/>
            <color rgb="FF000000"/>
            <rFont val="Calibri"/>
            <family val="2"/>
          </rPr>
          <t xml:space="preserve">- селлер - есть рега на МП (озон вб яндекс)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>Хантеры =  квалиф. лид, согласились на демо-втречу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>ОТП = квалиф лид, не согласились на демо</t>
        </r>
      </text>
    </comment>
  </commentList>
</comments>
</file>

<file path=xl/comments1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y balabaeva</author>
  </authors>
  <commentList>
    <comment ref="B4" authorId="0" shapeId="0" xr:uid="{C46D54B3-153B-A441-A8CB-4EFC33D72D9E}">
      <text>
        <r>
          <rPr>
            <b/>
            <sz val="10"/>
            <color rgb="FF000000"/>
            <rFont val="Tahoma"/>
            <family val="2"/>
            <charset val="204"/>
          </rPr>
          <t>y balabaeva: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>не очищенная база от пересечений с МПС и Точкой</t>
        </r>
      </text>
    </comment>
    <comment ref="E4" authorId="0" shapeId="0" xr:uid="{94D683AE-040C-B244-8A33-0D27EA52C64A}">
      <text>
        <r>
          <rPr>
            <b/>
            <sz val="10"/>
            <color rgb="FF000000"/>
            <rFont val="Tahoma"/>
            <family val="2"/>
            <charset val="204"/>
          </rPr>
          <t>y balabaeva: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>бизнес-модель Карины</t>
        </r>
      </text>
    </comment>
    <comment ref="F4" authorId="0" shapeId="0" xr:uid="{8FA2FE6C-FE90-DE4D-A3B7-9EBDB120828A}">
      <text>
        <r>
          <rPr>
            <b/>
            <sz val="10"/>
            <color rgb="FF000000"/>
            <rFont val="Tahoma"/>
            <family val="2"/>
            <charset val="204"/>
          </rPr>
          <t>y balabaeva: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бизнес-модель Карины
</t>
        </r>
      </text>
    </comment>
    <comment ref="E5" authorId="0" shapeId="0" xr:uid="{8E4D695C-4298-A84C-9BD2-55538FA588CF}">
      <text>
        <r>
          <rPr>
            <b/>
            <sz val="10"/>
            <color rgb="FF000000"/>
            <rFont val="Tahoma"/>
            <family val="2"/>
            <charset val="204"/>
          </rPr>
          <t>y balabaeva: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>из базы сегмента  - придут за МПС</t>
        </r>
      </text>
    </comment>
    <comment ref="F5" authorId="0" shapeId="0" xr:uid="{6B25C655-0F06-E04A-B8D0-48E6C9FBDF90}">
      <text>
        <r>
          <rPr>
            <b/>
            <sz val="10"/>
            <color rgb="FF000000"/>
            <rFont val="Tahoma"/>
            <family val="2"/>
            <charset val="204"/>
          </rPr>
          <t>y balabaeva: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из базы сегмента  - придут за МПС
</t>
        </r>
      </text>
    </comment>
    <comment ref="B6" authorId="0" shapeId="0" xr:uid="{72A9BD99-1AD8-A449-9155-F6BE6128EF3A}">
      <text>
        <r>
          <rPr>
            <b/>
            <sz val="10"/>
            <color rgb="FF000000"/>
            <rFont val="Tahoma"/>
            <family val="2"/>
            <charset val="204"/>
          </rPr>
          <t>y balabaeva: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 xml:space="preserve">сейчас уже коснулись половины базы, гипотеза - с маркетингом коснемся не менее 80%
</t>
        </r>
      </text>
    </comment>
    <comment ref="H6" authorId="0" shapeId="0" xr:uid="{98F19D7E-61D9-514E-A2AD-A246CF46C8D4}">
      <text>
        <r>
          <rPr>
            <b/>
            <sz val="10"/>
            <color rgb="FF000000"/>
            <rFont val="Tahoma"/>
            <family val="2"/>
            <charset val="204"/>
          </rPr>
          <t>y balabaeva: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 xml:space="preserve">сейчас уже коснулись половины базы, гипотеза - с маркетингом коснемся не менее 80%
</t>
        </r>
      </text>
    </comment>
    <comment ref="N6" authorId="0" shapeId="0" xr:uid="{F0C609D3-64B0-6D4B-81A5-4878FA5EC627}">
      <text>
        <r>
          <rPr>
            <b/>
            <sz val="10"/>
            <color rgb="FF000000"/>
            <rFont val="Tahoma"/>
            <family val="2"/>
            <charset val="204"/>
          </rPr>
          <t>y balabaeva: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 xml:space="preserve">сейчас уже коснулись половины базы, гипотеза - с маркетингом коснемся не менее 80%
</t>
        </r>
      </text>
    </comment>
    <comment ref="B13" authorId="0" shapeId="0" xr:uid="{FD9B0191-2FF1-A94F-A3F1-FBF1F31A47B2}">
      <text>
        <r>
          <rPr>
            <b/>
            <sz val="10"/>
            <color rgb="FF000000"/>
            <rFont val="Tahoma"/>
            <family val="2"/>
            <charset val="204"/>
          </rPr>
          <t>y balabaeva: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 xml:space="preserve">гипотеза - довзонились до ЦА. 
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 xml:space="preserve">Наша база - все ЦА (есть обороты на МП). 
</t>
        </r>
        <r>
          <rPr>
            <sz val="10"/>
            <color rgb="FF000000"/>
            <rFont val="Tahoma"/>
            <family val="2"/>
            <charset val="204"/>
          </rPr>
          <t xml:space="preserve">Как считает ЦА MPS:
</t>
        </r>
        <r>
          <rPr>
            <sz val="10"/>
            <color rgb="FF000000"/>
            <rFont val="Calibri"/>
            <family val="2"/>
          </rPr>
          <t xml:space="preserve">- 150 -000 - есть для старта
</t>
        </r>
        <r>
          <rPr>
            <sz val="10"/>
            <color rgb="FF000000"/>
            <rFont val="Calibri"/>
            <family val="2"/>
          </rPr>
          <t xml:space="preserve">- в теч 2 мес планирует начать торговать
</t>
        </r>
        <r>
          <rPr>
            <sz val="10"/>
            <color rgb="FF000000"/>
            <rFont val="Calibri"/>
            <family val="2"/>
          </rPr>
          <t>- селлер - есть рега на МП (озон вб яндекс)</t>
        </r>
      </text>
    </comment>
    <comment ref="H13" authorId="0" shapeId="0" xr:uid="{9E9DA740-818D-3E41-84E3-B8800CDBA14C}">
      <text>
        <r>
          <rPr>
            <b/>
            <sz val="10"/>
            <color rgb="FF000000"/>
            <rFont val="Tahoma"/>
            <family val="2"/>
            <charset val="204"/>
          </rPr>
          <t>y balabaeva: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 xml:space="preserve">гипотеза - довзонились до ЦА. 
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 xml:space="preserve">Наша база - все ЦА (есть обороты на МП). 
</t>
        </r>
        <r>
          <rPr>
            <sz val="10"/>
            <color rgb="FF000000"/>
            <rFont val="Tahoma"/>
            <family val="2"/>
            <charset val="204"/>
          </rPr>
          <t xml:space="preserve">Как считает ЦА MPS:
</t>
        </r>
        <r>
          <rPr>
            <sz val="10"/>
            <color rgb="FF000000"/>
            <rFont val="Calibri"/>
            <family val="2"/>
          </rPr>
          <t xml:space="preserve">- 150 -000 - есть для старта
</t>
        </r>
        <r>
          <rPr>
            <sz val="10"/>
            <color rgb="FF000000"/>
            <rFont val="Calibri"/>
            <family val="2"/>
          </rPr>
          <t xml:space="preserve">- в теч 2 мес планирует начать торговать
</t>
        </r>
        <r>
          <rPr>
            <sz val="10"/>
            <color rgb="FF000000"/>
            <rFont val="Calibri"/>
            <family val="2"/>
          </rPr>
          <t>- селлер - есть рега на МП (озон вб яндекс)</t>
        </r>
      </text>
    </comment>
    <comment ref="H18" authorId="0" shapeId="0" xr:uid="{64703ACD-44C0-064B-8EF2-19AD1C8F9A01}">
      <text>
        <r>
          <rPr>
            <b/>
            <sz val="10"/>
            <color rgb="FF000000"/>
            <rFont val="Tahoma"/>
            <family val="2"/>
            <charset val="204"/>
          </rPr>
          <t>y balabaeva: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 xml:space="preserve">гипотеза экспертно +15% к базовой CR первой покупки MPS - за счет механизма автосписания с РКО по окончанию тариала. 
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 xml:space="preserve">нужно уточнить гипотезу
</t>
        </r>
        <r>
          <rPr>
            <sz val="10"/>
            <color rgb="FF000000"/>
            <rFont val="Tahoma"/>
            <family val="2"/>
            <charset val="204"/>
          </rPr>
          <t xml:space="preserve">1) есть ли данные: LT до фичи авто списаний после триала и LT как стало после?
</t>
        </r>
        <r>
          <rPr>
            <sz val="10"/>
            <color rgb="FF000000"/>
            <rFont val="Tahoma"/>
            <family val="2"/>
            <charset val="204"/>
          </rPr>
          <t xml:space="preserve">2) есть ли опыт такой фичи в других продуктах Т?
</t>
        </r>
        <r>
          <rPr>
            <sz val="10"/>
            <color rgb="FF000000"/>
            <rFont val="Tahoma"/>
            <family val="2"/>
            <charset val="204"/>
          </rPr>
          <t>3) есть ли бенчи?</t>
        </r>
      </text>
    </comment>
    <comment ref="N18" authorId="0" shapeId="0" xr:uid="{7AAA653A-C58E-254B-BC0D-77D4B9AB9385}">
      <text>
        <r>
          <rPr>
            <b/>
            <sz val="10"/>
            <color rgb="FF000000"/>
            <rFont val="Tahoma"/>
            <family val="2"/>
            <charset val="204"/>
          </rPr>
          <t>y balabaeva: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>текущий CR (усредненный янв-мар 2026)</t>
        </r>
      </text>
    </comment>
    <comment ref="B19" authorId="0" shapeId="0" xr:uid="{9B70D630-5EB8-E244-9B66-53B08C486FD8}">
      <text>
        <r>
          <rPr>
            <b/>
            <sz val="10"/>
            <color rgb="FF000000"/>
            <rFont val="Tahoma"/>
            <family val="2"/>
            <charset val="204"/>
          </rPr>
          <t>y balabaeva: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>CR - digital канал Т</t>
        </r>
      </text>
    </comment>
    <comment ref="H19" authorId="0" shapeId="0" xr:uid="{BC9274FD-640A-8548-B8EA-D1863FA24AAF}">
      <text>
        <r>
          <rPr>
            <b/>
            <sz val="10"/>
            <color rgb="FF000000"/>
            <rFont val="Tahoma"/>
            <family val="2"/>
            <charset val="204"/>
          </rPr>
          <t>y balabaeva: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>CR - digital канал Т</t>
        </r>
      </text>
    </comment>
    <comment ref="G29" authorId="0" shapeId="0" xr:uid="{5A6FC237-6CA0-4B4E-9A95-A2C633B8BA47}">
      <text>
        <r>
          <rPr>
            <b/>
            <sz val="10"/>
            <color rgb="FF000000"/>
            <rFont val="Tahoma"/>
            <family val="2"/>
            <charset val="204"/>
          </rPr>
          <t>y balabaeva: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нужно вычесть маркетинг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тут маркетинг + продажи (данные в только продажи - не дали МПС)
</t>
        </r>
      </text>
    </comment>
    <comment ref="M29" authorId="0" shapeId="0" xr:uid="{1957B9A6-2CD5-B94C-8C2E-87DC582FBC98}">
      <text>
        <r>
          <rPr>
            <b/>
            <sz val="10"/>
            <color rgb="FF000000"/>
            <rFont val="Tahoma"/>
            <family val="2"/>
            <charset val="204"/>
          </rPr>
          <t>y balabaeva: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нужно вычесть маркетинг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тут маркетинг + продажи (данные в только продажи - не дали МПС)
</t>
        </r>
      </text>
    </comment>
    <comment ref="S29" authorId="0" shapeId="0" xr:uid="{22197E83-05FF-6E47-9B58-EF5E3DC1FFDE}">
      <text>
        <r>
          <rPr>
            <b/>
            <sz val="10"/>
            <color rgb="FF000000"/>
            <rFont val="Tahoma"/>
            <family val="2"/>
            <charset val="204"/>
          </rPr>
          <t>y balabaeva: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>если закладываем внешний маркетинг Т (медиа, тг каналы)</t>
        </r>
      </text>
    </comment>
    <comment ref="Y29" authorId="0" shapeId="0" xr:uid="{F5893E7A-485B-C541-BECD-E0DEB1336CA9}">
      <text>
        <r>
          <rPr>
            <b/>
            <sz val="10"/>
            <color rgb="FF000000"/>
            <rFont val="Tahoma"/>
            <family val="2"/>
            <charset val="204"/>
          </rPr>
          <t>y balabaeva: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>если закладываем внешний маркетинг Т (медиа, тг каналы)</t>
        </r>
      </text>
    </comment>
    <comment ref="AE29" authorId="0" shapeId="0" xr:uid="{9CCAF946-9D6C-DD44-98F5-CC44CEBD366A}">
      <text>
        <r>
          <rPr>
            <b/>
            <sz val="10"/>
            <color rgb="FF000000"/>
            <rFont val="Tahoma"/>
            <family val="2"/>
            <charset val="204"/>
          </rPr>
          <t>y balabaeva: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нужно вычесть маркетинг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тут маркетинг + продажи (данные в только продажи - не дали МПС)
</t>
        </r>
      </text>
    </comment>
    <comment ref="A30" authorId="0" shapeId="0" xr:uid="{AEF78201-0265-8446-B76D-9E3A055086BF}">
      <text>
        <r>
          <rPr>
            <b/>
            <sz val="10"/>
            <color rgb="FF000000"/>
            <rFont val="Tahoma"/>
            <family val="2"/>
            <charset val="204"/>
          </rPr>
          <t>y balabaeva: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>вероятно выставленеи счетов, коммуникации</t>
        </r>
      </text>
    </comment>
    <comment ref="A31" authorId="0" shapeId="0" xr:uid="{E6A9F625-BB82-2440-8384-71D1B0A437CC}">
      <text>
        <r>
          <rPr>
            <b/>
            <sz val="10"/>
            <color rgb="FF000000"/>
            <rFont val="Tahoma"/>
            <family val="2"/>
            <charset val="204"/>
          </rPr>
          <t>y balabaeva: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 xml:space="preserve">пока взяли расходы Селлера
</t>
        </r>
        <r>
          <rPr>
            <sz val="10"/>
            <color rgb="FF000000"/>
            <rFont val="Tahoma"/>
            <family val="2"/>
            <charset val="204"/>
          </rPr>
          <t>уточняем у МПС</t>
        </r>
      </text>
    </comment>
    <comment ref="C34" authorId="0" shapeId="0" xr:uid="{42C47714-343C-534E-827E-D46A1FEDCE72}">
      <text>
        <r>
          <rPr>
            <b/>
            <sz val="10"/>
            <color rgb="FF000000"/>
            <rFont val="Tahoma"/>
            <family val="2"/>
            <charset val="204"/>
          </rPr>
          <t>y balabaeva: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>уже получаем доход с др продуктов Банка</t>
        </r>
      </text>
    </comment>
    <comment ref="E34" authorId="0" shapeId="0" xr:uid="{BA12244A-F59D-854F-9FD8-F16B510A3105}">
      <text>
        <r>
          <rPr>
            <b/>
            <sz val="10"/>
            <color rgb="FF000000"/>
            <rFont val="Tahoma"/>
            <family val="2"/>
            <charset val="204"/>
          </rPr>
          <t>y balabaeva: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>из расчета на кол-во клиентво в инкременте (из бизнес модели Крины) - клиенты проснулись  в РКО из-за МПС</t>
        </r>
      </text>
    </comment>
    <comment ref="F34" authorId="0" shapeId="0" xr:uid="{DE82055E-3302-F144-876F-38EF3DC5E13E}">
      <text>
        <r>
          <rPr>
            <b/>
            <sz val="10"/>
            <color rgb="FF000000"/>
            <rFont val="Tahoma"/>
            <family val="2"/>
            <charset val="204"/>
          </rPr>
          <t>y balabaeva: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>из расчета на кол-во клиентво в инкременте (из бизнес модели Крины) - клиенты открвли  РКО из-за МПС</t>
        </r>
        <r>
          <rPr>
            <sz val="10"/>
            <color rgb="FF000000"/>
            <rFont val="Calibri"/>
            <family val="2"/>
            <scheme val="minor"/>
          </rPr>
          <t xml:space="preserve">
</t>
        </r>
      </text>
    </comment>
    <comment ref="M34" authorId="0" shapeId="0" xr:uid="{9425B734-61DF-824C-8958-4441295DF931}">
      <text>
        <r>
          <rPr>
            <b/>
            <sz val="10"/>
            <color rgb="FF000000"/>
            <rFont val="Tahoma"/>
            <family val="2"/>
            <charset val="204"/>
          </rPr>
          <t>y balabaeva: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>гипотеза - LTV тарифов МПС выше на за счет ковенант</t>
        </r>
      </text>
    </comment>
    <comment ref="S34" authorId="0" shapeId="0" xr:uid="{005DCD0D-27A7-E647-9687-0657EF591DFE}">
      <text>
        <r>
          <rPr>
            <b/>
            <sz val="10"/>
            <color rgb="FF000000"/>
            <rFont val="Tahoma"/>
            <family val="2"/>
            <charset val="204"/>
          </rPr>
          <t>y balabaeva: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>гипотеза - по клиентам с тарифом MPS LTV выше на 30% за счет ковенант)</t>
        </r>
      </text>
    </comment>
    <comment ref="Y34" authorId="0" shapeId="0" xr:uid="{97BC6FD5-312B-6345-B21E-A90435DFC8A2}">
      <text>
        <r>
          <rPr>
            <b/>
            <sz val="10"/>
            <color rgb="FF000000"/>
            <rFont val="Tahoma"/>
            <family val="2"/>
            <charset val="204"/>
          </rPr>
          <t>y balabaeva: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>гипотеза - по клиентам с тарифом MPS LTV выше на 30% за счет ковенант)</t>
        </r>
      </text>
    </comment>
    <comment ref="AE34" authorId="0" shapeId="0" xr:uid="{056E6F85-5E1A-694E-8812-A425064D387E}">
      <text>
        <r>
          <rPr>
            <b/>
            <sz val="10"/>
            <color rgb="FF000000"/>
            <rFont val="Tahoma"/>
            <family val="2"/>
            <charset val="204"/>
          </rPr>
          <t>y balabaeva: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>гипотеза - LTV тарифов МПС выше на за счет ковенант</t>
        </r>
      </text>
    </comment>
    <comment ref="E43" authorId="0" shapeId="0" xr:uid="{EB17106D-D815-6C42-A11B-2BAE9A9DFA82}">
      <text>
        <r>
          <rPr>
            <b/>
            <sz val="10"/>
            <color rgb="FF000000"/>
            <rFont val="Tahoma"/>
            <family val="2"/>
            <charset val="204"/>
          </rPr>
          <t>y balabaeva: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>уточнить по сегменту (сейчас ср по 1 и 2 сегменту)</t>
        </r>
      </text>
    </comment>
    <comment ref="H50" authorId="0" shapeId="0" xr:uid="{39462A09-8B01-8741-8BC0-0F7B04862B43}">
      <text>
        <r>
          <rPr>
            <b/>
            <sz val="10"/>
            <color rgb="FF000000"/>
            <rFont val="Tahoma"/>
            <family val="2"/>
            <charset val="204"/>
          </rPr>
          <t xml:space="preserve">y balabaeva:
</t>
        </r>
        <r>
          <rPr>
            <sz val="10"/>
            <color rgb="FF000000"/>
            <rFont val="Tahoma"/>
            <family val="2"/>
            <charset val="204"/>
          </rPr>
          <t xml:space="preserve">as is в Селлере - 35% оплат- досписания </t>
        </r>
        <r>
          <rPr>
            <sz val="10"/>
            <color rgb="FF000000"/>
            <rFont val="Calibri"/>
            <family val="2"/>
          </rPr>
          <t>с РКО  при недостатке средств в конце мес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 xml:space="preserve">Пока предположила LT </t>
        </r>
        <r>
          <rPr>
            <sz val="10"/>
            <color rgb="FF000000"/>
            <rFont val="Calibri"/>
            <family val="2"/>
          </rPr>
          <t xml:space="preserve">экспертно </t>
        </r>
        <r>
          <rPr>
            <sz val="10"/>
            <color rgb="FF000000"/>
            <rFont val="Calibri"/>
            <family val="2"/>
          </rPr>
          <t xml:space="preserve"> + 1</t>
        </r>
        <r>
          <rPr>
            <sz val="10"/>
            <color rgb="FF000000"/>
            <rFont val="Calibri"/>
            <family val="2"/>
          </rPr>
          <t xml:space="preserve"> мес к </t>
        </r>
        <r>
          <rPr>
            <sz val="10"/>
            <color rgb="FF000000"/>
            <rFont val="Calibri"/>
            <family val="2"/>
          </rPr>
          <t>LT MPS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 xml:space="preserve">Какк уточнить гипотезу:
</t>
        </r>
        <r>
          <rPr>
            <sz val="10"/>
            <color rgb="FF000000"/>
            <rFont val="Calibri"/>
            <family val="2"/>
            <scheme val="minor"/>
          </rPr>
          <t>1</t>
        </r>
        <r>
          <rPr>
            <sz val="10"/>
            <color rgb="FF000000"/>
            <rFont val="Calibri"/>
            <family val="2"/>
            <scheme val="minor"/>
          </rPr>
          <t>)</t>
        </r>
        <r>
          <rPr>
            <sz val="10"/>
            <color rgb="FF000000"/>
            <rFont val="Calibri"/>
            <family val="2"/>
            <scheme val="minor"/>
          </rPr>
          <t xml:space="preserve"> как изменилось </t>
        </r>
        <r>
          <rPr>
            <sz val="10"/>
            <color rgb="FF000000"/>
            <rFont val="Calibri"/>
            <family val="2"/>
            <scheme val="minor"/>
          </rPr>
          <t xml:space="preserve">LT </t>
        </r>
        <r>
          <rPr>
            <sz val="10"/>
            <color rgb="FF000000"/>
            <rFont val="Calibri"/>
            <family val="2"/>
            <scheme val="minor"/>
          </rPr>
          <t xml:space="preserve">в Селлере после фичи досписания? (если не было запущено так изначлаьно)
</t>
        </r>
        <r>
          <rPr>
            <sz val="10"/>
            <color rgb="FF000000"/>
            <rFont val="Calibri"/>
            <family val="2"/>
            <scheme val="minor"/>
          </rPr>
          <t>2</t>
        </r>
        <r>
          <rPr>
            <sz val="10"/>
            <color rgb="FF000000"/>
            <rFont val="Calibri"/>
            <family val="2"/>
            <scheme val="minor"/>
          </rPr>
          <t>) Бенчи</t>
        </r>
        <r>
          <rPr>
            <sz val="10"/>
            <color rgb="FF000000"/>
            <rFont val="Calibri"/>
            <family val="2"/>
            <scheme val="minor"/>
          </rPr>
          <t xml:space="preserve">
</t>
        </r>
      </text>
    </comment>
    <comment ref="H97" authorId="0" shapeId="0" xr:uid="{2CDF66BA-433E-C74D-A9F4-06384C3E7E02}">
      <text>
        <r>
          <rPr>
            <b/>
            <sz val="10"/>
            <color rgb="FF000000"/>
            <rFont val="Tahoma"/>
            <family val="2"/>
            <charset val="204"/>
          </rPr>
          <t>y balabaeva: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>Карина - уточнит как ковенанты влияют на LTV в др продуктах Т</t>
        </r>
      </text>
    </comment>
    <comment ref="N97" authorId="0" shapeId="0" xr:uid="{E94293C4-BC30-C54E-B6B2-8D98F7529204}">
      <text>
        <r>
          <rPr>
            <b/>
            <sz val="10"/>
            <color rgb="FF000000"/>
            <rFont val="Tahoma"/>
            <family val="2"/>
            <charset val="204"/>
          </rPr>
          <t>y balabaeva: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>Карина - уточнит как ковенанты влияют на LTV в др продуктах Т</t>
        </r>
      </text>
    </comment>
    <comment ref="T97" authorId="0" shapeId="0" xr:uid="{69F0D3F4-D08B-2D4E-8E84-5B0F0A4D48EE}">
      <text>
        <r>
          <rPr>
            <b/>
            <sz val="10"/>
            <color rgb="FF000000"/>
            <rFont val="Tahoma"/>
            <family val="2"/>
            <charset val="204"/>
          </rPr>
          <t>y balabaeva: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>Карина - уточнит как ковенанты влияют на LTV в др продуктах Т</t>
        </r>
      </text>
    </comment>
    <comment ref="Z97" authorId="0" shapeId="0" xr:uid="{71CA7FF0-75C6-AF46-A8E7-24F36F7E375B}">
      <text>
        <r>
          <rPr>
            <b/>
            <sz val="10"/>
            <color rgb="FF000000"/>
            <rFont val="Tahoma"/>
            <family val="2"/>
            <charset val="204"/>
          </rPr>
          <t>y balabaeva: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>Карина - уточнит как ковенанты влияют на LTV в др продуктах Т</t>
        </r>
      </text>
    </comment>
    <comment ref="S104" authorId="0" shapeId="0" xr:uid="{7B983E3F-AC62-A148-9A93-47623923F7F7}">
      <text>
        <r>
          <rPr>
            <b/>
            <sz val="10"/>
            <color rgb="FF000000"/>
            <rFont val="Tahoma"/>
            <family val="2"/>
            <charset val="204"/>
          </rPr>
          <t>y balabaeva: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>гипотеза - если будет внешний маркетинг (3 млн на медиа и тг каналы). внутренний маркетинг считается бесплатным каналом</t>
        </r>
      </text>
    </comment>
    <comment ref="C110" authorId="0" shapeId="0" xr:uid="{2D6C09CB-F382-8545-B8AD-63A42DD81F17}">
      <text>
        <r>
          <rPr>
            <b/>
            <sz val="10"/>
            <color rgb="FF000000"/>
            <rFont val="Tahoma"/>
            <family val="2"/>
            <charset val="204"/>
          </rPr>
          <t>y balabaeva: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>это расходы селлер на 1 платящего. нужны расходы от МПС</t>
        </r>
      </text>
    </comment>
    <comment ref="A122" authorId="0" shapeId="0" xr:uid="{88CB6E72-DD60-844F-99CB-D3CBB0167AC3}">
      <text>
        <r>
          <rPr>
            <b/>
            <sz val="10"/>
            <color rgb="FF000000"/>
            <rFont val="Tahoma"/>
            <family val="2"/>
            <charset val="204"/>
          </rPr>
          <t>y balabaeva: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>тут по названию - расходы на коммуникации , повторное выставление счетов</t>
        </r>
      </text>
    </comment>
  </commentList>
</comments>
</file>

<file path=xl/comments2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y balabaeva</author>
  </authors>
  <commentList>
    <comment ref="B4" authorId="0" shapeId="0" xr:uid="{47482E29-A895-604D-9313-DCCDB694D6AF}">
      <text>
        <r>
          <rPr>
            <b/>
            <sz val="10"/>
            <color rgb="FF000000"/>
            <rFont val="Tahoma"/>
            <family val="2"/>
            <charset val="204"/>
          </rPr>
          <t>y balabaeva: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>не очищенная база от пересечений с МПС и Точкой</t>
        </r>
      </text>
    </comment>
    <comment ref="B5" authorId="0" shapeId="0" xr:uid="{928C2AD4-1FDB-7444-A250-E89F672CCA44}">
      <text>
        <r>
          <rPr>
            <b/>
            <sz val="10"/>
            <color rgb="FF000000"/>
            <rFont val="Tahoma"/>
            <family val="2"/>
            <charset val="204"/>
          </rPr>
          <t>y balabaeva: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 xml:space="preserve">сейчас уже коснулись половины базы, гипотеза - с маркетингом коснемся не менее </t>
        </r>
        <r>
          <rPr>
            <sz val="10"/>
            <color rgb="FF000000"/>
            <rFont val="Tahoma"/>
            <family val="2"/>
            <charset val="204"/>
          </rPr>
          <t xml:space="preserve">80%
</t>
        </r>
      </text>
    </comment>
    <comment ref="H5" authorId="0" shapeId="0" xr:uid="{2547434C-3994-8348-AC1D-62BA13B7CC1D}">
      <text>
        <r>
          <rPr>
            <b/>
            <sz val="10"/>
            <color rgb="FF000000"/>
            <rFont val="Tahoma"/>
            <family val="2"/>
            <charset val="204"/>
          </rPr>
          <t>y balabaeva: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 xml:space="preserve">сейчас уже коснулись половины базы, гипотеза - с маркетингом коснемся не менее 80%
</t>
        </r>
      </text>
    </comment>
    <comment ref="N5" authorId="0" shapeId="0" xr:uid="{1F68CA02-32B1-DE47-A716-5A679A2BC798}">
      <text>
        <r>
          <rPr>
            <b/>
            <sz val="10"/>
            <color rgb="FF000000"/>
            <rFont val="Tahoma"/>
            <family val="2"/>
            <charset val="204"/>
          </rPr>
          <t>y balabaeva: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 xml:space="preserve">сейчас уже коснулись половины базы, гипотеза - с маркетингом коснемся не менее 80%
</t>
        </r>
      </text>
    </comment>
    <comment ref="B11" authorId="0" shapeId="0" xr:uid="{10DD0A4A-BE9B-B140-A0A1-29785054AD27}">
      <text>
        <r>
          <rPr>
            <b/>
            <sz val="10"/>
            <color rgb="FF000000"/>
            <rFont val="Tahoma"/>
            <family val="2"/>
            <charset val="204"/>
          </rPr>
          <t>y balabaeva: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 xml:space="preserve">гипотеза - довзонились до ЦА. 
</t>
        </r>
        <r>
          <rPr>
            <sz val="10"/>
            <color rgb="FF000000"/>
            <rFont val="Tahoma"/>
            <family val="2"/>
            <charset val="204"/>
          </rPr>
          <t xml:space="preserve">
Наша база - все ЦА </t>
        </r>
        <r>
          <rPr>
            <sz val="10"/>
            <color rgb="FF000000"/>
            <rFont val="Tahoma"/>
            <family val="2"/>
            <charset val="204"/>
          </rPr>
          <t>(</t>
        </r>
        <r>
          <rPr>
            <sz val="10"/>
            <color rgb="FF000000"/>
            <rFont val="Tahoma"/>
            <family val="2"/>
            <charset val="204"/>
          </rPr>
          <t xml:space="preserve">есть обороты на МП). 
</t>
        </r>
        <r>
          <rPr>
            <sz val="10"/>
            <color rgb="FF000000"/>
            <rFont val="Tahoma"/>
            <family val="2"/>
            <charset val="204"/>
          </rPr>
          <t>Как считает</t>
        </r>
        <r>
          <rPr>
            <sz val="10"/>
            <color rgb="FF000000"/>
            <rFont val="Tahoma"/>
            <family val="2"/>
            <charset val="204"/>
          </rPr>
          <t xml:space="preserve"> </t>
        </r>
        <r>
          <rPr>
            <sz val="10"/>
            <color rgb="FF000000"/>
            <rFont val="Tahoma"/>
            <family val="2"/>
            <charset val="204"/>
          </rPr>
          <t xml:space="preserve">ЦА </t>
        </r>
        <r>
          <rPr>
            <sz val="10"/>
            <color rgb="FF000000"/>
            <rFont val="Tahoma"/>
            <family val="2"/>
            <charset val="204"/>
          </rPr>
          <t>MPS</t>
        </r>
        <r>
          <rPr>
            <sz val="10"/>
            <color rgb="FF000000"/>
            <rFont val="Tahoma"/>
            <family val="2"/>
            <charset val="204"/>
          </rPr>
          <t xml:space="preserve">:
</t>
        </r>
        <r>
          <rPr>
            <sz val="10"/>
            <color rgb="FF000000"/>
            <rFont val="Calibri"/>
            <family val="2"/>
            <scheme val="minor"/>
          </rPr>
          <t xml:space="preserve">- 150 -000 - есть для старта
</t>
        </r>
        <r>
          <rPr>
            <sz val="10"/>
            <color rgb="FF000000"/>
            <rFont val="Calibri"/>
            <family val="2"/>
            <scheme val="minor"/>
          </rPr>
          <t xml:space="preserve">- в теч 2 мес планирует начать торговать
</t>
        </r>
        <r>
          <rPr>
            <sz val="10"/>
            <color rgb="FF000000"/>
            <rFont val="Calibri"/>
            <family val="2"/>
            <scheme val="minor"/>
          </rPr>
          <t>- селлер - есть рега на МП (озон вб яндекс)</t>
        </r>
      </text>
    </comment>
    <comment ref="H11" authorId="0" shapeId="0" xr:uid="{4CCD312E-FDD6-EA42-A7E5-89F58F636A4F}">
      <text>
        <r>
          <rPr>
            <b/>
            <sz val="10"/>
            <color rgb="FF000000"/>
            <rFont val="Tahoma"/>
            <family val="2"/>
            <charset val="204"/>
          </rPr>
          <t>y balabaeva: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 xml:space="preserve">гипотеза - довзонились до ЦА. 
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 xml:space="preserve">Наша база - все ЦА (есть обороты на МП). 
</t>
        </r>
        <r>
          <rPr>
            <sz val="10"/>
            <color rgb="FF000000"/>
            <rFont val="Tahoma"/>
            <family val="2"/>
            <charset val="204"/>
          </rPr>
          <t xml:space="preserve">Как считает ЦА MPS:
</t>
        </r>
        <r>
          <rPr>
            <sz val="10"/>
            <color rgb="FF000000"/>
            <rFont val="Calibri"/>
            <family val="2"/>
          </rPr>
          <t xml:space="preserve">- 150 -000 - есть для старта
</t>
        </r>
        <r>
          <rPr>
            <sz val="10"/>
            <color rgb="FF000000"/>
            <rFont val="Calibri"/>
            <family val="2"/>
          </rPr>
          <t xml:space="preserve">- в теч 2 мес планирует начать торговать
</t>
        </r>
        <r>
          <rPr>
            <sz val="10"/>
            <color rgb="FF000000"/>
            <rFont val="Calibri"/>
            <family val="2"/>
          </rPr>
          <t>- селлер - есть рега на МП (озон вб яндекс)</t>
        </r>
      </text>
    </comment>
    <comment ref="H16" authorId="0" shapeId="0" xr:uid="{4097A085-4558-7B47-BF57-157F1C16A9B3}">
      <text>
        <r>
          <rPr>
            <b/>
            <sz val="10"/>
            <color rgb="FF000000"/>
            <rFont val="Tahoma"/>
            <family val="2"/>
            <charset val="204"/>
          </rPr>
          <t>y balabaeva: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 xml:space="preserve">гипотеза </t>
        </r>
        <r>
          <rPr>
            <sz val="10"/>
            <color rgb="FF000000"/>
            <rFont val="Tahoma"/>
            <family val="2"/>
            <charset val="204"/>
          </rPr>
          <t xml:space="preserve">+X% </t>
        </r>
        <r>
          <rPr>
            <sz val="10"/>
            <color rgb="FF000000"/>
            <rFont val="Tahoma"/>
            <family val="2"/>
            <charset val="204"/>
          </rPr>
          <t xml:space="preserve">к базовой </t>
        </r>
        <r>
          <rPr>
            <sz val="10"/>
            <color rgb="FF000000"/>
            <rFont val="Tahoma"/>
            <family val="2"/>
            <charset val="204"/>
          </rPr>
          <t xml:space="preserve">CR </t>
        </r>
        <r>
          <rPr>
            <sz val="10"/>
            <color rgb="FF000000"/>
            <rFont val="Tahoma"/>
            <family val="2"/>
            <charset val="204"/>
          </rPr>
          <t xml:space="preserve">первой покупки </t>
        </r>
        <r>
          <rPr>
            <sz val="10"/>
            <color rgb="FF000000"/>
            <rFont val="Tahoma"/>
            <family val="2"/>
            <charset val="204"/>
          </rPr>
          <t xml:space="preserve">MPS </t>
        </r>
        <r>
          <rPr>
            <sz val="10"/>
            <color rgb="FF000000"/>
            <rFont val="Tahoma"/>
            <family val="2"/>
            <charset val="204"/>
          </rPr>
          <t>- за счет механизма автосписания с РКО по окончанию тариала</t>
        </r>
      </text>
    </comment>
    <comment ref="N16" authorId="0" shapeId="0" xr:uid="{7D685ED1-8044-7C4E-8901-79A1320D1159}">
      <text>
        <r>
          <rPr>
            <b/>
            <sz val="10"/>
            <color rgb="FF000000"/>
            <rFont val="Tahoma"/>
            <family val="2"/>
            <charset val="204"/>
          </rPr>
          <t>y balabaeva: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 xml:space="preserve">текущий </t>
        </r>
        <r>
          <rPr>
            <sz val="10"/>
            <color rgb="FF000000"/>
            <rFont val="Tahoma"/>
            <family val="2"/>
            <charset val="204"/>
          </rPr>
          <t xml:space="preserve">CR </t>
        </r>
        <r>
          <rPr>
            <sz val="10"/>
            <color rgb="FF000000"/>
            <rFont val="Tahoma"/>
            <family val="2"/>
            <charset val="204"/>
          </rPr>
          <t>(усредненный янв-мар 2026)</t>
        </r>
      </text>
    </comment>
    <comment ref="H17" authorId="0" shapeId="0" xr:uid="{651A71A5-CB9A-5D4C-B30B-C99E57382573}">
      <text>
        <r>
          <rPr>
            <b/>
            <sz val="10"/>
            <color rgb="FF000000"/>
            <rFont val="Tahoma"/>
            <family val="2"/>
            <charset val="204"/>
          </rPr>
          <t>y balabaeva:</t>
        </r>
        <r>
          <rPr>
            <b/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 xml:space="preserve">as is </t>
        </r>
        <r>
          <rPr>
            <sz val="10"/>
            <color rgb="FF000000"/>
            <rFont val="Tahoma"/>
            <family val="2"/>
            <charset val="204"/>
          </rPr>
          <t xml:space="preserve">в Селлере - 35% оплат- авто списания </t>
        </r>
        <r>
          <rPr>
            <sz val="10"/>
            <color rgb="FF000000"/>
            <rFont val="Calibri"/>
            <family val="2"/>
            <scheme val="minor"/>
          </rPr>
          <t xml:space="preserve">с РКО </t>
        </r>
        <r>
          <rPr>
            <sz val="10"/>
            <color rgb="FF000000"/>
            <rFont val="Calibri"/>
            <family val="2"/>
            <scheme val="minor"/>
          </rPr>
          <t>частичные</t>
        </r>
        <r>
          <rPr>
            <sz val="10"/>
            <color rgb="FF000000"/>
            <rFont val="Calibri"/>
            <family val="2"/>
            <scheme val="minor"/>
          </rPr>
          <t xml:space="preserve"> при недостатке средств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 xml:space="preserve">для гипотезы нужно </t>
        </r>
        <r>
          <rPr>
            <sz val="10"/>
            <color rgb="FF000000"/>
            <rFont val="Tahoma"/>
            <family val="2"/>
            <charset val="204"/>
          </rPr>
          <t xml:space="preserve">LT </t>
        </r>
        <r>
          <rPr>
            <sz val="10"/>
            <color rgb="FF000000"/>
            <rFont val="Tahoma"/>
            <family val="2"/>
            <charset val="204"/>
          </rPr>
          <t xml:space="preserve">от </t>
        </r>
        <r>
          <rPr>
            <sz val="10"/>
            <color rgb="FF000000"/>
            <rFont val="Tahoma"/>
            <family val="2"/>
            <charset val="204"/>
          </rPr>
          <t>MPStats</t>
        </r>
        <r>
          <rPr>
            <sz val="10"/>
            <color rgb="FF000000"/>
            <rFont val="Tahoma"/>
            <family val="2"/>
            <charset val="204"/>
          </rPr>
          <t xml:space="preserve"> (доход на 1 клиента в мес и пердположить на сколько месяцев больше даст механизм </t>
        </r>
        <r>
          <rPr>
            <sz val="10"/>
            <color rgb="FF000000"/>
            <rFont val="Tahoma"/>
            <family val="2"/>
            <charset val="204"/>
          </rPr>
          <t xml:space="preserve">T -&gt; </t>
        </r>
        <r>
          <rPr>
            <sz val="10"/>
            <color rgb="FF000000"/>
            <rFont val="Tahoma"/>
            <family val="2"/>
            <charset val="204"/>
          </rPr>
          <t xml:space="preserve">новый </t>
        </r>
        <r>
          <rPr>
            <sz val="10"/>
            <color rgb="FF000000"/>
            <rFont val="Tahoma"/>
            <family val="2"/>
            <charset val="204"/>
          </rPr>
          <t xml:space="preserve">LTV) -- </t>
        </r>
        <r>
          <rPr>
            <sz val="10"/>
            <color rgb="FF000000"/>
            <rFont val="Tahoma"/>
            <family val="2"/>
            <charset val="204"/>
          </rPr>
          <t xml:space="preserve">Данные не дают. 
</t>
        </r>
        <r>
          <rPr>
            <sz val="10"/>
            <color rgb="FF000000"/>
            <rFont val="Tahoma"/>
            <family val="2"/>
            <charset val="204"/>
          </rPr>
          <t xml:space="preserve">Пока предположила  </t>
        </r>
        <r>
          <rPr>
            <sz val="10"/>
            <color rgb="FF000000"/>
            <rFont val="Tahoma"/>
            <family val="2"/>
            <charset val="204"/>
          </rPr>
          <t>LT</t>
        </r>
        <r>
          <rPr>
            <sz val="10"/>
            <color rgb="FF000000"/>
            <rFont val="Tahoma"/>
            <family val="2"/>
            <charset val="204"/>
          </rPr>
          <t xml:space="preserve"> </t>
        </r>
        <r>
          <rPr>
            <sz val="10"/>
            <color rgb="FF000000"/>
            <rFont val="Calibri"/>
            <family val="2"/>
            <scheme val="minor"/>
          </rPr>
          <t>экспертно. И заложила рост +</t>
        </r>
        <r>
          <rPr>
            <sz val="10"/>
            <color rgb="FF000000"/>
            <rFont val="Calibri"/>
            <family val="2"/>
            <scheme val="minor"/>
          </rPr>
          <t xml:space="preserve">X </t>
        </r>
        <r>
          <rPr>
            <sz val="10"/>
            <color rgb="FF000000"/>
            <rFont val="Calibri"/>
            <family val="2"/>
            <scheme val="minor"/>
          </rPr>
          <t xml:space="preserve">мес. </t>
        </r>
      </text>
    </comment>
    <comment ref="C33" authorId="0" shapeId="0" xr:uid="{25E353EC-3120-AB43-865A-A883832EE3D8}">
      <text>
        <r>
          <rPr>
            <b/>
            <sz val="10"/>
            <color rgb="FF000000"/>
            <rFont val="Tahoma"/>
            <family val="2"/>
            <charset val="204"/>
          </rPr>
          <t>y balabaeva: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 xml:space="preserve">нет реальных данных по </t>
        </r>
        <r>
          <rPr>
            <sz val="10"/>
            <color rgb="FF000000"/>
            <rFont val="Tahoma"/>
            <family val="2"/>
            <charset val="204"/>
          </rPr>
          <t>MPStats</t>
        </r>
      </text>
    </comment>
  </commentList>
</comments>
</file>

<file path=xl/sharedStrings.xml><?xml version="1.0" encoding="utf-8"?>
<sst xmlns="http://schemas.openxmlformats.org/spreadsheetml/2006/main" count="4806" uniqueCount="1167">
  <si>
    <t>Оставление API ключа</t>
  </si>
  <si>
    <t>-</t>
  </si>
  <si>
    <t>AS IS</t>
  </si>
  <si>
    <t>кол- во селлеров  Т - сегменты по оборотам</t>
  </si>
  <si>
    <t>сколько остается за вычетом пересчений с МПС и Точкой?</t>
  </si>
  <si>
    <t>преза от Н: S - 515 тыс, М - 31,5 , L - 1,8</t>
  </si>
  <si>
    <t>это типа малый средний и большой ибзнес?</t>
  </si>
  <si>
    <t>какому сегменту - какой тариф продавать?</t>
  </si>
  <si>
    <t>Саша - уточняю по фильтрам</t>
  </si>
  <si>
    <t xml:space="preserve">https://proteus.tcsbank.ru/superset/dashboard/35207/?native_filters_key=6UD6_31FByJJBSkeo1OjteN2ZrhDe0UXwiQb27k-OI1_2btiTS-ROCrKRUs0NQiB </t>
  </si>
  <si>
    <t>S</t>
  </si>
  <si>
    <t>Core</t>
  </si>
  <si>
    <t>M</t>
  </si>
  <si>
    <t>t segment (апр 26)</t>
  </si>
  <si>
    <t>MPStsts за счет S, а M (2-3 тыс) и L (100)</t>
  </si>
  <si>
    <t xml:space="preserve">какие сегменты по обороту имелись ввиду: хотим раскачать за счет  S </t>
  </si>
  <si>
    <t xml:space="preserve">по этому отчету похоже на правду https://proteus.tcsbank.ru/superset/dashboard/46771/?native_filters_key=i_cpHlkPJC3wQAO8lt2_Tg8N-LHsXqmC68he0NAQEyNRwaKHgbBgPwIpTLJmR6wH </t>
  </si>
  <si>
    <t>см текущие данные Селлер</t>
  </si>
  <si>
    <t>сегменты селлеров SE</t>
  </si>
  <si>
    <t>Саша: SE до 100 млн годового оборота, ME 100млн-1млрд, LE &gt;1млрд</t>
  </si>
  <si>
    <t>Карина: s до 120 млн в год, m до 16 млрд, по le нет верхнего порога</t>
  </si>
  <si>
    <t>S - до 100 тыс, Core - 2 млн, M больше 2 млн</t>
  </si>
  <si>
    <t xml:space="preserve">t_segment </t>
  </si>
  <si>
    <t>по выплатам</t>
  </si>
  <si>
    <r>
      <t>receipt_seller_segment</t>
    </r>
    <r>
      <rPr>
        <sz val="15"/>
        <color rgb="FF3F4350"/>
        <rFont val="Arial"/>
        <family val="2"/>
      </rPr>
      <t xml:space="preserve"> </t>
    </r>
  </si>
  <si>
    <t>по внешним чековым данным</t>
  </si>
  <si>
    <t>mnpl_segment</t>
  </si>
  <si>
    <t>https://proteus.tcsbank.ru/superset/dashboard/35207/?native_filters_key=aLN1Xx1yD5vdgsrx8uoA0pvrJEUqFxG78QxXMsGytEGq4tZDfgeCUsezc9HMrNwl</t>
  </si>
  <si>
    <t>Отчет по базе селлеров</t>
  </si>
  <si>
    <t>маниплэйс, старый источник внешних данных по оборотам, данные получались парсингом, невалиден начиная с 2025-09-01</t>
  </si>
  <si>
    <t>по чекам (апр 26)</t>
  </si>
  <si>
    <t>Unk</t>
  </si>
  <si>
    <t>Карина в целом опредялеят?</t>
  </si>
  <si>
    <t>Карина?</t>
  </si>
  <si>
    <t>Все сегменты</t>
  </si>
  <si>
    <t>Сегмент 3. Спящие клиенты в Т (нет транзакций по РКО)</t>
  </si>
  <si>
    <t>Сегмент 4. Клиенты без РКО в Т - Рынок</t>
  </si>
  <si>
    <t>Сегмент 1.  Активные клиенты в Т с выплатами от МП. 1 приоритет</t>
  </si>
  <si>
    <t xml:space="preserve">Активация триала </t>
  </si>
  <si>
    <t>Воронка</t>
  </si>
  <si>
    <t>А. Гипотеза. Digital канал + Биллинг Т</t>
  </si>
  <si>
    <t>B. Гипотеза. Sales канал Т + Биллинг Т</t>
  </si>
  <si>
    <t>С. Гипотеза. Sales канал MPS + Биллинг Т</t>
  </si>
  <si>
    <t>D. Гипотеза. Sales канал MPS + Биллинг MPS</t>
  </si>
  <si>
    <t>F. Гипотеза. Digital +  Sales канал Т + Биллинг Т</t>
  </si>
  <si>
    <t>База селлеров</t>
  </si>
  <si>
    <t>TO BE - убрать пересечение баз с MPS и Точкой</t>
  </si>
  <si>
    <t>Корпоративный</t>
  </si>
  <si>
    <t xml:space="preserve">Сегмент 1.  Активные клиенты в Т с выплатами от МП. </t>
  </si>
  <si>
    <t>Сегмент 2. Активные клиенты в Т, но  без выплат от МП на РКО</t>
  </si>
  <si>
    <t>Оффер демо встречи</t>
  </si>
  <si>
    <t>Согласились на демо встречу</t>
  </si>
  <si>
    <t>Демо встреча состоялась</t>
  </si>
  <si>
    <t>Триала выдан</t>
  </si>
  <si>
    <t>Лиды (заявка на сайте MPS/ первое посещение Селлера)</t>
  </si>
  <si>
    <t xml:space="preserve">Оффер триала </t>
  </si>
  <si>
    <t>Дозвон sales (продажа без демо)</t>
  </si>
  <si>
    <t>Комментарий к воронке</t>
  </si>
  <si>
    <t>Из них: горячие</t>
  </si>
  <si>
    <t>Из них: заинтересованные</t>
  </si>
  <si>
    <t>40% соглашаются на встречу = Хантеры, 60% не соглашаются = ОТП</t>
  </si>
  <si>
    <t>Ср чек первой покупки</t>
  </si>
  <si>
    <t>10 + млн</t>
  </si>
  <si>
    <t>LTV</t>
  </si>
  <si>
    <t>Сегмент по обороту</t>
  </si>
  <si>
    <t>1-10 млн</t>
  </si>
  <si>
    <t>менее 1 млн</t>
  </si>
  <si>
    <t>Ср время от лида до первой покупки</t>
  </si>
  <si>
    <t>Сегмент по статусу активности</t>
  </si>
  <si>
    <t>в нашем отчете Селлер  - по чековым данным</t>
  </si>
  <si>
    <t>Квалификация лидов (звонок КЦ) - ЦА</t>
  </si>
  <si>
    <t xml:space="preserve">Mpstats все лиды   </t>
  </si>
  <si>
    <t>Хантеры (демо)</t>
  </si>
  <si>
    <t>ОТП (звонок, без демо)</t>
  </si>
  <si>
    <t>сейчас выдают триал всем автоматом после реги лида</t>
  </si>
  <si>
    <t xml:space="preserve">демо состоялось = 29,8% от квалиф. лидов </t>
  </si>
  <si>
    <t>дозвон = 45,5% от квалиф. лидов . Из них: Горячие  - доля 15,2% (знают про MPStats, высок.  вероятность покупки), Заинтересованные - доля 84,8% (не послали)</t>
  </si>
  <si>
    <t>1 флоу</t>
  </si>
  <si>
    <t>2 флоу</t>
  </si>
  <si>
    <t xml:space="preserve">Mpstats Самоходы (оплатили сами без демо и звонка) </t>
  </si>
  <si>
    <t>Оплата тарифа</t>
  </si>
  <si>
    <t>Общий флоу</t>
  </si>
  <si>
    <t>Выставлние счета</t>
  </si>
  <si>
    <t>Не считают в воронке</t>
  </si>
  <si>
    <t>Воронка продаж: ОТП и Хантеры — средние CR за фев / апр / май 2026</t>
  </si>
  <si>
    <t>Только CR. Среднее по фев/апр/май (март исключён — акция демо-доступов размыла конверсии; лист сам усредняет эти 3 месяца). Источник цифр — лист «Ретро для июня».</t>
  </si>
  <si>
    <t>ХАНТЕРЫ (встречи)</t>
  </si>
  <si>
    <t>СРЕДНЕЕ (Февраль/Апрель/Май)</t>
  </si>
  <si>
    <t>CR лид → квал</t>
  </si>
  <si>
    <t>13%</t>
  </si>
  <si>
    <t>CR квал → встреча</t>
  </si>
  <si>
    <t>29,8%</t>
  </si>
  <si>
    <t>CR встреча → счёт</t>
  </si>
  <si>
    <t>20%</t>
  </si>
  <si>
    <t>CR счёт → оплата</t>
  </si>
  <si>
    <t>90%</t>
  </si>
  <si>
    <t>Сквозной CR лид → оплата</t>
  </si>
  <si>
    <t>ОТП (звонки) — 2 корзины</t>
  </si>
  <si>
    <t>СРЕДНЕЕ</t>
  </si>
  <si>
    <t>CR квал → звонок</t>
  </si>
  <si>
    <t>45,5%</t>
  </si>
  <si>
    <t xml:space="preserve">  доля → корзина ГОРЯЧИЕ</t>
  </si>
  <si>
    <t>15,2%</t>
  </si>
  <si>
    <t xml:space="preserve">  доля → корзина ЗАИНТЕРЕС.</t>
  </si>
  <si>
    <t>84,8%</t>
  </si>
  <si>
    <t xml:space="preserve">  конв. ГОРЯЧИЕ → оплата</t>
  </si>
  <si>
    <t>34%</t>
  </si>
  <si>
    <t xml:space="preserve">  конв. ЗАИНТЕРЕС → оплата</t>
  </si>
  <si>
    <t>2%</t>
  </si>
  <si>
    <t>CR звонок → оплата (итог 2 корзин)</t>
  </si>
  <si>
    <t>6,85%</t>
  </si>
  <si>
    <t>0,41%</t>
  </si>
  <si>
    <t>Повторная покупка</t>
  </si>
  <si>
    <t>CR повторной покупки</t>
  </si>
  <si>
    <t>Гранулярность</t>
  </si>
  <si>
    <t>CR API</t>
  </si>
  <si>
    <t>CR Активация</t>
  </si>
  <si>
    <t>CR Налоги</t>
  </si>
  <si>
    <t>CR Себестоимость</t>
  </si>
  <si>
    <t>API</t>
  </si>
  <si>
    <t>Активации</t>
  </si>
  <si>
    <t>Налоги</t>
  </si>
  <si>
    <t>Реги</t>
  </si>
  <si>
    <t>Себестоимость</t>
  </si>
  <si>
    <t>Активация в Селлере</t>
  </si>
  <si>
    <t>Сегмент 1+ Сегмент 2</t>
  </si>
  <si>
    <t>Всего</t>
  </si>
  <si>
    <t>Переменные</t>
  </si>
  <si>
    <t>LTV по сегментам</t>
  </si>
  <si>
    <t>Ср чек первой покупки по сегментам</t>
  </si>
  <si>
    <t>LTV (другие продукты Банка)</t>
  </si>
  <si>
    <t xml:space="preserve">Распределение кол-ва селлеров по сегментам по оборотам </t>
  </si>
  <si>
    <t>Воронка DIGITAL</t>
  </si>
  <si>
    <t>https://jira.tcsbank.ru/browse/ECA-2046</t>
  </si>
  <si>
    <t>MPST</t>
  </si>
  <si>
    <t>Саша</t>
  </si>
  <si>
    <t>Карина</t>
  </si>
  <si>
    <t>Юля</t>
  </si>
  <si>
    <t>Флоу</t>
  </si>
  <si>
    <t>Воронка от 1го этапа  - лиды</t>
  </si>
  <si>
    <t>большая часть продаж - через счет, но есть и для ФЛ способы оплаты. Хантеры: 20% от демо - выставление счета</t>
  </si>
  <si>
    <t>MPS?</t>
  </si>
  <si>
    <t>Через какое время</t>
  </si>
  <si>
    <t>Всего селлеров</t>
  </si>
  <si>
    <t xml:space="preserve">Кол-во селлеров по сегментам по оборотам в Т-Банке </t>
  </si>
  <si>
    <t>Кол-во селлеров по сегментам по оборотам в Т-Банке (за искл пересечений с MPStast и Точкой)</t>
  </si>
  <si>
    <t>?</t>
  </si>
  <si>
    <t>real_transaction_dttm</t>
  </si>
  <si>
    <t>&lt;NULL&gt;</t>
  </si>
  <si>
    <t>NEW М-тариф 3 месяца</t>
  </si>
  <si>
    <t>NEW М-тариф 6 месяцев</t>
  </si>
  <si>
    <t>NEW М-тариф год</t>
  </si>
  <si>
    <t>NEW М-тариф год ИУ</t>
  </si>
  <si>
    <t>NEW М-тариф месяц</t>
  </si>
  <si>
    <t>OLD М-тариф год</t>
  </si>
  <si>
    <t>OLD М-тариф месяц</t>
  </si>
  <si>
    <t>OLD Тариф с Маркетгуру месяц</t>
  </si>
  <si>
    <t>Досписание</t>
  </si>
  <si>
    <t>М-тариф месяц ИУ</t>
  </si>
  <si>
    <t>Свой тариф</t>
  </si>
  <si>
    <t>Свой тариф Автоотзывы</t>
  </si>
  <si>
    <t>Свой тариф Автоотзывы ИУ</t>
  </si>
  <si>
    <t>Свой тариф ИУ</t>
  </si>
  <si>
    <t>Свой тариф Магви</t>
  </si>
  <si>
    <t>Свой тариф Магви ИУ</t>
  </si>
  <si>
    <t>Свой тариф Фин.Аналитика</t>
  </si>
  <si>
    <t>Свой тариф Фин.Аналитика ИУ</t>
  </si>
  <si>
    <t>кол-во</t>
  </si>
  <si>
    <t>рубли</t>
  </si>
  <si>
    <t>за период</t>
  </si>
  <si>
    <r>
      <t xml:space="preserve">E. Гипотеза. Digital +  </t>
    </r>
    <r>
      <rPr>
        <b/>
        <sz val="14"/>
        <color theme="1"/>
        <rFont val="Calibri (Основной текст)"/>
        <charset val="204"/>
      </rPr>
      <t>Sales канал MPS</t>
    </r>
    <r>
      <rPr>
        <b/>
        <sz val="14"/>
        <color theme="1"/>
        <rFont val="Calibri"/>
        <family val="2"/>
        <scheme val="minor"/>
      </rPr>
      <t xml:space="preserve"> + Биллинг Т</t>
    </r>
  </si>
  <si>
    <t>/Оффер демо встречи</t>
  </si>
  <si>
    <t>Воронка от 2 этапа - квалифицированные лиды</t>
  </si>
  <si>
    <t>ID</t>
  </si>
  <si>
    <t>Получить от MPStasts кол-во</t>
  </si>
  <si>
    <t>активный платный тариф MPStats</t>
  </si>
  <si>
    <t>исключаем из воронки</t>
  </si>
  <si>
    <t>нет пересечений</t>
  </si>
  <si>
    <t xml:space="preserve">был ранее платный тариф MPStats </t>
  </si>
  <si>
    <t>нет активного платного тарифа MPStats / не было ранее, но есть непротухший API</t>
  </si>
  <si>
    <t>ИБ?</t>
  </si>
  <si>
    <t>в разрезе по сегментам по обороту и активности</t>
  </si>
  <si>
    <t>решение</t>
  </si>
  <si>
    <t>ЦА</t>
  </si>
  <si>
    <t>вероятно незаинтересованный - снижаем CR в воронке</t>
  </si>
  <si>
    <t>какой компнаии передаем =сотрудник кто будет обрабтывать?</t>
  </si>
  <si>
    <t>NDA с ЮЛ на эту передачу данных с компанией - подписанный (наверно скан)</t>
  </si>
  <si>
    <t>Дата Т Банк - загружаем, ссылка и пароль - разные каналы (почта, тг/смс)</t>
  </si>
  <si>
    <t>1-2 дня</t>
  </si>
  <si>
    <t>Лиза/Карина?</t>
  </si>
  <si>
    <t>Сегмент по активности Т</t>
  </si>
  <si>
    <t>Сегмент 1.</t>
  </si>
  <si>
    <t xml:space="preserve">Сегмент 2. </t>
  </si>
  <si>
    <t xml:space="preserve">Сегмент 3. </t>
  </si>
  <si>
    <t xml:space="preserve">Сегмент 4. </t>
  </si>
  <si>
    <t>ИНН/ОГРН</t>
  </si>
  <si>
    <t>Есть АПИ</t>
  </si>
  <si>
    <t>LT</t>
  </si>
  <si>
    <t>В воронке имеет сымсл оставлять сначала АПИ потом триал иначе будут оставлять в МПСтатс, наша база для  для Селелр и ОБ не будет пополняться как раньше (сейчас можно взять триал без АПИ)</t>
  </si>
  <si>
    <t>Содержание (продление, удержание)</t>
  </si>
  <si>
    <t>кост на 1 сейлза</t>
  </si>
  <si>
    <t>кост на 1 РКО</t>
  </si>
  <si>
    <t>X</t>
  </si>
  <si>
    <t>Косты на маркетинг на 1 клиента с РКО</t>
  </si>
  <si>
    <t>разница не очищенный - очищенный доход Npv-PV (но что входит в неочищенный неизвестно, вероятно маркетинг)</t>
  </si>
  <si>
    <t>NPV РКО и др</t>
  </si>
  <si>
    <t>идея - заложить расходы пропорционально на Тариф?</t>
  </si>
  <si>
    <t>https://proteus.tcsbank.ru/superset/dashboard/50759/?native_filters_key=N1EflRdRl3eeD4pGUhCGkab9qHa_Xovcdedg2EUhsrPb6m9J-vOOQNoVLOXMOQ1R</t>
  </si>
  <si>
    <t>Косты сейлзов</t>
  </si>
  <si>
    <t>Сегмент 4. Клиенты без РКО в Т - Рынок. Открыли РКО</t>
  </si>
  <si>
    <t>Сегмент 3. Спящие клиенты в Т (нет транзакций по РКО). Проснулись</t>
  </si>
  <si>
    <t>//Согласились на демо встречу</t>
  </si>
  <si>
    <t>//Демо встреча состоялась</t>
  </si>
  <si>
    <t>/Дозвон sales (кто не согласился на демо)</t>
  </si>
  <si>
    <t xml:space="preserve">Сегмент 2. Активные клиенты в Т., но  без выплат от МП на РКО. </t>
  </si>
  <si>
    <t>CAC (расходы на продажи с маркетингом)</t>
  </si>
  <si>
    <t xml:space="preserve"> https://wiki.tcsbank.ru/pages/viewpage.action?pageId=8507435153 </t>
  </si>
  <si>
    <t>ФОТ (ком персонал + маркетинг)</t>
  </si>
  <si>
    <t>CAC (аллокация)</t>
  </si>
  <si>
    <t>Кол-во новых клиентов</t>
  </si>
  <si>
    <t>Кол-во активных клиентов</t>
  </si>
  <si>
    <t>CAC (продажи и маркетинг)</t>
  </si>
  <si>
    <t>LTV (удельные расходы на продление и удержание)</t>
  </si>
  <si>
    <t>Пилот Точка - тариф со скидкой 50%</t>
  </si>
  <si>
    <t>Факт</t>
  </si>
  <si>
    <t>План</t>
  </si>
  <si>
    <t>CR</t>
  </si>
  <si>
    <t>регистрации</t>
  </si>
  <si>
    <t>покупка МПС</t>
  </si>
  <si>
    <t>ОРС</t>
  </si>
  <si>
    <t>ОРС - upd</t>
  </si>
  <si>
    <t>DIGITAL</t>
  </si>
  <si>
    <t xml:space="preserve">сейчас CR рассчитан </t>
  </si>
  <si>
    <t>ср в мес</t>
  </si>
  <si>
    <t>cnt_untouched</t>
  </si>
  <si>
    <t>база селлеров - активные с выплатами на МП</t>
  </si>
  <si>
    <t>cnt_visits</t>
  </si>
  <si>
    <t xml:space="preserve">Лизы - визиты селлеров в Селлер </t>
  </si>
  <si>
    <t>CR_untouched_visits</t>
  </si>
  <si>
    <t>от базы селлеров</t>
  </si>
  <si>
    <t>cnt_first_visits</t>
  </si>
  <si>
    <t>Лиды - первый визит селлера в Селлер</t>
  </si>
  <si>
    <t>CR_untouched_first_visit</t>
  </si>
  <si>
    <t>cnt_api</t>
  </si>
  <si>
    <r>
      <t xml:space="preserve">оставил АПИ </t>
    </r>
    <r>
      <rPr>
        <sz val="11"/>
        <color theme="1"/>
        <rFont val="Calibri (Основной текст)"/>
        <charset val="204"/>
      </rPr>
      <t>(без ограничений по времени)</t>
    </r>
  </si>
  <si>
    <t>CR_first_visit_api</t>
  </si>
  <si>
    <t>от первого визита</t>
  </si>
  <si>
    <t>cnt_act</t>
  </si>
  <si>
    <t>активировался</t>
  </si>
  <si>
    <t>CR_first_visit_act</t>
  </si>
  <si>
    <t>cnt_trial</t>
  </si>
  <si>
    <r>
      <t>триал</t>
    </r>
    <r>
      <rPr>
        <sz val="11"/>
        <color theme="1"/>
        <rFont val="Calibri (Основной текст)"/>
        <charset val="204"/>
      </rPr>
      <t xml:space="preserve"> (по ЦД во время триала)</t>
    </r>
  </si>
  <si>
    <t>CR_visit_trial</t>
  </si>
  <si>
    <t>cnt_payment_after_trial</t>
  </si>
  <si>
    <t>оплата после траила - не отменил</t>
  </si>
  <si>
    <t>CR_visit_payment_after_trial</t>
  </si>
  <si>
    <t>cnt_payment</t>
  </si>
  <si>
    <t>отменил триал - позже оплата/ не брал триал</t>
  </si>
  <si>
    <t>CR_visit_payment</t>
  </si>
  <si>
    <t>payments всего</t>
  </si>
  <si>
    <t>оплат всего</t>
  </si>
  <si>
    <t>RETENTION_AVG</t>
  </si>
  <si>
    <t>LT_AVG, мес</t>
  </si>
  <si>
    <t>PV_AVG_PER_CLIENT_MONTHLY, руб</t>
  </si>
  <si>
    <t>LTV, руб</t>
  </si>
  <si>
    <t>SALES</t>
  </si>
  <si>
    <t>visits</t>
  </si>
  <si>
    <t>CR_untouched_visit</t>
  </si>
  <si>
    <t>api</t>
  </si>
  <si>
    <t>CR_visit_api</t>
  </si>
  <si>
    <t>от визитов</t>
  </si>
  <si>
    <t>act</t>
  </si>
  <si>
    <t>CR_visit_act</t>
  </si>
  <si>
    <t>trials</t>
  </si>
  <si>
    <t>payments</t>
  </si>
  <si>
    <t>все сегменты в мес</t>
  </si>
  <si>
    <t xml:space="preserve">неизвестно - дозрешие данные или нет </t>
  </si>
  <si>
    <t xml:space="preserve">LTV </t>
  </si>
  <si>
    <t xml:space="preserve">MPStats (за май 25-апр 26) </t>
  </si>
  <si>
    <t xml:space="preserve">LTV (тарифы MPStats) </t>
  </si>
  <si>
    <t>as is MPS но с учетом скидки 50%</t>
  </si>
  <si>
    <t>as is MPS (ср янв апр 2026)</t>
  </si>
  <si>
    <t>уточнить по сегменту (сейчас ср по 1 и 2 сегменту)</t>
  </si>
  <si>
    <t>Доход от тарифов MPStats</t>
  </si>
  <si>
    <t>- Звонки КЦ</t>
  </si>
  <si>
    <t>- Звонки sales</t>
  </si>
  <si>
    <t>- демо sales</t>
  </si>
  <si>
    <t>- маркетинг</t>
  </si>
  <si>
    <t>- триал (входит?)</t>
  </si>
  <si>
    <t>Расход на 1 день триала на 1 клиента</t>
  </si>
  <si>
    <t xml:space="preserve">as is MPS </t>
  </si>
  <si>
    <t>Доход - расход</t>
  </si>
  <si>
    <t>Первая покупка тарифа MPS</t>
  </si>
  <si>
    <t>Повторные покупки тарифа MPS</t>
  </si>
  <si>
    <t>CR в Т-Банке выше</t>
  </si>
  <si>
    <t>Данные для расчета</t>
  </si>
  <si>
    <t>нужно понять итоговоый согласованный размер скидки</t>
  </si>
  <si>
    <t>но вообще абсолюты - от всех визитов cnt_visits - Заход и действие в 1 месяц, но не обязательно первый заход</t>
  </si>
  <si>
    <t>Общее</t>
  </si>
  <si>
    <t>Квалификация лидов (дозвон КЦ) - ЦА</t>
  </si>
  <si>
    <t>Лиды (визииты Селлер)</t>
  </si>
  <si>
    <t>Сегмент 1.  Активные селлеры в Т с выплатами от МП. 1 приоритет</t>
  </si>
  <si>
    <t xml:space="preserve">Сегмент 2. Активные селлеры в Т., но  без выплат от МП </t>
  </si>
  <si>
    <t>Сегмент 3. Спящие селлеры в Т (нет транзакций по РКО)</t>
  </si>
  <si>
    <t>Сегмент 4. Селлеры без РКО в Т - Рынок</t>
  </si>
  <si>
    <t>добавить самоходов</t>
  </si>
  <si>
    <t>логика дохода от др продуктов??</t>
  </si>
  <si>
    <t>Расход на привлечение MPStats</t>
  </si>
  <si>
    <t>Расход на содержание MPStats</t>
  </si>
  <si>
    <t>Расходы по др продуктам Т-Банк</t>
  </si>
  <si>
    <t>Доход Т-Банк  всего (тарифы + др продукты)</t>
  </si>
  <si>
    <t>гипотза - расходы в 3 раза ниже чем у MPStats с sales</t>
  </si>
  <si>
    <t>Расход на 1 клиента - тарифы MPStats</t>
  </si>
  <si>
    <t>Расход на 1 клиента - др продукты Т-Банка</t>
  </si>
  <si>
    <t>Гипотеза 1. Sales MPS + Биллинг MPS</t>
  </si>
  <si>
    <t>Гипотеза 2. Sales MPS + Биллинг Т</t>
  </si>
  <si>
    <t>Гипотеза 5. Digital +  Sales канал Т + Биллинг Т</t>
  </si>
  <si>
    <t>Гипотеза 6. Sales канал Т + Биллинг Т</t>
  </si>
  <si>
    <t>Увеличение базы - влияние MPStast</t>
  </si>
  <si>
    <t>внутренний маркетинг считается бесплатным каналом</t>
  </si>
  <si>
    <t>- Демо sales</t>
  </si>
  <si>
    <t>- Маркетинг</t>
  </si>
  <si>
    <t>- Триал (входит?)</t>
  </si>
  <si>
    <t>-Продажи</t>
  </si>
  <si>
    <t>- Продажи</t>
  </si>
  <si>
    <t>Лиды (визиты Селлер)</t>
  </si>
  <si>
    <t>LTV MPStats (за май 2025-апрель 2026) - v2 очищенные</t>
  </si>
  <si>
    <t>&gt;100 млн</t>
  </si>
  <si>
    <t>без оборотов</t>
  </si>
  <si>
    <t>связь с селлером не найдена</t>
  </si>
  <si>
    <t>Клиентов</t>
  </si>
  <si>
    <t>LT мес</t>
  </si>
  <si>
    <t>LTV  - тарифы MPStats</t>
  </si>
  <si>
    <t>За 1 мес LT</t>
  </si>
  <si>
    <t>гипотеза: +1 мес к LT (за счет досписания с РКО на след мес при недостатке ДС)</t>
  </si>
  <si>
    <t>Расходы</t>
  </si>
  <si>
    <t>Квалификация лидов (Не дозвон КЦ)</t>
  </si>
  <si>
    <t>Покупка тарифа MPS (основной канал)</t>
  </si>
  <si>
    <t>Покупка тарифа MPS (самоходы)</t>
  </si>
  <si>
    <t>Покупка тарифа MPS (всего)</t>
  </si>
  <si>
    <t xml:space="preserve">Продление и удержание </t>
  </si>
  <si>
    <t>Запросы к API маркетплейсы</t>
  </si>
  <si>
    <t xml:space="preserve">Доходы: Тарифы MPStats </t>
  </si>
  <si>
    <t xml:space="preserve">Расходы: Тарифы MPStats </t>
  </si>
  <si>
    <t>NPV: тарифы MPStats</t>
  </si>
  <si>
    <t>LT гипотеза: тарифы MPStats</t>
  </si>
  <si>
    <t xml:space="preserve">LT as is: MPStats ( май 25-апр 26) </t>
  </si>
  <si>
    <t xml:space="preserve">LTV as is: MPStats ( май 25-апр 26) </t>
  </si>
  <si>
    <t>LTV гипотеза: тарифы MPStats</t>
  </si>
  <si>
    <t xml:space="preserve">LTV: другие продукты Банка </t>
  </si>
  <si>
    <t>LTV: другие продукты Банка (PV)</t>
  </si>
  <si>
    <t>LTV: другие продукты Банка (NPV)</t>
  </si>
  <si>
    <t>LTV гипотеза: другие продукты Банка (NPV). Влияние MPStas</t>
  </si>
  <si>
    <t>доп LTV</t>
  </si>
  <si>
    <t xml:space="preserve">гипотеза - LTV выше на X за счет ковенант </t>
  </si>
  <si>
    <t>Расходы as is: содержание (продление, удержание)</t>
  </si>
  <si>
    <t>Расходы гипотеза: содержание (продление, удержание)</t>
  </si>
  <si>
    <t>CAC (продажи + марктеинг)</t>
  </si>
  <si>
    <t>CAC гипотеза: привлечение</t>
  </si>
  <si>
    <t>Расходы на API в мес. </t>
  </si>
  <si>
    <t>Расходы as is: запросы API Селлер</t>
  </si>
  <si>
    <t>Расходы гипотеза: запросы API</t>
  </si>
  <si>
    <t>Расходы as is: MPStats (ср янв апр 2026)</t>
  </si>
  <si>
    <t xml:space="preserve"> LT выше (досписания-люготный период)</t>
  </si>
  <si>
    <t>NPV: всего</t>
  </si>
  <si>
    <t>гипотеза - LTV выше на X (за счет ковенант)</t>
  </si>
  <si>
    <t>доп LTV выше (ковенанты)</t>
  </si>
  <si>
    <t>NPV доп: продукты Т-Банк (влияние MPStats)</t>
  </si>
  <si>
    <t>act и api - нужно от первых визитов</t>
  </si>
  <si>
    <t>Расходы as is: запросы API 1 день триала</t>
  </si>
  <si>
    <t>Расходы as is: запросы API на 1 плятящего</t>
  </si>
  <si>
    <t>Количество платящих пользователей в мес. </t>
  </si>
  <si>
    <t>Расходы на API в мес. на 1 платящего пользователя</t>
  </si>
  <si>
    <t>гипотеза - если будет внешний маркетинг (3 млн на медиа и тг каналы)-- Закладывать?</t>
  </si>
  <si>
    <t>Тема</t>
  </si>
  <si>
    <t>Что</t>
  </si>
  <si>
    <t>Кто</t>
  </si>
  <si>
    <t>Катя</t>
  </si>
  <si>
    <t>дали 17 июн</t>
  </si>
  <si>
    <t>LTV по сегментам - дозревший? -- пересчитали 17 июн + дали новую сегментацию</t>
  </si>
  <si>
    <t>Костя</t>
  </si>
  <si>
    <t>Пересечение баз Т и MPS</t>
  </si>
  <si>
    <t>рапределение по сегментам по обортам</t>
  </si>
  <si>
    <t>Т-Бнак</t>
  </si>
  <si>
    <t>автосписания</t>
  </si>
  <si>
    <t>досписания</t>
  </si>
  <si>
    <r>
      <t xml:space="preserve">Пока опираемся на 50% - </t>
    </r>
    <r>
      <rPr>
        <sz val="12"/>
        <color rgb="FFFF0000"/>
        <rFont val="Calibri (Основной текст)"/>
        <charset val="204"/>
      </rPr>
      <t>изменится?</t>
    </r>
  </si>
  <si>
    <t>28 тыс - продажи+маркетинг</t>
  </si>
  <si>
    <t>гипотеза - сколько дают ковенанты к LT</t>
  </si>
  <si>
    <t>Юля/Никита/Лиза</t>
  </si>
  <si>
    <t xml:space="preserve">Добавить в базу - селлеры без оборота? </t>
  </si>
  <si>
    <t>WB</t>
  </si>
  <si>
    <t>Озон</t>
  </si>
  <si>
    <t>Весь МПС</t>
  </si>
  <si>
    <t>Отдельные блоки</t>
  </si>
  <si>
    <t>1 мес</t>
  </si>
  <si>
    <t xml:space="preserve"> БЫЛО</t>
  </si>
  <si>
    <t>Тарифы</t>
  </si>
  <si>
    <t>Ср чек</t>
  </si>
  <si>
    <t>База</t>
  </si>
  <si>
    <t>Средний</t>
  </si>
  <si>
    <t>Гипотеза 3.Digital + Биллинг Т</t>
  </si>
  <si>
    <t>Конверсии</t>
  </si>
  <si>
    <t>без учета пересечений баз с MPStats (нет данных)</t>
  </si>
  <si>
    <t>скидка 50% от тарифов MPS</t>
  </si>
  <si>
    <t>нужна разбивка</t>
  </si>
  <si>
    <t>нужны данные MPS</t>
  </si>
  <si>
    <t>нужны данные MPS (должно быть больше)</t>
  </si>
  <si>
    <t>триал вкл?</t>
  </si>
  <si>
    <t>где разбивка?</t>
  </si>
  <si>
    <t>LTV MPStats (за май 2025-апрель 2026) - v1 исх</t>
  </si>
  <si>
    <t>нет данных пока (можно посчиать в начале/сер июля)</t>
  </si>
  <si>
    <t>оптимисчтино</t>
  </si>
  <si>
    <t>ОБСУЖДЕНИЕ</t>
  </si>
  <si>
    <t xml:space="preserve">https://unidraw.io/app/board/a099d59523c3e8ff1926?allow_guest=true </t>
  </si>
  <si>
    <t>СТАЛО (с июня 26)</t>
  </si>
  <si>
    <t>для Т (скидка 50%)</t>
  </si>
  <si>
    <t>ИТОГО: база для воронки</t>
  </si>
  <si>
    <t>- Триал (если входит в САС)</t>
  </si>
  <si>
    <t>конверсии ориентировочные - Опалат, апи, тариал</t>
  </si>
  <si>
    <t>ALL</t>
  </si>
  <si>
    <t xml:space="preserve">https://mpstats.io/tariffs </t>
  </si>
  <si>
    <t>Распределение селлеров по сегментам по оборотам в Т-Банке (акт РКО/ не утиль Озони ВБ)</t>
  </si>
  <si>
    <t>проверить в реальности какое число без оборотов - оставляют апи/ активруются потом /покупают? --- почти нет</t>
  </si>
  <si>
    <t>https://jira.tcsbank.ru/browse/ECA-2058</t>
  </si>
  <si>
    <r>
      <t xml:space="preserve">пока взяла экспертно. Карина уточнит - </t>
    </r>
    <r>
      <rPr>
        <sz val="12"/>
        <color rgb="FF0070C0"/>
        <rFont val="Calibri (Основной текст)"/>
        <charset val="204"/>
      </rPr>
      <t>в др продуктах Т какой рез?- Саша: сложно перенести на наш кейс (пока у нас даже нет условий)</t>
    </r>
  </si>
  <si>
    <t>будем ли мы использовать внешний маркетинг?</t>
  </si>
  <si>
    <r>
      <t xml:space="preserve">если да - 3 млн (медиа+тг каналы). Внутренний маркетинг считается условно беспралтным. </t>
    </r>
    <r>
      <rPr>
        <sz val="12"/>
        <color rgb="FF0070C0"/>
        <rFont val="Calibri (Основной текст)"/>
        <charset val="204"/>
      </rPr>
      <t>По предварительной бизнес модели - имеет сымсл + нужно понять финальный оффер. Обсудить</t>
    </r>
  </si>
  <si>
    <t>Финальная скидка на тарифы, оффер Т</t>
  </si>
  <si>
    <t>10-100 млн</t>
  </si>
  <si>
    <t>Сегмент по статусу активности (только WB/Ozon, без Яндекс маркета)</t>
  </si>
  <si>
    <t>База клиентов для Селлера из сегмента 3 и 4 = CR  из модели Карины (проснулись/открыли РКО)</t>
  </si>
  <si>
    <r>
      <t xml:space="preserve">Распределение по сегментам - пересчитать. </t>
    </r>
    <r>
      <rPr>
        <sz val="12"/>
        <color theme="1"/>
        <rFont val="Calibri (Основной текст)"/>
        <charset val="204"/>
      </rPr>
      <t>+ добавить новую сегментацию &gt;100 млн</t>
    </r>
  </si>
  <si>
    <t>февраль</t>
  </si>
  <si>
    <t>март</t>
  </si>
  <si>
    <t>аперль</t>
  </si>
  <si>
    <t>ср</t>
  </si>
  <si>
    <t>Заходы в Селлер</t>
  </si>
  <si>
    <t>Оставили АПИ</t>
  </si>
  <si>
    <t>в то время как "селлеры с оборотами" оставляют АПИ - 25%</t>
  </si>
  <si>
    <t>Зачем: нам нужно учесть в расходах.</t>
  </si>
  <si>
    <r>
      <t>Что ожидаем:</t>
    </r>
    <r>
      <rPr>
        <sz val="12"/>
        <color rgb="FF222222"/>
        <rFont val="Calibri"/>
        <family val="2"/>
        <scheme val="minor"/>
      </rPr>
      <t> необходима разбивка СAC – </t>
    </r>
    <r>
      <rPr>
        <u/>
        <sz val="12"/>
        <color rgb="FF222222"/>
        <rFont val="Calibri"/>
        <family val="2"/>
        <scheme val="minor"/>
      </rPr>
      <t>как минимум</t>
    </r>
    <r>
      <rPr>
        <sz val="12"/>
        <color rgb="FF222222"/>
        <rFont val="Calibri"/>
        <family val="2"/>
        <scheme val="minor"/>
      </rPr>
      <t> на «продажи» и  «маркетинг», «триал» (если входит). Зачем: нам нужно вычесть ваши расходы на маркетинг и применить другие расходы на триал. Если есть данные по подкатегориям (звонки КЦ, звонки sales, демо sales) – то по ним тоже. Зачем: рассчитать вариант, когда часть коммуникаций - через Т-Банк.</t>
    </r>
  </si>
  <si>
    <t>Что ожидаем: стоимость 1 дня триала на любого клиента. Зачем: нам нужно учесть в расходах стоимость триала - мы еще думаем какое количество дней это должно быть. Вопрос: Обсуждали что триал выдается всем клиентам автоматом после заявки на сайте. А какая доля от всех лидов активруют/используют триал (т.е. есть расходы)?</t>
  </si>
  <si>
    <t>ALL Digital</t>
  </si>
  <si>
    <t>ALL Sales</t>
  </si>
  <si>
    <t xml:space="preserve">ALL </t>
  </si>
  <si>
    <t>Sales (&gt;1 млн оборот)</t>
  </si>
  <si>
    <t>Digital (до 1 млн оборот)</t>
  </si>
  <si>
    <r>
      <t xml:space="preserve">Гипотеза 4. Digital +  </t>
    </r>
    <r>
      <rPr>
        <b/>
        <sz val="14"/>
        <color theme="1"/>
        <rFont val="Calibri (Основной текст)"/>
        <charset val="204"/>
      </rPr>
      <t>Sales MPS</t>
    </r>
    <r>
      <rPr>
        <b/>
        <sz val="14"/>
        <color theme="1"/>
        <rFont val="Calibri"/>
        <family val="2"/>
        <scheme val="minor"/>
      </rPr>
      <t xml:space="preserve"> (крупные) + Биллинг Т</t>
    </r>
  </si>
  <si>
    <r>
      <t xml:space="preserve">от какой базы считаем воронку. какой базе продаем, какие сегменты - какие тарифы (за вычетом пересечений баз: есть тариф - исключаем, есть апи и нет тарифа - низкая вреоятность покупки) - </t>
    </r>
    <r>
      <rPr>
        <sz val="12"/>
        <color rgb="FFFF0000"/>
        <rFont val="Calibri (Основной текст)"/>
        <charset val="204"/>
      </rPr>
      <t>не хотят</t>
    </r>
    <r>
      <rPr>
        <sz val="12"/>
        <color rgb="FFFF0000"/>
        <rFont val="Calibri"/>
        <family val="2"/>
        <scheme val="minor"/>
      </rPr>
      <t xml:space="preserve"> делать пересечение (юр блокеры/долго)</t>
    </r>
  </si>
  <si>
    <t>Актуальный месяц</t>
  </si>
  <si>
    <t>января</t>
  </si>
  <si>
    <t>февраля</t>
  </si>
  <si>
    <t>марта</t>
  </si>
  <si>
    <t>апреля</t>
  </si>
  <si>
    <t>мая</t>
  </si>
  <si>
    <t>мая 2026</t>
  </si>
  <si>
    <t>Full CAC (все расходы на привлечение)</t>
  </si>
  <si>
    <t>САС (прямые расходы на продажи с маркетингом)</t>
  </si>
  <si>
    <t>тыс. руб.</t>
  </si>
  <si>
    <t>Стоимость удержания и продления</t>
  </si>
  <si>
    <t>Количество клиентов, которые взяли ДД</t>
  </si>
  <si>
    <t>тыс. шт.</t>
  </si>
  <si>
    <t>САС до ДД (стоимость привлечения по клиентов взявшие Демо доступ)</t>
  </si>
  <si>
    <t>Новые клиенты Сервиса ( шт)</t>
  </si>
  <si>
    <t>шт.</t>
  </si>
  <si>
    <t>Стоимость САС (маркетинговый бюджет\новый клиент (покупка))</t>
  </si>
  <si>
    <t>Стоимость САС (маркетинговый фот\новый клиент (покупка))</t>
  </si>
  <si>
    <t>Стоимость САС (КЦ\новый клиент (покупка))</t>
  </si>
  <si>
    <t>Стоимость САС (продажи фот\новый клиент (покупка))</t>
  </si>
  <si>
    <t>Сумма приходов от новых клиентов Сервиса)</t>
  </si>
  <si>
    <t>млн. руб.</t>
  </si>
  <si>
    <t>Ср чек от новых оплат</t>
  </si>
  <si>
    <t>Стоимость API/платящий клиент</t>
  </si>
  <si>
    <t>руб.</t>
  </si>
  <si>
    <t>разница</t>
  </si>
  <si>
    <t>Усреднен янв-апр</t>
  </si>
  <si>
    <t>СТАЛО</t>
  </si>
  <si>
    <t>Маркетинг</t>
  </si>
  <si>
    <t>Продажи</t>
  </si>
  <si>
    <t>Усредненное янв-май</t>
  </si>
  <si>
    <t>Итого (проверка логики)</t>
  </si>
  <si>
    <t>Итого: САС (прямые расходы на продажи с маркетингом)</t>
  </si>
  <si>
    <t>БЫЛО (в предыдущем скрине)</t>
  </si>
  <si>
    <t>- Триал</t>
  </si>
  <si>
    <t>Привлечение (продажи + маркетинг)</t>
  </si>
  <si>
    <t>CAC v1</t>
  </si>
  <si>
    <t>CAC v2</t>
  </si>
  <si>
    <t>Другое</t>
  </si>
  <si>
    <t>Расходы на API в мес. на 1 активного пользователя</t>
  </si>
  <si>
    <t>Усреднен фев-май</t>
  </si>
  <si>
    <t xml:space="preserve">- Триал </t>
  </si>
  <si>
    <t>Количество активных пользователей в мес. (мар-май26)</t>
  </si>
  <si>
    <t>главаная страница Селлер</t>
  </si>
  <si>
    <t>Новая главная: Расходы на API в мес. на 1 активного пользователя</t>
  </si>
  <si>
    <t>Расходы as is: запросы API на 1 платящего</t>
  </si>
  <si>
    <t>Привлечение (маркетинг Т внешний)</t>
  </si>
  <si>
    <t>Расходы as is: запросы API 1 день триала любого пользователя</t>
  </si>
  <si>
    <t>- Звонки sales, демо sales</t>
  </si>
  <si>
    <t>Привлечение (sales, КЦ MPStas)</t>
  </si>
  <si>
    <t>Привлечение (триал - 14 дн)</t>
  </si>
  <si>
    <t>Продление и удержание MPStas</t>
  </si>
  <si>
    <t>MPStats на 1 плятящего в мес</t>
  </si>
  <si>
    <t>Селлер новая главная на 1 платящего в мес</t>
  </si>
  <si>
    <t>Триал: запросы API  14 дней триала любого пользователя (посещение 4 дня)</t>
  </si>
  <si>
    <t>Маркетинг Т- внешний</t>
  </si>
  <si>
    <t>Запросы к API МП (бесплатная версия Селлер)</t>
  </si>
  <si>
    <t>Распределение селлров as is</t>
  </si>
  <si>
    <t>Запросы к API МП (за MPStats)</t>
  </si>
  <si>
    <t>Селлер новая главная на 1 лида (неплатящего, но с API) за все время</t>
  </si>
  <si>
    <t>Запросы к API МП (бесплатная версия Селлер) - платящие</t>
  </si>
  <si>
    <t>Запросы к API МП (бесплатная версия Селлер) - лиды</t>
  </si>
  <si>
    <t>Доля лидов кто кто оставит АПИ</t>
  </si>
  <si>
    <t>Доля лидов кто кто активируют триал</t>
  </si>
  <si>
    <t>гипотеза - если будет внешний маркетинг (3 млн на медиа и тг каналы). внутренний маркетинг считается бесплатным каналом</t>
  </si>
  <si>
    <t>В среднем автосписания дают аплифт 4.4 п.п к конверсии в оплату из реги. (Базовая 3.75%)</t>
  </si>
  <si>
    <t>Досписания увеличивают средний LT на 0.7 месяца</t>
  </si>
  <si>
    <t xml:space="preserve">Далее - только от этих лидов смотрите оплаты. </t>
  </si>
  <si>
    <t>В течение какого времени от лида сомтрите оплату? Есть/нет огранчиения по времени?</t>
  </si>
  <si>
    <t>В течение анлизируемого периода, кроме коммуникаций по воронке продаж (КЦ квалификация -&gt; Демо встерча/ Звонок sales),  были ли еще какие-то коммуникации по допродаже?</t>
  </si>
  <si>
    <t xml:space="preserve">Лиды которые были в работе в фев, апр, мае (могли прийти ранее, напрмиер, в январе). </t>
  </si>
  <si>
    <t>Опалты, которые прошли фев, апр, мае (в том числе по лидам, с которыми начали работу ранее, напрмиер, в январе)</t>
  </si>
  <si>
    <t>События в фев, апр, мае</t>
  </si>
  <si>
    <t xml:space="preserve">По лидам, которые пришли в фев, апр, мае. </t>
  </si>
  <si>
    <t>Вопрос по методике</t>
  </si>
  <si>
    <t>визиты все</t>
  </si>
  <si>
    <t>оплаты все (не только от первых визитов)</t>
  </si>
  <si>
    <t>так у нас на дашах синтетическая метрика</t>
  </si>
  <si>
    <t>первые визиты</t>
  </si>
  <si>
    <t>оплаты от первых визитов (в фев -апр)</t>
  </si>
  <si>
    <t>1 мес до оплаты</t>
  </si>
  <si>
    <t>оплата без ораничений фев-июнь</t>
  </si>
  <si>
    <t>Методика: по факту событий в месяце: все визиты в мес, все оплаты в мес (в тч по клиентам которые не посещали в этот мес)</t>
  </si>
  <si>
    <t>1 мес от лида до оплаты</t>
  </si>
  <si>
    <t>Методика: оплаты только от лидов (первых визитов) фев-апр</t>
  </si>
  <si>
    <t>Запросы к API МП (бесплатная версия Селлер) - неплатящие Добавить расход</t>
  </si>
  <si>
    <t>Конверсии как дали MPStats</t>
  </si>
  <si>
    <t xml:space="preserve">Квалификацированные лиды ЦА </t>
  </si>
  <si>
    <t>Квалификацированные лиды ЦА (не дозвон КЦ)</t>
  </si>
  <si>
    <t>от Лиды</t>
  </si>
  <si>
    <t>от Квалиф. Лиды</t>
  </si>
  <si>
    <t>0,7% / 0,41%/ 1,1% всего</t>
  </si>
  <si>
    <t>от Базы</t>
  </si>
  <si>
    <t>от Квал. Лиды</t>
  </si>
  <si>
    <t>проверка</t>
  </si>
  <si>
    <r>
      <rPr>
        <b/>
        <sz val="14"/>
        <color theme="1"/>
        <rFont val="Calibri"/>
        <family val="2"/>
        <scheme val="minor"/>
      </rPr>
      <t>Хантеры</t>
    </r>
    <r>
      <rPr>
        <sz val="14"/>
        <color theme="1"/>
        <rFont val="Calibri"/>
        <family val="2"/>
        <scheme val="minor"/>
      </rPr>
      <t xml:space="preserve"> - 0,7% сквозной СR от лидов; </t>
    </r>
    <r>
      <rPr>
        <b/>
        <sz val="14"/>
        <color theme="1"/>
        <rFont val="Calibri"/>
        <family val="2"/>
        <scheme val="minor"/>
      </rPr>
      <t>ОТП</t>
    </r>
    <r>
      <rPr>
        <sz val="14"/>
        <color theme="1"/>
        <rFont val="Calibri"/>
        <family val="2"/>
        <scheme val="minor"/>
      </rPr>
      <t xml:space="preserve"> - 0,41% сквозной СR от лидов или </t>
    </r>
    <r>
      <rPr>
        <b/>
        <sz val="14"/>
        <color theme="1"/>
        <rFont val="Calibri"/>
        <family val="2"/>
        <scheme val="minor"/>
      </rPr>
      <t xml:space="preserve">6,85% от звонка  </t>
    </r>
    <r>
      <rPr>
        <sz val="14"/>
        <color theme="1"/>
        <rFont val="Calibri"/>
        <family val="2"/>
        <scheme val="minor"/>
      </rPr>
      <t>(горячие 34% - от звонка, заинтересован - 2% от звонка)</t>
    </r>
  </si>
  <si>
    <t>AS IS от Саши</t>
  </si>
  <si>
    <t>Доля</t>
  </si>
  <si>
    <t>Количество</t>
  </si>
  <si>
    <t>1. Sales MPS – Биллинг MPS</t>
  </si>
  <si>
    <t>2. Sales MPS – Биллинг Т</t>
  </si>
  <si>
    <t>3.Digital – Биллинг Т</t>
  </si>
  <si>
    <t>Оплаты тарифов</t>
  </si>
  <si>
    <t>Лиды</t>
  </si>
  <si>
    <t>От какого этапа</t>
  </si>
  <si>
    <t>От все Лиды</t>
  </si>
  <si>
    <t>От все Лиды Sales</t>
  </si>
  <si>
    <t>От все Лиды Digital</t>
  </si>
  <si>
    <t>CR в оплату (от всех лидов)</t>
  </si>
  <si>
    <t xml:space="preserve">100k-500k </t>
  </si>
  <si>
    <t xml:space="preserve">10-100 млн </t>
  </si>
  <si>
    <t xml:space="preserve">1-10 млн </t>
  </si>
  <si>
    <t xml:space="preserve">500k-1 млн </t>
  </si>
  <si>
    <t xml:space="preserve">менее 100k </t>
  </si>
  <si>
    <t>CAC</t>
  </si>
  <si>
    <t>Привлечение</t>
  </si>
  <si>
    <t xml:space="preserve">API </t>
  </si>
  <si>
    <t>Запросы к API МП (бесплатная версия Селлер) - НЕ платящие</t>
  </si>
  <si>
    <t>Продление и удержание</t>
  </si>
  <si>
    <t>Доходы и расходы на 1 платящего клиента</t>
  </si>
  <si>
    <t>Потенциальная прибыль</t>
  </si>
  <si>
    <t>Сегмент 1+ 2</t>
  </si>
  <si>
    <t>Доля сегмента</t>
  </si>
  <si>
    <t>&gt; 100 млн</t>
  </si>
  <si>
    <t xml:space="preserve">Доходы и расходы: Тарифы MPStats </t>
  </si>
  <si>
    <t>Доходы</t>
  </si>
  <si>
    <t>API маркетплейсов</t>
  </si>
  <si>
    <t xml:space="preserve"> LT для неплатящих пользоватлей в Селлер</t>
  </si>
  <si>
    <t>среднее число заходов в Селлер в месяц на 1 неплатящего пользователя</t>
  </si>
  <si>
    <t>среднее число заходов в Селлер в меясц на 1 платящего пользователя</t>
  </si>
  <si>
    <t xml:space="preserve">Расходы as is: запросы API 1 день триала </t>
  </si>
  <si>
    <t>Селлер новая главная на лида (неплатящего, но с API) за все время 1 заход</t>
  </si>
  <si>
    <t>Селлер новая главная на 1 платящего в мес, 9 заходов в мес</t>
  </si>
  <si>
    <t>Селлер новая главная на неплатящего (но с API)  в мес, 2 захода в мес</t>
  </si>
  <si>
    <t>гипотеза AS IS + 20%</t>
  </si>
  <si>
    <t>Ox_Грануляция</t>
  </si>
  <si>
    <t>Без раскраски</t>
  </si>
  <si>
    <t>Выяснила что по процессу</t>
  </si>
  <si>
    <t>с ноября  2024 фокус сейлзов был на продаже тарифов (до этого - на активацию в АПИ)</t>
  </si>
  <si>
    <t>с апр 2025 - убрали из процесса сейлзов </t>
  </si>
  <si>
    <t>фокус на монетизации</t>
  </si>
  <si>
    <t>ср MAU</t>
  </si>
  <si>
    <t>доя MAU с API</t>
  </si>
  <si>
    <t>https://time.tbank.ru/tinkoff/pl/exj7twew7pb5b8ykrdr3pyr6wc</t>
  </si>
  <si>
    <t>Селлер AS IS</t>
  </si>
  <si>
    <t xml:space="preserve"> LT для   платящих пользоватлей в Селлер</t>
  </si>
  <si>
    <t>мес</t>
  </si>
  <si>
    <t>Доля MAU с API ключами</t>
  </si>
  <si>
    <t>Доля MAU  с API ключами</t>
  </si>
  <si>
    <t>ср MAU (когда фокус был на моентизации (сен 25- дек 25)</t>
  </si>
  <si>
    <t>Квалификацированные лиды ЦА (дозвоны)</t>
  </si>
  <si>
    <t>Гипотеза 4. Digital +  Sales MPS (&gt; 1млн) + Биллинг Т</t>
  </si>
  <si>
    <t>активировали триал</t>
  </si>
  <si>
    <t>Доля лидов кто кто активируют триал (60% от АПИ)</t>
  </si>
  <si>
    <t>CAC (sales, внешн. маркетинг Т, триал)</t>
  </si>
  <si>
    <t>ср MAU (когда фокус был на монетизации (сен 25- дек 25)</t>
  </si>
  <si>
    <t>заклдываю одинаковый MAU - во все варианты - расходы на АПИ</t>
  </si>
  <si>
    <t>База селлеров Т</t>
  </si>
  <si>
    <t>в презентацию</t>
  </si>
  <si>
    <t>Sales, КЦ</t>
  </si>
  <si>
    <t>триал</t>
  </si>
  <si>
    <t>маркетинг Т внешний</t>
  </si>
  <si>
    <t>Потенциальная прибыль: всего</t>
  </si>
  <si>
    <r>
      <t xml:space="preserve">Потенциальная прибыль: продукты Т-Банк (влияние MPStats)
</t>
    </r>
    <r>
      <rPr>
        <i/>
        <sz val="14"/>
        <color theme="1"/>
        <rFont val="Calibri"/>
        <family val="2"/>
        <scheme val="minor"/>
      </rPr>
      <t>NVP от всех продуктов Т-Банк</t>
    </r>
  </si>
  <si>
    <r>
      <t xml:space="preserve">Потенциальная прибыль:  тарифы MPStats
</t>
    </r>
    <r>
      <rPr>
        <i/>
        <sz val="14"/>
        <color theme="1"/>
        <rFont val="Calibri"/>
        <family val="2"/>
        <scheme val="minor"/>
      </rPr>
      <t>Доходы - Расходы на привлечение, API</t>
    </r>
    <r>
      <rPr>
        <b/>
        <sz val="14"/>
        <color theme="1"/>
        <rFont val="Calibri"/>
        <family val="2"/>
        <scheme val="minor"/>
      </rPr>
      <t>,</t>
    </r>
    <r>
      <rPr>
        <i/>
        <sz val="14"/>
        <color theme="1"/>
        <rFont val="Calibri"/>
        <family val="2"/>
        <scheme val="minor"/>
      </rPr>
      <t xml:space="preserve"> продление и удержание</t>
    </r>
  </si>
  <si>
    <t>Из модели Карины</t>
  </si>
  <si>
    <t>Клиенты РКО базвое</t>
  </si>
  <si>
    <t>Клиенты РКО + из-за МПС</t>
  </si>
  <si>
    <t>Разница - придут за MPStats из модели Карины</t>
  </si>
  <si>
    <t>0,26% / 0,57%</t>
  </si>
  <si>
    <t>CR - точка безубыточности</t>
  </si>
  <si>
    <t>Расходы на 1 платящего клиента</t>
  </si>
  <si>
    <t>От всех лидов</t>
  </si>
  <si>
    <t>от всех лидов</t>
  </si>
  <si>
    <t>от квал.  лидов</t>
  </si>
  <si>
    <t xml:space="preserve">AS IS - Как отдали MPStsts </t>
  </si>
  <si>
    <t>AS IS - От какого этапа считают MPStsts</t>
  </si>
  <si>
    <t xml:space="preserve">от демо встр. </t>
  </si>
  <si>
    <t>0,7% / 0,41 (1,11% всего)</t>
  </si>
  <si>
    <t>Рзаработка</t>
  </si>
  <si>
    <t>X 1,7</t>
  </si>
  <si>
    <t>X - 1, 5 мес</t>
  </si>
  <si>
    <t>X 2 - 4 мес</t>
  </si>
  <si>
    <t>разн</t>
  </si>
  <si>
    <t>CR в оплату (от всех лидов) – основной канал + самходы digital</t>
  </si>
  <si>
    <t>API маркетплейсов – бесплатный и платный Селлер (для бесплатных и платных пользователей),  платный МПС</t>
  </si>
  <si>
    <t>Гипотеза 2 - API - 1430 (больше чем в гипотезе 1), тк LT больше</t>
  </si>
  <si>
    <t>Внешний маркетинг 3 млн на страте (опсевый, каналы). Триал 14 дней</t>
  </si>
  <si>
    <t>Каналы Sales MPS (биллинг Т) – наиболее выгодный</t>
  </si>
  <si>
    <r>
      <t xml:space="preserve">4. Digital + Sales MPS  </t>
    </r>
    <r>
      <rPr>
        <b/>
        <sz val="14"/>
        <color theme="7" tint="-0.499984740745262"/>
        <rFont val="T-Sans Regular"/>
        <charset val="204"/>
      </rPr>
      <t>(&gt;1 млн)</t>
    </r>
    <r>
      <rPr>
        <b/>
        <sz val="14"/>
        <color theme="1"/>
        <rFont val="T-Sans Regular"/>
        <charset val="204"/>
      </rPr>
      <t xml:space="preserve">  – Биллинг Т</t>
    </r>
  </si>
  <si>
    <t>Канал Digital + Sales MPS – потенциально выгодный, нужно добавлять сегменты &lt;1 млн и тестировать</t>
  </si>
  <si>
    <t>CR в покупку с билингом Т (#1 vs #2) вышевыше в 1,5 раза за счет рекурентных платежей</t>
  </si>
  <si>
    <t>Каналы #2 Sales MPS (биллинг MPS) и #3 Digital (биллинг Т)  – соизмеримы</t>
  </si>
  <si>
    <t>Тесты  Sales  (&lt; 1млн) - проверка доходности</t>
  </si>
  <si>
    <r>
      <rPr>
        <b/>
        <sz val="14"/>
        <color theme="1"/>
        <rFont val="T-Sans Regular"/>
        <charset val="204"/>
      </rPr>
      <t>Тарифы MPStats</t>
    </r>
    <r>
      <rPr>
        <sz val="14"/>
        <color theme="1"/>
        <rFont val="T-Sans Regular"/>
        <charset val="204"/>
      </rPr>
      <t xml:space="preserve">
</t>
    </r>
    <r>
      <rPr>
        <sz val="14"/>
        <color theme="0" tint="-0.499984740745262"/>
        <rFont val="T-Sans Regular"/>
        <charset val="204"/>
      </rPr>
      <t>Доходы - Расходы (привлечение, API, продление и удержание)</t>
    </r>
  </si>
  <si>
    <r>
      <rPr>
        <b/>
        <sz val="14"/>
        <color theme="1"/>
        <rFont val="T-Sans Regular"/>
        <charset val="204"/>
      </rPr>
      <t>Продукты Т-Банк (влияние MPStats)</t>
    </r>
    <r>
      <rPr>
        <sz val="14"/>
        <color theme="1"/>
        <rFont val="T-Sans Regular"/>
        <charset val="204"/>
      </rPr>
      <t xml:space="preserve">
</t>
    </r>
    <r>
      <rPr>
        <sz val="14"/>
        <color theme="0" tint="-0.499984740745262"/>
        <rFont val="T-Sans Regular"/>
        <charset val="204"/>
      </rPr>
      <t>NVP от всех продуктов Т-Банк</t>
    </r>
  </si>
  <si>
    <t>Совокупный доход с билингом Т (#1 vs #2) выше в 2 раза за счет:  рекурентых платежей - CR в покупку выше x1,5, досписания (грейс период) + 0.7 мес к LT, а также потенциал ковенант</t>
  </si>
  <si>
    <t>Доля лидов кто кто оставит АПИ (35%)</t>
  </si>
  <si>
    <t>Биллинг MPS</t>
  </si>
  <si>
    <t>Биллинг Т-Банк</t>
  </si>
  <si>
    <t>От Саши - доход от продуктов Т по сегментам</t>
  </si>
  <si>
    <t xml:space="preserve">1.&lt;100k </t>
  </si>
  <si>
    <t xml:space="preserve">2.100k-500k </t>
  </si>
  <si>
    <t xml:space="preserve">3.500k-1M </t>
  </si>
  <si>
    <t xml:space="preserve">4.1M-10M </t>
  </si>
  <si>
    <t xml:space="preserve">5.10M-100M </t>
  </si>
  <si>
    <t xml:space="preserve">6.&gt;100M </t>
  </si>
  <si>
    <t>продакт</t>
  </si>
  <si>
    <t>БА</t>
  </si>
  <si>
    <t>нед</t>
  </si>
  <si>
    <t>дизайн</t>
  </si>
  <si>
    <t>команда</t>
  </si>
  <si>
    <t>биллинг Т, тарифы Т</t>
  </si>
  <si>
    <t>биллинг Т, тарифы МПС</t>
  </si>
  <si>
    <t>ИТ лид</t>
  </si>
  <si>
    <t>биллинг МПС, тарифы МПС</t>
  </si>
  <si>
    <t>разработка фронт</t>
  </si>
  <si>
    <t>разработка бек</t>
  </si>
  <si>
    <t>QA</t>
  </si>
  <si>
    <t>Итого</t>
  </si>
  <si>
    <t>фронт</t>
  </si>
  <si>
    <t>бек</t>
  </si>
  <si>
    <t>общая стоимость комнады</t>
  </si>
  <si>
    <t>dev</t>
  </si>
  <si>
    <t>business</t>
  </si>
  <si>
    <t>диз</t>
  </si>
  <si>
    <t>прод, БА</t>
  </si>
  <si>
    <t>редактор</t>
  </si>
  <si>
    <t>исследователь</t>
  </si>
  <si>
    <t>1 ЧД</t>
  </si>
  <si>
    <t>1 ЧН</t>
  </si>
  <si>
    <t>ЧМ</t>
  </si>
  <si>
    <t>баги</t>
  </si>
  <si>
    <t>доступность ПО, sla (дежурные/sre)</t>
  </si>
  <si>
    <t>Q2 2026 Направление развивает команда из 19 dev и 9 business (cost =  10.8 млн /мес).</t>
  </si>
  <si>
    <t>команда Ильи</t>
  </si>
  <si>
    <t>Нина</t>
  </si>
  <si>
    <t>Соня</t>
  </si>
  <si>
    <t>Разработка Биллинга</t>
  </si>
  <si>
    <t>по длительности</t>
  </si>
  <si>
    <t>по трудозатратам</t>
  </si>
  <si>
    <t>Тех поддержка в мес</t>
  </si>
  <si>
    <t>категория затрат</t>
  </si>
  <si>
    <t>сумма в мес</t>
  </si>
  <si>
    <t>итого</t>
  </si>
  <si>
    <t>Внешний маркетинг</t>
  </si>
  <si>
    <r>
      <t>§</t>
    </r>
    <r>
      <rPr>
        <sz val="14"/>
        <color rgb="FF333333"/>
        <rFont val="T-Sans"/>
      </rPr>
      <t xml:space="preserve">Т-Банк: </t>
    </r>
    <r>
      <rPr>
        <sz val="14"/>
        <color rgb="FF8EBF65"/>
        <rFont val="T-Sans"/>
      </rPr>
      <t xml:space="preserve">самый простой вариант - X (от 1,5 мес) </t>
    </r>
    <r>
      <rPr>
        <sz val="14"/>
        <color rgb="FF202020"/>
        <rFont val="T-Sans"/>
      </rPr>
      <t>MPStats: не знаем</t>
    </r>
  </si>
  <si>
    <r>
      <t>§</t>
    </r>
    <r>
      <rPr>
        <sz val="14"/>
        <color rgb="FF333333"/>
        <rFont val="T-Sans"/>
      </rPr>
      <t xml:space="preserve">Т-Банк: </t>
    </r>
    <r>
      <rPr>
        <sz val="14"/>
        <color rgb="FFFB9174"/>
        <rFont val="T-Sans"/>
      </rPr>
      <t xml:space="preserve">самый сложный вариант - X2,5 (от 4 мес) </t>
    </r>
    <r>
      <rPr>
        <sz val="14"/>
        <color rgb="FF202020"/>
        <rFont val="T-Sans"/>
      </rPr>
      <t>MPStats: не знаем</t>
    </r>
  </si>
  <si>
    <r>
      <t>§</t>
    </r>
    <r>
      <rPr>
        <sz val="14"/>
        <color rgb="FF333333"/>
        <rFont val="T-Sans"/>
      </rPr>
      <t xml:space="preserve">Разработка Т: </t>
    </r>
    <r>
      <rPr>
        <sz val="14"/>
        <color rgb="FFFB9174"/>
        <rFont val="T-Sans"/>
      </rPr>
      <t xml:space="preserve">средний вариант - X2 (от 3 мес) </t>
    </r>
    <r>
      <rPr>
        <sz val="14"/>
        <color rgb="FF202020"/>
        <rFont val="T-Sans"/>
      </rPr>
      <t>MPStats: не знаем</t>
    </r>
  </si>
  <si>
    <t>внутренний маркетинг (почта, пуши и пр)  считается бесплатным каналом</t>
  </si>
  <si>
    <t>Внутренний маркетинг</t>
  </si>
  <si>
    <t>ср стоимость 1 кампании</t>
  </si>
  <si>
    <t>кампания для Селлера</t>
  </si>
  <si>
    <t>1 р/мес (макс) - 1 р/2 мес</t>
  </si>
  <si>
    <t>это гипотеза, зависит от того какая будет конкуренция продуктов за кампании</t>
  </si>
  <si>
    <t>стоимость 1 кампании</t>
  </si>
  <si>
    <t>мин кампаний</t>
  </si>
  <si>
    <t>макс кампаний</t>
  </si>
  <si>
    <t xml:space="preserve">500k-1млн руб. </t>
  </si>
  <si>
    <t>реурса на не фокусные продукты</t>
  </si>
  <si>
    <t>40-50</t>
  </si>
  <si>
    <t>не фокуксных проудктов, но они могут не обращаться в один момент времени все сразу</t>
  </si>
  <si>
    <t>ФОТ на Селлер</t>
  </si>
  <si>
    <t>ФОТ маркетинг продукта</t>
  </si>
  <si>
    <t>ФОТ команды Ильи на Селлер</t>
  </si>
  <si>
    <t>Нет возможности посчитать ср стоимость лида по продуктам (сложная система, и тп)</t>
  </si>
  <si>
    <t>подход - по ср стоимости запуска кампаний</t>
  </si>
  <si>
    <t>Подход - по ФОТ</t>
  </si>
  <si>
    <t>ФОТ всего на Селлер</t>
  </si>
  <si>
    <t>трудозатраты</t>
  </si>
  <si>
    <t>ЧЧ в мес всего команда</t>
  </si>
  <si>
    <t>ЧЧ на 12 мес на Селлер от</t>
  </si>
  <si>
    <t xml:space="preserve">ЧЧ 12 мес на Селлер </t>
  </si>
  <si>
    <t>ЧЧ на 12 мес на Селлер до</t>
  </si>
  <si>
    <t>Точка Маркетплейсы - Провайдер связи</t>
  </si>
  <si>
    <r>
      <t xml:space="preserve">«МегаФон» и банк для предпринимателей </t>
    </r>
    <r>
      <rPr>
        <b/>
        <sz val="14"/>
        <color theme="1"/>
        <rFont val="Calibri"/>
        <family val="2"/>
        <scheme val="minor"/>
      </rPr>
      <t>«Точка»</t>
    </r>
    <r>
      <rPr>
        <sz val="14"/>
        <color theme="1"/>
        <rFont val="Calibri"/>
        <family val="2"/>
        <scheme val="minor"/>
      </rPr>
      <t xml:space="preserve"> предоставляют специальные условия для бизнеса. В частности, «МегаФон» предлагает корпоративным клиентам «Точки» льготные тарифы на связь, бесплатное подключение номера </t>
    </r>
    <r>
      <rPr>
        <b/>
        <sz val="14"/>
        <color theme="1"/>
        <rFont val="Calibri"/>
        <family val="2"/>
        <scheme val="minor"/>
      </rPr>
      <t>8 800</t>
    </r>
    <r>
      <rPr>
        <sz val="14"/>
        <color theme="1"/>
        <rFont val="Calibri"/>
        <family val="2"/>
        <scheme val="minor"/>
      </rPr>
      <t>, а также эксклюзивные скидки на подписки для работы на маркетплейсах</t>
    </r>
  </si>
  <si>
    <r>
      <t>Аналитика маркетплейсов:</t>
    </r>
    <r>
      <rPr>
        <sz val="14"/>
        <color theme="1"/>
        <rFont val="Calibri"/>
        <family val="2"/>
        <scheme val="minor"/>
      </rPr>
      <t xml:space="preserve"> «МегаФон» предоставляет специальные условия для подключения сервиса </t>
    </r>
    <r>
      <rPr>
        <b/>
        <sz val="14"/>
        <color theme="1"/>
        <rFont val="Calibri"/>
        <family val="2"/>
        <scheme val="minor"/>
      </rPr>
      <t>MPSTATS</t>
    </r>
  </si>
  <si>
    <r>
      <t>Льготная корпоративная связь:</t>
    </r>
    <r>
      <rPr>
        <sz val="12"/>
        <color theme="1"/>
        <rFont val="Calibri"/>
        <family val="2"/>
        <scheme val="minor"/>
      </rPr>
      <t xml:space="preserve"> скидки 20–30% на услуги связи в вашем регионе, выгодные условия для курьеров и безлимитное общение внутри корпоративной сет</t>
    </r>
  </si>
  <si>
    <t>скадика 20% для клиентов партнера  - на МПС</t>
  </si>
  <si>
    <t xml:space="preserve">МПС платит за лида 3200 р. </t>
  </si>
  <si>
    <t>Пример другой с партнером (была частичная интеграция функционала в инетрфейсы партнера)</t>
  </si>
  <si>
    <t>Ожидания МПСтатс</t>
  </si>
  <si>
    <t>лицензция</t>
  </si>
  <si>
    <t>тех поддержка</t>
  </si>
  <si>
    <t>если биллинг Т</t>
  </si>
  <si>
    <t>если биллинг МПС</t>
  </si>
  <si>
    <t>какой CR в лиды (визит селлер)</t>
  </si>
  <si>
    <t>сколько лидов (визит селлер) от базы селлров за это время накопительно?</t>
  </si>
  <si>
    <t>60% - это от текущей базы</t>
  </si>
  <si>
    <t>реги Селлер (есть не селлеры, скорее не много -10-15%)</t>
  </si>
  <si>
    <t>продукт был полностью бесплтатный, неизвестный</t>
  </si>
  <si>
    <t>билже к правде, был фокус на моентизацию - маркетинг пво вне на тарифы, кто-то потрогал и оттек</t>
  </si>
  <si>
    <t>? - от базы вообще</t>
  </si>
  <si>
    <t>верхняя планка</t>
  </si>
  <si>
    <t>нижняя планка</t>
  </si>
  <si>
    <t xml:space="preserve">Биллинг партнера не выделен в отдельную услугу, зашит в вознагражденеи выше. </t>
  </si>
  <si>
    <t>Из договора от Точки с партнером:</t>
  </si>
  <si>
    <t>Вознаграждение Точки</t>
  </si>
  <si>
    <t xml:space="preserve">Точка получает 85% от партнера, если партнер привлек клеинта в платную подписку Точка Маркетплейсы/МПСтатс, если клиент ранее был зарегистрирован в сервисе (МПСтатс). </t>
  </si>
  <si>
    <t xml:space="preserve">Точка получает 70% от партнера, если партнер привлек клеинта в платную подписку Точка Маркетплейсы/МПСтатс, если клиент ранее не был зарегистрирован в сервисе (МПСтатс). </t>
  </si>
  <si>
    <t>в период когда был фокум на монетизацию - какой CR от базы на тот период</t>
  </si>
  <si>
    <t>33% - 115011 от 346565</t>
  </si>
  <si>
    <t>53000 от 117000 - это 45%</t>
  </si>
  <si>
    <t>4. Digital + Sales MPS  (&gt;1 млн)  – Биллинг Т</t>
  </si>
  <si>
    <t>Тарифы MPStats
Доходы - Расходы (привлечение, API, продление и удержание)</t>
  </si>
  <si>
    <t>Продукты Т-Банк (влияние MPStats)
NVP от всех продуктов Т-Банк</t>
  </si>
  <si>
    <t>Гипотеза v3 03.07.2026</t>
  </si>
  <si>
    <t>Гипотеза акт</t>
  </si>
  <si>
    <t>Гипотеза v3 _ CR лиды upd - 50%</t>
  </si>
  <si>
    <t>РАЗНИЦА</t>
  </si>
  <si>
    <t>Запросы к API МП (бесплатная версия Селлер) - НЕ платящие + платящие МПСтатс (12 мес)</t>
  </si>
  <si>
    <t>ср MAU пропорционально сегментам</t>
  </si>
  <si>
    <t>a</t>
  </si>
  <si>
    <t>Гипотеза v3 _ CR лиды upd - 50% + API скоррект</t>
  </si>
  <si>
    <t>РАЗНИЦА с исх</t>
  </si>
  <si>
    <t>В этой версии изменено: API поправить - MAU по сегментам пропорционально (а не каждом сегменте 15k), в MAU главной сделала во всех вариантах 15k (вклю платящие и неплатящие МПС)</t>
  </si>
  <si>
    <t>В предыдущ версии изменено: Гипотеза v3 _ CR лиды upd - 50% (вместо 80%);</t>
  </si>
  <si>
    <t>РАЗНИЦА с нов версией  CR лиды upd - 50% + API скоррект</t>
  </si>
  <si>
    <t>Что удалось собрать из того что обсуждали</t>
  </si>
  <si>
    <t>3. Тех поддержка интеграции в целом от Т-Банка:</t>
  </si>
  <si>
    <t>если биллинг Т - 750 k в мес, 9 млн в год</t>
  </si>
  <si>
    <t>если биллинг МСП - 376 k в мес, 4,5 млн в год</t>
  </si>
  <si>
    <t>если биллинг Т - 1,8 млн</t>
  </si>
  <si>
    <t>если биллинг Т, тарифы интерфейсно в МПС - 1,3 млн</t>
  </si>
  <si>
    <t>если биллинг МПС - 500k</t>
  </si>
  <si>
    <t>жду от МПСтатст сегодня</t>
  </si>
  <si>
    <t>6. ожидаемое вознаграждение за тех поддержку интеграции от МПС - жду от МПСтатст сегодня</t>
  </si>
  <si>
    <t>жду от Карины завтра утром</t>
  </si>
  <si>
    <t>расходы на бухгалтерскую поддержку (если биллинг Т)</t>
  </si>
  <si>
    <t>если не будет инфо - значит без этих расходов</t>
  </si>
  <si>
    <t>4. Разработка Биллинга от Т-Банк (разовый расход)</t>
  </si>
  <si>
    <t>Для налоговиков</t>
  </si>
  <si>
    <t>Разработка Биллинга от Т-Банк</t>
  </si>
  <si>
    <t>Бухгалтерское сопровождение биллинга</t>
  </si>
  <si>
    <r>
      <rPr>
        <b/>
        <sz val="14"/>
        <color theme="1"/>
        <rFont val="Calibri"/>
        <family val="2"/>
        <scheme val="minor"/>
      </rPr>
      <t>Расходы на запросы к API Т-Банк</t>
    </r>
    <r>
      <rPr>
        <sz val="14"/>
        <color theme="1"/>
        <rFont val="Calibri"/>
        <family val="2"/>
        <charset val="204"/>
        <scheme val="minor"/>
      </rPr>
      <t xml:space="preserve"> (необходимо для базовой работы сервиса)</t>
    </r>
  </si>
  <si>
    <t>Расходы на биллинг Т-Банк</t>
  </si>
  <si>
    <t>Расходы на привлечение Т-Банк</t>
  </si>
  <si>
    <t>Расходы на продление и удержание MPStas</t>
  </si>
  <si>
    <t>Расходы Т-Банк</t>
  </si>
  <si>
    <t>Расходы MPStats</t>
  </si>
  <si>
    <t>Расходы на привлечение MPStats (КЦ, Sales)</t>
  </si>
  <si>
    <t>Расходы Т-Банк + MPStats</t>
  </si>
  <si>
    <t>Доходы: Тарифы MPStats оплачены клиентами</t>
  </si>
  <si>
    <t>рекурренты с счета ЮЛ) - сентябрь</t>
  </si>
  <si>
    <t>рекурренты с карт (ФЛ/ЮЛ) - август</t>
  </si>
  <si>
    <t>грейс период 3 попыткив теч 3 дней - сентябрь</t>
  </si>
  <si>
    <t>МПСтатс планируют реккуренты</t>
  </si>
  <si>
    <t>ковенанты под вопросом</t>
  </si>
  <si>
    <t>1.2 Биллинг MPS (если рекурренты и ковенанты)</t>
  </si>
  <si>
    <t>1.1 Биллинг MPS as is (нет реккурентов и ковенант)</t>
  </si>
  <si>
    <t>2. Биллинг Т-Банк</t>
  </si>
  <si>
    <r>
      <t xml:space="preserve">Потенциальная прибыль:  тарифы MPStats
</t>
    </r>
    <r>
      <rPr>
        <i/>
        <sz val="14"/>
        <color theme="1"/>
        <rFont val="Calibri"/>
        <family val="2"/>
        <scheme val="minor"/>
      </rPr>
      <t xml:space="preserve">Доходы - Расходы </t>
    </r>
  </si>
  <si>
    <t>Какой это % от оплаченных клиентами платных тарифов MPStats</t>
  </si>
  <si>
    <t>Гипотеза 1.2 Биллинг MPS (если рекуррекнты и ковенанты будут доработаны)</t>
  </si>
  <si>
    <t>Тех. поддержка интеграции в целом от MPStats (в год)</t>
  </si>
  <si>
    <t>Лицензия на ПО MPStats -- какая минимально возможная? (единоразово бессрочно)</t>
  </si>
  <si>
    <t>Договор 1 (лицензия и тех поддержка со стороны МПСтатс)</t>
  </si>
  <si>
    <t>Договор 2 (лидогенерация со стороны Т-Банк)</t>
  </si>
  <si>
    <t>Расходы на внутренний маркетинг (запуск 6 кампаний)</t>
  </si>
  <si>
    <t>Расходы на внешний маркетинг (медиа, тг)</t>
  </si>
  <si>
    <t>Тех. поддержка интеграции в целом от Т-Банк</t>
  </si>
  <si>
    <t>Расходы на API запросы к маркетплейсам на время триал (бесплатная версия полного продуката MPStats на 14 дней)</t>
  </si>
  <si>
    <t>Договор 2  общие расходы</t>
  </si>
  <si>
    <t>тех расходы от доходов</t>
  </si>
  <si>
    <t>расходы биллинг от доходов</t>
  </si>
  <si>
    <t>расходы привлечение от доходов</t>
  </si>
  <si>
    <t>Итого доход Т-Банк  от тарифов МПСтатс</t>
  </si>
  <si>
    <r>
      <t xml:space="preserve">Доход Т-Банк (договор 2)
</t>
    </r>
    <r>
      <rPr>
        <i/>
        <sz val="14"/>
        <color theme="1"/>
        <rFont val="Calibri"/>
        <family val="2"/>
        <scheme val="minor"/>
      </rPr>
      <t>расходы Т-Банк (договор 2) + маржа 10%</t>
    </r>
    <r>
      <rPr>
        <b/>
        <sz val="14"/>
        <color theme="1"/>
        <rFont val="Calibri"/>
        <family val="2"/>
        <scheme val="minor"/>
      </rPr>
      <t xml:space="preserve"> - </t>
    </r>
  </si>
  <si>
    <t>Расход Т-Банк (договор1)</t>
  </si>
  <si>
    <t>Потенциал прибыли от других продуктов Т-Банк</t>
  </si>
  <si>
    <t>Итого потенциал прибыли (Тарифы МПСтатс +</t>
  </si>
  <si>
    <t>Сколько получат МПСТатс</t>
  </si>
  <si>
    <t>Вариант 1</t>
  </si>
  <si>
    <t>Биллинг Т</t>
  </si>
  <si>
    <t>Клиентский доход (тарифы МПСтатс)</t>
  </si>
  <si>
    <t>Вариант 2.1</t>
  </si>
  <si>
    <t>Вариант 2.2</t>
  </si>
  <si>
    <t>Лицензия на ПО MPStats (единоразово)</t>
  </si>
  <si>
    <t>Тех. поддержка ПО MPStats (в год)</t>
  </si>
  <si>
    <t>по расчету МПС</t>
  </si>
  <si>
    <t>Доход для МПС, расход для Т</t>
  </si>
  <si>
    <t>услуги по договору</t>
  </si>
  <si>
    <t>биллинг + техподдержка + лидогенерация Т</t>
  </si>
  <si>
    <t>Договор 2 (биллинг + лидген)</t>
  </si>
  <si>
    <t>Договор 1 (лицензия + техподдержка ПО МПСтатс)</t>
  </si>
  <si>
    <t>1. Расходы на привлечение Т-Банк</t>
  </si>
  <si>
    <t>Расходы на внутренний маркетинг</t>
  </si>
  <si>
    <t>запуск 6 кампаний</t>
  </si>
  <si>
    <t>медиа, ТГ</t>
  </si>
  <si>
    <t>Расходы на внешний маркетинг</t>
  </si>
  <si>
    <t>Расходы на API запросы к маркетплейсам на время триал</t>
  </si>
  <si>
    <t>2. Расходы на биллинг Т-Банк</t>
  </si>
  <si>
    <t>Техподдержка биллинг</t>
  </si>
  <si>
    <t>необходимо для базовой работы сервиса</t>
  </si>
  <si>
    <t xml:space="preserve">4. Расходы на запросы к API Т-Банк </t>
  </si>
  <si>
    <t>лидогенерация + техподдержка Т</t>
  </si>
  <si>
    <t>ИТОГО расходы Т</t>
  </si>
  <si>
    <t>ИТОГО по Договору 1</t>
  </si>
  <si>
    <t>Доход для Т, расход для МПС</t>
  </si>
  <si>
    <t>нет данных для расчета</t>
  </si>
  <si>
    <t>P&amp;L для сторон</t>
  </si>
  <si>
    <t>Доход с клиентов (тарифы МПСтатс)</t>
  </si>
  <si>
    <t>Потенциальная прибыль Т по другим продуктам</t>
  </si>
  <si>
    <t>Прибыль Т от МПСтатс</t>
  </si>
  <si>
    <t>доля от клиентского дохода MPStats</t>
  </si>
  <si>
    <t>Общая прибыль Т (MPStats + экосистемный эффект)</t>
  </si>
  <si>
    <t>маржа поверх расходов</t>
  </si>
  <si>
    <t>альтернатива для договора - доля от клиентского дохода MPStats</t>
  </si>
  <si>
    <t>ИТОГО по Договору 2 (расчет 1: расходы Т+ маржа)</t>
  </si>
  <si>
    <t>ИТОГО по Договору 2 (расчет 2: флэт % от клиентского дохода)</t>
  </si>
  <si>
    <t>Биллинг МПС 
(без рекуррентов и ковенантов)</t>
  </si>
  <si>
    <t>1 - от расходов Т + маржа; 2 - от требуемой доходности Т</t>
  </si>
  <si>
    <t>лицензия + техподдержка</t>
  </si>
  <si>
    <t>Выбор варианта расчета по Договору 2</t>
  </si>
  <si>
    <t>Комментарии</t>
  </si>
  <si>
    <t>Т-Банк</t>
  </si>
  <si>
    <t>Биллинг МПС 
(с рекуррентами и ковенантами)</t>
  </si>
  <si>
    <t>заложить минимально - провалидировать (налоги)</t>
  </si>
  <si>
    <t>стоимость маркетинга на 6 кампаний</t>
  </si>
  <si>
    <t>стоимость маркетинга на 12 кампаний</t>
  </si>
  <si>
    <t xml:space="preserve">Расходы маркетинг </t>
  </si>
  <si>
    <t xml:space="preserve">если будет внешний маркетинг - 1,5-3 млн на медиа и тг каналы . </t>
  </si>
  <si>
    <t>1. Расходы на внутренний маркетинг 4,5 в год/всего</t>
  </si>
  <si>
    <t xml:space="preserve">2. Расходы на внешний маркетинг 1,5-3 млн в год/всего </t>
  </si>
  <si>
    <t>5. ожидаемое вознаграждение за лицензию на ПО - минимально возможное для налогов</t>
  </si>
  <si>
    <t>если биллинг Т - 726k ежемесячно,  8 712 000 в год</t>
  </si>
  <si>
    <t>если биллинг МПС - 378k ежемесячно, 4 536 000 в год</t>
  </si>
  <si>
    <t>1 бек всю неделю/мес</t>
  </si>
  <si>
    <t>Тех поддержка в год</t>
  </si>
  <si>
    <t>Гипотеза 1.1 Биллинг MPS + Sales (as is - без реккурентнтов и ковенант)</t>
  </si>
  <si>
    <t>Гипотеза 2.Биллинг Т + Sales Mpstast</t>
  </si>
  <si>
    <t>Вариант который передала Оле</t>
  </si>
  <si>
    <t>Как считаем:</t>
  </si>
  <si>
    <t>Стоимость платного МПСтатс - 1 мес</t>
  </si>
  <si>
    <t>Число пользователей которые возьмут триал</t>
  </si>
  <si>
    <t>Число платных пользователей за весь период</t>
  </si>
  <si>
    <t xml:space="preserve">Стоимость платного МПСтатс - 1 мес на 1 польз.  </t>
  </si>
  <si>
    <t>Стоимость платного МПСтатс - 1 день на 1 польз. (гипотеза - ср 10 посещений в мес)</t>
  </si>
  <si>
    <t>Стоимость платного МПСтатс - 14 деней на 1 польз. (гипотеза - ср 4 посещений)</t>
  </si>
  <si>
    <t>Итого: рахсоды на триал</t>
  </si>
  <si>
    <t xml:space="preserve">Стоимость бесплатной главной Селлер - 1 день на 1 польз. </t>
  </si>
  <si>
    <t>MAU Селлер</t>
  </si>
  <si>
    <t>Доля пользователей с API ключами</t>
  </si>
  <si>
    <t>Запросы к API МП (бесплатная версия Селлер) - 12 мес</t>
  </si>
  <si>
    <t>Life time клиентов МПСтатс</t>
  </si>
  <si>
    <t>от 3х до 10 мес</t>
  </si>
  <si>
    <t>Запросы к API МП (за MPStats) - по LT клиентов (от 3х до 10 мес)</t>
  </si>
  <si>
    <t>Итого: расходы на МПСтатс</t>
  </si>
  <si>
    <t>Итого: среднее прикинула</t>
  </si>
  <si>
    <t>Расходы на АПИ:</t>
  </si>
  <si>
    <t>3. Техподдержка Т-банк интеграции</t>
  </si>
  <si>
    <t xml:space="preserve">Т несет расходы в период пользования клиентами продуката MPStats  - триал на 14 дней </t>
  </si>
  <si>
    <t>Договор 1 (лицензия + тех поддержка МПСтатс)</t>
  </si>
  <si>
    <t>Договор 2 (биллинг + лидген Т)</t>
  </si>
  <si>
    <t>Sales команда МПСтатс</t>
  </si>
  <si>
    <t>Ср число визитов в Селлер</t>
  </si>
  <si>
    <t>Чило лидов (1 визит)</t>
  </si>
  <si>
    <t>Итого: расходы на главную Селлер лиды</t>
  </si>
  <si>
    <t>Итого: расходы на главную Селлер - 12 мес MAU</t>
  </si>
  <si>
    <t>Итого: расходы на главную Селлер лиды +12 мес MAU</t>
  </si>
  <si>
    <t>Гипотеза 1.2 Биллинг MPS + Sales Mpstast (если рекуррекнты и ковенанты будут доработаны)</t>
  </si>
  <si>
    <t>Гипотеза 1.1 Биллинг MPS + Sales Mpstast (as is - без реккурентнтов и ковенант)</t>
  </si>
  <si>
    <t>Расходы на АПИ (исх - гипотеза)</t>
  </si>
  <si>
    <t>Доля лидов которые оставят API ключ</t>
  </si>
  <si>
    <t>провалидировать (налоги) - 10% слишком мало для покрытия всех расходов по проекту</t>
  </si>
  <si>
    <t>доля от клиентского дохода MPStats (если маржа 10%)</t>
  </si>
  <si>
    <t>МПСтатс</t>
  </si>
  <si>
    <t>Что сделать</t>
  </si>
  <si>
    <t>как обосновать? Стоимость нематериального актива?</t>
  </si>
  <si>
    <t>похожий договор Мпстаст - Партнер (получает 15-30%)</t>
  </si>
  <si>
    <t>Прибыль МПС от МПСтатс (за вычетом всех расходов)</t>
  </si>
  <si>
    <t>Налог на прибыль 5% (льгота для ИТ компаний)</t>
  </si>
  <si>
    <t>Налог на прибыль 25%</t>
  </si>
  <si>
    <t>уточнить МПС</t>
  </si>
  <si>
    <t>Справочно: налоги Т-Банк</t>
  </si>
  <si>
    <t>Справочно: налоги МПС</t>
  </si>
  <si>
    <t>НДС 22% к стоимости услуг по Дог.2. Т-Банк  начисляет НДС, уплачивает его в бюджет. МПСтатс оплачивают счет от нас с учетом НДС и принимают к себе в зачет эту сумму</t>
  </si>
  <si>
    <t>без НДС (льгота для ИТ компаний)</t>
  </si>
  <si>
    <r>
      <rPr>
        <sz val="12"/>
        <color rgb="FF00B050"/>
        <rFont val="Calibri (Основной текст)"/>
        <charset val="204"/>
      </rPr>
      <t xml:space="preserve">лицензция – без НДС </t>
    </r>
    <r>
      <rPr>
        <sz val="12"/>
        <color rgb="FF00B050"/>
        <rFont val="Calibri"/>
        <family val="2"/>
        <charset val="204"/>
        <scheme val="minor"/>
      </rPr>
      <t>(</t>
    </r>
    <r>
      <rPr>
        <sz val="12"/>
        <color rgb="FF00B050"/>
        <rFont val="Calibri (Основной текст)"/>
        <charset val="204"/>
      </rPr>
      <t xml:space="preserve">льгота для ИТ компаний); </t>
    </r>
    <r>
      <rPr>
        <sz val="12"/>
        <color theme="1"/>
        <rFont val="Calibri"/>
        <family val="2"/>
        <charset val="204"/>
        <scheme val="minor"/>
      </rPr>
      <t xml:space="preserve">
</t>
    </r>
    <r>
      <rPr>
        <sz val="12"/>
        <color rgb="FF0070C0"/>
        <rFont val="Calibri (Основной текст)"/>
        <charset val="204"/>
      </rPr>
      <t xml:space="preserve">тех поддержка – с НДС. </t>
    </r>
  </si>
  <si>
    <t xml:space="preserve">Комиссия Т-Банк за лидген+ биллинг/ только лидген. </t>
  </si>
  <si>
    <t>провалидировать (налоги) - ОК</t>
  </si>
  <si>
    <t>Открытый вопрос  - получение вознаграждения за все время пока платит клиент или ограниченное время? У Точки (пример договора) - комиссия партнера за все время оплаты клиентом (без ограничений). В Т обычно  3-6 мес - за лидген. Иначе если без ограничений - нужно согласовывать налоговые риски - если услуга за все время оплаты. Если билиинг на стороне Т - то нужно получать оплату постоянно (можо выделить услугу биллинга - фикс или %)</t>
  </si>
  <si>
    <t>нужно валидировать с налоговиками?</t>
  </si>
  <si>
    <t>получить подтвержение от налогов Т что рассчитано верно</t>
  </si>
  <si>
    <t>Разница</t>
  </si>
  <si>
    <t>НДС 22% – тех поддержка по Договору 1</t>
  </si>
  <si>
    <t>доля прибыли Т к расходам</t>
  </si>
  <si>
    <t>мин маржинальность - 10% (требование налоговиков)</t>
  </si>
  <si>
    <t>маржинальность по проекту для МПС (прибыль/доходы)</t>
  </si>
  <si>
    <t>маржинальность по проекту для Т (прибыль/доходы)</t>
  </si>
  <si>
    <t>Прибыль МПС от клиентского дохода МПСтатс (за вычетом лидгена Т)</t>
  </si>
  <si>
    <t>доход МПС</t>
  </si>
  <si>
    <t>МПС</t>
  </si>
  <si>
    <t>Техподдержка пользователей МПСтатс</t>
  </si>
  <si>
    <t>оплата Т за услуги биллинга, лидгена</t>
  </si>
  <si>
    <t>P&amp;L Total</t>
  </si>
  <si>
    <t>ИТОГО: МПС + Т-Банк</t>
  </si>
  <si>
    <t>доход Т-Банк, расход МПС</t>
  </si>
  <si>
    <t>Налог на прибыль</t>
  </si>
  <si>
    <t>Справочно: налоги Т-Банк + МПС</t>
  </si>
  <si>
    <t>Договор 1 (техподдержка) - МПС</t>
  </si>
  <si>
    <t>Договор 2 (биллинг + лидген) - Т-Банк</t>
  </si>
  <si>
    <t>МПС 5%</t>
  </si>
  <si>
    <t>Т-Банк 25%</t>
  </si>
  <si>
    <t>НДС в доходах (22%)</t>
  </si>
  <si>
    <t>Т-Банк (Договор 2: биллинг + лидген)</t>
  </si>
  <si>
    <t>МПС доход по тарифам MPStats</t>
  </si>
  <si>
    <t>Распределение клиентского дохода MPStats</t>
  </si>
  <si>
    <t>доля МПС</t>
  </si>
  <si>
    <t>доля Т-Банк</t>
  </si>
  <si>
    <t>фиксируется в Договоре 2</t>
  </si>
  <si>
    <t>маржинальность по проекту (прибыль/доходы)</t>
  </si>
  <si>
    <t>НДС 22% (в доходах по Договору 2)</t>
  </si>
  <si>
    <t>подлежит вычету в расходах у другой стороны</t>
  </si>
  <si>
    <t>льгота ИТ компания</t>
  </si>
  <si>
    <t>услуги техподдержки облагаются НДС, лицензия нет</t>
  </si>
  <si>
    <t>прибыль Т-Банк от проекта MPStats</t>
  </si>
  <si>
    <t>потенциальная прибыль Т-Банк от других продуктов</t>
  </si>
  <si>
    <t>общая прибыль + экосистемный эффект Т</t>
  </si>
  <si>
    <t>экосистемный эффект</t>
  </si>
  <si>
    <t>Прибыль общая по проекту MPStats</t>
  </si>
  <si>
    <t>оплата МПС лицензии за ПО MPStats, техподдержку</t>
  </si>
  <si>
    <t>расходы на маркетинг, разработку</t>
  </si>
  <si>
    <t>Разница – налог на прибыль</t>
  </si>
  <si>
    <t>по Договору 2  МПСтат может принять НДС к вычету. В таком случае, фактически расходы по НДС никто из сторон не понесет. По денежным потокам это будет так: ТБанк уплатит сумму НДС в бюджет по Договору 2, а МПСтат сможет уменьшить сумму своего НДС на НДС по Договору 2.</t>
  </si>
  <si>
    <t>прибыль MPStats</t>
  </si>
  <si>
    <t>Разница по проекту MPStats</t>
  </si>
  <si>
    <t>Сегмент</t>
  </si>
  <si>
    <t>Кол-во платящих клиентов</t>
  </si>
  <si>
    <t>Доходы: Тарифы MPStats (за все время - условно 1 год)</t>
  </si>
  <si>
    <t>Доля сегмента в доходе</t>
  </si>
  <si>
    <t>LT в мес</t>
  </si>
  <si>
    <t>Доходы: Тарифы MPStats - за ограниченное кол-во мес</t>
  </si>
  <si>
    <t>кол-во мес</t>
  </si>
  <si>
    <t xml:space="preserve">      Договор 1 (лицензия + тех поддержка МПСтатс)</t>
  </si>
  <si>
    <r>
      <t>доход МПС, расход Т.</t>
    </r>
    <r>
      <rPr>
        <sz val="12"/>
        <color rgb="FFFF0000"/>
        <rFont val="Calibri (Основной текст)"/>
        <charset val="204"/>
      </rPr>
      <t xml:space="preserve"> 1)</t>
    </r>
    <r>
      <rPr>
        <sz val="12"/>
        <color theme="1"/>
        <rFont val="Calibri"/>
        <family val="2"/>
        <charset val="204"/>
        <scheme val="minor"/>
      </rPr>
      <t xml:space="preserve"> </t>
    </r>
    <r>
      <rPr>
        <sz val="12"/>
        <color rgb="FFFF0000"/>
        <rFont val="Calibri (Основной текст)"/>
        <charset val="204"/>
      </rPr>
      <t xml:space="preserve">Стоимость лиценции уточняется. 2) </t>
    </r>
    <r>
      <rPr>
        <sz val="12"/>
        <color rgb="FFFF0000"/>
        <rFont val="Calibri"/>
        <family val="2"/>
        <charset val="204"/>
        <scheme val="minor"/>
      </rPr>
      <t>Тех поддержка - кажется должно быть наоборот, если Т - то для МПС дешевле?</t>
    </r>
  </si>
  <si>
    <t xml:space="preserve">      Техподдержка интеграции</t>
  </si>
  <si>
    <t>поддержка пользовтаелей</t>
  </si>
  <si>
    <t>Техподдержка интеграции МПСтатс</t>
  </si>
  <si>
    <r>
      <t>доход МПС, расход Т.</t>
    </r>
    <r>
      <rPr>
        <sz val="12"/>
        <color rgb="FFFF0000"/>
        <rFont val="Calibri (Основной текст)"/>
        <charset val="204"/>
      </rPr>
      <t xml:space="preserve"> 1)</t>
    </r>
    <r>
      <rPr>
        <sz val="12"/>
        <color theme="1"/>
        <rFont val="Calibri"/>
        <family val="2"/>
        <charset val="204"/>
        <scheme val="minor"/>
      </rPr>
      <t xml:space="preserve"> </t>
    </r>
    <r>
      <rPr>
        <sz val="12"/>
        <color rgb="FFFF0000"/>
        <rFont val="Calibri (Основной текст)"/>
        <charset val="204"/>
      </rPr>
      <t xml:space="preserve">Стоимость лиценции уточняется. </t>
    </r>
  </si>
  <si>
    <t>валидация от МПС</t>
  </si>
  <si>
    <t xml:space="preserve">      Техподдержка интеграции МПСтатс</t>
  </si>
  <si>
    <t>Разница – прибыль по проекту MPStats+ Налог на прибыль</t>
  </si>
  <si>
    <t>10% слишком мало для покрытия всех расходов по проекту</t>
  </si>
  <si>
    <t>v1</t>
  </si>
  <si>
    <t>v2</t>
  </si>
  <si>
    <t>Тех поддержка интеграции v2</t>
  </si>
  <si>
    <t>Тех поддержка интеграции v1</t>
  </si>
  <si>
    <t>командного времени (точно нужно меньше - срезаем 50%,10 чел из 19)</t>
  </si>
  <si>
    <r>
      <t xml:space="preserve">командного времени (точно нужно меньше - </t>
    </r>
    <r>
      <rPr>
        <b/>
        <sz val="14"/>
        <color theme="1"/>
        <rFont val="Calibri"/>
        <family val="2"/>
        <scheme val="minor"/>
      </rPr>
      <t>оставть 1 чел</t>
    </r>
    <r>
      <rPr>
        <sz val="14"/>
        <color theme="1"/>
        <rFont val="Calibri"/>
        <family val="2"/>
        <charset val="204"/>
        <scheme val="minor"/>
      </rPr>
      <t>)</t>
    </r>
  </si>
  <si>
    <t>часов в мес</t>
  </si>
  <si>
    <t>Т</t>
  </si>
  <si>
    <t xml:space="preserve">Заложили минимально 100 000 р, можем увеличить - провалидировать (налоги). Необходимо обоснование. </t>
  </si>
  <si>
    <t xml:space="preserve">   Техподдержка пользователей МПСтатс</t>
  </si>
  <si>
    <t>Лидогенерация Т</t>
  </si>
  <si>
    <t>Стоимость для договора 2 (калькуляция от затрат + маржа)</t>
  </si>
  <si>
    <t xml:space="preserve">Биллинг Т </t>
  </si>
  <si>
    <t>разработка+интеграция+маржа 10%</t>
  </si>
  <si>
    <t>внешний/внутренний маркетинг Т +маржа 10%</t>
  </si>
  <si>
    <t>% лидген</t>
  </si>
  <si>
    <t xml:space="preserve">Биллинг + техподдержка Т </t>
  </si>
  <si>
    <t>разработка+интеграция/техподдержка+запросы API +маржа 10%</t>
  </si>
  <si>
    <t>10% - мин.требование налогов Т для рыночности сделки</t>
  </si>
  <si>
    <t>% биллинг + техподдержка</t>
  </si>
  <si>
    <t>Расчет от доли клиентского дохода MPStats</t>
  </si>
  <si>
    <t>даблчекнуть с налогами</t>
  </si>
  <si>
    <t>похожий договор Мпстаст - Партнер (получает 15-30%) - нужен актуальный договор!!</t>
  </si>
  <si>
    <t>Стоимость для договора 2 (калькуляция от клиентских доходов)</t>
  </si>
  <si>
    <t>чекнуть с налогами - ок ли им снижение доходности?</t>
  </si>
  <si>
    <t xml:space="preserve">Биллинг </t>
  </si>
  <si>
    <t xml:space="preserve">% биллинг </t>
  </si>
  <si>
    <t>% лидген + техподдержка + API</t>
  </si>
  <si>
    <t>Договор 2 (лидген Т)</t>
  </si>
  <si>
    <t>Договор 2 (биллинг Т)</t>
  </si>
  <si>
    <t>Договор 2 (биллинг )</t>
  </si>
  <si>
    <t>Договор 2 (лидген Т + тех поддержка + API)</t>
  </si>
  <si>
    <t>доля от клиентского дохода MPStats + маржа)</t>
  </si>
  <si>
    <t>Разница налог на прибыль</t>
  </si>
  <si>
    <t>клиентский доход</t>
  </si>
  <si>
    <t>Клиентский доход (тарифы МПСтатс) - 3 мес</t>
  </si>
  <si>
    <t>Т-Банк (Договор 2: биллинг)</t>
  </si>
  <si>
    <t>Т-Банк (Договор 2: лидген)</t>
  </si>
  <si>
    <t>Лидогенерация Т (вкл расходы техподдержка Т + API)</t>
  </si>
  <si>
    <t>НДС 22% к стоимости услуг по Дог.2. Т-Банк  начисляет НДС, уплачивает его в бюджет. МПСтатс оплачивают счет от нас с учетом НДС и НЕ принимают к себе в зачет эту сумму. Если основаная часть выручки МПС не облагается НДС, то что произойдет с входящим НСД от Т?</t>
  </si>
  <si>
    <t>доля прибыли Т к расходам (от налоговиков)</t>
  </si>
  <si>
    <t>Клиентский доход (тарифы МПСтатс) - 1 мес</t>
  </si>
  <si>
    <t>Период расчета в модели: год</t>
  </si>
  <si>
    <t>Комиссия в договоре</t>
  </si>
  <si>
    <t>% от клиентского дохода (бессрочно)</t>
  </si>
  <si>
    <t>% от клиентского дохода (3 мес)</t>
  </si>
  <si>
    <t>% от клиентского дохода (1 мес)</t>
  </si>
  <si>
    <t>% от клиентского дохода (6 мес)</t>
  </si>
  <si>
    <t>Клиентский доход (тарифы МПСтатс) - 6 мес</t>
  </si>
  <si>
    <t>% от клиентского дохода (12 мес)</t>
  </si>
  <si>
    <t>доля от клиентского дохода MPStats (бессрочно)</t>
  </si>
  <si>
    <t>разработка+интеграция +маржа Т</t>
  </si>
  <si>
    <t>внешний/внутренний маркетинг Т  + расходы на API/техподдержку +маржа 10%</t>
  </si>
  <si>
    <t>расходы разработку биллинга</t>
  </si>
  <si>
    <t>расходы на внешний и внутренний маркетинг + запросы API + техподдержка</t>
  </si>
  <si>
    <t>оплата Т за биллинг</t>
  </si>
  <si>
    <t>оплата Т за лидген</t>
  </si>
  <si>
    <t>?? Уточнить с налогами последствия по НДС для МПС (большую часть выручки не облагают НДС =&gt; не смогут принять к вычету НДС по договору с Т?)</t>
  </si>
  <si>
    <t>Договор 2 (биллинг) - Т-Банк</t>
  </si>
  <si>
    <r>
      <t xml:space="preserve">Биллинг МПС 
</t>
    </r>
    <r>
      <rPr>
        <b/>
        <sz val="9"/>
        <color theme="0"/>
        <rFont val="Calibri"/>
        <family val="2"/>
        <charset val="204"/>
        <scheme val="minor"/>
      </rPr>
      <t>(с рекуррентами и ковенантами)</t>
    </r>
  </si>
  <si>
    <r>
      <rPr>
        <i/>
        <sz val="12"/>
        <color theme="1"/>
        <rFont val="Calibri (Основной текст)"/>
        <charset val="204"/>
      </rPr>
      <t>НДС 22% к стоимости услуг по Дог.2. Т-Банк  начисляет НДС, уплачивает его в бюджет. МПСтатс оплачивают счет от нас с учетом НДС и НЕ принимают к себе в зачет эту сумму (инфо от МПС что не смогут в зачет).</t>
    </r>
    <r>
      <rPr>
        <i/>
        <sz val="12"/>
        <color rgb="FFFF0000"/>
        <rFont val="Calibri"/>
        <family val="2"/>
        <scheme val="minor"/>
      </rPr>
      <t xml:space="preserve"> ?? Уточнить с налогами последствия по НДС для МПС (большую часть выручки не облагают НДС =&gt; не смогут принять к вычету НДС по договору с Т?)</t>
    </r>
  </si>
  <si>
    <t>Доход в мес as is (все время ~12 мес)</t>
  </si>
  <si>
    <t>кол-во мес в первой оплате</t>
  </si>
  <si>
    <t>Использовано в презентации</t>
  </si>
  <si>
    <t>Клиентский доход (тарифы МПСтатс) - от всей базы селлеров (~12 мес)</t>
  </si>
  <si>
    <t>% лидген (вкл расходы: привлечение, техподдержка, запросы API)</t>
  </si>
  <si>
    <t xml:space="preserve">Вознаграждение МПСтатс за вычетом комиссии Т-Банк за лидген+ биллинг/ только лидген. </t>
  </si>
  <si>
    <t>маржинальность как доля прибыли Т к расходам (от налоговиков)</t>
  </si>
  <si>
    <t xml:space="preserve">         Договор 2 (лидген) - Т-Банк</t>
  </si>
  <si>
    <r>
      <rPr>
        <sz val="12"/>
        <color theme="1"/>
        <rFont val="Calibri"/>
        <family val="2"/>
        <charset val="204"/>
        <scheme val="minor"/>
      </rPr>
      <t>С</t>
    </r>
    <r>
      <rPr>
        <sz val="12"/>
        <color theme="1"/>
        <rFont val="Calibri (Основной текст)"/>
        <charset val="204"/>
      </rPr>
      <t xml:space="preserve">тоимость от МПСтатс - 378 000 руб. (скорее всего оценивали объем используемого функционала). </t>
    </r>
    <r>
      <rPr>
        <sz val="12"/>
        <color rgb="FFFF0000"/>
        <rFont val="Calibri"/>
        <family val="2"/>
        <charset val="204"/>
        <scheme val="minor"/>
      </rPr>
      <t xml:space="preserve"> Провалидировать с налогами. </t>
    </r>
  </si>
  <si>
    <t>Категория доходов</t>
  </si>
  <si>
    <t>Кол-во пользователей</t>
  </si>
  <si>
    <t>Вклад</t>
  </si>
  <si>
    <t>Средний срок (мес.)</t>
  </si>
  <si>
    <t>1_неизвестно</t>
  </si>
  <si>
    <t>2_&lt;1 млн</t>
  </si>
  <si>
    <t>3_1-10 млн</t>
  </si>
  <si>
    <t>4_10+млн</t>
  </si>
  <si>
    <t>Первые оплаты МПСтатс после обновления тарифов (в налаче июня)</t>
  </si>
  <si>
    <t>неизвестно</t>
  </si>
  <si>
    <t>Клиентский доход (тарифы МПСтатс) - первая оплата (на разн. кол-во мес)</t>
  </si>
  <si>
    <r>
      <t xml:space="preserve">Т несет расходы в период пользования клиентами продуката MPStats  - триал на 14 дней. </t>
    </r>
    <r>
      <rPr>
        <sz val="12"/>
        <color rgb="FF0070C0"/>
        <rFont val="Calibri (Основной текст)"/>
        <charset val="204"/>
      </rPr>
      <t>Возможно затраты будут меньше, если кол-во дней триала меньше</t>
    </r>
  </si>
  <si>
    <t>Срок</t>
  </si>
  <si>
    <t>Т-Банк (Договор 2: лидген + тех поддержка + АПИ)</t>
  </si>
  <si>
    <t>Валидировать налоги – ОК (почтоянно)</t>
  </si>
  <si>
    <t>Подумать: можем сократить косты - АПИ триал, маркетинг?</t>
  </si>
  <si>
    <t>?? Уточнить с налогами последствия по НДС для МПС (большую часть выручки не облагают НДС =&gt; не смогут принять к вычету НДС по договору с Т?) - Будут платить НДС</t>
  </si>
  <si>
    <t xml:space="preserve">         Договор 1 (техподдержка) - МПС</t>
  </si>
  <si>
    <t xml:space="preserve">         Договор 2 (биллинг) - Т-Банк</t>
  </si>
  <si>
    <t xml:space="preserve">Будут платить МПС. </t>
  </si>
  <si>
    <t>похожий договор Мпстаст - Партнер (получает 15-30%) - но это не МПС, а Точка</t>
  </si>
  <si>
    <t>доход МПС, расход Т</t>
  </si>
  <si>
    <r>
      <rPr>
        <i/>
        <sz val="12"/>
        <color theme="1"/>
        <rFont val="Calibri (Основной текст)"/>
        <charset val="204"/>
      </rPr>
      <t>НДС 22% к стоимости услуг по Дог.2. Т-Банк  начисляет НДС, уплачивает его в бюджет. МПСтатс оплачивают счет от нас с учетом НДС и НЕ принимают к себе в зачет эту сумму (инфо от МПС что не смогут в зачет).</t>
    </r>
    <r>
      <rPr>
        <i/>
        <sz val="12"/>
        <color theme="1"/>
        <rFont val="Calibri"/>
        <family val="2"/>
        <scheme val="minor"/>
      </rPr>
      <t xml:space="preserve"> ?? Уточнить с налогами последствия по НДС для МПС (большую часть выручки не облагают НДС =&gt; не смогут принять к вычету НДС по договору с Т?) --- - Будут платить НДС</t>
    </r>
  </si>
  <si>
    <t>Доходы: Тарифы MPStats - Бизнес</t>
  </si>
  <si>
    <t>Сумма за 1 мес (если тариф Бизнес)</t>
  </si>
  <si>
    <t>озон+вб</t>
  </si>
  <si>
    <t>вб</t>
  </si>
  <si>
    <t>озон</t>
  </si>
  <si>
    <t>В расчет стоимости лицензии входят:</t>
  </si>
  <si>
    <t>- Балансовая стоимость всех версии Актива МПСТАТС ( за минусом амортизации) = 231 963 170 млн руб;</t>
  </si>
  <si>
    <t>- Доля выручки продуктов, которые окажутся в Виджете Т селлера ( Внешняя аналитика Озон \ Внешняя аналитика ВБ \ Кабинет ВБ \ Кабинет Озон) = 16%;</t>
  </si>
  <si>
    <t>- Активная платящая база МПСТАТС на конец июня = 9800 клиентов;</t>
  </si>
  <si>
    <t>- приблизительно количество активных пользователей в Т селлере = 100 клиентов - ( заложена амбиция, с учетом, что сейчас она составляет 36 пользователей);</t>
  </si>
  <si>
    <t>= ( 231 963 170 * 0,16 )\ 9800 = 3 787 руб \ клиент  * 100 = 378 715 руб ( стоимость лицензии)</t>
  </si>
  <si>
    <t>Период лицензии 12 месяцев ( связано с возможной переоценкой при вводе в эксплуатацию новой версии Актива МПСТАТС)</t>
  </si>
  <si>
    <t>Лицензия</t>
  </si>
  <si>
    <t>если 558 клеинтов платных - 2 114 000 руб - обсудить</t>
  </si>
  <si>
    <t>если хотим оставить ту же стоимость - то на клиента должно быть:</t>
  </si>
  <si>
    <t>с учетом того что в Селлере будет доступно не все - предлагаю изменить долю выручки продуктов виджет ан а</t>
  </si>
  <si>
    <t>пердложение</t>
  </si>
  <si>
    <t xml:space="preserve">по расчету МПС </t>
  </si>
  <si>
    <t>(пусто)</t>
  </si>
  <si>
    <t>Общий итог</t>
  </si>
  <si>
    <t>Сумма оплаты</t>
  </si>
  <si>
    <t>Средняя сумма первой оплаты по сегментам оборота</t>
  </si>
  <si>
    <t>Данные реальные (pricefinal), без оценки через тарифы. Среднее чувствительно к выбросам — смотрите и медиану: это «типичный» чек, устойчивый к крупным разовым платежам.</t>
  </si>
  <si>
    <t>Кол-во клиентов</t>
  </si>
  <si>
    <t>Сумма оплат, ₽</t>
  </si>
  <si>
    <t>Средний чек, ₽</t>
  </si>
  <si>
    <t>Медианный чек, ₽</t>
  </si>
  <si>
    <t>Мин, ₽</t>
  </si>
  <si>
    <t>Макс, ₽</t>
  </si>
  <si>
    <t>Доля клиентов</t>
  </si>
  <si>
    <t>ИТОГО / в среднем</t>
  </si>
  <si>
    <t>Примечание: медианный чек и медианный срок — формулы массива (в старых версиях Excel вводятся через Ctrl+Shift+Enter). Значения уже посчитаны.</t>
  </si>
  <si>
    <t>Доходы: Тарифы MPStats - за ограниченное кол-во мес - Ср чек</t>
  </si>
  <si>
    <t>Доходы: Тарифы MPStats - за ограниченное кол-во мес - медианный чек</t>
  </si>
  <si>
    <t xml:space="preserve">v1 Доходы: Тарифы MPStats - за ограниченное кол-во мес </t>
  </si>
  <si>
    <t>v2 Доходы: Тарифы MPStats - за ограниченное кол-во мес - Ср чек /2 (скидка 50%)</t>
  </si>
  <si>
    <r>
      <t xml:space="preserve">NEW. Прикинула 2 варианта  </t>
    </r>
    <r>
      <rPr>
        <sz val="12"/>
        <color theme="1"/>
        <rFont val="Calibri (Основной текст)"/>
        <charset val="204"/>
      </rPr>
      <t>1)</t>
    </r>
    <r>
      <rPr>
        <b/>
        <sz val="12"/>
        <color rgb="FF0070C0"/>
        <rFont val="Calibri"/>
        <family val="2"/>
        <scheme val="minor"/>
      </rPr>
      <t xml:space="preserve"> </t>
    </r>
    <r>
      <rPr>
        <sz val="12"/>
        <color theme="1"/>
        <rFont val="Calibri (Основной текст)"/>
        <charset val="204"/>
      </rPr>
      <t>Инфо по кол-ву мес по первым оплатам по новым тарифам (с началак июня) - от МПС. Сумму первых оплат считала по LTV от МПС более ранним данным - 78 682 122 руб  2) Upd - 27 июля - по ср чеку первой оплаты от МПС после обнолвения тарифов (в начале июня) - 84 930 192 руб - применила этот вариант, более точно</t>
    </r>
  </si>
  <si>
    <t>запуск 6 кампаний (исх).  можно сократить косты на маркетинг</t>
  </si>
  <si>
    <r>
      <rPr>
        <b/>
        <sz val="12"/>
        <color rgb="FF0070C0"/>
        <rFont val="Calibri (Основной текст)"/>
        <charset val="204"/>
      </rPr>
      <t xml:space="preserve">NEW. </t>
    </r>
    <r>
      <rPr>
        <sz val="12"/>
        <color rgb="FF00B050"/>
        <rFont val="Calibri (Основной текст)"/>
        <charset val="204"/>
      </rPr>
      <t>Валидировать с налогами – ОК (отправить справочно посмотреть расчет)</t>
    </r>
    <r>
      <rPr>
        <sz val="12"/>
        <color theme="1"/>
        <rFont val="Calibri (Основной текст)"/>
        <charset val="204"/>
      </rPr>
      <t>. FYI - МПСтатс хотят 80% от первых оплат, без НДС.</t>
    </r>
    <r>
      <rPr>
        <sz val="12"/>
        <color rgb="FFFF0000"/>
        <rFont val="Calibri"/>
        <family val="2"/>
        <charset val="204"/>
        <scheme val="minor"/>
      </rPr>
      <t xml:space="preserve"> </t>
    </r>
  </si>
  <si>
    <t>Лицензия на ПО MPStats (ежегодно)</t>
  </si>
  <si>
    <r>
      <t xml:space="preserve">Т-Банк (Договор 2: лидген) </t>
    </r>
    <r>
      <rPr>
        <i/>
        <sz val="12"/>
        <color theme="0" tint="-0.499984740745262"/>
        <rFont val="Calibri (Основной текст)"/>
        <charset val="204"/>
      </rPr>
      <t>вкл. расходы на лидген+ тех поддержка + АПИ</t>
    </r>
  </si>
  <si>
    <t>% от клиентского дохода (первая оплата)</t>
  </si>
  <si>
    <t>MPStats получает от клеинтского дохода - за вычетом лидгена</t>
  </si>
  <si>
    <t>ИТОГО MPStats получает от клеинтского дохода - за вычетом лидгена и биллинга</t>
  </si>
  <si>
    <r>
      <t>Т несет расходы в период пользования клиентами продуката MPStats  - триал на 14 дней (в</t>
    </r>
    <r>
      <rPr>
        <sz val="12"/>
        <color theme="1"/>
        <rFont val="Calibri (Основной текст)"/>
        <charset val="204"/>
      </rPr>
      <t>озможно затраты будут меньше, если кол-во дней триала меньше)</t>
    </r>
  </si>
  <si>
    <t>маржа Т поверх расходов</t>
  </si>
  <si>
    <r>
      <t xml:space="preserve">NEW. </t>
    </r>
    <r>
      <rPr>
        <sz val="12"/>
        <color rgb="FF0070C0"/>
        <rFont val="Calibri"/>
        <family val="2"/>
        <scheme val="minor"/>
      </rPr>
      <t>В модели учтено получение комиссии Т - от первых оплат МПСтатс</t>
    </r>
  </si>
  <si>
    <t>число платных Т</t>
  </si>
  <si>
    <r>
      <rPr>
        <b/>
        <sz val="12"/>
        <color rgb="FF0070C0"/>
        <rFont val="Calibri (Основной текст)"/>
        <charset val="204"/>
      </rPr>
      <t>NEW</t>
    </r>
    <r>
      <rPr>
        <sz val="12"/>
        <color theme="1"/>
        <rFont val="Calibri"/>
        <family val="2"/>
        <charset val="204"/>
        <scheme val="minor"/>
      </rPr>
      <t xml:space="preserve"> - С</t>
    </r>
    <r>
      <rPr>
        <sz val="12"/>
        <color theme="1"/>
        <rFont val="Calibri (Основной текст)"/>
        <charset val="204"/>
      </rPr>
      <t xml:space="preserve">тоимость от МПСтатс - </t>
    </r>
    <r>
      <rPr>
        <b/>
        <sz val="12"/>
        <color rgb="FF0070C0"/>
        <rFont val="Calibri (Основной текст)"/>
        <charset val="204"/>
      </rPr>
      <t>396 000 руб.</t>
    </r>
    <r>
      <rPr>
        <sz val="12"/>
        <color theme="1"/>
        <rFont val="Calibri (Основной текст)"/>
        <charset val="204"/>
      </rPr>
      <t xml:space="preserve"> Отправить расчет лицензии налоговикам - спарвочно, чтобы была инофрмация по запросу. 
</t>
    </r>
    <r>
      <rPr>
        <b/>
        <sz val="12"/>
        <color rgb="FF0070C0"/>
        <rFont val="Calibri (Основной текст)"/>
        <charset val="204"/>
      </rPr>
      <t xml:space="preserve">Оплата ежегоднго. </t>
    </r>
    <r>
      <rPr>
        <sz val="12"/>
        <color rgb="FF00B050"/>
        <rFont val="Calibri (Основной текст)"/>
        <charset val="204"/>
      </rPr>
      <t xml:space="preserve">Провалидировать с налогами и юристами - ОК. </t>
    </r>
  </si>
  <si>
    <r>
      <t xml:space="preserve">NEW. </t>
    </r>
    <r>
      <rPr>
        <sz val="12"/>
        <color rgb="FF0070C0"/>
        <rFont val="Calibri"/>
        <family val="2"/>
        <scheme val="minor"/>
      </rPr>
      <t>В модели учтено получение комиссии Т - только от первых оплат МПСтатс</t>
    </r>
    <r>
      <rPr>
        <b/>
        <sz val="12"/>
        <color rgb="FF0070C0"/>
        <rFont val="Calibri"/>
        <family val="2"/>
        <scheme val="minor"/>
      </rPr>
      <t xml:space="preserve"> </t>
    </r>
    <r>
      <rPr>
        <sz val="12"/>
        <color rgb="FF0070C0"/>
        <rFont val="Calibri"/>
        <family val="2"/>
        <scheme val="minor"/>
      </rPr>
      <t>+ сокращены расходы Т  на маркетинг</t>
    </r>
  </si>
  <si>
    <r>
      <rPr>
        <b/>
        <sz val="12"/>
        <color rgb="FF0070C0"/>
        <rFont val="Calibri (Основной текст)"/>
        <charset val="204"/>
      </rPr>
      <t xml:space="preserve">NEW. </t>
    </r>
    <r>
      <rPr>
        <sz val="12"/>
        <color rgb="FF0070C0"/>
        <rFont val="Calibri (Основной текст)"/>
        <charset val="204"/>
      </rPr>
      <t>Т получает вознаграждение постоянно - от всего объема оплат клиентов.</t>
    </r>
    <r>
      <rPr>
        <sz val="12"/>
        <color rgb="FF00B050"/>
        <rFont val="Calibri"/>
        <family val="2"/>
        <charset val="204"/>
        <scheme val="minor"/>
      </rPr>
      <t xml:space="preserve"> Валидировать налоги – ОК</t>
    </r>
  </si>
  <si>
    <r>
      <rPr>
        <b/>
        <sz val="12"/>
        <color rgb="FF0070C0"/>
        <rFont val="Calibri (Основной текст)"/>
        <charset val="204"/>
      </rPr>
      <t xml:space="preserve">NEW. </t>
    </r>
    <r>
      <rPr>
        <sz val="12"/>
        <color rgb="FF0070C0"/>
        <rFont val="Calibri"/>
        <family val="2"/>
        <charset val="204"/>
        <scheme val="minor"/>
      </rPr>
      <t>Т получает вознаграение - только от первых оплат клиентов</t>
    </r>
  </si>
  <si>
    <t>ИТОГО MPStats получает от клеинтского дохода (за вычетом вознаграждения Т за лидген и биллинг)</t>
  </si>
  <si>
    <r>
      <t xml:space="preserve">NEW. </t>
    </r>
    <r>
      <rPr>
        <sz val="12"/>
        <color theme="1"/>
        <rFont val="Calibri (Основной текст)"/>
        <charset val="204"/>
      </rPr>
      <t>Upd - 27 июля - прогноз первых оплат - по ср чеку первой оплаты от МПС после обнолвения тарифов (в начале июня) - 84 930 192 руб - применила этот вариант, более точно</t>
    </r>
  </si>
  <si>
    <r>
      <t xml:space="preserve">Договор 2 (лидген) </t>
    </r>
    <r>
      <rPr>
        <i/>
        <sz val="12"/>
        <color theme="0" tint="-0.499984740745262"/>
        <rFont val="Calibri (Основной текст)"/>
        <charset val="204"/>
      </rPr>
      <t>вкл. расходы на лидген+ тех поддержка + АПИ</t>
    </r>
  </si>
  <si>
    <t xml:space="preserve">скоратили косты на маркетинг - запуск 2 кампаний </t>
  </si>
  <si>
    <t>Клиентский доход (тарифы МПСтатс) - 6 мес (неактуально)</t>
  </si>
  <si>
    <t>Клиентский доход (тарифы МПСтатс) - 3 мес (неактуально)</t>
  </si>
  <si>
    <t>% от клиентского дохода (12 мес) - неактуально</t>
  </si>
  <si>
    <t>% от клиентского дохода (6 мес) - неактуально</t>
  </si>
  <si>
    <t>% от клиентского дохода (3 мес) - неактуально</t>
  </si>
  <si>
    <t>Расход</t>
  </si>
  <si>
    <t>Биллинг Т + Sales Mpstast</t>
  </si>
  <si>
    <t>Биллинг MPS (если рекуррекнты и ковенанты будут доработаны) + Sales Mpstast</t>
  </si>
  <si>
    <t>Учтено в PnL</t>
  </si>
  <si>
    <t>да</t>
  </si>
  <si>
    <t>нет</t>
  </si>
  <si>
    <t xml:space="preserve">Учтено в воронке +PnL (не все расходы) </t>
  </si>
  <si>
    <t>Данные для расчета:</t>
  </si>
  <si>
    <r>
      <t>Гипотеза 3.Digital + Биллинг Т</t>
    </r>
    <r>
      <rPr>
        <b/>
        <sz val="14"/>
        <color rgb="FFC00000"/>
        <rFont val="Calibri (Основной текст)"/>
        <charset val="204"/>
      </rPr>
      <t xml:space="preserve"> -- перепроверить формулы в этом варианте (вреотяно местами некорректные)</t>
    </r>
  </si>
  <si>
    <r>
      <t>Гипотеза 4. Digital +  Sales MPS (&gt; 1млн) + Биллинг Т ---</t>
    </r>
    <r>
      <rPr>
        <b/>
        <sz val="14"/>
        <color rgb="FFC00000"/>
        <rFont val="Calibri (Основной текст)"/>
        <charset val="204"/>
      </rPr>
      <t>- перепроверить формулы в этом варианте (вреотяно местами некорректные)</t>
    </r>
  </si>
  <si>
    <t>Гипотеза 1. Биллинг MPS + Sales (as is - без реккурентнтов и ковенант)</t>
  </si>
  <si>
    <t>Гипотеза 2.Биллинг Т  / Биллинг MPS (с рекуррентами и ковенанатами)+ Sales Mpstast</t>
  </si>
  <si>
    <t>Разница – НДС</t>
  </si>
  <si>
    <t>Разсница – всего</t>
  </si>
  <si>
    <t>от саши нт рев селлров по сегментам</t>
  </si>
  <si>
    <t>NetRev</t>
  </si>
  <si>
    <t>Ср Net Rev</t>
  </si>
  <si>
    <t>перепроверить - откуда цифра 40000 от Лизы и Карины? Откуда у Саши?</t>
  </si>
  <si>
    <t>Ср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</si>
</sst>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6">
    <numFmt numFmtId="6" formatCode="#,##0\ &quot;₽&quot;;[Red]\-#,##0\ &quot;₽&quot;"/>
    <numFmt numFmtId="44" formatCode="_-* #,##0.00\ &quot;₽&quot;_-;\-* #,##0.00\ &quot;₽&quot;_-;_-* &quot;-&quot;??\ &quot;₽&quot;_-;_-@_-"/>
    <numFmt numFmtId="164" formatCode="_-* #,##0.00\ _₽_-;\-* #,##0.00\ _₽_-;_-* &quot;-&quot;??\ _₽_-;_-@_-"/>
    <numFmt numFmtId="165" formatCode="0.0%"/>
    <numFmt numFmtId="166" formatCode="yyyy\-mm\-dd"/>
    <numFmt numFmtId="167" formatCode="_-* #,##0\ &quot;₽&quot;_-;\-* #,##0\ &quot;₽&quot;_-;_-* &quot;-&quot;??\ &quot;₽&quot;_-;_-@_-"/>
    <numFmt numFmtId="168" formatCode="yyyy\-mm\-dd\ hh:mm:ss"/>
    <numFmt numFmtId="169" formatCode="0.0"/>
    <numFmt numFmtId="170" formatCode="#,##0\ &quot;₽&quot;"/>
    <numFmt numFmtId="171" formatCode="_-* #,##0.0\ &quot;₽&quot;_-;\-* #,##0.0\ &quot;₽&quot;_-;_-* &quot;-&quot;?\ &quot;₽&quot;_-;_-@_-"/>
    <numFmt numFmtId="172" formatCode="#,##0.00\ &quot;₽&quot;"/>
    <numFmt numFmtId="173" formatCode="_-* #,##0.0\ &quot;₽&quot;_-;\-* #,##0.0\ &quot;₽&quot;_-;_-* &quot;-&quot;??\ &quot;₽&quot;_-;_-@_-"/>
    <numFmt numFmtId="174" formatCode="#,##0.0\ &quot;₽&quot;"/>
    <numFmt numFmtId="175" formatCode="_-* #,##0\ _₽_-;\-* #,##0\ _₽_-;_-* &quot;-&quot;??\ _₽_-;_-@_-"/>
    <numFmt numFmtId="176" formatCode="_-* #,##0\ &quot;₽&quot;_-;\-* #,##0\ &quot;₽&quot;_-;_-* &quot;-&quot;?\ &quot;₽&quot;_-;_-@_-"/>
    <numFmt numFmtId="177" formatCode="_-* #,##0_-;\-* #,##0_-;_-* &quot;-&quot;??_-;_-@_-"/>
  </numFmts>
  <fonts count="169">
    <font>
      <sz val="12"/>
      <color theme="1"/>
      <name val="Calibri"/>
      <family val="2"/>
      <charset val="204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color rgb="FF000000"/>
      <name val="Tahoma"/>
      <family val="2"/>
      <charset val="204"/>
    </font>
    <font>
      <b/>
      <sz val="10"/>
      <color rgb="FF000000"/>
      <name val="Tahoma"/>
      <family val="2"/>
      <charset val="204"/>
    </font>
    <font>
      <sz val="12"/>
      <color rgb="FFFF0000"/>
      <name val="Calibri"/>
      <family val="2"/>
      <charset val="204"/>
      <scheme val="minor"/>
    </font>
    <font>
      <u/>
      <sz val="12"/>
      <color theme="10"/>
      <name val="Calibri"/>
      <family val="2"/>
      <charset val="204"/>
      <scheme val="minor"/>
    </font>
    <font>
      <b/>
      <sz val="12"/>
      <color theme="1"/>
      <name val="Calibri"/>
      <family val="2"/>
      <scheme val="minor"/>
    </font>
    <font>
      <sz val="15"/>
      <color rgb="FF3F4350"/>
      <name val="Arial"/>
      <family val="2"/>
    </font>
    <font>
      <b/>
      <sz val="15"/>
      <color rgb="FF3F4350"/>
      <name val="Arial"/>
      <family val="2"/>
    </font>
    <font>
      <sz val="12"/>
      <color theme="1"/>
      <name val="Calibri"/>
      <family val="2"/>
      <charset val="204"/>
      <scheme val="minor"/>
    </font>
    <font>
      <sz val="14"/>
      <color rgb="FFFF0000"/>
      <name val="Calibri"/>
      <family val="2"/>
      <scheme val="minor"/>
    </font>
    <font>
      <sz val="14"/>
      <color theme="0" tint="-0.499984740745262"/>
      <name val="Calibri"/>
      <family val="2"/>
      <scheme val="minor"/>
    </font>
    <font>
      <b/>
      <sz val="13"/>
      <name val="Calibri"/>
      <family val="2"/>
    </font>
    <font>
      <i/>
      <sz val="9"/>
      <name val="Calibri"/>
      <family val="2"/>
    </font>
    <font>
      <b/>
      <sz val="11"/>
      <color rgb="FFFFFFFF"/>
      <name val="Calibri"/>
      <family val="2"/>
    </font>
    <font>
      <b/>
      <sz val="11"/>
      <name val="Calibri"/>
      <family val="2"/>
    </font>
    <font>
      <sz val="14"/>
      <color rgb="FFC0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rgb="FF000000"/>
      <name val="Calibri"/>
      <family val="2"/>
      <scheme val="minor"/>
    </font>
    <font>
      <b/>
      <sz val="14"/>
      <color rgb="FF000000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0"/>
      <color rgb="FF000000"/>
      <name val="Calibri"/>
      <family val="2"/>
    </font>
    <font>
      <b/>
      <sz val="14"/>
      <color theme="1"/>
      <name val="Calibri (Основной текст)"/>
      <charset val="204"/>
    </font>
    <font>
      <b/>
      <i/>
      <sz val="14"/>
      <color theme="1"/>
      <name val="Calibri"/>
      <family val="2"/>
      <scheme val="minor"/>
    </font>
    <font>
      <i/>
      <sz val="14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1"/>
      <color rgb="FFC00000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C00000"/>
      <name val="Calibri"/>
      <family val="2"/>
      <scheme val="minor"/>
    </font>
    <font>
      <sz val="11"/>
      <color theme="1"/>
      <name val="Calibri (Основной текст)"/>
      <charset val="204"/>
    </font>
    <font>
      <b/>
      <sz val="11"/>
      <color indexed="8"/>
      <name val="Calibri"/>
      <family val="2"/>
      <scheme val="minor"/>
    </font>
    <font>
      <sz val="14"/>
      <color rgb="FF172B4D"/>
      <name val="Roboto"/>
    </font>
    <font>
      <i/>
      <sz val="11"/>
      <color theme="1"/>
      <name val="Calibri (Основной текст)"/>
      <charset val="204"/>
    </font>
    <font>
      <i/>
      <sz val="11"/>
      <color theme="1"/>
      <name val="Calibri"/>
      <family val="2"/>
      <charset val="204"/>
      <scheme val="minor"/>
    </font>
    <font>
      <sz val="14"/>
      <color theme="1"/>
      <name val="Calibri"/>
      <family val="2"/>
      <charset val="204"/>
      <scheme val="minor"/>
    </font>
    <font>
      <sz val="14"/>
      <color rgb="FFC00000"/>
      <name val="Calibri"/>
      <family val="2"/>
      <charset val="204"/>
      <scheme val="minor"/>
    </font>
    <font>
      <sz val="14"/>
      <color theme="5" tint="-0.249977111117893"/>
      <name val="Calibri"/>
      <family val="2"/>
      <scheme val="minor"/>
    </font>
    <font>
      <b/>
      <sz val="14"/>
      <color theme="0" tint="-0.499984740745262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4"/>
      <color theme="0"/>
      <name val="Calibri"/>
      <family val="2"/>
      <scheme val="minor"/>
    </font>
    <font>
      <sz val="14"/>
      <name val="Calibri"/>
      <family val="2"/>
      <scheme val="minor"/>
    </font>
    <font>
      <sz val="12"/>
      <color theme="5" tint="-0.499984740745262"/>
      <name val="Calibri"/>
      <family val="2"/>
      <charset val="204"/>
      <scheme val="minor"/>
    </font>
    <font>
      <b/>
      <sz val="12"/>
      <color rgb="FF000000"/>
      <name val="Calibri"/>
      <family val="2"/>
      <scheme val="minor"/>
    </font>
    <font>
      <sz val="12"/>
      <color rgb="FFFF0000"/>
      <name val="Calibri"/>
      <family val="2"/>
      <scheme val="minor"/>
    </font>
    <font>
      <sz val="12"/>
      <color rgb="FFFF0000"/>
      <name val="Calibri (Основной текст)"/>
      <charset val="204"/>
    </font>
    <font>
      <sz val="11"/>
      <color theme="2" tint="-0.89999084444715716"/>
      <name val="Calibri"/>
      <family val="2"/>
      <scheme val="minor"/>
    </font>
    <font>
      <sz val="12"/>
      <color rgb="FFC00000"/>
      <name val="Calibri"/>
      <family val="2"/>
      <charset val="204"/>
      <scheme val="minor"/>
    </font>
    <font>
      <b/>
      <sz val="14"/>
      <color rgb="FFC00000"/>
      <name val="Calibri"/>
      <family val="2"/>
      <scheme val="minor"/>
    </font>
    <font>
      <sz val="14"/>
      <color rgb="FF0070C0"/>
      <name val="Calibri"/>
      <family val="2"/>
      <scheme val="minor"/>
    </font>
    <font>
      <sz val="12"/>
      <color rgb="FF0070C0"/>
      <name val="Calibri (Основной текст)"/>
      <charset val="204"/>
    </font>
    <font>
      <i/>
      <sz val="14"/>
      <color rgb="FF0070C0"/>
      <name val="Calibri"/>
      <family val="2"/>
      <scheme val="minor"/>
    </font>
    <font>
      <sz val="14"/>
      <color theme="2" tint="-0.499984740745262"/>
      <name val="Calibri"/>
      <family val="2"/>
      <scheme val="minor"/>
    </font>
    <font>
      <sz val="12"/>
      <color theme="1"/>
      <name val="Calibri (Основной текст)"/>
      <charset val="204"/>
    </font>
    <font>
      <sz val="14"/>
      <color theme="2" tint="-0.749992370372631"/>
      <name val="Calibri"/>
      <family val="2"/>
      <scheme val="minor"/>
    </font>
    <font>
      <sz val="12"/>
      <color theme="2" tint="-0.749992370372631"/>
      <name val="Calibri"/>
      <family val="2"/>
      <scheme val="minor"/>
    </font>
    <font>
      <sz val="12"/>
      <color rgb="FF222222"/>
      <name val="Calibri"/>
      <family val="2"/>
      <scheme val="minor"/>
    </font>
    <font>
      <u/>
      <sz val="12"/>
      <color rgb="FF222222"/>
      <name val="Calibri"/>
      <family val="2"/>
      <scheme val="minor"/>
    </font>
    <font>
      <b/>
      <sz val="11"/>
      <color rgb="FFFFFFFF"/>
      <name val="Arial"/>
      <family val="2"/>
    </font>
    <font>
      <b/>
      <sz val="11"/>
      <color rgb="FFFF0000"/>
      <name val="Arial"/>
      <family val="2"/>
    </font>
    <font>
      <i/>
      <sz val="10"/>
      <color rgb="FF555555"/>
      <name val="Arial"/>
      <family val="2"/>
    </font>
    <font>
      <sz val="11"/>
      <name val="Arial"/>
      <family val="2"/>
    </font>
    <font>
      <sz val="11"/>
      <name val="Arial"/>
      <family val="2"/>
      <charset val="204"/>
    </font>
    <font>
      <sz val="12"/>
      <color theme="2" tint="-0.499984740745262"/>
      <name val="Calibri"/>
      <family val="2"/>
      <scheme val="minor"/>
    </font>
    <font>
      <b/>
      <sz val="11"/>
      <color theme="0"/>
      <name val="Arial"/>
      <family val="2"/>
    </font>
    <font>
      <sz val="11"/>
      <color rgb="FFC00000"/>
      <name val="Arial"/>
      <family val="2"/>
    </font>
    <font>
      <b/>
      <sz val="20"/>
      <color theme="1"/>
      <name val="Calibri"/>
      <family val="2"/>
      <scheme val="minor"/>
    </font>
    <font>
      <sz val="11"/>
      <color theme="5" tint="-0.249977111117893"/>
      <name val="Calibri (Основной текст)"/>
      <charset val="204"/>
    </font>
    <font>
      <sz val="12"/>
      <color theme="5" tint="-0.249977111117893"/>
      <name val="Calibri (Основной текст)"/>
      <charset val="204"/>
    </font>
    <font>
      <b/>
      <sz val="11"/>
      <color theme="5" tint="-0.249977111117893"/>
      <name val="Calibri (Основной текст)"/>
      <charset val="204"/>
    </font>
    <font>
      <sz val="12"/>
      <color rgb="FF0070C0"/>
      <name val="Calibri"/>
      <family val="2"/>
      <charset val="204"/>
      <scheme val="minor"/>
    </font>
    <font>
      <b/>
      <sz val="12"/>
      <color rgb="FF0070C0"/>
      <name val="Calibri"/>
      <family val="2"/>
      <scheme val="minor"/>
    </font>
    <font>
      <sz val="11"/>
      <color rgb="FF000000"/>
      <name val="Calibri"/>
      <family val="2"/>
    </font>
    <font>
      <sz val="14"/>
      <color theme="9" tint="-0.499984740745262"/>
      <name val="Calibri"/>
      <family val="2"/>
      <scheme val="minor"/>
    </font>
    <font>
      <sz val="14"/>
      <color theme="0" tint="-0.34998626667073579"/>
      <name val="Calibri"/>
      <family val="2"/>
      <scheme val="minor"/>
    </font>
    <font>
      <sz val="14"/>
      <color rgb="FF3F4350"/>
      <name val="Calibri"/>
      <family val="2"/>
      <scheme val="minor"/>
    </font>
    <font>
      <sz val="12"/>
      <color rgb="FF3F4350"/>
      <name val="Arial"/>
      <family val="2"/>
    </font>
    <font>
      <sz val="14"/>
      <color theme="9" tint="-0.249977111117893"/>
      <name val="Calibri"/>
      <family val="2"/>
      <scheme val="minor"/>
    </font>
    <font>
      <sz val="10"/>
      <color rgb="FF000000"/>
      <name val="+mn-lt"/>
      <charset val="1"/>
    </font>
    <font>
      <b/>
      <sz val="14"/>
      <color theme="1" tint="4.9989318521683403E-2"/>
      <name val="Calibri"/>
      <family val="2"/>
      <scheme val="minor"/>
    </font>
    <font>
      <sz val="12"/>
      <color rgb="FF0070C0"/>
      <name val="Calibri"/>
      <family val="2"/>
      <scheme val="minor"/>
    </font>
    <font>
      <sz val="12"/>
      <color theme="1"/>
      <name val="Arial"/>
      <family val="2"/>
    </font>
    <font>
      <sz val="14"/>
      <color theme="1" tint="4.9989318521683403E-2"/>
      <name val="Calibri"/>
      <family val="2"/>
      <scheme val="minor"/>
    </font>
    <font>
      <b/>
      <sz val="14"/>
      <color theme="2" tint="-0.499984740745262"/>
      <name val="Calibri"/>
      <family val="2"/>
      <scheme val="minor"/>
    </font>
    <font>
      <b/>
      <sz val="14"/>
      <color rgb="FF0070C0"/>
      <name val="Calibri"/>
      <family val="2"/>
      <scheme val="minor"/>
    </font>
    <font>
      <b/>
      <sz val="12"/>
      <color rgb="FF00B050"/>
      <name val="Calibri"/>
      <family val="2"/>
      <scheme val="minor"/>
    </font>
    <font>
      <sz val="14"/>
      <color theme="1"/>
      <name val="T-Sans Regular"/>
      <charset val="204"/>
    </font>
    <font>
      <b/>
      <sz val="14"/>
      <color theme="1"/>
      <name val="T-Sans Regular"/>
      <charset val="204"/>
    </font>
    <font>
      <b/>
      <sz val="14"/>
      <color theme="7" tint="-0.499984740745262"/>
      <name val="T-Sans Regular"/>
      <charset val="204"/>
    </font>
    <font>
      <sz val="14"/>
      <color theme="9" tint="-0.499984740745262"/>
      <name val="T-Sans Regular"/>
      <charset val="204"/>
    </font>
    <font>
      <sz val="14"/>
      <color theme="9" tint="-0.249977111117893"/>
      <name val="T-Sans Regular"/>
      <charset val="204"/>
    </font>
    <font>
      <sz val="14"/>
      <color theme="0" tint="-0.499984740745262"/>
      <name val="T-Sans Regular"/>
      <charset val="204"/>
    </font>
    <font>
      <sz val="14"/>
      <color rgb="FF333333"/>
      <name val="T-Sans Regular"/>
      <charset val="204"/>
    </font>
    <font>
      <sz val="11"/>
      <color rgb="FF000000"/>
      <name val="+mn-lt"/>
      <charset val="1"/>
    </font>
    <font>
      <b/>
      <sz val="11"/>
      <color rgb="FF000000"/>
      <name val="+mn-lt"/>
      <charset val="1"/>
    </font>
    <font>
      <sz val="14"/>
      <color theme="1"/>
      <name val="Wingdings"/>
      <charset val="2"/>
    </font>
    <font>
      <sz val="14"/>
      <color rgb="FF333333"/>
      <name val="T-Sans"/>
    </font>
    <font>
      <sz val="14"/>
      <color rgb="FF8EBF65"/>
      <name val="T-Sans"/>
    </font>
    <font>
      <sz val="14"/>
      <color rgb="FF202020"/>
      <name val="T-Sans"/>
    </font>
    <font>
      <sz val="14"/>
      <color rgb="FFFB9174"/>
      <name val="T-Sans"/>
    </font>
    <font>
      <sz val="14"/>
      <color rgb="FF172B4D"/>
      <name val="Helvetica Neue"/>
      <family val="2"/>
    </font>
    <font>
      <sz val="12"/>
      <color rgb="FF00B050"/>
      <name val="Calibri"/>
      <family val="2"/>
      <charset val="204"/>
      <scheme val="minor"/>
    </font>
    <font>
      <sz val="12"/>
      <color rgb="FF00B050"/>
      <name val="Calibri"/>
      <family val="2"/>
      <scheme val="minor"/>
    </font>
    <font>
      <sz val="14"/>
      <color rgb="FFFF0000"/>
      <name val="T-Sans Regular"/>
      <charset val="204"/>
    </font>
    <font>
      <sz val="14"/>
      <color rgb="FF00B050"/>
      <name val="Calibri"/>
      <family val="2"/>
      <scheme val="minor"/>
    </font>
    <font>
      <sz val="14"/>
      <color rgb="FFC00000"/>
      <name val="T-Sans Regular"/>
      <charset val="204"/>
    </font>
    <font>
      <b/>
      <sz val="14"/>
      <color rgb="FF00B050"/>
      <name val="Calibri"/>
      <family val="2"/>
      <scheme val="minor"/>
    </font>
    <font>
      <b/>
      <sz val="14"/>
      <color theme="4" tint="-0.499984740745262"/>
      <name val="Calibri"/>
      <family val="2"/>
      <scheme val="minor"/>
    </font>
    <font>
      <sz val="14"/>
      <color theme="2" tint="-0.249977111117893"/>
      <name val="Calibri"/>
      <family val="2"/>
      <scheme val="minor"/>
    </font>
    <font>
      <b/>
      <sz val="14"/>
      <color theme="8" tint="-0.499984740745262"/>
      <name val="Calibri"/>
      <family val="2"/>
      <scheme val="minor"/>
    </font>
    <font>
      <sz val="14"/>
      <color theme="8" tint="-0.499984740745262"/>
      <name val="Calibri"/>
      <family val="2"/>
      <scheme val="minor"/>
    </font>
    <font>
      <b/>
      <sz val="11"/>
      <color rgb="FF000000"/>
      <name val="Calibri"/>
      <family val="2"/>
    </font>
    <font>
      <b/>
      <sz val="12"/>
      <color theme="1"/>
      <name val="Calibri"/>
      <family val="2"/>
      <charset val="204"/>
      <scheme val="minor"/>
    </font>
    <font>
      <i/>
      <sz val="12"/>
      <color theme="1"/>
      <name val="Calibri"/>
      <family val="2"/>
      <charset val="204"/>
      <scheme val="minor"/>
    </font>
    <font>
      <b/>
      <sz val="14"/>
      <color theme="1"/>
      <name val="Calibri"/>
      <family val="2"/>
      <charset val="204"/>
      <scheme val="minor"/>
    </font>
    <font>
      <i/>
      <sz val="12"/>
      <color rgb="FFFF0000"/>
      <name val="Calibri"/>
      <family val="2"/>
      <charset val="204"/>
      <scheme val="minor"/>
    </font>
    <font>
      <sz val="12"/>
      <color theme="0"/>
      <name val="Calibri"/>
      <family val="2"/>
      <charset val="204"/>
      <scheme val="minor"/>
    </font>
    <font>
      <b/>
      <sz val="12"/>
      <color theme="0"/>
      <name val="Calibri"/>
      <family val="2"/>
      <charset val="204"/>
      <scheme val="minor"/>
    </font>
    <font>
      <b/>
      <i/>
      <sz val="12"/>
      <color theme="1"/>
      <name val="Calibri"/>
      <family val="2"/>
      <charset val="204"/>
      <scheme val="minor"/>
    </font>
    <font>
      <b/>
      <sz val="20"/>
      <color theme="0"/>
      <name val="Calibri"/>
      <family val="2"/>
      <charset val="204"/>
      <scheme val="minor"/>
    </font>
    <font>
      <b/>
      <sz val="20"/>
      <color theme="1"/>
      <name val="Calibri"/>
      <family val="2"/>
      <charset val="204"/>
      <scheme val="minor"/>
    </font>
    <font>
      <sz val="20"/>
      <color theme="1"/>
      <name val="Calibri"/>
      <family val="2"/>
      <charset val="204"/>
      <scheme val="minor"/>
    </font>
    <font>
      <b/>
      <sz val="12"/>
      <color rgb="FFFF0000"/>
      <name val="Calibri"/>
      <family val="2"/>
      <charset val="204"/>
      <scheme val="minor"/>
    </font>
    <font>
      <sz val="12"/>
      <color rgb="FF000000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i/>
      <sz val="12"/>
      <color rgb="FF00B050"/>
      <name val="Calibri"/>
      <family val="2"/>
      <charset val="204"/>
      <scheme val="minor"/>
    </font>
    <font>
      <sz val="12"/>
      <color theme="0" tint="-0.499984740745262"/>
      <name val="Calibri"/>
      <family val="2"/>
      <scheme val="minor"/>
    </font>
    <font>
      <b/>
      <i/>
      <sz val="12"/>
      <color rgb="FF00B050"/>
      <name val="Calibri"/>
      <family val="2"/>
      <scheme val="minor"/>
    </font>
    <font>
      <sz val="12"/>
      <color rgb="FF00B050"/>
      <name val="Calibri (Основной текст)"/>
      <charset val="204"/>
    </font>
    <font>
      <b/>
      <i/>
      <sz val="12"/>
      <color rgb="FFC00000"/>
      <name val="Calibri"/>
      <family val="2"/>
      <scheme val="minor"/>
    </font>
    <font>
      <sz val="12"/>
      <color theme="1" tint="0.499984740745262"/>
      <name val="Calibri"/>
      <family val="2"/>
      <charset val="204"/>
      <scheme val="minor"/>
    </font>
    <font>
      <sz val="11"/>
      <color rgb="FF3F4350"/>
      <name val="Calibri"/>
      <family val="2"/>
      <scheme val="minor"/>
    </font>
    <font>
      <b/>
      <i/>
      <sz val="12"/>
      <color rgb="FF0070C0"/>
      <name val="Calibri"/>
      <family val="2"/>
      <charset val="204"/>
      <scheme val="minor"/>
    </font>
    <font>
      <b/>
      <i/>
      <sz val="12"/>
      <color rgb="FFC00000"/>
      <name val="Calibri"/>
      <family val="2"/>
      <charset val="204"/>
      <scheme val="minor"/>
    </font>
    <font>
      <b/>
      <i/>
      <sz val="12"/>
      <color rgb="FF0070C0"/>
      <name val="Calibri"/>
      <family val="2"/>
      <scheme val="minor"/>
    </font>
    <font>
      <i/>
      <sz val="12"/>
      <color rgb="FFC00000"/>
      <name val="Calibri"/>
      <family val="2"/>
      <scheme val="minor"/>
    </font>
    <font>
      <sz val="12"/>
      <color rgb="FFC00000"/>
      <name val="Calibri"/>
      <family val="2"/>
      <scheme val="minor"/>
    </font>
    <font>
      <b/>
      <sz val="16"/>
      <color theme="1"/>
      <name val="Calibri"/>
      <family val="2"/>
      <charset val="204"/>
      <scheme val="minor"/>
    </font>
    <font>
      <i/>
      <sz val="12"/>
      <color rgb="FF00B050"/>
      <name val="Calibri"/>
      <family val="2"/>
      <scheme val="minor"/>
    </font>
    <font>
      <sz val="11"/>
      <color rgb="FF000000"/>
      <name val="Calibri"/>
      <family val="2"/>
      <scheme val="minor"/>
    </font>
    <font>
      <i/>
      <sz val="12"/>
      <color theme="0" tint="-0.499984740745262"/>
      <name val="Calibri"/>
      <family val="2"/>
      <scheme val="minor"/>
    </font>
    <font>
      <b/>
      <sz val="12"/>
      <name val="Calibri"/>
      <family val="2"/>
      <scheme val="minor"/>
    </font>
    <font>
      <sz val="14"/>
      <color theme="8" tint="-0.499984740745262"/>
      <name val="Calibri"/>
      <family val="2"/>
      <charset val="204"/>
      <scheme val="minor"/>
    </font>
    <font>
      <i/>
      <sz val="12"/>
      <color rgb="FF99D073"/>
      <name val="Calibri"/>
      <family val="2"/>
      <scheme val="minor"/>
    </font>
    <font>
      <i/>
      <sz val="14"/>
      <color theme="1"/>
      <name val="Calibri"/>
      <family val="2"/>
      <charset val="204"/>
      <scheme val="minor"/>
    </font>
    <font>
      <sz val="14"/>
      <color rgb="FFFF0000"/>
      <name val="Calibri"/>
      <family val="2"/>
      <charset val="204"/>
      <scheme val="minor"/>
    </font>
    <font>
      <b/>
      <sz val="12"/>
      <color rgb="FFFF0000"/>
      <name val="Calibri"/>
      <family val="2"/>
      <scheme val="minor"/>
    </font>
    <font>
      <b/>
      <sz val="9"/>
      <color theme="0"/>
      <name val="Calibri"/>
      <family val="2"/>
      <charset val="204"/>
      <scheme val="minor"/>
    </font>
    <font>
      <i/>
      <sz val="12"/>
      <color rgb="FFFF0000"/>
      <name val="Calibri"/>
      <family val="2"/>
      <scheme val="minor"/>
    </font>
    <font>
      <i/>
      <sz val="12"/>
      <color theme="1"/>
      <name val="Calibri (Основной текст)"/>
      <charset val="204"/>
    </font>
    <font>
      <sz val="12"/>
      <color theme="5" tint="-0.499984740745262"/>
      <name val="Calibri"/>
      <family val="2"/>
      <scheme val="minor"/>
    </font>
    <font>
      <b/>
      <sz val="12"/>
      <color theme="5" tint="-0.499984740745262"/>
      <name val="Calibri"/>
      <family val="2"/>
      <scheme val="minor"/>
    </font>
    <font>
      <b/>
      <sz val="20"/>
      <color theme="0"/>
      <name val="Calibri"/>
      <family val="2"/>
      <scheme val="minor"/>
    </font>
    <font>
      <b/>
      <sz val="12"/>
      <color rgb="FF0070C0"/>
      <name val="Calibri (Основной текст)"/>
      <charset val="204"/>
    </font>
    <font>
      <b/>
      <sz val="11"/>
      <name val="Arial"/>
      <family val="2"/>
    </font>
    <font>
      <sz val="12"/>
      <color theme="2" tint="-0.499984740745262"/>
      <name val="Calibri"/>
      <family val="2"/>
      <charset val="204"/>
      <scheme val="minor"/>
    </font>
    <font>
      <sz val="12"/>
      <color rgb="FF7030A0"/>
      <name val="Calibri"/>
      <family val="2"/>
      <charset val="204"/>
      <scheme val="minor"/>
    </font>
    <font>
      <sz val="12"/>
      <color theme="0" tint="-0.499984740745262"/>
      <name val="Calibri"/>
      <family val="2"/>
      <charset val="204"/>
      <scheme val="minor"/>
    </font>
    <font>
      <b/>
      <sz val="11"/>
      <name val="Arial"/>
      <family val="2"/>
      <charset val="204"/>
    </font>
    <font>
      <i/>
      <sz val="12"/>
      <color theme="0" tint="-0.499984740745262"/>
      <name val="Calibri (Основной текст)"/>
      <charset val="204"/>
    </font>
    <font>
      <b/>
      <i/>
      <sz val="12"/>
      <color theme="0" tint="-0.499984740745262"/>
      <name val="Calibri"/>
      <family val="2"/>
      <scheme val="minor"/>
    </font>
    <font>
      <sz val="12"/>
      <color theme="0" tint="-0.249977111117893"/>
      <name val="Calibri"/>
      <family val="2"/>
      <charset val="204"/>
      <scheme val="minor"/>
    </font>
    <font>
      <i/>
      <sz val="12"/>
      <color theme="0" tint="-0.249977111117893"/>
      <name val="Calibri"/>
      <family val="2"/>
      <scheme val="minor"/>
    </font>
    <font>
      <b/>
      <sz val="14"/>
      <color rgb="FFC00000"/>
      <name val="Calibri (Основной текст)"/>
      <charset val="204"/>
    </font>
    <font>
      <i/>
      <sz val="12"/>
      <color theme="2" tint="-0.499984740745262"/>
      <name val="Calibri"/>
      <family val="2"/>
      <scheme val="minor"/>
    </font>
    <font>
      <b/>
      <i/>
      <sz val="12"/>
      <color theme="2" tint="-0.499984740745262"/>
      <name val="Calibri"/>
      <family val="2"/>
      <scheme val="minor"/>
    </font>
  </fonts>
  <fills count="39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17BF50"/>
        <bgColor rgb="FF17BF50"/>
      </patternFill>
    </fill>
    <fill>
      <patternFill patternType="solid">
        <fgColor rgb="FFEAF7EE"/>
        <bgColor rgb="FFEAF7EE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79998168889431442"/>
        <bgColor rgb="FF000000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59999389629810485"/>
        <bgColor rgb="FF000000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6" tint="0.39997558519241921"/>
        <bgColor rgb="FF000000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/>
        <bgColor rgb="FF000000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00000"/>
        <bgColor rgb="FF003300"/>
      </patternFill>
    </fill>
    <fill>
      <patternFill patternType="solid">
        <fgColor rgb="FF92D05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E2EFDA"/>
        <bgColor rgb="FF000000"/>
      </patternFill>
    </fill>
    <fill>
      <patternFill patternType="solid">
        <fgColor rgb="FF99D073"/>
        <bgColor indexed="64"/>
      </patternFill>
    </fill>
    <fill>
      <patternFill patternType="solid">
        <fgColor rgb="FFE8EDE8"/>
        <bgColor rgb="FFFFFFCC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79998168889431442"/>
        <bgColor rgb="FFFFFFCC"/>
      </patternFill>
    </fill>
  </fills>
  <borders count="8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ck">
        <color indexed="64"/>
      </right>
      <top/>
      <bottom/>
      <diagonal/>
    </border>
    <border>
      <left/>
      <right style="thick">
        <color indexed="64"/>
      </right>
      <top/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medium">
        <color indexed="64"/>
      </bottom>
      <diagonal/>
    </border>
    <border>
      <left/>
      <right style="thick">
        <color indexed="64"/>
      </right>
      <top/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/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</borders>
  <cellStyleXfs count="4">
    <xf numFmtId="0" fontId="0" fillId="0" borderId="0"/>
    <xf numFmtId="0" fontId="6" fillId="0" borderId="0" applyNumberFormat="0" applyFill="0" applyBorder="0" applyAlignment="0" applyProtection="0"/>
    <xf numFmtId="9" fontId="10" fillId="0" borderId="0" applyFont="0" applyFill="0" applyBorder="0" applyAlignment="0" applyProtection="0"/>
    <xf numFmtId="164" fontId="10" fillId="0" borderId="0" applyFont="0" applyFill="0" applyBorder="0" applyAlignment="0" applyProtection="0"/>
  </cellStyleXfs>
  <cellXfs count="2132">
    <xf numFmtId="0" fontId="0" fillId="0" borderId="0" xfId="0"/>
    <xf numFmtId="0" fontId="1" fillId="0" borderId="0" xfId="0" applyFont="1" applyAlignment="1">
      <alignment vertical="top" wrapText="1"/>
    </xf>
    <xf numFmtId="0" fontId="1" fillId="0" borderId="0" xfId="0" applyFont="1" applyAlignment="1">
      <alignment vertical="top"/>
    </xf>
    <xf numFmtId="0" fontId="1" fillId="0" borderId="1" xfId="0" applyFont="1" applyBorder="1" applyAlignment="1">
      <alignment vertical="top" wrapText="1"/>
    </xf>
    <xf numFmtId="0" fontId="5" fillId="0" borderId="0" xfId="0" applyFont="1"/>
    <xf numFmtId="0" fontId="0" fillId="0" borderId="0" xfId="0" applyAlignment="1">
      <alignment wrapText="1"/>
    </xf>
    <xf numFmtId="0" fontId="6" fillId="0" borderId="0" xfId="1"/>
    <xf numFmtId="0" fontId="7" fillId="0" borderId="0" xfId="0" applyFont="1"/>
    <xf numFmtId="0" fontId="7" fillId="0" borderId="0" xfId="0" applyFont="1" applyAlignment="1">
      <alignment wrapText="1"/>
    </xf>
    <xf numFmtId="0" fontId="0" fillId="0" borderId="1" xfId="0" applyBorder="1"/>
    <xf numFmtId="0" fontId="9" fillId="0" borderId="0" xfId="0" applyFont="1"/>
    <xf numFmtId="0" fontId="7" fillId="4" borderId="0" xfId="0" applyFont="1" applyFill="1"/>
    <xf numFmtId="0" fontId="0" fillId="4" borderId="0" xfId="0" applyFill="1"/>
    <xf numFmtId="0" fontId="2" fillId="0" borderId="0" xfId="0" applyFont="1" applyAlignment="1">
      <alignment vertical="top" wrapText="1"/>
    </xf>
    <xf numFmtId="0" fontId="1" fillId="3" borderId="0" xfId="0" applyFont="1" applyFill="1" applyAlignment="1">
      <alignment vertical="top" wrapText="1"/>
    </xf>
    <xf numFmtId="0" fontId="1" fillId="0" borderId="0" xfId="0" applyFont="1"/>
    <xf numFmtId="0" fontId="1" fillId="0" borderId="3" xfId="0" applyFont="1" applyBorder="1" applyAlignment="1">
      <alignment vertical="top" wrapText="1"/>
    </xf>
    <xf numFmtId="0" fontId="1" fillId="0" borderId="1" xfId="0" applyFont="1" applyBorder="1"/>
    <xf numFmtId="0" fontId="2" fillId="0" borderId="0" xfId="0" applyFont="1"/>
    <xf numFmtId="0" fontId="2" fillId="0" borderId="4" xfId="0" applyFont="1" applyBorder="1" applyAlignment="1">
      <alignment vertical="top" wrapText="1"/>
    </xf>
    <xf numFmtId="0" fontId="12" fillId="4" borderId="1" xfId="0" applyFont="1" applyFill="1" applyBorder="1"/>
    <xf numFmtId="0" fontId="1" fillId="7" borderId="0" xfId="0" applyFont="1" applyFill="1" applyAlignment="1">
      <alignment vertical="top" wrapText="1"/>
    </xf>
    <xf numFmtId="0" fontId="1" fillId="0" borderId="4" xfId="0" applyFont="1" applyBorder="1" applyAlignment="1">
      <alignment vertical="top" wrapText="1"/>
    </xf>
    <xf numFmtId="0" fontId="1" fillId="5" borderId="0" xfId="0" applyFont="1" applyFill="1" applyAlignment="1">
      <alignment vertical="top" wrapText="1"/>
    </xf>
    <xf numFmtId="0" fontId="1" fillId="0" borderId="10" xfId="0" applyFont="1" applyBorder="1" applyAlignment="1">
      <alignment vertical="top" wrapText="1"/>
    </xf>
    <xf numFmtId="0" fontId="1" fillId="6" borderId="0" xfId="0" applyFont="1" applyFill="1" applyAlignment="1">
      <alignment vertical="top" wrapText="1"/>
    </xf>
    <xf numFmtId="0" fontId="2" fillId="8" borderId="0" xfId="0" applyFont="1" applyFill="1"/>
    <xf numFmtId="0" fontId="1" fillId="8" borderId="0" xfId="0" applyFont="1" applyFill="1"/>
    <xf numFmtId="0" fontId="1" fillId="0" borderId="9" xfId="0" applyFont="1" applyBorder="1" applyAlignment="1">
      <alignment vertical="top" wrapText="1"/>
    </xf>
    <xf numFmtId="0" fontId="1" fillId="0" borderId="1" xfId="0" applyFont="1" applyBorder="1" applyAlignment="1">
      <alignment wrapText="1"/>
    </xf>
    <xf numFmtId="0" fontId="1" fillId="0" borderId="9" xfId="0" applyFont="1" applyBorder="1" applyAlignment="1">
      <alignment horizontal="right" vertical="top" wrapText="1"/>
    </xf>
    <xf numFmtId="165" fontId="1" fillId="0" borderId="9" xfId="0" applyNumberFormat="1" applyFont="1" applyBorder="1" applyAlignment="1">
      <alignment horizontal="right" vertical="top"/>
    </xf>
    <xf numFmtId="165" fontId="1" fillId="0" borderId="0" xfId="2" applyNumberFormat="1" applyFont="1" applyFill="1" applyBorder="1" applyAlignment="1">
      <alignment horizontal="right" vertical="top"/>
    </xf>
    <xf numFmtId="0" fontId="12" fillId="0" borderId="9" xfId="0" applyFont="1" applyBorder="1" applyAlignment="1">
      <alignment horizontal="right" vertical="top" wrapText="1"/>
    </xf>
    <xf numFmtId="165" fontId="1" fillId="0" borderId="0" xfId="2" applyNumberFormat="1" applyFont="1" applyFill="1" applyBorder="1" applyAlignment="1">
      <alignment horizontal="right" vertical="top" wrapText="1"/>
    </xf>
    <xf numFmtId="0" fontId="12" fillId="0" borderId="10" xfId="0" applyFont="1" applyBorder="1" applyAlignment="1">
      <alignment horizontal="right" vertical="top" wrapText="1"/>
    </xf>
    <xf numFmtId="0" fontId="1" fillId="0" borderId="10" xfId="0" applyFont="1" applyBorder="1" applyAlignment="1">
      <alignment horizontal="right" vertical="top" wrapText="1"/>
    </xf>
    <xf numFmtId="165" fontId="12" fillId="0" borderId="0" xfId="2" applyNumberFormat="1" applyFont="1" applyFill="1" applyBorder="1" applyAlignment="1">
      <alignment horizontal="right" vertical="top" wrapText="1"/>
    </xf>
    <xf numFmtId="0" fontId="1" fillId="5" borderId="9" xfId="0" applyFont="1" applyFill="1" applyBorder="1" applyAlignment="1">
      <alignment vertical="top"/>
    </xf>
    <xf numFmtId="0" fontId="1" fillId="0" borderId="9" xfId="0" applyFont="1" applyBorder="1" applyAlignment="1">
      <alignment vertical="top"/>
    </xf>
    <xf numFmtId="0" fontId="1" fillId="6" borderId="9" xfId="0" applyFont="1" applyFill="1" applyBorder="1" applyAlignment="1">
      <alignment vertical="top"/>
    </xf>
    <xf numFmtId="0" fontId="1" fillId="3" borderId="9" xfId="0" applyFont="1" applyFill="1" applyBorder="1" applyAlignment="1">
      <alignment horizontal="left" vertical="top"/>
    </xf>
    <xf numFmtId="0" fontId="1" fillId="2" borderId="9" xfId="0" applyFont="1" applyFill="1" applyBorder="1" applyAlignment="1">
      <alignment vertical="top"/>
    </xf>
    <xf numFmtId="0" fontId="1" fillId="2" borderId="0" xfId="0" applyFont="1" applyFill="1" applyAlignment="1">
      <alignment vertical="top" wrapText="1"/>
    </xf>
    <xf numFmtId="0" fontId="15" fillId="9" borderId="15" xfId="0" applyFont="1" applyFill="1" applyBorder="1" applyAlignment="1">
      <alignment horizontal="left" vertical="center"/>
    </xf>
    <xf numFmtId="0" fontId="15" fillId="9" borderId="15" xfId="0" applyFont="1" applyFill="1" applyBorder="1" applyAlignment="1">
      <alignment horizontal="center" vertical="center" wrapText="1"/>
    </xf>
    <xf numFmtId="0" fontId="0" fillId="0" borderId="15" xfId="0" applyBorder="1" applyAlignment="1">
      <alignment horizontal="left" vertical="center"/>
    </xf>
    <xf numFmtId="0" fontId="0" fillId="0" borderId="15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6" fillId="10" borderId="15" xfId="0" applyFont="1" applyFill="1" applyBorder="1" applyAlignment="1">
      <alignment horizontal="left" vertical="center"/>
    </xf>
    <xf numFmtId="10" fontId="16" fillId="10" borderId="15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5" fillId="9" borderId="15" xfId="0" applyFont="1" applyFill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0" fillId="10" borderId="15" xfId="0" applyFill="1" applyBorder="1" applyAlignment="1">
      <alignment horizontal="left" vertical="center"/>
    </xf>
    <xf numFmtId="0" fontId="0" fillId="10" borderId="15" xfId="0" applyFill="1" applyBorder="1" applyAlignment="1">
      <alignment horizontal="center" vertical="center"/>
    </xf>
    <xf numFmtId="0" fontId="16" fillId="0" borderId="15" xfId="0" applyFont="1" applyBorder="1" applyAlignment="1">
      <alignment horizontal="left" vertical="center"/>
    </xf>
    <xf numFmtId="0" fontId="16" fillId="0" borderId="15" xfId="0" applyFont="1" applyBorder="1" applyAlignment="1">
      <alignment horizontal="center" vertical="center"/>
    </xf>
    <xf numFmtId="0" fontId="16" fillId="10" borderId="15" xfId="0" applyFont="1" applyFill="1" applyBorder="1" applyAlignment="1">
      <alignment horizontal="center" vertical="center"/>
    </xf>
    <xf numFmtId="9" fontId="12" fillId="0" borderId="9" xfId="0" applyNumberFormat="1" applyFont="1" applyBorder="1" applyAlignment="1">
      <alignment horizontal="right" vertical="top" wrapText="1"/>
    </xf>
    <xf numFmtId="0" fontId="1" fillId="0" borderId="1" xfId="0" applyFont="1" applyBorder="1" applyAlignment="1">
      <alignment vertical="top"/>
    </xf>
    <xf numFmtId="0" fontId="2" fillId="0" borderId="0" xfId="0" applyFont="1" applyAlignment="1">
      <alignment vertical="top"/>
    </xf>
    <xf numFmtId="0" fontId="18" fillId="0" borderId="1" xfId="0" applyFont="1" applyBorder="1" applyAlignment="1">
      <alignment horizontal="center" vertical="top"/>
    </xf>
    <xf numFmtId="166" fontId="0" fillId="0" borderId="0" xfId="0" applyNumberFormat="1"/>
    <xf numFmtId="0" fontId="18" fillId="11" borderId="1" xfId="0" applyFont="1" applyFill="1" applyBorder="1" applyAlignment="1">
      <alignment horizontal="center" vertical="top"/>
    </xf>
    <xf numFmtId="166" fontId="0" fillId="11" borderId="0" xfId="0" applyNumberFormat="1" applyFill="1"/>
    <xf numFmtId="0" fontId="0" fillId="11" borderId="0" xfId="0" applyFill="1"/>
    <xf numFmtId="165" fontId="0" fillId="11" borderId="0" xfId="2" applyNumberFormat="1" applyFont="1" applyFill="1"/>
    <xf numFmtId="1" fontId="0" fillId="11" borderId="0" xfId="2" applyNumberFormat="1" applyFont="1" applyFill="1"/>
    <xf numFmtId="165" fontId="1" fillId="0" borderId="0" xfId="2" applyNumberFormat="1" applyFont="1"/>
    <xf numFmtId="165" fontId="1" fillId="0" borderId="1" xfId="2" applyNumberFormat="1" applyFont="1" applyBorder="1"/>
    <xf numFmtId="0" fontId="1" fillId="4" borderId="0" xfId="0" applyFont="1" applyFill="1" applyAlignment="1">
      <alignment vertical="top" wrapText="1"/>
    </xf>
    <xf numFmtId="0" fontId="17" fillId="0" borderId="0" xfId="0" applyFont="1"/>
    <xf numFmtId="165" fontId="1" fillId="0" borderId="0" xfId="2" applyNumberFormat="1" applyFont="1" applyAlignment="1">
      <alignment vertical="top" wrapText="1"/>
    </xf>
    <xf numFmtId="165" fontId="1" fillId="0" borderId="0" xfId="0" applyNumberFormat="1" applyFont="1" applyAlignment="1">
      <alignment vertical="top" wrapText="1"/>
    </xf>
    <xf numFmtId="0" fontId="1" fillId="12" borderId="16" xfId="0" applyFont="1" applyFill="1" applyBorder="1" applyAlignment="1">
      <alignment vertical="top" wrapText="1"/>
    </xf>
    <xf numFmtId="0" fontId="1" fillId="0" borderId="11" xfId="0" applyFont="1" applyBorder="1" applyAlignment="1">
      <alignment vertical="top" wrapText="1"/>
    </xf>
    <xf numFmtId="0" fontId="1" fillId="12" borderId="11" xfId="0" applyFont="1" applyFill="1" applyBorder="1" applyAlignment="1">
      <alignment vertical="top" wrapText="1"/>
    </xf>
    <xf numFmtId="0" fontId="1" fillId="0" borderId="2" xfId="0" applyFont="1" applyBorder="1" applyAlignment="1">
      <alignment vertical="top" wrapText="1"/>
    </xf>
    <xf numFmtId="0" fontId="0" fillId="0" borderId="4" xfId="0" applyBorder="1"/>
    <xf numFmtId="0" fontId="1" fillId="0" borderId="0" xfId="0" quotePrefix="1" applyFont="1" applyAlignment="1">
      <alignment vertical="top" wrapText="1"/>
    </xf>
    <xf numFmtId="0" fontId="1" fillId="14" borderId="0" xfId="0" applyFont="1" applyFill="1"/>
    <xf numFmtId="0" fontId="20" fillId="14" borderId="0" xfId="0" applyFont="1" applyFill="1" applyAlignment="1">
      <alignment vertical="top"/>
    </xf>
    <xf numFmtId="0" fontId="2" fillId="14" borderId="0" xfId="0" applyFont="1" applyFill="1"/>
    <xf numFmtId="0" fontId="17" fillId="0" borderId="0" xfId="0" applyFont="1" applyAlignment="1">
      <alignment vertical="top" wrapText="1"/>
    </xf>
    <xf numFmtId="0" fontId="1" fillId="0" borderId="18" xfId="0" applyFont="1" applyBorder="1" applyAlignment="1">
      <alignment vertical="top" wrapText="1"/>
    </xf>
    <xf numFmtId="0" fontId="2" fillId="0" borderId="18" xfId="0" applyFont="1" applyBorder="1" applyAlignment="1">
      <alignment vertical="top" wrapText="1"/>
    </xf>
    <xf numFmtId="0" fontId="1" fillId="0" borderId="19" xfId="0" applyFont="1" applyBorder="1" applyAlignment="1">
      <alignment vertical="top" wrapText="1"/>
    </xf>
    <xf numFmtId="0" fontId="1" fillId="0" borderId="21" xfId="0" applyFont="1" applyBorder="1" applyAlignment="1">
      <alignment vertical="top" wrapText="1"/>
    </xf>
    <xf numFmtId="0" fontId="1" fillId="0" borderId="19" xfId="0" applyFont="1" applyBorder="1"/>
    <xf numFmtId="0" fontId="2" fillId="6" borderId="17" xfId="0" applyFont="1" applyFill="1" applyBorder="1" applyAlignment="1">
      <alignment vertical="top" wrapText="1"/>
    </xf>
    <xf numFmtId="0" fontId="1" fillId="0" borderId="20" xfId="0" applyFont="1" applyBorder="1" applyAlignment="1">
      <alignment vertical="top" wrapText="1"/>
    </xf>
    <xf numFmtId="0" fontId="2" fillId="6" borderId="19" xfId="0" applyFont="1" applyFill="1" applyBorder="1" applyAlignment="1">
      <alignment vertical="top" wrapText="1"/>
    </xf>
    <xf numFmtId="0" fontId="21" fillId="0" borderId="0" xfId="0" applyFont="1" applyAlignment="1">
      <alignment vertical="top" wrapText="1"/>
    </xf>
    <xf numFmtId="0" fontId="7" fillId="0" borderId="0" xfId="0" applyFont="1" applyAlignment="1">
      <alignment vertical="top"/>
    </xf>
    <xf numFmtId="0" fontId="21" fillId="0" borderId="0" xfId="0" applyFont="1" applyAlignment="1">
      <alignment vertical="top"/>
    </xf>
    <xf numFmtId="0" fontId="22" fillId="0" borderId="0" xfId="1" applyFont="1" applyAlignment="1">
      <alignment vertical="top"/>
    </xf>
    <xf numFmtId="0" fontId="2" fillId="5" borderId="9" xfId="0" applyFont="1" applyFill="1" applyBorder="1" applyAlignment="1">
      <alignment horizontal="left" vertical="top" wrapText="1"/>
    </xf>
    <xf numFmtId="0" fontId="2" fillId="0" borderId="10" xfId="0" applyFont="1" applyBorder="1" applyAlignment="1">
      <alignment horizontal="left" vertical="top" wrapText="1"/>
    </xf>
    <xf numFmtId="9" fontId="1" fillId="0" borderId="9" xfId="0" applyNumberFormat="1" applyFont="1" applyBorder="1" applyAlignment="1">
      <alignment horizontal="right" vertical="top"/>
    </xf>
    <xf numFmtId="165" fontId="1" fillId="0" borderId="9" xfId="2" applyNumberFormat="1" applyFont="1" applyFill="1" applyBorder="1" applyAlignment="1">
      <alignment horizontal="right" vertical="top"/>
    </xf>
    <xf numFmtId="165" fontId="1" fillId="0" borderId="9" xfId="0" applyNumberFormat="1" applyFont="1" applyBorder="1" applyAlignment="1">
      <alignment horizontal="right" vertical="top" wrapText="1"/>
    </xf>
    <xf numFmtId="165" fontId="12" fillId="0" borderId="9" xfId="0" applyNumberFormat="1" applyFont="1" applyBorder="1" applyAlignment="1">
      <alignment horizontal="right" vertical="top" wrapText="1"/>
    </xf>
    <xf numFmtId="0" fontId="2" fillId="6" borderId="0" xfId="0" applyFont="1" applyFill="1" applyAlignment="1">
      <alignment vertical="top" wrapText="1"/>
    </xf>
    <xf numFmtId="0" fontId="2" fillId="3" borderId="0" xfId="0" applyFont="1" applyFill="1" applyAlignment="1">
      <alignment vertical="top" wrapText="1"/>
    </xf>
    <xf numFmtId="9" fontId="12" fillId="0" borderId="0" xfId="0" applyNumberFormat="1" applyFont="1" applyAlignment="1">
      <alignment horizontal="right" vertical="top" wrapText="1"/>
    </xf>
    <xf numFmtId="165" fontId="1" fillId="0" borderId="0" xfId="0" applyNumberFormat="1" applyFont="1" applyAlignment="1">
      <alignment horizontal="right" vertical="top"/>
    </xf>
    <xf numFmtId="0" fontId="12" fillId="0" borderId="0" xfId="0" applyFont="1" applyAlignment="1">
      <alignment horizontal="right" vertical="top" wrapText="1"/>
    </xf>
    <xf numFmtId="165" fontId="1" fillId="0" borderId="0" xfId="0" applyNumberFormat="1" applyFont="1" applyAlignment="1">
      <alignment horizontal="right" vertical="top" wrapText="1"/>
    </xf>
    <xf numFmtId="9" fontId="1" fillId="0" borderId="0" xfId="0" applyNumberFormat="1" applyFont="1" applyAlignment="1">
      <alignment horizontal="right" vertical="top" wrapText="1"/>
    </xf>
    <xf numFmtId="0" fontId="1" fillId="0" borderId="0" xfId="0" applyFont="1" applyAlignment="1">
      <alignment horizontal="right" vertical="top" wrapText="1"/>
    </xf>
    <xf numFmtId="10" fontId="1" fillId="0" borderId="0" xfId="0" applyNumberFormat="1" applyFont="1" applyAlignment="1">
      <alignment horizontal="right" vertical="top" wrapText="1"/>
    </xf>
    <xf numFmtId="9" fontId="1" fillId="5" borderId="9" xfId="0" applyNumberFormat="1" applyFont="1" applyFill="1" applyBorder="1" applyAlignment="1">
      <alignment horizontal="right" vertical="top" wrapText="1"/>
    </xf>
    <xf numFmtId="165" fontId="1" fillId="5" borderId="0" xfId="0" applyNumberFormat="1" applyFont="1" applyFill="1" applyAlignment="1">
      <alignment horizontal="right" vertical="top" wrapText="1"/>
    </xf>
    <xf numFmtId="165" fontId="1" fillId="5" borderId="0" xfId="2" applyNumberFormat="1" applyFont="1" applyFill="1" applyBorder="1" applyAlignment="1">
      <alignment horizontal="right" vertical="top" wrapText="1"/>
    </xf>
    <xf numFmtId="165" fontId="12" fillId="0" borderId="0" xfId="0" applyNumberFormat="1" applyFont="1" applyAlignment="1">
      <alignment horizontal="right" vertical="top" wrapText="1"/>
    </xf>
    <xf numFmtId="0" fontId="2" fillId="5" borderId="0" xfId="0" applyFont="1" applyFill="1" applyAlignment="1">
      <alignment horizontal="left" vertical="top" wrapText="1"/>
    </xf>
    <xf numFmtId="9" fontId="1" fillId="5" borderId="0" xfId="0" applyNumberFormat="1" applyFont="1" applyFill="1" applyAlignment="1">
      <alignment horizontal="right" vertical="top"/>
    </xf>
    <xf numFmtId="9" fontId="1" fillId="0" borderId="0" xfId="0" applyNumberFormat="1" applyFont="1" applyAlignment="1">
      <alignment horizontal="right" vertical="top"/>
    </xf>
    <xf numFmtId="9" fontId="1" fillId="5" borderId="0" xfId="0" applyNumberFormat="1" applyFont="1" applyFill="1" applyAlignment="1">
      <alignment horizontal="right" vertical="top" wrapText="1"/>
    </xf>
    <xf numFmtId="165" fontId="12" fillId="0" borderId="10" xfId="0" applyNumberFormat="1" applyFont="1" applyBorder="1" applyAlignment="1">
      <alignment horizontal="right" vertical="top" wrapText="1"/>
    </xf>
    <xf numFmtId="165" fontId="1" fillId="0" borderId="0" xfId="2" applyNumberFormat="1" applyFont="1" applyBorder="1" applyAlignment="1">
      <alignment horizontal="right" vertical="top" wrapText="1"/>
    </xf>
    <xf numFmtId="165" fontId="1" fillId="0" borderId="0" xfId="2" applyNumberFormat="1" applyFont="1" applyBorder="1"/>
    <xf numFmtId="10" fontId="2" fillId="0" borderId="0" xfId="0" applyNumberFormat="1" applyFont="1" applyAlignment="1">
      <alignment horizontal="right" vertical="top" wrapText="1"/>
    </xf>
    <xf numFmtId="10" fontId="2" fillId="0" borderId="9" xfId="0" applyNumberFormat="1" applyFont="1" applyBorder="1" applyAlignment="1">
      <alignment horizontal="right" vertical="top" wrapText="1"/>
    </xf>
    <xf numFmtId="165" fontId="2" fillId="0" borderId="0" xfId="0" applyNumberFormat="1" applyFont="1" applyAlignment="1">
      <alignment horizontal="right" vertical="top" wrapText="1"/>
    </xf>
    <xf numFmtId="0" fontId="1" fillId="0" borderId="17" xfId="0" applyFont="1" applyBorder="1" applyAlignment="1">
      <alignment vertical="top" wrapText="1"/>
    </xf>
    <xf numFmtId="0" fontId="2" fillId="0" borderId="22" xfId="0" applyFont="1" applyBorder="1" applyAlignment="1">
      <alignment vertical="top" wrapText="1"/>
    </xf>
    <xf numFmtId="0" fontId="1" fillId="5" borderId="19" xfId="0" applyFont="1" applyFill="1" applyBorder="1" applyAlignment="1">
      <alignment vertical="top" wrapText="1"/>
    </xf>
    <xf numFmtId="0" fontId="1" fillId="7" borderId="19" xfId="0" applyFont="1" applyFill="1" applyBorder="1" applyAlignment="1">
      <alignment vertical="top" wrapText="1"/>
    </xf>
    <xf numFmtId="0" fontId="1" fillId="5" borderId="20" xfId="0" applyFont="1" applyFill="1" applyBorder="1" applyAlignment="1">
      <alignment vertical="top" wrapText="1"/>
    </xf>
    <xf numFmtId="0" fontId="1" fillId="0" borderId="24" xfId="0" applyFont="1" applyBorder="1" applyAlignment="1">
      <alignment vertical="top" wrapText="1"/>
    </xf>
    <xf numFmtId="0" fontId="1" fillId="0" borderId="21" xfId="0" quotePrefix="1" applyFont="1" applyBorder="1" applyAlignment="1">
      <alignment vertical="top" wrapText="1"/>
    </xf>
    <xf numFmtId="0" fontId="1" fillId="0" borderId="23" xfId="0" applyFont="1" applyBorder="1" applyAlignment="1">
      <alignment vertical="top" wrapText="1"/>
    </xf>
    <xf numFmtId="0" fontId="2" fillId="0" borderId="18" xfId="0" applyFont="1" applyBorder="1" applyAlignment="1">
      <alignment vertical="top"/>
    </xf>
    <xf numFmtId="0" fontId="1" fillId="0" borderId="0" xfId="0" applyFont="1" applyAlignment="1">
      <alignment wrapText="1"/>
    </xf>
    <xf numFmtId="0" fontId="2" fillId="0" borderId="1" xfId="0" applyFont="1" applyBorder="1"/>
    <xf numFmtId="0" fontId="1" fillId="6" borderId="18" xfId="0" applyFont="1" applyFill="1" applyBorder="1" applyAlignment="1">
      <alignment vertical="top" wrapText="1"/>
    </xf>
    <xf numFmtId="165" fontId="1" fillId="2" borderId="0" xfId="2" applyNumberFormat="1" applyFont="1" applyFill="1" applyAlignment="1">
      <alignment vertical="top" wrapText="1"/>
    </xf>
    <xf numFmtId="0" fontId="17" fillId="0" borderId="0" xfId="0" applyFont="1" applyAlignment="1">
      <alignment vertical="top"/>
    </xf>
    <xf numFmtId="0" fontId="0" fillId="3" borderId="0" xfId="0" applyFill="1"/>
    <xf numFmtId="0" fontId="18" fillId="0" borderId="1" xfId="0" applyFont="1" applyBorder="1" applyAlignment="1">
      <alignment horizontal="center" vertical="top" wrapText="1"/>
    </xf>
    <xf numFmtId="0" fontId="18" fillId="3" borderId="1" xfId="0" applyFont="1" applyFill="1" applyBorder="1" applyAlignment="1">
      <alignment horizontal="center" vertical="top"/>
    </xf>
    <xf numFmtId="166" fontId="0" fillId="3" borderId="0" xfId="0" applyNumberFormat="1" applyFill="1"/>
    <xf numFmtId="0" fontId="18" fillId="3" borderId="1" xfId="0" applyFont="1" applyFill="1" applyBorder="1" applyAlignment="1">
      <alignment horizontal="center" vertical="top" wrapText="1"/>
    </xf>
    <xf numFmtId="9" fontId="0" fillId="3" borderId="0" xfId="2" applyFont="1" applyFill="1"/>
    <xf numFmtId="0" fontId="1" fillId="12" borderId="11" xfId="0" applyFont="1" applyFill="1" applyBorder="1" applyAlignment="1">
      <alignment vertical="top"/>
    </xf>
    <xf numFmtId="0" fontId="1" fillId="6" borderId="18" xfId="0" applyFont="1" applyFill="1" applyBorder="1" applyAlignment="1">
      <alignment vertical="top"/>
    </xf>
    <xf numFmtId="0" fontId="2" fillId="7" borderId="0" xfId="0" applyFont="1" applyFill="1" applyAlignment="1">
      <alignment vertical="top"/>
    </xf>
    <xf numFmtId="0" fontId="1" fillId="6" borderId="18" xfId="0" quotePrefix="1" applyFont="1" applyFill="1" applyBorder="1" applyAlignment="1">
      <alignment vertical="top" wrapText="1"/>
    </xf>
    <xf numFmtId="0" fontId="2" fillId="6" borderId="20" xfId="0" applyFont="1" applyFill="1" applyBorder="1" applyAlignment="1">
      <alignment vertical="top" wrapText="1"/>
    </xf>
    <xf numFmtId="0" fontId="1" fillId="6" borderId="21" xfId="0" applyFont="1" applyFill="1" applyBorder="1" applyAlignment="1">
      <alignment vertical="top"/>
    </xf>
    <xf numFmtId="0" fontId="1" fillId="6" borderId="21" xfId="0" applyFont="1" applyFill="1" applyBorder="1" applyAlignment="1">
      <alignment vertical="top" wrapText="1"/>
    </xf>
    <xf numFmtId="1" fontId="1" fillId="6" borderId="18" xfId="0" applyNumberFormat="1" applyFont="1" applyFill="1" applyBorder="1" applyAlignment="1">
      <alignment vertical="top" wrapText="1"/>
    </xf>
    <xf numFmtId="1" fontId="1" fillId="0" borderId="0" xfId="0" applyNumberFormat="1" applyFont="1" applyAlignment="1">
      <alignment vertical="top" wrapText="1"/>
    </xf>
    <xf numFmtId="167" fontId="1" fillId="6" borderId="18" xfId="0" applyNumberFormat="1" applyFont="1" applyFill="1" applyBorder="1" applyAlignment="1">
      <alignment vertical="top" wrapText="1"/>
    </xf>
    <xf numFmtId="165" fontId="1" fillId="0" borderId="9" xfId="2" applyNumberFormat="1" applyFont="1" applyBorder="1" applyAlignment="1">
      <alignment vertical="top" wrapText="1"/>
    </xf>
    <xf numFmtId="165" fontId="1" fillId="0" borderId="9" xfId="2" applyNumberFormat="1" applyFont="1" applyBorder="1" applyAlignment="1">
      <alignment vertical="top"/>
    </xf>
    <xf numFmtId="0" fontId="1" fillId="3" borderId="19" xfId="0" applyFont="1" applyFill="1" applyBorder="1" applyAlignment="1">
      <alignment vertical="top" wrapText="1"/>
    </xf>
    <xf numFmtId="167" fontId="2" fillId="6" borderId="18" xfId="0" applyNumberFormat="1" applyFont="1" applyFill="1" applyBorder="1" applyAlignment="1">
      <alignment vertical="top" wrapText="1"/>
    </xf>
    <xf numFmtId="165" fontId="1" fillId="0" borderId="0" xfId="2" applyNumberFormat="1" applyFont="1" applyFill="1" applyAlignment="1">
      <alignment vertical="top" wrapText="1"/>
    </xf>
    <xf numFmtId="0" fontId="2" fillId="0" borderId="19" xfId="0" applyFont="1" applyBorder="1" applyAlignment="1">
      <alignment vertical="top" wrapText="1"/>
    </xf>
    <xf numFmtId="0" fontId="25" fillId="0" borderId="0" xfId="0" applyFont="1"/>
    <xf numFmtId="0" fontId="26" fillId="0" borderId="0" xfId="0" applyFont="1"/>
    <xf numFmtId="0" fontId="11" fillId="0" borderId="0" xfId="0" applyFont="1"/>
    <xf numFmtId="0" fontId="27" fillId="0" borderId="0" xfId="0" applyFont="1"/>
    <xf numFmtId="0" fontId="7" fillId="3" borderId="0" xfId="0" applyFont="1" applyFill="1"/>
    <xf numFmtId="0" fontId="6" fillId="3" borderId="0" xfId="1" applyFill="1"/>
    <xf numFmtId="0" fontId="27" fillId="3" borderId="0" xfId="0" applyFont="1" applyFill="1"/>
    <xf numFmtId="167" fontId="1" fillId="0" borderId="0" xfId="0" applyNumberFormat="1" applyFont="1" applyAlignment="1">
      <alignment vertical="top" wrapText="1"/>
    </xf>
    <xf numFmtId="0" fontId="2" fillId="4" borderId="19" xfId="0" applyFont="1" applyFill="1" applyBorder="1"/>
    <xf numFmtId="0" fontId="1" fillId="4" borderId="19" xfId="0" applyFont="1" applyFill="1" applyBorder="1"/>
    <xf numFmtId="0" fontId="21" fillId="0" borderId="0" xfId="0" applyFont="1"/>
    <xf numFmtId="0" fontId="21" fillId="0" borderId="3" xfId="0" applyFont="1" applyBorder="1"/>
    <xf numFmtId="0" fontId="21" fillId="0" borderId="4" xfId="0" applyFont="1" applyBorder="1"/>
    <xf numFmtId="0" fontId="21" fillId="0" borderId="5" xfId="0" applyFont="1" applyBorder="1"/>
    <xf numFmtId="0" fontId="21" fillId="0" borderId="9" xfId="0" applyFont="1" applyBorder="1"/>
    <xf numFmtId="0" fontId="21" fillId="0" borderId="10" xfId="0" applyFont="1" applyBorder="1"/>
    <xf numFmtId="0" fontId="7" fillId="5" borderId="9" xfId="0" applyFont="1" applyFill="1" applyBorder="1"/>
    <xf numFmtId="0" fontId="7" fillId="5" borderId="10" xfId="0" applyFont="1" applyFill="1" applyBorder="1"/>
    <xf numFmtId="0" fontId="29" fillId="0" borderId="0" xfId="0" applyFont="1"/>
    <xf numFmtId="0" fontId="7" fillId="5" borderId="6" xfId="0" applyFont="1" applyFill="1" applyBorder="1"/>
    <xf numFmtId="0" fontId="21" fillId="0" borderId="7" xfId="0" applyFont="1" applyBorder="1"/>
    <xf numFmtId="0" fontId="7" fillId="5" borderId="8" xfId="0" applyFont="1" applyFill="1" applyBorder="1"/>
    <xf numFmtId="0" fontId="7" fillId="0" borderId="3" xfId="0" applyFont="1" applyBorder="1"/>
    <xf numFmtId="0" fontId="7" fillId="0" borderId="5" xfId="0" applyFont="1" applyBorder="1"/>
    <xf numFmtId="167" fontId="21" fillId="0" borderId="0" xfId="0" applyNumberFormat="1" applyFont="1"/>
    <xf numFmtId="0" fontId="21" fillId="0" borderId="6" xfId="0" applyFont="1" applyBorder="1"/>
    <xf numFmtId="167" fontId="21" fillId="0" borderId="7" xfId="0" applyNumberFormat="1" applyFont="1" applyBorder="1"/>
    <xf numFmtId="0" fontId="21" fillId="0" borderId="8" xfId="0" applyFont="1" applyBorder="1"/>
    <xf numFmtId="0" fontId="30" fillId="0" borderId="0" xfId="0" applyFont="1"/>
    <xf numFmtId="0" fontId="0" fillId="0" borderId="3" xfId="0" applyBorder="1"/>
    <xf numFmtId="0" fontId="0" fillId="0" borderId="5" xfId="0" applyBorder="1"/>
    <xf numFmtId="0" fontId="0" fillId="0" borderId="9" xfId="0" applyBorder="1"/>
    <xf numFmtId="0" fontId="0" fillId="0" borderId="10" xfId="0" applyBorder="1"/>
    <xf numFmtId="0" fontId="0" fillId="5" borderId="9" xfId="0" applyFill="1" applyBorder="1"/>
    <xf numFmtId="0" fontId="0" fillId="5" borderId="0" xfId="0" applyFill="1"/>
    <xf numFmtId="165" fontId="0" fillId="5" borderId="10" xfId="2" applyNumberFormat="1" applyFont="1" applyFill="1" applyBorder="1"/>
    <xf numFmtId="0" fontId="0" fillId="0" borderId="6" xfId="0" applyBorder="1"/>
    <xf numFmtId="9" fontId="0" fillId="0" borderId="8" xfId="2" applyFont="1" applyBorder="1"/>
    <xf numFmtId="165" fontId="0" fillId="0" borderId="10" xfId="2" applyNumberFormat="1" applyFont="1" applyBorder="1"/>
    <xf numFmtId="0" fontId="0" fillId="0" borderId="7" xfId="0" applyBorder="1"/>
    <xf numFmtId="165" fontId="0" fillId="0" borderId="8" xfId="2" applyNumberFormat="1" applyFont="1" applyBorder="1"/>
    <xf numFmtId="0" fontId="0" fillId="0" borderId="4" xfId="0" applyBorder="1" applyAlignment="1">
      <alignment wrapText="1"/>
    </xf>
    <xf numFmtId="0" fontId="31" fillId="0" borderId="4" xfId="0" applyFont="1" applyBorder="1"/>
    <xf numFmtId="168" fontId="0" fillId="0" borderId="0" xfId="0" applyNumberFormat="1"/>
    <xf numFmtId="0" fontId="31" fillId="0" borderId="9" xfId="0" applyFont="1" applyBorder="1"/>
    <xf numFmtId="0" fontId="31" fillId="0" borderId="0" xfId="0" applyFont="1" applyAlignment="1">
      <alignment wrapText="1"/>
    </xf>
    <xf numFmtId="0" fontId="31" fillId="0" borderId="0" xfId="0" applyFont="1"/>
    <xf numFmtId="1" fontId="18" fillId="0" borderId="9" xfId="0" applyNumberFormat="1" applyFont="1" applyBorder="1"/>
    <xf numFmtId="0" fontId="18" fillId="0" borderId="10" xfId="0" applyFont="1" applyBorder="1"/>
    <xf numFmtId="165" fontId="18" fillId="0" borderId="10" xfId="2" applyNumberFormat="1" applyFont="1" applyFill="1" applyBorder="1"/>
    <xf numFmtId="165" fontId="31" fillId="0" borderId="0" xfId="2" applyNumberFormat="1" applyFont="1" applyFill="1" applyBorder="1"/>
    <xf numFmtId="1" fontId="31" fillId="0" borderId="0" xfId="0" applyNumberFormat="1" applyFont="1"/>
    <xf numFmtId="0" fontId="31" fillId="5" borderId="9" xfId="0" applyFont="1" applyFill="1" applyBorder="1"/>
    <xf numFmtId="1" fontId="18" fillId="5" borderId="9" xfId="0" applyNumberFormat="1" applyFont="1" applyFill="1" applyBorder="1"/>
    <xf numFmtId="165" fontId="18" fillId="5" borderId="10" xfId="2" applyNumberFormat="1" applyFont="1" applyFill="1" applyBorder="1"/>
    <xf numFmtId="0" fontId="31" fillId="6" borderId="9" xfId="0" applyFont="1" applyFill="1" applyBorder="1"/>
    <xf numFmtId="0" fontId="31" fillId="6" borderId="0" xfId="0" applyFont="1" applyFill="1" applyAlignment="1">
      <alignment wrapText="1"/>
    </xf>
    <xf numFmtId="1" fontId="18" fillId="6" borderId="9" xfId="0" applyNumberFormat="1" applyFont="1" applyFill="1" applyBorder="1"/>
    <xf numFmtId="165" fontId="18" fillId="6" borderId="10" xfId="2" applyNumberFormat="1" applyFont="1" applyFill="1" applyBorder="1"/>
    <xf numFmtId="0" fontId="0" fillId="6" borderId="6" xfId="0" applyFill="1" applyBorder="1"/>
    <xf numFmtId="0" fontId="0" fillId="6" borderId="7" xfId="0" applyFill="1" applyBorder="1" applyAlignment="1">
      <alignment wrapText="1"/>
    </xf>
    <xf numFmtId="1" fontId="34" fillId="6" borderId="6" xfId="0" applyNumberFormat="1" applyFont="1" applyFill="1" applyBorder="1"/>
    <xf numFmtId="165" fontId="0" fillId="0" borderId="0" xfId="2" applyNumberFormat="1" applyFont="1" applyBorder="1"/>
    <xf numFmtId="9" fontId="0" fillId="0" borderId="7" xfId="2" applyFont="1" applyBorder="1" applyAlignment="1">
      <alignment wrapText="1"/>
    </xf>
    <xf numFmtId="9" fontId="0" fillId="0" borderId="7" xfId="2" applyFont="1" applyBorder="1"/>
    <xf numFmtId="9" fontId="0" fillId="0" borderId="0" xfId="2" applyFont="1" applyBorder="1"/>
    <xf numFmtId="1" fontId="0" fillId="0" borderId="10" xfId="2" applyNumberFormat="1" applyFont="1" applyBorder="1" applyAlignment="1">
      <alignment wrapText="1"/>
    </xf>
    <xf numFmtId="1" fontId="0" fillId="0" borderId="8" xfId="2" applyNumberFormat="1" applyFont="1" applyBorder="1" applyAlignment="1">
      <alignment wrapText="1"/>
    </xf>
    <xf numFmtId="1" fontId="34" fillId="0" borderId="9" xfId="0" applyNumberFormat="1" applyFont="1" applyBorder="1"/>
    <xf numFmtId="0" fontId="31" fillId="3" borderId="9" xfId="0" applyFont="1" applyFill="1" applyBorder="1"/>
    <xf numFmtId="0" fontId="31" fillId="3" borderId="0" xfId="0" applyFont="1" applyFill="1" applyAlignment="1">
      <alignment wrapText="1"/>
    </xf>
    <xf numFmtId="1" fontId="34" fillId="3" borderId="9" xfId="0" applyNumberFormat="1" applyFont="1" applyFill="1" applyBorder="1"/>
    <xf numFmtId="165" fontId="18" fillId="3" borderId="10" xfId="2" applyNumberFormat="1" applyFont="1" applyFill="1" applyBorder="1"/>
    <xf numFmtId="1" fontId="34" fillId="5" borderId="9" xfId="0" applyNumberFormat="1" applyFont="1" applyFill="1" applyBorder="1"/>
    <xf numFmtId="1" fontId="34" fillId="4" borderId="9" xfId="0" applyNumberFormat="1" applyFont="1" applyFill="1" applyBorder="1"/>
    <xf numFmtId="165" fontId="18" fillId="4" borderId="10" xfId="2" applyNumberFormat="1" applyFont="1" applyFill="1" applyBorder="1"/>
    <xf numFmtId="0" fontId="0" fillId="4" borderId="6" xfId="0" applyFill="1" applyBorder="1"/>
    <xf numFmtId="0" fontId="0" fillId="4" borderId="7" xfId="0" applyFill="1" applyBorder="1" applyAlignment="1">
      <alignment wrapText="1"/>
    </xf>
    <xf numFmtId="1" fontId="34" fillId="4" borderId="6" xfId="0" applyNumberFormat="1" applyFont="1" applyFill="1" applyBorder="1"/>
    <xf numFmtId="165" fontId="18" fillId="4" borderId="8" xfId="2" applyNumberFormat="1" applyFont="1" applyFill="1" applyBorder="1"/>
    <xf numFmtId="0" fontId="0" fillId="0" borderId="0" xfId="0" applyAlignment="1">
      <alignment horizontal="right"/>
    </xf>
    <xf numFmtId="0" fontId="0" fillId="0" borderId="0" xfId="0" applyAlignment="1">
      <alignment horizontal="right" wrapText="1"/>
    </xf>
    <xf numFmtId="0" fontId="0" fillId="0" borderId="3" xfId="0" applyBorder="1" applyAlignment="1">
      <alignment horizontal="right"/>
    </xf>
    <xf numFmtId="0" fontId="0" fillId="0" borderId="5" xfId="0" applyBorder="1" applyAlignment="1">
      <alignment horizontal="right" wrapText="1"/>
    </xf>
    <xf numFmtId="0" fontId="0" fillId="0" borderId="4" xfId="0" applyBorder="1" applyAlignment="1">
      <alignment horizontal="right"/>
    </xf>
    <xf numFmtId="0" fontId="0" fillId="0" borderId="6" xfId="0" applyBorder="1" applyAlignment="1">
      <alignment horizontal="right"/>
    </xf>
    <xf numFmtId="9" fontId="0" fillId="3" borderId="8" xfId="2" applyFont="1" applyFill="1" applyBorder="1" applyAlignment="1">
      <alignment horizontal="right" wrapText="1"/>
    </xf>
    <xf numFmtId="9" fontId="0" fillId="3" borderId="7" xfId="2" applyFont="1" applyFill="1" applyBorder="1" applyAlignment="1">
      <alignment horizontal="right" wrapText="1"/>
    </xf>
    <xf numFmtId="0" fontId="0" fillId="0" borderId="9" xfId="0" applyBorder="1" applyAlignment="1">
      <alignment horizontal="right"/>
    </xf>
    <xf numFmtId="9" fontId="0" fillId="3" borderId="10" xfId="2" applyFont="1" applyFill="1" applyBorder="1" applyAlignment="1">
      <alignment horizontal="right" wrapText="1"/>
    </xf>
    <xf numFmtId="9" fontId="0" fillId="0" borderId="0" xfId="2" applyFont="1" applyBorder="1" applyAlignment="1">
      <alignment horizontal="right"/>
    </xf>
    <xf numFmtId="0" fontId="35" fillId="0" borderId="0" xfId="0" applyFont="1" applyAlignment="1">
      <alignment horizontal="right"/>
    </xf>
    <xf numFmtId="0" fontId="35" fillId="0" borderId="0" xfId="0" applyFont="1"/>
    <xf numFmtId="167" fontId="1" fillId="4" borderId="0" xfId="0" applyNumberFormat="1" applyFont="1" applyFill="1" applyAlignment="1">
      <alignment vertical="top" wrapText="1"/>
    </xf>
    <xf numFmtId="0" fontId="19" fillId="13" borderId="0" xfId="0" applyFont="1" applyFill="1" applyAlignment="1">
      <alignment vertical="top" wrapText="1"/>
    </xf>
    <xf numFmtId="0" fontId="1" fillId="6" borderId="0" xfId="0" applyFont="1" applyFill="1" applyAlignment="1">
      <alignment vertical="top"/>
    </xf>
    <xf numFmtId="1" fontId="1" fillId="6" borderId="0" xfId="0" applyNumberFormat="1" applyFont="1" applyFill="1" applyAlignment="1">
      <alignment vertical="top" wrapText="1"/>
    </xf>
    <xf numFmtId="0" fontId="2" fillId="7" borderId="0" xfId="0" applyFont="1" applyFill="1" applyAlignment="1">
      <alignment vertical="top" wrapText="1"/>
    </xf>
    <xf numFmtId="0" fontId="2" fillId="14" borderId="0" xfId="0" applyFont="1" applyFill="1" applyAlignment="1">
      <alignment vertical="top" wrapText="1"/>
    </xf>
    <xf numFmtId="0" fontId="1" fillId="14" borderId="0" xfId="0" applyFont="1" applyFill="1" applyAlignment="1">
      <alignment vertical="top"/>
    </xf>
    <xf numFmtId="1" fontId="1" fillId="14" borderId="0" xfId="0" applyNumberFormat="1" applyFont="1" applyFill="1" applyAlignment="1">
      <alignment vertical="top" wrapText="1"/>
    </xf>
    <xf numFmtId="0" fontId="1" fillId="14" borderId="0" xfId="0" applyFont="1" applyFill="1" applyAlignment="1">
      <alignment vertical="top" wrapText="1"/>
    </xf>
    <xf numFmtId="0" fontId="2" fillId="14" borderId="19" xfId="0" applyFont="1" applyFill="1" applyBorder="1" applyAlignment="1">
      <alignment vertical="top" wrapText="1"/>
    </xf>
    <xf numFmtId="0" fontId="19" fillId="14" borderId="0" xfId="0" applyFont="1" applyFill="1" applyAlignment="1">
      <alignment vertical="top"/>
    </xf>
    <xf numFmtId="0" fontId="19" fillId="14" borderId="0" xfId="0" applyFont="1" applyFill="1" applyAlignment="1">
      <alignment vertical="top" wrapText="1"/>
    </xf>
    <xf numFmtId="0" fontId="2" fillId="14" borderId="0" xfId="0" applyFont="1" applyFill="1" applyAlignment="1">
      <alignment vertical="top"/>
    </xf>
    <xf numFmtId="0" fontId="19" fillId="15" borderId="0" xfId="0" applyFont="1" applyFill="1" applyAlignment="1">
      <alignment vertical="top" wrapText="1"/>
    </xf>
    <xf numFmtId="1" fontId="1" fillId="14" borderId="0" xfId="0" applyNumberFormat="1" applyFont="1" applyFill="1" applyAlignment="1">
      <alignment vertical="top"/>
    </xf>
    <xf numFmtId="167" fontId="1" fillId="14" borderId="0" xfId="0" applyNumberFormat="1" applyFont="1" applyFill="1" applyAlignment="1">
      <alignment vertical="top" wrapText="1"/>
    </xf>
    <xf numFmtId="165" fontId="12" fillId="0" borderId="0" xfId="2" applyNumberFormat="1" applyFont="1" applyAlignment="1">
      <alignment vertical="top"/>
    </xf>
    <xf numFmtId="0" fontId="12" fillId="0" borderId="0" xfId="0" applyFont="1" applyAlignment="1">
      <alignment vertical="top"/>
    </xf>
    <xf numFmtId="0" fontId="19" fillId="0" borderId="0" xfId="0" quotePrefix="1" applyFont="1" applyAlignment="1">
      <alignment vertical="top" wrapText="1"/>
    </xf>
    <xf numFmtId="167" fontId="1" fillId="6" borderId="21" xfId="0" applyNumberFormat="1" applyFont="1" applyFill="1" applyBorder="1" applyAlignment="1">
      <alignment vertical="top" wrapText="1"/>
    </xf>
    <xf numFmtId="167" fontId="1" fillId="6" borderId="0" xfId="0" applyNumberFormat="1" applyFont="1" applyFill="1" applyAlignment="1">
      <alignment vertical="top" wrapText="1"/>
    </xf>
    <xf numFmtId="167" fontId="2" fillId="6" borderId="0" xfId="0" applyNumberFormat="1" applyFont="1" applyFill="1" applyAlignment="1">
      <alignment vertical="top" wrapText="1"/>
    </xf>
    <xf numFmtId="0" fontId="1" fillId="6" borderId="0" xfId="0" quotePrefix="1" applyFont="1" applyFill="1" applyAlignment="1">
      <alignment vertical="top" wrapText="1"/>
    </xf>
    <xf numFmtId="167" fontId="2" fillId="6" borderId="21" xfId="0" applyNumberFormat="1" applyFont="1" applyFill="1" applyBorder="1" applyAlignment="1">
      <alignment vertical="top" wrapText="1"/>
    </xf>
    <xf numFmtId="1" fontId="2" fillId="0" borderId="0" xfId="0" applyNumberFormat="1" applyFont="1" applyAlignment="1">
      <alignment vertical="top" wrapText="1"/>
    </xf>
    <xf numFmtId="165" fontId="1" fillId="0" borderId="9" xfId="0" applyNumberFormat="1" applyFont="1" applyBorder="1" applyAlignment="1">
      <alignment vertical="top"/>
    </xf>
    <xf numFmtId="165" fontId="1" fillId="7" borderId="9" xfId="0" applyNumberFormat="1" applyFont="1" applyFill="1" applyBorder="1" applyAlignment="1">
      <alignment vertical="top"/>
    </xf>
    <xf numFmtId="165" fontId="1" fillId="7" borderId="9" xfId="0" applyNumberFormat="1" applyFont="1" applyFill="1" applyBorder="1" applyAlignment="1">
      <alignment vertical="top" wrapText="1"/>
    </xf>
    <xf numFmtId="165" fontId="1" fillId="0" borderId="9" xfId="0" applyNumberFormat="1" applyFont="1" applyBorder="1" applyAlignment="1">
      <alignment vertical="top" wrapText="1"/>
    </xf>
    <xf numFmtId="165" fontId="12" fillId="0" borderId="9" xfId="0" applyNumberFormat="1" applyFont="1" applyBorder="1" applyAlignment="1">
      <alignment vertical="top"/>
    </xf>
    <xf numFmtId="1" fontId="12" fillId="0" borderId="0" xfId="0" applyNumberFormat="1" applyFont="1" applyAlignment="1">
      <alignment vertical="top" wrapText="1"/>
    </xf>
    <xf numFmtId="0" fontId="1" fillId="0" borderId="6" xfId="0" applyFont="1" applyBorder="1" applyAlignment="1">
      <alignment vertical="top" wrapText="1"/>
    </xf>
    <xf numFmtId="0" fontId="1" fillId="0" borderId="7" xfId="0" applyFont="1" applyBorder="1" applyAlignment="1">
      <alignment vertical="top" wrapText="1"/>
    </xf>
    <xf numFmtId="0" fontId="1" fillId="0" borderId="8" xfId="0" applyFont="1" applyBorder="1" applyAlignment="1">
      <alignment vertical="top" wrapText="1"/>
    </xf>
    <xf numFmtId="165" fontId="1" fillId="0" borderId="10" xfId="0" applyNumberFormat="1" applyFont="1" applyBorder="1" applyAlignment="1">
      <alignment vertical="top" wrapText="1"/>
    </xf>
    <xf numFmtId="169" fontId="1" fillId="0" borderId="0" xfId="0" applyNumberFormat="1" applyFont="1" applyAlignment="1">
      <alignment vertical="top" wrapText="1"/>
    </xf>
    <xf numFmtId="170" fontId="1" fillId="0" borderId="0" xfId="0" applyNumberFormat="1" applyFont="1" applyAlignment="1">
      <alignment vertical="top" wrapText="1"/>
    </xf>
    <xf numFmtId="167" fontId="1" fillId="7" borderId="0" xfId="0" applyNumberFormat="1" applyFont="1" applyFill="1"/>
    <xf numFmtId="9" fontId="1" fillId="0" borderId="21" xfId="2" applyFont="1" applyBorder="1" applyAlignment="1">
      <alignment vertical="top" wrapText="1"/>
    </xf>
    <xf numFmtId="0" fontId="1" fillId="12" borderId="19" xfId="0" applyFont="1" applyFill="1" applyBorder="1" applyAlignment="1">
      <alignment vertical="top" wrapText="1"/>
    </xf>
    <xf numFmtId="0" fontId="1" fillId="0" borderId="28" xfId="0" applyFont="1" applyBorder="1" applyAlignment="1">
      <alignment vertical="top" wrapText="1"/>
    </xf>
    <xf numFmtId="165" fontId="1" fillId="0" borderId="19" xfId="0" applyNumberFormat="1" applyFont="1" applyBorder="1" applyAlignment="1">
      <alignment vertical="top" wrapText="1"/>
    </xf>
    <xf numFmtId="0" fontId="2" fillId="0" borderId="28" xfId="0" applyFont="1" applyBorder="1" applyAlignment="1">
      <alignment vertical="top" wrapText="1"/>
    </xf>
    <xf numFmtId="165" fontId="1" fillId="7" borderId="19" xfId="0" applyNumberFormat="1" applyFont="1" applyFill="1" applyBorder="1" applyAlignment="1">
      <alignment vertical="top"/>
    </xf>
    <xf numFmtId="1" fontId="1" fillId="0" borderId="28" xfId="0" applyNumberFormat="1" applyFont="1" applyBorder="1" applyAlignment="1">
      <alignment vertical="top" wrapText="1"/>
    </xf>
    <xf numFmtId="165" fontId="1" fillId="7" borderId="19" xfId="0" applyNumberFormat="1" applyFont="1" applyFill="1" applyBorder="1" applyAlignment="1">
      <alignment vertical="top" wrapText="1"/>
    </xf>
    <xf numFmtId="1" fontId="2" fillId="0" borderId="28" xfId="0" applyNumberFormat="1" applyFont="1" applyBorder="1" applyAlignment="1">
      <alignment vertical="top" wrapText="1"/>
    </xf>
    <xf numFmtId="165" fontId="1" fillId="12" borderId="19" xfId="0" applyNumberFormat="1" applyFont="1" applyFill="1" applyBorder="1" applyAlignment="1">
      <alignment vertical="top" wrapText="1"/>
    </xf>
    <xf numFmtId="9" fontId="1" fillId="0" borderId="21" xfId="0" applyNumberFormat="1" applyFont="1" applyBorder="1" applyAlignment="1">
      <alignment vertical="top" wrapText="1"/>
    </xf>
    <xf numFmtId="0" fontId="1" fillId="12" borderId="6" xfId="0" applyFont="1" applyFill="1" applyBorder="1" applyAlignment="1">
      <alignment vertical="top"/>
    </xf>
    <xf numFmtId="0" fontId="2" fillId="0" borderId="7" xfId="0" applyFont="1" applyBorder="1" applyAlignment="1">
      <alignment vertical="top" wrapText="1"/>
    </xf>
    <xf numFmtId="0" fontId="2" fillId="6" borderId="16" xfId="0" applyFont="1" applyFill="1" applyBorder="1" applyAlignment="1">
      <alignment vertical="top"/>
    </xf>
    <xf numFmtId="0" fontId="1" fillId="6" borderId="11" xfId="0" applyFont="1" applyFill="1" applyBorder="1" applyAlignment="1">
      <alignment vertical="top" wrapText="1"/>
    </xf>
    <xf numFmtId="0" fontId="2" fillId="6" borderId="11" xfId="0" applyFont="1" applyFill="1" applyBorder="1" applyAlignment="1">
      <alignment vertical="top" wrapText="1"/>
    </xf>
    <xf numFmtId="0" fontId="2" fillId="3" borderId="18" xfId="0" applyFont="1" applyFill="1" applyBorder="1" applyAlignment="1">
      <alignment vertical="top"/>
    </xf>
    <xf numFmtId="0" fontId="2" fillId="3" borderId="18" xfId="0" applyFont="1" applyFill="1" applyBorder="1" applyAlignment="1">
      <alignment vertical="top" wrapText="1"/>
    </xf>
    <xf numFmtId="0" fontId="2" fillId="2" borderId="25" xfId="0" applyFont="1" applyFill="1" applyBorder="1" applyAlignment="1">
      <alignment vertical="top"/>
    </xf>
    <xf numFmtId="0" fontId="1" fillId="2" borderId="18" xfId="0" applyFont="1" applyFill="1" applyBorder="1" applyAlignment="1">
      <alignment vertical="top" wrapText="1"/>
    </xf>
    <xf numFmtId="0" fontId="2" fillId="2" borderId="18" xfId="0" applyFont="1" applyFill="1" applyBorder="1" applyAlignment="1">
      <alignment vertical="top" wrapText="1"/>
    </xf>
    <xf numFmtId="0" fontId="2" fillId="2" borderId="26" xfId="0" applyFont="1" applyFill="1" applyBorder="1" applyAlignment="1">
      <alignment vertical="top" wrapText="1"/>
    </xf>
    <xf numFmtId="0" fontId="32" fillId="16" borderId="0" xfId="0" applyFont="1" applyFill="1"/>
    <xf numFmtId="0" fontId="0" fillId="16" borderId="0" xfId="0" applyFill="1" applyAlignment="1">
      <alignment wrapText="1"/>
    </xf>
    <xf numFmtId="0" fontId="0" fillId="16" borderId="0" xfId="0" applyFill="1"/>
    <xf numFmtId="169" fontId="0" fillId="0" borderId="5" xfId="2" applyNumberFormat="1" applyFont="1" applyBorder="1" applyAlignment="1">
      <alignment wrapText="1"/>
    </xf>
    <xf numFmtId="0" fontId="2" fillId="6" borderId="31" xfId="0" applyFont="1" applyFill="1" applyBorder="1" applyAlignment="1">
      <alignment vertical="top"/>
    </xf>
    <xf numFmtId="0" fontId="1" fillId="6" borderId="32" xfId="0" applyFont="1" applyFill="1" applyBorder="1" applyAlignment="1">
      <alignment vertical="top" wrapText="1"/>
    </xf>
    <xf numFmtId="0" fontId="2" fillId="6" borderId="32" xfId="0" applyFont="1" applyFill="1" applyBorder="1" applyAlignment="1">
      <alignment vertical="top" wrapText="1"/>
    </xf>
    <xf numFmtId="0" fontId="2" fillId="6" borderId="33" xfId="0" applyFont="1" applyFill="1" applyBorder="1" applyAlignment="1">
      <alignment vertical="top" wrapText="1"/>
    </xf>
    <xf numFmtId="0" fontId="12" fillId="12" borderId="20" xfId="0" applyFont="1" applyFill="1" applyBorder="1" applyAlignment="1">
      <alignment vertical="top" wrapText="1"/>
    </xf>
    <xf numFmtId="9" fontId="0" fillId="0" borderId="0" xfId="2" applyFont="1"/>
    <xf numFmtId="0" fontId="0" fillId="6" borderId="9" xfId="0" applyFill="1" applyBorder="1"/>
    <xf numFmtId="165" fontId="1" fillId="0" borderId="0" xfId="2" applyNumberFormat="1" applyFont="1" applyBorder="1" applyAlignment="1">
      <alignment vertical="top" wrapText="1"/>
    </xf>
    <xf numFmtId="2" fontId="1" fillId="0" borderId="21" xfId="2" applyNumberFormat="1" applyFont="1" applyBorder="1" applyAlignment="1">
      <alignment vertical="top" wrapText="1"/>
    </xf>
    <xf numFmtId="165" fontId="1" fillId="0" borderId="19" xfId="2" applyNumberFormat="1" applyFont="1" applyBorder="1" applyAlignment="1">
      <alignment vertical="top" wrapText="1"/>
    </xf>
    <xf numFmtId="0" fontId="1" fillId="0" borderId="29" xfId="0" applyFont="1" applyBorder="1" applyAlignment="1">
      <alignment vertical="top" wrapText="1"/>
    </xf>
    <xf numFmtId="0" fontId="1" fillId="12" borderId="35" xfId="0" applyFont="1" applyFill="1" applyBorder="1" applyAlignment="1">
      <alignment vertical="top" wrapText="1"/>
    </xf>
    <xf numFmtId="0" fontId="1" fillId="0" borderId="36" xfId="0" applyFont="1" applyBorder="1" applyAlignment="1">
      <alignment vertical="top" wrapText="1"/>
    </xf>
    <xf numFmtId="0" fontId="38" fillId="0" borderId="18" xfId="0" applyFont="1" applyBorder="1"/>
    <xf numFmtId="0" fontId="38" fillId="0" borderId="4" xfId="0" applyFont="1" applyBorder="1"/>
    <xf numFmtId="0" fontId="38" fillId="0" borderId="0" xfId="0" applyFont="1"/>
    <xf numFmtId="0" fontId="38" fillId="0" borderId="21" xfId="0" applyFont="1" applyBorder="1"/>
    <xf numFmtId="0" fontId="38" fillId="6" borderId="18" xfId="0" applyFont="1" applyFill="1" applyBorder="1"/>
    <xf numFmtId="0" fontId="38" fillId="6" borderId="0" xfId="0" applyFont="1" applyFill="1"/>
    <xf numFmtId="0" fontId="38" fillId="6" borderId="21" xfId="0" applyFont="1" applyFill="1" applyBorder="1"/>
    <xf numFmtId="0" fontId="38" fillId="14" borderId="0" xfId="0" applyFont="1" applyFill="1"/>
    <xf numFmtId="167" fontId="38" fillId="0" borderId="0" xfId="0" applyNumberFormat="1" applyFont="1"/>
    <xf numFmtId="167" fontId="39" fillId="2" borderId="0" xfId="0" applyNumberFormat="1" applyFont="1" applyFill="1"/>
    <xf numFmtId="1" fontId="1" fillId="0" borderId="19" xfId="0" applyNumberFormat="1" applyFont="1" applyBorder="1" applyAlignment="1">
      <alignment vertical="top" wrapText="1"/>
    </xf>
    <xf numFmtId="169" fontId="1" fillId="2" borderId="0" xfId="0" applyNumberFormat="1" applyFont="1" applyFill="1" applyAlignment="1">
      <alignment vertical="top" wrapText="1"/>
    </xf>
    <xf numFmtId="0" fontId="40" fillId="0" borderId="0" xfId="0" applyFont="1" applyAlignment="1">
      <alignment vertical="top"/>
    </xf>
    <xf numFmtId="167" fontId="40" fillId="4" borderId="0" xfId="0" applyNumberFormat="1" applyFont="1" applyFill="1" applyAlignment="1">
      <alignment vertical="top" wrapText="1"/>
    </xf>
    <xf numFmtId="1" fontId="12" fillId="0" borderId="28" xfId="0" applyNumberFormat="1" applyFont="1" applyBorder="1" applyAlignment="1">
      <alignment vertical="top" wrapText="1"/>
    </xf>
    <xf numFmtId="0" fontId="1" fillId="0" borderId="32" xfId="0" applyFont="1" applyBorder="1" applyAlignment="1">
      <alignment vertical="top" wrapText="1"/>
    </xf>
    <xf numFmtId="0" fontId="1" fillId="0" borderId="33" xfId="0" applyFont="1" applyBorder="1" applyAlignment="1">
      <alignment vertical="top" wrapText="1"/>
    </xf>
    <xf numFmtId="0" fontId="12" fillId="0" borderId="19" xfId="0" applyFont="1" applyBorder="1" applyAlignment="1">
      <alignment vertical="top" wrapText="1"/>
    </xf>
    <xf numFmtId="0" fontId="41" fillId="0" borderId="28" xfId="0" applyFont="1" applyBorder="1" applyAlignment="1">
      <alignment vertical="top" wrapText="1"/>
    </xf>
    <xf numFmtId="165" fontId="12" fillId="0" borderId="19" xfId="0" applyNumberFormat="1" applyFont="1" applyBorder="1" applyAlignment="1">
      <alignment vertical="top" wrapText="1"/>
    </xf>
    <xf numFmtId="0" fontId="12" fillId="0" borderId="10" xfId="0" applyFont="1" applyBorder="1" applyAlignment="1">
      <alignment vertical="top" wrapText="1"/>
    </xf>
    <xf numFmtId="0" fontId="12" fillId="0" borderId="0" xfId="0" applyFont="1" applyAlignment="1">
      <alignment horizontal="left" vertical="top"/>
    </xf>
    <xf numFmtId="167" fontId="1" fillId="2" borderId="0" xfId="0" applyNumberFormat="1" applyFont="1" applyFill="1" applyAlignment="1">
      <alignment vertical="top" wrapText="1"/>
    </xf>
    <xf numFmtId="0" fontId="2" fillId="2" borderId="0" xfId="0" applyFont="1" applyFill="1" applyAlignment="1">
      <alignment vertical="top" wrapText="1"/>
    </xf>
    <xf numFmtId="0" fontId="1" fillId="2" borderId="0" xfId="0" applyFont="1" applyFill="1" applyAlignment="1">
      <alignment vertical="top"/>
    </xf>
    <xf numFmtId="0" fontId="20" fillId="2" borderId="0" xfId="0" quotePrefix="1" applyFont="1" applyFill="1" applyAlignment="1">
      <alignment vertical="top" wrapText="1"/>
    </xf>
    <xf numFmtId="0" fontId="2" fillId="2" borderId="0" xfId="0" quotePrefix="1" applyFont="1" applyFill="1" applyAlignment="1">
      <alignment vertical="top" wrapText="1"/>
    </xf>
    <xf numFmtId="0" fontId="20" fillId="0" borderId="0" xfId="0" quotePrefix="1" applyFont="1" applyAlignment="1">
      <alignment vertical="top" wrapText="1"/>
    </xf>
    <xf numFmtId="0" fontId="19" fillId="2" borderId="0" xfId="0" applyFont="1" applyFill="1" applyAlignment="1">
      <alignment vertical="top" wrapText="1"/>
    </xf>
    <xf numFmtId="44" fontId="1" fillId="2" borderId="0" xfId="0" applyNumberFormat="1" applyFont="1" applyFill="1" applyAlignment="1">
      <alignment vertical="top" wrapText="1"/>
    </xf>
    <xf numFmtId="165" fontId="1" fillId="0" borderId="0" xfId="2" applyNumberFormat="1" applyFont="1" applyFill="1" applyBorder="1" applyAlignment="1">
      <alignment vertical="top" wrapText="1"/>
    </xf>
    <xf numFmtId="1" fontId="1" fillId="0" borderId="21" xfId="0" applyNumberFormat="1" applyFont="1" applyBorder="1" applyAlignment="1">
      <alignment vertical="top" wrapText="1"/>
    </xf>
    <xf numFmtId="1" fontId="2" fillId="0" borderId="29" xfId="0" applyNumberFormat="1" applyFont="1" applyBorder="1" applyAlignment="1">
      <alignment vertical="top" wrapText="1"/>
    </xf>
    <xf numFmtId="165" fontId="1" fillId="0" borderId="20" xfId="2" applyNumberFormat="1" applyFont="1" applyBorder="1" applyAlignment="1">
      <alignment vertical="top" wrapText="1"/>
    </xf>
    <xf numFmtId="0" fontId="7" fillId="0" borderId="4" xfId="0" applyFont="1" applyBorder="1"/>
    <xf numFmtId="167" fontId="1" fillId="0" borderId="3" xfId="0" applyNumberFormat="1" applyFont="1" applyBorder="1" applyAlignment="1">
      <alignment vertical="top" wrapText="1"/>
    </xf>
    <xf numFmtId="167" fontId="1" fillId="0" borderId="4" xfId="0" applyNumberFormat="1" applyFont="1" applyBorder="1" applyAlignment="1">
      <alignment vertical="top" wrapText="1"/>
    </xf>
    <xf numFmtId="167" fontId="1" fillId="0" borderId="5" xfId="0" applyNumberFormat="1" applyFont="1" applyBorder="1" applyAlignment="1">
      <alignment vertical="top" wrapText="1"/>
    </xf>
    <xf numFmtId="167" fontId="1" fillId="0" borderId="9" xfId="0" applyNumberFormat="1" applyFont="1" applyBorder="1" applyAlignment="1">
      <alignment vertical="top" wrapText="1"/>
    </xf>
    <xf numFmtId="167" fontId="1" fillId="0" borderId="10" xfId="0" applyNumberFormat="1" applyFont="1" applyBorder="1" applyAlignment="1">
      <alignment vertical="top" wrapText="1"/>
    </xf>
    <xf numFmtId="167" fontId="1" fillId="0" borderId="6" xfId="0" applyNumberFormat="1" applyFont="1" applyBorder="1" applyAlignment="1">
      <alignment vertical="top" wrapText="1"/>
    </xf>
    <xf numFmtId="167" fontId="1" fillId="0" borderId="7" xfId="0" applyNumberFormat="1" applyFont="1" applyBorder="1" applyAlignment="1">
      <alignment vertical="top" wrapText="1"/>
    </xf>
    <xf numFmtId="167" fontId="1" fillId="0" borderId="8" xfId="0" applyNumberFormat="1" applyFont="1" applyBorder="1" applyAlignment="1">
      <alignment vertical="top" wrapText="1"/>
    </xf>
    <xf numFmtId="0" fontId="7" fillId="0" borderId="12" xfId="0" applyFont="1" applyBorder="1"/>
    <xf numFmtId="169" fontId="0" fillId="0" borderId="13" xfId="0" applyNumberFormat="1" applyBorder="1"/>
    <xf numFmtId="169" fontId="0" fillId="0" borderId="14" xfId="0" applyNumberFormat="1" applyBorder="1"/>
    <xf numFmtId="169" fontId="1" fillId="0" borderId="3" xfId="0" applyNumberFormat="1" applyFont="1" applyBorder="1" applyAlignment="1">
      <alignment vertical="top" wrapText="1"/>
    </xf>
    <xf numFmtId="169" fontId="1" fillId="0" borderId="9" xfId="0" applyNumberFormat="1" applyFont="1" applyBorder="1" applyAlignment="1">
      <alignment vertical="top" wrapText="1"/>
    </xf>
    <xf numFmtId="169" fontId="1" fillId="0" borderId="6" xfId="0" applyNumberFormat="1" applyFont="1" applyBorder="1" applyAlignment="1">
      <alignment vertical="top" wrapText="1"/>
    </xf>
    <xf numFmtId="0" fontId="2" fillId="0" borderId="19" xfId="0" applyFont="1" applyBorder="1" applyAlignment="1">
      <alignment vertical="top"/>
    </xf>
    <xf numFmtId="0" fontId="2" fillId="2" borderId="19" xfId="0" applyFont="1" applyFill="1" applyBorder="1" applyAlignment="1">
      <alignment vertical="top"/>
    </xf>
    <xf numFmtId="0" fontId="2" fillId="17" borderId="0" xfId="0" applyFont="1" applyFill="1" applyAlignment="1">
      <alignment vertical="top" wrapText="1"/>
    </xf>
    <xf numFmtId="0" fontId="1" fillId="17" borderId="0" xfId="0" applyFont="1" applyFill="1" applyAlignment="1">
      <alignment vertical="top"/>
    </xf>
    <xf numFmtId="0" fontId="1" fillId="17" borderId="0" xfId="0" applyFont="1" applyFill="1" applyAlignment="1">
      <alignment vertical="top" wrapText="1"/>
    </xf>
    <xf numFmtId="170" fontId="1" fillId="0" borderId="3" xfId="0" applyNumberFormat="1" applyFont="1" applyBorder="1" applyAlignment="1">
      <alignment vertical="top" wrapText="1"/>
    </xf>
    <xf numFmtId="170" fontId="1" fillId="0" borderId="4" xfId="0" applyNumberFormat="1" applyFont="1" applyBorder="1" applyAlignment="1">
      <alignment vertical="top" wrapText="1"/>
    </xf>
    <xf numFmtId="170" fontId="1" fillId="0" borderId="5" xfId="0" applyNumberFormat="1" applyFont="1" applyBorder="1" applyAlignment="1">
      <alignment vertical="top" wrapText="1"/>
    </xf>
    <xf numFmtId="170" fontId="1" fillId="0" borderId="9" xfId="0" applyNumberFormat="1" applyFont="1" applyBorder="1" applyAlignment="1">
      <alignment vertical="top" wrapText="1"/>
    </xf>
    <xf numFmtId="170" fontId="1" fillId="0" borderId="10" xfId="0" applyNumberFormat="1" applyFont="1" applyBorder="1" applyAlignment="1">
      <alignment vertical="top" wrapText="1"/>
    </xf>
    <xf numFmtId="170" fontId="1" fillId="0" borderId="6" xfId="0" applyNumberFormat="1" applyFont="1" applyBorder="1" applyAlignment="1">
      <alignment vertical="top" wrapText="1"/>
    </xf>
    <xf numFmtId="170" fontId="1" fillId="0" borderId="7" xfId="0" applyNumberFormat="1" applyFont="1" applyBorder="1" applyAlignment="1">
      <alignment vertical="top" wrapText="1"/>
    </xf>
    <xf numFmtId="170" fontId="1" fillId="0" borderId="8" xfId="0" applyNumberFormat="1" applyFont="1" applyBorder="1" applyAlignment="1">
      <alignment vertical="top" wrapText="1"/>
    </xf>
    <xf numFmtId="169" fontId="1" fillId="0" borderId="4" xfId="0" applyNumberFormat="1" applyFont="1" applyBorder="1" applyAlignment="1">
      <alignment vertical="top" wrapText="1"/>
    </xf>
    <xf numFmtId="169" fontId="1" fillId="0" borderId="5" xfId="0" applyNumberFormat="1" applyFont="1" applyBorder="1" applyAlignment="1">
      <alignment vertical="top" wrapText="1"/>
    </xf>
    <xf numFmtId="169" fontId="1" fillId="0" borderId="10" xfId="0" applyNumberFormat="1" applyFont="1" applyBorder="1" applyAlignment="1">
      <alignment vertical="top" wrapText="1"/>
    </xf>
    <xf numFmtId="169" fontId="1" fillId="0" borderId="7" xfId="0" applyNumberFormat="1" applyFont="1" applyBorder="1" applyAlignment="1">
      <alignment vertical="top" wrapText="1"/>
    </xf>
    <xf numFmtId="169" fontId="1" fillId="0" borderId="8" xfId="0" applyNumberFormat="1" applyFont="1" applyBorder="1" applyAlignment="1">
      <alignment vertical="top" wrapText="1"/>
    </xf>
    <xf numFmtId="0" fontId="40" fillId="2" borderId="0" xfId="0" applyFont="1" applyFill="1" applyAlignment="1">
      <alignment vertical="top"/>
    </xf>
    <xf numFmtId="1" fontId="1" fillId="0" borderId="0" xfId="0" applyNumberFormat="1" applyFont="1" applyAlignment="1">
      <alignment vertical="top"/>
    </xf>
    <xf numFmtId="165" fontId="12" fillId="0" borderId="0" xfId="2" applyNumberFormat="1" applyFont="1" applyBorder="1" applyAlignment="1">
      <alignment vertical="top"/>
    </xf>
    <xf numFmtId="165" fontId="1" fillId="0" borderId="9" xfId="2" applyNumberFormat="1" applyFont="1" applyFill="1" applyBorder="1" applyAlignment="1">
      <alignment vertical="top" wrapText="1"/>
    </xf>
    <xf numFmtId="165" fontId="1" fillId="0" borderId="6" xfId="2" applyNumberFormat="1" applyFont="1" applyFill="1" applyBorder="1" applyAlignment="1">
      <alignment vertical="top" wrapText="1"/>
    </xf>
    <xf numFmtId="165" fontId="1" fillId="0" borderId="7" xfId="2" applyNumberFormat="1" applyFont="1" applyFill="1" applyBorder="1" applyAlignment="1">
      <alignment vertical="top" wrapText="1"/>
    </xf>
    <xf numFmtId="165" fontId="1" fillId="7" borderId="0" xfId="2" applyNumberFormat="1" applyFont="1" applyFill="1" applyBorder="1" applyAlignment="1">
      <alignment vertical="top" wrapText="1"/>
    </xf>
    <xf numFmtId="167" fontId="2" fillId="0" borderId="28" xfId="0" applyNumberFormat="1" applyFont="1" applyBorder="1" applyAlignment="1">
      <alignment vertical="top" wrapText="1"/>
    </xf>
    <xf numFmtId="167" fontId="1" fillId="0" borderId="28" xfId="0" applyNumberFormat="1" applyFont="1" applyBorder="1" applyAlignment="1">
      <alignment vertical="top" wrapText="1"/>
    </xf>
    <xf numFmtId="165" fontId="1" fillId="0" borderId="3" xfId="0" applyNumberFormat="1" applyFont="1" applyBorder="1" applyAlignment="1">
      <alignment vertical="top" wrapText="1"/>
    </xf>
    <xf numFmtId="165" fontId="1" fillId="0" borderId="4" xfId="0" applyNumberFormat="1" applyFont="1" applyBorder="1" applyAlignment="1">
      <alignment vertical="top" wrapText="1"/>
    </xf>
    <xf numFmtId="165" fontId="1" fillId="0" borderId="5" xfId="0" applyNumberFormat="1" applyFont="1" applyBorder="1" applyAlignment="1">
      <alignment vertical="top" wrapText="1"/>
    </xf>
    <xf numFmtId="0" fontId="1" fillId="12" borderId="37" xfId="0" applyFont="1" applyFill="1" applyBorder="1" applyAlignment="1">
      <alignment vertical="top" wrapText="1"/>
    </xf>
    <xf numFmtId="0" fontId="1" fillId="0" borderId="39" xfId="0" applyFont="1" applyBorder="1" applyAlignment="1">
      <alignment vertical="top" wrapText="1"/>
    </xf>
    <xf numFmtId="167" fontId="38" fillId="0" borderId="3" xfId="0" applyNumberFormat="1" applyFont="1" applyBorder="1" applyAlignment="1">
      <alignment vertical="top"/>
    </xf>
    <xf numFmtId="167" fontId="38" fillId="0" borderId="9" xfId="0" applyNumberFormat="1" applyFont="1" applyBorder="1" applyAlignment="1">
      <alignment vertical="top"/>
    </xf>
    <xf numFmtId="167" fontId="38" fillId="0" borderId="6" xfId="0" applyNumberFormat="1" applyFont="1" applyBorder="1" applyAlignment="1">
      <alignment vertical="top"/>
    </xf>
    <xf numFmtId="0" fontId="1" fillId="18" borderId="19" xfId="0" applyFont="1" applyFill="1" applyBorder="1" applyAlignment="1">
      <alignment vertical="top" wrapText="1"/>
    </xf>
    <xf numFmtId="0" fontId="42" fillId="20" borderId="0" xfId="0" applyFont="1" applyFill="1" applyAlignment="1">
      <alignment vertical="top" wrapText="1"/>
    </xf>
    <xf numFmtId="0" fontId="43" fillId="20" borderId="0" xfId="0" applyFont="1" applyFill="1" applyAlignment="1">
      <alignment vertical="top"/>
    </xf>
    <xf numFmtId="1" fontId="43" fillId="20" borderId="0" xfId="0" applyNumberFormat="1" applyFont="1" applyFill="1" applyAlignment="1">
      <alignment vertical="top"/>
    </xf>
    <xf numFmtId="1" fontId="43" fillId="20" borderId="0" xfId="0" applyNumberFormat="1" applyFont="1" applyFill="1" applyAlignment="1">
      <alignment vertical="top" wrapText="1"/>
    </xf>
    <xf numFmtId="0" fontId="43" fillId="20" borderId="0" xfId="0" applyFont="1" applyFill="1" applyAlignment="1">
      <alignment vertical="top" wrapText="1"/>
    </xf>
    <xf numFmtId="167" fontId="38" fillId="2" borderId="0" xfId="0" applyNumberFormat="1" applyFont="1" applyFill="1" applyAlignment="1">
      <alignment vertical="top"/>
    </xf>
    <xf numFmtId="0" fontId="38" fillId="0" borderId="0" xfId="0" applyFont="1" applyAlignment="1">
      <alignment vertical="top"/>
    </xf>
    <xf numFmtId="0" fontId="38" fillId="0" borderId="7" xfId="0" applyFont="1" applyBorder="1" applyAlignment="1">
      <alignment vertical="top"/>
    </xf>
    <xf numFmtId="0" fontId="38" fillId="2" borderId="0" xfId="0" applyFont="1" applyFill="1" applyAlignment="1">
      <alignment vertical="top"/>
    </xf>
    <xf numFmtId="167" fontId="1" fillId="0" borderId="4" xfId="0" applyNumberFormat="1" applyFont="1" applyBorder="1" applyAlignment="1">
      <alignment vertical="top"/>
    </xf>
    <xf numFmtId="167" fontId="1" fillId="0" borderId="0" xfId="0" applyNumberFormat="1" applyFont="1" applyAlignment="1">
      <alignment vertical="top"/>
    </xf>
    <xf numFmtId="167" fontId="1" fillId="0" borderId="7" xfId="0" applyNumberFormat="1" applyFont="1" applyBorder="1" applyAlignment="1">
      <alignment vertical="top"/>
    </xf>
    <xf numFmtId="169" fontId="1" fillId="0" borderId="0" xfId="0" applyNumberFormat="1" applyFont="1" applyAlignment="1">
      <alignment vertical="top"/>
    </xf>
    <xf numFmtId="169" fontId="1" fillId="2" borderId="0" xfId="0" applyNumberFormat="1" applyFont="1" applyFill="1" applyAlignment="1">
      <alignment vertical="top"/>
    </xf>
    <xf numFmtId="169" fontId="1" fillId="0" borderId="4" xfId="0" applyNumberFormat="1" applyFont="1" applyBorder="1" applyAlignment="1">
      <alignment vertical="top"/>
    </xf>
    <xf numFmtId="169" fontId="1" fillId="0" borderId="5" xfId="0" applyNumberFormat="1" applyFont="1" applyBorder="1" applyAlignment="1">
      <alignment vertical="top"/>
    </xf>
    <xf numFmtId="169" fontId="1" fillId="0" borderId="10" xfId="0" applyNumberFormat="1" applyFont="1" applyBorder="1" applyAlignment="1">
      <alignment vertical="top"/>
    </xf>
    <xf numFmtId="169" fontId="1" fillId="0" borderId="7" xfId="0" applyNumberFormat="1" applyFont="1" applyBorder="1" applyAlignment="1">
      <alignment vertical="top"/>
    </xf>
    <xf numFmtId="169" fontId="1" fillId="0" borderId="8" xfId="0" applyNumberFormat="1" applyFont="1" applyBorder="1" applyAlignment="1">
      <alignment vertical="top"/>
    </xf>
    <xf numFmtId="0" fontId="1" fillId="0" borderId="19" xfId="0" applyFont="1" applyBorder="1" applyAlignment="1">
      <alignment vertical="top"/>
    </xf>
    <xf numFmtId="0" fontId="38" fillId="14" borderId="0" xfId="0" applyFont="1" applyFill="1" applyAlignment="1">
      <alignment vertical="top"/>
    </xf>
    <xf numFmtId="167" fontId="1" fillId="2" borderId="0" xfId="0" applyNumberFormat="1" applyFont="1" applyFill="1" applyAlignment="1">
      <alignment vertical="top"/>
    </xf>
    <xf numFmtId="0" fontId="42" fillId="0" borderId="0" xfId="0" applyFont="1" applyAlignment="1">
      <alignment vertical="top" wrapText="1"/>
    </xf>
    <xf numFmtId="0" fontId="43" fillId="0" borderId="0" xfId="0" applyFont="1" applyAlignment="1">
      <alignment vertical="top"/>
    </xf>
    <xf numFmtId="1" fontId="43" fillId="0" borderId="0" xfId="0" applyNumberFormat="1" applyFont="1" applyAlignment="1">
      <alignment vertical="top"/>
    </xf>
    <xf numFmtId="1" fontId="43" fillId="0" borderId="0" xfId="0" applyNumberFormat="1" applyFont="1" applyAlignment="1">
      <alignment vertical="top" wrapText="1"/>
    </xf>
    <xf numFmtId="0" fontId="43" fillId="0" borderId="0" xfId="0" applyFont="1" applyAlignment="1">
      <alignment vertical="top" wrapText="1"/>
    </xf>
    <xf numFmtId="167" fontId="40" fillId="2" borderId="0" xfId="0" applyNumberFormat="1" applyFont="1" applyFill="1" applyAlignment="1">
      <alignment vertical="top"/>
    </xf>
    <xf numFmtId="0" fontId="19" fillId="21" borderId="0" xfId="0" applyFont="1" applyFill="1" applyAlignment="1">
      <alignment vertical="top" wrapText="1"/>
    </xf>
    <xf numFmtId="0" fontId="38" fillId="17" borderId="0" xfId="0" applyFont="1" applyFill="1" applyAlignment="1">
      <alignment vertical="top"/>
    </xf>
    <xf numFmtId="167" fontId="1" fillId="4" borderId="0" xfId="0" applyNumberFormat="1" applyFont="1" applyFill="1" applyAlignment="1">
      <alignment vertical="top"/>
    </xf>
    <xf numFmtId="167" fontId="44" fillId="4" borderId="0" xfId="0" applyNumberFormat="1" applyFont="1" applyFill="1" applyAlignment="1">
      <alignment vertical="top" wrapText="1"/>
    </xf>
    <xf numFmtId="169" fontId="44" fillId="4" borderId="0" xfId="0" applyNumberFormat="1" applyFont="1" applyFill="1" applyAlignment="1">
      <alignment vertical="top" wrapText="1"/>
    </xf>
    <xf numFmtId="0" fontId="44" fillId="0" borderId="0" xfId="0" applyFont="1" applyAlignment="1">
      <alignment vertical="top" wrapText="1"/>
    </xf>
    <xf numFmtId="0" fontId="44" fillId="0" borderId="0" xfId="0" applyFont="1" applyAlignment="1">
      <alignment vertical="top"/>
    </xf>
    <xf numFmtId="0" fontId="2" fillId="2" borderId="0" xfId="0" applyFont="1" applyFill="1" applyAlignment="1">
      <alignment vertical="top"/>
    </xf>
    <xf numFmtId="0" fontId="1" fillId="18" borderId="20" xfId="0" applyFont="1" applyFill="1" applyBorder="1" applyAlignment="1">
      <alignment vertical="top" wrapText="1"/>
    </xf>
    <xf numFmtId="0" fontId="38" fillId="0" borderId="21" xfId="0" applyFont="1" applyBorder="1" applyAlignment="1">
      <alignment vertical="top"/>
    </xf>
    <xf numFmtId="0" fontId="2" fillId="22" borderId="0" xfId="0" applyFont="1" applyFill="1" applyAlignment="1">
      <alignment vertical="top" wrapText="1"/>
    </xf>
    <xf numFmtId="0" fontId="38" fillId="22" borderId="0" xfId="0" applyFont="1" applyFill="1" applyAlignment="1">
      <alignment vertical="top"/>
    </xf>
    <xf numFmtId="0" fontId="1" fillId="22" borderId="0" xfId="0" applyFont="1" applyFill="1" applyAlignment="1">
      <alignment vertical="top" wrapText="1"/>
    </xf>
    <xf numFmtId="167" fontId="1" fillId="22" borderId="0" xfId="0" applyNumberFormat="1" applyFont="1" applyFill="1" applyAlignment="1">
      <alignment vertical="top" wrapText="1"/>
    </xf>
    <xf numFmtId="0" fontId="43" fillId="7" borderId="0" xfId="0" applyFont="1" applyFill="1" applyAlignment="1">
      <alignment vertical="top"/>
    </xf>
    <xf numFmtId="6" fontId="1" fillId="7" borderId="0" xfId="0" applyNumberFormat="1" applyFont="1" applyFill="1" applyAlignment="1">
      <alignment vertical="top" wrapText="1"/>
    </xf>
    <xf numFmtId="0" fontId="43" fillId="7" borderId="0" xfId="0" applyFont="1" applyFill="1" applyAlignment="1">
      <alignment vertical="top" wrapText="1"/>
    </xf>
    <xf numFmtId="0" fontId="42" fillId="7" borderId="0" xfId="0" applyFont="1" applyFill="1" applyAlignment="1">
      <alignment vertical="top" wrapText="1"/>
    </xf>
    <xf numFmtId="0" fontId="19" fillId="23" borderId="0" xfId="0" applyFont="1" applyFill="1" applyAlignment="1">
      <alignment vertical="top" wrapText="1"/>
    </xf>
    <xf numFmtId="6" fontId="1" fillId="4" borderId="0" xfId="0" applyNumberFormat="1" applyFont="1" applyFill="1" applyAlignment="1">
      <alignment vertical="top" wrapText="1"/>
    </xf>
    <xf numFmtId="1" fontId="17" fillId="20" borderId="0" xfId="0" applyNumberFormat="1" applyFont="1" applyFill="1" applyAlignment="1">
      <alignment vertical="top" wrapText="1"/>
    </xf>
    <xf numFmtId="167" fontId="44" fillId="0" borderId="0" xfId="0" applyNumberFormat="1" applyFont="1" applyAlignment="1">
      <alignment vertical="top"/>
    </xf>
    <xf numFmtId="0" fontId="1" fillId="0" borderId="6" xfId="0" applyFont="1" applyBorder="1" applyAlignment="1">
      <alignment vertical="top"/>
    </xf>
    <xf numFmtId="0" fontId="2" fillId="0" borderId="38" xfId="0" applyFont="1" applyBorder="1" applyAlignment="1">
      <alignment vertical="top" wrapText="1"/>
    </xf>
    <xf numFmtId="165" fontId="1" fillId="0" borderId="19" xfId="2" applyNumberFormat="1" applyFont="1" applyFill="1" applyBorder="1" applyAlignment="1">
      <alignment vertical="top" wrapText="1"/>
    </xf>
    <xf numFmtId="0" fontId="12" fillId="0" borderId="9" xfId="0" applyFont="1" applyBorder="1" applyAlignment="1">
      <alignment vertical="top" wrapText="1"/>
    </xf>
    <xf numFmtId="165" fontId="1" fillId="0" borderId="19" xfId="0" applyNumberFormat="1" applyFont="1" applyBorder="1" applyAlignment="1">
      <alignment vertical="top"/>
    </xf>
    <xf numFmtId="165" fontId="12" fillId="0" borderId="19" xfId="0" applyNumberFormat="1" applyFont="1" applyBorder="1" applyAlignment="1">
      <alignment vertical="top"/>
    </xf>
    <xf numFmtId="1" fontId="12" fillId="0" borderId="28" xfId="2" applyNumberFormat="1" applyFont="1" applyBorder="1" applyAlignment="1">
      <alignment vertical="top" wrapText="1"/>
    </xf>
    <xf numFmtId="1" fontId="1" fillId="0" borderId="20" xfId="0" applyNumberFormat="1" applyFont="1" applyBorder="1" applyAlignment="1">
      <alignment vertical="top" wrapText="1"/>
    </xf>
    <xf numFmtId="165" fontId="1" fillId="19" borderId="17" xfId="2" applyNumberFormat="1" applyFont="1" applyFill="1" applyBorder="1" applyAlignment="1">
      <alignment vertical="top"/>
    </xf>
    <xf numFmtId="170" fontId="1" fillId="19" borderId="18" xfId="0" applyNumberFormat="1" applyFont="1" applyFill="1" applyBorder="1" applyAlignment="1">
      <alignment vertical="top" wrapText="1"/>
    </xf>
    <xf numFmtId="167" fontId="2" fillId="19" borderId="27" xfId="0" applyNumberFormat="1" applyFont="1" applyFill="1" applyBorder="1" applyAlignment="1">
      <alignment vertical="top" wrapText="1"/>
    </xf>
    <xf numFmtId="165" fontId="1" fillId="0" borderId="19" xfId="2" applyNumberFormat="1" applyFont="1" applyFill="1" applyBorder="1" applyAlignment="1">
      <alignment vertical="top"/>
    </xf>
    <xf numFmtId="167" fontId="2" fillId="4" borderId="28" xfId="0" applyNumberFormat="1" applyFont="1" applyFill="1" applyBorder="1" applyAlignment="1">
      <alignment vertical="top" wrapText="1"/>
    </xf>
    <xf numFmtId="0" fontId="2" fillId="19" borderId="17" xfId="0" applyFont="1" applyFill="1" applyBorder="1" applyAlignment="1">
      <alignment vertical="top" wrapText="1"/>
    </xf>
    <xf numFmtId="0" fontId="1" fillId="19" borderId="18" xfId="0" applyFont="1" applyFill="1" applyBorder="1" applyAlignment="1">
      <alignment vertical="top" wrapText="1"/>
    </xf>
    <xf numFmtId="0" fontId="38" fillId="19" borderId="18" xfId="0" applyFont="1" applyFill="1" applyBorder="1" applyAlignment="1">
      <alignment vertical="top"/>
    </xf>
    <xf numFmtId="165" fontId="1" fillId="19" borderId="17" xfId="0" applyNumberFormat="1" applyFont="1" applyFill="1" applyBorder="1" applyAlignment="1">
      <alignment vertical="top" wrapText="1"/>
    </xf>
    <xf numFmtId="165" fontId="1" fillId="19" borderId="17" xfId="2" applyNumberFormat="1" applyFont="1" applyFill="1" applyBorder="1" applyAlignment="1">
      <alignment vertical="top" wrapText="1"/>
    </xf>
    <xf numFmtId="0" fontId="1" fillId="0" borderId="19" xfId="0" quotePrefix="1" applyFont="1" applyBorder="1" applyAlignment="1">
      <alignment vertical="top" wrapText="1"/>
    </xf>
    <xf numFmtId="167" fontId="1" fillId="0" borderId="5" xfId="0" applyNumberFormat="1" applyFont="1" applyBorder="1" applyAlignment="1">
      <alignment vertical="top"/>
    </xf>
    <xf numFmtId="167" fontId="1" fillId="0" borderId="10" xfId="0" applyNumberFormat="1" applyFont="1" applyBorder="1" applyAlignment="1">
      <alignment vertical="top"/>
    </xf>
    <xf numFmtId="167" fontId="1" fillId="0" borderId="8" xfId="0" applyNumberFormat="1" applyFont="1" applyBorder="1" applyAlignment="1">
      <alignment vertical="top"/>
    </xf>
    <xf numFmtId="0" fontId="38" fillId="7" borderId="0" xfId="0" applyFont="1" applyFill="1" applyAlignment="1">
      <alignment vertical="top"/>
    </xf>
    <xf numFmtId="2" fontId="44" fillId="4" borderId="0" xfId="0" applyNumberFormat="1" applyFont="1" applyFill="1" applyAlignment="1">
      <alignment vertical="top" wrapText="1"/>
    </xf>
    <xf numFmtId="0" fontId="45" fillId="0" borderId="0" xfId="0" applyFont="1"/>
    <xf numFmtId="167" fontId="1" fillId="19" borderId="11" xfId="0" applyNumberFormat="1" applyFont="1" applyFill="1" applyBorder="1" applyAlignment="1">
      <alignment vertical="top" wrapText="1"/>
    </xf>
    <xf numFmtId="0" fontId="1" fillId="19" borderId="11" xfId="0" applyFont="1" applyFill="1" applyBorder="1" applyAlignment="1">
      <alignment vertical="top" wrapText="1"/>
    </xf>
    <xf numFmtId="0" fontId="1" fillId="19" borderId="11" xfId="0" quotePrefix="1" applyFont="1" applyFill="1" applyBorder="1" applyAlignment="1">
      <alignment vertical="top" wrapText="1"/>
    </xf>
    <xf numFmtId="0" fontId="38" fillId="19" borderId="11" xfId="0" applyFont="1" applyFill="1" applyBorder="1" applyAlignment="1">
      <alignment vertical="top"/>
    </xf>
    <xf numFmtId="0" fontId="1" fillId="0" borderId="3" xfId="0" applyFont="1" applyBorder="1" applyAlignment="1">
      <alignment vertical="top"/>
    </xf>
    <xf numFmtId="0" fontId="1" fillId="19" borderId="30" xfId="0" applyFont="1" applyFill="1" applyBorder="1" applyAlignment="1">
      <alignment vertical="top"/>
    </xf>
    <xf numFmtId="0" fontId="2" fillId="2" borderId="28" xfId="0" applyFont="1" applyFill="1" applyBorder="1" applyAlignment="1">
      <alignment vertical="top" wrapText="1"/>
    </xf>
    <xf numFmtId="0" fontId="43" fillId="20" borderId="19" xfId="0" applyFont="1" applyFill="1" applyBorder="1" applyAlignment="1">
      <alignment vertical="top"/>
    </xf>
    <xf numFmtId="1" fontId="43" fillId="20" borderId="28" xfId="0" applyNumberFormat="1" applyFont="1" applyFill="1" applyBorder="1" applyAlignment="1">
      <alignment vertical="top" wrapText="1"/>
    </xf>
    <xf numFmtId="165" fontId="1" fillId="0" borderId="36" xfId="2" applyNumberFormat="1" applyFont="1" applyFill="1" applyBorder="1" applyAlignment="1">
      <alignment vertical="top" wrapText="1"/>
    </xf>
    <xf numFmtId="0" fontId="1" fillId="2" borderId="19" xfId="0" applyFont="1" applyFill="1" applyBorder="1" applyAlignment="1">
      <alignment vertical="top"/>
    </xf>
    <xf numFmtId="0" fontId="1" fillId="2" borderId="28" xfId="0" applyFont="1" applyFill="1" applyBorder="1" applyAlignment="1">
      <alignment vertical="top" wrapText="1"/>
    </xf>
    <xf numFmtId="0" fontId="38" fillId="0" borderId="28" xfId="0" applyFont="1" applyBorder="1" applyAlignment="1">
      <alignment vertical="top"/>
    </xf>
    <xf numFmtId="0" fontId="1" fillId="7" borderId="19" xfId="0" applyFont="1" applyFill="1" applyBorder="1" applyAlignment="1">
      <alignment vertical="top"/>
    </xf>
    <xf numFmtId="171" fontId="2" fillId="7" borderId="0" xfId="0" applyNumberFormat="1" applyFont="1" applyFill="1" applyAlignment="1">
      <alignment vertical="top"/>
    </xf>
    <xf numFmtId="0" fontId="2" fillId="7" borderId="28" xfId="0" applyFont="1" applyFill="1" applyBorder="1" applyAlignment="1">
      <alignment vertical="top"/>
    </xf>
    <xf numFmtId="0" fontId="1" fillId="0" borderId="28" xfId="0" applyFont="1" applyBorder="1" applyAlignment="1">
      <alignment vertical="top"/>
    </xf>
    <xf numFmtId="0" fontId="17" fillId="0" borderId="19" xfId="0" applyFont="1" applyBorder="1" applyAlignment="1">
      <alignment vertical="top"/>
    </xf>
    <xf numFmtId="167" fontId="1" fillId="0" borderId="28" xfId="0" applyNumberFormat="1" applyFont="1" applyBorder="1" applyAlignment="1">
      <alignment vertical="top"/>
    </xf>
    <xf numFmtId="169" fontId="1" fillId="0" borderId="28" xfId="0" applyNumberFormat="1" applyFont="1" applyBorder="1" applyAlignment="1">
      <alignment vertical="top"/>
    </xf>
    <xf numFmtId="169" fontId="1" fillId="2" borderId="28" xfId="0" applyNumberFormat="1" applyFont="1" applyFill="1" applyBorder="1" applyAlignment="1">
      <alignment vertical="top"/>
    </xf>
    <xf numFmtId="0" fontId="19" fillId="0" borderId="19" xfId="0" applyFont="1" applyBorder="1" applyAlignment="1">
      <alignment vertical="top"/>
    </xf>
    <xf numFmtId="0" fontId="19" fillId="2" borderId="19" xfId="0" applyFont="1" applyFill="1" applyBorder="1" applyAlignment="1">
      <alignment vertical="top"/>
    </xf>
    <xf numFmtId="167" fontId="1" fillId="2" borderId="28" xfId="0" applyNumberFormat="1" applyFont="1" applyFill="1" applyBorder="1" applyAlignment="1">
      <alignment vertical="top" wrapText="1"/>
    </xf>
    <xf numFmtId="0" fontId="2" fillId="14" borderId="28" xfId="0" applyFont="1" applyFill="1" applyBorder="1" applyAlignment="1">
      <alignment vertical="top" wrapText="1"/>
    </xf>
    <xf numFmtId="0" fontId="38" fillId="2" borderId="19" xfId="0" applyFont="1" applyFill="1" applyBorder="1" applyAlignment="1">
      <alignment vertical="top"/>
    </xf>
    <xf numFmtId="0" fontId="38" fillId="0" borderId="19" xfId="0" applyFont="1" applyBorder="1" applyAlignment="1">
      <alignment vertical="top"/>
    </xf>
    <xf numFmtId="0" fontId="43" fillId="0" borderId="19" xfId="0" applyFont="1" applyBorder="1" applyAlignment="1">
      <alignment vertical="top"/>
    </xf>
    <xf numFmtId="1" fontId="43" fillId="0" borderId="28" xfId="0" applyNumberFormat="1" applyFont="1" applyBorder="1" applyAlignment="1">
      <alignment vertical="top" wrapText="1"/>
    </xf>
    <xf numFmtId="1" fontId="43" fillId="7" borderId="28" xfId="0" applyNumberFormat="1" applyFont="1" applyFill="1" applyBorder="1" applyAlignment="1">
      <alignment vertical="top" wrapText="1"/>
    </xf>
    <xf numFmtId="0" fontId="2" fillId="17" borderId="19" xfId="0" applyFont="1" applyFill="1" applyBorder="1" applyAlignment="1">
      <alignment vertical="top"/>
    </xf>
    <xf numFmtId="0" fontId="2" fillId="17" borderId="28" xfId="0" applyFont="1" applyFill="1" applyBorder="1" applyAlignment="1">
      <alignment vertical="top" wrapText="1"/>
    </xf>
    <xf numFmtId="0" fontId="38" fillId="22" borderId="19" xfId="0" applyFont="1" applyFill="1" applyBorder="1" applyAlignment="1">
      <alignment vertical="top"/>
    </xf>
    <xf numFmtId="167" fontId="1" fillId="22" borderId="28" xfId="0" applyNumberFormat="1" applyFont="1" applyFill="1" applyBorder="1" applyAlignment="1">
      <alignment vertical="top" wrapText="1"/>
    </xf>
    <xf numFmtId="6" fontId="1" fillId="0" borderId="0" xfId="0" applyNumberFormat="1" applyFont="1"/>
    <xf numFmtId="6" fontId="1" fillId="0" borderId="0" xfId="0" applyNumberFormat="1" applyFont="1" applyAlignment="1">
      <alignment vertical="top"/>
    </xf>
    <xf numFmtId="0" fontId="1" fillId="19" borderId="30" xfId="0" applyFont="1" applyFill="1" applyBorder="1" applyAlignment="1">
      <alignment vertical="top" wrapText="1"/>
    </xf>
    <xf numFmtId="0" fontId="1" fillId="2" borderId="19" xfId="0" applyFont="1" applyFill="1" applyBorder="1" applyAlignment="1">
      <alignment vertical="top" wrapText="1"/>
    </xf>
    <xf numFmtId="0" fontId="43" fillId="20" borderId="19" xfId="0" applyFont="1" applyFill="1" applyBorder="1" applyAlignment="1">
      <alignment vertical="top" wrapText="1"/>
    </xf>
    <xf numFmtId="0" fontId="43" fillId="20" borderId="28" xfId="0" applyFont="1" applyFill="1" applyBorder="1" applyAlignment="1">
      <alignment vertical="top" wrapText="1"/>
    </xf>
    <xf numFmtId="165" fontId="1" fillId="0" borderId="28" xfId="0" applyNumberFormat="1" applyFont="1" applyBorder="1" applyAlignment="1">
      <alignment vertical="top" wrapText="1"/>
    </xf>
    <xf numFmtId="0" fontId="1" fillId="4" borderId="19" xfId="0" applyFont="1" applyFill="1" applyBorder="1" applyAlignment="1">
      <alignment vertical="top" wrapText="1"/>
    </xf>
    <xf numFmtId="171" fontId="1" fillId="7" borderId="0" xfId="0" applyNumberFormat="1" applyFont="1" applyFill="1" applyAlignment="1">
      <alignment vertical="top" wrapText="1"/>
    </xf>
    <xf numFmtId="0" fontId="1" fillId="7" borderId="28" xfId="0" applyFont="1" applyFill="1" applyBorder="1" applyAlignment="1">
      <alignment vertical="top" wrapText="1"/>
    </xf>
    <xf numFmtId="0" fontId="44" fillId="4" borderId="19" xfId="0" applyFont="1" applyFill="1" applyBorder="1" applyAlignment="1">
      <alignment vertical="top" wrapText="1"/>
    </xf>
    <xf numFmtId="0" fontId="44" fillId="0" borderId="19" xfId="0" applyFont="1" applyBorder="1" applyAlignment="1">
      <alignment vertical="top" wrapText="1"/>
    </xf>
    <xf numFmtId="0" fontId="19" fillId="15" borderId="19" xfId="0" applyFont="1" applyFill="1" applyBorder="1" applyAlignment="1">
      <alignment vertical="top" wrapText="1"/>
    </xf>
    <xf numFmtId="0" fontId="1" fillId="14" borderId="28" xfId="0" applyFont="1" applyFill="1" applyBorder="1" applyAlignment="1">
      <alignment vertical="top" wrapText="1"/>
    </xf>
    <xf numFmtId="0" fontId="19" fillId="2" borderId="19" xfId="0" applyFont="1" applyFill="1" applyBorder="1" applyAlignment="1">
      <alignment vertical="top" wrapText="1"/>
    </xf>
    <xf numFmtId="0" fontId="19" fillId="23" borderId="19" xfId="0" applyFont="1" applyFill="1" applyBorder="1" applyAlignment="1">
      <alignment vertical="top" wrapText="1"/>
    </xf>
    <xf numFmtId="0" fontId="43" fillId="0" borderId="19" xfId="0" applyFont="1" applyBorder="1" applyAlignment="1">
      <alignment vertical="top" wrapText="1"/>
    </xf>
    <xf numFmtId="0" fontId="43" fillId="0" borderId="28" xfId="0" applyFont="1" applyBorder="1" applyAlignment="1">
      <alignment vertical="top" wrapText="1"/>
    </xf>
    <xf numFmtId="0" fontId="43" fillId="7" borderId="19" xfId="0" applyFont="1" applyFill="1" applyBorder="1" applyAlignment="1">
      <alignment vertical="top" wrapText="1"/>
    </xf>
    <xf numFmtId="0" fontId="43" fillId="7" borderId="28" xfId="0" applyFont="1" applyFill="1" applyBorder="1" applyAlignment="1">
      <alignment vertical="top" wrapText="1"/>
    </xf>
    <xf numFmtId="0" fontId="19" fillId="21" borderId="19" xfId="0" applyFont="1" applyFill="1" applyBorder="1" applyAlignment="1">
      <alignment vertical="top" wrapText="1"/>
    </xf>
    <xf numFmtId="0" fontId="1" fillId="17" borderId="28" xfId="0" applyFont="1" applyFill="1" applyBorder="1" applyAlignment="1">
      <alignment vertical="top" wrapText="1"/>
    </xf>
    <xf numFmtId="0" fontId="1" fillId="22" borderId="19" xfId="0" applyFont="1" applyFill="1" applyBorder="1" applyAlignment="1">
      <alignment vertical="top" wrapText="1"/>
    </xf>
    <xf numFmtId="0" fontId="1" fillId="22" borderId="28" xfId="0" applyFont="1" applyFill="1" applyBorder="1" applyAlignment="1">
      <alignment vertical="top" wrapText="1"/>
    </xf>
    <xf numFmtId="0" fontId="1" fillId="19" borderId="30" xfId="0" quotePrefix="1" applyFont="1" applyFill="1" applyBorder="1" applyAlignment="1">
      <alignment vertical="top" wrapText="1"/>
    </xf>
    <xf numFmtId="0" fontId="2" fillId="7" borderId="19" xfId="0" applyFont="1" applyFill="1" applyBorder="1" applyAlignment="1">
      <alignment vertical="top"/>
    </xf>
    <xf numFmtId="0" fontId="19" fillId="0" borderId="19" xfId="0" applyFont="1" applyBorder="1" applyAlignment="1">
      <alignment vertical="top" wrapText="1"/>
    </xf>
    <xf numFmtId="0" fontId="44" fillId="2" borderId="19" xfId="0" applyFont="1" applyFill="1" applyBorder="1" applyAlignment="1">
      <alignment vertical="top" wrapText="1"/>
    </xf>
    <xf numFmtId="0" fontId="1" fillId="14" borderId="19" xfId="0" applyFont="1" applyFill="1" applyBorder="1" applyAlignment="1">
      <alignment vertical="top" wrapText="1"/>
    </xf>
    <xf numFmtId="1" fontId="17" fillId="0" borderId="19" xfId="0" applyNumberFormat="1" applyFont="1" applyBorder="1" applyAlignment="1">
      <alignment vertical="top" wrapText="1"/>
    </xf>
    <xf numFmtId="0" fontId="1" fillId="17" borderId="19" xfId="0" applyFont="1" applyFill="1" applyBorder="1" applyAlignment="1">
      <alignment vertical="top" wrapText="1"/>
    </xf>
    <xf numFmtId="0" fontId="38" fillId="2" borderId="28" xfId="0" applyFont="1" applyFill="1" applyBorder="1" applyAlignment="1">
      <alignment vertical="top"/>
    </xf>
    <xf numFmtId="0" fontId="2" fillId="2" borderId="19" xfId="0" applyFont="1" applyFill="1" applyBorder="1" applyAlignment="1">
      <alignment vertical="top" wrapText="1"/>
    </xf>
    <xf numFmtId="1" fontId="43" fillId="20" borderId="19" xfId="0" applyNumberFormat="1" applyFont="1" applyFill="1" applyBorder="1" applyAlignment="1">
      <alignment vertical="top" wrapText="1"/>
    </xf>
    <xf numFmtId="0" fontId="2" fillId="0" borderId="28" xfId="0" applyFont="1" applyBorder="1" applyAlignment="1">
      <alignment vertical="top"/>
    </xf>
    <xf numFmtId="1" fontId="1" fillId="2" borderId="19" xfId="0" applyNumberFormat="1" applyFont="1" applyFill="1" applyBorder="1" applyAlignment="1">
      <alignment vertical="top" wrapText="1"/>
    </xf>
    <xf numFmtId="1" fontId="1" fillId="2" borderId="28" xfId="0" applyNumberFormat="1" applyFont="1" applyFill="1" applyBorder="1" applyAlignment="1">
      <alignment vertical="top" wrapText="1"/>
    </xf>
    <xf numFmtId="1" fontId="43" fillId="0" borderId="19" xfId="0" applyNumberFormat="1" applyFont="1" applyBorder="1" applyAlignment="1">
      <alignment vertical="top" wrapText="1"/>
    </xf>
    <xf numFmtId="1" fontId="43" fillId="7" borderId="19" xfId="0" applyNumberFormat="1" applyFont="1" applyFill="1" applyBorder="1" applyAlignment="1">
      <alignment vertical="top" wrapText="1"/>
    </xf>
    <xf numFmtId="0" fontId="2" fillId="17" borderId="19" xfId="0" applyFont="1" applyFill="1" applyBorder="1" applyAlignment="1">
      <alignment vertical="top" wrapText="1"/>
    </xf>
    <xf numFmtId="0" fontId="38" fillId="22" borderId="28" xfId="0" applyFont="1" applyFill="1" applyBorder="1" applyAlignment="1">
      <alignment vertical="top"/>
    </xf>
    <xf numFmtId="1" fontId="1" fillId="19" borderId="17" xfId="0" applyNumberFormat="1" applyFont="1" applyFill="1" applyBorder="1" applyAlignment="1">
      <alignment vertical="top" wrapText="1"/>
    </xf>
    <xf numFmtId="0" fontId="2" fillId="19" borderId="30" xfId="0" applyFont="1" applyFill="1" applyBorder="1" applyAlignment="1">
      <alignment vertical="top" wrapText="1"/>
    </xf>
    <xf numFmtId="0" fontId="2" fillId="19" borderId="40" xfId="0" applyFont="1" applyFill="1" applyBorder="1" applyAlignment="1">
      <alignment vertical="top" wrapText="1"/>
    </xf>
    <xf numFmtId="0" fontId="1" fillId="19" borderId="40" xfId="0" applyFont="1" applyFill="1" applyBorder="1" applyAlignment="1">
      <alignment vertical="top"/>
    </xf>
    <xf numFmtId="167" fontId="1" fillId="19" borderId="41" xfId="0" applyNumberFormat="1" applyFont="1" applyFill="1" applyBorder="1" applyAlignment="1">
      <alignment vertical="top" wrapText="1"/>
    </xf>
    <xf numFmtId="0" fontId="1" fillId="19" borderId="40" xfId="0" applyFont="1" applyFill="1" applyBorder="1" applyAlignment="1">
      <alignment vertical="top" wrapText="1"/>
    </xf>
    <xf numFmtId="0" fontId="1" fillId="19" borderId="40" xfId="0" quotePrefix="1" applyFont="1" applyFill="1" applyBorder="1" applyAlignment="1">
      <alignment vertical="top" wrapText="1"/>
    </xf>
    <xf numFmtId="0" fontId="1" fillId="19" borderId="41" xfId="0" applyFont="1" applyFill="1" applyBorder="1" applyAlignment="1">
      <alignment vertical="top" wrapText="1"/>
    </xf>
    <xf numFmtId="0" fontId="1" fillId="19" borderId="41" xfId="0" quotePrefix="1" applyFont="1" applyFill="1" applyBorder="1" applyAlignment="1">
      <alignment vertical="top" wrapText="1"/>
    </xf>
    <xf numFmtId="0" fontId="2" fillId="0" borderId="31" xfId="0" applyFont="1" applyBorder="1" applyAlignment="1">
      <alignment vertical="top" wrapText="1"/>
    </xf>
    <xf numFmtId="0" fontId="1" fillId="12" borderId="31" xfId="0" applyFont="1" applyFill="1" applyBorder="1" applyAlignment="1">
      <alignment vertical="top"/>
    </xf>
    <xf numFmtId="0" fontId="38" fillId="0" borderId="32" xfId="0" applyFont="1" applyBorder="1" applyAlignment="1">
      <alignment vertical="top"/>
    </xf>
    <xf numFmtId="0" fontId="2" fillId="0" borderId="17" xfId="0" applyFont="1" applyBorder="1" applyAlignment="1">
      <alignment vertical="top"/>
    </xf>
    <xf numFmtId="0" fontId="38" fillId="0" borderId="4" xfId="0" applyFont="1" applyBorder="1" applyAlignment="1">
      <alignment vertical="top"/>
    </xf>
    <xf numFmtId="0" fontId="38" fillId="4" borderId="19" xfId="0" applyFont="1" applyFill="1" applyBorder="1" applyAlignment="1">
      <alignment vertical="top"/>
    </xf>
    <xf numFmtId="0" fontId="7" fillId="0" borderId="0" xfId="0" applyFont="1" applyAlignment="1">
      <alignment vertical="top" wrapText="1"/>
    </xf>
    <xf numFmtId="0" fontId="21" fillId="7" borderId="0" xfId="0" applyFont="1" applyFill="1" applyAlignment="1">
      <alignment vertical="top"/>
    </xf>
    <xf numFmtId="0" fontId="7" fillId="4" borderId="0" xfId="0" applyFont="1" applyFill="1" applyAlignment="1">
      <alignment vertical="top" wrapText="1"/>
    </xf>
    <xf numFmtId="0" fontId="7" fillId="4" borderId="0" xfId="0" applyFont="1" applyFill="1" applyAlignment="1">
      <alignment vertical="top"/>
    </xf>
    <xf numFmtId="0" fontId="7" fillId="6" borderId="0" xfId="0" applyFont="1" applyFill="1" applyAlignment="1">
      <alignment vertical="top"/>
    </xf>
    <xf numFmtId="0" fontId="7" fillId="6" borderId="0" xfId="0" applyFont="1" applyFill="1" applyAlignment="1">
      <alignment vertical="top" wrapText="1"/>
    </xf>
    <xf numFmtId="0" fontId="21" fillId="2" borderId="0" xfId="0" applyFont="1" applyFill="1" applyAlignment="1">
      <alignment vertical="top"/>
    </xf>
    <xf numFmtId="0" fontId="21" fillId="2" borderId="0" xfId="0" applyFont="1" applyFill="1" applyAlignment="1">
      <alignment vertical="top" wrapText="1"/>
    </xf>
    <xf numFmtId="0" fontId="7" fillId="2" borderId="0" xfId="0" applyFont="1" applyFill="1" applyAlignment="1">
      <alignment vertical="top"/>
    </xf>
    <xf numFmtId="0" fontId="7" fillId="4" borderId="3" xfId="0" applyFont="1" applyFill="1" applyBorder="1" applyAlignment="1">
      <alignment vertical="top" wrapText="1"/>
    </xf>
    <xf numFmtId="0" fontId="21" fillId="0" borderId="5" xfId="0" applyFont="1" applyBorder="1" applyAlignment="1">
      <alignment vertical="top" wrapText="1"/>
    </xf>
    <xf numFmtId="0" fontId="7" fillId="4" borderId="9" xfId="0" quotePrefix="1" applyFont="1" applyFill="1" applyBorder="1" applyAlignment="1">
      <alignment vertical="top" wrapText="1"/>
    </xf>
    <xf numFmtId="0" fontId="21" fillId="0" borderId="9" xfId="0" quotePrefix="1" applyFont="1" applyBorder="1" applyAlignment="1">
      <alignment vertical="top" wrapText="1"/>
    </xf>
    <xf numFmtId="0" fontId="21" fillId="0" borderId="10" xfId="0" applyFont="1" applyBorder="1" applyAlignment="1">
      <alignment vertical="top" wrapText="1"/>
    </xf>
    <xf numFmtId="0" fontId="46" fillId="4" borderId="6" xfId="0" quotePrefix="1" applyFont="1" applyFill="1" applyBorder="1" applyAlignment="1">
      <alignment vertical="top" wrapText="1"/>
    </xf>
    <xf numFmtId="0" fontId="21" fillId="0" borderId="8" xfId="0" applyFont="1" applyBorder="1" applyAlignment="1">
      <alignment vertical="top" wrapText="1"/>
    </xf>
    <xf numFmtId="0" fontId="49" fillId="0" borderId="0" xfId="0" applyFont="1" applyAlignment="1">
      <alignment wrapText="1"/>
    </xf>
    <xf numFmtId="0" fontId="7" fillId="24" borderId="0" xfId="0" applyFont="1" applyFill="1"/>
    <xf numFmtId="0" fontId="7" fillId="24" borderId="5" xfId="0" applyFont="1" applyFill="1" applyBorder="1"/>
    <xf numFmtId="0" fontId="7" fillId="24" borderId="10" xfId="0" applyFont="1" applyFill="1" applyBorder="1"/>
    <xf numFmtId="0" fontId="0" fillId="24" borderId="8" xfId="0" applyFill="1" applyBorder="1"/>
    <xf numFmtId="0" fontId="0" fillId="0" borderId="13" xfId="0" applyBorder="1"/>
    <xf numFmtId="0" fontId="0" fillId="0" borderId="14" xfId="0" applyBorder="1"/>
    <xf numFmtId="0" fontId="7" fillId="3" borderId="3" xfId="0" applyFont="1" applyFill="1" applyBorder="1"/>
    <xf numFmtId="0" fontId="7" fillId="3" borderId="9" xfId="0" applyFont="1" applyFill="1" applyBorder="1"/>
    <xf numFmtId="0" fontId="7" fillId="3" borderId="10" xfId="0" applyFont="1" applyFill="1" applyBorder="1"/>
    <xf numFmtId="0" fontId="0" fillId="0" borderId="8" xfId="0" applyBorder="1"/>
    <xf numFmtId="0" fontId="7" fillId="0" borderId="13" xfId="0" applyFont="1" applyBorder="1"/>
    <xf numFmtId="0" fontId="39" fillId="0" borderId="19" xfId="0" applyFont="1" applyBorder="1" applyAlignment="1">
      <alignment vertical="top"/>
    </xf>
    <xf numFmtId="0" fontId="50" fillId="0" borderId="0" xfId="0" applyFont="1"/>
    <xf numFmtId="0" fontId="0" fillId="3" borderId="4" xfId="0" applyFill="1" applyBorder="1"/>
    <xf numFmtId="0" fontId="0" fillId="3" borderId="5" xfId="0" applyFill="1" applyBorder="1"/>
    <xf numFmtId="0" fontId="2" fillId="0" borderId="10" xfId="0" applyFont="1" applyBorder="1" applyAlignment="1">
      <alignment vertical="top" wrapText="1"/>
    </xf>
    <xf numFmtId="1" fontId="1" fillId="0" borderId="9" xfId="0" applyNumberFormat="1" applyFont="1" applyBorder="1" applyAlignment="1">
      <alignment vertical="top" wrapText="1"/>
    </xf>
    <xf numFmtId="165" fontId="2" fillId="0" borderId="19" xfId="2" applyNumberFormat="1" applyFont="1" applyBorder="1" applyAlignment="1">
      <alignment vertical="top"/>
    </xf>
    <xf numFmtId="165" fontId="2" fillId="4" borderId="19" xfId="0" applyNumberFormat="1" applyFont="1" applyFill="1" applyBorder="1" applyAlignment="1">
      <alignment vertical="top" wrapText="1"/>
    </xf>
    <xf numFmtId="165" fontId="2" fillId="0" borderId="19" xfId="2" applyNumberFormat="1" applyFont="1" applyBorder="1" applyAlignment="1">
      <alignment vertical="top" wrapText="1"/>
    </xf>
    <xf numFmtId="0" fontId="7" fillId="0" borderId="1" xfId="0" applyFont="1" applyBorder="1"/>
    <xf numFmtId="0" fontId="0" fillId="6" borderId="1" xfId="0" applyFill="1" applyBorder="1"/>
    <xf numFmtId="0" fontId="51" fillId="0" borderId="0" xfId="0" applyFont="1"/>
    <xf numFmtId="0" fontId="1" fillId="3" borderId="0" xfId="0" applyFont="1" applyFill="1"/>
    <xf numFmtId="0" fontId="2" fillId="3" borderId="0" xfId="0" applyFont="1" applyFill="1"/>
    <xf numFmtId="0" fontId="52" fillId="0" borderId="0" xfId="0" applyFont="1" applyAlignment="1">
      <alignment vertical="top"/>
    </xf>
    <xf numFmtId="0" fontId="2" fillId="3" borderId="6" xfId="0" applyFont="1" applyFill="1" applyBorder="1"/>
    <xf numFmtId="1" fontId="2" fillId="0" borderId="21" xfId="0" applyNumberFormat="1" applyFont="1" applyBorder="1" applyAlignment="1">
      <alignment vertical="top" wrapText="1"/>
    </xf>
    <xf numFmtId="0" fontId="1" fillId="12" borderId="32" xfId="0" applyFont="1" applyFill="1" applyBorder="1" applyAlignment="1">
      <alignment vertical="top"/>
    </xf>
    <xf numFmtId="0" fontId="20" fillId="7" borderId="0" xfId="0" quotePrefix="1" applyFont="1" applyFill="1" applyAlignment="1">
      <alignment vertical="top" wrapText="1"/>
    </xf>
    <xf numFmtId="0" fontId="46" fillId="4" borderId="9" xfId="0" quotePrefix="1" applyFont="1" applyFill="1" applyBorder="1" applyAlignment="1">
      <alignment vertical="top" wrapText="1"/>
    </xf>
    <xf numFmtId="0" fontId="31" fillId="5" borderId="0" xfId="0" applyFont="1" applyFill="1" applyAlignment="1">
      <alignment wrapText="1"/>
    </xf>
    <xf numFmtId="0" fontId="36" fillId="0" borderId="0" xfId="0" applyFont="1"/>
    <xf numFmtId="0" fontId="37" fillId="0" borderId="0" xfId="0" applyFont="1"/>
    <xf numFmtId="1" fontId="1" fillId="2" borderId="0" xfId="0" applyNumberFormat="1" applyFont="1" applyFill="1" applyAlignment="1">
      <alignment vertical="top" wrapText="1"/>
    </xf>
    <xf numFmtId="1" fontId="43" fillId="7" borderId="0" xfId="0" applyNumberFormat="1" applyFont="1" applyFill="1" applyAlignment="1">
      <alignment vertical="top" wrapText="1"/>
    </xf>
    <xf numFmtId="167" fontId="2" fillId="19" borderId="18" xfId="0" applyNumberFormat="1" applyFont="1" applyFill="1" applyBorder="1" applyAlignment="1">
      <alignment vertical="top" wrapText="1"/>
    </xf>
    <xf numFmtId="44" fontId="38" fillId="2" borderId="0" xfId="0" applyNumberFormat="1" applyFont="1" applyFill="1" applyAlignment="1">
      <alignment vertical="top"/>
    </xf>
    <xf numFmtId="0" fontId="12" fillId="0" borderId="28" xfId="0" applyFont="1" applyBorder="1" applyAlignment="1">
      <alignment vertical="top" wrapText="1"/>
    </xf>
    <xf numFmtId="0" fontId="6" fillId="0" borderId="0" xfId="1" applyAlignment="1">
      <alignment vertical="top"/>
    </xf>
    <xf numFmtId="0" fontId="21" fillId="6" borderId="0" xfId="0" applyFont="1" applyFill="1" applyAlignment="1">
      <alignment vertical="top" wrapText="1"/>
    </xf>
    <xf numFmtId="0" fontId="54" fillId="0" borderId="0" xfId="0" applyFont="1"/>
    <xf numFmtId="169" fontId="1" fillId="0" borderId="0" xfId="0" applyNumberFormat="1" applyFont="1"/>
    <xf numFmtId="1" fontId="1" fillId="3" borderId="0" xfId="0" applyNumberFormat="1" applyFont="1" applyFill="1"/>
    <xf numFmtId="9" fontId="1" fillId="0" borderId="9" xfId="0" applyNumberFormat="1" applyFont="1" applyBorder="1" applyAlignment="1">
      <alignment vertical="top" wrapText="1"/>
    </xf>
    <xf numFmtId="9" fontId="1" fillId="0" borderId="0" xfId="0" applyNumberFormat="1" applyFont="1" applyAlignment="1">
      <alignment vertical="top" wrapText="1"/>
    </xf>
    <xf numFmtId="165" fontId="1" fillId="0" borderId="1" xfId="2" applyNumberFormat="1" applyFont="1" applyFill="1" applyBorder="1"/>
    <xf numFmtId="165" fontId="1" fillId="0" borderId="1" xfId="0" applyNumberFormat="1" applyFont="1" applyBorder="1" applyAlignment="1">
      <alignment vertical="top" wrapText="1"/>
    </xf>
    <xf numFmtId="0" fontId="57" fillId="0" borderId="0" xfId="0" applyFont="1"/>
    <xf numFmtId="0" fontId="58" fillId="6" borderId="0" xfId="0" applyFont="1" applyFill="1" applyAlignment="1">
      <alignment vertical="top" wrapText="1"/>
    </xf>
    <xf numFmtId="0" fontId="59" fillId="0" borderId="0" xfId="0" applyFont="1"/>
    <xf numFmtId="0" fontId="60" fillId="0" borderId="0" xfId="0" applyFont="1" applyAlignment="1">
      <alignment wrapText="1"/>
    </xf>
    <xf numFmtId="0" fontId="58" fillId="0" borderId="0" xfId="0" applyFont="1" applyAlignment="1">
      <alignment vertical="top" wrapText="1"/>
    </xf>
    <xf numFmtId="0" fontId="39" fillId="0" borderId="0" xfId="0" applyFont="1" applyAlignment="1">
      <alignment vertical="top"/>
    </xf>
    <xf numFmtId="0" fontId="2" fillId="7" borderId="4" xfId="0" applyFont="1" applyFill="1" applyBorder="1" applyAlignment="1">
      <alignment vertical="top"/>
    </xf>
    <xf numFmtId="0" fontId="1" fillId="7" borderId="4" xfId="0" applyFont="1" applyFill="1" applyBorder="1" applyAlignment="1">
      <alignment vertical="top" wrapText="1"/>
    </xf>
    <xf numFmtId="0" fontId="2" fillId="7" borderId="4" xfId="0" applyFont="1" applyFill="1" applyBorder="1" applyAlignment="1">
      <alignment vertical="top" wrapText="1"/>
    </xf>
    <xf numFmtId="0" fontId="2" fillId="7" borderId="5" xfId="0" applyFont="1" applyFill="1" applyBorder="1" applyAlignment="1">
      <alignment vertical="top" wrapText="1"/>
    </xf>
    <xf numFmtId="0" fontId="2" fillId="7" borderId="3" xfId="0" applyFont="1" applyFill="1" applyBorder="1" applyAlignment="1">
      <alignment vertical="top"/>
    </xf>
    <xf numFmtId="0" fontId="2" fillId="0" borderId="27" xfId="0" applyFont="1" applyBorder="1" applyAlignment="1">
      <alignment vertical="top" wrapText="1"/>
    </xf>
    <xf numFmtId="0" fontId="1" fillId="12" borderId="17" xfId="0" applyFont="1" applyFill="1" applyBorder="1" applyAlignment="1">
      <alignment vertical="top"/>
    </xf>
    <xf numFmtId="0" fontId="1" fillId="0" borderId="26" xfId="0" applyFont="1" applyBorder="1" applyAlignment="1">
      <alignment vertical="top" wrapText="1"/>
    </xf>
    <xf numFmtId="0" fontId="1" fillId="12" borderId="25" xfId="0" applyFont="1" applyFill="1" applyBorder="1" applyAlignment="1">
      <alignment vertical="top"/>
    </xf>
    <xf numFmtId="0" fontId="12" fillId="0" borderId="0" xfId="0" applyFont="1" applyAlignment="1">
      <alignment vertical="top" wrapText="1"/>
    </xf>
    <xf numFmtId="0" fontId="41" fillId="0" borderId="0" xfId="0" applyFont="1" applyAlignment="1">
      <alignment vertical="top" wrapText="1"/>
    </xf>
    <xf numFmtId="1" fontId="1" fillId="0" borderId="23" xfId="0" applyNumberFormat="1" applyFont="1" applyBorder="1" applyAlignment="1">
      <alignment vertical="top" wrapText="1"/>
    </xf>
    <xf numFmtId="0" fontId="2" fillId="3" borderId="22" xfId="0" applyFont="1" applyFill="1" applyBorder="1" applyAlignment="1">
      <alignment vertical="top"/>
    </xf>
    <xf numFmtId="0" fontId="1" fillId="3" borderId="4" xfId="0" applyFont="1" applyFill="1" applyBorder="1" applyAlignment="1">
      <alignment vertical="top" wrapText="1"/>
    </xf>
    <xf numFmtId="0" fontId="2" fillId="3" borderId="4" xfId="0" applyFont="1" applyFill="1" applyBorder="1" applyAlignment="1">
      <alignment vertical="top" wrapText="1"/>
    </xf>
    <xf numFmtId="0" fontId="2" fillId="3" borderId="38" xfId="0" applyFont="1" applyFill="1" applyBorder="1" applyAlignment="1">
      <alignment vertical="top" wrapText="1"/>
    </xf>
    <xf numFmtId="0" fontId="2" fillId="3" borderId="17" xfId="0" applyFont="1" applyFill="1" applyBorder="1" applyAlignment="1">
      <alignment vertical="top"/>
    </xf>
    <xf numFmtId="0" fontId="1" fillId="3" borderId="18" xfId="0" applyFont="1" applyFill="1" applyBorder="1" applyAlignment="1">
      <alignment vertical="top" wrapText="1"/>
    </xf>
    <xf numFmtId="167" fontId="2" fillId="0" borderId="0" xfId="0" applyNumberFormat="1" applyFont="1" applyAlignment="1">
      <alignment vertical="top" wrapText="1"/>
    </xf>
    <xf numFmtId="167" fontId="2" fillId="4" borderId="0" xfId="0" applyNumberFormat="1" applyFont="1" applyFill="1" applyAlignment="1">
      <alignment vertical="top" wrapText="1"/>
    </xf>
    <xf numFmtId="165" fontId="1" fillId="19" borderId="30" xfId="2" applyNumberFormat="1" applyFont="1" applyFill="1" applyBorder="1" applyAlignment="1">
      <alignment vertical="top"/>
    </xf>
    <xf numFmtId="167" fontId="2" fillId="19" borderId="34" xfId="0" applyNumberFormat="1" applyFont="1" applyFill="1" applyBorder="1" applyAlignment="1">
      <alignment vertical="top" wrapText="1"/>
    </xf>
    <xf numFmtId="165" fontId="1" fillId="19" borderId="30" xfId="0" applyNumberFormat="1" applyFont="1" applyFill="1" applyBorder="1" applyAlignment="1">
      <alignment vertical="top" wrapText="1"/>
    </xf>
    <xf numFmtId="165" fontId="1" fillId="19" borderId="30" xfId="2" applyNumberFormat="1" applyFont="1" applyFill="1" applyBorder="1" applyAlignment="1">
      <alignment vertical="top" wrapText="1"/>
    </xf>
    <xf numFmtId="167" fontId="2" fillId="19" borderId="11" xfId="0" applyNumberFormat="1" applyFont="1" applyFill="1" applyBorder="1" applyAlignment="1">
      <alignment vertical="top" wrapText="1"/>
    </xf>
    <xf numFmtId="1" fontId="1" fillId="19" borderId="30" xfId="0" applyNumberFormat="1" applyFont="1" applyFill="1" applyBorder="1" applyAlignment="1">
      <alignment vertical="top" wrapText="1"/>
    </xf>
    <xf numFmtId="0" fontId="1" fillId="19" borderId="11" xfId="0" applyFont="1" applyFill="1" applyBorder="1" applyAlignment="1">
      <alignment vertical="top"/>
    </xf>
    <xf numFmtId="0" fontId="1" fillId="0" borderId="27" xfId="0" applyFont="1" applyBorder="1" applyAlignment="1">
      <alignment vertical="top" wrapText="1"/>
    </xf>
    <xf numFmtId="1" fontId="2" fillId="0" borderId="10" xfId="0" applyNumberFormat="1" applyFont="1" applyBorder="1" applyAlignment="1">
      <alignment vertical="top" wrapText="1"/>
    </xf>
    <xf numFmtId="1" fontId="12" fillId="0" borderId="10" xfId="2" applyNumberFormat="1" applyFont="1" applyBorder="1" applyAlignment="1">
      <alignment vertical="top" wrapText="1"/>
    </xf>
    <xf numFmtId="1" fontId="2" fillId="0" borderId="24" xfId="0" applyNumberFormat="1" applyFont="1" applyBorder="1" applyAlignment="1">
      <alignment vertical="top" wrapText="1"/>
    </xf>
    <xf numFmtId="1" fontId="1" fillId="0" borderId="10" xfId="0" applyNumberFormat="1" applyFont="1" applyBorder="1" applyAlignment="1">
      <alignment vertical="top" wrapText="1"/>
    </xf>
    <xf numFmtId="1" fontId="1" fillId="19" borderId="25" xfId="0" applyNumberFormat="1" applyFont="1" applyFill="1" applyBorder="1" applyAlignment="1">
      <alignment vertical="top" wrapText="1"/>
    </xf>
    <xf numFmtId="167" fontId="2" fillId="19" borderId="26" xfId="0" applyNumberFormat="1" applyFont="1" applyFill="1" applyBorder="1" applyAlignment="1">
      <alignment vertical="top" wrapText="1"/>
    </xf>
    <xf numFmtId="167" fontId="2" fillId="0" borderId="10" xfId="0" applyNumberFormat="1" applyFont="1" applyBorder="1" applyAlignment="1">
      <alignment vertical="top" wrapText="1"/>
    </xf>
    <xf numFmtId="1" fontId="1" fillId="19" borderId="16" xfId="0" applyNumberFormat="1" applyFont="1" applyFill="1" applyBorder="1" applyAlignment="1">
      <alignment vertical="top" wrapText="1"/>
    </xf>
    <xf numFmtId="167" fontId="2" fillId="19" borderId="2" xfId="0" applyNumberFormat="1" applyFont="1" applyFill="1" applyBorder="1" applyAlignment="1">
      <alignment vertical="top" wrapText="1"/>
    </xf>
    <xf numFmtId="167" fontId="2" fillId="4" borderId="10" xfId="0" applyNumberFormat="1" applyFont="1" applyFill="1" applyBorder="1" applyAlignment="1">
      <alignment vertical="top" wrapText="1"/>
    </xf>
    <xf numFmtId="0" fontId="1" fillId="19" borderId="16" xfId="0" applyFont="1" applyFill="1" applyBorder="1" applyAlignment="1">
      <alignment vertical="top" wrapText="1"/>
    </xf>
    <xf numFmtId="0" fontId="1" fillId="19" borderId="47" xfId="0" applyFont="1" applyFill="1" applyBorder="1" applyAlignment="1">
      <alignment vertical="top" wrapText="1"/>
    </xf>
    <xf numFmtId="165" fontId="2" fillId="0" borderId="9" xfId="2" applyNumberFormat="1" applyFont="1" applyBorder="1" applyAlignment="1">
      <alignment vertical="top" wrapText="1"/>
    </xf>
    <xf numFmtId="0" fontId="0" fillId="25" borderId="0" xfId="0" applyFill="1"/>
    <xf numFmtId="0" fontId="61" fillId="25" borderId="0" xfId="0" applyFont="1" applyFill="1" applyAlignment="1">
      <alignment horizontal="center" vertical="center" wrapText="1"/>
    </xf>
    <xf numFmtId="0" fontId="63" fillId="0" borderId="0" xfId="0" applyFont="1" applyAlignment="1">
      <alignment horizontal="center" vertical="center"/>
    </xf>
    <xf numFmtId="169" fontId="64" fillId="0" borderId="48" xfId="0" applyNumberFormat="1" applyFont="1" applyBorder="1" applyAlignment="1">
      <alignment horizontal="center" vertical="center"/>
    </xf>
    <xf numFmtId="0" fontId="64" fillId="0" borderId="48" xfId="0" applyFont="1" applyBorder="1" applyAlignment="1">
      <alignment horizontal="center" vertical="center"/>
    </xf>
    <xf numFmtId="0" fontId="62" fillId="25" borderId="0" xfId="0" applyFont="1" applyFill="1" applyAlignment="1">
      <alignment horizontal="center" vertical="center" wrapText="1"/>
    </xf>
    <xf numFmtId="0" fontId="65" fillId="0" borderId="0" xfId="0" applyFont="1" applyAlignment="1">
      <alignment horizontal="left" vertical="center" wrapText="1"/>
    </xf>
    <xf numFmtId="169" fontId="0" fillId="0" borderId="0" xfId="0" applyNumberFormat="1"/>
    <xf numFmtId="169" fontId="66" fillId="0" borderId="0" xfId="0" applyNumberFormat="1" applyFont="1"/>
    <xf numFmtId="169" fontId="64" fillId="3" borderId="48" xfId="0" applyNumberFormat="1" applyFont="1" applyFill="1" applyBorder="1" applyAlignment="1">
      <alignment horizontal="center" vertical="center"/>
    </xf>
    <xf numFmtId="0" fontId="65" fillId="3" borderId="0" xfId="0" applyFont="1" applyFill="1" applyAlignment="1">
      <alignment horizontal="left" vertical="center" wrapText="1"/>
    </xf>
    <xf numFmtId="0" fontId="63" fillId="3" borderId="0" xfId="0" applyFont="1" applyFill="1" applyAlignment="1">
      <alignment horizontal="center" vertical="center"/>
    </xf>
    <xf numFmtId="169" fontId="50" fillId="0" borderId="0" xfId="0" applyNumberFormat="1" applyFont="1"/>
    <xf numFmtId="169" fontId="0" fillId="3" borderId="0" xfId="0" applyNumberFormat="1" applyFill="1"/>
    <xf numFmtId="169" fontId="64" fillId="0" borderId="0" xfId="0" applyNumberFormat="1" applyFont="1" applyAlignment="1">
      <alignment horizontal="center" vertical="center"/>
    </xf>
    <xf numFmtId="0" fontId="67" fillId="25" borderId="0" xfId="0" applyFont="1" applyFill="1" applyAlignment="1">
      <alignment horizontal="center" vertical="center" wrapText="1"/>
    </xf>
    <xf numFmtId="0" fontId="65" fillId="5" borderId="0" xfId="0" applyFont="1" applyFill="1" applyAlignment="1">
      <alignment horizontal="left" vertical="center" wrapText="1"/>
    </xf>
    <xf numFmtId="0" fontId="63" fillId="5" borderId="0" xfId="0" applyFont="1" applyFill="1" applyAlignment="1">
      <alignment horizontal="center" vertical="center"/>
    </xf>
    <xf numFmtId="169" fontId="64" fillId="5" borderId="48" xfId="0" applyNumberFormat="1" applyFont="1" applyFill="1" applyBorder="1" applyAlignment="1">
      <alignment horizontal="center" vertical="center"/>
    </xf>
    <xf numFmtId="169" fontId="0" fillId="5" borderId="0" xfId="0" applyNumberFormat="1" applyFill="1" applyAlignment="1">
      <alignment vertical="top"/>
    </xf>
    <xf numFmtId="169" fontId="64" fillId="3" borderId="0" xfId="0" applyNumberFormat="1" applyFont="1" applyFill="1" applyAlignment="1">
      <alignment horizontal="center" vertical="center"/>
    </xf>
    <xf numFmtId="169" fontId="68" fillId="3" borderId="0" xfId="0" applyNumberFormat="1" applyFont="1" applyFill="1" applyAlignment="1">
      <alignment horizontal="center" vertical="center"/>
    </xf>
    <xf numFmtId="0" fontId="65" fillId="6" borderId="0" xfId="0" applyFont="1" applyFill="1" applyAlignment="1">
      <alignment horizontal="left" vertical="center" wrapText="1"/>
    </xf>
    <xf numFmtId="0" fontId="64" fillId="6" borderId="48" xfId="0" applyFont="1" applyFill="1" applyBorder="1" applyAlignment="1">
      <alignment horizontal="center" vertical="center"/>
    </xf>
    <xf numFmtId="0" fontId="63" fillId="4" borderId="0" xfId="0" applyFont="1" applyFill="1" applyAlignment="1">
      <alignment horizontal="center" vertical="center"/>
    </xf>
    <xf numFmtId="169" fontId="0" fillId="6" borderId="0" xfId="0" applyNumberFormat="1" applyFill="1" applyAlignment="1">
      <alignment vertical="top"/>
    </xf>
    <xf numFmtId="169" fontId="0" fillId="7" borderId="0" xfId="0" applyNumberFormat="1" applyFill="1"/>
    <xf numFmtId="0" fontId="0" fillId="7" borderId="0" xfId="0" applyFill="1"/>
    <xf numFmtId="167" fontId="1" fillId="7" borderId="0" xfId="0" applyNumberFormat="1" applyFont="1" applyFill="1" applyAlignment="1">
      <alignment vertical="top" wrapText="1"/>
    </xf>
    <xf numFmtId="165" fontId="2" fillId="0" borderId="0" xfId="2" applyNumberFormat="1" applyFont="1" applyBorder="1" applyAlignment="1">
      <alignment vertical="top"/>
    </xf>
    <xf numFmtId="165" fontId="1" fillId="0" borderId="0" xfId="2" applyNumberFormat="1" applyFont="1" applyFill="1" applyBorder="1" applyAlignment="1">
      <alignment vertical="top"/>
    </xf>
    <xf numFmtId="165" fontId="1" fillId="19" borderId="18" xfId="2" applyNumberFormat="1" applyFont="1" applyFill="1" applyBorder="1" applyAlignment="1">
      <alignment vertical="top"/>
    </xf>
    <xf numFmtId="165" fontId="1" fillId="19" borderId="11" xfId="2" applyNumberFormat="1" applyFont="1" applyFill="1" applyBorder="1" applyAlignment="1">
      <alignment vertical="top"/>
    </xf>
    <xf numFmtId="0" fontId="1" fillId="19" borderId="41" xfId="0" applyFont="1" applyFill="1" applyBorder="1" applyAlignment="1">
      <alignment vertical="top"/>
    </xf>
    <xf numFmtId="0" fontId="1" fillId="7" borderId="0" xfId="0" applyFont="1" applyFill="1" applyAlignment="1">
      <alignment vertical="top"/>
    </xf>
    <xf numFmtId="0" fontId="19" fillId="0" borderId="0" xfId="0" applyFont="1" applyAlignment="1">
      <alignment vertical="top"/>
    </xf>
    <xf numFmtId="0" fontId="19" fillId="2" borderId="0" xfId="0" applyFont="1" applyFill="1" applyAlignment="1">
      <alignment vertical="top"/>
    </xf>
    <xf numFmtId="0" fontId="2" fillId="17" borderId="0" xfId="0" applyFont="1" applyFill="1" applyAlignment="1">
      <alignment vertical="top"/>
    </xf>
    <xf numFmtId="0" fontId="1" fillId="0" borderId="50" xfId="0" applyFont="1" applyBorder="1" applyAlignment="1">
      <alignment vertical="top" wrapText="1"/>
    </xf>
    <xf numFmtId="0" fontId="2" fillId="0" borderId="51" xfId="0" applyFont="1" applyBorder="1" applyAlignment="1">
      <alignment vertical="top" wrapText="1"/>
    </xf>
    <xf numFmtId="0" fontId="12" fillId="0" borderId="50" xfId="0" applyFont="1" applyBorder="1" applyAlignment="1">
      <alignment vertical="top" wrapText="1"/>
    </xf>
    <xf numFmtId="0" fontId="1" fillId="18" borderId="50" xfId="0" applyFont="1" applyFill="1" applyBorder="1" applyAlignment="1">
      <alignment vertical="top" wrapText="1"/>
    </xf>
    <xf numFmtId="0" fontId="1" fillId="5" borderId="50" xfId="0" applyFont="1" applyFill="1" applyBorder="1" applyAlignment="1">
      <alignment vertical="top" wrapText="1"/>
    </xf>
    <xf numFmtId="0" fontId="1" fillId="18" borderId="52" xfId="0" applyFont="1" applyFill="1" applyBorder="1" applyAlignment="1">
      <alignment vertical="top" wrapText="1"/>
    </xf>
    <xf numFmtId="0" fontId="2" fillId="19" borderId="49" xfId="0" applyFont="1" applyFill="1" applyBorder="1" applyAlignment="1">
      <alignment vertical="top" wrapText="1"/>
    </xf>
    <xf numFmtId="0" fontId="1" fillId="0" borderId="50" xfId="0" applyFont="1" applyBorder="1" applyAlignment="1">
      <alignment vertical="top"/>
    </xf>
    <xf numFmtId="0" fontId="2" fillId="19" borderId="53" xfId="0" applyFont="1" applyFill="1" applyBorder="1" applyAlignment="1">
      <alignment vertical="top" wrapText="1"/>
    </xf>
    <xf numFmtId="0" fontId="2" fillId="0" borderId="50" xfId="0" applyFont="1" applyBorder="1" applyAlignment="1">
      <alignment vertical="top" wrapText="1"/>
    </xf>
    <xf numFmtId="0" fontId="2" fillId="19" borderId="54" xfId="0" applyFont="1" applyFill="1" applyBorder="1" applyAlignment="1">
      <alignment vertical="top" wrapText="1"/>
    </xf>
    <xf numFmtId="0" fontId="2" fillId="2" borderId="50" xfId="0" applyFont="1" applyFill="1" applyBorder="1" applyAlignment="1">
      <alignment vertical="top" wrapText="1"/>
    </xf>
    <xf numFmtId="0" fontId="42" fillId="20" borderId="50" xfId="0" applyFont="1" applyFill="1" applyBorder="1" applyAlignment="1">
      <alignment vertical="top" wrapText="1"/>
    </xf>
    <xf numFmtId="0" fontId="1" fillId="0" borderId="55" xfId="0" applyFont="1" applyBorder="1" applyAlignment="1">
      <alignment vertical="top"/>
    </xf>
    <xf numFmtId="0" fontId="1" fillId="0" borderId="56" xfId="0" applyFont="1" applyBorder="1" applyAlignment="1">
      <alignment vertical="top"/>
    </xf>
    <xf numFmtId="0" fontId="2" fillId="2" borderId="50" xfId="0" applyFont="1" applyFill="1" applyBorder="1" applyAlignment="1">
      <alignment vertical="top"/>
    </xf>
    <xf numFmtId="0" fontId="2" fillId="7" borderId="50" xfId="0" applyFont="1" applyFill="1" applyBorder="1" applyAlignment="1">
      <alignment vertical="top"/>
    </xf>
    <xf numFmtId="0" fontId="1" fillId="2" borderId="50" xfId="0" applyFont="1" applyFill="1" applyBorder="1" applyAlignment="1">
      <alignment vertical="top" wrapText="1"/>
    </xf>
    <xf numFmtId="0" fontId="19" fillId="0" borderId="50" xfId="0" quotePrefix="1" applyFont="1" applyBorder="1" applyAlignment="1">
      <alignment vertical="top" wrapText="1"/>
    </xf>
    <xf numFmtId="0" fontId="42" fillId="0" borderId="50" xfId="0" applyFont="1" applyBorder="1" applyAlignment="1">
      <alignment vertical="top" wrapText="1"/>
    </xf>
    <xf numFmtId="0" fontId="2" fillId="7" borderId="50" xfId="0" applyFont="1" applyFill="1" applyBorder="1" applyAlignment="1">
      <alignment vertical="top" wrapText="1"/>
    </xf>
    <xf numFmtId="0" fontId="2" fillId="17" borderId="50" xfId="0" applyFont="1" applyFill="1" applyBorder="1" applyAlignment="1">
      <alignment vertical="top" wrapText="1"/>
    </xf>
    <xf numFmtId="0" fontId="1" fillId="0" borderId="50" xfId="0" quotePrefix="1" applyFont="1" applyBorder="1" applyAlignment="1">
      <alignment vertical="top" wrapText="1"/>
    </xf>
    <xf numFmtId="0" fontId="20" fillId="7" borderId="50" xfId="0" quotePrefix="1" applyFont="1" applyFill="1" applyBorder="1" applyAlignment="1">
      <alignment vertical="top" wrapText="1"/>
    </xf>
    <xf numFmtId="0" fontId="20" fillId="0" borderId="50" xfId="0" quotePrefix="1" applyFont="1" applyBorder="1" applyAlignment="1">
      <alignment vertical="top" wrapText="1"/>
    </xf>
    <xf numFmtId="0" fontId="2" fillId="22" borderId="50" xfId="0" applyFont="1" applyFill="1" applyBorder="1" applyAlignment="1">
      <alignment vertical="top" wrapText="1"/>
    </xf>
    <xf numFmtId="0" fontId="1" fillId="0" borderId="50" xfId="0" applyFont="1" applyBorder="1"/>
    <xf numFmtId="1" fontId="1" fillId="0" borderId="50" xfId="0" applyNumberFormat="1" applyFont="1" applyBorder="1" applyAlignment="1">
      <alignment vertical="top"/>
    </xf>
    <xf numFmtId="1" fontId="1" fillId="0" borderId="28" xfId="0" applyNumberFormat="1" applyFont="1" applyBorder="1" applyAlignment="1">
      <alignment vertical="top"/>
    </xf>
    <xf numFmtId="1" fontId="38" fillId="0" borderId="19" xfId="0" applyNumberFormat="1" applyFont="1" applyBorder="1" applyAlignment="1">
      <alignment vertical="top"/>
    </xf>
    <xf numFmtId="1" fontId="38" fillId="0" borderId="0" xfId="0" applyNumberFormat="1" applyFont="1" applyAlignment="1">
      <alignment vertical="top"/>
    </xf>
    <xf numFmtId="0" fontId="69" fillId="16" borderId="0" xfId="0" applyFont="1" applyFill="1"/>
    <xf numFmtId="10" fontId="1" fillId="0" borderId="3" xfId="0" applyNumberFormat="1" applyFont="1" applyBorder="1" applyAlignment="1">
      <alignment vertical="top" wrapText="1"/>
    </xf>
    <xf numFmtId="169" fontId="0" fillId="5" borderId="0" xfId="0" applyNumberFormat="1" applyFill="1"/>
    <xf numFmtId="6" fontId="1" fillId="0" borderId="0" xfId="0" applyNumberFormat="1" applyFont="1" applyAlignment="1">
      <alignment vertical="top" wrapText="1"/>
    </xf>
    <xf numFmtId="167" fontId="1" fillId="7" borderId="28" xfId="0" applyNumberFormat="1" applyFont="1" applyFill="1" applyBorder="1" applyAlignment="1">
      <alignment vertical="top" wrapText="1"/>
    </xf>
    <xf numFmtId="167" fontId="38" fillId="7" borderId="0" xfId="0" applyNumberFormat="1" applyFont="1" applyFill="1" applyAlignment="1">
      <alignment vertical="top"/>
    </xf>
    <xf numFmtId="0" fontId="38" fillId="7" borderId="19" xfId="0" applyFont="1" applyFill="1" applyBorder="1" applyAlignment="1">
      <alignment vertical="top"/>
    </xf>
    <xf numFmtId="0" fontId="38" fillId="7" borderId="28" xfId="0" applyFont="1" applyFill="1" applyBorder="1" applyAlignment="1">
      <alignment vertical="top"/>
    </xf>
    <xf numFmtId="0" fontId="2" fillId="7" borderId="50" xfId="0" quotePrefix="1" applyFont="1" applyFill="1" applyBorder="1" applyAlignment="1">
      <alignment vertical="top" wrapText="1"/>
    </xf>
    <xf numFmtId="167" fontId="1" fillId="7" borderId="0" xfId="0" applyNumberFormat="1" applyFont="1" applyFill="1" applyAlignment="1">
      <alignment vertical="top"/>
    </xf>
    <xf numFmtId="170" fontId="1" fillId="7" borderId="0" xfId="0" applyNumberFormat="1" applyFont="1" applyFill="1" applyAlignment="1">
      <alignment vertical="top" wrapText="1"/>
    </xf>
    <xf numFmtId="170" fontId="1" fillId="7" borderId="0" xfId="0" applyNumberFormat="1" applyFont="1" applyFill="1" applyAlignment="1">
      <alignment vertical="top"/>
    </xf>
    <xf numFmtId="0" fontId="43" fillId="2" borderId="0" xfId="0" applyFont="1" applyFill="1" applyAlignment="1">
      <alignment vertical="top"/>
    </xf>
    <xf numFmtId="1" fontId="43" fillId="2" borderId="28" xfId="0" applyNumberFormat="1" applyFont="1" applyFill="1" applyBorder="1" applyAlignment="1">
      <alignment vertical="top" wrapText="1"/>
    </xf>
    <xf numFmtId="6" fontId="1" fillId="2" borderId="0" xfId="0" applyNumberFormat="1" applyFont="1" applyFill="1" applyAlignment="1">
      <alignment vertical="top" wrapText="1"/>
    </xf>
    <xf numFmtId="0" fontId="43" fillId="2" borderId="28" xfId="0" applyFont="1" applyFill="1" applyBorder="1" applyAlignment="1">
      <alignment vertical="top" wrapText="1"/>
    </xf>
    <xf numFmtId="0" fontId="43" fillId="2" borderId="19" xfId="0" applyFont="1" applyFill="1" applyBorder="1" applyAlignment="1">
      <alignment vertical="top" wrapText="1"/>
    </xf>
    <xf numFmtId="1" fontId="43" fillId="2" borderId="0" xfId="0" applyNumberFormat="1" applyFont="1" applyFill="1" applyAlignment="1">
      <alignment vertical="top" wrapText="1"/>
    </xf>
    <xf numFmtId="1" fontId="43" fillId="2" borderId="19" xfId="0" applyNumberFormat="1" applyFont="1" applyFill="1" applyBorder="1" applyAlignment="1">
      <alignment vertical="top" wrapText="1"/>
    </xf>
    <xf numFmtId="0" fontId="42" fillId="2" borderId="0" xfId="0" applyFont="1" applyFill="1" applyAlignment="1">
      <alignment vertical="top" wrapText="1"/>
    </xf>
    <xf numFmtId="0" fontId="43" fillId="2" borderId="0" xfId="0" applyFont="1" applyFill="1" applyAlignment="1">
      <alignment vertical="top" wrapText="1"/>
    </xf>
    <xf numFmtId="172" fontId="1" fillId="0" borderId="0" xfId="0" applyNumberFormat="1" applyFont="1" applyAlignment="1">
      <alignment vertical="top" wrapText="1"/>
    </xf>
    <xf numFmtId="167" fontId="38" fillId="4" borderId="0" xfId="0" applyNumberFormat="1" applyFont="1" applyFill="1" applyAlignment="1">
      <alignment vertical="top"/>
    </xf>
    <xf numFmtId="169" fontId="7" fillId="5" borderId="0" xfId="0" applyNumberFormat="1" applyFont="1" applyFill="1" applyAlignment="1">
      <alignment vertical="top"/>
    </xf>
    <xf numFmtId="0" fontId="2" fillId="0" borderId="50" xfId="0" quotePrefix="1" applyFont="1" applyBorder="1" applyAlignment="1">
      <alignment vertical="top" wrapText="1"/>
    </xf>
    <xf numFmtId="0" fontId="19" fillId="0" borderId="0" xfId="0" applyFont="1" applyAlignment="1">
      <alignment vertical="top" wrapText="1"/>
    </xf>
    <xf numFmtId="165" fontId="1" fillId="0" borderId="0" xfId="0" applyNumberFormat="1" applyFont="1" applyAlignment="1">
      <alignment vertical="top"/>
    </xf>
    <xf numFmtId="165" fontId="12" fillId="0" borderId="0" xfId="0" applyNumberFormat="1" applyFont="1" applyAlignment="1">
      <alignment vertical="top"/>
    </xf>
    <xf numFmtId="165" fontId="1" fillId="7" borderId="0" xfId="0" applyNumberFormat="1" applyFont="1" applyFill="1" applyAlignment="1">
      <alignment vertical="top"/>
    </xf>
    <xf numFmtId="0" fontId="1" fillId="0" borderId="52" xfId="0" applyFont="1" applyBorder="1" applyAlignment="1">
      <alignment vertical="top"/>
    </xf>
    <xf numFmtId="0" fontId="1" fillId="0" borderId="49" xfId="0" applyFont="1" applyBorder="1" applyAlignment="1">
      <alignment vertical="top"/>
    </xf>
    <xf numFmtId="1" fontId="1" fillId="0" borderId="18" xfId="0" applyNumberFormat="1" applyFont="1" applyBorder="1" applyAlignment="1">
      <alignment vertical="top" wrapText="1"/>
    </xf>
    <xf numFmtId="1" fontId="2" fillId="0" borderId="27" xfId="0" applyNumberFormat="1" applyFont="1" applyBorder="1" applyAlignment="1">
      <alignment vertical="top" wrapText="1"/>
    </xf>
    <xf numFmtId="1" fontId="1" fillId="0" borderId="17" xfId="0" applyNumberFormat="1" applyFont="1" applyBorder="1" applyAlignment="1">
      <alignment vertical="top" wrapText="1"/>
    </xf>
    <xf numFmtId="165" fontId="1" fillId="0" borderId="17" xfId="2" applyNumberFormat="1" applyFont="1" applyBorder="1" applyAlignment="1">
      <alignment vertical="top" wrapText="1"/>
    </xf>
    <xf numFmtId="1" fontId="1" fillId="0" borderId="25" xfId="0" applyNumberFormat="1" applyFont="1" applyBorder="1" applyAlignment="1">
      <alignment vertical="top" wrapText="1"/>
    </xf>
    <xf numFmtId="0" fontId="38" fillId="0" borderId="18" xfId="0" applyFont="1" applyBorder="1" applyAlignment="1">
      <alignment vertical="top"/>
    </xf>
    <xf numFmtId="0" fontId="2" fillId="8" borderId="50" xfId="0" applyFont="1" applyFill="1" applyBorder="1" applyAlignment="1">
      <alignment vertical="top"/>
    </xf>
    <xf numFmtId="0" fontId="43" fillId="8" borderId="0" xfId="0" applyFont="1" applyFill="1" applyAlignment="1">
      <alignment vertical="top"/>
    </xf>
    <xf numFmtId="1" fontId="43" fillId="8" borderId="0" xfId="0" applyNumberFormat="1" applyFont="1" applyFill="1" applyAlignment="1">
      <alignment vertical="top"/>
    </xf>
    <xf numFmtId="1" fontId="43" fillId="8" borderId="0" xfId="0" applyNumberFormat="1" applyFont="1" applyFill="1" applyAlignment="1">
      <alignment vertical="top" wrapText="1"/>
    </xf>
    <xf numFmtId="1" fontId="43" fillId="8" borderId="28" xfId="0" applyNumberFormat="1" applyFont="1" applyFill="1" applyBorder="1" applyAlignment="1">
      <alignment vertical="top" wrapText="1"/>
    </xf>
    <xf numFmtId="0" fontId="43" fillId="8" borderId="19" xfId="0" applyFont="1" applyFill="1" applyBorder="1" applyAlignment="1">
      <alignment vertical="top" wrapText="1"/>
    </xf>
    <xf numFmtId="0" fontId="43" fillId="8" borderId="0" xfId="0" applyFont="1" applyFill="1" applyAlignment="1">
      <alignment vertical="top" wrapText="1"/>
    </xf>
    <xf numFmtId="0" fontId="43" fillId="8" borderId="28" xfId="0" applyFont="1" applyFill="1" applyBorder="1" applyAlignment="1">
      <alignment vertical="top" wrapText="1"/>
    </xf>
    <xf numFmtId="1" fontId="43" fillId="8" borderId="19" xfId="0" applyNumberFormat="1" applyFont="1" applyFill="1" applyBorder="1" applyAlignment="1">
      <alignment vertical="top" wrapText="1"/>
    </xf>
    <xf numFmtId="0" fontId="42" fillId="8" borderId="0" xfId="0" applyFont="1" applyFill="1" applyAlignment="1">
      <alignment vertical="top" wrapText="1"/>
    </xf>
    <xf numFmtId="9" fontId="1" fillId="0" borderId="18" xfId="2" applyFont="1" applyBorder="1" applyAlignment="1">
      <alignment vertical="top" wrapText="1"/>
    </xf>
    <xf numFmtId="9" fontId="1" fillId="0" borderId="0" xfId="2" applyFont="1" applyBorder="1" applyAlignment="1">
      <alignment vertical="top" wrapText="1"/>
    </xf>
    <xf numFmtId="9" fontId="1" fillId="0" borderId="0" xfId="2" applyFont="1" applyAlignment="1">
      <alignment vertical="top" wrapText="1"/>
    </xf>
    <xf numFmtId="167" fontId="19" fillId="0" borderId="0" xfId="0" applyNumberFormat="1" applyFont="1" applyAlignment="1">
      <alignment horizontal="left" vertical="top" readingOrder="1"/>
    </xf>
    <xf numFmtId="167" fontId="1" fillId="17" borderId="0" xfId="0" applyNumberFormat="1" applyFont="1" applyFill="1" applyAlignment="1">
      <alignment vertical="top"/>
    </xf>
    <xf numFmtId="167" fontId="1" fillId="17" borderId="0" xfId="0" applyNumberFormat="1" applyFont="1" applyFill="1" applyAlignment="1">
      <alignment vertical="top" wrapText="1"/>
    </xf>
    <xf numFmtId="167" fontId="44" fillId="17" borderId="0" xfId="0" applyNumberFormat="1" applyFont="1" applyFill="1" applyAlignment="1">
      <alignment vertical="top" wrapText="1"/>
    </xf>
    <xf numFmtId="9" fontId="38" fillId="0" borderId="0" xfId="2" applyFont="1" applyFill="1" applyAlignment="1">
      <alignment vertical="top"/>
    </xf>
    <xf numFmtId="1" fontId="2" fillId="0" borderId="18" xfId="0" applyNumberFormat="1" applyFont="1" applyBorder="1" applyAlignment="1">
      <alignment vertical="top" wrapText="1"/>
    </xf>
    <xf numFmtId="1" fontId="2" fillId="0" borderId="26" xfId="0" applyNumberFormat="1" applyFont="1" applyBorder="1" applyAlignment="1">
      <alignment vertical="top" wrapText="1"/>
    </xf>
    <xf numFmtId="0" fontId="2" fillId="2" borderId="9" xfId="0" applyFont="1" applyFill="1" applyBorder="1" applyAlignment="1">
      <alignment vertical="top" wrapText="1"/>
    </xf>
    <xf numFmtId="0" fontId="2" fillId="2" borderId="10" xfId="0" applyFont="1" applyFill="1" applyBorder="1" applyAlignment="1">
      <alignment vertical="top" wrapText="1"/>
    </xf>
    <xf numFmtId="1" fontId="43" fillId="20" borderId="9" xfId="0" applyNumberFormat="1" applyFont="1" applyFill="1" applyBorder="1" applyAlignment="1">
      <alignment vertical="top" wrapText="1"/>
    </xf>
    <xf numFmtId="1" fontId="43" fillId="20" borderId="10" xfId="0" applyNumberFormat="1" applyFont="1" applyFill="1" applyBorder="1" applyAlignment="1">
      <alignment vertical="top" wrapText="1"/>
    </xf>
    <xf numFmtId="1" fontId="43" fillId="8" borderId="9" xfId="0" applyNumberFormat="1" applyFont="1" applyFill="1" applyBorder="1" applyAlignment="1">
      <alignment vertical="top" wrapText="1"/>
    </xf>
    <xf numFmtId="1" fontId="43" fillId="8" borderId="10" xfId="0" applyNumberFormat="1" applyFont="1" applyFill="1" applyBorder="1" applyAlignment="1">
      <alignment vertical="top" wrapText="1"/>
    </xf>
    <xf numFmtId="0" fontId="2" fillId="0" borderId="9" xfId="0" applyFont="1" applyBorder="1" applyAlignment="1">
      <alignment vertical="top" wrapText="1"/>
    </xf>
    <xf numFmtId="0" fontId="1" fillId="2" borderId="9" xfId="0" applyFont="1" applyFill="1" applyBorder="1" applyAlignment="1">
      <alignment vertical="top" wrapText="1"/>
    </xf>
    <xf numFmtId="0" fontId="1" fillId="2" borderId="10" xfId="0" applyFont="1" applyFill="1" applyBorder="1" applyAlignment="1">
      <alignment vertical="top" wrapText="1"/>
    </xf>
    <xf numFmtId="0" fontId="2" fillId="7" borderId="9" xfId="0" applyFont="1" applyFill="1" applyBorder="1" applyAlignment="1">
      <alignment vertical="top"/>
    </xf>
    <xf numFmtId="0" fontId="2" fillId="7" borderId="10" xfId="0" applyFont="1" applyFill="1" applyBorder="1" applyAlignment="1">
      <alignment vertical="top"/>
    </xf>
    <xf numFmtId="0" fontId="2" fillId="0" borderId="9" xfId="0" applyFont="1" applyBorder="1" applyAlignment="1">
      <alignment vertical="top"/>
    </xf>
    <xf numFmtId="0" fontId="2" fillId="0" borderId="10" xfId="0" applyFont="1" applyBorder="1" applyAlignment="1">
      <alignment vertical="top"/>
    </xf>
    <xf numFmtId="1" fontId="1" fillId="2" borderId="9" xfId="0" applyNumberFormat="1" applyFont="1" applyFill="1" applyBorder="1" applyAlignment="1">
      <alignment vertical="top" wrapText="1"/>
    </xf>
    <xf numFmtId="1" fontId="1" fillId="2" borderId="10" xfId="0" applyNumberFormat="1" applyFont="1" applyFill="1" applyBorder="1" applyAlignment="1">
      <alignment vertical="top" wrapText="1"/>
    </xf>
    <xf numFmtId="0" fontId="19" fillId="0" borderId="9" xfId="0" applyFont="1" applyBorder="1" applyAlignment="1">
      <alignment vertical="top" wrapText="1"/>
    </xf>
    <xf numFmtId="0" fontId="19" fillId="2" borderId="9" xfId="0" applyFont="1" applyFill="1" applyBorder="1" applyAlignment="1">
      <alignment vertical="top" wrapText="1"/>
    </xf>
    <xf numFmtId="0" fontId="44" fillId="2" borderId="9" xfId="0" applyFont="1" applyFill="1" applyBorder="1" applyAlignment="1">
      <alignment vertical="top" wrapText="1"/>
    </xf>
    <xf numFmtId="0" fontId="44" fillId="0" borderId="9" xfId="0" applyFont="1" applyBorder="1" applyAlignment="1">
      <alignment vertical="top" wrapText="1"/>
    </xf>
    <xf numFmtId="0" fontId="2" fillId="17" borderId="9" xfId="0" applyFont="1" applyFill="1" applyBorder="1" applyAlignment="1">
      <alignment vertical="top" wrapText="1"/>
    </xf>
    <xf numFmtId="0" fontId="2" fillId="17" borderId="10" xfId="0" applyFont="1" applyFill="1" applyBorder="1" applyAlignment="1">
      <alignment vertical="top" wrapText="1"/>
    </xf>
    <xf numFmtId="0" fontId="38" fillId="0" borderId="9" xfId="0" applyFont="1" applyBorder="1" applyAlignment="1">
      <alignment vertical="top"/>
    </xf>
    <xf numFmtId="10" fontId="38" fillId="0" borderId="10" xfId="0" applyNumberFormat="1" applyFont="1" applyBorder="1" applyAlignment="1">
      <alignment vertical="top"/>
    </xf>
    <xf numFmtId="1" fontId="43" fillId="0" borderId="9" xfId="0" applyNumberFormat="1" applyFont="1" applyBorder="1" applyAlignment="1">
      <alignment vertical="top" wrapText="1"/>
    </xf>
    <xf numFmtId="1" fontId="43" fillId="0" borderId="10" xfId="0" applyNumberFormat="1" applyFont="1" applyBorder="1" applyAlignment="1">
      <alignment vertical="top" wrapText="1"/>
    </xf>
    <xf numFmtId="1" fontId="43" fillId="2" borderId="9" xfId="0" applyNumberFormat="1" applyFont="1" applyFill="1" applyBorder="1" applyAlignment="1">
      <alignment vertical="top" wrapText="1"/>
    </xf>
    <xf numFmtId="1" fontId="43" fillId="2" borderId="10" xfId="0" applyNumberFormat="1" applyFont="1" applyFill="1" applyBorder="1" applyAlignment="1">
      <alignment vertical="top" wrapText="1"/>
    </xf>
    <xf numFmtId="0" fontId="38" fillId="7" borderId="9" xfId="0" applyFont="1" applyFill="1" applyBorder="1" applyAlignment="1">
      <alignment vertical="top"/>
    </xf>
    <xf numFmtId="0" fontId="38" fillId="7" borderId="10" xfId="0" applyFont="1" applyFill="1" applyBorder="1" applyAlignment="1">
      <alignment vertical="top"/>
    </xf>
    <xf numFmtId="0" fontId="38" fillId="0" borderId="10" xfId="0" applyFont="1" applyBorder="1" applyAlignment="1">
      <alignment vertical="top"/>
    </xf>
    <xf numFmtId="0" fontId="38" fillId="22" borderId="9" xfId="0" applyFont="1" applyFill="1" applyBorder="1" applyAlignment="1">
      <alignment vertical="top"/>
    </xf>
    <xf numFmtId="0" fontId="38" fillId="22" borderId="10" xfId="0" applyFont="1" applyFill="1" applyBorder="1" applyAlignment="1">
      <alignment vertical="top"/>
    </xf>
    <xf numFmtId="0" fontId="2" fillId="3" borderId="27" xfId="0" applyFont="1" applyFill="1" applyBorder="1" applyAlignment="1">
      <alignment vertical="top" wrapText="1"/>
    </xf>
    <xf numFmtId="0" fontId="2" fillId="7" borderId="18" xfId="0" applyFont="1" applyFill="1" applyBorder="1" applyAlignment="1">
      <alignment vertical="top"/>
    </xf>
    <xf numFmtId="0" fontId="1" fillId="7" borderId="18" xfId="0" applyFont="1" applyFill="1" applyBorder="1" applyAlignment="1">
      <alignment vertical="top" wrapText="1"/>
    </xf>
    <xf numFmtId="0" fontId="2" fillId="7" borderId="18" xfId="0" applyFont="1" applyFill="1" applyBorder="1" applyAlignment="1">
      <alignment vertical="top" wrapText="1"/>
    </xf>
    <xf numFmtId="0" fontId="2" fillId="7" borderId="26" xfId="0" applyFont="1" applyFill="1" applyBorder="1" applyAlignment="1">
      <alignment vertical="top" wrapText="1"/>
    </xf>
    <xf numFmtId="0" fontId="2" fillId="7" borderId="25" xfId="0" applyFont="1" applyFill="1" applyBorder="1" applyAlignment="1">
      <alignment vertical="top"/>
    </xf>
    <xf numFmtId="0" fontId="1" fillId="0" borderId="52" xfId="0" applyFont="1" applyBorder="1" applyAlignment="1">
      <alignment vertical="top" wrapText="1"/>
    </xf>
    <xf numFmtId="0" fontId="2" fillId="0" borderId="21" xfId="0" applyFont="1" applyBorder="1" applyAlignment="1">
      <alignment vertical="top"/>
    </xf>
    <xf numFmtId="0" fontId="2" fillId="0" borderId="21" xfId="0" applyFont="1" applyBorder="1" applyAlignment="1">
      <alignment vertical="top" wrapText="1"/>
    </xf>
    <xf numFmtId="0" fontId="2" fillId="0" borderId="29" xfId="0" applyFont="1" applyBorder="1" applyAlignment="1">
      <alignment vertical="top" wrapText="1"/>
    </xf>
    <xf numFmtId="0" fontId="2" fillId="0" borderId="20" xfId="0" applyFont="1" applyBorder="1" applyAlignment="1">
      <alignment vertical="top"/>
    </xf>
    <xf numFmtId="0" fontId="2" fillId="0" borderId="45" xfId="0" applyFont="1" applyBorder="1" applyAlignment="1">
      <alignment vertical="top"/>
    </xf>
    <xf numFmtId="0" fontId="1" fillId="0" borderId="43" xfId="0" applyFont="1" applyBorder="1" applyAlignment="1">
      <alignment vertical="top" wrapText="1"/>
    </xf>
    <xf numFmtId="0" fontId="2" fillId="0" borderId="43" xfId="0" applyFont="1" applyBorder="1" applyAlignment="1">
      <alignment vertical="top" wrapText="1"/>
    </xf>
    <xf numFmtId="0" fontId="2" fillId="0" borderId="44" xfId="0" applyFont="1" applyBorder="1" applyAlignment="1">
      <alignment vertical="top" wrapText="1"/>
    </xf>
    <xf numFmtId="0" fontId="17" fillId="0" borderId="21" xfId="0" applyFont="1" applyBorder="1" applyAlignment="1">
      <alignment vertical="top"/>
    </xf>
    <xf numFmtId="0" fontId="2" fillId="0" borderId="24" xfId="0" applyFont="1" applyBorder="1" applyAlignment="1">
      <alignment vertical="top" wrapText="1"/>
    </xf>
    <xf numFmtId="167" fontId="2" fillId="19" borderId="41" xfId="0" applyNumberFormat="1" applyFont="1" applyFill="1" applyBorder="1" applyAlignment="1">
      <alignment vertical="top" wrapText="1"/>
    </xf>
    <xf numFmtId="167" fontId="2" fillId="19" borderId="46" xfId="0" applyNumberFormat="1" applyFont="1" applyFill="1" applyBorder="1" applyAlignment="1">
      <alignment vertical="top" wrapText="1"/>
    </xf>
    <xf numFmtId="167" fontId="2" fillId="3" borderId="11" xfId="0" applyNumberFormat="1" applyFont="1" applyFill="1" applyBorder="1" applyAlignment="1">
      <alignment vertical="top" wrapText="1"/>
    </xf>
    <xf numFmtId="167" fontId="2" fillId="3" borderId="41" xfId="0" applyNumberFormat="1" applyFont="1" applyFill="1" applyBorder="1" applyAlignment="1">
      <alignment vertical="top" wrapText="1"/>
    </xf>
    <xf numFmtId="167" fontId="2" fillId="3" borderId="34" xfId="0" applyNumberFormat="1" applyFont="1" applyFill="1" applyBorder="1" applyAlignment="1">
      <alignment vertical="top" wrapText="1"/>
    </xf>
    <xf numFmtId="167" fontId="2" fillId="3" borderId="42" xfId="0" applyNumberFormat="1" applyFont="1" applyFill="1" applyBorder="1" applyAlignment="1">
      <alignment vertical="top" wrapText="1"/>
    </xf>
    <xf numFmtId="167" fontId="2" fillId="3" borderId="46" xfId="0" applyNumberFormat="1" applyFont="1" applyFill="1" applyBorder="1" applyAlignment="1">
      <alignment vertical="top" wrapText="1"/>
    </xf>
    <xf numFmtId="10" fontId="21" fillId="0" borderId="0" xfId="0" applyNumberFormat="1" applyFont="1" applyAlignment="1">
      <alignment vertical="top"/>
    </xf>
    <xf numFmtId="0" fontId="1" fillId="3" borderId="50" xfId="0" applyFont="1" applyFill="1" applyBorder="1" applyAlignment="1">
      <alignment vertical="top"/>
    </xf>
    <xf numFmtId="165" fontId="1" fillId="3" borderId="0" xfId="2" applyNumberFormat="1" applyFont="1" applyFill="1" applyBorder="1" applyAlignment="1">
      <alignment vertical="top"/>
    </xf>
    <xf numFmtId="167" fontId="1" fillId="3" borderId="0" xfId="0" applyNumberFormat="1" applyFont="1" applyFill="1" applyAlignment="1">
      <alignment vertical="top" wrapText="1"/>
    </xf>
    <xf numFmtId="167" fontId="2" fillId="3" borderId="28" xfId="0" applyNumberFormat="1" applyFont="1" applyFill="1" applyBorder="1" applyAlignment="1">
      <alignment vertical="top" wrapText="1"/>
    </xf>
    <xf numFmtId="165" fontId="1" fillId="3" borderId="19" xfId="0" applyNumberFormat="1" applyFont="1" applyFill="1" applyBorder="1" applyAlignment="1">
      <alignment vertical="top" wrapText="1"/>
    </xf>
    <xf numFmtId="165" fontId="1" fillId="3" borderId="19" xfId="2" applyNumberFormat="1" applyFont="1" applyFill="1" applyBorder="1" applyAlignment="1">
      <alignment vertical="top" wrapText="1"/>
    </xf>
    <xf numFmtId="167" fontId="2" fillId="3" borderId="0" xfId="0" applyNumberFormat="1" applyFont="1" applyFill="1" applyAlignment="1">
      <alignment vertical="top" wrapText="1"/>
    </xf>
    <xf numFmtId="1" fontId="1" fillId="3" borderId="19" xfId="0" applyNumberFormat="1" applyFont="1" applyFill="1" applyBorder="1" applyAlignment="1">
      <alignment vertical="top" wrapText="1"/>
    </xf>
    <xf numFmtId="1" fontId="1" fillId="3" borderId="9" xfId="0" applyNumberFormat="1" applyFont="1" applyFill="1" applyBorder="1" applyAlignment="1">
      <alignment vertical="top" wrapText="1"/>
    </xf>
    <xf numFmtId="167" fontId="2" fillId="3" borderId="10" xfId="0" applyNumberFormat="1" applyFont="1" applyFill="1" applyBorder="1" applyAlignment="1">
      <alignment vertical="top" wrapText="1"/>
    </xf>
    <xf numFmtId="0" fontId="38" fillId="3" borderId="0" xfId="0" applyFont="1" applyFill="1" applyAlignment="1">
      <alignment vertical="top"/>
    </xf>
    <xf numFmtId="0" fontId="1" fillId="3" borderId="0" xfId="0" applyFont="1" applyFill="1" applyAlignment="1">
      <alignment vertical="top"/>
    </xf>
    <xf numFmtId="167" fontId="1" fillId="3" borderId="9" xfId="0" applyNumberFormat="1" applyFont="1" applyFill="1" applyBorder="1" applyAlignment="1">
      <alignment vertical="top" wrapText="1"/>
    </xf>
    <xf numFmtId="167" fontId="1" fillId="3" borderId="10" xfId="0" applyNumberFormat="1" applyFont="1" applyFill="1" applyBorder="1" applyAlignment="1">
      <alignment vertical="top" wrapText="1"/>
    </xf>
    <xf numFmtId="0" fontId="38" fillId="3" borderId="28" xfId="0" applyFont="1" applyFill="1" applyBorder="1" applyAlignment="1">
      <alignment vertical="top"/>
    </xf>
    <xf numFmtId="0" fontId="38" fillId="3" borderId="19" xfId="0" applyFont="1" applyFill="1" applyBorder="1" applyAlignment="1">
      <alignment vertical="top"/>
    </xf>
    <xf numFmtId="0" fontId="1" fillId="3" borderId="28" xfId="0" applyFont="1" applyFill="1" applyBorder="1" applyAlignment="1">
      <alignment vertical="top" wrapText="1"/>
    </xf>
    <xf numFmtId="167" fontId="38" fillId="3" borderId="9" xfId="0" applyNumberFormat="1" applyFont="1" applyFill="1" applyBorder="1" applyAlignment="1">
      <alignment vertical="top"/>
    </xf>
    <xf numFmtId="1" fontId="1" fillId="3" borderId="0" xfId="0" applyNumberFormat="1" applyFont="1" applyFill="1" applyAlignment="1">
      <alignment vertical="top" wrapText="1"/>
    </xf>
    <xf numFmtId="1" fontId="1" fillId="3" borderId="10" xfId="0" applyNumberFormat="1" applyFont="1" applyFill="1" applyBorder="1" applyAlignment="1">
      <alignment vertical="top" wrapText="1"/>
    </xf>
    <xf numFmtId="1" fontId="1" fillId="3" borderId="28" xfId="0" applyNumberFormat="1" applyFont="1" applyFill="1" applyBorder="1" applyAlignment="1">
      <alignment vertical="top" wrapText="1"/>
    </xf>
    <xf numFmtId="165" fontId="17" fillId="0" borderId="0" xfId="2" applyNumberFormat="1" applyFont="1" applyFill="1" applyBorder="1" applyAlignment="1">
      <alignment vertical="top"/>
    </xf>
    <xf numFmtId="165" fontId="17" fillId="0" borderId="19" xfId="0" applyNumberFormat="1" applyFont="1" applyBorder="1" applyAlignment="1">
      <alignment vertical="top" wrapText="1"/>
    </xf>
    <xf numFmtId="167" fontId="51" fillId="3" borderId="34" xfId="0" applyNumberFormat="1" applyFont="1" applyFill="1" applyBorder="1" applyAlignment="1">
      <alignment vertical="top" wrapText="1"/>
    </xf>
    <xf numFmtId="167" fontId="51" fillId="3" borderId="42" xfId="0" applyNumberFormat="1" applyFont="1" applyFill="1" applyBorder="1" applyAlignment="1">
      <alignment vertical="top" wrapText="1"/>
    </xf>
    <xf numFmtId="9" fontId="21" fillId="0" borderId="0" xfId="0" applyNumberFormat="1" applyFont="1" applyAlignment="1">
      <alignment vertical="top"/>
    </xf>
    <xf numFmtId="2" fontId="2" fillId="0" borderId="28" xfId="2" applyNumberFormat="1" applyFont="1" applyBorder="1" applyAlignment="1">
      <alignment vertical="top" wrapText="1"/>
    </xf>
    <xf numFmtId="1" fontId="1" fillId="0" borderId="19" xfId="2" applyNumberFormat="1" applyFont="1" applyFill="1" applyBorder="1" applyAlignment="1">
      <alignment vertical="top" wrapText="1"/>
    </xf>
    <xf numFmtId="0" fontId="70" fillId="0" borderId="0" xfId="0" applyFont="1" applyAlignment="1">
      <alignment vertical="top" wrapText="1"/>
    </xf>
    <xf numFmtId="0" fontId="71" fillId="0" borderId="0" xfId="0" applyFont="1"/>
    <xf numFmtId="0" fontId="72" fillId="0" borderId="0" xfId="0" applyFont="1" applyAlignment="1">
      <alignment horizontal="left" vertical="center" wrapText="1"/>
    </xf>
    <xf numFmtId="0" fontId="70" fillId="0" borderId="0" xfId="0" applyFont="1" applyAlignment="1">
      <alignment horizontal="left" vertical="center"/>
    </xf>
    <xf numFmtId="0" fontId="71" fillId="0" borderId="0" xfId="0" applyFont="1" applyAlignment="1">
      <alignment horizontal="center" vertical="center"/>
    </xf>
    <xf numFmtId="0" fontId="71" fillId="0" borderId="0" xfId="0" applyFont="1" applyAlignment="1">
      <alignment wrapText="1"/>
    </xf>
    <xf numFmtId="0" fontId="72" fillId="0" borderId="0" xfId="0" applyFont="1" applyAlignment="1">
      <alignment horizontal="left" vertical="center"/>
    </xf>
    <xf numFmtId="0" fontId="71" fillId="0" borderId="0" xfId="0" applyFont="1" applyAlignment="1">
      <alignment horizontal="left" vertical="center"/>
    </xf>
    <xf numFmtId="0" fontId="34" fillId="0" borderId="0" xfId="0" applyFont="1"/>
    <xf numFmtId="0" fontId="0" fillId="3" borderId="3" xfId="0" applyFill="1" applyBorder="1"/>
    <xf numFmtId="1" fontId="0" fillId="3" borderId="5" xfId="0" applyNumberFormat="1" applyFill="1" applyBorder="1"/>
    <xf numFmtId="0" fontId="0" fillId="3" borderId="6" xfId="0" applyFill="1" applyBorder="1"/>
    <xf numFmtId="10" fontId="0" fillId="26" borderId="8" xfId="0" applyNumberFormat="1" applyFill="1" applyBorder="1"/>
    <xf numFmtId="0" fontId="0" fillId="16" borderId="9" xfId="0" applyFill="1" applyBorder="1"/>
    <xf numFmtId="9" fontId="0" fillId="16" borderId="10" xfId="0" applyNumberFormat="1" applyFill="1" applyBorder="1"/>
    <xf numFmtId="165" fontId="0" fillId="16" borderId="8" xfId="0" applyNumberFormat="1" applyFill="1" applyBorder="1"/>
    <xf numFmtId="165" fontId="34" fillId="11" borderId="8" xfId="2" applyNumberFormat="1" applyFont="1" applyFill="1" applyBorder="1"/>
    <xf numFmtId="0" fontId="73" fillId="0" borderId="0" xfId="0" applyFont="1"/>
    <xf numFmtId="0" fontId="74" fillId="0" borderId="0" xfId="0" applyFont="1"/>
    <xf numFmtId="9" fontId="7" fillId="11" borderId="12" xfId="0" applyNumberFormat="1" applyFont="1" applyFill="1" applyBorder="1"/>
    <xf numFmtId="165" fontId="7" fillId="11" borderId="14" xfId="0" applyNumberFormat="1" applyFont="1" applyFill="1" applyBorder="1"/>
    <xf numFmtId="165" fontId="2" fillId="0" borderId="19" xfId="0" applyNumberFormat="1" applyFont="1" applyBorder="1" applyAlignment="1">
      <alignment vertical="top" wrapText="1"/>
    </xf>
    <xf numFmtId="165" fontId="2" fillId="0" borderId="19" xfId="2" applyNumberFormat="1" applyFont="1" applyFill="1" applyBorder="1" applyAlignment="1">
      <alignment vertical="top" wrapText="1"/>
    </xf>
    <xf numFmtId="165" fontId="2" fillId="0" borderId="9" xfId="2" applyNumberFormat="1" applyFont="1" applyFill="1" applyBorder="1" applyAlignment="1">
      <alignment vertical="top" wrapText="1"/>
    </xf>
    <xf numFmtId="0" fontId="1" fillId="0" borderId="18" xfId="0" applyFont="1" applyBorder="1" applyAlignment="1">
      <alignment vertical="top"/>
    </xf>
    <xf numFmtId="0" fontId="1" fillId="0" borderId="21" xfId="0" applyFont="1" applyBorder="1" applyAlignment="1">
      <alignment vertical="top"/>
    </xf>
    <xf numFmtId="0" fontId="2" fillId="19" borderId="18" xfId="0" applyFont="1" applyFill="1" applyBorder="1" applyAlignment="1">
      <alignment vertical="top" wrapText="1"/>
    </xf>
    <xf numFmtId="0" fontId="2" fillId="19" borderId="11" xfId="0" applyFont="1" applyFill="1" applyBorder="1" applyAlignment="1">
      <alignment vertical="top" wrapText="1"/>
    </xf>
    <xf numFmtId="0" fontId="2" fillId="19" borderId="41" xfId="0" applyFont="1" applyFill="1" applyBorder="1" applyAlignment="1">
      <alignment vertical="top" wrapText="1"/>
    </xf>
    <xf numFmtId="0" fontId="2" fillId="8" borderId="0" xfId="0" applyFont="1" applyFill="1" applyAlignment="1">
      <alignment vertical="top"/>
    </xf>
    <xf numFmtId="0" fontId="2" fillId="0" borderId="0" xfId="0" quotePrefix="1" applyFont="1" applyAlignment="1">
      <alignment vertical="top" wrapText="1"/>
    </xf>
    <xf numFmtId="0" fontId="2" fillId="7" borderId="0" xfId="0" quotePrefix="1" applyFont="1" applyFill="1" applyAlignment="1">
      <alignment vertical="top" wrapText="1"/>
    </xf>
    <xf numFmtId="0" fontId="17" fillId="0" borderId="50" xfId="0" applyFont="1" applyBorder="1" applyAlignment="1">
      <alignment vertical="top" wrapText="1"/>
    </xf>
    <xf numFmtId="10" fontId="1" fillId="0" borderId="0" xfId="0" applyNumberFormat="1" applyFont="1" applyAlignment="1">
      <alignment horizontal="left" vertical="top" wrapText="1" indent="2"/>
    </xf>
    <xf numFmtId="2" fontId="1" fillId="0" borderId="0" xfId="0" applyNumberFormat="1" applyFont="1" applyAlignment="1">
      <alignment vertical="top" wrapText="1"/>
    </xf>
    <xf numFmtId="165" fontId="17" fillId="0" borderId="0" xfId="0" applyNumberFormat="1" applyFont="1" applyAlignment="1">
      <alignment vertical="top" wrapText="1"/>
    </xf>
    <xf numFmtId="2" fontId="12" fillId="0" borderId="0" xfId="0" applyNumberFormat="1" applyFont="1" applyAlignment="1">
      <alignment horizontal="right" vertical="top" wrapText="1"/>
    </xf>
    <xf numFmtId="2" fontId="12" fillId="0" borderId="0" xfId="0" applyNumberFormat="1" applyFont="1" applyAlignment="1">
      <alignment vertical="top" wrapText="1"/>
    </xf>
    <xf numFmtId="2" fontId="12" fillId="0" borderId="0" xfId="0" applyNumberFormat="1" applyFont="1" applyAlignment="1">
      <alignment vertical="top"/>
    </xf>
    <xf numFmtId="165" fontId="17" fillId="7" borderId="0" xfId="0" applyNumberFormat="1" applyFont="1" applyFill="1" applyAlignment="1">
      <alignment vertical="top" wrapText="1"/>
    </xf>
    <xf numFmtId="0" fontId="55" fillId="0" borderId="50" xfId="0" applyFont="1" applyBorder="1" applyAlignment="1">
      <alignment vertical="top" wrapText="1"/>
    </xf>
    <xf numFmtId="9" fontId="76" fillId="0" borderId="28" xfId="2" applyFont="1" applyBorder="1" applyAlignment="1">
      <alignment vertical="top" wrapText="1"/>
    </xf>
    <xf numFmtId="169" fontId="76" fillId="0" borderId="28" xfId="0" applyNumberFormat="1" applyFont="1" applyBorder="1" applyAlignment="1">
      <alignment vertical="top" wrapText="1"/>
    </xf>
    <xf numFmtId="2" fontId="1" fillId="0" borderId="19" xfId="0" applyNumberFormat="1" applyFont="1" applyBorder="1" applyAlignment="1">
      <alignment vertical="top" wrapText="1"/>
    </xf>
    <xf numFmtId="165" fontId="1" fillId="0" borderId="21" xfId="2" applyNumberFormat="1" applyFont="1" applyBorder="1" applyAlignment="1">
      <alignment vertical="top" wrapText="1"/>
    </xf>
    <xf numFmtId="1" fontId="12" fillId="0" borderId="0" xfId="2" applyNumberFormat="1" applyFont="1" applyBorder="1" applyAlignment="1">
      <alignment vertical="top" wrapText="1"/>
    </xf>
    <xf numFmtId="165" fontId="2" fillId="0" borderId="21" xfId="2" applyNumberFormat="1" applyFont="1" applyBorder="1" applyAlignment="1">
      <alignment vertical="top" wrapText="1"/>
    </xf>
    <xf numFmtId="0" fontId="8" fillId="0" borderId="0" xfId="0" applyFont="1"/>
    <xf numFmtId="18" fontId="6" fillId="0" borderId="0" xfId="1" applyNumberFormat="1"/>
    <xf numFmtId="0" fontId="21" fillId="3" borderId="0" xfId="0" applyFont="1" applyFill="1"/>
    <xf numFmtId="0" fontId="1" fillId="27" borderId="0" xfId="0" applyFont="1" applyFill="1" applyAlignment="1">
      <alignment vertical="top"/>
    </xf>
    <xf numFmtId="1" fontId="1" fillId="27" borderId="0" xfId="0" applyNumberFormat="1" applyFont="1" applyFill="1" applyAlignment="1">
      <alignment vertical="top" wrapText="1"/>
    </xf>
    <xf numFmtId="167" fontId="1" fillId="27" borderId="0" xfId="0" applyNumberFormat="1" applyFont="1" applyFill="1" applyAlignment="1">
      <alignment vertical="top" wrapText="1"/>
    </xf>
    <xf numFmtId="1" fontId="2" fillId="27" borderId="0" xfId="0" applyNumberFormat="1" applyFont="1" applyFill="1" applyAlignment="1">
      <alignment vertical="top" wrapText="1"/>
    </xf>
    <xf numFmtId="1" fontId="1" fillId="27" borderId="9" xfId="0" applyNumberFormat="1" applyFont="1" applyFill="1" applyBorder="1" applyAlignment="1">
      <alignment vertical="top" wrapText="1"/>
    </xf>
    <xf numFmtId="0" fontId="1" fillId="27" borderId="0" xfId="0" applyFont="1" applyFill="1" applyAlignment="1">
      <alignment vertical="top" wrapText="1"/>
    </xf>
    <xf numFmtId="0" fontId="38" fillId="27" borderId="0" xfId="0" applyFont="1" applyFill="1" applyAlignment="1">
      <alignment vertical="top"/>
    </xf>
    <xf numFmtId="0" fontId="1" fillId="18" borderId="0" xfId="0" applyFont="1" applyFill="1" applyAlignment="1">
      <alignment vertical="top"/>
    </xf>
    <xf numFmtId="1" fontId="1" fillId="18" borderId="0" xfId="0" applyNumberFormat="1" applyFont="1" applyFill="1" applyAlignment="1">
      <alignment vertical="top" wrapText="1"/>
    </xf>
    <xf numFmtId="167" fontId="1" fillId="18" borderId="0" xfId="0" applyNumberFormat="1" applyFont="1" applyFill="1" applyAlignment="1">
      <alignment vertical="top" wrapText="1"/>
    </xf>
    <xf numFmtId="167" fontId="2" fillId="18" borderId="0" xfId="0" applyNumberFormat="1" applyFont="1" applyFill="1" applyAlignment="1">
      <alignment vertical="top" wrapText="1"/>
    </xf>
    <xf numFmtId="1" fontId="2" fillId="18" borderId="0" xfId="0" applyNumberFormat="1" applyFont="1" applyFill="1" applyAlignment="1">
      <alignment vertical="top" wrapText="1"/>
    </xf>
    <xf numFmtId="1" fontId="1" fillId="18" borderId="9" xfId="0" applyNumberFormat="1" applyFont="1" applyFill="1" applyBorder="1" applyAlignment="1">
      <alignment vertical="top" wrapText="1"/>
    </xf>
    <xf numFmtId="0" fontId="1" fillId="18" borderId="0" xfId="0" applyFont="1" applyFill="1" applyAlignment="1">
      <alignment vertical="top" wrapText="1"/>
    </xf>
    <xf numFmtId="0" fontId="38" fillId="18" borderId="0" xfId="0" applyFont="1" applyFill="1" applyAlignment="1">
      <alignment vertical="top"/>
    </xf>
    <xf numFmtId="0" fontId="77" fillId="0" borderId="32" xfId="0" applyFont="1" applyBorder="1" applyAlignment="1">
      <alignment vertical="top" wrapText="1"/>
    </xf>
    <xf numFmtId="0" fontId="77" fillId="0" borderId="0" xfId="0" applyFont="1" applyAlignment="1">
      <alignment vertical="top" wrapText="1"/>
    </xf>
    <xf numFmtId="9" fontId="77" fillId="0" borderId="0" xfId="0" applyNumberFormat="1" applyFont="1" applyAlignment="1">
      <alignment vertical="top" wrapText="1"/>
    </xf>
    <xf numFmtId="165" fontId="77" fillId="0" borderId="0" xfId="0" applyNumberFormat="1" applyFont="1" applyAlignment="1">
      <alignment vertical="top" wrapText="1"/>
    </xf>
    <xf numFmtId="0" fontId="77" fillId="0" borderId="0" xfId="0" applyFont="1" applyAlignment="1">
      <alignment horizontal="right" vertical="top" wrapText="1"/>
    </xf>
    <xf numFmtId="0" fontId="2" fillId="0" borderId="9" xfId="0" applyFont="1" applyBorder="1"/>
    <xf numFmtId="0" fontId="1" fillId="7" borderId="0" xfId="0" applyFont="1" applyFill="1"/>
    <xf numFmtId="0" fontId="1" fillId="5" borderId="0" xfId="0" applyFont="1" applyFill="1"/>
    <xf numFmtId="0" fontId="1" fillId="0" borderId="3" xfId="0" applyFont="1" applyBorder="1"/>
    <xf numFmtId="0" fontId="1" fillId="0" borderId="4" xfId="0" applyFont="1" applyBorder="1"/>
    <xf numFmtId="0" fontId="1" fillId="0" borderId="5" xfId="0" applyFont="1" applyBorder="1"/>
    <xf numFmtId="0" fontId="78" fillId="0" borderId="9" xfId="0" applyFont="1" applyBorder="1"/>
    <xf numFmtId="0" fontId="1" fillId="0" borderId="10" xfId="0" applyFont="1" applyBorder="1"/>
    <xf numFmtId="165" fontId="2" fillId="0" borderId="10" xfId="2" applyNumberFormat="1" applyFont="1" applyBorder="1"/>
    <xf numFmtId="0" fontId="78" fillId="5" borderId="9" xfId="0" applyFont="1" applyFill="1" applyBorder="1"/>
    <xf numFmtId="165" fontId="2" fillId="5" borderId="10" xfId="2" applyNumberFormat="1" applyFont="1" applyFill="1" applyBorder="1"/>
    <xf numFmtId="0" fontId="1" fillId="0" borderId="6" xfId="0" applyFont="1" applyBorder="1"/>
    <xf numFmtId="0" fontId="1" fillId="0" borderId="7" xfId="0" applyFont="1" applyBorder="1"/>
    <xf numFmtId="165" fontId="2" fillId="0" borderId="8" xfId="2" applyNumberFormat="1" applyFont="1" applyBorder="1"/>
    <xf numFmtId="0" fontId="1" fillId="0" borderId="3" xfId="0" applyFont="1" applyBorder="1" applyAlignment="1">
      <alignment wrapText="1"/>
    </xf>
    <xf numFmtId="0" fontId="1" fillId="0" borderId="9" xfId="0" applyFont="1" applyBorder="1" applyAlignment="1">
      <alignment wrapText="1"/>
    </xf>
    <xf numFmtId="165" fontId="1" fillId="0" borderId="10" xfId="2" applyNumberFormat="1" applyFont="1" applyBorder="1"/>
    <xf numFmtId="0" fontId="1" fillId="0" borderId="9" xfId="0" applyFont="1" applyBorder="1"/>
    <xf numFmtId="0" fontId="1" fillId="0" borderId="8" xfId="0" applyFont="1" applyBorder="1"/>
    <xf numFmtId="0" fontId="2" fillId="5" borderId="9" xfId="0" applyFont="1" applyFill="1" applyBorder="1"/>
    <xf numFmtId="0" fontId="2" fillId="0" borderId="6" xfId="0" applyFont="1" applyBorder="1"/>
    <xf numFmtId="0" fontId="1" fillId="0" borderId="12" xfId="0" applyFont="1" applyBorder="1"/>
    <xf numFmtId="0" fontId="1" fillId="0" borderId="13" xfId="0" applyFont="1" applyBorder="1"/>
    <xf numFmtId="165" fontId="1" fillId="0" borderId="13" xfId="2" applyNumberFormat="1" applyFont="1" applyBorder="1"/>
    <xf numFmtId="165" fontId="1" fillId="0" borderId="14" xfId="2" applyNumberFormat="1" applyFont="1" applyBorder="1"/>
    <xf numFmtId="165" fontId="1" fillId="5" borderId="0" xfId="2" applyNumberFormat="1" applyFont="1" applyFill="1" applyBorder="1"/>
    <xf numFmtId="165" fontId="1" fillId="5" borderId="13" xfId="2" applyNumberFormat="1" applyFont="1" applyFill="1" applyBorder="1"/>
    <xf numFmtId="165" fontId="1" fillId="0" borderId="7" xfId="2" applyNumberFormat="1" applyFont="1" applyBorder="1"/>
    <xf numFmtId="1" fontId="55" fillId="7" borderId="0" xfId="0" applyNumberFormat="1" applyFont="1" applyFill="1"/>
    <xf numFmtId="0" fontId="12" fillId="0" borderId="1" xfId="0" applyFont="1" applyBorder="1" applyAlignment="1">
      <alignment wrapText="1"/>
    </xf>
    <xf numFmtId="0" fontId="12" fillId="0" borderId="1" xfId="0" applyFont="1" applyBorder="1" applyAlignment="1">
      <alignment vertical="top"/>
    </xf>
    <xf numFmtId="0" fontId="12" fillId="0" borderId="1" xfId="0" applyFont="1" applyBorder="1" applyAlignment="1">
      <alignment vertical="top" wrapText="1"/>
    </xf>
    <xf numFmtId="165" fontId="12" fillId="0" borderId="1" xfId="2" applyNumberFormat="1" applyFont="1" applyBorder="1"/>
    <xf numFmtId="0" fontId="12" fillId="0" borderId="1" xfId="0" applyFont="1" applyBorder="1"/>
    <xf numFmtId="9" fontId="12" fillId="0" borderId="1" xfId="2" applyFont="1" applyBorder="1"/>
    <xf numFmtId="165" fontId="1" fillId="0" borderId="8" xfId="2" applyNumberFormat="1" applyFont="1" applyBorder="1"/>
    <xf numFmtId="1" fontId="1" fillId="0" borderId="0" xfId="0" applyNumberFormat="1" applyFont="1"/>
    <xf numFmtId="1" fontId="1" fillId="0" borderId="7" xfId="0" applyNumberFormat="1" applyFont="1" applyBorder="1" applyAlignment="1">
      <alignment vertical="top" wrapText="1"/>
    </xf>
    <xf numFmtId="1" fontId="1" fillId="0" borderId="7" xfId="0" applyNumberFormat="1" applyFont="1" applyBorder="1"/>
    <xf numFmtId="1" fontId="1" fillId="0" borderId="9" xfId="0" applyNumberFormat="1" applyFont="1" applyBorder="1"/>
    <xf numFmtId="1" fontId="1" fillId="0" borderId="6" xfId="0" applyNumberFormat="1" applyFont="1" applyBorder="1"/>
    <xf numFmtId="0" fontId="1" fillId="0" borderId="5" xfId="0" applyFont="1" applyBorder="1" applyAlignment="1">
      <alignment vertical="top"/>
    </xf>
    <xf numFmtId="9" fontId="1" fillId="0" borderId="10" xfId="2" applyFont="1" applyBorder="1"/>
    <xf numFmtId="9" fontId="1" fillId="0" borderId="8" xfId="2" applyFont="1" applyBorder="1"/>
    <xf numFmtId="0" fontId="12" fillId="0" borderId="32" xfId="0" applyFont="1" applyBorder="1" applyAlignment="1">
      <alignment vertical="top" wrapText="1"/>
    </xf>
    <xf numFmtId="9" fontId="12" fillId="0" borderId="0" xfId="0" applyNumberFormat="1" applyFont="1" applyAlignment="1">
      <alignment vertical="top" wrapText="1"/>
    </xf>
    <xf numFmtId="165" fontId="12" fillId="0" borderId="0" xfId="0" applyNumberFormat="1" applyFont="1" applyAlignment="1">
      <alignment vertical="top" wrapText="1"/>
    </xf>
    <xf numFmtId="0" fontId="2" fillId="3" borderId="0" xfId="0" applyFont="1" applyFill="1" applyAlignment="1">
      <alignment vertical="top"/>
    </xf>
    <xf numFmtId="165" fontId="1" fillId="7" borderId="0" xfId="0" applyNumberFormat="1" applyFont="1" applyFill="1" applyAlignment="1">
      <alignment vertical="top" wrapText="1"/>
    </xf>
    <xf numFmtId="165" fontId="2" fillId="0" borderId="0" xfId="0" applyNumberFormat="1" applyFont="1" applyAlignment="1">
      <alignment vertical="top" wrapText="1"/>
    </xf>
    <xf numFmtId="165" fontId="1" fillId="19" borderId="11" xfId="0" applyNumberFormat="1" applyFont="1" applyFill="1" applyBorder="1" applyAlignment="1">
      <alignment vertical="top" wrapText="1"/>
    </xf>
    <xf numFmtId="0" fontId="44" fillId="4" borderId="0" xfId="0" applyFont="1" applyFill="1" applyAlignment="1">
      <alignment vertical="top" wrapText="1"/>
    </xf>
    <xf numFmtId="165" fontId="1" fillId="18" borderId="0" xfId="2" applyNumberFormat="1" applyFont="1" applyFill="1" applyBorder="1" applyAlignment="1">
      <alignment vertical="top" wrapText="1"/>
    </xf>
    <xf numFmtId="165" fontId="1" fillId="27" borderId="0" xfId="2" applyNumberFormat="1" applyFont="1" applyFill="1" applyBorder="1" applyAlignment="1">
      <alignment vertical="top" wrapText="1"/>
    </xf>
    <xf numFmtId="1" fontId="1" fillId="0" borderId="0" xfId="2" applyNumberFormat="1" applyFont="1" applyFill="1" applyBorder="1" applyAlignment="1">
      <alignment vertical="top" wrapText="1"/>
    </xf>
    <xf numFmtId="165" fontId="1" fillId="19" borderId="11" xfId="2" applyNumberFormat="1" applyFont="1" applyFill="1" applyBorder="1" applyAlignment="1">
      <alignment vertical="top" wrapText="1"/>
    </xf>
    <xf numFmtId="0" fontId="44" fillId="2" borderId="0" xfId="0" applyFont="1" applyFill="1" applyAlignment="1">
      <alignment vertical="top" wrapText="1"/>
    </xf>
    <xf numFmtId="165" fontId="12" fillId="0" borderId="0" xfId="2" applyNumberFormat="1" applyFont="1" applyAlignment="1">
      <alignment vertical="top" wrapText="1"/>
    </xf>
    <xf numFmtId="165" fontId="12" fillId="0" borderId="21" xfId="2" applyNumberFormat="1" applyFont="1" applyBorder="1" applyAlignment="1">
      <alignment vertical="top" wrapText="1"/>
    </xf>
    <xf numFmtId="165" fontId="12" fillId="0" borderId="0" xfId="2" applyNumberFormat="1" applyFont="1" applyBorder="1" applyAlignment="1">
      <alignment vertical="top" wrapText="1"/>
    </xf>
    <xf numFmtId="0" fontId="38" fillId="3" borderId="18" xfId="0" applyFont="1" applyFill="1" applyBorder="1" applyAlignment="1">
      <alignment vertical="top"/>
    </xf>
    <xf numFmtId="0" fontId="17" fillId="0" borderId="19" xfId="0" applyFont="1" applyBorder="1" applyAlignment="1">
      <alignment vertical="top" wrapText="1"/>
    </xf>
    <xf numFmtId="0" fontId="1" fillId="0" borderId="17" xfId="0" applyFont="1" applyBorder="1" applyAlignment="1">
      <alignment vertical="top"/>
    </xf>
    <xf numFmtId="0" fontId="1" fillId="0" borderId="20" xfId="0" applyFont="1" applyBorder="1" applyAlignment="1">
      <alignment vertical="top"/>
    </xf>
    <xf numFmtId="0" fontId="1" fillId="18" borderId="19" xfId="0" applyFont="1" applyFill="1" applyBorder="1" applyAlignment="1">
      <alignment vertical="top"/>
    </xf>
    <xf numFmtId="0" fontId="1" fillId="27" borderId="19" xfId="0" applyFont="1" applyFill="1" applyBorder="1" applyAlignment="1">
      <alignment vertical="top"/>
    </xf>
    <xf numFmtId="0" fontId="42" fillId="20" borderId="19" xfId="0" applyFont="1" applyFill="1" applyBorder="1" applyAlignment="1">
      <alignment vertical="top" wrapText="1"/>
    </xf>
    <xf numFmtId="0" fontId="2" fillId="8" borderId="19" xfId="0" applyFont="1" applyFill="1" applyBorder="1" applyAlignment="1">
      <alignment vertical="top"/>
    </xf>
    <xf numFmtId="0" fontId="1" fillId="0" borderId="22" xfId="0" applyFont="1" applyBorder="1" applyAlignment="1">
      <alignment vertical="top"/>
    </xf>
    <xf numFmtId="0" fontId="1" fillId="0" borderId="35" xfId="0" applyFont="1" applyBorder="1" applyAlignment="1">
      <alignment vertical="top"/>
    </xf>
    <xf numFmtId="1" fontId="1" fillId="0" borderId="19" xfId="0" applyNumberFormat="1" applyFont="1" applyBorder="1" applyAlignment="1">
      <alignment vertical="top"/>
    </xf>
    <xf numFmtId="0" fontId="2" fillId="0" borderId="19" xfId="0" quotePrefix="1" applyFont="1" applyBorder="1" applyAlignment="1">
      <alignment vertical="top" wrapText="1"/>
    </xf>
    <xf numFmtId="0" fontId="20" fillId="0" borderId="19" xfId="0" quotePrefix="1" applyFont="1" applyBorder="1" applyAlignment="1">
      <alignment vertical="top" wrapText="1"/>
    </xf>
    <xf numFmtId="0" fontId="42" fillId="0" borderId="19" xfId="0" applyFont="1" applyBorder="1" applyAlignment="1">
      <alignment vertical="top" wrapText="1"/>
    </xf>
    <xf numFmtId="0" fontId="2" fillId="7" borderId="19" xfId="0" applyFont="1" applyFill="1" applyBorder="1" applyAlignment="1">
      <alignment vertical="top" wrapText="1"/>
    </xf>
    <xf numFmtId="0" fontId="2" fillId="7" borderId="19" xfId="0" quotePrefix="1" applyFont="1" applyFill="1" applyBorder="1" applyAlignment="1">
      <alignment vertical="top" wrapText="1"/>
    </xf>
    <xf numFmtId="0" fontId="20" fillId="7" borderId="19" xfId="0" quotePrefix="1" applyFont="1" applyFill="1" applyBorder="1" applyAlignment="1">
      <alignment vertical="top" wrapText="1"/>
    </xf>
    <xf numFmtId="0" fontId="19" fillId="0" borderId="19" xfId="0" quotePrefix="1" applyFont="1" applyBorder="1" applyAlignment="1">
      <alignment vertical="top" wrapText="1"/>
    </xf>
    <xf numFmtId="0" fontId="2" fillId="22" borderId="19" xfId="0" applyFont="1" applyFill="1" applyBorder="1" applyAlignment="1">
      <alignment vertical="top" wrapText="1"/>
    </xf>
    <xf numFmtId="0" fontId="2" fillId="0" borderId="57" xfId="0" applyFont="1" applyBorder="1" applyAlignment="1">
      <alignment vertical="top"/>
    </xf>
    <xf numFmtId="0" fontId="1" fillId="0" borderId="58" xfId="0" applyFont="1" applyBorder="1" applyAlignment="1">
      <alignment vertical="top" wrapText="1"/>
    </xf>
    <xf numFmtId="0" fontId="1" fillId="0" borderId="59" xfId="0" applyFont="1" applyBorder="1" applyAlignment="1">
      <alignment vertical="top" wrapText="1"/>
    </xf>
    <xf numFmtId="0" fontId="1" fillId="0" borderId="57" xfId="0" applyFont="1" applyBorder="1" applyAlignment="1">
      <alignment vertical="top" wrapText="1"/>
    </xf>
    <xf numFmtId="0" fontId="12" fillId="0" borderId="57" xfId="0" applyFont="1" applyBorder="1" applyAlignment="1">
      <alignment vertical="top" wrapText="1"/>
    </xf>
    <xf numFmtId="9" fontId="1" fillId="0" borderId="57" xfId="0" applyNumberFormat="1" applyFont="1" applyBorder="1" applyAlignment="1">
      <alignment vertical="top" wrapText="1"/>
    </xf>
    <xf numFmtId="2" fontId="1" fillId="0" borderId="57" xfId="0" applyNumberFormat="1" applyFont="1" applyBorder="1" applyAlignment="1">
      <alignment vertical="top" wrapText="1"/>
    </xf>
    <xf numFmtId="0" fontId="1" fillId="0" borderId="57" xfId="0" applyFont="1" applyBorder="1" applyAlignment="1">
      <alignment vertical="top"/>
    </xf>
    <xf numFmtId="0" fontId="1" fillId="0" borderId="58" xfId="0" applyFont="1" applyBorder="1" applyAlignment="1">
      <alignment vertical="top"/>
    </xf>
    <xf numFmtId="0" fontId="1" fillId="18" borderId="57" xfId="0" applyFont="1" applyFill="1" applyBorder="1" applyAlignment="1">
      <alignment vertical="top"/>
    </xf>
    <xf numFmtId="0" fontId="1" fillId="27" borderId="57" xfId="0" applyFont="1" applyFill="1" applyBorder="1" applyAlignment="1">
      <alignment vertical="top"/>
    </xf>
    <xf numFmtId="0" fontId="2" fillId="19" borderId="60" xfId="0" applyFont="1" applyFill="1" applyBorder="1" applyAlignment="1">
      <alignment vertical="top" wrapText="1"/>
    </xf>
    <xf numFmtId="0" fontId="2" fillId="0" borderId="57" xfId="0" applyFont="1" applyBorder="1" applyAlignment="1">
      <alignment vertical="top" wrapText="1"/>
    </xf>
    <xf numFmtId="0" fontId="2" fillId="19" borderId="61" xfId="0" applyFont="1" applyFill="1" applyBorder="1" applyAlignment="1">
      <alignment vertical="top" wrapText="1"/>
    </xf>
    <xf numFmtId="0" fontId="2" fillId="2" borderId="57" xfId="0" applyFont="1" applyFill="1" applyBorder="1" applyAlignment="1">
      <alignment vertical="top" wrapText="1"/>
    </xf>
    <xf numFmtId="0" fontId="42" fillId="20" borderId="57" xfId="0" applyFont="1" applyFill="1" applyBorder="1" applyAlignment="1">
      <alignment vertical="top" wrapText="1"/>
    </xf>
    <xf numFmtId="0" fontId="2" fillId="8" borderId="57" xfId="0" applyFont="1" applyFill="1" applyBorder="1" applyAlignment="1">
      <alignment vertical="top"/>
    </xf>
    <xf numFmtId="0" fontId="2" fillId="2" borderId="57" xfId="0" applyFont="1" applyFill="1" applyBorder="1" applyAlignment="1">
      <alignment vertical="top"/>
    </xf>
    <xf numFmtId="0" fontId="2" fillId="7" borderId="57" xfId="0" applyFont="1" applyFill="1" applyBorder="1" applyAlignment="1">
      <alignment vertical="top"/>
    </xf>
    <xf numFmtId="1" fontId="1" fillId="0" borderId="57" xfId="0" applyNumberFormat="1" applyFont="1" applyBorder="1" applyAlignment="1">
      <alignment vertical="top"/>
    </xf>
    <xf numFmtId="0" fontId="1" fillId="2" borderId="57" xfId="0" applyFont="1" applyFill="1" applyBorder="1" applyAlignment="1">
      <alignment vertical="top" wrapText="1"/>
    </xf>
    <xf numFmtId="0" fontId="2" fillId="17" borderId="57" xfId="0" applyFont="1" applyFill="1" applyBorder="1" applyAlignment="1">
      <alignment vertical="top" wrapText="1"/>
    </xf>
    <xf numFmtId="0" fontId="2" fillId="0" borderId="57" xfId="0" quotePrefix="1" applyFont="1" applyBorder="1" applyAlignment="1">
      <alignment vertical="top" wrapText="1"/>
    </xf>
    <xf numFmtId="0" fontId="20" fillId="0" borderId="57" xfId="0" quotePrefix="1" applyFont="1" applyBorder="1" applyAlignment="1">
      <alignment vertical="top" wrapText="1"/>
    </xf>
    <xf numFmtId="0" fontId="42" fillId="0" borderId="57" xfId="0" applyFont="1" applyBorder="1" applyAlignment="1">
      <alignment vertical="top" wrapText="1"/>
    </xf>
    <xf numFmtId="0" fontId="2" fillId="7" borderId="57" xfId="0" applyFont="1" applyFill="1" applyBorder="1" applyAlignment="1">
      <alignment vertical="top" wrapText="1"/>
    </xf>
    <xf numFmtId="0" fontId="2" fillId="7" borderId="57" xfId="0" quotePrefix="1" applyFont="1" applyFill="1" applyBorder="1" applyAlignment="1">
      <alignment vertical="top" wrapText="1"/>
    </xf>
    <xf numFmtId="0" fontId="1" fillId="0" borderId="57" xfId="0" quotePrefix="1" applyFont="1" applyBorder="1" applyAlignment="1">
      <alignment vertical="top" wrapText="1"/>
    </xf>
    <xf numFmtId="0" fontId="20" fillId="7" borderId="57" xfId="0" quotePrefix="1" applyFont="1" applyFill="1" applyBorder="1" applyAlignment="1">
      <alignment vertical="top" wrapText="1"/>
    </xf>
    <xf numFmtId="0" fontId="19" fillId="0" borderId="57" xfId="0" quotePrefix="1" applyFont="1" applyBorder="1" applyAlignment="1">
      <alignment vertical="top" wrapText="1"/>
    </xf>
    <xf numFmtId="0" fontId="2" fillId="22" borderId="57" xfId="0" applyFont="1" applyFill="1" applyBorder="1" applyAlignment="1">
      <alignment vertical="top" wrapText="1"/>
    </xf>
    <xf numFmtId="0" fontId="1" fillId="0" borderId="57" xfId="0" applyFont="1" applyBorder="1"/>
    <xf numFmtId="0" fontId="2" fillId="19" borderId="16" xfId="0" applyFont="1" applyFill="1" applyBorder="1" applyAlignment="1">
      <alignment vertical="top" wrapText="1"/>
    </xf>
    <xf numFmtId="170" fontId="1" fillId="19" borderId="11" xfId="0" applyNumberFormat="1" applyFont="1" applyFill="1" applyBorder="1" applyAlignment="1">
      <alignment vertical="top" wrapText="1"/>
    </xf>
    <xf numFmtId="167" fontId="2" fillId="19" borderId="38" xfId="0" applyNumberFormat="1" applyFont="1" applyFill="1" applyBorder="1" applyAlignment="1">
      <alignment vertical="top" wrapText="1"/>
    </xf>
    <xf numFmtId="167" fontId="2" fillId="19" borderId="4" xfId="0" applyNumberFormat="1" applyFont="1" applyFill="1" applyBorder="1" applyAlignment="1">
      <alignment vertical="top" wrapText="1"/>
    </xf>
    <xf numFmtId="0" fontId="17" fillId="0" borderId="9" xfId="0" applyFont="1" applyBorder="1" applyAlignment="1">
      <alignment vertical="top" wrapText="1"/>
    </xf>
    <xf numFmtId="167" fontId="2" fillId="0" borderId="36" xfId="0" applyNumberFormat="1" applyFont="1" applyBorder="1" applyAlignment="1">
      <alignment vertical="top" wrapText="1"/>
    </xf>
    <xf numFmtId="0" fontId="2" fillId="19" borderId="3" xfId="0" applyFont="1" applyFill="1" applyBorder="1" applyAlignment="1">
      <alignment vertical="top" wrapText="1"/>
    </xf>
    <xf numFmtId="0" fontId="2" fillId="19" borderId="4" xfId="0" applyFont="1" applyFill="1" applyBorder="1" applyAlignment="1">
      <alignment vertical="top" wrapText="1"/>
    </xf>
    <xf numFmtId="0" fontId="2" fillId="19" borderId="63" xfId="0" applyFont="1" applyFill="1" applyBorder="1" applyAlignment="1">
      <alignment vertical="top" wrapText="1"/>
    </xf>
    <xf numFmtId="165" fontId="1" fillId="19" borderId="4" xfId="2" applyNumberFormat="1" applyFont="1" applyFill="1" applyBorder="1" applyAlignment="1">
      <alignment vertical="top"/>
    </xf>
    <xf numFmtId="167" fontId="1" fillId="19" borderId="4" xfId="0" applyNumberFormat="1" applyFont="1" applyFill="1" applyBorder="1" applyAlignment="1">
      <alignment vertical="top" wrapText="1"/>
    </xf>
    <xf numFmtId="165" fontId="1" fillId="19" borderId="4" xfId="0" applyNumberFormat="1" applyFont="1" applyFill="1" applyBorder="1" applyAlignment="1">
      <alignment vertical="top" wrapText="1"/>
    </xf>
    <xf numFmtId="165" fontId="1" fillId="19" borderId="4" xfId="2" applyNumberFormat="1" applyFont="1" applyFill="1" applyBorder="1" applyAlignment="1">
      <alignment vertical="top" wrapText="1"/>
    </xf>
    <xf numFmtId="1" fontId="1" fillId="19" borderId="3" xfId="0" applyNumberFormat="1" applyFont="1" applyFill="1" applyBorder="1" applyAlignment="1">
      <alignment vertical="top" wrapText="1"/>
    </xf>
    <xf numFmtId="0" fontId="1" fillId="19" borderId="4" xfId="0" applyFont="1" applyFill="1" applyBorder="1" applyAlignment="1">
      <alignment vertical="top" wrapText="1"/>
    </xf>
    <xf numFmtId="0" fontId="38" fillId="19" borderId="4" xfId="0" applyFont="1" applyFill="1" applyBorder="1" applyAlignment="1">
      <alignment vertical="top"/>
    </xf>
    <xf numFmtId="0" fontId="2" fillId="6" borderId="3" xfId="0" applyFont="1" applyFill="1" applyBorder="1" applyAlignment="1">
      <alignment vertical="top" wrapText="1"/>
    </xf>
    <xf numFmtId="0" fontId="2" fillId="6" borderId="4" xfId="0" applyFont="1" applyFill="1" applyBorder="1" applyAlignment="1">
      <alignment vertical="top" wrapText="1"/>
    </xf>
    <xf numFmtId="0" fontId="2" fillId="6" borderId="63" xfId="0" applyFont="1" applyFill="1" applyBorder="1" applyAlignment="1">
      <alignment vertical="top" wrapText="1"/>
    </xf>
    <xf numFmtId="165" fontId="1" fillId="6" borderId="4" xfId="2" applyNumberFormat="1" applyFont="1" applyFill="1" applyBorder="1" applyAlignment="1">
      <alignment vertical="top"/>
    </xf>
    <xf numFmtId="167" fontId="1" fillId="6" borderId="4" xfId="0" applyNumberFormat="1" applyFont="1" applyFill="1" applyBorder="1" applyAlignment="1">
      <alignment vertical="top" wrapText="1"/>
    </xf>
    <xf numFmtId="167" fontId="2" fillId="6" borderId="38" xfId="0" applyNumberFormat="1" applyFont="1" applyFill="1" applyBorder="1" applyAlignment="1">
      <alignment vertical="top" wrapText="1"/>
    </xf>
    <xf numFmtId="167" fontId="2" fillId="6" borderId="4" xfId="0" applyNumberFormat="1" applyFont="1" applyFill="1" applyBorder="1" applyAlignment="1">
      <alignment vertical="top" wrapText="1"/>
    </xf>
    <xf numFmtId="165" fontId="1" fillId="6" borderId="4" xfId="0" applyNumberFormat="1" applyFont="1" applyFill="1" applyBorder="1" applyAlignment="1">
      <alignment vertical="top" wrapText="1"/>
    </xf>
    <xf numFmtId="165" fontId="1" fillId="6" borderId="4" xfId="2" applyNumberFormat="1" applyFont="1" applyFill="1" applyBorder="1" applyAlignment="1">
      <alignment vertical="top" wrapText="1"/>
    </xf>
    <xf numFmtId="1" fontId="1" fillId="6" borderId="3" xfId="0" applyNumberFormat="1" applyFont="1" applyFill="1" applyBorder="1" applyAlignment="1">
      <alignment vertical="top" wrapText="1"/>
    </xf>
    <xf numFmtId="167" fontId="2" fillId="0" borderId="38" xfId="0" applyNumberFormat="1" applyFont="1" applyBorder="1" applyAlignment="1">
      <alignment vertical="top" wrapText="1"/>
    </xf>
    <xf numFmtId="0" fontId="1" fillId="6" borderId="4" xfId="0" applyFont="1" applyFill="1" applyBorder="1" applyAlignment="1">
      <alignment vertical="top" wrapText="1"/>
    </xf>
    <xf numFmtId="0" fontId="38" fillId="6" borderId="4" xfId="0" applyFont="1" applyFill="1" applyBorder="1" applyAlignment="1">
      <alignment vertical="top"/>
    </xf>
    <xf numFmtId="0" fontId="2" fillId="0" borderId="6" xfId="0" applyFont="1" applyBorder="1" applyAlignment="1">
      <alignment vertical="top" wrapText="1"/>
    </xf>
    <xf numFmtId="0" fontId="2" fillId="0" borderId="62" xfId="0" applyFont="1" applyBorder="1" applyAlignment="1">
      <alignment vertical="top" wrapText="1"/>
    </xf>
    <xf numFmtId="0" fontId="1" fillId="0" borderId="7" xfId="0" applyFont="1" applyBorder="1" applyAlignment="1">
      <alignment vertical="top"/>
    </xf>
    <xf numFmtId="167" fontId="2" fillId="0" borderId="7" xfId="0" applyNumberFormat="1" applyFont="1" applyBorder="1" applyAlignment="1">
      <alignment vertical="top" wrapText="1"/>
    </xf>
    <xf numFmtId="0" fontId="1" fillId="0" borderId="7" xfId="0" quotePrefix="1" applyFont="1" applyBorder="1" applyAlignment="1">
      <alignment vertical="top" wrapText="1"/>
    </xf>
    <xf numFmtId="167" fontId="2" fillId="0" borderId="8" xfId="0" applyNumberFormat="1" applyFont="1" applyBorder="1" applyAlignment="1">
      <alignment vertical="top" wrapText="1"/>
    </xf>
    <xf numFmtId="0" fontId="1" fillId="6" borderId="4" xfId="0" applyFont="1" applyFill="1" applyBorder="1" applyAlignment="1">
      <alignment vertical="top"/>
    </xf>
    <xf numFmtId="0" fontId="1" fillId="6" borderId="4" xfId="0" quotePrefix="1" applyFont="1" applyFill="1" applyBorder="1" applyAlignment="1">
      <alignment vertical="top" wrapText="1"/>
    </xf>
    <xf numFmtId="0" fontId="1" fillId="6" borderId="3" xfId="0" applyFont="1" applyFill="1" applyBorder="1" applyAlignment="1">
      <alignment vertical="top" wrapText="1"/>
    </xf>
    <xf numFmtId="165" fontId="2" fillId="0" borderId="10" xfId="2" applyNumberFormat="1" applyFont="1" applyFill="1" applyBorder="1"/>
    <xf numFmtId="0" fontId="79" fillId="0" borderId="10" xfId="0" applyFont="1" applyBorder="1" applyAlignment="1">
      <alignment wrapText="1"/>
    </xf>
    <xf numFmtId="0" fontId="79" fillId="0" borderId="8" xfId="0" applyFont="1" applyBorder="1" applyAlignment="1">
      <alignment wrapText="1"/>
    </xf>
    <xf numFmtId="0" fontId="21" fillId="0" borderId="3" xfId="0" applyFont="1" applyBorder="1" applyAlignment="1">
      <alignment vertical="top" wrapText="1"/>
    </xf>
    <xf numFmtId="0" fontId="21" fillId="0" borderId="9" xfId="0" applyFont="1" applyBorder="1" applyAlignment="1">
      <alignment vertical="top"/>
    </xf>
    <xf numFmtId="0" fontId="21" fillId="0" borderId="9" xfId="0" applyFont="1" applyBorder="1" applyAlignment="1">
      <alignment vertical="top" wrapText="1"/>
    </xf>
    <xf numFmtId="0" fontId="21" fillId="0" borderId="6" xfId="0" applyFont="1" applyBorder="1" applyAlignment="1">
      <alignment vertical="top" wrapText="1"/>
    </xf>
    <xf numFmtId="0" fontId="21" fillId="0" borderId="4" xfId="0" applyFont="1" applyBorder="1" applyAlignment="1">
      <alignment vertical="top" wrapText="1"/>
    </xf>
    <xf numFmtId="0" fontId="21" fillId="0" borderId="7" xfId="0" applyFont="1" applyBorder="1" applyAlignment="1">
      <alignment vertical="top" wrapText="1"/>
    </xf>
    <xf numFmtId="0" fontId="21" fillId="0" borderId="12" xfId="0" applyFont="1" applyBorder="1" applyAlignment="1">
      <alignment vertical="top"/>
    </xf>
    <xf numFmtId="0" fontId="21" fillId="0" borderId="13" xfId="0" applyFont="1" applyBorder="1" applyAlignment="1">
      <alignment vertical="top"/>
    </xf>
    <xf numFmtId="0" fontId="21" fillId="0" borderId="14" xfId="0" applyFont="1" applyBorder="1" applyAlignment="1">
      <alignment vertical="top"/>
    </xf>
    <xf numFmtId="0" fontId="18" fillId="5" borderId="1" xfId="0" applyFont="1" applyFill="1" applyBorder="1" applyAlignment="1">
      <alignment horizontal="center" vertical="top"/>
    </xf>
    <xf numFmtId="166" fontId="0" fillId="5" borderId="0" xfId="0" applyNumberFormat="1" applyFill="1"/>
    <xf numFmtId="1" fontId="7" fillId="0" borderId="0" xfId="0" applyNumberFormat="1" applyFont="1"/>
    <xf numFmtId="0" fontId="6" fillId="0" borderId="0" xfId="1" applyAlignment="1">
      <alignment vertical="top" wrapText="1"/>
    </xf>
    <xf numFmtId="0" fontId="21" fillId="0" borderId="4" xfId="0" applyFont="1" applyBorder="1" applyAlignment="1">
      <alignment vertical="top"/>
    </xf>
    <xf numFmtId="9" fontId="21" fillId="0" borderId="0" xfId="0" applyNumberFormat="1" applyFont="1" applyAlignment="1">
      <alignment vertical="top" wrapText="1"/>
    </xf>
    <xf numFmtId="9" fontId="38" fillId="0" borderId="0" xfId="0" applyNumberFormat="1" applyFont="1" applyAlignment="1">
      <alignment vertical="top"/>
    </xf>
    <xf numFmtId="2" fontId="1" fillId="0" borderId="0" xfId="2" applyNumberFormat="1" applyFont="1" applyAlignment="1">
      <alignment vertical="top" wrapText="1"/>
    </xf>
    <xf numFmtId="169" fontId="1" fillId="0" borderId="0" xfId="2" applyNumberFormat="1" applyFont="1" applyAlignment="1">
      <alignment vertical="top" wrapText="1"/>
    </xf>
    <xf numFmtId="1" fontId="1" fillId="0" borderId="0" xfId="2" applyNumberFormat="1" applyFont="1" applyAlignment="1">
      <alignment vertical="top" wrapText="1"/>
    </xf>
    <xf numFmtId="2" fontId="1" fillId="0" borderId="0" xfId="2" applyNumberFormat="1" applyFont="1" applyBorder="1" applyAlignment="1">
      <alignment vertical="top" wrapText="1"/>
    </xf>
    <xf numFmtId="9" fontId="1" fillId="0" borderId="10" xfId="2" applyFont="1" applyBorder="1" applyAlignment="1">
      <alignment vertical="top" wrapText="1"/>
    </xf>
    <xf numFmtId="1" fontId="1" fillId="0" borderId="0" xfId="2" applyNumberFormat="1" applyFont="1" applyBorder="1" applyAlignment="1">
      <alignment vertical="top" wrapText="1"/>
    </xf>
    <xf numFmtId="167" fontId="17" fillId="0" borderId="28" xfId="0" applyNumberFormat="1" applyFont="1" applyBorder="1" applyAlignment="1">
      <alignment vertical="top" wrapText="1"/>
    </xf>
    <xf numFmtId="167" fontId="17" fillId="0" borderId="0" xfId="0" applyNumberFormat="1" applyFont="1" applyAlignment="1">
      <alignment vertical="top" wrapText="1"/>
    </xf>
    <xf numFmtId="9" fontId="1" fillId="0" borderId="28" xfId="2" applyFont="1" applyBorder="1" applyAlignment="1">
      <alignment vertical="top" wrapText="1"/>
    </xf>
    <xf numFmtId="167" fontId="80" fillId="0" borderId="28" xfId="0" applyNumberFormat="1" applyFont="1" applyBorder="1" applyAlignment="1">
      <alignment vertical="top" wrapText="1"/>
    </xf>
    <xf numFmtId="0" fontId="80" fillId="0" borderId="19" xfId="0" applyFont="1" applyBorder="1" applyAlignment="1">
      <alignment vertical="top" wrapText="1"/>
    </xf>
    <xf numFmtId="0" fontId="80" fillId="0" borderId="0" xfId="0" applyFont="1" applyAlignment="1">
      <alignment vertical="top" wrapText="1"/>
    </xf>
    <xf numFmtId="167" fontId="80" fillId="0" borderId="0" xfId="0" applyNumberFormat="1" applyFont="1" applyAlignment="1">
      <alignment vertical="top" wrapText="1"/>
    </xf>
    <xf numFmtId="167" fontId="76" fillId="0" borderId="10" xfId="0" applyNumberFormat="1" applyFont="1" applyBorder="1" applyAlignment="1">
      <alignment vertical="top" wrapText="1"/>
    </xf>
    <xf numFmtId="167" fontId="76" fillId="0" borderId="28" xfId="0" applyNumberFormat="1" applyFont="1" applyBorder="1" applyAlignment="1">
      <alignment vertical="top" wrapText="1"/>
    </xf>
    <xf numFmtId="167" fontId="17" fillId="0" borderId="10" xfId="0" applyNumberFormat="1" applyFont="1" applyBorder="1" applyAlignment="1">
      <alignment vertical="top" wrapText="1"/>
    </xf>
    <xf numFmtId="167" fontId="44" fillId="0" borderId="28" xfId="0" applyNumberFormat="1" applyFont="1" applyBorder="1" applyAlignment="1">
      <alignment vertical="top" wrapText="1"/>
    </xf>
    <xf numFmtId="165" fontId="1" fillId="5" borderId="3" xfId="0" applyNumberFormat="1" applyFont="1" applyFill="1" applyBorder="1" applyAlignment="1">
      <alignment vertical="top" wrapText="1"/>
    </xf>
    <xf numFmtId="165" fontId="1" fillId="5" borderId="4" xfId="0" applyNumberFormat="1" applyFont="1" applyFill="1" applyBorder="1" applyAlignment="1">
      <alignment vertical="top" wrapText="1"/>
    </xf>
    <xf numFmtId="165" fontId="1" fillId="5" borderId="5" xfId="0" applyNumberFormat="1" applyFont="1" applyFill="1" applyBorder="1" applyAlignment="1">
      <alignment vertical="top" wrapText="1"/>
    </xf>
    <xf numFmtId="165" fontId="1" fillId="5" borderId="9" xfId="0" applyNumberFormat="1" applyFont="1" applyFill="1" applyBorder="1" applyAlignment="1">
      <alignment vertical="top" wrapText="1"/>
    </xf>
    <xf numFmtId="165" fontId="1" fillId="5" borderId="0" xfId="0" applyNumberFormat="1" applyFont="1" applyFill="1" applyAlignment="1">
      <alignment vertical="top" wrapText="1"/>
    </xf>
    <xf numFmtId="165" fontId="1" fillId="5" borderId="10" xfId="0" applyNumberFormat="1" applyFont="1" applyFill="1" applyBorder="1" applyAlignment="1">
      <alignment vertical="top" wrapText="1"/>
    </xf>
    <xf numFmtId="167" fontId="19" fillId="4" borderId="0" xfId="0" applyNumberFormat="1" applyFont="1" applyFill="1" applyAlignment="1">
      <alignment horizontal="left" vertical="top" readingOrder="1"/>
    </xf>
    <xf numFmtId="0" fontId="41" fillId="0" borderId="9" xfId="0" applyFont="1" applyBorder="1" applyAlignment="1">
      <alignment vertical="top" wrapText="1"/>
    </xf>
    <xf numFmtId="167" fontId="41" fillId="0" borderId="28" xfId="0" applyNumberFormat="1" applyFont="1" applyBorder="1" applyAlignment="1">
      <alignment vertical="top" wrapText="1"/>
    </xf>
    <xf numFmtId="0" fontId="1" fillId="0" borderId="5" xfId="0" applyFont="1" applyBorder="1" applyAlignment="1">
      <alignment vertical="top" wrapText="1"/>
    </xf>
    <xf numFmtId="0" fontId="1" fillId="5" borderId="9" xfId="0" applyFont="1" applyFill="1" applyBorder="1"/>
    <xf numFmtId="165" fontId="1" fillId="5" borderId="10" xfId="2" applyNumberFormat="1" applyFont="1" applyFill="1" applyBorder="1"/>
    <xf numFmtId="165" fontId="1" fillId="0" borderId="10" xfId="2" applyNumberFormat="1" applyFont="1" applyFill="1" applyBorder="1"/>
    <xf numFmtId="0" fontId="78" fillId="7" borderId="9" xfId="0" applyFont="1" applyFill="1" applyBorder="1"/>
    <xf numFmtId="0" fontId="1" fillId="7" borderId="9" xfId="0" applyFont="1" applyFill="1" applyBorder="1"/>
    <xf numFmtId="165" fontId="1" fillId="7" borderId="10" xfId="2" applyNumberFormat="1" applyFont="1" applyFill="1" applyBorder="1"/>
    <xf numFmtId="0" fontId="2" fillId="6" borderId="9" xfId="0" applyFont="1" applyFill="1" applyBorder="1" applyAlignment="1">
      <alignment vertical="top" wrapText="1"/>
    </xf>
    <xf numFmtId="0" fontId="2" fillId="6" borderId="57" xfId="0" applyFont="1" applyFill="1" applyBorder="1" applyAlignment="1">
      <alignment vertical="top" wrapText="1"/>
    </xf>
    <xf numFmtId="167" fontId="2" fillId="6" borderId="28" xfId="0" applyNumberFormat="1" applyFont="1" applyFill="1" applyBorder="1" applyAlignment="1">
      <alignment vertical="top" wrapText="1"/>
    </xf>
    <xf numFmtId="0" fontId="1" fillId="6" borderId="9" xfId="0" applyFont="1" applyFill="1" applyBorder="1" applyAlignment="1">
      <alignment vertical="top" wrapText="1"/>
    </xf>
    <xf numFmtId="167" fontId="2" fillId="6" borderId="10" xfId="0" applyNumberFormat="1" applyFont="1" applyFill="1" applyBorder="1" applyAlignment="1">
      <alignment vertical="top" wrapText="1"/>
    </xf>
    <xf numFmtId="0" fontId="38" fillId="6" borderId="0" xfId="0" applyFont="1" applyFill="1" applyAlignment="1">
      <alignment vertical="top"/>
    </xf>
    <xf numFmtId="0" fontId="2" fillId="19" borderId="35" xfId="0" applyFont="1" applyFill="1" applyBorder="1" applyAlignment="1">
      <alignment vertical="top" wrapText="1"/>
    </xf>
    <xf numFmtId="0" fontId="2" fillId="19" borderId="7" xfId="0" applyFont="1" applyFill="1" applyBorder="1" applyAlignment="1">
      <alignment vertical="top" wrapText="1"/>
    </xf>
    <xf numFmtId="0" fontId="2" fillId="19" borderId="62" xfId="0" applyFont="1" applyFill="1" applyBorder="1" applyAlignment="1">
      <alignment vertical="top" wrapText="1"/>
    </xf>
    <xf numFmtId="0" fontId="1" fillId="19" borderId="7" xfId="0" applyFont="1" applyFill="1" applyBorder="1" applyAlignment="1">
      <alignment vertical="top"/>
    </xf>
    <xf numFmtId="167" fontId="1" fillId="19" borderId="7" xfId="0" applyNumberFormat="1" applyFont="1" applyFill="1" applyBorder="1" applyAlignment="1">
      <alignment vertical="top" wrapText="1"/>
    </xf>
    <xf numFmtId="167" fontId="2" fillId="3" borderId="36" xfId="0" applyNumberFormat="1" applyFont="1" applyFill="1" applyBorder="1" applyAlignment="1">
      <alignment vertical="top" wrapText="1"/>
    </xf>
    <xf numFmtId="0" fontId="1" fillId="19" borderId="7" xfId="0" applyFont="1" applyFill="1" applyBorder="1" applyAlignment="1">
      <alignment vertical="top" wrapText="1"/>
    </xf>
    <xf numFmtId="167" fontId="2" fillId="3" borderId="7" xfId="0" applyNumberFormat="1" applyFont="1" applyFill="1" applyBorder="1" applyAlignment="1">
      <alignment vertical="top" wrapText="1"/>
    </xf>
    <xf numFmtId="167" fontId="2" fillId="19" borderId="7" xfId="0" applyNumberFormat="1" applyFont="1" applyFill="1" applyBorder="1" applyAlignment="1">
      <alignment vertical="top" wrapText="1"/>
    </xf>
    <xf numFmtId="0" fontId="1" fillId="19" borderId="6" xfId="0" applyFont="1" applyFill="1" applyBorder="1" applyAlignment="1">
      <alignment vertical="top" wrapText="1"/>
    </xf>
    <xf numFmtId="167" fontId="2" fillId="19" borderId="8" xfId="0" applyNumberFormat="1" applyFont="1" applyFill="1" applyBorder="1" applyAlignment="1">
      <alignment vertical="top" wrapText="1"/>
    </xf>
    <xf numFmtId="0" fontId="82" fillId="17" borderId="3" xfId="0" applyFont="1" applyFill="1" applyBorder="1" applyAlignment="1">
      <alignment vertical="top" wrapText="1"/>
    </xf>
    <xf numFmtId="0" fontId="83" fillId="17" borderId="4" xfId="0" applyFont="1" applyFill="1" applyBorder="1" applyAlignment="1">
      <alignment vertical="top"/>
    </xf>
    <xf numFmtId="9" fontId="83" fillId="17" borderId="4" xfId="0" applyNumberFormat="1" applyFont="1" applyFill="1" applyBorder="1" applyAlignment="1">
      <alignment vertical="top"/>
    </xf>
    <xf numFmtId="165" fontId="83" fillId="17" borderId="5" xfId="0" applyNumberFormat="1" applyFont="1" applyFill="1" applyBorder="1" applyAlignment="1">
      <alignment vertical="top"/>
    </xf>
    <xf numFmtId="0" fontId="84" fillId="0" borderId="0" xfId="0" applyFont="1" applyAlignment="1">
      <alignment horizontal="right"/>
    </xf>
    <xf numFmtId="0" fontId="84" fillId="0" borderId="10" xfId="0" applyFont="1" applyBorder="1" applyAlignment="1">
      <alignment horizontal="right"/>
    </xf>
    <xf numFmtId="165" fontId="21" fillId="0" borderId="0" xfId="2" applyNumberFormat="1" applyFont="1" applyBorder="1"/>
    <xf numFmtId="0" fontId="21" fillId="3" borderId="10" xfId="0" applyFont="1" applyFill="1" applyBorder="1"/>
    <xf numFmtId="9" fontId="21" fillId="0" borderId="0" xfId="0" applyNumberFormat="1" applyFont="1"/>
    <xf numFmtId="9" fontId="21" fillId="0" borderId="10" xfId="0" applyNumberFormat="1" applyFont="1" applyBorder="1"/>
    <xf numFmtId="0" fontId="21" fillId="0" borderId="6" xfId="0" applyFont="1" applyBorder="1" applyAlignment="1">
      <alignment wrapText="1"/>
    </xf>
    <xf numFmtId="1" fontId="21" fillId="3" borderId="7" xfId="0" applyNumberFormat="1" applyFont="1" applyFill="1" applyBorder="1"/>
    <xf numFmtId="1" fontId="21" fillId="3" borderId="8" xfId="0" applyNumberFormat="1" applyFont="1" applyFill="1" applyBorder="1"/>
    <xf numFmtId="0" fontId="21" fillId="0" borderId="9" xfId="0" applyFont="1" applyBorder="1" applyAlignment="1">
      <alignment wrapText="1"/>
    </xf>
    <xf numFmtId="1" fontId="21" fillId="0" borderId="0" xfId="0" applyNumberFormat="1" applyFont="1"/>
    <xf numFmtId="0" fontId="85" fillId="0" borderId="0" xfId="0" applyFont="1" applyAlignment="1">
      <alignment vertical="top" wrapText="1"/>
    </xf>
    <xf numFmtId="9" fontId="85" fillId="0" borderId="0" xfId="0" applyNumberFormat="1" applyFont="1" applyAlignment="1">
      <alignment vertical="top"/>
    </xf>
    <xf numFmtId="165" fontId="85" fillId="0" borderId="0" xfId="0" applyNumberFormat="1" applyFont="1" applyAlignment="1">
      <alignment vertical="top"/>
    </xf>
    <xf numFmtId="0" fontId="2" fillId="0" borderId="26" xfId="0" applyFont="1" applyBorder="1" applyAlignment="1">
      <alignment vertical="top" wrapText="1"/>
    </xf>
    <xf numFmtId="0" fontId="2" fillId="0" borderId="25" xfId="0" applyFont="1" applyBorder="1" applyAlignment="1">
      <alignment vertical="top"/>
    </xf>
    <xf numFmtId="0" fontId="1" fillId="0" borderId="32" xfId="0" applyFont="1" applyBorder="1" applyAlignment="1">
      <alignment vertical="top"/>
    </xf>
    <xf numFmtId="0" fontId="1" fillId="0" borderId="37" xfId="0" applyFont="1" applyBorder="1" applyAlignment="1">
      <alignment vertical="top" wrapText="1"/>
    </xf>
    <xf numFmtId="167" fontId="2" fillId="18" borderId="28" xfId="0" applyNumberFormat="1" applyFont="1" applyFill="1" applyBorder="1" applyAlignment="1">
      <alignment vertical="top" wrapText="1"/>
    </xf>
    <xf numFmtId="167" fontId="1" fillId="27" borderId="28" xfId="0" applyNumberFormat="1" applyFont="1" applyFill="1" applyBorder="1" applyAlignment="1">
      <alignment vertical="top" wrapText="1"/>
    </xf>
    <xf numFmtId="169" fontId="80" fillId="0" borderId="0" xfId="2" applyNumberFormat="1" applyFont="1" applyAlignment="1">
      <alignment vertical="top" wrapText="1"/>
    </xf>
    <xf numFmtId="169" fontId="2" fillId="0" borderId="28" xfId="0" applyNumberFormat="1" applyFont="1" applyBorder="1" applyAlignment="1">
      <alignment vertical="top" wrapText="1"/>
    </xf>
    <xf numFmtId="165" fontId="52" fillId="0" borderId="21" xfId="2" applyNumberFormat="1" applyFont="1" applyBorder="1" applyAlignment="1">
      <alignment vertical="top" wrapText="1"/>
    </xf>
    <xf numFmtId="165" fontId="52" fillId="0" borderId="21" xfId="2" applyNumberFormat="1" applyFont="1" applyFill="1" applyBorder="1" applyAlignment="1">
      <alignment vertical="top" wrapText="1"/>
    </xf>
    <xf numFmtId="0" fontId="52" fillId="0" borderId="32" xfId="0" applyFont="1" applyBorder="1" applyAlignment="1">
      <alignment vertical="top" wrapText="1"/>
    </xf>
    <xf numFmtId="0" fontId="86" fillId="0" borderId="0" xfId="0" applyFont="1" applyAlignment="1">
      <alignment vertical="top" wrapText="1"/>
    </xf>
    <xf numFmtId="9" fontId="55" fillId="0" borderId="0" xfId="0" applyNumberFormat="1" applyFont="1" applyAlignment="1">
      <alignment vertical="top" wrapText="1"/>
    </xf>
    <xf numFmtId="0" fontId="55" fillId="0" borderId="0" xfId="0" applyFont="1" applyAlignment="1">
      <alignment vertical="top" wrapText="1"/>
    </xf>
    <xf numFmtId="0" fontId="55" fillId="0" borderId="0" xfId="0" applyFont="1" applyAlignment="1">
      <alignment vertical="top"/>
    </xf>
    <xf numFmtId="0" fontId="41" fillId="0" borderId="4" xfId="0" applyFont="1" applyBorder="1" applyAlignment="1">
      <alignment horizontal="center" vertical="top"/>
    </xf>
    <xf numFmtId="10" fontId="55" fillId="0" borderId="0" xfId="0" applyNumberFormat="1" applyFont="1" applyAlignment="1">
      <alignment vertical="top" wrapText="1"/>
    </xf>
    <xf numFmtId="165" fontId="87" fillId="0" borderId="0" xfId="2" applyNumberFormat="1" applyFont="1" applyBorder="1" applyAlignment="1">
      <alignment vertical="top" wrapText="1"/>
    </xf>
    <xf numFmtId="1" fontId="17" fillId="0" borderId="0" xfId="0" applyNumberFormat="1" applyFont="1" applyAlignment="1">
      <alignment vertical="top" wrapText="1"/>
    </xf>
    <xf numFmtId="1" fontId="1" fillId="19" borderId="11" xfId="0" applyNumberFormat="1" applyFont="1" applyFill="1" applyBorder="1" applyAlignment="1">
      <alignment vertical="top" wrapText="1"/>
    </xf>
    <xf numFmtId="1" fontId="1" fillId="19" borderId="4" xfId="0" applyNumberFormat="1" applyFont="1" applyFill="1" applyBorder="1" applyAlignment="1">
      <alignment vertical="top" wrapText="1"/>
    </xf>
    <xf numFmtId="1" fontId="1" fillId="6" borderId="4" xfId="0" applyNumberFormat="1" applyFont="1" applyFill="1" applyBorder="1" applyAlignment="1">
      <alignment vertical="top" wrapText="1"/>
    </xf>
    <xf numFmtId="9" fontId="21" fillId="0" borderId="0" xfId="2" applyFont="1" applyAlignment="1">
      <alignment vertical="top"/>
    </xf>
    <xf numFmtId="0" fontId="21" fillId="0" borderId="3" xfId="0" applyFont="1" applyBorder="1" applyAlignment="1">
      <alignment horizontal="right" vertical="top" wrapText="1"/>
    </xf>
    <xf numFmtId="0" fontId="7" fillId="0" borderId="10" xfId="0" applyFont="1" applyBorder="1" applyAlignment="1">
      <alignment vertical="top"/>
    </xf>
    <xf numFmtId="0" fontId="21" fillId="0" borderId="6" xfId="0" applyFont="1" applyBorder="1" applyAlignment="1">
      <alignment vertical="top"/>
    </xf>
    <xf numFmtId="169" fontId="7" fillId="0" borderId="8" xfId="0" applyNumberFormat="1" applyFont="1" applyBorder="1" applyAlignment="1">
      <alignment vertical="top"/>
    </xf>
    <xf numFmtId="0" fontId="21" fillId="0" borderId="3" xfId="0" applyFont="1" applyBorder="1" applyAlignment="1">
      <alignment vertical="top"/>
    </xf>
    <xf numFmtId="0" fontId="21" fillId="0" borderId="5" xfId="0" applyFont="1" applyBorder="1" applyAlignment="1">
      <alignment vertical="top"/>
    </xf>
    <xf numFmtId="0" fontId="21" fillId="0" borderId="10" xfId="0" applyFont="1" applyBorder="1" applyAlignment="1">
      <alignment vertical="top"/>
    </xf>
    <xf numFmtId="169" fontId="21" fillId="0" borderId="6" xfId="0" applyNumberFormat="1" applyFont="1" applyBorder="1" applyAlignment="1">
      <alignment vertical="top"/>
    </xf>
    <xf numFmtId="169" fontId="7" fillId="0" borderId="8" xfId="2" applyNumberFormat="1" applyFont="1" applyBorder="1" applyAlignment="1">
      <alignment vertical="top"/>
    </xf>
    <xf numFmtId="0" fontId="88" fillId="0" borderId="10" xfId="0" applyFont="1" applyBorder="1" applyAlignment="1">
      <alignment vertical="top"/>
    </xf>
    <xf numFmtId="1" fontId="80" fillId="0" borderId="28" xfId="0" applyNumberFormat="1" applyFont="1" applyBorder="1" applyAlignment="1">
      <alignment vertical="top" wrapText="1"/>
    </xf>
    <xf numFmtId="9" fontId="80" fillId="0" borderId="0" xfId="2" applyFont="1" applyAlignment="1">
      <alignment vertical="top" wrapText="1"/>
    </xf>
    <xf numFmtId="9" fontId="80" fillId="0" borderId="28" xfId="2" applyFont="1" applyBorder="1" applyAlignment="1">
      <alignment vertical="top" wrapText="1"/>
    </xf>
    <xf numFmtId="0" fontId="89" fillId="0" borderId="45" xfId="0" applyFont="1" applyBorder="1" applyAlignment="1">
      <alignment vertical="top"/>
    </xf>
    <xf numFmtId="0" fontId="90" fillId="0" borderId="43" xfId="0" applyFont="1" applyBorder="1" applyAlignment="1">
      <alignment vertical="top" wrapText="1"/>
    </xf>
    <xf numFmtId="0" fontId="90" fillId="0" borderId="44" xfId="0" applyFont="1" applyBorder="1" applyAlignment="1">
      <alignment vertical="top" wrapText="1"/>
    </xf>
    <xf numFmtId="0" fontId="89" fillId="0" borderId="0" xfId="0" applyFont="1" applyAlignment="1">
      <alignment vertical="top"/>
    </xf>
    <xf numFmtId="0" fontId="90" fillId="5" borderId="17" xfId="0" applyFont="1" applyFill="1" applyBorder="1" applyAlignment="1">
      <alignment vertical="top"/>
    </xf>
    <xf numFmtId="0" fontId="89" fillId="5" borderId="18" xfId="0" applyFont="1" applyFill="1" applyBorder="1" applyAlignment="1">
      <alignment vertical="top" wrapText="1"/>
    </xf>
    <xf numFmtId="0" fontId="89" fillId="5" borderId="27" xfId="0" applyFont="1" applyFill="1" applyBorder="1" applyAlignment="1">
      <alignment vertical="top" wrapText="1"/>
    </xf>
    <xf numFmtId="0" fontId="90" fillId="12" borderId="19" xfId="0" applyFont="1" applyFill="1" applyBorder="1" applyAlignment="1">
      <alignment vertical="top"/>
    </xf>
    <xf numFmtId="0" fontId="89" fillId="12" borderId="0" xfId="0" applyFont="1" applyFill="1" applyAlignment="1">
      <alignment vertical="top" wrapText="1"/>
    </xf>
    <xf numFmtId="0" fontId="89" fillId="12" borderId="28" xfId="0" applyFont="1" applyFill="1" applyBorder="1" applyAlignment="1">
      <alignment vertical="top" wrapText="1"/>
    </xf>
    <xf numFmtId="1" fontId="89" fillId="12" borderId="0" xfId="0" applyNumberFormat="1" applyFont="1" applyFill="1" applyAlignment="1">
      <alignment vertical="top" wrapText="1"/>
    </xf>
    <xf numFmtId="1" fontId="89" fillId="12" borderId="0" xfId="0" applyNumberFormat="1" applyFont="1" applyFill="1" applyAlignment="1">
      <alignment vertical="top"/>
    </xf>
    <xf numFmtId="1" fontId="89" fillId="12" borderId="28" xfId="0" applyNumberFormat="1" applyFont="1" applyFill="1" applyBorder="1" applyAlignment="1">
      <alignment vertical="top"/>
    </xf>
    <xf numFmtId="0" fontId="92" fillId="0" borderId="0" xfId="0" applyFont="1" applyAlignment="1">
      <alignment vertical="top"/>
    </xf>
    <xf numFmtId="165" fontId="89" fillId="12" borderId="0" xfId="2" applyNumberFormat="1" applyFont="1" applyFill="1" applyBorder="1" applyAlignment="1">
      <alignment vertical="top" wrapText="1"/>
    </xf>
    <xf numFmtId="165" fontId="89" fillId="12" borderId="0" xfId="2" applyNumberFormat="1" applyFont="1" applyFill="1" applyBorder="1" applyAlignment="1">
      <alignment vertical="top"/>
    </xf>
    <xf numFmtId="165" fontId="89" fillId="12" borderId="28" xfId="2" applyNumberFormat="1" applyFont="1" applyFill="1" applyBorder="1" applyAlignment="1">
      <alignment vertical="top"/>
    </xf>
    <xf numFmtId="0" fontId="89" fillId="0" borderId="20" xfId="0" applyFont="1" applyBorder="1" applyAlignment="1">
      <alignment vertical="top"/>
    </xf>
    <xf numFmtId="10" fontId="89" fillId="0" borderId="21" xfId="0" applyNumberFormat="1" applyFont="1" applyBorder="1" applyAlignment="1">
      <alignment vertical="top" wrapText="1"/>
    </xf>
    <xf numFmtId="10" fontId="89" fillId="0" borderId="21" xfId="0" applyNumberFormat="1" applyFont="1" applyBorder="1" applyAlignment="1">
      <alignment vertical="top"/>
    </xf>
    <xf numFmtId="0" fontId="89" fillId="0" borderId="29" xfId="0" applyFont="1" applyBorder="1" applyAlignment="1">
      <alignment horizontal="right" vertical="top"/>
    </xf>
    <xf numFmtId="169" fontId="93" fillId="0" borderId="0" xfId="0" applyNumberFormat="1" applyFont="1" applyAlignment="1">
      <alignment vertical="top"/>
    </xf>
    <xf numFmtId="0" fontId="90" fillId="5" borderId="19" xfId="0" applyFont="1" applyFill="1" applyBorder="1" applyAlignment="1">
      <alignment vertical="top"/>
    </xf>
    <xf numFmtId="165" fontId="89" fillId="5" borderId="0" xfId="2" applyNumberFormat="1" applyFont="1" applyFill="1" applyBorder="1" applyAlignment="1">
      <alignment vertical="top" wrapText="1"/>
    </xf>
    <xf numFmtId="165" fontId="89" fillId="5" borderId="0" xfId="2" applyNumberFormat="1" applyFont="1" applyFill="1" applyBorder="1" applyAlignment="1">
      <alignment vertical="top"/>
    </xf>
    <xf numFmtId="165" fontId="89" fillId="5" borderId="28" xfId="2" applyNumberFormat="1" applyFont="1" applyFill="1" applyBorder="1" applyAlignment="1">
      <alignment vertical="top"/>
    </xf>
    <xf numFmtId="167" fontId="89" fillId="12" borderId="0" xfId="0" applyNumberFormat="1" applyFont="1" applyFill="1" applyAlignment="1">
      <alignment vertical="top" wrapText="1"/>
    </xf>
    <xf numFmtId="167" fontId="89" fillId="12" borderId="0" xfId="0" applyNumberFormat="1" applyFont="1" applyFill="1" applyAlignment="1">
      <alignment vertical="top"/>
    </xf>
    <xf numFmtId="167" fontId="89" fillId="12" borderId="28" xfId="0" applyNumberFormat="1" applyFont="1" applyFill="1" applyBorder="1" applyAlignment="1">
      <alignment vertical="top"/>
    </xf>
    <xf numFmtId="167" fontId="89" fillId="12" borderId="12" xfId="2" applyNumberFormat="1" applyFont="1" applyFill="1" applyBorder="1" applyAlignment="1">
      <alignment vertical="top"/>
    </xf>
    <xf numFmtId="167" fontId="89" fillId="0" borderId="0" xfId="0" applyNumberFormat="1" applyFont="1" applyAlignment="1">
      <alignment vertical="top"/>
    </xf>
    <xf numFmtId="167" fontId="89" fillId="12" borderId="13" xfId="0" applyNumberFormat="1" applyFont="1" applyFill="1" applyBorder="1" applyAlignment="1">
      <alignment vertical="top"/>
    </xf>
    <xf numFmtId="0" fontId="89" fillId="0" borderId="19" xfId="0" applyFont="1" applyBorder="1" applyAlignment="1">
      <alignment vertical="top"/>
    </xf>
    <xf numFmtId="167" fontId="89" fillId="0" borderId="28" xfId="0" applyNumberFormat="1" applyFont="1" applyBorder="1" applyAlignment="1">
      <alignment vertical="top"/>
    </xf>
    <xf numFmtId="167" fontId="89" fillId="0" borderId="13" xfId="0" applyNumberFormat="1" applyFont="1" applyBorder="1" applyAlignment="1">
      <alignment vertical="top"/>
    </xf>
    <xf numFmtId="167" fontId="89" fillId="0" borderId="0" xfId="0" applyNumberFormat="1" applyFont="1" applyAlignment="1">
      <alignment vertical="top" wrapText="1"/>
    </xf>
    <xf numFmtId="0" fontId="89" fillId="0" borderId="20" xfId="0" applyFont="1" applyBorder="1" applyAlignment="1">
      <alignment vertical="top" wrapText="1"/>
    </xf>
    <xf numFmtId="167" fontId="89" fillId="0" borderId="21" xfId="0" applyNumberFormat="1" applyFont="1" applyBorder="1" applyAlignment="1">
      <alignment vertical="top" wrapText="1"/>
    </xf>
    <xf numFmtId="167" fontId="89" fillId="0" borderId="21" xfId="0" applyNumberFormat="1" applyFont="1" applyBorder="1" applyAlignment="1">
      <alignment vertical="top"/>
    </xf>
    <xf numFmtId="167" fontId="89" fillId="0" borderId="29" xfId="0" applyNumberFormat="1" applyFont="1" applyBorder="1" applyAlignment="1">
      <alignment vertical="top"/>
    </xf>
    <xf numFmtId="167" fontId="89" fillId="0" borderId="14" xfId="0" applyNumberFormat="1" applyFont="1" applyBorder="1" applyAlignment="1">
      <alignment vertical="top"/>
    </xf>
    <xf numFmtId="167" fontId="89" fillId="5" borderId="18" xfId="0" applyNumberFormat="1" applyFont="1" applyFill="1" applyBorder="1" applyAlignment="1">
      <alignment vertical="top" wrapText="1"/>
    </xf>
    <xf numFmtId="167" fontId="89" fillId="5" borderId="18" xfId="0" applyNumberFormat="1" applyFont="1" applyFill="1" applyBorder="1" applyAlignment="1">
      <alignment vertical="top"/>
    </xf>
    <xf numFmtId="167" fontId="89" fillId="5" borderId="27" xfId="0" applyNumberFormat="1" applyFont="1" applyFill="1" applyBorder="1" applyAlignment="1">
      <alignment vertical="top"/>
    </xf>
    <xf numFmtId="0" fontId="90" fillId="12" borderId="20" xfId="0" applyFont="1" applyFill="1" applyBorder="1" applyAlignment="1">
      <alignment vertical="top" wrapText="1"/>
    </xf>
    <xf numFmtId="167" fontId="89" fillId="12" borderId="21" xfId="0" applyNumberFormat="1" applyFont="1" applyFill="1" applyBorder="1" applyAlignment="1">
      <alignment vertical="top" wrapText="1"/>
    </xf>
    <xf numFmtId="167" fontId="89" fillId="12" borderId="21" xfId="0" applyNumberFormat="1" applyFont="1" applyFill="1" applyBorder="1" applyAlignment="1">
      <alignment vertical="top"/>
    </xf>
    <xf numFmtId="167" fontId="89" fillId="12" borderId="29" xfId="0" applyNumberFormat="1" applyFont="1" applyFill="1" applyBorder="1" applyAlignment="1">
      <alignment vertical="top"/>
    </xf>
    <xf numFmtId="0" fontId="90" fillId="5" borderId="17" xfId="0" applyFont="1" applyFill="1" applyBorder="1" applyAlignment="1">
      <alignment vertical="top" wrapText="1"/>
    </xf>
    <xf numFmtId="0" fontId="89" fillId="5" borderId="18" xfId="0" applyFont="1" applyFill="1" applyBorder="1" applyAlignment="1">
      <alignment vertical="top"/>
    </xf>
    <xf numFmtId="0" fontId="89" fillId="5" borderId="27" xfId="0" applyFont="1" applyFill="1" applyBorder="1" applyAlignment="1">
      <alignment vertical="top"/>
    </xf>
    <xf numFmtId="0" fontId="89" fillId="12" borderId="19" xfId="0" applyFont="1" applyFill="1" applyBorder="1" applyAlignment="1">
      <alignment vertical="top" wrapText="1"/>
    </xf>
    <xf numFmtId="167" fontId="90" fillId="12" borderId="0" xfId="0" applyNumberFormat="1" applyFont="1" applyFill="1" applyAlignment="1">
      <alignment vertical="top" wrapText="1"/>
    </xf>
    <xf numFmtId="167" fontId="90" fillId="12" borderId="0" xfId="0" applyNumberFormat="1" applyFont="1" applyFill="1" applyAlignment="1">
      <alignment vertical="top"/>
    </xf>
    <xf numFmtId="0" fontId="89" fillId="0" borderId="19" xfId="0" applyFont="1" applyBorder="1" applyAlignment="1">
      <alignment vertical="top" wrapText="1"/>
    </xf>
    <xf numFmtId="167" fontId="90" fillId="12" borderId="21" xfId="0" applyNumberFormat="1" applyFont="1" applyFill="1" applyBorder="1" applyAlignment="1">
      <alignment vertical="top" wrapText="1"/>
    </xf>
    <xf numFmtId="167" fontId="90" fillId="12" borderId="21" xfId="0" applyNumberFormat="1" applyFont="1" applyFill="1" applyBorder="1" applyAlignment="1">
      <alignment vertical="top"/>
    </xf>
    <xf numFmtId="1" fontId="93" fillId="0" borderId="0" xfId="0" applyNumberFormat="1" applyFont="1" applyAlignment="1">
      <alignment vertical="top"/>
    </xf>
    <xf numFmtId="0" fontId="89" fillId="0" borderId="0" xfId="0" applyFont="1" applyAlignment="1">
      <alignment vertical="top" wrapText="1"/>
    </xf>
    <xf numFmtId="9" fontId="89" fillId="0" borderId="0" xfId="2" applyFont="1" applyAlignment="1">
      <alignment vertical="top"/>
    </xf>
    <xf numFmtId="0" fontId="93" fillId="0" borderId="0" xfId="0" applyFont="1" applyAlignment="1">
      <alignment vertical="top" wrapText="1"/>
    </xf>
    <xf numFmtId="0" fontId="95" fillId="0" borderId="0" xfId="0" applyFont="1" applyAlignment="1">
      <alignment horizontal="left" vertical="center" wrapText="1" readingOrder="1"/>
    </xf>
    <xf numFmtId="167" fontId="90" fillId="12" borderId="28" xfId="0" applyNumberFormat="1" applyFont="1" applyFill="1" applyBorder="1" applyAlignment="1">
      <alignment vertical="top"/>
    </xf>
    <xf numFmtId="167" fontId="90" fillId="12" borderId="29" xfId="0" applyNumberFormat="1" applyFont="1" applyFill="1" applyBorder="1" applyAlignment="1">
      <alignment vertical="top"/>
    </xf>
    <xf numFmtId="0" fontId="2" fillId="3" borderId="27" xfId="0" applyFont="1" applyFill="1" applyBorder="1" applyAlignment="1">
      <alignment horizontal="left" vertical="top" wrapText="1"/>
    </xf>
    <xf numFmtId="167" fontId="1" fillId="6" borderId="28" xfId="0" applyNumberFormat="1" applyFont="1" applyFill="1" applyBorder="1" applyAlignment="1">
      <alignment vertical="top" wrapText="1"/>
    </xf>
    <xf numFmtId="165" fontId="1" fillId="7" borderId="28" xfId="2" applyNumberFormat="1" applyFont="1" applyFill="1" applyBorder="1" applyAlignment="1">
      <alignment vertical="top" wrapText="1"/>
    </xf>
    <xf numFmtId="165" fontId="1" fillId="0" borderId="28" xfId="2" applyNumberFormat="1" applyFont="1" applyBorder="1" applyAlignment="1">
      <alignment vertical="top" wrapText="1"/>
    </xf>
    <xf numFmtId="167" fontId="1" fillId="17" borderId="28" xfId="0" applyNumberFormat="1" applyFont="1" applyFill="1" applyBorder="1" applyAlignment="1">
      <alignment vertical="top" wrapText="1"/>
    </xf>
    <xf numFmtId="44" fontId="1" fillId="2" borderId="28" xfId="0" applyNumberFormat="1" applyFont="1" applyFill="1" applyBorder="1" applyAlignment="1">
      <alignment vertical="top" wrapText="1"/>
    </xf>
    <xf numFmtId="173" fontId="1" fillId="0" borderId="0" xfId="0" applyNumberFormat="1" applyFont="1" applyAlignment="1">
      <alignment vertical="top" wrapText="1"/>
    </xf>
    <xf numFmtId="0" fontId="51" fillId="0" borderId="9" xfId="0" applyFont="1" applyBorder="1" applyAlignment="1">
      <alignment vertical="top" wrapText="1"/>
    </xf>
    <xf numFmtId="0" fontId="2" fillId="4" borderId="0" xfId="0" applyFont="1" applyFill="1" applyAlignment="1">
      <alignment vertical="top"/>
    </xf>
    <xf numFmtId="0" fontId="2" fillId="4" borderId="0" xfId="0" applyFont="1" applyFill="1" applyAlignment="1">
      <alignment vertical="top" wrapText="1"/>
    </xf>
    <xf numFmtId="0" fontId="2" fillId="4" borderId="28" xfId="0" applyFont="1" applyFill="1" applyBorder="1" applyAlignment="1">
      <alignment vertical="top" wrapText="1"/>
    </xf>
    <xf numFmtId="0" fontId="35" fillId="2" borderId="0" xfId="0" applyFont="1" applyFill="1"/>
    <xf numFmtId="0" fontId="1" fillId="2" borderId="0" xfId="0" applyFont="1" applyFill="1"/>
    <xf numFmtId="0" fontId="2" fillId="6" borderId="0" xfId="0" applyFont="1" applyFill="1" applyAlignment="1">
      <alignment vertical="top"/>
    </xf>
    <xf numFmtId="0" fontId="2" fillId="6" borderId="28" xfId="0" applyFont="1" applyFill="1" applyBorder="1" applyAlignment="1">
      <alignment vertical="top" wrapText="1"/>
    </xf>
    <xf numFmtId="0" fontId="98" fillId="0" borderId="0" xfId="0" applyFont="1" applyAlignment="1">
      <alignment horizontal="left" vertical="top" wrapText="1" indent="2" readingOrder="1"/>
    </xf>
    <xf numFmtId="0" fontId="2" fillId="3" borderId="1" xfId="0" applyFont="1" applyFill="1" applyBorder="1"/>
    <xf numFmtId="0" fontId="38" fillId="0" borderId="1" xfId="0" applyFont="1" applyBorder="1"/>
    <xf numFmtId="170" fontId="2" fillId="3" borderId="1" xfId="0" applyNumberFormat="1" applyFont="1" applyFill="1" applyBorder="1"/>
    <xf numFmtId="170" fontId="38" fillId="0" borderId="0" xfId="0" applyNumberFormat="1" applyFont="1"/>
    <xf numFmtId="170" fontId="2" fillId="0" borderId="0" xfId="0" applyNumberFormat="1" applyFont="1"/>
    <xf numFmtId="0" fontId="38" fillId="0" borderId="0" xfId="0" applyFont="1" applyAlignment="1">
      <alignment horizontal="left"/>
    </xf>
    <xf numFmtId="0" fontId="103" fillId="0" borderId="0" xfId="0" applyFont="1"/>
    <xf numFmtId="170" fontId="38" fillId="3" borderId="1" xfId="0" applyNumberFormat="1" applyFont="1" applyFill="1" applyBorder="1"/>
    <xf numFmtId="0" fontId="38" fillId="0" borderId="3" xfId="0" applyFont="1" applyBorder="1"/>
    <xf numFmtId="0" fontId="38" fillId="0" borderId="5" xfId="0" applyFont="1" applyBorder="1"/>
    <xf numFmtId="0" fontId="38" fillId="0" borderId="3" xfId="0" applyFont="1" applyBorder="1" applyAlignment="1">
      <alignment vertical="top"/>
    </xf>
    <xf numFmtId="9" fontId="38" fillId="0" borderId="4" xfId="0" applyNumberFormat="1" applyFont="1" applyBorder="1" applyAlignment="1">
      <alignment vertical="top"/>
    </xf>
    <xf numFmtId="0" fontId="38" fillId="0" borderId="4" xfId="0" applyFont="1" applyBorder="1" applyAlignment="1">
      <alignment vertical="top" wrapText="1"/>
    </xf>
    <xf numFmtId="170" fontId="38" fillId="0" borderId="5" xfId="0" applyNumberFormat="1" applyFont="1" applyBorder="1" applyAlignment="1">
      <alignment vertical="top"/>
    </xf>
    <xf numFmtId="0" fontId="69" fillId="14" borderId="0" xfId="0" applyFont="1" applyFill="1"/>
    <xf numFmtId="0" fontId="7" fillId="12" borderId="0" xfId="0" applyFont="1" applyFill="1"/>
    <xf numFmtId="0" fontId="21" fillId="12" borderId="0" xfId="0" applyFont="1" applyFill="1"/>
    <xf numFmtId="0" fontId="26" fillId="0" borderId="0" xfId="0" applyFont="1" applyAlignment="1">
      <alignment vertical="top"/>
    </xf>
    <xf numFmtId="0" fontId="25" fillId="0" borderId="0" xfId="0" applyFont="1" applyAlignment="1">
      <alignment vertical="top"/>
    </xf>
    <xf numFmtId="0" fontId="38" fillId="0" borderId="16" xfId="0" applyFont="1" applyBorder="1" applyAlignment="1">
      <alignment vertical="top"/>
    </xf>
    <xf numFmtId="0" fontId="38" fillId="0" borderId="11" xfId="0" applyFont="1" applyBorder="1" applyAlignment="1">
      <alignment vertical="top"/>
    </xf>
    <xf numFmtId="170" fontId="38" fillId="0" borderId="2" xfId="0" applyNumberFormat="1" applyFont="1" applyBorder="1" applyAlignment="1">
      <alignment vertical="top"/>
    </xf>
    <xf numFmtId="0" fontId="30" fillId="0" borderId="0" xfId="0" applyFont="1" applyAlignment="1">
      <alignment wrapText="1"/>
    </xf>
    <xf numFmtId="0" fontId="2" fillId="0" borderId="0" xfId="0" applyFont="1" applyAlignment="1">
      <alignment wrapText="1"/>
    </xf>
    <xf numFmtId="46" fontId="1" fillId="0" borderId="0" xfId="0" applyNumberFormat="1" applyFont="1" applyAlignment="1">
      <alignment wrapText="1"/>
    </xf>
    <xf numFmtId="0" fontId="2" fillId="3" borderId="0" xfId="0" applyFont="1" applyFill="1" applyAlignment="1">
      <alignment wrapText="1"/>
    </xf>
    <xf numFmtId="46" fontId="2" fillId="3" borderId="0" xfId="0" applyNumberFormat="1" applyFont="1" applyFill="1" applyAlignment="1">
      <alignment wrapText="1"/>
    </xf>
    <xf numFmtId="0" fontId="104" fillId="0" borderId="0" xfId="0" applyFont="1"/>
    <xf numFmtId="0" fontId="88" fillId="0" borderId="0" xfId="0" applyFont="1"/>
    <xf numFmtId="0" fontId="105" fillId="0" borderId="0" xfId="0" applyFont="1"/>
    <xf numFmtId="0" fontId="89" fillId="2" borderId="0" xfId="0" applyFont="1" applyFill="1" applyAlignment="1">
      <alignment vertical="top"/>
    </xf>
    <xf numFmtId="170" fontId="89" fillId="0" borderId="0" xfId="0" applyNumberFormat="1" applyFont="1" applyAlignment="1">
      <alignment vertical="top" wrapText="1"/>
    </xf>
    <xf numFmtId="0" fontId="89" fillId="2" borderId="0" xfId="0" applyFont="1" applyFill="1" applyAlignment="1">
      <alignment vertical="top" wrapText="1"/>
    </xf>
    <xf numFmtId="0" fontId="90" fillId="2" borderId="0" xfId="0" applyFont="1" applyFill="1" applyAlignment="1">
      <alignment vertical="top"/>
    </xf>
    <xf numFmtId="0" fontId="90" fillId="0" borderId="0" xfId="0" applyFont="1" applyAlignment="1">
      <alignment vertical="top"/>
    </xf>
    <xf numFmtId="9" fontId="89" fillId="0" borderId="0" xfId="2" applyFont="1" applyAlignment="1">
      <alignment vertical="top" wrapText="1"/>
    </xf>
    <xf numFmtId="170" fontId="89" fillId="0" borderId="0" xfId="0" applyNumberFormat="1" applyFont="1" applyAlignment="1">
      <alignment vertical="top"/>
    </xf>
    <xf numFmtId="0" fontId="106" fillId="0" borderId="0" xfId="0" applyFont="1" applyAlignment="1">
      <alignment vertical="top"/>
    </xf>
    <xf numFmtId="1" fontId="1" fillId="7" borderId="0" xfId="0" applyNumberFormat="1" applyFont="1" applyFill="1" applyAlignment="1">
      <alignment vertical="top" wrapText="1"/>
    </xf>
    <xf numFmtId="0" fontId="41" fillId="4" borderId="9" xfId="0" applyFont="1" applyFill="1" applyBorder="1" applyAlignment="1">
      <alignment vertical="top" wrapText="1"/>
    </xf>
    <xf numFmtId="0" fontId="1" fillId="4" borderId="57" xfId="0" applyFont="1" applyFill="1" applyBorder="1" applyAlignment="1">
      <alignment vertical="top" wrapText="1"/>
    </xf>
    <xf numFmtId="0" fontId="1" fillId="4" borderId="0" xfId="0" applyFont="1" applyFill="1" applyAlignment="1">
      <alignment vertical="top"/>
    </xf>
    <xf numFmtId="167" fontId="1" fillId="4" borderId="28" xfId="0" applyNumberFormat="1" applyFont="1" applyFill="1" applyBorder="1" applyAlignment="1">
      <alignment vertical="top" wrapText="1"/>
    </xf>
    <xf numFmtId="0" fontId="1" fillId="4" borderId="0" xfId="0" quotePrefix="1" applyFont="1" applyFill="1" applyAlignment="1">
      <alignment vertical="top" wrapText="1"/>
    </xf>
    <xf numFmtId="0" fontId="1" fillId="4" borderId="9" xfId="0" applyFont="1" applyFill="1" applyBorder="1" applyAlignment="1">
      <alignment vertical="top" wrapText="1"/>
    </xf>
    <xf numFmtId="167" fontId="41" fillId="4" borderId="28" xfId="0" applyNumberFormat="1" applyFont="1" applyFill="1" applyBorder="1" applyAlignment="1">
      <alignment vertical="top" wrapText="1"/>
    </xf>
    <xf numFmtId="0" fontId="38" fillId="4" borderId="0" xfId="0" applyFont="1" applyFill="1" applyAlignment="1">
      <alignment vertical="top"/>
    </xf>
    <xf numFmtId="0" fontId="1" fillId="4" borderId="9" xfId="0" applyFont="1" applyFill="1" applyBorder="1" applyAlignment="1">
      <alignment vertical="top"/>
    </xf>
    <xf numFmtId="0" fontId="1" fillId="4" borderId="57" xfId="0" applyFont="1" applyFill="1" applyBorder="1" applyAlignment="1">
      <alignment vertical="top"/>
    </xf>
    <xf numFmtId="9" fontId="108" fillId="0" borderId="0" xfId="2" applyFont="1" applyAlignment="1">
      <alignment vertical="top"/>
    </xf>
    <xf numFmtId="167" fontId="90" fillId="0" borderId="0" xfId="0" applyNumberFormat="1" applyFont="1" applyAlignment="1">
      <alignment vertical="top" wrapText="1"/>
    </xf>
    <xf numFmtId="167" fontId="90" fillId="0" borderId="0" xfId="0" applyNumberFormat="1" applyFont="1" applyAlignment="1">
      <alignment vertical="top"/>
    </xf>
    <xf numFmtId="0" fontId="89" fillId="3" borderId="0" xfId="0" applyFont="1" applyFill="1" applyAlignment="1">
      <alignment vertical="top"/>
    </xf>
    <xf numFmtId="9" fontId="89" fillId="0" borderId="0" xfId="0" applyNumberFormat="1" applyFont="1" applyAlignment="1">
      <alignment vertical="top" wrapText="1"/>
    </xf>
    <xf numFmtId="167" fontId="90" fillId="3" borderId="0" xfId="0" applyNumberFormat="1" applyFont="1" applyFill="1" applyAlignment="1">
      <alignment vertical="top" wrapText="1"/>
    </xf>
    <xf numFmtId="167" fontId="90" fillId="3" borderId="0" xfId="0" applyNumberFormat="1" applyFont="1" applyFill="1" applyAlignment="1">
      <alignment vertical="top"/>
    </xf>
    <xf numFmtId="9" fontId="89" fillId="0" borderId="0" xfId="0" applyNumberFormat="1" applyFont="1" applyAlignment="1">
      <alignment vertical="top"/>
    </xf>
    <xf numFmtId="169" fontId="89" fillId="0" borderId="0" xfId="0" applyNumberFormat="1" applyFont="1" applyAlignment="1">
      <alignment vertical="top"/>
    </xf>
    <xf numFmtId="169" fontId="80" fillId="0" borderId="28" xfId="0" applyNumberFormat="1" applyFont="1" applyBorder="1" applyAlignment="1">
      <alignment vertical="top" wrapText="1"/>
    </xf>
    <xf numFmtId="170" fontId="90" fillId="3" borderId="0" xfId="0" applyNumberFormat="1" applyFont="1" applyFill="1" applyAlignment="1">
      <alignment vertical="top" wrapText="1"/>
    </xf>
    <xf numFmtId="170" fontId="90" fillId="3" borderId="0" xfId="0" applyNumberFormat="1" applyFont="1" applyFill="1" applyAlignment="1">
      <alignment vertical="top"/>
    </xf>
    <xf numFmtId="0" fontId="107" fillId="0" borderId="19" xfId="0" applyFont="1" applyBorder="1" applyAlignment="1">
      <alignment vertical="top" wrapText="1"/>
    </xf>
    <xf numFmtId="0" fontId="109" fillId="0" borderId="9" xfId="0" applyFont="1" applyBorder="1" applyAlignment="1">
      <alignment vertical="top" wrapText="1"/>
    </xf>
    <xf numFmtId="0" fontId="109" fillId="0" borderId="0" xfId="0" applyFont="1" applyAlignment="1">
      <alignment vertical="top" wrapText="1"/>
    </xf>
    <xf numFmtId="0" fontId="109" fillId="0" borderId="57" xfId="0" applyFont="1" applyBorder="1" applyAlignment="1">
      <alignment vertical="top" wrapText="1"/>
    </xf>
    <xf numFmtId="0" fontId="107" fillId="0" borderId="0" xfId="0" applyFont="1" applyAlignment="1">
      <alignment vertical="top"/>
    </xf>
    <xf numFmtId="167" fontId="107" fillId="0" borderId="0" xfId="0" applyNumberFormat="1" applyFont="1" applyAlignment="1">
      <alignment vertical="top" wrapText="1"/>
    </xf>
    <xf numFmtId="167" fontId="109" fillId="0" borderId="28" xfId="0" applyNumberFormat="1" applyFont="1" applyBorder="1" applyAlignment="1">
      <alignment vertical="top" wrapText="1"/>
    </xf>
    <xf numFmtId="167" fontId="109" fillId="0" borderId="0" xfId="0" applyNumberFormat="1" applyFont="1" applyAlignment="1">
      <alignment vertical="top" wrapText="1"/>
    </xf>
    <xf numFmtId="0" fontId="107" fillId="0" borderId="0" xfId="0" applyFont="1" applyAlignment="1">
      <alignment vertical="top" wrapText="1"/>
    </xf>
    <xf numFmtId="0" fontId="107" fillId="0" borderId="0" xfId="0" quotePrefix="1" applyFont="1" applyAlignment="1">
      <alignment vertical="top" wrapText="1"/>
    </xf>
    <xf numFmtId="0" fontId="107" fillId="0" borderId="9" xfId="0" applyFont="1" applyBorder="1" applyAlignment="1">
      <alignment vertical="top" wrapText="1"/>
    </xf>
    <xf numFmtId="0" fontId="2" fillId="3" borderId="28" xfId="0" applyFont="1" applyFill="1" applyBorder="1" applyAlignment="1">
      <alignment vertical="top" wrapText="1"/>
    </xf>
    <xf numFmtId="170" fontId="1" fillId="0" borderId="28" xfId="0" applyNumberFormat="1" applyFont="1" applyBorder="1" applyAlignment="1">
      <alignment vertical="top" wrapText="1"/>
    </xf>
    <xf numFmtId="0" fontId="2" fillId="19" borderId="0" xfId="0" applyFont="1" applyFill="1" applyAlignment="1">
      <alignment vertical="top" wrapText="1"/>
    </xf>
    <xf numFmtId="0" fontId="2" fillId="5" borderId="0" xfId="0" applyFont="1" applyFill="1" applyAlignment="1">
      <alignment vertical="top" wrapText="1"/>
    </xf>
    <xf numFmtId="0" fontId="2" fillId="5" borderId="0" xfId="0" applyFont="1" applyFill="1" applyAlignment="1">
      <alignment vertical="top"/>
    </xf>
    <xf numFmtId="167" fontId="2" fillId="5" borderId="28" xfId="0" applyNumberFormat="1" applyFont="1" applyFill="1" applyBorder="1" applyAlignment="1">
      <alignment vertical="top" wrapText="1"/>
    </xf>
    <xf numFmtId="0" fontId="2" fillId="5" borderId="28" xfId="0" applyFont="1" applyFill="1" applyBorder="1" applyAlignment="1">
      <alignment vertical="top" wrapText="1"/>
    </xf>
    <xf numFmtId="0" fontId="1" fillId="3" borderId="57" xfId="0" applyFont="1" applyFill="1" applyBorder="1" applyAlignment="1">
      <alignment vertical="top" wrapText="1"/>
    </xf>
    <xf numFmtId="0" fontId="1" fillId="3" borderId="9" xfId="0" applyFont="1" applyFill="1" applyBorder="1" applyAlignment="1">
      <alignment vertical="top" wrapText="1"/>
    </xf>
    <xf numFmtId="0" fontId="1" fillId="3" borderId="10" xfId="0" applyFont="1" applyFill="1" applyBorder="1" applyAlignment="1">
      <alignment vertical="top" wrapText="1"/>
    </xf>
    <xf numFmtId="0" fontId="2" fillId="3" borderId="19" xfId="0" applyFont="1" applyFill="1" applyBorder="1" applyAlignment="1">
      <alignment vertical="top" wrapText="1"/>
    </xf>
    <xf numFmtId="0" fontId="2" fillId="3" borderId="57" xfId="0" applyFont="1" applyFill="1" applyBorder="1" applyAlignment="1">
      <alignment vertical="top" wrapText="1"/>
    </xf>
    <xf numFmtId="2" fontId="2" fillId="3" borderId="0" xfId="0" applyNumberFormat="1" applyFont="1" applyFill="1" applyAlignment="1">
      <alignment vertical="top" wrapText="1"/>
    </xf>
    <xf numFmtId="0" fontId="2" fillId="3" borderId="9" xfId="0" applyFont="1" applyFill="1" applyBorder="1" applyAlignment="1">
      <alignment vertical="top" wrapText="1"/>
    </xf>
    <xf numFmtId="0" fontId="2" fillId="3" borderId="10" xfId="0" applyFont="1" applyFill="1" applyBorder="1" applyAlignment="1">
      <alignment vertical="top" wrapText="1"/>
    </xf>
    <xf numFmtId="0" fontId="1" fillId="19" borderId="0" xfId="0" applyFont="1" applyFill="1" applyAlignment="1">
      <alignment vertical="top" wrapText="1"/>
    </xf>
    <xf numFmtId="0" fontId="1" fillId="19" borderId="57" xfId="0" applyFont="1" applyFill="1" applyBorder="1" applyAlignment="1">
      <alignment vertical="top" wrapText="1"/>
    </xf>
    <xf numFmtId="0" fontId="1" fillId="19" borderId="0" xfId="0" applyFont="1" applyFill="1" applyAlignment="1">
      <alignment vertical="top"/>
    </xf>
    <xf numFmtId="167" fontId="1" fillId="19" borderId="28" xfId="0" applyNumberFormat="1" applyFont="1" applyFill="1" applyBorder="1" applyAlignment="1">
      <alignment vertical="top" wrapText="1"/>
    </xf>
    <xf numFmtId="0" fontId="1" fillId="19" borderId="28" xfId="0" applyFont="1" applyFill="1" applyBorder="1" applyAlignment="1">
      <alignment vertical="top" wrapText="1"/>
    </xf>
    <xf numFmtId="0" fontId="1" fillId="19" borderId="9" xfId="0" applyFont="1" applyFill="1" applyBorder="1" applyAlignment="1">
      <alignment vertical="top" wrapText="1"/>
    </xf>
    <xf numFmtId="0" fontId="1" fillId="19" borderId="10" xfId="0" applyFont="1" applyFill="1" applyBorder="1" applyAlignment="1">
      <alignment vertical="top" wrapText="1"/>
    </xf>
    <xf numFmtId="0" fontId="38" fillId="19" borderId="0" xfId="0" applyFont="1" applyFill="1" applyAlignment="1">
      <alignment vertical="top"/>
    </xf>
    <xf numFmtId="0" fontId="2" fillId="28" borderId="0" xfId="0" applyFont="1" applyFill="1" applyAlignment="1">
      <alignment vertical="top" wrapText="1"/>
    </xf>
    <xf numFmtId="0" fontId="51" fillId="28" borderId="0" xfId="0" applyFont="1" applyFill="1" applyAlignment="1">
      <alignment vertical="top" wrapText="1"/>
    </xf>
    <xf numFmtId="0" fontId="51" fillId="28" borderId="0" xfId="0" applyFont="1" applyFill="1" applyAlignment="1">
      <alignment vertical="top"/>
    </xf>
    <xf numFmtId="0" fontId="51" fillId="28" borderId="28" xfId="0" applyFont="1" applyFill="1" applyBorder="1" applyAlignment="1">
      <alignment vertical="top" wrapText="1"/>
    </xf>
    <xf numFmtId="1" fontId="51" fillId="28" borderId="28" xfId="0" applyNumberFormat="1" applyFont="1" applyFill="1" applyBorder="1" applyAlignment="1">
      <alignment vertical="top" wrapText="1"/>
    </xf>
    <xf numFmtId="2" fontId="2" fillId="0" borderId="0" xfId="0" applyNumberFormat="1" applyFont="1" applyAlignment="1">
      <alignment vertical="top" wrapText="1"/>
    </xf>
    <xf numFmtId="167" fontId="2" fillId="12" borderId="28" xfId="0" applyNumberFormat="1" applyFont="1" applyFill="1" applyBorder="1" applyAlignment="1">
      <alignment vertical="top" wrapText="1"/>
    </xf>
    <xf numFmtId="167" fontId="110" fillId="12" borderId="28" xfId="0" applyNumberFormat="1" applyFont="1" applyFill="1" applyBorder="1" applyAlignment="1">
      <alignment vertical="top" wrapText="1"/>
    </xf>
    <xf numFmtId="167" fontId="1" fillId="12" borderId="28" xfId="0" applyNumberFormat="1" applyFont="1" applyFill="1" applyBorder="1" applyAlignment="1">
      <alignment vertical="top" wrapText="1"/>
    </xf>
    <xf numFmtId="167" fontId="111" fillId="0" borderId="28" xfId="0" applyNumberFormat="1" applyFont="1" applyBorder="1" applyAlignment="1">
      <alignment vertical="top" wrapText="1"/>
    </xf>
    <xf numFmtId="0" fontId="111" fillId="0" borderId="19" xfId="0" applyFont="1" applyBorder="1" applyAlignment="1">
      <alignment vertical="top" wrapText="1"/>
    </xf>
    <xf numFmtId="0" fontId="1" fillId="0" borderId="29" xfId="0" applyFont="1" applyBorder="1" applyAlignment="1">
      <alignment vertical="top"/>
    </xf>
    <xf numFmtId="0" fontId="1" fillId="18" borderId="28" xfId="0" applyFont="1" applyFill="1" applyBorder="1" applyAlignment="1">
      <alignment vertical="top"/>
    </xf>
    <xf numFmtId="0" fontId="1" fillId="27" borderId="28" xfId="0" applyFont="1" applyFill="1" applyBorder="1" applyAlignment="1">
      <alignment vertical="top"/>
    </xf>
    <xf numFmtId="0" fontId="2" fillId="19" borderId="34" xfId="0" applyFont="1" applyFill="1" applyBorder="1" applyAlignment="1">
      <alignment vertical="top" wrapText="1"/>
    </xf>
    <xf numFmtId="0" fontId="2" fillId="19" borderId="38" xfId="0" applyFont="1" applyFill="1" applyBorder="1" applyAlignment="1">
      <alignment vertical="top" wrapText="1"/>
    </xf>
    <xf numFmtId="0" fontId="2" fillId="6" borderId="38" xfId="0" applyFont="1" applyFill="1" applyBorder="1" applyAlignment="1">
      <alignment vertical="top" wrapText="1"/>
    </xf>
    <xf numFmtId="0" fontId="2" fillId="0" borderId="36" xfId="0" applyFont="1" applyBorder="1" applyAlignment="1">
      <alignment vertical="top" wrapText="1"/>
    </xf>
    <xf numFmtId="0" fontId="1" fillId="4" borderId="28" xfId="0" applyFont="1" applyFill="1" applyBorder="1" applyAlignment="1">
      <alignment vertical="top" wrapText="1"/>
    </xf>
    <xf numFmtId="0" fontId="1" fillId="4" borderId="28" xfId="0" applyFont="1" applyFill="1" applyBorder="1" applyAlignment="1">
      <alignment vertical="top"/>
    </xf>
    <xf numFmtId="0" fontId="2" fillId="19" borderId="36" xfId="0" applyFont="1" applyFill="1" applyBorder="1" applyAlignment="1">
      <alignment vertical="top" wrapText="1"/>
    </xf>
    <xf numFmtId="0" fontId="2" fillId="19" borderId="42" xfId="0" applyFont="1" applyFill="1" applyBorder="1" applyAlignment="1">
      <alignment vertical="top" wrapText="1"/>
    </xf>
    <xf numFmtId="0" fontId="42" fillId="20" borderId="28" xfId="0" applyFont="1" applyFill="1" applyBorder="1" applyAlignment="1">
      <alignment vertical="top" wrapText="1"/>
    </xf>
    <xf numFmtId="0" fontId="2" fillId="8" borderId="28" xfId="0" applyFont="1" applyFill="1" applyBorder="1" applyAlignment="1">
      <alignment vertical="top"/>
    </xf>
    <xf numFmtId="0" fontId="2" fillId="2" borderId="28" xfId="0" applyFont="1" applyFill="1" applyBorder="1" applyAlignment="1">
      <alignment vertical="top"/>
    </xf>
    <xf numFmtId="0" fontId="2" fillId="0" borderId="28" xfId="0" quotePrefix="1" applyFont="1" applyBorder="1" applyAlignment="1">
      <alignment vertical="top" wrapText="1"/>
    </xf>
    <xf numFmtId="0" fontId="20" fillId="0" borderId="28" xfId="0" quotePrefix="1" applyFont="1" applyBorder="1" applyAlignment="1">
      <alignment vertical="top" wrapText="1"/>
    </xf>
    <xf numFmtId="0" fontId="42" fillId="0" borderId="28" xfId="0" applyFont="1" applyBorder="1" applyAlignment="1">
      <alignment vertical="top" wrapText="1"/>
    </xf>
    <xf numFmtId="0" fontId="2" fillId="7" borderId="28" xfId="0" applyFont="1" applyFill="1" applyBorder="1" applyAlignment="1">
      <alignment vertical="top" wrapText="1"/>
    </xf>
    <xf numFmtId="0" fontId="2" fillId="7" borderId="28" xfId="0" quotePrefix="1" applyFont="1" applyFill="1" applyBorder="1" applyAlignment="1">
      <alignment vertical="top" wrapText="1"/>
    </xf>
    <xf numFmtId="0" fontId="1" fillId="0" borderId="28" xfId="0" quotePrefix="1" applyFont="1" applyBorder="1" applyAlignment="1">
      <alignment vertical="top" wrapText="1"/>
    </xf>
    <xf numFmtId="0" fontId="20" fillId="7" borderId="28" xfId="0" quotePrefix="1" applyFont="1" applyFill="1" applyBorder="1" applyAlignment="1">
      <alignment vertical="top" wrapText="1"/>
    </xf>
    <xf numFmtId="0" fontId="19" fillId="0" borderId="28" xfId="0" quotePrefix="1" applyFont="1" applyBorder="1" applyAlignment="1">
      <alignment vertical="top" wrapText="1"/>
    </xf>
    <xf numFmtId="0" fontId="2" fillId="22" borderId="28" xfId="0" applyFont="1" applyFill="1" applyBorder="1" applyAlignment="1">
      <alignment vertical="top" wrapText="1"/>
    </xf>
    <xf numFmtId="0" fontId="1" fillId="0" borderId="28" xfId="0" applyFont="1" applyBorder="1"/>
    <xf numFmtId="0" fontId="2" fillId="16" borderId="0" xfId="0" applyFont="1" applyFill="1" applyAlignment="1">
      <alignment vertical="top" wrapText="1"/>
    </xf>
    <xf numFmtId="167" fontId="2" fillId="16" borderId="28" xfId="0" applyNumberFormat="1" applyFont="1" applyFill="1" applyBorder="1" applyAlignment="1">
      <alignment vertical="top" wrapText="1"/>
    </xf>
    <xf numFmtId="0" fontId="2" fillId="16" borderId="0" xfId="0" applyFont="1" applyFill="1" applyAlignment="1">
      <alignment vertical="top"/>
    </xf>
    <xf numFmtId="0" fontId="2" fillId="16" borderId="28" xfId="0" applyFont="1" applyFill="1" applyBorder="1" applyAlignment="1">
      <alignment vertical="top" wrapText="1"/>
    </xf>
    <xf numFmtId="0" fontId="2" fillId="12" borderId="28" xfId="0" applyFont="1" applyFill="1" applyBorder="1" applyAlignment="1">
      <alignment vertical="top" wrapText="1"/>
    </xf>
    <xf numFmtId="0" fontId="2" fillId="19" borderId="57" xfId="0" applyFont="1" applyFill="1" applyBorder="1" applyAlignment="1">
      <alignment vertical="top" wrapText="1"/>
    </xf>
    <xf numFmtId="167" fontId="2" fillId="19" borderId="28" xfId="0" applyNumberFormat="1" applyFont="1" applyFill="1" applyBorder="1" applyAlignment="1">
      <alignment vertical="top" wrapText="1"/>
    </xf>
    <xf numFmtId="0" fontId="2" fillId="19" borderId="0" xfId="0" applyFont="1" applyFill="1" applyAlignment="1">
      <alignment vertical="top"/>
    </xf>
    <xf numFmtId="0" fontId="2" fillId="19" borderId="28" xfId="0" applyFont="1" applyFill="1" applyBorder="1" applyAlignment="1">
      <alignment vertical="top" wrapText="1"/>
    </xf>
    <xf numFmtId="0" fontId="2" fillId="19" borderId="9" xfId="0" applyFont="1" applyFill="1" applyBorder="1" applyAlignment="1">
      <alignment vertical="top" wrapText="1"/>
    </xf>
    <xf numFmtId="0" fontId="2" fillId="19" borderId="10" xfId="0" applyFont="1" applyFill="1" applyBorder="1" applyAlignment="1">
      <alignment vertical="top" wrapText="1"/>
    </xf>
    <xf numFmtId="167" fontId="112" fillId="12" borderId="28" xfId="0" applyNumberFormat="1" applyFont="1" applyFill="1" applyBorder="1" applyAlignment="1">
      <alignment vertical="top" wrapText="1"/>
    </xf>
    <xf numFmtId="0" fontId="1" fillId="18" borderId="45" xfId="0" applyFont="1" applyFill="1" applyBorder="1" applyAlignment="1">
      <alignment vertical="top" wrapText="1"/>
    </xf>
    <xf numFmtId="0" fontId="1" fillId="0" borderId="65" xfId="0" applyFont="1" applyBorder="1" applyAlignment="1">
      <alignment vertical="top" wrapText="1"/>
    </xf>
    <xf numFmtId="10" fontId="1" fillId="0" borderId="43" xfId="0" applyNumberFormat="1" applyFont="1" applyBorder="1" applyAlignment="1">
      <alignment vertical="top" wrapText="1"/>
    </xf>
    <xf numFmtId="165" fontId="52" fillId="0" borderId="43" xfId="2" applyNumberFormat="1" applyFont="1" applyFill="1" applyBorder="1" applyAlignment="1">
      <alignment vertical="top" wrapText="1"/>
    </xf>
    <xf numFmtId="1" fontId="1" fillId="0" borderId="43" xfId="0" applyNumberFormat="1" applyFont="1" applyBorder="1" applyAlignment="1">
      <alignment vertical="top" wrapText="1"/>
    </xf>
    <xf numFmtId="1" fontId="2" fillId="0" borderId="44" xfId="0" applyNumberFormat="1" applyFont="1" applyBorder="1" applyAlignment="1">
      <alignment vertical="top" wrapText="1"/>
    </xf>
    <xf numFmtId="165" fontId="52" fillId="0" borderId="43" xfId="2" applyNumberFormat="1" applyFont="1" applyBorder="1" applyAlignment="1">
      <alignment vertical="top" wrapText="1"/>
    </xf>
    <xf numFmtId="165" fontId="2" fillId="0" borderId="43" xfId="2" applyNumberFormat="1" applyFont="1" applyBorder="1" applyAlignment="1">
      <alignment vertical="top" wrapText="1"/>
    </xf>
    <xf numFmtId="165" fontId="12" fillId="0" borderId="43" xfId="2" applyNumberFormat="1" applyFont="1" applyBorder="1" applyAlignment="1">
      <alignment vertical="top" wrapText="1"/>
    </xf>
    <xf numFmtId="1" fontId="1" fillId="0" borderId="45" xfId="0" applyNumberFormat="1" applyFont="1" applyBorder="1" applyAlignment="1">
      <alignment vertical="top" wrapText="1"/>
    </xf>
    <xf numFmtId="1" fontId="2" fillId="0" borderId="66" xfId="0" applyNumberFormat="1" applyFont="1" applyBorder="1" applyAlignment="1">
      <alignment vertical="top" wrapText="1"/>
    </xf>
    <xf numFmtId="1" fontId="1" fillId="0" borderId="67" xfId="0" applyNumberFormat="1" applyFont="1" applyBorder="1" applyAlignment="1">
      <alignment vertical="top" wrapText="1"/>
    </xf>
    <xf numFmtId="0" fontId="1" fillId="0" borderId="66" xfId="0" applyFont="1" applyBorder="1" applyAlignment="1">
      <alignment vertical="top" wrapText="1"/>
    </xf>
    <xf numFmtId="0" fontId="1" fillId="0" borderId="67" xfId="0" applyFont="1" applyBorder="1" applyAlignment="1">
      <alignment vertical="top" wrapText="1"/>
    </xf>
    <xf numFmtId="0" fontId="38" fillId="0" borderId="43" xfId="0" applyFont="1" applyBorder="1" applyAlignment="1">
      <alignment vertical="top"/>
    </xf>
    <xf numFmtId="0" fontId="2" fillId="5" borderId="3" xfId="0" applyFont="1" applyFill="1" applyBorder="1" applyAlignment="1">
      <alignment vertical="top" wrapText="1"/>
    </xf>
    <xf numFmtId="0" fontId="2" fillId="5" borderId="4" xfId="0" applyFont="1" applyFill="1" applyBorder="1" applyAlignment="1">
      <alignment vertical="top" wrapText="1"/>
    </xf>
    <xf numFmtId="167" fontId="2" fillId="5" borderId="38" xfId="0" applyNumberFormat="1" applyFont="1" applyFill="1" applyBorder="1" applyAlignment="1">
      <alignment vertical="top" wrapText="1"/>
    </xf>
    <xf numFmtId="0" fontId="2" fillId="5" borderId="4" xfId="0" applyFont="1" applyFill="1" applyBorder="1" applyAlignment="1">
      <alignment vertical="top"/>
    </xf>
    <xf numFmtId="167" fontId="2" fillId="5" borderId="5" xfId="0" applyNumberFormat="1" applyFont="1" applyFill="1" applyBorder="1" applyAlignment="1">
      <alignment vertical="top" wrapText="1"/>
    </xf>
    <xf numFmtId="170" fontId="1" fillId="0" borderId="10" xfId="0" applyNumberFormat="1" applyFont="1" applyBorder="1" applyAlignment="1">
      <alignment vertical="top"/>
    </xf>
    <xf numFmtId="0" fontId="2" fillId="5" borderId="38" xfId="0" applyFont="1" applyFill="1" applyBorder="1" applyAlignment="1">
      <alignment vertical="top" wrapText="1"/>
    </xf>
    <xf numFmtId="0" fontId="2" fillId="12" borderId="9" xfId="0" applyFont="1" applyFill="1" applyBorder="1" applyAlignment="1">
      <alignment vertical="top" wrapText="1"/>
    </xf>
    <xf numFmtId="0" fontId="2" fillId="12" borderId="0" xfId="0" applyFont="1" applyFill="1" applyAlignment="1">
      <alignment vertical="top" wrapText="1"/>
    </xf>
    <xf numFmtId="0" fontId="2" fillId="12" borderId="0" xfId="0" applyFont="1" applyFill="1" applyAlignment="1">
      <alignment vertical="top"/>
    </xf>
    <xf numFmtId="0" fontId="2" fillId="12" borderId="9" xfId="0" applyFont="1" applyFill="1" applyBorder="1"/>
    <xf numFmtId="0" fontId="1" fillId="12" borderId="0" xfId="0" applyFont="1" applyFill="1" applyAlignment="1">
      <alignment vertical="top"/>
    </xf>
    <xf numFmtId="167" fontId="1" fillId="12" borderId="0" xfId="0" applyNumberFormat="1" applyFont="1" applyFill="1" applyAlignment="1">
      <alignment vertical="top" wrapText="1"/>
    </xf>
    <xf numFmtId="167" fontId="2" fillId="12" borderId="0" xfId="0" applyNumberFormat="1" applyFont="1" applyFill="1" applyAlignment="1">
      <alignment vertical="top" wrapText="1"/>
    </xf>
    <xf numFmtId="0" fontId="1" fillId="12" borderId="0" xfId="0" applyFont="1" applyFill="1" applyAlignment="1">
      <alignment vertical="top" wrapText="1"/>
    </xf>
    <xf numFmtId="167" fontId="1" fillId="12" borderId="0" xfId="0" quotePrefix="1" applyNumberFormat="1" applyFont="1" applyFill="1" applyAlignment="1">
      <alignment vertical="top" wrapText="1"/>
    </xf>
    <xf numFmtId="0" fontId="1" fillId="12" borderId="0" xfId="0" quotePrefix="1" applyFont="1" applyFill="1" applyAlignment="1">
      <alignment vertical="top" wrapText="1"/>
    </xf>
    <xf numFmtId="0" fontId="38" fillId="12" borderId="0" xfId="0" applyFont="1" applyFill="1" applyAlignment="1">
      <alignment vertical="top"/>
    </xf>
    <xf numFmtId="0" fontId="112" fillId="12" borderId="0" xfId="0" applyFont="1" applyFill="1" applyAlignment="1">
      <alignment vertical="top" wrapText="1"/>
    </xf>
    <xf numFmtId="0" fontId="113" fillId="12" borderId="0" xfId="0" applyFont="1" applyFill="1" applyAlignment="1">
      <alignment vertical="top"/>
    </xf>
    <xf numFmtId="167" fontId="113" fillId="12" borderId="0" xfId="0" applyNumberFormat="1" applyFont="1" applyFill="1" applyAlignment="1">
      <alignment vertical="top" wrapText="1"/>
    </xf>
    <xf numFmtId="167" fontId="112" fillId="12" borderId="0" xfId="0" applyNumberFormat="1" applyFont="1" applyFill="1" applyAlignment="1">
      <alignment vertical="top" wrapText="1"/>
    </xf>
    <xf numFmtId="0" fontId="113" fillId="12" borderId="0" xfId="0" applyFont="1" applyFill="1" applyAlignment="1">
      <alignment vertical="top" wrapText="1"/>
    </xf>
    <xf numFmtId="0" fontId="1" fillId="12" borderId="6" xfId="0" applyFont="1" applyFill="1" applyBorder="1" applyAlignment="1">
      <alignment vertical="top" wrapText="1"/>
    </xf>
    <xf numFmtId="0" fontId="1" fillId="12" borderId="7" xfId="0" applyFont="1" applyFill="1" applyBorder="1" applyAlignment="1">
      <alignment vertical="top" wrapText="1"/>
    </xf>
    <xf numFmtId="0" fontId="1" fillId="12" borderId="62" xfId="0" applyFont="1" applyFill="1" applyBorder="1" applyAlignment="1">
      <alignment vertical="top" wrapText="1"/>
    </xf>
    <xf numFmtId="167" fontId="112" fillId="12" borderId="36" xfId="0" applyNumberFormat="1" applyFont="1" applyFill="1" applyBorder="1" applyAlignment="1">
      <alignment vertical="top" wrapText="1"/>
    </xf>
    <xf numFmtId="0" fontId="113" fillId="12" borderId="7" xfId="0" applyFont="1" applyFill="1" applyBorder="1" applyAlignment="1">
      <alignment vertical="top" wrapText="1"/>
    </xf>
    <xf numFmtId="0" fontId="113" fillId="12" borderId="7" xfId="0" applyFont="1" applyFill="1" applyBorder="1" applyAlignment="1">
      <alignment vertical="top"/>
    </xf>
    <xf numFmtId="0" fontId="1" fillId="12" borderId="36" xfId="0" applyFont="1" applyFill="1" applyBorder="1" applyAlignment="1">
      <alignment vertical="top" wrapText="1"/>
    </xf>
    <xf numFmtId="0" fontId="1" fillId="12" borderId="8" xfId="0" applyFont="1" applyFill="1" applyBorder="1" applyAlignment="1">
      <alignment vertical="top" wrapText="1"/>
    </xf>
    <xf numFmtId="0" fontId="38" fillId="12" borderId="7" xfId="0" applyFont="1" applyFill="1" applyBorder="1" applyAlignment="1">
      <alignment vertical="top"/>
    </xf>
    <xf numFmtId="167" fontId="2" fillId="5" borderId="0" xfId="0" applyNumberFormat="1" applyFont="1" applyFill="1" applyAlignment="1">
      <alignment vertical="top" wrapText="1"/>
    </xf>
    <xf numFmtId="0" fontId="51" fillId="0" borderId="0" xfId="0" applyFont="1" applyAlignment="1">
      <alignment vertical="top" wrapText="1"/>
    </xf>
    <xf numFmtId="167" fontId="2" fillId="3" borderId="28" xfId="2" applyNumberFormat="1" applyFont="1" applyFill="1" applyBorder="1" applyAlignment="1">
      <alignment vertical="top" wrapText="1"/>
    </xf>
    <xf numFmtId="9" fontId="77" fillId="0" borderId="19" xfId="0" applyNumberFormat="1" applyFont="1" applyBorder="1" applyAlignment="1">
      <alignment vertical="top" wrapText="1"/>
    </xf>
    <xf numFmtId="0" fontId="77" fillId="0" borderId="57" xfId="0" applyFont="1" applyBorder="1" applyAlignment="1">
      <alignment vertical="top" wrapText="1"/>
    </xf>
    <xf numFmtId="167" fontId="77" fillId="0" borderId="28" xfId="0" applyNumberFormat="1" applyFont="1" applyBorder="1" applyAlignment="1">
      <alignment vertical="top" wrapText="1"/>
    </xf>
    <xf numFmtId="0" fontId="77" fillId="0" borderId="0" xfId="0" applyFont="1" applyAlignment="1">
      <alignment vertical="top"/>
    </xf>
    <xf numFmtId="167" fontId="77" fillId="0" borderId="0" xfId="0" applyNumberFormat="1" applyFont="1" applyAlignment="1">
      <alignment vertical="top" wrapText="1"/>
    </xf>
    <xf numFmtId="167" fontId="2" fillId="7" borderId="28" xfId="2" applyNumberFormat="1" applyFont="1" applyFill="1" applyBorder="1" applyAlignment="1">
      <alignment vertical="top" wrapText="1"/>
    </xf>
    <xf numFmtId="167" fontId="2" fillId="7" borderId="0" xfId="0" applyNumberFormat="1" applyFont="1" applyFill="1" applyAlignment="1">
      <alignment vertical="top" wrapText="1"/>
    </xf>
    <xf numFmtId="2" fontId="2" fillId="7" borderId="0" xfId="0" applyNumberFormat="1" applyFont="1" applyFill="1" applyAlignment="1">
      <alignment vertical="top" wrapText="1"/>
    </xf>
    <xf numFmtId="0" fontId="2" fillId="7" borderId="9" xfId="0" applyFont="1" applyFill="1" applyBorder="1" applyAlignment="1">
      <alignment vertical="top" wrapText="1"/>
    </xf>
    <xf numFmtId="0" fontId="2" fillId="7" borderId="10" xfId="0" applyFont="1" applyFill="1" applyBorder="1" applyAlignment="1">
      <alignment vertical="top" wrapText="1"/>
    </xf>
    <xf numFmtId="2" fontId="2" fillId="4" borderId="0" xfId="0" applyNumberFormat="1" applyFont="1" applyFill="1" applyAlignment="1">
      <alignment vertical="top" wrapText="1"/>
    </xf>
    <xf numFmtId="0" fontId="2" fillId="4" borderId="9" xfId="0" applyFont="1" applyFill="1" applyBorder="1" applyAlignment="1">
      <alignment vertical="top" wrapText="1"/>
    </xf>
    <xf numFmtId="0" fontId="2" fillId="4" borderId="10" xfId="0" applyFont="1" applyFill="1" applyBorder="1" applyAlignment="1">
      <alignment vertical="top" wrapText="1"/>
    </xf>
    <xf numFmtId="0" fontId="2" fillId="4" borderId="19" xfId="0" applyFont="1" applyFill="1" applyBorder="1" applyAlignment="1">
      <alignment vertical="top" wrapText="1"/>
    </xf>
    <xf numFmtId="0" fontId="2" fillId="4" borderId="57" xfId="0" applyFont="1" applyFill="1" applyBorder="1" applyAlignment="1">
      <alignment vertical="top" wrapText="1"/>
    </xf>
    <xf numFmtId="9" fontId="2" fillId="4" borderId="28" xfId="2" applyFont="1" applyFill="1" applyBorder="1" applyAlignment="1">
      <alignment vertical="top" wrapText="1"/>
    </xf>
    <xf numFmtId="0" fontId="115" fillId="0" borderId="0" xfId="0" applyFont="1"/>
    <xf numFmtId="175" fontId="115" fillId="0" borderId="0" xfId="3" applyNumberFormat="1" applyFont="1"/>
    <xf numFmtId="175" fontId="0" fillId="0" borderId="0" xfId="3" applyNumberFormat="1" applyFont="1"/>
    <xf numFmtId="0" fontId="116" fillId="0" borderId="0" xfId="0" applyFont="1" applyAlignment="1">
      <alignment horizontal="right"/>
    </xf>
    <xf numFmtId="9" fontId="116" fillId="0" borderId="0" xfId="2" applyFont="1"/>
    <xf numFmtId="0" fontId="116" fillId="0" borderId="0" xfId="0" applyFont="1"/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0" fontId="2" fillId="5" borderId="3" xfId="0" applyFont="1" applyFill="1" applyBorder="1" applyAlignment="1">
      <alignment vertical="top"/>
    </xf>
    <xf numFmtId="0" fontId="17" fillId="0" borderId="9" xfId="0" applyFont="1" applyBorder="1" applyAlignment="1">
      <alignment vertical="top"/>
    </xf>
    <xf numFmtId="0" fontId="2" fillId="12" borderId="9" xfId="0" applyFont="1" applyFill="1" applyBorder="1" applyAlignment="1">
      <alignment vertical="top"/>
    </xf>
    <xf numFmtId="0" fontId="118" fillId="0" borderId="0" xfId="0" applyFont="1"/>
    <xf numFmtId="0" fontId="120" fillId="29" borderId="0" xfId="0" applyFont="1" applyFill="1" applyAlignment="1">
      <alignment horizontal="center"/>
    </xf>
    <xf numFmtId="0" fontId="120" fillId="29" borderId="0" xfId="0" applyFont="1" applyFill="1" applyAlignment="1">
      <alignment horizontal="center" wrapText="1"/>
    </xf>
    <xf numFmtId="0" fontId="115" fillId="30" borderId="0" xfId="0" applyFont="1" applyFill="1"/>
    <xf numFmtId="175" fontId="115" fillId="30" borderId="0" xfId="3" applyNumberFormat="1" applyFont="1" applyFill="1"/>
    <xf numFmtId="175" fontId="0" fillId="30" borderId="0" xfId="3" applyNumberFormat="1" applyFont="1" applyFill="1"/>
    <xf numFmtId="0" fontId="115" fillId="2" borderId="0" xfId="0" applyFont="1" applyFill="1"/>
    <xf numFmtId="175" fontId="115" fillId="2" borderId="0" xfId="3" applyNumberFormat="1" applyFont="1" applyFill="1"/>
    <xf numFmtId="0" fontId="115" fillId="2" borderId="0" xfId="0" applyFont="1" applyFill="1" applyAlignment="1">
      <alignment wrapText="1"/>
    </xf>
    <xf numFmtId="175" fontId="115" fillId="3" borderId="68" xfId="3" applyNumberFormat="1" applyFont="1" applyFill="1" applyBorder="1"/>
    <xf numFmtId="0" fontId="115" fillId="30" borderId="68" xfId="0" applyFont="1" applyFill="1" applyBorder="1" applyAlignment="1">
      <alignment horizontal="left"/>
    </xf>
    <xf numFmtId="175" fontId="115" fillId="30" borderId="68" xfId="3" applyNumberFormat="1" applyFont="1" applyFill="1" applyBorder="1"/>
    <xf numFmtId="175" fontId="115" fillId="30" borderId="68" xfId="0" applyNumberFormat="1" applyFont="1" applyFill="1" applyBorder="1"/>
    <xf numFmtId="0" fontId="115" fillId="30" borderId="68" xfId="0" applyFont="1" applyFill="1" applyBorder="1"/>
    <xf numFmtId="0" fontId="117" fillId="30" borderId="0" xfId="0" applyFont="1" applyFill="1"/>
    <xf numFmtId="0" fontId="122" fillId="29" borderId="0" xfId="0" applyFont="1" applyFill="1"/>
    <xf numFmtId="0" fontId="123" fillId="30" borderId="0" xfId="0" applyFont="1" applyFill="1"/>
    <xf numFmtId="0" fontId="124" fillId="30" borderId="0" xfId="0" applyFont="1" applyFill="1"/>
    <xf numFmtId="0" fontId="115" fillId="7" borderId="0" xfId="0" applyFont="1" applyFill="1"/>
    <xf numFmtId="175" fontId="115" fillId="7" borderId="0" xfId="3" applyNumberFormat="1" applyFont="1" applyFill="1"/>
    <xf numFmtId="0" fontId="115" fillId="3" borderId="68" xfId="0" applyFont="1" applyFill="1" applyBorder="1" applyAlignment="1">
      <alignment horizontal="left"/>
    </xf>
    <xf numFmtId="0" fontId="115" fillId="7" borderId="68" xfId="0" applyFont="1" applyFill="1" applyBorder="1" applyAlignment="1">
      <alignment horizontal="left"/>
    </xf>
    <xf numFmtId="175" fontId="115" fillId="7" borderId="68" xfId="0" applyNumberFormat="1" applyFont="1" applyFill="1" applyBorder="1"/>
    <xf numFmtId="0" fontId="115" fillId="7" borderId="68" xfId="0" applyFont="1" applyFill="1" applyBorder="1"/>
    <xf numFmtId="175" fontId="115" fillId="31" borderId="68" xfId="3" applyNumberFormat="1" applyFont="1" applyFill="1" applyBorder="1"/>
    <xf numFmtId="0" fontId="115" fillId="31" borderId="68" xfId="0" applyFont="1" applyFill="1" applyBorder="1" applyAlignment="1">
      <alignment horizontal="left"/>
    </xf>
    <xf numFmtId="0" fontId="115" fillId="11" borderId="69" xfId="0" applyFont="1" applyFill="1" applyBorder="1" applyAlignment="1">
      <alignment horizontal="center"/>
    </xf>
    <xf numFmtId="167" fontId="7" fillId="3" borderId="0" xfId="0" applyNumberFormat="1" applyFont="1" applyFill="1"/>
    <xf numFmtId="0" fontId="126" fillId="0" borderId="0" xfId="0" applyFont="1" applyAlignment="1">
      <alignment horizontal="left" vertical="center" readingOrder="1"/>
    </xf>
    <xf numFmtId="0" fontId="127" fillId="0" borderId="0" xfId="0" applyFont="1"/>
    <xf numFmtId="0" fontId="21" fillId="0" borderId="0" xfId="0" applyFont="1" applyAlignment="1">
      <alignment wrapText="1"/>
    </xf>
    <xf numFmtId="0" fontId="21" fillId="0" borderId="0" xfId="0" applyFont="1" applyAlignment="1">
      <alignment horizontal="right"/>
    </xf>
    <xf numFmtId="165" fontId="21" fillId="0" borderId="0" xfId="2" applyNumberFormat="1" applyFont="1"/>
    <xf numFmtId="165" fontId="21" fillId="0" borderId="0" xfId="0" applyNumberFormat="1" applyFont="1"/>
    <xf numFmtId="0" fontId="21" fillId="0" borderId="1" xfId="0" applyFont="1" applyBorder="1"/>
    <xf numFmtId="170" fontId="21" fillId="0" borderId="1" xfId="0" applyNumberFormat="1" applyFont="1" applyBorder="1"/>
    <xf numFmtId="174" fontId="21" fillId="0" borderId="1" xfId="0" applyNumberFormat="1" applyFont="1" applyBorder="1"/>
    <xf numFmtId="9" fontId="21" fillId="0" borderId="1" xfId="0" applyNumberFormat="1" applyFont="1" applyBorder="1"/>
    <xf numFmtId="0" fontId="21" fillId="3" borderId="1" xfId="0" applyFont="1" applyFill="1" applyBorder="1" applyAlignment="1">
      <alignment wrapText="1"/>
    </xf>
    <xf numFmtId="0" fontId="21" fillId="3" borderId="1" xfId="0" applyFont="1" applyFill="1" applyBorder="1"/>
    <xf numFmtId="170" fontId="21" fillId="3" borderId="1" xfId="0" applyNumberFormat="1" applyFont="1" applyFill="1" applyBorder="1"/>
    <xf numFmtId="174" fontId="21" fillId="3" borderId="1" xfId="0" applyNumberFormat="1" applyFont="1" applyFill="1" applyBorder="1"/>
    <xf numFmtId="0" fontId="38" fillId="3" borderId="1" xfId="0" applyFont="1" applyFill="1" applyBorder="1"/>
    <xf numFmtId="0" fontId="128" fillId="0" borderId="0" xfId="0" applyFont="1" applyAlignment="1">
      <alignment horizontal="right"/>
    </xf>
    <xf numFmtId="0" fontId="41" fillId="7" borderId="9" xfId="0" applyFont="1" applyFill="1" applyBorder="1" applyAlignment="1">
      <alignment vertical="top" wrapText="1"/>
    </xf>
    <xf numFmtId="0" fontId="7" fillId="5" borderId="0" xfId="0" applyFont="1" applyFill="1" applyAlignment="1">
      <alignment vertical="top"/>
    </xf>
    <xf numFmtId="0" fontId="21" fillId="0" borderId="1" xfId="0" applyFont="1" applyBorder="1" applyAlignment="1">
      <alignment vertical="top" wrapText="1"/>
    </xf>
    <xf numFmtId="170" fontId="21" fillId="0" borderId="0" xfId="0" applyNumberFormat="1" applyFont="1" applyAlignment="1">
      <alignment vertical="top"/>
    </xf>
    <xf numFmtId="1" fontId="21" fillId="0" borderId="0" xfId="0" applyNumberFormat="1" applyFont="1" applyAlignment="1">
      <alignment vertical="top"/>
    </xf>
    <xf numFmtId="170" fontId="21" fillId="7" borderId="0" xfId="0" applyNumberFormat="1" applyFont="1" applyFill="1" applyAlignment="1">
      <alignment vertical="top"/>
    </xf>
    <xf numFmtId="174" fontId="21" fillId="0" borderId="0" xfId="0" applyNumberFormat="1" applyFont="1" applyAlignment="1">
      <alignment vertical="top"/>
    </xf>
    <xf numFmtId="0" fontId="7" fillId="0" borderId="1" xfId="0" applyFont="1" applyBorder="1" applyAlignment="1">
      <alignment vertical="top" wrapText="1"/>
    </xf>
    <xf numFmtId="1" fontId="21" fillId="0" borderId="0" xfId="0" applyNumberFormat="1" applyFont="1" applyAlignment="1">
      <alignment vertical="top" wrapText="1"/>
    </xf>
    <xf numFmtId="9" fontId="21" fillId="0" borderId="0" xfId="2" applyFont="1" applyAlignment="1">
      <alignment vertical="top" wrapText="1"/>
    </xf>
    <xf numFmtId="170" fontId="21" fillId="2" borderId="0" xfId="0" applyNumberFormat="1" applyFont="1" applyFill="1" applyAlignment="1">
      <alignment vertical="top"/>
    </xf>
    <xf numFmtId="0" fontId="21" fillId="0" borderId="0" xfId="0" applyFont="1" applyAlignment="1">
      <alignment horizontal="right" vertical="top"/>
    </xf>
    <xf numFmtId="0" fontId="129" fillId="0" borderId="0" xfId="0" applyFont="1" applyAlignment="1">
      <alignment vertical="top"/>
    </xf>
    <xf numFmtId="170" fontId="129" fillId="0" borderId="0" xfId="0" applyNumberFormat="1" applyFont="1" applyAlignment="1">
      <alignment vertical="top"/>
    </xf>
    <xf numFmtId="0" fontId="7" fillId="3" borderId="1" xfId="0" applyFont="1" applyFill="1" applyBorder="1" applyAlignment="1">
      <alignment vertical="top" wrapText="1"/>
    </xf>
    <xf numFmtId="2" fontId="21" fillId="0" borderId="0" xfId="0" applyNumberFormat="1" applyFont="1" applyAlignment="1">
      <alignment vertical="top"/>
    </xf>
    <xf numFmtId="170" fontId="21" fillId="3" borderId="1" xfId="0" applyNumberFormat="1" applyFont="1" applyFill="1" applyBorder="1" applyAlignment="1">
      <alignment vertical="top"/>
    </xf>
    <xf numFmtId="172" fontId="21" fillId="0" borderId="0" xfId="0" applyNumberFormat="1" applyFont="1" applyAlignment="1">
      <alignment vertical="top"/>
    </xf>
    <xf numFmtId="0" fontId="21" fillId="3" borderId="0" xfId="0" applyFont="1" applyFill="1" applyAlignment="1">
      <alignment vertical="top"/>
    </xf>
    <xf numFmtId="0" fontId="7" fillId="3" borderId="0" xfId="0" applyFont="1" applyFill="1" applyAlignment="1">
      <alignment vertical="top"/>
    </xf>
    <xf numFmtId="2" fontId="21" fillId="0" borderId="0" xfId="0" applyNumberFormat="1" applyFont="1" applyAlignment="1">
      <alignment vertical="top" wrapText="1"/>
    </xf>
    <xf numFmtId="170" fontId="21" fillId="0" borderId="1" xfId="0" applyNumberFormat="1" applyFont="1" applyBorder="1" applyAlignment="1">
      <alignment vertical="top"/>
    </xf>
    <xf numFmtId="0" fontId="74" fillId="0" borderId="0" xfId="0" applyFont="1" applyAlignment="1">
      <alignment vertical="top" wrapText="1"/>
    </xf>
    <xf numFmtId="0" fontId="5" fillId="0" borderId="0" xfId="0" applyFont="1" applyAlignment="1">
      <alignment wrapText="1"/>
    </xf>
    <xf numFmtId="0" fontId="115" fillId="0" borderId="0" xfId="0" applyFont="1" applyAlignment="1">
      <alignment wrapText="1"/>
    </xf>
    <xf numFmtId="0" fontId="125" fillId="0" borderId="0" xfId="0" applyFont="1" applyAlignment="1">
      <alignment wrapText="1"/>
    </xf>
    <xf numFmtId="0" fontId="5" fillId="0" borderId="0" xfId="0" applyFont="1" applyAlignment="1">
      <alignment horizontal="left" wrapText="1"/>
    </xf>
    <xf numFmtId="0" fontId="116" fillId="0" borderId="0" xfId="0" applyFont="1" applyAlignment="1">
      <alignment horizontal="right" indent="2"/>
    </xf>
    <xf numFmtId="9" fontId="118" fillId="0" borderId="0" xfId="2" applyFont="1"/>
    <xf numFmtId="175" fontId="121" fillId="3" borderId="68" xfId="2" applyNumberFormat="1" applyFont="1" applyFill="1" applyBorder="1"/>
    <xf numFmtId="0" fontId="121" fillId="3" borderId="68" xfId="0" applyFont="1" applyFill="1" applyBorder="1"/>
    <xf numFmtId="9" fontId="130" fillId="11" borderId="0" xfId="2" applyFont="1" applyFill="1"/>
    <xf numFmtId="0" fontId="0" fillId="29" borderId="0" xfId="0" applyFill="1"/>
    <xf numFmtId="0" fontId="130" fillId="11" borderId="0" xfId="0" applyFont="1" applyFill="1"/>
    <xf numFmtId="9" fontId="118" fillId="0" borderId="0" xfId="0" applyNumberFormat="1" applyFont="1"/>
    <xf numFmtId="0" fontId="128" fillId="0" borderId="0" xfId="0" applyFont="1" applyAlignment="1">
      <alignment horizontal="right" vertical="top"/>
    </xf>
    <xf numFmtId="0" fontId="7" fillId="0" borderId="0" xfId="0" applyFont="1" applyAlignment="1">
      <alignment horizontal="left" wrapText="1"/>
    </xf>
    <xf numFmtId="0" fontId="121" fillId="0" borderId="0" xfId="0" applyFont="1" applyAlignment="1">
      <alignment horizontal="right"/>
    </xf>
    <xf numFmtId="9" fontId="121" fillId="0" borderId="0" xfId="2" applyFont="1"/>
    <xf numFmtId="0" fontId="121" fillId="0" borderId="0" xfId="0" applyFont="1"/>
    <xf numFmtId="9" fontId="27" fillId="26" borderId="0" xfId="2" applyFont="1" applyFill="1" applyAlignment="1">
      <alignment vertical="top"/>
    </xf>
    <xf numFmtId="0" fontId="27" fillId="26" borderId="0" xfId="0" applyFont="1" applyFill="1" applyAlignment="1">
      <alignment vertical="top"/>
    </xf>
    <xf numFmtId="0" fontId="73" fillId="0" borderId="0" xfId="0" applyFont="1" applyAlignment="1">
      <alignment wrapText="1"/>
    </xf>
    <xf numFmtId="0" fontId="104" fillId="0" borderId="0" xfId="0" applyFont="1" applyAlignment="1">
      <alignment wrapText="1"/>
    </xf>
    <xf numFmtId="175" fontId="73" fillId="0" borderId="0" xfId="3" applyNumberFormat="1" applyFont="1"/>
    <xf numFmtId="9" fontId="121" fillId="0" borderId="0" xfId="2" applyFont="1" applyFill="1"/>
    <xf numFmtId="0" fontId="0" fillId="0" borderId="0" xfId="0" applyAlignment="1">
      <alignment vertical="top"/>
    </xf>
    <xf numFmtId="9" fontId="132" fillId="26" borderId="0" xfId="2" applyFont="1" applyFill="1" applyAlignment="1">
      <alignment vertical="top"/>
    </xf>
    <xf numFmtId="0" fontId="133" fillId="0" borderId="0" xfId="0" applyFont="1"/>
    <xf numFmtId="0" fontId="133" fillId="0" borderId="0" xfId="0" applyFont="1" applyAlignment="1">
      <alignment wrapText="1"/>
    </xf>
    <xf numFmtId="0" fontId="134" fillId="0" borderId="0" xfId="0" applyFont="1" applyAlignment="1">
      <alignment wrapText="1"/>
    </xf>
    <xf numFmtId="175" fontId="135" fillId="0" borderId="0" xfId="2" applyNumberFormat="1" applyFont="1" applyFill="1"/>
    <xf numFmtId="0" fontId="135" fillId="0" borderId="0" xfId="0" applyFont="1"/>
    <xf numFmtId="9" fontId="121" fillId="26" borderId="0" xfId="2" applyFont="1" applyFill="1" applyAlignment="1">
      <alignment vertical="top"/>
    </xf>
    <xf numFmtId="0" fontId="121" fillId="26" borderId="0" xfId="0" applyFont="1" applyFill="1" applyAlignment="1">
      <alignment vertical="top"/>
    </xf>
    <xf numFmtId="9" fontId="136" fillId="26" borderId="0" xfId="2" applyFont="1" applyFill="1" applyAlignment="1">
      <alignment vertical="top"/>
    </xf>
    <xf numFmtId="0" fontId="136" fillId="26" borderId="0" xfId="0" applyFont="1" applyFill="1" applyAlignment="1">
      <alignment vertical="top"/>
    </xf>
    <xf numFmtId="0" fontId="5" fillId="0" borderId="0" xfId="0" applyFont="1" applyAlignment="1">
      <alignment vertical="top" wrapText="1"/>
    </xf>
    <xf numFmtId="175" fontId="0" fillId="32" borderId="0" xfId="3" applyNumberFormat="1" applyFont="1" applyFill="1"/>
    <xf numFmtId="0" fontId="133" fillId="0" borderId="0" xfId="0" applyFont="1" applyAlignment="1">
      <alignment vertical="top"/>
    </xf>
    <xf numFmtId="175" fontId="73" fillId="0" borderId="0" xfId="3" applyNumberFormat="1" applyFont="1" applyAlignment="1">
      <alignment vertical="top"/>
    </xf>
    <xf numFmtId="0" fontId="137" fillId="0" borderId="0" xfId="0" applyFont="1"/>
    <xf numFmtId="175" fontId="137" fillId="0" borderId="0" xfId="0" applyNumberFormat="1" applyFont="1"/>
    <xf numFmtId="175" fontId="73" fillId="0" borderId="0" xfId="3" applyNumberFormat="1" applyFont="1" applyBorder="1"/>
    <xf numFmtId="175" fontId="115" fillId="3" borderId="0" xfId="3" applyNumberFormat="1" applyFont="1" applyFill="1" applyBorder="1"/>
    <xf numFmtId="175" fontId="10" fillId="7" borderId="0" xfId="3" applyNumberFormat="1" applyFont="1" applyFill="1"/>
    <xf numFmtId="0" fontId="0" fillId="7" borderId="0" xfId="0" applyFill="1" applyAlignment="1">
      <alignment horizontal="left" indent="2"/>
    </xf>
    <xf numFmtId="0" fontId="138" fillId="0" borderId="0" xfId="0" applyFont="1"/>
    <xf numFmtId="175" fontId="138" fillId="0" borderId="0" xfId="0" applyNumberFormat="1" applyFont="1"/>
    <xf numFmtId="175" fontId="139" fillId="0" borderId="0" xfId="3" applyNumberFormat="1" applyFont="1" applyBorder="1"/>
    <xf numFmtId="0" fontId="73" fillId="0" borderId="0" xfId="0" applyFont="1" applyAlignment="1">
      <alignment vertical="top"/>
    </xf>
    <xf numFmtId="0" fontId="115" fillId="7" borderId="0" xfId="0" applyFont="1" applyFill="1" applyAlignment="1">
      <alignment horizontal="left" indent="1"/>
    </xf>
    <xf numFmtId="0" fontId="115" fillId="3" borderId="0" xfId="0" applyFont="1" applyFill="1"/>
    <xf numFmtId="175" fontId="115" fillId="3" borderId="0" xfId="3" applyNumberFormat="1" applyFont="1" applyFill="1"/>
    <xf numFmtId="0" fontId="137" fillId="0" borderId="0" xfId="0" applyFont="1" applyAlignment="1">
      <alignment horizontal="right"/>
    </xf>
    <xf numFmtId="9" fontId="121" fillId="0" borderId="0" xfId="2" applyFont="1" applyBorder="1"/>
    <xf numFmtId="175" fontId="140" fillId="30" borderId="0" xfId="3" applyNumberFormat="1" applyFont="1" applyFill="1" applyBorder="1"/>
    <xf numFmtId="175" fontId="140" fillId="30" borderId="17" xfId="3" applyNumberFormat="1" applyFont="1" applyFill="1" applyBorder="1"/>
    <xf numFmtId="175" fontId="115" fillId="30" borderId="18" xfId="3" applyNumberFormat="1" applyFont="1" applyFill="1" applyBorder="1"/>
    <xf numFmtId="175" fontId="115" fillId="30" borderId="27" xfId="3" applyNumberFormat="1" applyFont="1" applyFill="1" applyBorder="1"/>
    <xf numFmtId="0" fontId="115" fillId="3" borderId="19" xfId="0" applyFont="1" applyFill="1" applyBorder="1" applyAlignment="1">
      <alignment horizontal="left" indent="1"/>
    </xf>
    <xf numFmtId="175" fontId="115" fillId="3" borderId="28" xfId="3" applyNumberFormat="1" applyFont="1" applyFill="1" applyBorder="1"/>
    <xf numFmtId="9" fontId="121" fillId="0" borderId="19" xfId="2" applyFont="1" applyBorder="1" applyAlignment="1">
      <alignment horizontal="right"/>
    </xf>
    <xf numFmtId="9" fontId="121" fillId="0" borderId="28" xfId="2" applyFont="1" applyBorder="1"/>
    <xf numFmtId="9" fontId="121" fillId="0" borderId="20" xfId="2" applyFont="1" applyBorder="1" applyAlignment="1">
      <alignment horizontal="right"/>
    </xf>
    <xf numFmtId="9" fontId="121" fillId="0" borderId="21" xfId="2" applyFont="1" applyBorder="1"/>
    <xf numFmtId="9" fontId="121" fillId="0" borderId="29" xfId="2" applyFont="1" applyBorder="1"/>
    <xf numFmtId="0" fontId="116" fillId="0" borderId="0" xfId="0" applyFont="1" applyAlignment="1">
      <alignment wrapText="1"/>
    </xf>
    <xf numFmtId="0" fontId="115" fillId="3" borderId="0" xfId="0" applyFont="1" applyFill="1" applyAlignment="1">
      <alignment horizontal="left" indent="1"/>
    </xf>
    <xf numFmtId="0" fontId="115" fillId="31" borderId="68" xfId="0" applyFont="1" applyFill="1" applyBorder="1" applyAlignment="1">
      <alignment horizontal="left" indent="1"/>
    </xf>
    <xf numFmtId="175" fontId="0" fillId="0" borderId="0" xfId="0" applyNumberFormat="1"/>
    <xf numFmtId="175" fontId="141" fillId="0" borderId="0" xfId="3" applyNumberFormat="1" applyFont="1" applyBorder="1"/>
    <xf numFmtId="175" fontId="141" fillId="0" borderId="0" xfId="0" applyNumberFormat="1" applyFont="1"/>
    <xf numFmtId="167" fontId="2" fillId="11" borderId="34" xfId="0" applyNumberFormat="1" applyFont="1" applyFill="1" applyBorder="1" applyAlignment="1">
      <alignment vertical="top" wrapText="1"/>
    </xf>
    <xf numFmtId="167" fontId="2" fillId="11" borderId="36" xfId="0" applyNumberFormat="1" applyFont="1" applyFill="1" applyBorder="1" applyAlignment="1">
      <alignment vertical="top" wrapText="1"/>
    </xf>
    <xf numFmtId="0" fontId="115" fillId="2" borderId="0" xfId="0" applyFont="1" applyFill="1" applyAlignment="1">
      <alignment horizontal="left" indent="2"/>
    </xf>
    <xf numFmtId="0" fontId="0" fillId="2" borderId="0" xfId="0" applyFill="1" applyAlignment="1">
      <alignment horizontal="left" indent="3"/>
    </xf>
    <xf numFmtId="175" fontId="10" fillId="2" borderId="0" xfId="3" applyNumberFormat="1" applyFont="1" applyFill="1"/>
    <xf numFmtId="0" fontId="142" fillId="0" borderId="0" xfId="0" applyFont="1"/>
    <xf numFmtId="175" fontId="127" fillId="0" borderId="0" xfId="0" applyNumberFormat="1" applyFont="1"/>
    <xf numFmtId="0" fontId="127" fillId="0" borderId="0" xfId="0" applyFont="1" applyAlignment="1">
      <alignment wrapText="1"/>
    </xf>
    <xf numFmtId="0" fontId="142" fillId="0" borderId="0" xfId="0" applyFont="1" applyAlignment="1">
      <alignment wrapText="1"/>
    </xf>
    <xf numFmtId="175" fontId="143" fillId="0" borderId="0" xfId="0" applyNumberFormat="1" applyFont="1"/>
    <xf numFmtId="0" fontId="27" fillId="0" borderId="0" xfId="0" applyFont="1" applyAlignment="1">
      <alignment wrapText="1"/>
    </xf>
    <xf numFmtId="0" fontId="0" fillId="0" borderId="0" xfId="0" applyAlignment="1">
      <alignment horizontal="left" vertical="top"/>
    </xf>
    <xf numFmtId="175" fontId="0" fillId="0" borderId="0" xfId="3" applyNumberFormat="1" applyFont="1" applyAlignment="1">
      <alignment vertical="top"/>
    </xf>
    <xf numFmtId="0" fontId="0" fillId="0" borderId="0" xfId="0" applyAlignment="1">
      <alignment vertical="top" wrapText="1"/>
    </xf>
    <xf numFmtId="0" fontId="47" fillId="0" borderId="0" xfId="0" applyFont="1"/>
    <xf numFmtId="9" fontId="21" fillId="0" borderId="13" xfId="2" applyFont="1" applyBorder="1"/>
    <xf numFmtId="9" fontId="21" fillId="5" borderId="13" xfId="2" applyFont="1" applyFill="1" applyBorder="1" applyAlignment="1">
      <alignment vertical="top"/>
    </xf>
    <xf numFmtId="9" fontId="21" fillId="5" borderId="13" xfId="2" applyFont="1" applyFill="1" applyBorder="1"/>
    <xf numFmtId="175" fontId="5" fillId="0" borderId="0" xfId="3" applyNumberFormat="1" applyFont="1" applyAlignment="1">
      <alignment vertical="top"/>
    </xf>
    <xf numFmtId="170" fontId="145" fillId="3" borderId="1" xfId="0" applyNumberFormat="1" applyFont="1" applyFill="1" applyBorder="1"/>
    <xf numFmtId="0" fontId="122" fillId="29" borderId="0" xfId="0" applyFont="1" applyFill="1" applyAlignment="1">
      <alignment vertical="top"/>
    </xf>
    <xf numFmtId="0" fontId="120" fillId="29" borderId="0" xfId="0" applyFont="1" applyFill="1" applyAlignment="1">
      <alignment horizontal="center" vertical="top" wrapText="1"/>
    </xf>
    <xf numFmtId="175" fontId="45" fillId="0" borderId="0" xfId="3" applyNumberFormat="1" applyFont="1" applyAlignment="1">
      <alignment vertical="top"/>
    </xf>
    <xf numFmtId="0" fontId="45" fillId="0" borderId="0" xfId="0" applyFont="1" applyAlignment="1">
      <alignment vertical="top" wrapText="1"/>
    </xf>
    <xf numFmtId="9" fontId="21" fillId="0" borderId="0" xfId="2" applyFont="1"/>
    <xf numFmtId="175" fontId="0" fillId="33" borderId="0" xfId="3" applyNumberFormat="1" applyFont="1" applyFill="1"/>
    <xf numFmtId="175" fontId="10" fillId="0" borderId="0" xfId="3" applyNumberFormat="1" applyFont="1" applyAlignment="1">
      <alignment vertical="top"/>
    </xf>
    <xf numFmtId="0" fontId="38" fillId="11" borderId="0" xfId="0" applyFont="1" applyFill="1"/>
    <xf numFmtId="1" fontId="38" fillId="0" borderId="0" xfId="0" applyNumberFormat="1" applyFont="1"/>
    <xf numFmtId="1" fontId="38" fillId="11" borderId="0" xfId="0" applyNumberFormat="1" applyFont="1" applyFill="1"/>
    <xf numFmtId="0" fontId="88" fillId="0" borderId="0" xfId="0" applyFont="1" applyAlignment="1">
      <alignment vertical="top"/>
    </xf>
    <xf numFmtId="1" fontId="2" fillId="0" borderId="0" xfId="0" applyNumberFormat="1" applyFont="1"/>
    <xf numFmtId="9" fontId="121" fillId="26" borderId="0" xfId="2" applyFont="1" applyFill="1"/>
    <xf numFmtId="0" fontId="121" fillId="26" borderId="0" xfId="0" applyFont="1" applyFill="1"/>
    <xf numFmtId="175" fontId="0" fillId="0" borderId="0" xfId="3" applyNumberFormat="1" applyFont="1" applyFill="1"/>
    <xf numFmtId="0" fontId="115" fillId="2" borderId="3" xfId="0" applyFont="1" applyFill="1" applyBorder="1" applyAlignment="1">
      <alignment horizontal="left" indent="2"/>
    </xf>
    <xf numFmtId="175" fontId="115" fillId="2" borderId="4" xfId="3" applyNumberFormat="1" applyFont="1" applyFill="1" applyBorder="1"/>
    <xf numFmtId="175" fontId="115" fillId="2" borderId="5" xfId="3" applyNumberFormat="1" applyFont="1" applyFill="1" applyBorder="1"/>
    <xf numFmtId="0" fontId="0" fillId="2" borderId="9" xfId="0" applyFill="1" applyBorder="1" applyAlignment="1">
      <alignment horizontal="left" indent="3"/>
    </xf>
    <xf numFmtId="175" fontId="10" fillId="2" borderId="0" xfId="3" applyNumberFormat="1" applyFont="1" applyFill="1" applyBorder="1"/>
    <xf numFmtId="175" fontId="10" fillId="2" borderId="10" xfId="3" applyNumberFormat="1" applyFont="1" applyFill="1" applyBorder="1"/>
    <xf numFmtId="0" fontId="0" fillId="2" borderId="6" xfId="0" applyFill="1" applyBorder="1" applyAlignment="1">
      <alignment horizontal="left" indent="3"/>
    </xf>
    <xf numFmtId="175" fontId="10" fillId="2" borderId="7" xfId="3" applyNumberFormat="1" applyFont="1" applyFill="1" applyBorder="1"/>
    <xf numFmtId="175" fontId="10" fillId="2" borderId="8" xfId="3" applyNumberFormat="1" applyFont="1" applyFill="1" applyBorder="1"/>
    <xf numFmtId="0" fontId="115" fillId="31" borderId="70" xfId="0" applyFont="1" applyFill="1" applyBorder="1" applyAlignment="1">
      <alignment horizontal="left" indent="1"/>
    </xf>
    <xf numFmtId="175" fontId="115" fillId="31" borderId="70" xfId="3" applyNumberFormat="1" applyFont="1" applyFill="1" applyBorder="1"/>
    <xf numFmtId="0" fontId="115" fillId="3" borderId="68" xfId="0" applyFont="1" applyFill="1" applyBorder="1" applyAlignment="1">
      <alignment horizontal="left" indent="1"/>
    </xf>
    <xf numFmtId="9" fontId="146" fillId="0" borderId="0" xfId="2" applyFont="1"/>
    <xf numFmtId="9" fontId="138" fillId="0" borderId="0" xfId="2" applyFont="1"/>
    <xf numFmtId="0" fontId="117" fillId="2" borderId="0" xfId="0" applyFont="1" applyFill="1"/>
    <xf numFmtId="175" fontId="117" fillId="2" borderId="0" xfId="3" applyNumberFormat="1" applyFont="1" applyFill="1"/>
    <xf numFmtId="0" fontId="147" fillId="0" borderId="0" xfId="0" applyFont="1"/>
    <xf numFmtId="9" fontId="147" fillId="0" borderId="0" xfId="2" applyFont="1"/>
    <xf numFmtId="0" fontId="148" fillId="0" borderId="0" xfId="0" applyFont="1" applyAlignment="1">
      <alignment wrapText="1"/>
    </xf>
    <xf numFmtId="0" fontId="7" fillId="0" borderId="0" xfId="0" applyFont="1" applyAlignment="1">
      <alignment horizontal="left" indent="2"/>
    </xf>
    <xf numFmtId="175" fontId="7" fillId="0" borderId="0" xfId="3" applyNumberFormat="1" applyFont="1"/>
    <xf numFmtId="175" fontId="21" fillId="0" borderId="0" xfId="3" applyNumberFormat="1" applyFont="1"/>
    <xf numFmtId="0" fontId="127" fillId="0" borderId="0" xfId="0" applyFont="1" applyAlignment="1">
      <alignment horizontal="right"/>
    </xf>
    <xf numFmtId="9" fontId="127" fillId="0" borderId="0" xfId="2" applyFont="1"/>
    <xf numFmtId="0" fontId="7" fillId="30" borderId="68" xfId="0" applyFont="1" applyFill="1" applyBorder="1" applyAlignment="1">
      <alignment horizontal="left"/>
    </xf>
    <xf numFmtId="175" fontId="7" fillId="30" borderId="68" xfId="3" applyNumberFormat="1" applyFont="1" applyFill="1" applyBorder="1"/>
    <xf numFmtId="0" fontId="118" fillId="0" borderId="0" xfId="0" applyFont="1" applyAlignment="1">
      <alignment wrapText="1"/>
    </xf>
    <xf numFmtId="0" fontId="149" fillId="0" borderId="0" xfId="0" applyFont="1" applyAlignment="1">
      <alignment vertical="top"/>
    </xf>
    <xf numFmtId="165" fontId="127" fillId="0" borderId="0" xfId="2" applyNumberFormat="1" applyFont="1"/>
    <xf numFmtId="165" fontId="127" fillId="33" borderId="0" xfId="2" applyNumberFormat="1" applyFont="1" applyFill="1"/>
    <xf numFmtId="165" fontId="130" fillId="11" borderId="0" xfId="2" applyNumberFormat="1" applyFont="1" applyFill="1"/>
    <xf numFmtId="165" fontId="130" fillId="11" borderId="0" xfId="0" applyNumberFormat="1" applyFont="1" applyFill="1"/>
    <xf numFmtId="165" fontId="127" fillId="0" borderId="0" xfId="0" applyNumberFormat="1" applyFont="1"/>
    <xf numFmtId="9" fontId="127" fillId="0" borderId="0" xfId="0" applyNumberFormat="1" applyFont="1"/>
    <xf numFmtId="175" fontId="116" fillId="0" borderId="0" xfId="2" applyNumberFormat="1" applyFont="1"/>
    <xf numFmtId="0" fontId="115" fillId="3" borderId="68" xfId="0" applyFont="1" applyFill="1" applyBorder="1" applyAlignment="1">
      <alignment horizontal="left" wrapText="1"/>
    </xf>
    <xf numFmtId="9" fontId="127" fillId="0" borderId="0" xfId="2" applyFont="1" applyFill="1"/>
    <xf numFmtId="9" fontId="118" fillId="33" borderId="0" xfId="0" applyNumberFormat="1" applyFont="1" applyFill="1"/>
    <xf numFmtId="0" fontId="118" fillId="33" borderId="0" xfId="0" applyFont="1" applyFill="1"/>
    <xf numFmtId="9" fontId="141" fillId="0" borderId="0" xfId="2" applyFont="1"/>
    <xf numFmtId="0" fontId="7" fillId="0" borderId="16" xfId="0" applyFont="1" applyBorder="1"/>
    <xf numFmtId="0" fontId="122" fillId="29" borderId="17" xfId="0" applyFont="1" applyFill="1" applyBorder="1" applyAlignment="1">
      <alignment vertical="top"/>
    </xf>
    <xf numFmtId="0" fontId="120" fillId="29" borderId="18" xfId="0" applyFont="1" applyFill="1" applyBorder="1" applyAlignment="1">
      <alignment horizontal="center" vertical="top" wrapText="1"/>
    </xf>
    <xf numFmtId="0" fontId="120" fillId="29" borderId="18" xfId="0" applyFont="1" applyFill="1" applyBorder="1" applyAlignment="1">
      <alignment horizontal="center" wrapText="1"/>
    </xf>
    <xf numFmtId="0" fontId="120" fillId="29" borderId="27" xfId="0" applyFont="1" applyFill="1" applyBorder="1" applyAlignment="1">
      <alignment horizontal="center" wrapText="1"/>
    </xf>
    <xf numFmtId="0" fontId="5" fillId="0" borderId="0" xfId="0" applyFont="1" applyAlignment="1">
      <alignment vertical="top"/>
    </xf>
    <xf numFmtId="165" fontId="121" fillId="0" borderId="0" xfId="2" applyNumberFormat="1" applyFont="1" applyBorder="1"/>
    <xf numFmtId="9" fontId="121" fillId="0" borderId="0" xfId="2" applyFont="1" applyBorder="1" applyAlignment="1">
      <alignment horizontal="right"/>
    </xf>
    <xf numFmtId="175" fontId="115" fillId="30" borderId="0" xfId="3" applyNumberFormat="1" applyFont="1" applyFill="1" applyBorder="1"/>
    <xf numFmtId="175" fontId="140" fillId="30" borderId="19" xfId="3" applyNumberFormat="1" applyFont="1" applyFill="1" applyBorder="1"/>
    <xf numFmtId="175" fontId="115" fillId="30" borderId="28" xfId="3" applyNumberFormat="1" applyFont="1" applyFill="1" applyBorder="1"/>
    <xf numFmtId="165" fontId="127" fillId="0" borderId="0" xfId="2" applyNumberFormat="1" applyFont="1" applyFill="1"/>
    <xf numFmtId="175" fontId="21" fillId="0" borderId="0" xfId="3" applyNumberFormat="1" applyFont="1" applyFill="1"/>
    <xf numFmtId="165" fontId="116" fillId="0" borderId="0" xfId="2" applyNumberFormat="1" applyFont="1" applyFill="1"/>
    <xf numFmtId="9" fontId="118" fillId="11" borderId="0" xfId="0" applyNumberFormat="1" applyFont="1" applyFill="1"/>
    <xf numFmtId="0" fontId="118" fillId="11" borderId="0" xfId="0" applyFont="1" applyFill="1"/>
    <xf numFmtId="0" fontId="118" fillId="0" borderId="0" xfId="0" applyFont="1" applyAlignment="1">
      <alignment vertical="top" wrapText="1"/>
    </xf>
    <xf numFmtId="0" fontId="7" fillId="6" borderId="16" xfId="0" applyFont="1" applyFill="1" applyBorder="1" applyAlignment="1">
      <alignment vertical="top" wrapText="1"/>
    </xf>
    <xf numFmtId="1" fontId="21" fillId="0" borderId="9" xfId="0" applyNumberFormat="1" applyFont="1" applyBorder="1"/>
    <xf numFmtId="1" fontId="21" fillId="0" borderId="9" xfId="0" applyNumberFormat="1" applyFont="1" applyBorder="1" applyAlignment="1">
      <alignment vertical="top"/>
    </xf>
    <xf numFmtId="1" fontId="21" fillId="0" borderId="16" xfId="0" applyNumberFormat="1" applyFont="1" applyBorder="1"/>
    <xf numFmtId="0" fontId="7" fillId="6" borderId="31" xfId="0" applyFont="1" applyFill="1" applyBorder="1" applyAlignment="1">
      <alignment vertical="top" wrapText="1"/>
    </xf>
    <xf numFmtId="0" fontId="7" fillId="6" borderId="71" xfId="0" applyFont="1" applyFill="1" applyBorder="1" applyAlignment="1">
      <alignment vertical="top" wrapText="1"/>
    </xf>
    <xf numFmtId="0" fontId="21" fillId="6" borderId="72" xfId="0" applyFont="1" applyFill="1" applyBorder="1" applyAlignment="1">
      <alignment vertical="top" wrapText="1"/>
    </xf>
    <xf numFmtId="167" fontId="21" fillId="0" borderId="73" xfId="0" applyNumberFormat="1" applyFont="1" applyBorder="1"/>
    <xf numFmtId="176" fontId="21" fillId="0" borderId="74" xfId="0" applyNumberFormat="1" applyFont="1" applyBorder="1"/>
    <xf numFmtId="167" fontId="21" fillId="0" borderId="73" xfId="0" applyNumberFormat="1" applyFont="1" applyBorder="1" applyAlignment="1">
      <alignment vertical="top"/>
    </xf>
    <xf numFmtId="176" fontId="21" fillId="0" borderId="75" xfId="0" applyNumberFormat="1" applyFont="1" applyBorder="1"/>
    <xf numFmtId="167" fontId="7" fillId="3" borderId="76" xfId="0" applyNumberFormat="1" applyFont="1" applyFill="1" applyBorder="1"/>
    <xf numFmtId="0" fontId="21" fillId="0" borderId="41" xfId="0" applyFont="1" applyBorder="1"/>
    <xf numFmtId="0" fontId="21" fillId="0" borderId="46" xfId="0" applyFont="1" applyBorder="1"/>
    <xf numFmtId="0" fontId="21" fillId="0" borderId="77" xfId="0" applyFont="1" applyBorder="1"/>
    <xf numFmtId="0" fontId="7" fillId="6" borderId="17" xfId="0" applyFont="1" applyFill="1" applyBorder="1" applyAlignment="1">
      <alignment vertical="top" wrapText="1"/>
    </xf>
    <xf numFmtId="176" fontId="21" fillId="0" borderId="19" xfId="0" applyNumberFormat="1" applyFont="1" applyBorder="1"/>
    <xf numFmtId="0" fontId="21" fillId="0" borderId="28" xfId="0" applyFont="1" applyBorder="1"/>
    <xf numFmtId="176" fontId="21" fillId="5" borderId="35" xfId="0" applyNumberFormat="1" applyFont="1" applyFill="1" applyBorder="1"/>
    <xf numFmtId="169" fontId="21" fillId="5" borderId="36" xfId="0" applyNumberFormat="1" applyFont="1" applyFill="1" applyBorder="1"/>
    <xf numFmtId="176" fontId="7" fillId="3" borderId="20" xfId="0" applyNumberFormat="1" applyFont="1" applyFill="1" applyBorder="1"/>
    <xf numFmtId="0" fontId="21" fillId="0" borderId="29" xfId="0" applyFont="1" applyBorder="1"/>
    <xf numFmtId="176" fontId="21" fillId="5" borderId="19" xfId="0" applyNumberFormat="1" applyFont="1" applyFill="1" applyBorder="1"/>
    <xf numFmtId="0" fontId="21" fillId="5" borderId="28" xfId="0" applyFont="1" applyFill="1" applyBorder="1"/>
    <xf numFmtId="1" fontId="21" fillId="5" borderId="28" xfId="0" applyNumberFormat="1" applyFont="1" applyFill="1" applyBorder="1" applyAlignment="1">
      <alignment vertical="top"/>
    </xf>
    <xf numFmtId="1" fontId="21" fillId="5" borderId="28" xfId="0" applyNumberFormat="1" applyFont="1" applyFill="1" applyBorder="1"/>
    <xf numFmtId="176" fontId="7" fillId="3" borderId="40" xfId="0" applyNumberFormat="1" applyFont="1" applyFill="1" applyBorder="1"/>
    <xf numFmtId="0" fontId="21" fillId="0" borderId="42" xfId="0" applyFont="1" applyBorder="1"/>
    <xf numFmtId="0" fontId="46" fillId="34" borderId="17" xfId="0" applyFont="1" applyFill="1" applyBorder="1" applyAlignment="1">
      <alignment vertical="top" wrapText="1"/>
    </xf>
    <xf numFmtId="0" fontId="126" fillId="5" borderId="28" xfId="0" applyFont="1" applyFill="1" applyBorder="1"/>
    <xf numFmtId="1" fontId="126" fillId="5" borderId="28" xfId="0" applyNumberFormat="1" applyFont="1" applyFill="1" applyBorder="1" applyAlignment="1">
      <alignment vertical="top"/>
    </xf>
    <xf numFmtId="1" fontId="126" fillId="5" borderId="28" xfId="0" applyNumberFormat="1" applyFont="1" applyFill="1" applyBorder="1"/>
    <xf numFmtId="0" fontId="126" fillId="0" borderId="42" xfId="0" applyFont="1" applyBorder="1"/>
    <xf numFmtId="0" fontId="144" fillId="6" borderId="16" xfId="0" applyFont="1" applyFill="1" applyBorder="1" applyAlignment="1">
      <alignment vertical="top" wrapText="1"/>
    </xf>
    <xf numFmtId="0" fontId="7" fillId="6" borderId="39" xfId="0" applyFont="1" applyFill="1" applyBorder="1" applyAlignment="1">
      <alignment vertical="top" wrapText="1"/>
    </xf>
    <xf numFmtId="0" fontId="21" fillId="6" borderId="27" xfId="0" applyFont="1" applyFill="1" applyBorder="1" applyAlignment="1">
      <alignment vertical="top" wrapText="1"/>
    </xf>
    <xf numFmtId="0" fontId="126" fillId="34" borderId="27" xfId="0" applyFont="1" applyFill="1" applyBorder="1" applyAlignment="1">
      <alignment vertical="top" wrapText="1"/>
    </xf>
    <xf numFmtId="175" fontId="138" fillId="0" borderId="0" xfId="2" applyNumberFormat="1" applyFont="1"/>
    <xf numFmtId="175" fontId="141" fillId="0" borderId="0" xfId="2" applyNumberFormat="1" applyFont="1"/>
    <xf numFmtId="0" fontId="120" fillId="0" borderId="0" xfId="0" applyFont="1" applyAlignment="1">
      <alignment horizontal="center"/>
    </xf>
    <xf numFmtId="0" fontId="120" fillId="0" borderId="0" xfId="0" applyFont="1" applyAlignment="1">
      <alignment horizontal="center" wrapText="1"/>
    </xf>
    <xf numFmtId="175" fontId="115" fillId="0" borderId="0" xfId="3" applyNumberFormat="1" applyFont="1" applyFill="1"/>
    <xf numFmtId="175" fontId="115" fillId="0" borderId="68" xfId="3" applyNumberFormat="1" applyFont="1" applyFill="1" applyBorder="1"/>
    <xf numFmtId="0" fontId="115" fillId="0" borderId="68" xfId="0" applyFont="1" applyBorder="1"/>
    <xf numFmtId="175" fontId="7" fillId="0" borderId="68" xfId="3" applyNumberFormat="1" applyFont="1" applyFill="1" applyBorder="1"/>
    <xf numFmtId="175" fontId="10" fillId="0" borderId="0" xfId="3" applyNumberFormat="1" applyFont="1" applyFill="1"/>
    <xf numFmtId="0" fontId="124" fillId="0" borderId="0" xfId="0" applyFont="1"/>
    <xf numFmtId="0" fontId="121" fillId="0" borderId="68" xfId="0" applyFont="1" applyBorder="1"/>
    <xf numFmtId="0" fontId="121" fillId="0" borderId="0" xfId="0" applyFont="1" applyAlignment="1">
      <alignment vertical="top"/>
    </xf>
    <xf numFmtId="175" fontId="73" fillId="0" borderId="0" xfId="3" applyNumberFormat="1" applyFont="1" applyFill="1"/>
    <xf numFmtId="0" fontId="27" fillId="0" borderId="0" xfId="0" applyFont="1" applyAlignment="1">
      <alignment vertical="top"/>
    </xf>
    <xf numFmtId="175" fontId="73" fillId="0" borderId="0" xfId="3" applyNumberFormat="1" applyFont="1" applyFill="1" applyAlignment="1">
      <alignment vertical="top"/>
    </xf>
    <xf numFmtId="175" fontId="5" fillId="0" borderId="0" xfId="3" applyNumberFormat="1" applyFont="1" applyFill="1" applyAlignment="1">
      <alignment vertical="top"/>
    </xf>
    <xf numFmtId="175" fontId="45" fillId="0" borderId="0" xfId="3" applyNumberFormat="1" applyFont="1" applyFill="1" applyAlignment="1">
      <alignment vertical="top"/>
    </xf>
    <xf numFmtId="175" fontId="140" fillId="0" borderId="0" xfId="3" applyNumberFormat="1" applyFont="1" applyFill="1" applyBorder="1"/>
    <xf numFmtId="167" fontId="153" fillId="0" borderId="0" xfId="0" applyNumberFormat="1" applyFont="1"/>
    <xf numFmtId="0" fontId="153" fillId="0" borderId="0" xfId="0" applyFont="1"/>
    <xf numFmtId="9" fontId="154" fillId="0" borderId="0" xfId="2" applyFont="1" applyAlignment="1">
      <alignment vertical="top" wrapText="1"/>
    </xf>
    <xf numFmtId="9" fontId="154" fillId="0" borderId="0" xfId="2" applyFont="1"/>
    <xf numFmtId="9" fontId="154" fillId="0" borderId="0" xfId="2" applyFont="1" applyBorder="1"/>
    <xf numFmtId="0" fontId="115" fillId="33" borderId="19" xfId="0" applyFont="1" applyFill="1" applyBorder="1" applyAlignment="1">
      <alignment horizontal="left" indent="1"/>
    </xf>
    <xf numFmtId="175" fontId="115" fillId="33" borderId="0" xfId="3" applyNumberFormat="1" applyFont="1" applyFill="1" applyBorder="1"/>
    <xf numFmtId="175" fontId="115" fillId="33" borderId="28" xfId="3" applyNumberFormat="1" applyFont="1" applyFill="1" applyBorder="1"/>
    <xf numFmtId="165" fontId="116" fillId="0" borderId="0" xfId="2" applyNumberFormat="1" applyFont="1"/>
    <xf numFmtId="165" fontId="116" fillId="0" borderId="0" xfId="0" applyNumberFormat="1" applyFont="1"/>
    <xf numFmtId="2" fontId="116" fillId="0" borderId="0" xfId="2" applyNumberFormat="1" applyFont="1"/>
    <xf numFmtId="0" fontId="121" fillId="0" borderId="0" xfId="0" applyFont="1" applyAlignment="1">
      <alignment horizontal="right" vertical="top"/>
    </xf>
    <xf numFmtId="9" fontId="27" fillId="35" borderId="0" xfId="2" applyFont="1" applyFill="1" applyAlignment="1">
      <alignment vertical="top"/>
    </xf>
    <xf numFmtId="0" fontId="27" fillId="35" borderId="0" xfId="0" applyFont="1" applyFill="1" applyAlignment="1">
      <alignment vertical="top"/>
    </xf>
    <xf numFmtId="165" fontId="121" fillId="0" borderId="28" xfId="2" applyNumberFormat="1" applyFont="1" applyBorder="1"/>
    <xf numFmtId="0" fontId="0" fillId="2" borderId="9" xfId="0" applyFill="1" applyBorder="1" applyAlignment="1">
      <alignment horizontal="left" vertical="top"/>
    </xf>
    <xf numFmtId="175" fontId="10" fillId="2" borderId="0" xfId="3" applyNumberFormat="1" applyFont="1" applyFill="1" applyBorder="1" applyAlignment="1">
      <alignment vertical="top"/>
    </xf>
    <xf numFmtId="175" fontId="10" fillId="2" borderId="7" xfId="3" applyNumberFormat="1" applyFont="1" applyFill="1" applyBorder="1" applyAlignment="1">
      <alignment vertical="top"/>
    </xf>
    <xf numFmtId="0" fontId="21" fillId="0" borderId="1" xfId="0" applyFont="1" applyBorder="1" applyAlignment="1">
      <alignment vertical="top"/>
    </xf>
    <xf numFmtId="2" fontId="21" fillId="0" borderId="1" xfId="0" applyNumberFormat="1" applyFont="1" applyBorder="1"/>
    <xf numFmtId="2" fontId="21" fillId="0" borderId="0" xfId="0" applyNumberFormat="1" applyFont="1"/>
    <xf numFmtId="169" fontId="88" fillId="0" borderId="10" xfId="0" applyNumberFormat="1" applyFont="1" applyBorder="1"/>
    <xf numFmtId="169" fontId="88" fillId="5" borderId="10" xfId="0" applyNumberFormat="1" applyFont="1" applyFill="1" applyBorder="1" applyAlignment="1">
      <alignment vertical="top"/>
    </xf>
    <xf numFmtId="169" fontId="88" fillId="5" borderId="10" xfId="0" applyNumberFormat="1" applyFont="1" applyFill="1" applyBorder="1"/>
    <xf numFmtId="0" fontId="21" fillId="6" borderId="18" xfId="0" applyFont="1" applyFill="1" applyBorder="1" applyAlignment="1">
      <alignment vertical="top" wrapText="1"/>
    </xf>
    <xf numFmtId="0" fontId="21" fillId="5" borderId="0" xfId="0" applyFont="1" applyFill="1"/>
    <xf numFmtId="1" fontId="21" fillId="5" borderId="0" xfId="0" applyNumberFormat="1" applyFont="1" applyFill="1" applyAlignment="1">
      <alignment vertical="top"/>
    </xf>
    <xf numFmtId="1" fontId="21" fillId="5" borderId="0" xfId="0" applyNumberFormat="1" applyFont="1" applyFill="1"/>
    <xf numFmtId="176" fontId="21" fillId="0" borderId="9" xfId="0" applyNumberFormat="1" applyFont="1" applyBorder="1"/>
    <xf numFmtId="2" fontId="21" fillId="0" borderId="10" xfId="0" applyNumberFormat="1" applyFont="1" applyBorder="1"/>
    <xf numFmtId="176" fontId="7" fillId="3" borderId="16" xfId="0" applyNumberFormat="1" applyFont="1" applyFill="1" applyBorder="1"/>
    <xf numFmtId="0" fontId="21" fillId="0" borderId="2" xfId="0" applyFont="1" applyBorder="1"/>
    <xf numFmtId="0" fontId="7" fillId="3" borderId="16" xfId="0" applyFont="1" applyFill="1" applyBorder="1" applyAlignment="1">
      <alignment vertical="top" wrapText="1"/>
    </xf>
    <xf numFmtId="0" fontId="21" fillId="3" borderId="2" xfId="0" applyFont="1" applyFill="1" applyBorder="1" applyAlignment="1">
      <alignment vertical="top" wrapText="1"/>
    </xf>
    <xf numFmtId="0" fontId="73" fillId="0" borderId="0" xfId="0" applyFont="1" applyAlignment="1">
      <alignment horizontal="left" vertical="top"/>
    </xf>
    <xf numFmtId="0" fontId="0" fillId="29" borderId="0" xfId="0" applyFill="1" applyAlignment="1">
      <alignment vertical="top"/>
    </xf>
    <xf numFmtId="0" fontId="7" fillId="0" borderId="0" xfId="0" applyFont="1" applyAlignment="1">
      <alignment horizontal="left" vertical="top" wrapText="1"/>
    </xf>
    <xf numFmtId="0" fontId="120" fillId="29" borderId="0" xfId="0" applyFont="1" applyFill="1" applyAlignment="1">
      <alignment horizontal="center" vertical="top"/>
    </xf>
    <xf numFmtId="0" fontId="120" fillId="0" borderId="0" xfId="0" applyFont="1" applyAlignment="1">
      <alignment horizontal="center" vertical="top"/>
    </xf>
    <xf numFmtId="0" fontId="120" fillId="0" borderId="0" xfId="0" applyFont="1" applyAlignment="1">
      <alignment horizontal="center" vertical="top" wrapText="1"/>
    </xf>
    <xf numFmtId="0" fontId="115" fillId="30" borderId="0" xfId="0" applyFont="1" applyFill="1" applyAlignment="1">
      <alignment vertical="top"/>
    </xf>
    <xf numFmtId="175" fontId="115" fillId="30" borderId="0" xfId="3" applyNumberFormat="1" applyFont="1" applyFill="1" applyAlignment="1">
      <alignment vertical="top"/>
    </xf>
    <xf numFmtId="175" fontId="115" fillId="0" borderId="0" xfId="3" applyNumberFormat="1" applyFont="1" applyFill="1" applyAlignment="1">
      <alignment vertical="top"/>
    </xf>
    <xf numFmtId="175" fontId="0" fillId="0" borderId="0" xfId="3" applyNumberFormat="1" applyFont="1" applyFill="1" applyAlignment="1">
      <alignment vertical="top"/>
    </xf>
    <xf numFmtId="175" fontId="0" fillId="32" borderId="0" xfId="3" applyNumberFormat="1" applyFont="1" applyFill="1" applyAlignment="1">
      <alignment vertical="top"/>
    </xf>
    <xf numFmtId="0" fontId="117" fillId="30" borderId="0" xfId="0" applyFont="1" applyFill="1" applyAlignment="1">
      <alignment vertical="top"/>
    </xf>
    <xf numFmtId="175" fontId="0" fillId="30" borderId="0" xfId="3" applyNumberFormat="1" applyFont="1" applyFill="1" applyAlignment="1">
      <alignment vertical="top"/>
    </xf>
    <xf numFmtId="0" fontId="115" fillId="0" borderId="0" xfId="0" applyFont="1" applyAlignment="1">
      <alignment vertical="top"/>
    </xf>
    <xf numFmtId="0" fontId="115" fillId="2" borderId="0" xfId="0" applyFont="1" applyFill="1" applyAlignment="1">
      <alignment vertical="top"/>
    </xf>
    <xf numFmtId="0" fontId="115" fillId="2" borderId="0" xfId="0" applyFont="1" applyFill="1" applyAlignment="1">
      <alignment vertical="top" wrapText="1"/>
    </xf>
    <xf numFmtId="0" fontId="115" fillId="30" borderId="68" xfId="0" applyFont="1" applyFill="1" applyBorder="1" applyAlignment="1">
      <alignment vertical="top"/>
    </xf>
    <xf numFmtId="175" fontId="115" fillId="30" borderId="68" xfId="3" applyNumberFormat="1" applyFont="1" applyFill="1" applyBorder="1" applyAlignment="1">
      <alignment vertical="top"/>
    </xf>
    <xf numFmtId="175" fontId="115" fillId="0" borderId="68" xfId="3" applyNumberFormat="1" applyFont="1" applyFill="1" applyBorder="1" applyAlignment="1">
      <alignment vertical="top"/>
    </xf>
    <xf numFmtId="0" fontId="115" fillId="0" borderId="0" xfId="0" applyFont="1" applyAlignment="1">
      <alignment vertical="top" wrapText="1"/>
    </xf>
    <xf numFmtId="0" fontId="116" fillId="0" borderId="0" xfId="0" applyFont="1" applyAlignment="1">
      <alignment horizontal="right" vertical="top"/>
    </xf>
    <xf numFmtId="165" fontId="116" fillId="0" borderId="0" xfId="2" applyNumberFormat="1" applyFont="1" applyAlignment="1">
      <alignment vertical="top"/>
    </xf>
    <xf numFmtId="165" fontId="116" fillId="0" borderId="0" xfId="0" applyNumberFormat="1" applyFont="1" applyAlignment="1">
      <alignment vertical="top"/>
    </xf>
    <xf numFmtId="0" fontId="116" fillId="0" borderId="0" xfId="0" applyFont="1" applyAlignment="1">
      <alignment vertical="top"/>
    </xf>
    <xf numFmtId="175" fontId="115" fillId="2" borderId="0" xfId="3" applyNumberFormat="1" applyFont="1" applyFill="1" applyAlignment="1">
      <alignment vertical="top"/>
    </xf>
    <xf numFmtId="0" fontId="115" fillId="7" borderId="68" xfId="0" applyFont="1" applyFill="1" applyBorder="1" applyAlignment="1">
      <alignment horizontal="left" vertical="top"/>
    </xf>
    <xf numFmtId="175" fontId="115" fillId="7" borderId="68" xfId="0" applyNumberFormat="1" applyFont="1" applyFill="1" applyBorder="1" applyAlignment="1">
      <alignment vertical="top"/>
    </xf>
    <xf numFmtId="0" fontId="115" fillId="7" borderId="68" xfId="0" applyFont="1" applyFill="1" applyBorder="1" applyAlignment="1">
      <alignment vertical="top"/>
    </xf>
    <xf numFmtId="0" fontId="115" fillId="0" borderId="68" xfId="0" applyFont="1" applyBorder="1" applyAlignment="1">
      <alignment vertical="top"/>
    </xf>
    <xf numFmtId="9" fontId="118" fillId="11" borderId="0" xfId="0" applyNumberFormat="1" applyFont="1" applyFill="1" applyAlignment="1">
      <alignment vertical="top"/>
    </xf>
    <xf numFmtId="0" fontId="118" fillId="11" borderId="0" xfId="0" applyFont="1" applyFill="1" applyAlignment="1">
      <alignment vertical="top"/>
    </xf>
    <xf numFmtId="0" fontId="118" fillId="0" borderId="0" xfId="0" applyFont="1" applyAlignment="1">
      <alignment vertical="top"/>
    </xf>
    <xf numFmtId="9" fontId="116" fillId="0" borderId="0" xfId="2" applyFont="1" applyAlignment="1">
      <alignment vertical="top"/>
    </xf>
    <xf numFmtId="2" fontId="116" fillId="0" borderId="0" xfId="2" applyNumberFormat="1" applyFont="1" applyAlignment="1">
      <alignment vertical="top"/>
    </xf>
    <xf numFmtId="0" fontId="117" fillId="2" borderId="0" xfId="0" applyFont="1" applyFill="1" applyAlignment="1">
      <alignment vertical="top"/>
    </xf>
    <xf numFmtId="175" fontId="117" fillId="2" borderId="0" xfId="3" applyNumberFormat="1" applyFont="1" applyFill="1" applyAlignment="1">
      <alignment vertical="top"/>
    </xf>
    <xf numFmtId="0" fontId="147" fillId="0" borderId="0" xfId="0" applyFont="1" applyAlignment="1">
      <alignment vertical="top"/>
    </xf>
    <xf numFmtId="0" fontId="148" fillId="0" borderId="0" xfId="0" applyFont="1" applyAlignment="1">
      <alignment vertical="top" wrapText="1"/>
    </xf>
    <xf numFmtId="0" fontId="7" fillId="0" borderId="0" xfId="0" applyFont="1" applyAlignment="1">
      <alignment horizontal="left" vertical="top"/>
    </xf>
    <xf numFmtId="175" fontId="7" fillId="0" borderId="0" xfId="3" applyNumberFormat="1" applyFont="1" applyAlignment="1">
      <alignment vertical="top"/>
    </xf>
    <xf numFmtId="175" fontId="21" fillId="0" borderId="0" xfId="3" applyNumberFormat="1" applyFont="1" applyFill="1" applyAlignment="1">
      <alignment vertical="top"/>
    </xf>
    <xf numFmtId="0" fontId="127" fillId="0" borderId="0" xfId="0" applyFont="1" applyAlignment="1">
      <alignment horizontal="right" vertical="top"/>
    </xf>
    <xf numFmtId="165" fontId="127" fillId="0" borderId="0" xfId="2" applyNumberFormat="1" applyFont="1" applyFill="1" applyAlignment="1">
      <alignment vertical="top"/>
    </xf>
    <xf numFmtId="0" fontId="127" fillId="0" borderId="0" xfId="0" applyFont="1" applyAlignment="1">
      <alignment vertical="top"/>
    </xf>
    <xf numFmtId="165" fontId="127" fillId="0" borderId="0" xfId="2" applyNumberFormat="1" applyFont="1" applyAlignment="1">
      <alignment vertical="top"/>
    </xf>
    <xf numFmtId="165" fontId="127" fillId="0" borderId="0" xfId="0" applyNumberFormat="1" applyFont="1" applyAlignment="1">
      <alignment vertical="top"/>
    </xf>
    <xf numFmtId="0" fontId="7" fillId="30" borderId="68" xfId="0" applyFont="1" applyFill="1" applyBorder="1" applyAlignment="1">
      <alignment horizontal="left" vertical="top"/>
    </xf>
    <xf numFmtId="175" fontId="7" fillId="30" borderId="68" xfId="3" applyNumberFormat="1" applyFont="1" applyFill="1" applyBorder="1" applyAlignment="1">
      <alignment vertical="top"/>
    </xf>
    <xf numFmtId="175" fontId="7" fillId="0" borderId="68" xfId="3" applyNumberFormat="1" applyFont="1" applyFill="1" applyBorder="1" applyAlignment="1">
      <alignment vertical="top"/>
    </xf>
    <xf numFmtId="165" fontId="116" fillId="0" borderId="0" xfId="2" applyNumberFormat="1" applyFont="1" applyFill="1" applyAlignment="1">
      <alignment vertical="top"/>
    </xf>
    <xf numFmtId="175" fontId="10" fillId="0" borderId="0" xfId="3" applyNumberFormat="1" applyFont="1" applyFill="1" applyAlignment="1">
      <alignment vertical="top"/>
    </xf>
    <xf numFmtId="9" fontId="118" fillId="0" borderId="0" xfId="2" applyFont="1" applyAlignment="1">
      <alignment vertical="top"/>
    </xf>
    <xf numFmtId="0" fontId="115" fillId="30" borderId="68" xfId="0" applyFont="1" applyFill="1" applyBorder="1" applyAlignment="1">
      <alignment horizontal="left" vertical="top"/>
    </xf>
    <xf numFmtId="0" fontId="115" fillId="11" borderId="69" xfId="0" applyFont="1" applyFill="1" applyBorder="1" applyAlignment="1">
      <alignment horizontal="center" vertical="top"/>
    </xf>
    <xf numFmtId="0" fontId="123" fillId="30" borderId="0" xfId="0" applyFont="1" applyFill="1" applyAlignment="1">
      <alignment vertical="top"/>
    </xf>
    <xf numFmtId="0" fontId="124" fillId="30" borderId="0" xfId="0" applyFont="1" applyFill="1" applyAlignment="1">
      <alignment vertical="top"/>
    </xf>
    <xf numFmtId="0" fontId="124" fillId="0" borderId="0" xfId="0" applyFont="1" applyAlignment="1">
      <alignment vertical="top"/>
    </xf>
    <xf numFmtId="0" fontId="115" fillId="7" borderId="0" xfId="0" applyFont="1" applyFill="1" applyAlignment="1">
      <alignment vertical="top"/>
    </xf>
    <xf numFmtId="175" fontId="115" fillId="7" borderId="0" xfId="3" applyNumberFormat="1" applyFont="1" applyFill="1" applyAlignment="1">
      <alignment vertical="top"/>
    </xf>
    <xf numFmtId="0" fontId="104" fillId="0" borderId="0" xfId="0" applyFont="1" applyAlignment="1">
      <alignment vertical="top" wrapText="1"/>
    </xf>
    <xf numFmtId="0" fontId="73" fillId="0" borderId="0" xfId="0" applyFont="1" applyAlignment="1">
      <alignment vertical="top" wrapText="1"/>
    </xf>
    <xf numFmtId="0" fontId="115" fillId="3" borderId="68" xfId="0" applyFont="1" applyFill="1" applyBorder="1" applyAlignment="1">
      <alignment horizontal="left" vertical="top"/>
    </xf>
    <xf numFmtId="175" fontId="115" fillId="3" borderId="68" xfId="3" applyNumberFormat="1" applyFont="1" applyFill="1" applyBorder="1" applyAlignment="1">
      <alignment vertical="top"/>
    </xf>
    <xf numFmtId="9" fontId="121" fillId="0" borderId="0" xfId="2" applyFont="1" applyAlignment="1">
      <alignment vertical="top"/>
    </xf>
    <xf numFmtId="0" fontId="115" fillId="3" borderId="68" xfId="0" applyFont="1" applyFill="1" applyBorder="1" applyAlignment="1">
      <alignment horizontal="left" vertical="top" wrapText="1"/>
    </xf>
    <xf numFmtId="175" fontId="121" fillId="3" borderId="68" xfId="2" applyNumberFormat="1" applyFont="1" applyFill="1" applyBorder="1" applyAlignment="1">
      <alignment vertical="top"/>
    </xf>
    <xf numFmtId="0" fontId="121" fillId="3" borderId="68" xfId="0" applyFont="1" applyFill="1" applyBorder="1" applyAlignment="1">
      <alignment vertical="top"/>
    </xf>
    <xf numFmtId="0" fontId="121" fillId="0" borderId="68" xfId="0" applyFont="1" applyBorder="1" applyAlignment="1">
      <alignment vertical="top"/>
    </xf>
    <xf numFmtId="9" fontId="121" fillId="0" borderId="0" xfId="2" applyFont="1" applyFill="1" applyAlignment="1">
      <alignment vertical="top"/>
    </xf>
    <xf numFmtId="0" fontId="135" fillId="0" borderId="0" xfId="0" applyFont="1" applyAlignment="1">
      <alignment vertical="top"/>
    </xf>
    <xf numFmtId="0" fontId="0" fillId="7" borderId="0" xfId="0" applyFill="1" applyAlignment="1">
      <alignment horizontal="left" vertical="top"/>
    </xf>
    <xf numFmtId="175" fontId="10" fillId="7" borderId="0" xfId="3" applyNumberFormat="1" applyFont="1" applyFill="1" applyAlignment="1">
      <alignment vertical="top"/>
    </xf>
    <xf numFmtId="175" fontId="141" fillId="0" borderId="0" xfId="0" applyNumberFormat="1" applyFont="1" applyAlignment="1">
      <alignment vertical="top"/>
    </xf>
    <xf numFmtId="175" fontId="139" fillId="0" borderId="0" xfId="3" applyNumberFormat="1" applyFont="1" applyBorder="1" applyAlignment="1">
      <alignment vertical="top"/>
    </xf>
    <xf numFmtId="175" fontId="73" fillId="0" borderId="0" xfId="3" applyNumberFormat="1" applyFont="1" applyBorder="1" applyAlignment="1">
      <alignment vertical="top"/>
    </xf>
    <xf numFmtId="9" fontId="0" fillId="0" borderId="0" xfId="2" applyFont="1" applyAlignment="1">
      <alignment vertical="top"/>
    </xf>
    <xf numFmtId="175" fontId="115" fillId="0" borderId="0" xfId="3" applyNumberFormat="1" applyFont="1" applyAlignment="1">
      <alignment vertical="top"/>
    </xf>
    <xf numFmtId="0" fontId="115" fillId="31" borderId="68" xfId="0" applyFont="1" applyFill="1" applyBorder="1" applyAlignment="1">
      <alignment horizontal="left" vertical="top"/>
    </xf>
    <xf numFmtId="175" fontId="115" fillId="31" borderId="68" xfId="3" applyNumberFormat="1" applyFont="1" applyFill="1" applyBorder="1" applyAlignment="1">
      <alignment vertical="top"/>
    </xf>
    <xf numFmtId="0" fontId="133" fillId="0" borderId="0" xfId="0" applyFont="1" applyAlignment="1">
      <alignment vertical="top" wrapText="1"/>
    </xf>
    <xf numFmtId="175" fontId="138" fillId="0" borderId="0" xfId="0" applyNumberFormat="1" applyFont="1" applyAlignment="1">
      <alignment vertical="top"/>
    </xf>
    <xf numFmtId="0" fontId="125" fillId="0" borderId="0" xfId="0" applyFont="1" applyAlignment="1">
      <alignment vertical="top" wrapText="1"/>
    </xf>
    <xf numFmtId="0" fontId="138" fillId="0" borderId="0" xfId="0" applyFont="1" applyAlignment="1">
      <alignment vertical="top"/>
    </xf>
    <xf numFmtId="0" fontId="5" fillId="0" borderId="0" xfId="0" applyFont="1" applyAlignment="1">
      <alignment horizontal="left" vertical="top" wrapText="1"/>
    </xf>
    <xf numFmtId="0" fontId="115" fillId="3" borderId="0" xfId="0" applyFont="1" applyFill="1" applyAlignment="1">
      <alignment vertical="top"/>
    </xf>
    <xf numFmtId="175" fontId="115" fillId="3" borderId="0" xfId="3" applyNumberFormat="1" applyFont="1" applyFill="1" applyAlignment="1">
      <alignment vertical="top"/>
    </xf>
    <xf numFmtId="0" fontId="115" fillId="7" borderId="0" xfId="0" applyFont="1" applyFill="1" applyAlignment="1">
      <alignment horizontal="left" vertical="top"/>
    </xf>
    <xf numFmtId="0" fontId="134" fillId="0" borderId="0" xfId="0" applyFont="1" applyAlignment="1">
      <alignment vertical="top" wrapText="1"/>
    </xf>
    <xf numFmtId="0" fontId="115" fillId="3" borderId="19" xfId="0" applyFont="1" applyFill="1" applyBorder="1" applyAlignment="1">
      <alignment horizontal="left" vertical="top"/>
    </xf>
    <xf numFmtId="175" fontId="115" fillId="3" borderId="0" xfId="3" applyNumberFormat="1" applyFont="1" applyFill="1" applyBorder="1" applyAlignment="1">
      <alignment vertical="top"/>
    </xf>
    <xf numFmtId="0" fontId="115" fillId="31" borderId="70" xfId="0" applyFont="1" applyFill="1" applyBorder="1" applyAlignment="1">
      <alignment horizontal="left" vertical="top"/>
    </xf>
    <xf numFmtId="175" fontId="115" fillId="31" borderId="70" xfId="3" applyNumberFormat="1" applyFont="1" applyFill="1" applyBorder="1" applyAlignment="1">
      <alignment vertical="top"/>
    </xf>
    <xf numFmtId="175" fontId="138" fillId="0" borderId="0" xfId="2" applyNumberFormat="1" applyFont="1" applyAlignment="1">
      <alignment vertical="top"/>
    </xf>
    <xf numFmtId="9" fontId="138" fillId="0" borderId="0" xfId="2" applyFont="1" applyAlignment="1">
      <alignment vertical="top"/>
    </xf>
    <xf numFmtId="175" fontId="140" fillId="30" borderId="19" xfId="3" applyNumberFormat="1" applyFont="1" applyFill="1" applyBorder="1" applyAlignment="1">
      <alignment vertical="top"/>
    </xf>
    <xf numFmtId="175" fontId="115" fillId="30" borderId="0" xfId="3" applyNumberFormat="1" applyFont="1" applyFill="1" applyBorder="1" applyAlignment="1">
      <alignment vertical="top"/>
    </xf>
    <xf numFmtId="175" fontId="115" fillId="30" borderId="28" xfId="3" applyNumberFormat="1" applyFont="1" applyFill="1" applyBorder="1" applyAlignment="1">
      <alignment vertical="top"/>
    </xf>
    <xf numFmtId="175" fontId="140" fillId="0" borderId="0" xfId="3" applyNumberFormat="1" applyFont="1" applyFill="1" applyBorder="1" applyAlignment="1">
      <alignment vertical="top"/>
    </xf>
    <xf numFmtId="175" fontId="115" fillId="3" borderId="28" xfId="3" applyNumberFormat="1" applyFont="1" applyFill="1" applyBorder="1" applyAlignment="1">
      <alignment vertical="top"/>
    </xf>
    <xf numFmtId="9" fontId="121" fillId="0" borderId="19" xfId="2" applyFont="1" applyBorder="1" applyAlignment="1">
      <alignment horizontal="right" vertical="top"/>
    </xf>
    <xf numFmtId="9" fontId="121" fillId="0" borderId="0" xfId="2" applyFont="1" applyBorder="1" applyAlignment="1">
      <alignment vertical="top"/>
    </xf>
    <xf numFmtId="9" fontId="121" fillId="0" borderId="28" xfId="2" applyFont="1" applyBorder="1" applyAlignment="1">
      <alignment vertical="top"/>
    </xf>
    <xf numFmtId="165" fontId="121" fillId="0" borderId="0" xfId="2" applyNumberFormat="1" applyFont="1" applyBorder="1" applyAlignment="1">
      <alignment vertical="top"/>
    </xf>
    <xf numFmtId="165" fontId="121" fillId="0" borderId="28" xfId="2" applyNumberFormat="1" applyFont="1" applyBorder="1" applyAlignment="1">
      <alignment vertical="top"/>
    </xf>
    <xf numFmtId="9" fontId="121" fillId="0" borderId="20" xfId="2" applyFont="1" applyBorder="1" applyAlignment="1">
      <alignment horizontal="right" vertical="top"/>
    </xf>
    <xf numFmtId="9" fontId="121" fillId="0" borderId="21" xfId="2" applyFont="1" applyBorder="1" applyAlignment="1">
      <alignment vertical="top"/>
    </xf>
    <xf numFmtId="9" fontId="121" fillId="0" borderId="29" xfId="2" applyFont="1" applyBorder="1" applyAlignment="1">
      <alignment vertical="top"/>
    </xf>
    <xf numFmtId="9" fontId="121" fillId="0" borderId="0" xfId="2" applyFont="1" applyBorder="1" applyAlignment="1">
      <alignment horizontal="right" vertical="top"/>
    </xf>
    <xf numFmtId="0" fontId="120" fillId="29" borderId="27" xfId="0" applyFont="1" applyFill="1" applyBorder="1" applyAlignment="1">
      <alignment horizontal="center" vertical="top" wrapText="1"/>
    </xf>
    <xf numFmtId="0" fontId="115" fillId="0" borderId="19" xfId="0" applyFont="1" applyBorder="1" applyAlignment="1">
      <alignment horizontal="left" vertical="top"/>
    </xf>
    <xf numFmtId="175" fontId="115" fillId="0" borderId="0" xfId="3" applyNumberFormat="1" applyFont="1" applyFill="1" applyBorder="1" applyAlignment="1">
      <alignment vertical="top"/>
    </xf>
    <xf numFmtId="175" fontId="115" fillId="0" borderId="28" xfId="3" applyNumberFormat="1" applyFont="1" applyFill="1" applyBorder="1" applyAlignment="1">
      <alignment vertical="top"/>
    </xf>
    <xf numFmtId="0" fontId="137" fillId="11" borderId="0" xfId="0" applyFont="1" applyFill="1" applyAlignment="1">
      <alignment horizontal="right" vertical="top"/>
    </xf>
    <xf numFmtId="9" fontId="74" fillId="11" borderId="0" xfId="2" applyFont="1" applyFill="1" applyAlignment="1">
      <alignment vertical="top"/>
    </xf>
    <xf numFmtId="0" fontId="74" fillId="11" borderId="0" xfId="0" applyFont="1" applyFill="1" applyAlignment="1">
      <alignment vertical="top"/>
    </xf>
    <xf numFmtId="0" fontId="137" fillId="0" borderId="0" xfId="0" applyFont="1" applyAlignment="1">
      <alignment horizontal="right" vertical="top"/>
    </xf>
    <xf numFmtId="0" fontId="115" fillId="2" borderId="3" xfId="0" applyFont="1" applyFill="1" applyBorder="1" applyAlignment="1">
      <alignment horizontal="left" vertical="top"/>
    </xf>
    <xf numFmtId="175" fontId="115" fillId="2" borderId="4" xfId="3" applyNumberFormat="1" applyFont="1" applyFill="1" applyBorder="1" applyAlignment="1">
      <alignment vertical="top"/>
    </xf>
    <xf numFmtId="175" fontId="115" fillId="2" borderId="5" xfId="3" applyNumberFormat="1" applyFont="1" applyFill="1" applyBorder="1" applyAlignment="1">
      <alignment vertical="top"/>
    </xf>
    <xf numFmtId="0" fontId="27" fillId="0" borderId="0" xfId="0" applyFont="1" applyAlignment="1">
      <alignment vertical="top" wrapText="1"/>
    </xf>
    <xf numFmtId="175" fontId="10" fillId="2" borderId="10" xfId="3" applyNumberFormat="1" applyFont="1" applyFill="1" applyBorder="1" applyAlignment="1">
      <alignment vertical="top"/>
    </xf>
    <xf numFmtId="0" fontId="116" fillId="0" borderId="0" xfId="0" applyFont="1" applyAlignment="1">
      <alignment vertical="top" wrapText="1"/>
    </xf>
    <xf numFmtId="0" fontId="137" fillId="0" borderId="0" xfId="0" applyFont="1" applyAlignment="1">
      <alignment vertical="top"/>
    </xf>
    <xf numFmtId="0" fontId="0" fillId="2" borderId="6" xfId="0" applyFill="1" applyBorder="1" applyAlignment="1">
      <alignment horizontal="left" vertical="top"/>
    </xf>
    <xf numFmtId="175" fontId="10" fillId="2" borderId="8" xfId="3" applyNumberFormat="1" applyFont="1" applyFill="1" applyBorder="1" applyAlignment="1">
      <alignment vertical="top"/>
    </xf>
    <xf numFmtId="175" fontId="141" fillId="0" borderId="0" xfId="2" applyNumberFormat="1" applyFont="1" applyAlignment="1">
      <alignment vertical="top"/>
    </xf>
    <xf numFmtId="175" fontId="127" fillId="0" borderId="0" xfId="0" applyNumberFormat="1" applyFont="1" applyAlignment="1">
      <alignment vertical="top"/>
    </xf>
    <xf numFmtId="0" fontId="127" fillId="0" borderId="0" xfId="0" applyFont="1" applyAlignment="1">
      <alignment vertical="top" wrapText="1"/>
    </xf>
    <xf numFmtId="175" fontId="0" fillId="0" borderId="0" xfId="0" applyNumberFormat="1" applyAlignment="1">
      <alignment vertical="top"/>
    </xf>
    <xf numFmtId="0" fontId="142" fillId="0" borderId="0" xfId="0" applyFont="1" applyAlignment="1">
      <alignment vertical="top" wrapText="1"/>
    </xf>
    <xf numFmtId="0" fontId="142" fillId="0" borderId="0" xfId="0" applyFont="1" applyAlignment="1">
      <alignment vertical="top"/>
    </xf>
    <xf numFmtId="0" fontId="157" fillId="36" borderId="0" xfId="0" applyFont="1" applyFill="1" applyAlignment="1">
      <alignment horizontal="center"/>
    </xf>
    <xf numFmtId="0" fontId="157" fillId="36" borderId="1" xfId="0" applyFont="1" applyFill="1" applyBorder="1" applyAlignment="1">
      <alignment horizontal="center"/>
    </xf>
    <xf numFmtId="0" fontId="64" fillId="0" borderId="0" xfId="0" applyFont="1"/>
    <xf numFmtId="0" fontId="64" fillId="0" borderId="0" xfId="0" applyFont="1" applyAlignment="1">
      <alignment horizontal="center"/>
    </xf>
    <xf numFmtId="0" fontId="64" fillId="0" borderId="1" xfId="0" applyFont="1" applyBorder="1"/>
    <xf numFmtId="169" fontId="0" fillId="11" borderId="1" xfId="0" applyNumberFormat="1" applyFill="1" applyBorder="1"/>
    <xf numFmtId="169" fontId="0" fillId="0" borderId="1" xfId="0" applyNumberFormat="1" applyBorder="1"/>
    <xf numFmtId="9" fontId="135" fillId="0" borderId="20" xfId="2" applyFont="1" applyBorder="1" applyAlignment="1">
      <alignment horizontal="right" vertical="top"/>
    </xf>
    <xf numFmtId="9" fontId="135" fillId="0" borderId="21" xfId="2" applyFont="1" applyBorder="1" applyAlignment="1">
      <alignment vertical="top"/>
    </xf>
    <xf numFmtId="9" fontId="135" fillId="0" borderId="29" xfId="2" applyFont="1" applyBorder="1" applyAlignment="1">
      <alignment vertical="top"/>
    </xf>
    <xf numFmtId="167" fontId="158" fillId="0" borderId="0" xfId="2" applyNumberFormat="1" applyFont="1" applyAlignment="1">
      <alignment vertical="top"/>
    </xf>
    <xf numFmtId="0" fontId="158" fillId="0" borderId="0" xfId="0" applyFont="1" applyAlignment="1">
      <alignment vertical="top"/>
    </xf>
    <xf numFmtId="175" fontId="158" fillId="0" borderId="0" xfId="2" applyNumberFormat="1" applyFont="1" applyAlignment="1">
      <alignment vertical="top"/>
    </xf>
    <xf numFmtId="0" fontId="159" fillId="0" borderId="0" xfId="0" applyFont="1" applyAlignment="1">
      <alignment vertical="top" wrapText="1"/>
    </xf>
    <xf numFmtId="0" fontId="104" fillId="0" borderId="0" xfId="0" applyFont="1" applyAlignment="1">
      <alignment vertical="top"/>
    </xf>
    <xf numFmtId="0" fontId="160" fillId="0" borderId="0" xfId="0" applyFont="1" applyAlignment="1">
      <alignment vertical="top" wrapText="1"/>
    </xf>
    <xf numFmtId="167" fontId="21" fillId="0" borderId="1" xfId="0" applyNumberFormat="1" applyFont="1" applyBorder="1"/>
    <xf numFmtId="0" fontId="7" fillId="4" borderId="16" xfId="0" applyFont="1" applyFill="1" applyBorder="1" applyAlignment="1">
      <alignment vertical="top" wrapText="1"/>
    </xf>
    <xf numFmtId="176" fontId="7" fillId="4" borderId="16" xfId="0" applyNumberFormat="1" applyFont="1" applyFill="1" applyBorder="1"/>
    <xf numFmtId="9" fontId="0" fillId="11" borderId="0" xfId="2" applyFont="1" applyFill="1"/>
    <xf numFmtId="170" fontId="21" fillId="0" borderId="0" xfId="0" applyNumberFormat="1" applyFont="1"/>
    <xf numFmtId="0" fontId="151" fillId="0" borderId="0" xfId="0" applyFont="1"/>
    <xf numFmtId="0" fontId="21" fillId="0" borderId="0" xfId="0" applyFont="1" applyAlignment="1">
      <alignment horizontal="left" indent="3"/>
    </xf>
    <xf numFmtId="0" fontId="18" fillId="0" borderId="78" xfId="0" applyFont="1" applyBorder="1" applyAlignment="1">
      <alignment horizontal="left"/>
    </xf>
    <xf numFmtId="0" fontId="18" fillId="0" borderId="78" xfId="0" applyFont="1" applyBorder="1"/>
    <xf numFmtId="0" fontId="18" fillId="37" borderId="79" xfId="0" applyFont="1" applyFill="1" applyBorder="1" applyAlignment="1">
      <alignment horizontal="left"/>
    </xf>
    <xf numFmtId="0" fontId="18" fillId="37" borderId="79" xfId="0" applyFont="1" applyFill="1" applyBorder="1"/>
    <xf numFmtId="177" fontId="18" fillId="37" borderId="79" xfId="0" applyNumberFormat="1" applyFont="1" applyFill="1" applyBorder="1"/>
    <xf numFmtId="0" fontId="115" fillId="6" borderId="0" xfId="0" applyFont="1" applyFill="1"/>
    <xf numFmtId="0" fontId="161" fillId="38" borderId="0" xfId="0" applyFont="1" applyFill="1" applyAlignment="1">
      <alignment horizontal="center"/>
    </xf>
    <xf numFmtId="0" fontId="21" fillId="4" borderId="0" xfId="0" applyFont="1" applyFill="1" applyAlignment="1">
      <alignment vertical="top" wrapText="1"/>
    </xf>
    <xf numFmtId="170" fontId="0" fillId="0" borderId="0" xfId="0" applyNumberFormat="1"/>
    <xf numFmtId="167" fontId="0" fillId="0" borderId="0" xfId="0" applyNumberFormat="1"/>
    <xf numFmtId="0" fontId="7" fillId="27" borderId="16" xfId="0" applyFont="1" applyFill="1" applyBorder="1" applyAlignment="1">
      <alignment vertical="top" wrapText="1"/>
    </xf>
    <xf numFmtId="170" fontId="0" fillId="27" borderId="0" xfId="0" applyNumberFormat="1" applyFill="1"/>
    <xf numFmtId="0" fontId="0" fillId="27" borderId="1" xfId="0" applyFill="1" applyBorder="1"/>
    <xf numFmtId="170" fontId="0" fillId="0" borderId="1" xfId="0" applyNumberFormat="1" applyBorder="1"/>
    <xf numFmtId="170" fontId="0" fillId="27" borderId="1" xfId="0" applyNumberFormat="1" applyFill="1" applyBorder="1"/>
    <xf numFmtId="167" fontId="0" fillId="0" borderId="1" xfId="0" applyNumberFormat="1" applyBorder="1"/>
    <xf numFmtId="9" fontId="0" fillId="0" borderId="1" xfId="2" applyFont="1" applyBorder="1"/>
    <xf numFmtId="176" fontId="7" fillId="27" borderId="16" xfId="0" applyNumberFormat="1" applyFont="1" applyFill="1" applyBorder="1"/>
    <xf numFmtId="176" fontId="7" fillId="27" borderId="1" xfId="0" applyNumberFormat="1" applyFont="1" applyFill="1" applyBorder="1"/>
    <xf numFmtId="176" fontId="7" fillId="26" borderId="16" xfId="0" applyNumberFormat="1" applyFont="1" applyFill="1" applyBorder="1"/>
    <xf numFmtId="0" fontId="7" fillId="26" borderId="16" xfId="0" applyFont="1" applyFill="1" applyBorder="1" applyAlignment="1">
      <alignment vertical="top" wrapText="1"/>
    </xf>
    <xf numFmtId="176" fontId="153" fillId="0" borderId="0" xfId="0" applyNumberFormat="1" applyFont="1"/>
    <xf numFmtId="175" fontId="0" fillId="0" borderId="0" xfId="0" applyNumberFormat="1" applyAlignment="1">
      <alignment vertical="top" wrapText="1"/>
    </xf>
    <xf numFmtId="167" fontId="27" fillId="0" borderId="0" xfId="0" applyNumberFormat="1" applyFont="1"/>
    <xf numFmtId="165" fontId="74" fillId="11" borderId="0" xfId="2" applyNumberFormat="1" applyFont="1" applyFill="1" applyAlignment="1">
      <alignment vertical="top"/>
    </xf>
    <xf numFmtId="9" fontId="135" fillId="0" borderId="0" xfId="2" applyFont="1" applyBorder="1" applyAlignment="1">
      <alignment vertical="top"/>
    </xf>
    <xf numFmtId="9" fontId="27" fillId="0" borderId="20" xfId="2" applyFont="1" applyBorder="1" applyAlignment="1">
      <alignment horizontal="right" vertical="top"/>
    </xf>
    <xf numFmtId="0" fontId="27" fillId="11" borderId="0" xfId="0" applyFont="1" applyFill="1" applyAlignment="1">
      <alignment horizontal="right" vertical="top" wrapText="1"/>
    </xf>
    <xf numFmtId="175" fontId="143" fillId="0" borderId="0" xfId="2" applyNumberFormat="1" applyFont="1" applyAlignment="1">
      <alignment vertical="top"/>
    </xf>
    <xf numFmtId="0" fontId="163" fillId="0" borderId="0" xfId="0" applyFont="1" applyAlignment="1">
      <alignment vertical="top"/>
    </xf>
    <xf numFmtId="9" fontId="158" fillId="0" borderId="0" xfId="2" applyFont="1" applyAlignment="1">
      <alignment vertical="top"/>
    </xf>
    <xf numFmtId="165" fontId="135" fillId="0" borderId="0" xfId="2" applyNumberFormat="1" applyFont="1" applyBorder="1" applyAlignment="1">
      <alignment vertical="top"/>
    </xf>
    <xf numFmtId="9" fontId="135" fillId="0" borderId="28" xfId="2" applyFont="1" applyBorder="1" applyAlignment="1">
      <alignment vertical="top"/>
    </xf>
    <xf numFmtId="9" fontId="74" fillId="11" borderId="0" xfId="0" applyNumberFormat="1" applyFont="1" applyFill="1" applyAlignment="1">
      <alignment vertical="top"/>
    </xf>
    <xf numFmtId="9" fontId="27" fillId="35" borderId="0" xfId="0" applyNumberFormat="1" applyFont="1" applyFill="1" applyAlignment="1">
      <alignment vertical="top"/>
    </xf>
    <xf numFmtId="0" fontId="164" fillId="0" borderId="0" xfId="0" applyFont="1" applyAlignment="1">
      <alignment vertical="top"/>
    </xf>
    <xf numFmtId="175" fontId="164" fillId="0" borderId="0" xfId="3" applyNumberFormat="1" applyFont="1" applyFill="1" applyAlignment="1">
      <alignment vertical="top"/>
    </xf>
    <xf numFmtId="0" fontId="165" fillId="0" borderId="0" xfId="0" applyFont="1" applyAlignment="1">
      <alignment horizontal="right" vertical="top"/>
    </xf>
    <xf numFmtId="165" fontId="165" fillId="0" borderId="0" xfId="2" applyNumberFormat="1" applyFont="1" applyAlignment="1">
      <alignment vertical="top"/>
    </xf>
    <xf numFmtId="165" fontId="165" fillId="0" borderId="0" xfId="0" applyNumberFormat="1" applyFont="1" applyAlignment="1">
      <alignment vertical="top"/>
    </xf>
    <xf numFmtId="0" fontId="7" fillId="8" borderId="13" xfId="0" applyFont="1" applyFill="1" applyBorder="1" applyAlignment="1">
      <alignment vertical="top"/>
    </xf>
    <xf numFmtId="0" fontId="21" fillId="0" borderId="13" xfId="0" applyFont="1" applyBorder="1" applyAlignment="1">
      <alignment horizontal="left" vertical="top"/>
    </xf>
    <xf numFmtId="0" fontId="7" fillId="8" borderId="14" xfId="0" applyFont="1" applyFill="1" applyBorder="1" applyAlignment="1">
      <alignment vertical="top"/>
    </xf>
    <xf numFmtId="0" fontId="21" fillId="0" borderId="12" xfId="0" applyFont="1" applyBorder="1" applyAlignment="1">
      <alignment vertical="top" wrapText="1"/>
    </xf>
    <xf numFmtId="0" fontId="21" fillId="5" borderId="3" xfId="0" applyFont="1" applyFill="1" applyBorder="1" applyAlignment="1">
      <alignment vertical="top" wrapText="1"/>
    </xf>
    <xf numFmtId="0" fontId="21" fillId="5" borderId="5" xfId="0" applyFont="1" applyFill="1" applyBorder="1" applyAlignment="1">
      <alignment vertical="top" wrapText="1"/>
    </xf>
    <xf numFmtId="167" fontId="21" fillId="8" borderId="9" xfId="0" applyNumberFormat="1" applyFont="1" applyFill="1" applyBorder="1" applyAlignment="1">
      <alignment vertical="top"/>
    </xf>
    <xf numFmtId="167" fontId="21" fillId="8" borderId="10" xfId="0" applyNumberFormat="1" applyFont="1" applyFill="1" applyBorder="1" applyAlignment="1">
      <alignment vertical="top"/>
    </xf>
    <xf numFmtId="0" fontId="21" fillId="8" borderId="0" xfId="0" applyFont="1" applyFill="1" applyAlignment="1">
      <alignment vertical="top"/>
    </xf>
    <xf numFmtId="167" fontId="21" fillId="0" borderId="9" xfId="0" applyNumberFormat="1" applyFont="1" applyBorder="1" applyAlignment="1">
      <alignment vertical="top" wrapText="1"/>
    </xf>
    <xf numFmtId="167" fontId="21" fillId="0" borderId="10" xfId="0" applyNumberFormat="1" applyFont="1" applyBorder="1" applyAlignment="1">
      <alignment vertical="top" wrapText="1"/>
    </xf>
    <xf numFmtId="0" fontId="153" fillId="0" borderId="0" xfId="0" applyFont="1" applyAlignment="1">
      <alignment vertical="top"/>
    </xf>
    <xf numFmtId="0" fontId="21" fillId="0" borderId="13" xfId="0" applyFont="1" applyBorder="1" applyAlignment="1">
      <alignment vertical="top" wrapText="1"/>
    </xf>
    <xf numFmtId="167" fontId="21" fillId="0" borderId="9" xfId="0" applyNumberFormat="1" applyFont="1" applyBorder="1" applyAlignment="1">
      <alignment vertical="top"/>
    </xf>
    <xf numFmtId="167" fontId="21" fillId="0" borderId="10" xfId="0" applyNumberFormat="1" applyFont="1" applyBorder="1" applyAlignment="1">
      <alignment vertical="top"/>
    </xf>
    <xf numFmtId="167" fontId="21" fillId="8" borderId="9" xfId="0" applyNumberFormat="1" applyFont="1" applyFill="1" applyBorder="1" applyAlignment="1">
      <alignment vertical="top" wrapText="1"/>
    </xf>
    <xf numFmtId="0" fontId="153" fillId="8" borderId="0" xfId="0" applyFont="1" applyFill="1" applyAlignment="1">
      <alignment vertical="top"/>
    </xf>
    <xf numFmtId="167" fontId="21" fillId="8" borderId="6" xfId="0" applyNumberFormat="1" applyFont="1" applyFill="1" applyBorder="1" applyAlignment="1">
      <alignment vertical="top" wrapText="1"/>
    </xf>
    <xf numFmtId="167" fontId="21" fillId="8" borderId="8" xfId="0" applyNumberFormat="1" applyFont="1" applyFill="1" applyBorder="1" applyAlignment="1">
      <alignment vertical="top"/>
    </xf>
    <xf numFmtId="167" fontId="21" fillId="0" borderId="0" xfId="0" applyNumberFormat="1" applyFont="1" applyAlignment="1">
      <alignment vertical="top"/>
    </xf>
    <xf numFmtId="0" fontId="115" fillId="8" borderId="3" xfId="0" applyFont="1" applyFill="1" applyBorder="1" applyAlignment="1">
      <alignment vertical="top"/>
    </xf>
    <xf numFmtId="167" fontId="21" fillId="8" borderId="5" xfId="0" applyNumberFormat="1" applyFont="1" applyFill="1" applyBorder="1" applyAlignment="1">
      <alignment vertical="top" wrapText="1"/>
    </xf>
    <xf numFmtId="0" fontId="0" fillId="0" borderId="9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167" fontId="21" fillId="0" borderId="8" xfId="0" applyNumberFormat="1" applyFont="1" applyBorder="1" applyAlignment="1">
      <alignment vertical="top"/>
    </xf>
    <xf numFmtId="167" fontId="21" fillId="8" borderId="3" xfId="0" applyNumberFormat="1" applyFont="1" applyFill="1" applyBorder="1" applyAlignment="1">
      <alignment vertical="top"/>
    </xf>
    <xf numFmtId="167" fontId="21" fillId="0" borderId="6" xfId="0" applyNumberFormat="1" applyFont="1" applyBorder="1" applyAlignment="1">
      <alignment vertical="top"/>
    </xf>
    <xf numFmtId="175" fontId="167" fillId="0" borderId="0" xfId="0" applyNumberFormat="1" applyFont="1" applyAlignment="1">
      <alignment vertical="top"/>
    </xf>
    <xf numFmtId="0" fontId="168" fillId="0" borderId="0" xfId="0" applyFont="1" applyAlignment="1">
      <alignment vertical="top"/>
    </xf>
    <xf numFmtId="167" fontId="1" fillId="0" borderId="0" xfId="0" applyNumberFormat="1" applyFont="1"/>
    <xf numFmtId="167" fontId="11" fillId="0" borderId="0" xfId="0" applyNumberFormat="1" applyFont="1"/>
    <xf numFmtId="0" fontId="155" fillId="29" borderId="0" xfId="0" applyFont="1" applyFill="1" applyAlignment="1">
      <alignment horizontal="left" vertical="top"/>
    </xf>
    <xf numFmtId="0" fontId="2" fillId="0" borderId="40" xfId="0" applyFont="1" applyBorder="1" applyAlignment="1">
      <alignment horizontal="left" vertical="top"/>
    </xf>
    <xf numFmtId="0" fontId="2" fillId="0" borderId="41" xfId="0" applyFont="1" applyBorder="1" applyAlignment="1">
      <alignment horizontal="left" vertical="top"/>
    </xf>
    <xf numFmtId="0" fontId="2" fillId="0" borderId="46" xfId="0" applyFont="1" applyBorder="1" applyAlignment="1">
      <alignment horizontal="left" vertical="top"/>
    </xf>
    <xf numFmtId="0" fontId="2" fillId="0" borderId="23" xfId="0" applyFont="1" applyBorder="1" applyAlignment="1">
      <alignment horizontal="left" vertical="top" wrapText="1"/>
    </xf>
    <xf numFmtId="0" fontId="2" fillId="0" borderId="21" xfId="0" applyFont="1" applyBorder="1" applyAlignment="1">
      <alignment horizontal="left" vertical="top" wrapText="1"/>
    </xf>
    <xf numFmtId="0" fontId="2" fillId="0" borderId="24" xfId="0" applyFont="1" applyBorder="1" applyAlignment="1">
      <alignment horizontal="left" vertical="top" wrapText="1"/>
    </xf>
    <xf numFmtId="0" fontId="2" fillId="3" borderId="17" xfId="0" applyFont="1" applyFill="1" applyBorder="1" applyAlignment="1">
      <alignment horizontal="left" vertical="top" wrapText="1"/>
    </xf>
    <xf numFmtId="0" fontId="2" fillId="3" borderId="18" xfId="0" applyFont="1" applyFill="1" applyBorder="1" applyAlignment="1">
      <alignment horizontal="left" vertical="top" wrapText="1"/>
    </xf>
    <xf numFmtId="0" fontId="2" fillId="3" borderId="27" xfId="0" applyFont="1" applyFill="1" applyBorder="1" applyAlignment="1">
      <alignment horizontal="left" vertical="top" wrapText="1"/>
    </xf>
    <xf numFmtId="0" fontId="2" fillId="3" borderId="0" xfId="0" applyFont="1" applyFill="1" applyAlignment="1">
      <alignment horizontal="left" vertical="top" wrapText="1"/>
    </xf>
    <xf numFmtId="0" fontId="2" fillId="3" borderId="28" xfId="0" applyFont="1" applyFill="1" applyBorder="1" applyAlignment="1">
      <alignment horizontal="left" vertical="top" wrapText="1"/>
    </xf>
    <xf numFmtId="0" fontId="2" fillId="3" borderId="17" xfId="0" applyFont="1" applyFill="1" applyBorder="1" applyAlignment="1">
      <alignment horizontal="center" vertical="top" wrapText="1"/>
    </xf>
    <xf numFmtId="0" fontId="2" fillId="3" borderId="18" xfId="0" applyFont="1" applyFill="1" applyBorder="1" applyAlignment="1">
      <alignment horizontal="center" vertical="top" wrapText="1"/>
    </xf>
    <xf numFmtId="0" fontId="2" fillId="3" borderId="27" xfId="0" applyFont="1" applyFill="1" applyBorder="1" applyAlignment="1">
      <alignment horizontal="center" vertical="top" wrapText="1"/>
    </xf>
    <xf numFmtId="0" fontId="2" fillId="3" borderId="0" xfId="0" applyFont="1" applyFill="1" applyAlignment="1">
      <alignment horizontal="left" vertical="top"/>
    </xf>
    <xf numFmtId="0" fontId="2" fillId="3" borderId="28" xfId="0" applyFont="1" applyFill="1" applyBorder="1" applyAlignment="1">
      <alignment horizontal="left" vertical="top"/>
    </xf>
    <xf numFmtId="0" fontId="2" fillId="3" borderId="18" xfId="0" applyFont="1" applyFill="1" applyBorder="1" applyAlignment="1">
      <alignment horizontal="left" vertical="top"/>
    </xf>
    <xf numFmtId="0" fontId="2" fillId="3" borderId="27" xfId="0" applyFont="1" applyFill="1" applyBorder="1" applyAlignment="1">
      <alignment horizontal="left" vertical="top"/>
    </xf>
    <xf numFmtId="0" fontId="5" fillId="29" borderId="0" xfId="0" applyFont="1" applyFill="1" applyAlignment="1">
      <alignment horizontal="left" vertical="top"/>
    </xf>
    <xf numFmtId="0" fontId="119" fillId="29" borderId="0" xfId="0" applyFont="1" applyFill="1" applyAlignment="1">
      <alignment horizontal="center"/>
    </xf>
    <xf numFmtId="0" fontId="2" fillId="14" borderId="64" xfId="0" applyFont="1" applyFill="1" applyBorder="1" applyAlignment="1">
      <alignment horizontal="left" vertical="top" wrapText="1"/>
    </xf>
    <xf numFmtId="0" fontId="2" fillId="14" borderId="0" xfId="0" applyFont="1" applyFill="1" applyAlignment="1">
      <alignment horizontal="left" vertical="top" wrapText="1"/>
    </xf>
    <xf numFmtId="0" fontId="2" fillId="3" borderId="64" xfId="0" applyFont="1" applyFill="1" applyBorder="1" applyAlignment="1">
      <alignment horizontal="left" vertical="top" wrapText="1"/>
    </xf>
    <xf numFmtId="0" fontId="2" fillId="3" borderId="45" xfId="0" applyFont="1" applyFill="1" applyBorder="1" applyAlignment="1">
      <alignment horizontal="left" vertical="top"/>
    </xf>
    <xf numFmtId="0" fontId="2" fillId="3" borderId="43" xfId="0" applyFont="1" applyFill="1" applyBorder="1" applyAlignment="1">
      <alignment horizontal="left" vertical="top"/>
    </xf>
    <xf numFmtId="0" fontId="2" fillId="3" borderId="44" xfId="0" applyFont="1" applyFill="1" applyBorder="1" applyAlignment="1">
      <alignment horizontal="left" vertical="top"/>
    </xf>
    <xf numFmtId="0" fontId="2" fillId="0" borderId="45" xfId="0" applyFont="1" applyBorder="1" applyAlignment="1">
      <alignment horizontal="left" vertical="top"/>
    </xf>
    <xf numFmtId="0" fontId="2" fillId="0" borderId="43" xfId="0" applyFont="1" applyBorder="1" applyAlignment="1">
      <alignment horizontal="left" vertical="top"/>
    </xf>
    <xf numFmtId="0" fontId="2" fillId="0" borderId="47" xfId="0" applyFont="1" applyBorder="1" applyAlignment="1">
      <alignment horizontal="left" vertical="top" wrapText="1"/>
    </xf>
    <xf numFmtId="0" fontId="2" fillId="0" borderId="41" xfId="0" applyFont="1" applyBorder="1" applyAlignment="1">
      <alignment horizontal="left" vertical="top" wrapText="1"/>
    </xf>
    <xf numFmtId="0" fontId="2" fillId="0" borderId="46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center" vertical="top"/>
    </xf>
    <xf numFmtId="0" fontId="2" fillId="0" borderId="4" xfId="0" applyFont="1" applyBorder="1" applyAlignment="1">
      <alignment horizontal="center" vertical="top"/>
    </xf>
    <xf numFmtId="0" fontId="2" fillId="0" borderId="5" xfId="0" applyFont="1" applyBorder="1" applyAlignment="1">
      <alignment horizontal="center" vertical="top"/>
    </xf>
    <xf numFmtId="0" fontId="13" fillId="0" borderId="0" xfId="0" applyFont="1"/>
    <xf numFmtId="0" fontId="0" fillId="0" borderId="0" xfId="0"/>
    <xf numFmtId="0" fontId="14" fillId="0" borderId="0" xfId="0" applyFont="1" applyAlignment="1">
      <alignment wrapText="1"/>
    </xf>
    <xf numFmtId="0" fontId="2" fillId="0" borderId="17" xfId="0" applyFont="1" applyBorder="1" applyAlignment="1">
      <alignment horizontal="left" vertical="top"/>
    </xf>
    <xf numFmtId="0" fontId="2" fillId="0" borderId="18" xfId="0" applyFont="1" applyBorder="1" applyAlignment="1">
      <alignment horizontal="left" vertical="top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2" fillId="0" borderId="5" xfId="0" applyFont="1" applyBorder="1" applyAlignment="1">
      <alignment horizontal="left" vertical="top" wrapText="1"/>
    </xf>
  </cellXfs>
  <cellStyles count="4">
    <cellStyle name="Гиперссылка" xfId="1" builtinId="8"/>
    <cellStyle name="Обычный" xfId="0" builtinId="0"/>
    <cellStyle name="Процентный" xfId="2" builtinId="5"/>
    <cellStyle name="Финансовый" xfId="3" builtinId="3"/>
  </cellStyles>
  <dxfs count="8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99D073"/>
      <color rgb="FFFF835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externalLink" Target="externalLinks/externalLink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calcChain" Target="calcChain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46185</xdr:colOff>
      <xdr:row>64</xdr:row>
      <xdr:rowOff>55419</xdr:rowOff>
    </xdr:from>
    <xdr:to>
      <xdr:col>3</xdr:col>
      <xdr:colOff>554183</xdr:colOff>
      <xdr:row>73</xdr:row>
      <xdr:rowOff>185867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06BB5E51-FF6F-074B-A136-CDB98DA38F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185" y="9707419"/>
          <a:ext cx="6557816" cy="2000811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97</xdr:row>
      <xdr:rowOff>152400</xdr:rowOff>
    </xdr:from>
    <xdr:to>
      <xdr:col>2</xdr:col>
      <xdr:colOff>292100</xdr:colOff>
      <xdr:row>107</xdr:row>
      <xdr:rowOff>88901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3257A7BF-4DD1-34F1-5361-16B42823F2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8483600"/>
          <a:ext cx="5092700" cy="1968500"/>
        </a:xfrm>
        <a:prstGeom prst="rect">
          <a:avLst/>
        </a:prstGeom>
      </xdr:spPr>
    </xdr:pic>
    <xdr:clientData/>
  </xdr:twoCellAnchor>
  <xdr:twoCellAnchor editAs="oneCell">
    <xdr:from>
      <xdr:col>0</xdr:col>
      <xdr:colOff>23091</xdr:colOff>
      <xdr:row>3</xdr:row>
      <xdr:rowOff>184726</xdr:rowOff>
    </xdr:from>
    <xdr:to>
      <xdr:col>3</xdr:col>
      <xdr:colOff>1131454</xdr:colOff>
      <xdr:row>22</xdr:row>
      <xdr:rowOff>51255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FF0442A8-9C62-C8AB-E7A1-A0A4A9F832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091" y="808181"/>
          <a:ext cx="7158181" cy="381507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203200</xdr:colOff>
      <xdr:row>41</xdr:row>
      <xdr:rowOff>76200</xdr:rowOff>
    </xdr:from>
    <xdr:to>
      <xdr:col>10</xdr:col>
      <xdr:colOff>152400</xdr:colOff>
      <xdr:row>56</xdr:row>
      <xdr:rowOff>190500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438AD280-E150-8AE7-B671-601C69B62C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125200" y="8750300"/>
          <a:ext cx="5638800" cy="33909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Users/o.o.grigoreva/Downloads/&#1048;&#1090;&#1086;&#1075;%20&#1076;&#1083;&#1103;%20&#1087;&#1088;&#1077;&#1079;&#1099;_&#1042;&#1086;&#1088;&#1086;&#1085;&#1082;&#1072;%20&#1087;&#1088;&#1086;&#1076;&#1072;&#1078;%20MPstats%20-%20&#1088;&#1072;&#1079;&#1085;&#1099;&#1077;%20&#1092;&#1083;&#1086;&#1091;_16.07.26%20(OG)%20(2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ИТОГ_new"/>
      <sheetName val="ИТОГ_v1"/>
      <sheetName val="доп расходы_свод"/>
      <sheetName val="Саммари_акт"/>
      <sheetName val="вар 2_лицензия дороже"/>
      <sheetName val="6-12 мес"/>
      <sheetName val="Гипотезы_акт"/>
      <sheetName val="Гипотезы_v3"/>
      <sheetName val="расходы_разработка"/>
      <sheetName val="расходы на АПИ"/>
      <sheetName val="расходы_маркетинг"/>
      <sheetName val="Гипотезы v3_CR лид, API upd Оле"/>
      <sheetName val="Гипотезы v3_CR лиды, API upd"/>
      <sheetName val="Гипотезы v3_CR лиды upd"/>
      <sheetName val="CR базы селлеров"/>
      <sheetName val="ожидания МПСт"/>
      <sheetName val="База селлеров"/>
      <sheetName val="Гипотезы_v2"/>
      <sheetName val="Вопросы"/>
      <sheetName val="Воронка MPS_обработано"/>
      <sheetName val="Воронка MPS_исх"/>
      <sheetName val="Гипотезы_v1"/>
      <sheetName val="MPS др метрики"/>
      <sheetName val="Гипотезы_драфт"/>
      <sheetName val="Пилот Точка"/>
      <sheetName val="MAU Селлер as is"/>
      <sheetName val="Воронка Селлер as is"/>
      <sheetName val="Селлер апи_исх"/>
      <sheetName val="Селлер оплаты_исх"/>
      <sheetName val="рабоч"/>
      <sheetName val="пересечь базы как"/>
    </sheetNames>
    <sheetDataSet>
      <sheetData sheetId="0"/>
      <sheetData sheetId="1"/>
      <sheetData sheetId="2">
        <row r="17">
          <cell r="C17">
            <v>360000</v>
          </cell>
          <cell r="D17">
            <v>8352000</v>
          </cell>
        </row>
        <row r="18">
          <cell r="D18">
            <v>4176000</v>
          </cell>
        </row>
      </sheetData>
      <sheetData sheetId="3"/>
      <sheetData sheetId="4"/>
      <sheetData sheetId="5"/>
      <sheetData sheetId="6">
        <row r="52">
          <cell r="M52">
            <v>50425005.288461544</v>
          </cell>
          <cell r="T52">
            <v>50425005.288461544</v>
          </cell>
        </row>
        <row r="87">
          <cell r="M87">
            <v>100000</v>
          </cell>
        </row>
        <row r="92">
          <cell r="F92">
            <v>4500000</v>
          </cell>
          <cell r="M92">
            <v>4500000</v>
          </cell>
          <cell r="T92">
            <v>4500000</v>
          </cell>
        </row>
        <row r="93">
          <cell r="F93">
            <v>1500000</v>
          </cell>
          <cell r="M93">
            <v>1500000</v>
          </cell>
          <cell r="T93">
            <v>1500000</v>
          </cell>
        </row>
        <row r="94">
          <cell r="F94">
            <v>1046442.6</v>
          </cell>
          <cell r="M94">
            <v>1046442.6</v>
          </cell>
          <cell r="T94">
            <v>1046442.6</v>
          </cell>
        </row>
        <row r="96">
          <cell r="F96">
            <v>500000</v>
          </cell>
          <cell r="M96">
            <v>500000</v>
          </cell>
          <cell r="T96">
            <v>1800000</v>
          </cell>
        </row>
        <row r="97">
          <cell r="F97">
            <v>0</v>
          </cell>
          <cell r="M97">
            <v>0</v>
          </cell>
          <cell r="T97">
            <v>0</v>
          </cell>
        </row>
        <row r="98">
          <cell r="M98">
            <v>4512000</v>
          </cell>
        </row>
        <row r="99">
          <cell r="F99">
            <v>7956567.1341326414</v>
          </cell>
          <cell r="M99">
            <v>5047584.8256706996</v>
          </cell>
          <cell r="T99">
            <v>7956567.1341326414</v>
          </cell>
        </row>
        <row r="103">
          <cell r="F103">
            <v>141270742.52357477</v>
          </cell>
          <cell r="M103">
            <v>84617091.422361463</v>
          </cell>
          <cell r="T103">
            <v>141270742.52357477</v>
          </cell>
        </row>
        <row r="118">
          <cell r="F118">
            <v>110415090.80942813</v>
          </cell>
          <cell r="M118">
            <v>54520000.000000007</v>
          </cell>
          <cell r="T118">
            <v>110415090.80942813</v>
          </cell>
        </row>
      </sheetData>
      <sheetData sheetId="7"/>
      <sheetData sheetId="8">
        <row r="50">
          <cell r="D50">
            <v>2545714.2857142859</v>
          </cell>
          <cell r="E50">
            <v>1272857.142857143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1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2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.xml"/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3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7.xml"/><Relationship Id="rId1" Type="http://schemas.openxmlformats.org/officeDocument/2006/relationships/vmlDrawing" Target="../drawings/vmlDrawing17.vml"/></Relationships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hyperlink" Target="https://jira.tcsbank.ru/browse/ECA-2046" TargetMode="External"/><Relationship Id="rId2" Type="http://schemas.openxmlformats.org/officeDocument/2006/relationships/hyperlink" Target="https://jira.tcsbank.ru/browse/ECA-2046" TargetMode="External"/><Relationship Id="rId1" Type="http://schemas.openxmlformats.org/officeDocument/2006/relationships/hyperlink" Target="https://jira.tcsbank.ru/browse/ECA-2046" TargetMode="External"/><Relationship Id="rId5" Type="http://schemas.openxmlformats.org/officeDocument/2006/relationships/hyperlink" Target="https://jira.tcsbank.ru/browse/ECA-2058" TargetMode="External"/><Relationship Id="rId4" Type="http://schemas.openxmlformats.org/officeDocument/2006/relationships/hyperlink" Target="https://time.tbank.ru/tinkoff/pl/exj7twew7pb5b8ykrdr3pyr6wc" TargetMode="External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8.xml"/><Relationship Id="rId1" Type="http://schemas.openxmlformats.org/officeDocument/2006/relationships/vmlDrawing" Target="../drawings/vmlDrawing18.v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hyperlink" Target="https://unidraw.io/app/board/a099d59523c3e8ff1926?allow_guest=true" TargetMode="External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comments" Target="../comments19.xml"/><Relationship Id="rId1" Type="http://schemas.openxmlformats.org/officeDocument/2006/relationships/vmlDrawing" Target="../drawings/vmlDrawing19.vml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mpstats.io/tariffs" TargetMode="External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comments" Target="../comments20.xml"/><Relationship Id="rId1" Type="http://schemas.openxmlformats.org/officeDocument/2006/relationships/vmlDrawing" Target="../drawings/vmlDrawing20.vml"/></Relationships>
</file>

<file path=xl/worksheets/_rels/sheet37.xml.rels><?xml version="1.0" encoding="UTF-8" standalone="yes"?>
<Relationships xmlns="http://schemas.openxmlformats.org/package/2006/relationships"><Relationship Id="rId3" Type="http://schemas.openxmlformats.org/officeDocument/2006/relationships/hyperlink" Target="https://proteus.tcsbank.ru/superset/dashboard/50759/?native_filters_key=N1EflRdRl3eeD4pGUhCGkab9qHa_Xovcdedg2EUhsrPb6m9J-vOOQNoVLOXMOQ1R" TargetMode="External"/><Relationship Id="rId2" Type="http://schemas.openxmlformats.org/officeDocument/2006/relationships/hyperlink" Target="https://proteus.tcsbank.ru/superset/dashboard/35207/?native_filters_key=aLN1Xx1yD5vdgsrx8uoA0pvrJEUqFxG78QxXMsGytEGq4tZDfgeCUsezc9HMrNwl" TargetMode="External"/><Relationship Id="rId1" Type="http://schemas.openxmlformats.org/officeDocument/2006/relationships/hyperlink" Target="https://proteus.tcsbank.ru/superset/dashboard/35207/?native_filters_key=6UD6_31FByJJBSkeo1OjteN2ZrhDe0UXwiQb27k-OI1_2btiTS-ROCrKRUs0NQiB" TargetMode="External"/><Relationship Id="rId4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856DF3-D056-EE40-9E57-B326F27DE9CA}">
  <sheetPr>
    <tabColor theme="7" tint="0.79998168889431442"/>
  </sheetPr>
  <dimension ref="A1:L157"/>
  <sheetViews>
    <sheetView topLeftCell="B133" workbookViewId="0">
      <selection activeCell="B113" sqref="A113:XFD113"/>
    </sheetView>
  </sheetViews>
  <sheetFormatPr baseColWidth="10" defaultColWidth="10.6640625" defaultRowHeight="16" outlineLevelRow="1" outlineLevelCol="1"/>
  <cols>
    <col min="1" max="1" width="70.6640625" style="1636" hidden="1" customWidth="1" outlineLevel="1"/>
    <col min="2" max="2" width="74.6640625" style="1636" customWidth="1" collapsed="1"/>
    <col min="3" max="3" width="19.1640625" style="1636" customWidth="1"/>
    <col min="4" max="4" width="1.1640625" style="1636" customWidth="1"/>
    <col min="5" max="5" width="19.33203125" style="1636" customWidth="1"/>
    <col min="6" max="6" width="1.33203125" style="1636" customWidth="1"/>
    <col min="7" max="7" width="81.5" style="1696" customWidth="1"/>
    <col min="8" max="8" width="41.83203125" style="1636" customWidth="1"/>
    <col min="9" max="10" width="3.33203125" style="1636" customWidth="1"/>
    <col min="11" max="16384" width="10.6640625" style="1636"/>
  </cols>
  <sheetData>
    <row r="1" spans="1:9" ht="26" customHeight="1">
      <c r="B1" s="1703"/>
      <c r="C1" s="1865"/>
      <c r="D1" s="1865"/>
      <c r="E1" s="1865"/>
      <c r="G1" s="1866" t="s">
        <v>864</v>
      </c>
      <c r="H1" s="94"/>
    </row>
    <row r="2" spans="1:9" ht="34">
      <c r="B2" s="2089" t="s">
        <v>1036</v>
      </c>
      <c r="C2" s="1867" t="s">
        <v>822</v>
      </c>
      <c r="D2" s="1867"/>
      <c r="E2" s="1867" t="s">
        <v>825</v>
      </c>
      <c r="F2" s="1868"/>
      <c r="G2" s="1612" t="s">
        <v>1136</v>
      </c>
    </row>
    <row r="3" spans="1:9" s="1696" customFormat="1" ht="44.5" customHeight="1">
      <c r="B3" s="2089"/>
      <c r="C3" s="1704" t="s">
        <v>823</v>
      </c>
      <c r="D3" s="1704"/>
      <c r="E3" s="1704" t="s">
        <v>1053</v>
      </c>
      <c r="F3" s="1869"/>
    </row>
    <row r="4" spans="1:9" ht="19">
      <c r="A4" s="1022" t="s">
        <v>792</v>
      </c>
      <c r="B4" s="1870" t="s">
        <v>1058</v>
      </c>
      <c r="C4" s="1871">
        <f>Воронка!R44</f>
        <v>141270742.52357477</v>
      </c>
      <c r="D4" s="1871"/>
      <c r="E4" s="1871">
        <f>C4</f>
        <v>141270742.52357477</v>
      </c>
      <c r="F4" s="1872"/>
    </row>
    <row r="5" spans="1:9" hidden="1" outlineLevel="1">
      <c r="B5" s="2053" t="s">
        <v>1143</v>
      </c>
      <c r="C5" s="2054">
        <f>'период вознаграждения'!G6</f>
        <v>139074677.68860859</v>
      </c>
      <c r="D5" s="2054"/>
      <c r="E5" s="2054">
        <f>C5</f>
        <v>139074677.68860859</v>
      </c>
      <c r="F5" s="1873"/>
    </row>
    <row r="6" spans="1:9" hidden="1" outlineLevel="1">
      <c r="B6" s="2053" t="s">
        <v>1144</v>
      </c>
      <c r="C6" s="2054">
        <f>'период вознаграждения'!M6</f>
        <v>73059218.654784113</v>
      </c>
      <c r="D6" s="2054"/>
      <c r="E6" s="2054">
        <f>C6</f>
        <v>73059218.654784113</v>
      </c>
      <c r="F6" s="1873"/>
    </row>
    <row r="7" spans="1:9" ht="51" collapsed="1">
      <c r="B7" s="1660" t="s">
        <v>1074</v>
      </c>
      <c r="C7" s="1826">
        <f>'период вознаграждения'!T6</f>
        <v>84930191.509930313</v>
      </c>
      <c r="D7" s="1826"/>
      <c r="E7" s="1826">
        <f>C7</f>
        <v>84930191.509930313</v>
      </c>
      <c r="F7" s="1873"/>
      <c r="G7" s="1612" t="s">
        <v>1140</v>
      </c>
    </row>
    <row r="8" spans="1:9">
      <c r="B8" s="1763"/>
      <c r="C8" s="1873"/>
      <c r="D8" s="1873"/>
      <c r="E8" s="1873"/>
      <c r="F8" s="1873"/>
    </row>
    <row r="9" spans="1:9" ht="26">
      <c r="B9" s="1703" t="s">
        <v>788</v>
      </c>
      <c r="C9" s="1874"/>
      <c r="D9" s="1874"/>
      <c r="E9" s="1874"/>
      <c r="F9" s="1873"/>
    </row>
    <row r="10" spans="1:9" ht="19">
      <c r="B10" s="1875" t="s">
        <v>834</v>
      </c>
      <c r="C10" s="1876"/>
      <c r="D10" s="1876"/>
      <c r="E10" s="1876"/>
      <c r="F10" s="1873"/>
      <c r="H10" s="1877"/>
      <c r="I10" s="1877"/>
    </row>
    <row r="11" spans="1:9" ht="34">
      <c r="B11" s="1878" t="s">
        <v>831</v>
      </c>
      <c r="C11" s="1879" t="s">
        <v>862</v>
      </c>
      <c r="D11" s="1878"/>
      <c r="E11" s="1879" t="s">
        <v>862</v>
      </c>
      <c r="F11" s="1877"/>
      <c r="H11" s="1877"/>
      <c r="I11" s="1877"/>
    </row>
    <row r="12" spans="1:9" ht="51">
      <c r="A12" s="1543" t="s">
        <v>806</v>
      </c>
      <c r="B12" s="1864" t="s">
        <v>1126</v>
      </c>
      <c r="C12" s="1826">
        <v>396000</v>
      </c>
      <c r="D12" s="1826"/>
      <c r="E12" s="1826">
        <f>C12</f>
        <v>396000</v>
      </c>
      <c r="F12" s="1873"/>
      <c r="G12" s="1647" t="s">
        <v>1135</v>
      </c>
      <c r="H12" s="1647"/>
    </row>
    <row r="13" spans="1:9" ht="19">
      <c r="A13" s="1544" t="s">
        <v>805</v>
      </c>
      <c r="B13" s="1694" t="s">
        <v>828</v>
      </c>
      <c r="C13" s="1873">
        <f>'доп расходы_свод'!C17</f>
        <v>360000</v>
      </c>
      <c r="D13" s="1873"/>
      <c r="E13" s="1873">
        <f>C13</f>
        <v>360000</v>
      </c>
      <c r="F13" s="1873"/>
      <c r="G13" s="1696" t="s">
        <v>1104</v>
      </c>
    </row>
    <row r="14" spans="1:9" ht="20" thickBot="1">
      <c r="A14" s="39" t="s">
        <v>804</v>
      </c>
      <c r="B14" s="1880" t="s">
        <v>847</v>
      </c>
      <c r="C14" s="1881">
        <f>C12+C13</f>
        <v>756000</v>
      </c>
      <c r="D14" s="1881"/>
      <c r="E14" s="1881">
        <f>E12+E13</f>
        <v>756000</v>
      </c>
      <c r="F14" s="1882"/>
      <c r="G14" s="1883" t="s">
        <v>830</v>
      </c>
    </row>
    <row r="15" spans="1:9" ht="20" thickTop="1">
      <c r="A15" s="139"/>
      <c r="B15" s="1884" t="s">
        <v>854</v>
      </c>
      <c r="C15" s="1885">
        <f>C14/C$4</f>
        <v>5.351426533868762E-3</v>
      </c>
      <c r="D15" s="1886"/>
      <c r="E15" s="1885">
        <f>E14/E$4</f>
        <v>5.351426533868762E-3</v>
      </c>
      <c r="F15" s="1887"/>
    </row>
    <row r="16" spans="1:9" ht="19">
      <c r="A16" s="139"/>
      <c r="B16" s="1875" t="s">
        <v>833</v>
      </c>
      <c r="C16" s="1870"/>
      <c r="D16" s="1870"/>
      <c r="E16" s="1870"/>
      <c r="F16" s="1877"/>
    </row>
    <row r="17" spans="1:7" ht="51">
      <c r="A17" s="2"/>
      <c r="B17" s="1878" t="s">
        <v>831</v>
      </c>
      <c r="C17" s="1879" t="s">
        <v>832</v>
      </c>
      <c r="D17" s="1878"/>
      <c r="E17" s="1879" t="s">
        <v>845</v>
      </c>
      <c r="F17" s="1877"/>
    </row>
    <row r="18" spans="1:7" ht="19">
      <c r="A18" s="1545" t="s">
        <v>786</v>
      </c>
      <c r="B18" s="1878" t="s">
        <v>835</v>
      </c>
      <c r="C18" s="1888">
        <f>SUM(C19:C21)</f>
        <v>4046442.6</v>
      </c>
      <c r="D18" s="1888"/>
      <c r="E18" s="1888">
        <f>SUM(E19:E21)</f>
        <v>4046442.6</v>
      </c>
      <c r="F18" s="1872"/>
    </row>
    <row r="19" spans="1:7" ht="19">
      <c r="A19" s="39" t="s">
        <v>808</v>
      </c>
      <c r="B19" s="1694" t="s">
        <v>836</v>
      </c>
      <c r="C19" s="1873">
        <f>'расходы для PnL'!B3/6*2</f>
        <v>1500000</v>
      </c>
      <c r="D19" s="1873"/>
      <c r="E19" s="1873">
        <f>'расходы для PnL'!C3/6*2</f>
        <v>1500000</v>
      </c>
      <c r="F19" s="1873"/>
      <c r="G19" s="1924" t="s">
        <v>1142</v>
      </c>
    </row>
    <row r="20" spans="1:7" ht="19">
      <c r="A20" s="39" t="s">
        <v>809</v>
      </c>
      <c r="B20" s="1694" t="s">
        <v>839</v>
      </c>
      <c r="C20" s="1873">
        <f>'расходы для PnL'!B4</f>
        <v>1500000</v>
      </c>
      <c r="D20" s="1873"/>
      <c r="E20" s="1873">
        <f>'расходы для PnL'!C4</f>
        <v>1500000</v>
      </c>
      <c r="F20" s="1873"/>
      <c r="G20" s="1696" t="s">
        <v>838</v>
      </c>
    </row>
    <row r="21" spans="1:7" ht="34">
      <c r="A21" s="39" t="s">
        <v>811</v>
      </c>
      <c r="B21" s="1694" t="s">
        <v>840</v>
      </c>
      <c r="C21" s="1873">
        <f>'расходы для PnL'!B5</f>
        <v>1046442.6</v>
      </c>
      <c r="D21" s="1873"/>
      <c r="E21" s="1873">
        <f>'расходы для PnL'!C5</f>
        <v>1046442.6</v>
      </c>
      <c r="F21" s="1873"/>
      <c r="G21" s="1696" t="s">
        <v>1131</v>
      </c>
    </row>
    <row r="22" spans="1:7" ht="19">
      <c r="A22" s="1545" t="s">
        <v>785</v>
      </c>
      <c r="B22" s="1878" t="s">
        <v>841</v>
      </c>
      <c r="C22" s="1888">
        <f>SUM(C23:C25)</f>
        <v>3072857.1428571427</v>
      </c>
      <c r="D22" s="1888"/>
      <c r="E22" s="1888">
        <f>SUM(E23:E25)</f>
        <v>500000</v>
      </c>
      <c r="F22" s="1872"/>
    </row>
    <row r="23" spans="1:7" ht="19">
      <c r="A23" s="39" t="s">
        <v>782</v>
      </c>
      <c r="B23" s="1694" t="s">
        <v>782</v>
      </c>
      <c r="C23" s="1873">
        <f>'расходы для PnL'!B7</f>
        <v>1800000</v>
      </c>
      <c r="D23" s="1873"/>
      <c r="E23" s="1873">
        <f>'расходы для PnL'!C7</f>
        <v>500000</v>
      </c>
      <c r="F23" s="1873"/>
    </row>
    <row r="24" spans="1:7" ht="19">
      <c r="A24" s="841" t="s">
        <v>783</v>
      </c>
      <c r="B24" s="1694" t="s">
        <v>783</v>
      </c>
      <c r="C24" s="1695">
        <f>'расходы для PnL'!B8</f>
        <v>0</v>
      </c>
      <c r="D24" s="1695"/>
      <c r="E24" s="1695">
        <f>'расходы для PnL'!C8</f>
        <v>0</v>
      </c>
      <c r="F24" s="1873"/>
      <c r="G24" s="1696" t="s">
        <v>849</v>
      </c>
    </row>
    <row r="25" spans="1:7" ht="19">
      <c r="A25" s="2"/>
      <c r="B25" s="1694" t="s">
        <v>842</v>
      </c>
      <c r="C25" s="1873">
        <f>'расходы для PnL'!B9</f>
        <v>1272857.142857143</v>
      </c>
      <c r="D25" s="1873"/>
      <c r="E25" s="1873"/>
      <c r="F25" s="1873"/>
    </row>
    <row r="26" spans="1:7" ht="19">
      <c r="A26" s="1545" t="s">
        <v>810</v>
      </c>
      <c r="B26" s="1878" t="s">
        <v>900</v>
      </c>
      <c r="C26" s="1888">
        <f>'расходы для PnL'!B10</f>
        <v>1272857.142857143</v>
      </c>
      <c r="D26" s="1888"/>
      <c r="E26" s="1888">
        <f>'расходы для PnL'!C10</f>
        <v>1272857.142857143</v>
      </c>
      <c r="F26" s="1872"/>
    </row>
    <row r="27" spans="1:7" ht="19">
      <c r="A27" s="304" t="s">
        <v>784</v>
      </c>
      <c r="B27" s="1878" t="s">
        <v>844</v>
      </c>
      <c r="C27" s="1888">
        <f>'расходы для PnL'!B11</f>
        <v>7956567.1341326414</v>
      </c>
      <c r="D27" s="1888"/>
      <c r="E27" s="1888">
        <f>'расходы для PnL'!C11</f>
        <v>7956567.1341326414</v>
      </c>
      <c r="F27" s="1872"/>
      <c r="G27" s="1696" t="s">
        <v>843</v>
      </c>
    </row>
    <row r="28" spans="1:7" ht="17" thickBot="1">
      <c r="B28" s="1889" t="s">
        <v>846</v>
      </c>
      <c r="C28" s="1890">
        <f>SUM(C18,C22,C26,C27)</f>
        <v>16348724.019846927</v>
      </c>
      <c r="D28" s="1891"/>
      <c r="E28" s="1890">
        <f>SUM(E18,E22,E26,E27)</f>
        <v>13775866.876989784</v>
      </c>
      <c r="F28" s="1892"/>
    </row>
    <row r="29" spans="1:7" s="1887" customFormat="1" ht="18" thickTop="1">
      <c r="B29" s="1884" t="s">
        <v>1132</v>
      </c>
      <c r="C29" s="1893">
        <v>0.15</v>
      </c>
      <c r="D29" s="1894"/>
      <c r="E29" s="1893">
        <v>0.16</v>
      </c>
      <c r="F29" s="1895"/>
      <c r="G29" s="1774" t="s">
        <v>1012</v>
      </c>
    </row>
    <row r="30" spans="1:7">
      <c r="B30" s="1884"/>
      <c r="C30" s="1896"/>
      <c r="D30" s="1887"/>
      <c r="E30" s="1897"/>
      <c r="F30" s="1887"/>
      <c r="G30" s="1647"/>
    </row>
    <row r="31" spans="1:7" s="423" customFormat="1" ht="19">
      <c r="B31" s="1898" t="s">
        <v>1005</v>
      </c>
      <c r="C31" s="1899"/>
      <c r="D31" s="1899"/>
      <c r="E31" s="1899"/>
      <c r="F31" s="1900"/>
      <c r="G31" s="1901"/>
    </row>
    <row r="32" spans="1:7" s="95" customFormat="1" ht="19">
      <c r="A32" s="39"/>
      <c r="B32" s="1902" t="s">
        <v>1019</v>
      </c>
      <c r="C32" s="1903">
        <f>C22*(1+C$29)</f>
        <v>3533785.7142857141</v>
      </c>
      <c r="D32" s="1903"/>
      <c r="E32" s="1903">
        <v>0</v>
      </c>
      <c r="F32" s="1904"/>
      <c r="G32" s="93" t="s">
        <v>1045</v>
      </c>
    </row>
    <row r="33" spans="1:7" s="95" customFormat="1" ht="19">
      <c r="A33" s="39"/>
      <c r="B33" s="1905" t="s">
        <v>1044</v>
      </c>
      <c r="C33" s="1906">
        <f>C32/C$4</f>
        <v>2.5014278619622944E-2</v>
      </c>
      <c r="D33" s="1907"/>
      <c r="E33" s="1906">
        <f>E32/E$4</f>
        <v>0</v>
      </c>
      <c r="F33" s="1904"/>
      <c r="G33" s="93"/>
    </row>
    <row r="34" spans="1:7" s="95" customFormat="1" ht="19">
      <c r="A34" s="39"/>
      <c r="B34" s="1902" t="s">
        <v>1032</v>
      </c>
      <c r="C34" s="1903">
        <f>(C18+C26+C27)*(1+C$29)</f>
        <v>15267246.908538252</v>
      </c>
      <c r="D34" s="1907"/>
      <c r="E34" s="1903">
        <f>(E18+E26+E27+E22)*(1+E$29)</f>
        <v>15980005.57730815</v>
      </c>
      <c r="F34" s="1904"/>
      <c r="G34" s="93" t="s">
        <v>1046</v>
      </c>
    </row>
    <row r="35" spans="1:7" s="95" customFormat="1" ht="19" hidden="1" outlineLevel="1">
      <c r="A35" s="2"/>
      <c r="B35" s="2055" t="s">
        <v>1145</v>
      </c>
      <c r="C35" s="2056">
        <f>C$34/C4</f>
        <v>0.10807083360512887</v>
      </c>
      <c r="D35" s="2057"/>
      <c r="E35" s="2056">
        <f>E$34/E4</f>
        <v>0.11311617176954714</v>
      </c>
      <c r="F35" s="1904"/>
      <c r="G35" s="93"/>
    </row>
    <row r="36" spans="1:7" s="95" customFormat="1" ht="19" hidden="1" outlineLevel="1">
      <c r="A36" s="2"/>
      <c r="B36" s="2055" t="s">
        <v>1146</v>
      </c>
      <c r="C36" s="2056">
        <f t="shared" ref="C36:E37" si="0">C$34/C5</f>
        <v>0.10977733087199361</v>
      </c>
      <c r="D36" s="2057"/>
      <c r="E36" s="2056">
        <f t="shared" si="0"/>
        <v>0.11490233767133189</v>
      </c>
      <c r="F36" s="1904"/>
      <c r="G36" s="93"/>
    </row>
    <row r="37" spans="1:7" s="95" customFormat="1" ht="19" hidden="1" outlineLevel="1">
      <c r="A37" s="2"/>
      <c r="B37" s="2055" t="s">
        <v>1147</v>
      </c>
      <c r="C37" s="2056">
        <f t="shared" si="0"/>
        <v>0.20897084843841965</v>
      </c>
      <c r="D37" s="2057"/>
      <c r="E37" s="2056">
        <f t="shared" si="0"/>
        <v>0.21872675168914821</v>
      </c>
      <c r="F37" s="1904"/>
      <c r="G37" s="93"/>
    </row>
    <row r="38" spans="1:7" s="95" customFormat="1" ht="19" collapsed="1">
      <c r="A38" s="2"/>
      <c r="B38" s="1905" t="s">
        <v>1128</v>
      </c>
      <c r="C38" s="1908">
        <f>C$34/C7</f>
        <v>0.17976230404182189</v>
      </c>
      <c r="D38" s="1909"/>
      <c r="E38" s="1908">
        <f>E$34/E7</f>
        <v>0.18815459253308897</v>
      </c>
      <c r="F38" s="1904"/>
      <c r="G38" s="93"/>
    </row>
    <row r="39" spans="1:7" s="95" customFormat="1" ht="18" thickBot="1">
      <c r="B39" s="1910" t="s">
        <v>858</v>
      </c>
      <c r="C39" s="1911">
        <f>C32+C34</f>
        <v>18801032.622823965</v>
      </c>
      <c r="D39" s="1911"/>
      <c r="E39" s="1911">
        <f>E32+E34</f>
        <v>15980005.57730815</v>
      </c>
      <c r="F39" s="1912"/>
      <c r="G39" s="582" t="s">
        <v>848</v>
      </c>
    </row>
    <row r="40" spans="1:7" ht="20" thickTop="1">
      <c r="A40" s="423"/>
      <c r="B40" s="1884" t="s">
        <v>1043</v>
      </c>
      <c r="C40" s="1913">
        <f>C39/C4</f>
        <v>0.13308511222475181</v>
      </c>
      <c r="D40" s="1887"/>
      <c r="E40" s="1913">
        <f>E39/E4</f>
        <v>0.11311617176954714</v>
      </c>
      <c r="F40" s="1914"/>
    </row>
    <row r="41" spans="1:7">
      <c r="B41" s="1884"/>
      <c r="C41" s="1915"/>
      <c r="D41" s="1895"/>
      <c r="E41" s="1915"/>
      <c r="F41" s="1895"/>
    </row>
    <row r="42" spans="1:7" s="423" customFormat="1" ht="19" hidden="1" outlineLevel="1">
      <c r="B42" s="1898" t="s">
        <v>1017</v>
      </c>
      <c r="C42" s="1899"/>
      <c r="D42" s="1899"/>
      <c r="E42" s="1899"/>
      <c r="F42" s="1900"/>
      <c r="G42" s="1901"/>
    </row>
    <row r="43" spans="1:7" ht="19" hidden="1" outlineLevel="1">
      <c r="A43" s="39"/>
      <c r="B43" s="1694" t="s">
        <v>1006</v>
      </c>
      <c r="C43" s="1695">
        <f>C$4*C47</f>
        <v>3533785.7142857141</v>
      </c>
      <c r="D43" s="1695"/>
      <c r="E43" s="1695">
        <f>E$4*E47</f>
        <v>0</v>
      </c>
      <c r="F43" s="1873"/>
    </row>
    <row r="44" spans="1:7" ht="19" hidden="1" outlineLevel="1">
      <c r="A44" s="39"/>
      <c r="B44" s="1694" t="s">
        <v>1004</v>
      </c>
      <c r="C44" s="1695">
        <f>C$4*C48</f>
        <v>15267246.908538252</v>
      </c>
      <c r="D44" s="1695"/>
      <c r="E44" s="1695">
        <f>E$4*E48</f>
        <v>15980005.57730815</v>
      </c>
      <c r="F44" s="1873"/>
    </row>
    <row r="45" spans="1:7" ht="18" hidden="1" outlineLevel="1" thickBot="1">
      <c r="B45" s="1916" t="s">
        <v>859</v>
      </c>
      <c r="C45" s="1881">
        <f>C43+C44</f>
        <v>18801032.622823965</v>
      </c>
      <c r="D45" s="1881"/>
      <c r="E45" s="1881">
        <f>E43+E44</f>
        <v>15980005.57730815</v>
      </c>
      <c r="F45" s="1892"/>
      <c r="G45" s="1883" t="s">
        <v>848</v>
      </c>
    </row>
    <row r="46" spans="1:7" ht="20" hidden="1" outlineLevel="1" thickTop="1">
      <c r="A46" s="423"/>
      <c r="B46" s="1884" t="s">
        <v>1014</v>
      </c>
      <c r="C46" s="1913">
        <f>C45/C4</f>
        <v>0.13308511222475181</v>
      </c>
      <c r="D46" s="1887"/>
      <c r="E46" s="1913">
        <f>E47+E48</f>
        <v>0.11311617176954714</v>
      </c>
      <c r="F46" s="1914"/>
    </row>
    <row r="47" spans="1:7" ht="19" hidden="1" outlineLevel="1">
      <c r="A47" s="423"/>
      <c r="B47" s="1884" t="s">
        <v>1020</v>
      </c>
      <c r="C47" s="1913">
        <f>C33</f>
        <v>2.5014278619622944E-2</v>
      </c>
      <c r="D47" s="1887"/>
      <c r="E47" s="1913">
        <f>E33</f>
        <v>0</v>
      </c>
      <c r="F47" s="1914"/>
    </row>
    <row r="48" spans="1:7" ht="19" hidden="1" outlineLevel="1">
      <c r="A48" s="423"/>
      <c r="B48" s="1905" t="s">
        <v>1059</v>
      </c>
      <c r="C48" s="1913">
        <f>C35</f>
        <v>0.10807083360512887</v>
      </c>
      <c r="D48" s="1887"/>
      <c r="E48" s="1913">
        <f>E35</f>
        <v>0.11311617176954714</v>
      </c>
      <c r="F48" s="1914"/>
    </row>
    <row r="49" spans="2:12" ht="18" collapsed="1" thickBot="1">
      <c r="G49" s="2010" t="s">
        <v>1084</v>
      </c>
    </row>
    <row r="50" spans="2:12" ht="44" thickBot="1">
      <c r="B50" s="1703" t="s">
        <v>850</v>
      </c>
      <c r="C50" s="1704" t="s">
        <v>823</v>
      </c>
      <c r="D50" s="1704"/>
      <c r="E50" s="1704" t="s">
        <v>1053</v>
      </c>
      <c r="F50" s="1869"/>
      <c r="H50" s="1883"/>
      <c r="I50" s="1877"/>
      <c r="J50" s="1877"/>
      <c r="K50" s="1917">
        <v>1</v>
      </c>
      <c r="L50" s="1877" t="s">
        <v>861</v>
      </c>
    </row>
    <row r="51" spans="2:12" ht="26">
      <c r="B51" s="1918" t="s">
        <v>916</v>
      </c>
      <c r="C51" s="1919"/>
      <c r="D51" s="1919"/>
      <c r="E51" s="1919"/>
      <c r="F51" s="1920"/>
    </row>
    <row r="52" spans="2:12" ht="15.5" customHeight="1">
      <c r="B52" s="1921" t="s">
        <v>575</v>
      </c>
      <c r="C52" s="1922">
        <f>SUM(C53:C54)</f>
        <v>142026742.52357477</v>
      </c>
      <c r="D52" s="1922"/>
      <c r="E52" s="1922">
        <f>SUM(E53:E54)</f>
        <v>142026742.52357477</v>
      </c>
      <c r="F52" s="1872"/>
    </row>
    <row r="53" spans="2:12" ht="15.5" customHeight="1">
      <c r="B53" s="1694" t="s">
        <v>851</v>
      </c>
      <c r="C53" s="1695">
        <f>C4</f>
        <v>141270742.52357477</v>
      </c>
      <c r="D53" s="1695"/>
      <c r="E53" s="1695">
        <f>E4</f>
        <v>141270742.52357477</v>
      </c>
      <c r="F53" s="1873"/>
      <c r="G53" s="1923" t="s">
        <v>927</v>
      </c>
    </row>
    <row r="54" spans="2:12" ht="15.5" customHeight="1">
      <c r="B54" s="1694" t="s">
        <v>902</v>
      </c>
      <c r="C54" s="1695">
        <f>C14</f>
        <v>756000</v>
      </c>
      <c r="D54" s="1695"/>
      <c r="E54" s="1695">
        <f>E14</f>
        <v>756000</v>
      </c>
      <c r="F54" s="1873"/>
      <c r="G54" s="1924" t="s">
        <v>928</v>
      </c>
    </row>
    <row r="55" spans="2:12" ht="15.5" customHeight="1"/>
    <row r="56" spans="2:12" ht="15.5" customHeight="1">
      <c r="B56" s="1921" t="s">
        <v>335</v>
      </c>
      <c r="C56" s="1922">
        <f>SUM(C57:C61)</f>
        <v>77938037.91128552</v>
      </c>
      <c r="D56" s="1922"/>
      <c r="E56" s="1922">
        <f>SUM(E57:E61)</f>
        <v>70941010.865769684</v>
      </c>
      <c r="F56" s="1872"/>
    </row>
    <row r="57" spans="2:12" ht="15.5" customHeight="1">
      <c r="B57" s="1694" t="s">
        <v>904</v>
      </c>
      <c r="C57" s="1695">
        <f>'расходы для PnL'!B14</f>
        <v>50425005.288461544</v>
      </c>
      <c r="D57" s="1695"/>
      <c r="E57" s="1695">
        <f>'расходы для PnL'!C14</f>
        <v>50425005.288461544</v>
      </c>
      <c r="F57" s="1873"/>
    </row>
    <row r="58" spans="2:12" ht="15.5" customHeight="1">
      <c r="B58" s="1694" t="s">
        <v>1023</v>
      </c>
      <c r="C58" s="1873">
        <f>CHOOSE($K$50,C32,C43)</f>
        <v>3533785.7142857141</v>
      </c>
      <c r="D58" s="1873"/>
      <c r="E58" s="1873">
        <f>CHOOSE($K$50,E32,E43)</f>
        <v>0</v>
      </c>
      <c r="F58" s="1873"/>
      <c r="G58" s="1696" t="s">
        <v>926</v>
      </c>
    </row>
    <row r="59" spans="2:12" ht="15.5" customHeight="1">
      <c r="B59" s="1694" t="s">
        <v>1022</v>
      </c>
      <c r="C59" s="1873">
        <f>CHOOSE($K$50,C34,C44)</f>
        <v>15267246.908538252</v>
      </c>
      <c r="D59" s="1873"/>
      <c r="E59" s="1873">
        <f>CHOOSE($K$50,E34,E44)</f>
        <v>15980005.57730815</v>
      </c>
      <c r="F59" s="1873"/>
      <c r="G59" s="1924"/>
    </row>
    <row r="60" spans="2:12" ht="15.5" customHeight="1">
      <c r="B60" s="1694" t="s">
        <v>988</v>
      </c>
      <c r="C60" s="1695">
        <f>'расходы для PnL'!B15</f>
        <v>360000</v>
      </c>
      <c r="D60" s="1695"/>
      <c r="E60" s="1695">
        <f>'расходы для PnL'!C15</f>
        <v>360000</v>
      </c>
      <c r="F60" s="1873"/>
      <c r="G60" s="1647"/>
    </row>
    <row r="61" spans="2:12" ht="15.5" customHeight="1">
      <c r="B61" s="1694" t="s">
        <v>943</v>
      </c>
      <c r="C61" s="1873">
        <f>'расходы для PnL'!B16</f>
        <v>8352000</v>
      </c>
      <c r="D61" s="1873"/>
      <c r="E61" s="1873">
        <f>'расходы для PnL'!C16</f>
        <v>4176000</v>
      </c>
      <c r="F61" s="1873"/>
      <c r="G61" s="1647"/>
    </row>
    <row r="62" spans="2:12" ht="15.5" customHeight="1"/>
    <row r="63" spans="2:12" ht="15.5" customHeight="1" thickBot="1">
      <c r="B63" s="1925" t="s">
        <v>920</v>
      </c>
      <c r="C63" s="1926">
        <f>C52-C56</f>
        <v>64088704.61228925</v>
      </c>
      <c r="D63" s="1926"/>
      <c r="E63" s="1926">
        <f>E52-E56</f>
        <v>71085731.657805085</v>
      </c>
      <c r="F63" s="1882"/>
    </row>
    <row r="64" spans="2:12" ht="15.5" customHeight="1" thickTop="1">
      <c r="B64" s="1841" t="s">
        <v>938</v>
      </c>
      <c r="C64" s="1927">
        <f>C63/C52</f>
        <v>0.45124392402121932</v>
      </c>
      <c r="D64" s="1823"/>
      <c r="E64" s="1927">
        <f>E63/E52</f>
        <v>0.50050948430367392</v>
      </c>
      <c r="F64" s="1823"/>
    </row>
    <row r="65" spans="2:8" ht="18" thickBot="1">
      <c r="B65" s="1928" t="s">
        <v>940</v>
      </c>
      <c r="C65" s="1929">
        <f>C53-C59</f>
        <v>126003495.61503652</v>
      </c>
      <c r="D65" s="1930"/>
      <c r="E65" s="1929">
        <f>E53-E59</f>
        <v>125290736.94626662</v>
      </c>
      <c r="F65" s="1931"/>
    </row>
    <row r="66" spans="2:8" ht="20" customHeight="1" thickTop="1">
      <c r="B66" s="1625" t="s">
        <v>854</v>
      </c>
      <c r="C66" s="1643">
        <f>C65/C4</f>
        <v>0.89192916639487108</v>
      </c>
      <c r="D66" s="1644"/>
      <c r="E66" s="1643">
        <f>E65/E4</f>
        <v>0.88688382823045286</v>
      </c>
      <c r="F66" s="1823"/>
      <c r="G66" s="582" t="s">
        <v>1060</v>
      </c>
      <c r="H66" s="1647"/>
    </row>
    <row r="67" spans="2:8">
      <c r="B67" s="1625"/>
      <c r="C67" s="1932"/>
      <c r="D67" s="1823"/>
      <c r="E67" s="1932"/>
      <c r="F67" s="1823"/>
    </row>
    <row r="68" spans="2:8" s="1649" customFormat="1">
      <c r="B68" s="1921" t="s">
        <v>925</v>
      </c>
      <c r="C68" s="1922"/>
      <c r="D68" s="1922"/>
      <c r="E68" s="1922"/>
      <c r="F68" s="1933"/>
      <c r="G68" s="1924"/>
    </row>
    <row r="69" spans="2:8" s="1649" customFormat="1">
      <c r="B69" s="1934" t="s">
        <v>935</v>
      </c>
      <c r="C69" s="1935">
        <f>C13*22%</f>
        <v>79200</v>
      </c>
      <c r="D69" s="1935"/>
      <c r="E69" s="1935">
        <f>E13*22%</f>
        <v>79200</v>
      </c>
      <c r="F69" s="1826"/>
      <c r="G69" s="1647"/>
      <c r="H69" s="1763"/>
    </row>
    <row r="70" spans="2:8" s="1649" customFormat="1">
      <c r="B70" s="1934" t="s">
        <v>921</v>
      </c>
      <c r="C70" s="1935">
        <f>C63*5%</f>
        <v>3204435.2306144629</v>
      </c>
      <c r="D70" s="1935"/>
      <c r="E70" s="1935">
        <f>E63*5%</f>
        <v>3554286.5828902544</v>
      </c>
      <c r="F70" s="1826"/>
      <c r="G70" s="1647"/>
    </row>
    <row r="71" spans="2:8" s="1649" customFormat="1">
      <c r="B71" s="1907" t="s">
        <v>1027</v>
      </c>
      <c r="C71" s="1936">
        <f>C70-E70</f>
        <v>-349851.35227579158</v>
      </c>
      <c r="D71" s="1937"/>
      <c r="E71" s="1938"/>
      <c r="F71" s="1826"/>
      <c r="G71" s="1647"/>
    </row>
    <row r="72" spans="2:8">
      <c r="B72" s="1660"/>
      <c r="E72" s="1650"/>
    </row>
    <row r="73" spans="2:8" ht="26">
      <c r="B73" s="1918" t="s">
        <v>865</v>
      </c>
      <c r="C73" s="1919"/>
      <c r="D73" s="1919"/>
      <c r="E73" s="1919"/>
      <c r="F73" s="1920"/>
    </row>
    <row r="74" spans="2:8">
      <c r="B74" s="1921" t="s">
        <v>575</v>
      </c>
      <c r="C74" s="1922">
        <f>SUM(C75:C77)</f>
        <v>18801032.622823965</v>
      </c>
      <c r="D74" s="1922"/>
      <c r="E74" s="1922">
        <f>SUM(E75:E77)</f>
        <v>15980005.57730815</v>
      </c>
      <c r="F74" s="1872"/>
      <c r="G74" s="1924"/>
    </row>
    <row r="75" spans="2:8">
      <c r="B75" s="1694" t="s">
        <v>851</v>
      </c>
      <c r="C75" s="1695"/>
      <c r="D75" s="1695"/>
      <c r="E75" s="1695"/>
      <c r="F75" s="1873"/>
    </row>
    <row r="76" spans="2:8" ht="34">
      <c r="B76" s="1694" t="s">
        <v>1023</v>
      </c>
      <c r="C76" s="1873">
        <f>C58</f>
        <v>3533785.7142857141</v>
      </c>
      <c r="D76" s="1873"/>
      <c r="E76" s="1873">
        <f>E58</f>
        <v>0</v>
      </c>
      <c r="F76" s="1873"/>
      <c r="G76" s="1696" t="s">
        <v>926</v>
      </c>
    </row>
    <row r="77" spans="2:8">
      <c r="B77" s="1694" t="s">
        <v>1022</v>
      </c>
      <c r="C77" s="1873">
        <f>C59</f>
        <v>15267246.908538252</v>
      </c>
      <c r="D77" s="1873"/>
      <c r="E77" s="1873">
        <f>E59</f>
        <v>15980005.57730815</v>
      </c>
      <c r="F77" s="1873"/>
      <c r="G77" s="1660"/>
    </row>
    <row r="78" spans="2:8">
      <c r="B78" s="1841"/>
      <c r="C78" s="1939"/>
      <c r="D78" s="1695"/>
      <c r="E78" s="1939"/>
      <c r="F78" s="1873"/>
    </row>
    <row r="79" spans="2:8">
      <c r="B79" s="1921" t="s">
        <v>335</v>
      </c>
      <c r="C79" s="1922">
        <f>SUM(C80:C82)</f>
        <v>17104724.019846927</v>
      </c>
      <c r="D79" s="1922"/>
      <c r="E79" s="1922">
        <f>SUM(E80:E82)</f>
        <v>14531866.876989786</v>
      </c>
      <c r="F79" s="1872"/>
      <c r="G79" s="2040"/>
    </row>
    <row r="80" spans="2:8">
      <c r="B80" s="1694" t="s">
        <v>902</v>
      </c>
      <c r="C80" s="1695">
        <f>C54</f>
        <v>756000</v>
      </c>
      <c r="D80" s="1695"/>
      <c r="E80" s="1695">
        <f>E54</f>
        <v>756000</v>
      </c>
      <c r="F80" s="1873"/>
    </row>
    <row r="81" spans="2:8">
      <c r="B81" s="1694" t="s">
        <v>1023</v>
      </c>
      <c r="C81" s="1873">
        <f>C22</f>
        <v>3072857.1428571427</v>
      </c>
      <c r="D81" s="1873"/>
      <c r="E81" s="1873">
        <v>0</v>
      </c>
      <c r="F81" s="1873"/>
    </row>
    <row r="82" spans="2:8">
      <c r="B82" s="1694" t="s">
        <v>1025</v>
      </c>
      <c r="C82" s="1873">
        <f>C18+C26+C27</f>
        <v>13275866.876989786</v>
      </c>
      <c r="D82" s="1873"/>
      <c r="E82" s="1873">
        <f>E18+E26+E27+E22</f>
        <v>13775866.876989786</v>
      </c>
      <c r="F82" s="1873"/>
    </row>
    <row r="84" spans="2:8" ht="17" thickBot="1">
      <c r="B84" s="1925" t="s">
        <v>853</v>
      </c>
      <c r="C84" s="1926">
        <f>C74-C79</f>
        <v>1696308.6029770374</v>
      </c>
      <c r="D84" s="1926"/>
      <c r="E84" s="1926">
        <f>E74-E79</f>
        <v>1448138.7003183644</v>
      </c>
      <c r="F84" s="1882"/>
    </row>
    <row r="85" spans="2:8" ht="17" hidden="1" outlineLevel="1" thickTop="1">
      <c r="B85" s="1841" t="s">
        <v>939</v>
      </c>
      <c r="C85" s="1932">
        <f>C84/C74</f>
        <v>9.0224225286315546E-2</v>
      </c>
      <c r="D85" s="1823"/>
      <c r="E85" s="1932">
        <f>E84/E74</f>
        <v>9.0621914573968815E-2</v>
      </c>
      <c r="F85" s="1823"/>
    </row>
    <row r="86" spans="2:8" ht="17" collapsed="1" thickTop="1">
      <c r="B86" s="1841" t="s">
        <v>854</v>
      </c>
      <c r="C86" s="1927">
        <f>C84/C$4</f>
        <v>1.2007501147620593E-2</v>
      </c>
      <c r="D86" s="1823"/>
      <c r="E86" s="1927">
        <f>E84/E$4</f>
        <v>1.0250804055034283E-2</v>
      </c>
      <c r="F86" s="1823"/>
    </row>
    <row r="87" spans="2:8" ht="17">
      <c r="B87" s="1841" t="s">
        <v>1061</v>
      </c>
      <c r="C87" s="1842">
        <f>C84/C79</f>
        <v>9.9171936419949203E-2</v>
      </c>
      <c r="D87" s="2052"/>
      <c r="E87" s="1842">
        <f>E84/E79</f>
        <v>9.9652626367737557E-2</v>
      </c>
      <c r="F87" s="1825"/>
      <c r="G87" s="1774" t="s">
        <v>1012</v>
      </c>
    </row>
    <row r="88" spans="2:8">
      <c r="C88" s="1939"/>
      <c r="E88" s="1939"/>
    </row>
    <row r="89" spans="2:8">
      <c r="B89" s="1877" t="s">
        <v>852</v>
      </c>
      <c r="C89" s="1940">
        <f>Воронка!R77</f>
        <v>110415090.80942813</v>
      </c>
      <c r="D89" s="1940"/>
      <c r="E89" s="1940">
        <f>C89</f>
        <v>110415090.80942813</v>
      </c>
      <c r="F89" s="1872"/>
    </row>
    <row r="90" spans="2:8" ht="17" thickBot="1">
      <c r="B90" s="1941" t="s">
        <v>855</v>
      </c>
      <c r="C90" s="1942">
        <f>C84+C89</f>
        <v>112111399.41240516</v>
      </c>
      <c r="D90" s="1942"/>
      <c r="E90" s="1942">
        <f>E84+E89</f>
        <v>111863229.50974649</v>
      </c>
      <c r="F90" s="1882"/>
    </row>
    <row r="91" spans="2:8" ht="17" thickTop="1"/>
    <row r="92" spans="2:8" s="1649" customFormat="1" ht="17" customHeight="1">
      <c r="B92" s="1921" t="s">
        <v>924</v>
      </c>
      <c r="C92" s="1922"/>
      <c r="D92" s="1922"/>
      <c r="E92" s="1922"/>
      <c r="F92" s="1933"/>
      <c r="G92" s="1647"/>
      <c r="H92" s="1763"/>
    </row>
    <row r="93" spans="2:8" s="1649" customFormat="1" ht="68" customHeight="1">
      <c r="B93" s="1934" t="s">
        <v>962</v>
      </c>
      <c r="C93" s="1935">
        <f xml:space="preserve"> (C76+C77)*22%</f>
        <v>4136227.1770212725</v>
      </c>
      <c r="D93" s="1935"/>
      <c r="E93" s="1935">
        <f xml:space="preserve"> (E76+E77)*22%</f>
        <v>3515601.2270077928</v>
      </c>
      <c r="F93" s="1826"/>
      <c r="G93" s="1985" t="s">
        <v>1086</v>
      </c>
    </row>
    <row r="94" spans="2:8" s="1649" customFormat="1" ht="17" customHeight="1">
      <c r="B94" s="1934" t="s">
        <v>922</v>
      </c>
      <c r="C94" s="1935">
        <f>C84*25%</f>
        <v>424077.15074425936</v>
      </c>
      <c r="D94" s="1935"/>
      <c r="E94" s="1935">
        <f>E84*25%</f>
        <v>362034.67507959111</v>
      </c>
      <c r="F94" s="1826"/>
      <c r="G94" s="1943"/>
    </row>
    <row r="95" spans="2:8" ht="17" customHeight="1">
      <c r="B95" s="1907" t="s">
        <v>1027</v>
      </c>
      <c r="C95" s="1944">
        <f>C94-E94</f>
        <v>62042.475664668251</v>
      </c>
      <c r="D95" s="1937"/>
      <c r="E95" s="1938"/>
      <c r="F95" s="1660"/>
      <c r="G95" s="1945"/>
    </row>
    <row r="96" spans="2:8" ht="17" customHeight="1">
      <c r="B96" s="1946"/>
      <c r="C96" s="1944"/>
      <c r="D96" s="1937"/>
      <c r="E96" s="1938"/>
      <c r="F96" s="1660"/>
      <c r="G96" s="1945"/>
    </row>
    <row r="97" spans="2:7" ht="43">
      <c r="B97" s="1703" t="s">
        <v>945</v>
      </c>
      <c r="C97" s="1704" t="s">
        <v>823</v>
      </c>
      <c r="D97" s="1704"/>
      <c r="E97" s="1704" t="s">
        <v>1053</v>
      </c>
      <c r="F97" s="1869"/>
      <c r="G97" s="1947"/>
    </row>
    <row r="98" spans="2:7" ht="26">
      <c r="B98" s="1918" t="s">
        <v>946</v>
      </c>
      <c r="C98" s="1919"/>
      <c r="D98" s="1919"/>
      <c r="E98" s="1919"/>
      <c r="F98" s="1920"/>
    </row>
    <row r="99" spans="2:7">
      <c r="B99" s="1948" t="s">
        <v>575</v>
      </c>
      <c r="C99" s="1949">
        <f>C100+C103</f>
        <v>160827775.14639872</v>
      </c>
      <c r="D99" s="1949"/>
      <c r="E99" s="1949">
        <f>E100+E103</f>
        <v>158006748.10088292</v>
      </c>
      <c r="F99" s="1872"/>
      <c r="G99" s="1924"/>
    </row>
    <row r="100" spans="2:7">
      <c r="B100" s="1950" t="s">
        <v>942</v>
      </c>
      <c r="C100" s="1922">
        <f>SUM(C101:C102)</f>
        <v>142026742.52357477</v>
      </c>
      <c r="D100" s="1922"/>
      <c r="E100" s="1922">
        <f>SUM(E101:E102)</f>
        <v>142026742.52357477</v>
      </c>
      <c r="F100" s="1872"/>
      <c r="G100" s="1924"/>
    </row>
    <row r="101" spans="2:7" ht="17">
      <c r="B101" s="1694" t="s">
        <v>851</v>
      </c>
      <c r="C101" s="1695">
        <f>C53</f>
        <v>141270742.52357477</v>
      </c>
      <c r="D101" s="1695"/>
      <c r="E101" s="1695">
        <f>E53</f>
        <v>141270742.52357477</v>
      </c>
      <c r="F101" s="1873"/>
      <c r="G101" s="1696" t="s">
        <v>941</v>
      </c>
    </row>
    <row r="102" spans="2:7" ht="17">
      <c r="B102" s="1694" t="s">
        <v>902</v>
      </c>
      <c r="C102" s="1709">
        <f>C54</f>
        <v>756000</v>
      </c>
      <c r="D102" s="1709"/>
      <c r="E102" s="1709">
        <f>E54</f>
        <v>756000</v>
      </c>
      <c r="F102" s="1827"/>
      <c r="G102" s="1696" t="s">
        <v>1085</v>
      </c>
    </row>
    <row r="103" spans="2:7">
      <c r="B103" s="1950" t="s">
        <v>865</v>
      </c>
      <c r="C103" s="1922">
        <f>C104+C105</f>
        <v>18801032.622823965</v>
      </c>
      <c r="D103" s="1922"/>
      <c r="E103" s="1922">
        <f>E104+E105</f>
        <v>15980005.57730815</v>
      </c>
      <c r="F103" s="1872"/>
      <c r="G103" s="1924"/>
    </row>
    <row r="104" spans="2:7" ht="17">
      <c r="B104" s="1694" t="s">
        <v>1023</v>
      </c>
      <c r="C104" s="1873">
        <f>C58</f>
        <v>3533785.7142857141</v>
      </c>
      <c r="D104" s="1873"/>
      <c r="E104" s="1873">
        <f>E58</f>
        <v>0</v>
      </c>
      <c r="F104" s="1873"/>
      <c r="G104" s="1696" t="s">
        <v>947</v>
      </c>
    </row>
    <row r="105" spans="2:7">
      <c r="B105" s="1694" t="s">
        <v>1022</v>
      </c>
      <c r="C105" s="1873">
        <f>C59</f>
        <v>15267246.908538252</v>
      </c>
      <c r="D105" s="1873"/>
      <c r="E105" s="1873">
        <f>E59</f>
        <v>15980005.57730815</v>
      </c>
      <c r="F105" s="1873"/>
    </row>
    <row r="106" spans="2:7">
      <c r="B106" s="1841"/>
      <c r="C106" s="1939"/>
      <c r="D106" s="1695"/>
      <c r="E106" s="1939"/>
      <c r="F106" s="1873"/>
      <c r="G106" s="1951"/>
    </row>
    <row r="107" spans="2:7">
      <c r="B107" s="1948" t="s">
        <v>335</v>
      </c>
      <c r="C107" s="1949">
        <f>C108+C114</f>
        <v>95042761.931132451</v>
      </c>
      <c r="D107" s="1949"/>
      <c r="E107" s="1949">
        <f>E108+E114</f>
        <v>85472877.742759466</v>
      </c>
      <c r="F107" s="1872"/>
    </row>
    <row r="108" spans="2:7">
      <c r="B108" s="1950" t="s">
        <v>942</v>
      </c>
      <c r="C108" s="1922">
        <f>SUM(C109:C113)</f>
        <v>77938037.91128552</v>
      </c>
      <c r="D108" s="1922"/>
      <c r="E108" s="1922">
        <f>SUM(E109:E113)</f>
        <v>70941010.865769684</v>
      </c>
      <c r="F108" s="1872"/>
      <c r="G108" s="1924"/>
    </row>
    <row r="109" spans="2:7">
      <c r="B109" s="1694" t="str">
        <f>B57</f>
        <v>Sales команда МПСтатс</v>
      </c>
      <c r="C109" s="1695">
        <f>C57</f>
        <v>50425005.288461544</v>
      </c>
      <c r="D109" s="1695"/>
      <c r="E109" s="1695">
        <f>E57</f>
        <v>50425005.288461544</v>
      </c>
      <c r="F109" s="1873"/>
    </row>
    <row r="110" spans="2:7" ht="17">
      <c r="B110" s="1694" t="s">
        <v>1023</v>
      </c>
      <c r="C110" s="1873">
        <f>C58</f>
        <v>3533785.7142857141</v>
      </c>
      <c r="D110" s="1873"/>
      <c r="E110" s="1873">
        <f>E58</f>
        <v>0</v>
      </c>
      <c r="F110" s="1873"/>
      <c r="G110" s="1696" t="s">
        <v>1049</v>
      </c>
    </row>
    <row r="111" spans="2:7" ht="17">
      <c r="B111" s="1694" t="s">
        <v>1022</v>
      </c>
      <c r="C111" s="1873">
        <f>C59</f>
        <v>15267246.908538252</v>
      </c>
      <c r="D111" s="1873"/>
      <c r="E111" s="1873">
        <f>E59</f>
        <v>15980005.57730815</v>
      </c>
      <c r="F111" s="1873"/>
      <c r="G111" s="1696" t="s">
        <v>1050</v>
      </c>
    </row>
    <row r="112" spans="2:7">
      <c r="B112" s="1694" t="s">
        <v>988</v>
      </c>
      <c r="C112" s="1695">
        <f>C60</f>
        <v>360000</v>
      </c>
      <c r="D112" s="1695"/>
      <c r="E112" s="1695">
        <f>E60</f>
        <v>360000</v>
      </c>
      <c r="F112" s="1828"/>
      <c r="G112" s="1706"/>
    </row>
    <row r="113" spans="2:7">
      <c r="B113" s="1694" t="s">
        <v>943</v>
      </c>
      <c r="C113" s="1695">
        <f>C61</f>
        <v>8352000</v>
      </c>
      <c r="D113" s="1695"/>
      <c r="E113" s="1695">
        <f>E61</f>
        <v>4176000</v>
      </c>
      <c r="F113" s="1828"/>
      <c r="G113" s="1706"/>
    </row>
    <row r="114" spans="2:7">
      <c r="B114" s="1950" t="s">
        <v>865</v>
      </c>
      <c r="C114" s="1922">
        <f>SUM(C115:C117)</f>
        <v>17104724.019846927</v>
      </c>
      <c r="D114" s="1922"/>
      <c r="E114" s="1922">
        <f>SUM(E115:E117)</f>
        <v>14531866.876989786</v>
      </c>
      <c r="F114" s="1872"/>
      <c r="G114" s="1924"/>
    </row>
    <row r="115" spans="2:7" ht="17">
      <c r="B115" s="1694" t="s">
        <v>902</v>
      </c>
      <c r="C115" s="1695">
        <f>C80</f>
        <v>756000</v>
      </c>
      <c r="D115" s="1695"/>
      <c r="E115" s="1695">
        <f>E80</f>
        <v>756000</v>
      </c>
      <c r="F115" s="1873"/>
      <c r="G115" s="1696" t="s">
        <v>971</v>
      </c>
    </row>
    <row r="116" spans="2:7">
      <c r="B116" s="1694" t="s">
        <v>1024</v>
      </c>
      <c r="C116" s="1873">
        <f>C81</f>
        <v>3072857.1428571427</v>
      </c>
      <c r="D116" s="1873"/>
      <c r="E116" s="1873">
        <f>E81</f>
        <v>0</v>
      </c>
      <c r="F116" s="1873"/>
      <c r="G116" s="1636" t="s">
        <v>1047</v>
      </c>
    </row>
    <row r="117" spans="2:7">
      <c r="B117" s="1694" t="s">
        <v>1141</v>
      </c>
      <c r="C117" s="1873">
        <f>C82</f>
        <v>13275866.876989786</v>
      </c>
      <c r="D117" s="1873"/>
      <c r="E117" s="1873">
        <f>E82</f>
        <v>13775866.876989786</v>
      </c>
      <c r="F117" s="1873"/>
      <c r="G117" s="1636" t="s">
        <v>1048</v>
      </c>
    </row>
    <row r="119" spans="2:7" ht="17" thickBot="1">
      <c r="B119" s="1925" t="s">
        <v>970</v>
      </c>
      <c r="C119" s="1926">
        <f>C99-C107</f>
        <v>65785013.215266272</v>
      </c>
      <c r="D119" s="1926"/>
      <c r="E119" s="1926">
        <f>E99-E107</f>
        <v>72533870.358123451</v>
      </c>
      <c r="F119" s="1882"/>
    </row>
    <row r="120" spans="2:7" ht="17" thickTop="1">
      <c r="B120" s="1841" t="s">
        <v>961</v>
      </c>
      <c r="C120" s="1927">
        <f>C119/C99</f>
        <v>0.40904012478804314</v>
      </c>
      <c r="D120" s="1823"/>
      <c r="E120" s="1927">
        <f>E119/E99</f>
        <v>0.459055522817371</v>
      </c>
      <c r="G120" s="1636"/>
    </row>
    <row r="121" spans="2:7">
      <c r="B121" s="1952" t="s">
        <v>975</v>
      </c>
      <c r="C121" s="1953">
        <f>C100-C108</f>
        <v>64088704.61228925</v>
      </c>
      <c r="D121" s="1953"/>
      <c r="E121" s="1953">
        <f>E100-E108</f>
        <v>71085731.657805085</v>
      </c>
      <c r="F121" s="1877"/>
      <c r="G121" s="1636"/>
    </row>
    <row r="122" spans="2:7">
      <c r="B122" s="1952" t="s">
        <v>966</v>
      </c>
      <c r="C122" s="1953">
        <f>C103-C114</f>
        <v>1696308.6029770374</v>
      </c>
      <c r="D122" s="1953"/>
      <c r="E122" s="1953">
        <f>E103-E114</f>
        <v>1448138.7003183644</v>
      </c>
      <c r="F122" s="1877"/>
      <c r="G122" s="1636"/>
    </row>
    <row r="123" spans="2:7" ht="17" thickBot="1">
      <c r="B123" s="1925" t="s">
        <v>967</v>
      </c>
      <c r="C123" s="1926">
        <f>C89</f>
        <v>110415090.80942813</v>
      </c>
      <c r="D123" s="1926"/>
      <c r="E123" s="1926">
        <f>E89</f>
        <v>110415090.80942813</v>
      </c>
      <c r="F123" s="1877"/>
      <c r="G123" s="1636" t="s">
        <v>969</v>
      </c>
    </row>
    <row r="124" spans="2:7" ht="18" thickTop="1" thickBot="1">
      <c r="B124" s="1954" t="s">
        <v>968</v>
      </c>
      <c r="C124" s="1955">
        <f>SUM(C121:C123)</f>
        <v>176200104.02469441</v>
      </c>
      <c r="D124" s="1955"/>
      <c r="E124" s="1955">
        <f>SUM(E121:E123)</f>
        <v>182948961.16755158</v>
      </c>
      <c r="F124" s="1877"/>
      <c r="G124" s="1636"/>
    </row>
    <row r="125" spans="2:7" ht="17" thickTop="1">
      <c r="B125" s="2047" t="s">
        <v>976</v>
      </c>
      <c r="C125" s="2046">
        <f>C124-E124</f>
        <v>-6748857.1428571641</v>
      </c>
      <c r="E125" s="1936"/>
      <c r="G125" s="1636"/>
    </row>
    <row r="126" spans="2:7" ht="17" thickBot="1">
      <c r="B126" s="1907"/>
      <c r="C126" s="1957"/>
      <c r="E126" s="1936"/>
      <c r="G126" s="1636"/>
    </row>
    <row r="127" spans="2:7" ht="43">
      <c r="B127" s="1759" t="s">
        <v>1036</v>
      </c>
      <c r="C127" s="1704" t="s">
        <v>823</v>
      </c>
      <c r="D127" s="1704"/>
      <c r="E127" s="1704" t="s">
        <v>1053</v>
      </c>
      <c r="G127" s="1636"/>
    </row>
    <row r="128" spans="2:7" ht="21">
      <c r="B128" s="1958" t="s">
        <v>957</v>
      </c>
      <c r="C128" s="1959">
        <f>C101</f>
        <v>141270742.52357477</v>
      </c>
      <c r="D128" s="1959"/>
      <c r="E128" s="1960">
        <f>E101</f>
        <v>141270742.52357477</v>
      </c>
      <c r="F128" s="1961">
        <f t="shared" ref="F128" si="1">F101</f>
        <v>0</v>
      </c>
    </row>
    <row r="129" spans="2:7">
      <c r="B129" s="1952" t="s">
        <v>956</v>
      </c>
      <c r="C129" s="1953">
        <f>C128-C133-C131</f>
        <v>122469709.9007508</v>
      </c>
      <c r="D129" s="1953"/>
      <c r="E129" s="1962">
        <f>E128-E133-E131</f>
        <v>125290736.94626662</v>
      </c>
      <c r="F129" s="1877"/>
      <c r="G129" s="1636"/>
    </row>
    <row r="130" spans="2:7">
      <c r="B130" s="1963" t="s">
        <v>958</v>
      </c>
      <c r="C130" s="2043">
        <f>C129/C$128</f>
        <v>0.86691488777524817</v>
      </c>
      <c r="D130" s="2043"/>
      <c r="E130" s="2050">
        <f>E129/E$128</f>
        <v>0.88688382823045286</v>
      </c>
      <c r="G130" s="1636"/>
    </row>
    <row r="131" spans="2:7">
      <c r="B131" s="1952" t="s">
        <v>1030</v>
      </c>
      <c r="C131" s="1953">
        <f>C104</f>
        <v>3533785.7142857141</v>
      </c>
      <c r="D131" s="1953"/>
      <c r="E131" s="1962">
        <f>E104</f>
        <v>0</v>
      </c>
      <c r="G131" s="1636"/>
    </row>
    <row r="132" spans="2:7">
      <c r="B132" s="1963" t="s">
        <v>959</v>
      </c>
      <c r="C132" s="2049">
        <f>C131/C$128</f>
        <v>2.5014278619622944E-2</v>
      </c>
      <c r="D132" s="1966"/>
      <c r="E132" s="1967">
        <f>E131/E$128</f>
        <v>0</v>
      </c>
    </row>
    <row r="133" spans="2:7">
      <c r="B133" s="1952" t="s">
        <v>1127</v>
      </c>
      <c r="C133" s="1953">
        <f>C105</f>
        <v>15267246.908538252</v>
      </c>
      <c r="D133" s="1953"/>
      <c r="E133" s="1962">
        <f>E105</f>
        <v>15980005.57730815</v>
      </c>
      <c r="F133" s="1877"/>
      <c r="G133" s="1636"/>
    </row>
    <row r="134" spans="2:7" ht="17" thickBot="1">
      <c r="B134" s="1968" t="s">
        <v>959</v>
      </c>
      <c r="C134" s="2003">
        <f>C133/C$128</f>
        <v>0.10807083360512887</v>
      </c>
      <c r="D134" s="2003"/>
      <c r="E134" s="2004">
        <f>E133/E$128</f>
        <v>0.11311617176954714</v>
      </c>
    </row>
    <row r="135" spans="2:7" ht="17" thickBot="1">
      <c r="B135" s="1971"/>
      <c r="C135" s="1966"/>
      <c r="D135" s="1964"/>
      <c r="E135" s="1966"/>
    </row>
    <row r="136" spans="2:7" ht="26">
      <c r="B136" s="1759" t="s">
        <v>1037</v>
      </c>
      <c r="C136" s="1760"/>
      <c r="D136" s="1760"/>
      <c r="E136" s="1972"/>
      <c r="G136" s="1887" t="s">
        <v>960</v>
      </c>
    </row>
    <row r="137" spans="2:7">
      <c r="B137" s="1952" t="s">
        <v>1030</v>
      </c>
      <c r="C137" s="1953">
        <f>C131</f>
        <v>3533785.7142857141</v>
      </c>
      <c r="D137" s="1953"/>
      <c r="E137" s="1962">
        <f>E131</f>
        <v>0</v>
      </c>
    </row>
    <row r="138" spans="2:7">
      <c r="B138" s="1963" t="s">
        <v>1038</v>
      </c>
      <c r="C138" s="2049">
        <f>C132</f>
        <v>2.5014278619622944E-2</v>
      </c>
      <c r="D138" s="1964"/>
      <c r="E138" s="1965">
        <f>E132</f>
        <v>0</v>
      </c>
      <c r="G138" s="2009" t="s">
        <v>1137</v>
      </c>
    </row>
    <row r="139" spans="2:7">
      <c r="B139" s="1973" t="s">
        <v>1077</v>
      </c>
      <c r="C139" s="1974">
        <f>C133</f>
        <v>15267246.908538252</v>
      </c>
      <c r="D139" s="1974"/>
      <c r="E139" s="1975">
        <f>E133</f>
        <v>15980005.57730815</v>
      </c>
    </row>
    <row r="140" spans="2:7" hidden="1" outlineLevel="1">
      <c r="B140" s="1963" t="s">
        <v>1041</v>
      </c>
      <c r="C140" s="1964">
        <f>C$139/C5</f>
        <v>0.10977733087199361</v>
      </c>
      <c r="D140" s="1964"/>
      <c r="E140" s="1965">
        <f>E$139/E5</f>
        <v>0.11490233767133189</v>
      </c>
    </row>
    <row r="141" spans="2:7" hidden="1" outlineLevel="1">
      <c r="B141" s="1963" t="s">
        <v>1039</v>
      </c>
      <c r="C141" s="1964">
        <f>C$139/C6</f>
        <v>0.20897084843841965</v>
      </c>
      <c r="D141" s="1964"/>
      <c r="E141" s="1965">
        <f>E$139/E6</f>
        <v>0.21872675168914821</v>
      </c>
    </row>
    <row r="142" spans="2:7" ht="18" collapsed="1" thickBot="1">
      <c r="B142" s="2044" t="s">
        <v>1128</v>
      </c>
      <c r="C142" s="2003">
        <f>C$139/C7</f>
        <v>0.17976230404182189</v>
      </c>
      <c r="D142" s="2003"/>
      <c r="E142" s="2004">
        <f>E$139/E7</f>
        <v>0.18815459253308897</v>
      </c>
      <c r="G142" s="1924" t="s">
        <v>1138</v>
      </c>
    </row>
    <row r="143" spans="2:7" ht="34">
      <c r="B143" s="2045" t="s">
        <v>1139</v>
      </c>
      <c r="C143" s="2042">
        <f>ROUNDDOWN(100%-C142-C138,10)</f>
        <v>0.79522341730000001</v>
      </c>
      <c r="D143" s="2051"/>
      <c r="E143" s="1977">
        <f>100%-E142</f>
        <v>0.81184540746691103</v>
      </c>
      <c r="G143" s="1647" t="s">
        <v>1125</v>
      </c>
    </row>
    <row r="144" spans="2:7">
      <c r="B144" s="1979"/>
      <c r="C144" s="2048"/>
      <c r="D144" s="2006"/>
      <c r="E144" s="2005"/>
    </row>
    <row r="145" spans="2:7">
      <c r="B145" s="1979"/>
      <c r="C145" s="2007"/>
      <c r="D145" s="2006"/>
      <c r="E145" s="2007"/>
    </row>
    <row r="146" spans="2:7">
      <c r="B146" s="1878" t="s">
        <v>949</v>
      </c>
      <c r="C146" s="1888"/>
      <c r="D146" s="1888"/>
      <c r="E146" s="1888"/>
      <c r="G146" s="1647"/>
    </row>
    <row r="147" spans="2:7" ht="17">
      <c r="B147" s="1980" t="s">
        <v>954</v>
      </c>
      <c r="C147" s="1981"/>
      <c r="D147" s="1981"/>
      <c r="E147" s="1982"/>
      <c r="G147" s="1983" t="s">
        <v>963</v>
      </c>
    </row>
    <row r="148" spans="2:7" ht="17">
      <c r="B148" s="1845" t="s">
        <v>1081</v>
      </c>
      <c r="C148" s="1846">
        <f>C69</f>
        <v>79200</v>
      </c>
      <c r="D148" s="1846"/>
      <c r="E148" s="1984">
        <f>E69</f>
        <v>79200</v>
      </c>
      <c r="G148" s="1985" t="s">
        <v>965</v>
      </c>
    </row>
    <row r="149" spans="2:7" ht="17">
      <c r="B149" s="1845" t="s">
        <v>1082</v>
      </c>
      <c r="C149" s="1846">
        <f>C110*22%</f>
        <v>777432.85714285716</v>
      </c>
      <c r="D149" s="1846"/>
      <c r="E149" s="1984">
        <f>E110*22%</f>
        <v>0</v>
      </c>
      <c r="G149" s="1985" t="s">
        <v>1083</v>
      </c>
    </row>
    <row r="150" spans="2:7" ht="51">
      <c r="B150" s="1987" t="s">
        <v>1062</v>
      </c>
      <c r="C150" s="1847">
        <f>C111*22%</f>
        <v>3358794.3198784157</v>
      </c>
      <c r="D150" s="1847"/>
      <c r="E150" s="1988">
        <f>E111*22%</f>
        <v>3515601.2270077928</v>
      </c>
      <c r="G150" s="1985" t="s">
        <v>1080</v>
      </c>
    </row>
    <row r="151" spans="2:7">
      <c r="B151" s="1980" t="s">
        <v>948</v>
      </c>
      <c r="C151" s="1981">
        <f>SUM(C152:C153)</f>
        <v>3628512.3813587222</v>
      </c>
      <c r="D151" s="1981"/>
      <c r="E151" s="1982">
        <f>SUM(E152:E153)</f>
        <v>3916321.2579698456</v>
      </c>
      <c r="F151" s="1986"/>
    </row>
    <row r="152" spans="2:7" ht="17">
      <c r="B152" s="1845" t="s">
        <v>952</v>
      </c>
      <c r="C152" s="1846">
        <f>C70</f>
        <v>3204435.2306144629</v>
      </c>
      <c r="D152" s="1846"/>
      <c r="E152" s="1984">
        <f>E70</f>
        <v>3554286.5828902544</v>
      </c>
      <c r="F152" s="1986"/>
      <c r="G152" s="1985" t="s">
        <v>964</v>
      </c>
    </row>
    <row r="153" spans="2:7">
      <c r="B153" s="1987" t="s">
        <v>953</v>
      </c>
      <c r="C153" s="1847">
        <f>C94</f>
        <v>424077.15074425936</v>
      </c>
      <c r="D153" s="1847"/>
      <c r="E153" s="1988">
        <f>E94</f>
        <v>362034.67507959111</v>
      </c>
      <c r="F153" s="1986"/>
    </row>
    <row r="154" spans="2:7" s="1907" customFormat="1">
      <c r="E154" s="1990"/>
      <c r="G154" s="1991"/>
    </row>
    <row r="155" spans="2:7">
      <c r="B155" s="2047" t="s">
        <v>973</v>
      </c>
      <c r="C155" s="2046">
        <f>C151-E151</f>
        <v>-287808.87661112333</v>
      </c>
      <c r="E155" s="1992"/>
    </row>
    <row r="156" spans="2:7">
      <c r="B156" s="2047" t="s">
        <v>1160</v>
      </c>
      <c r="C156" s="2085">
        <f>C149+C150-E150</f>
        <v>620625.95001348015</v>
      </c>
      <c r="E156" s="1944"/>
      <c r="G156" s="1993"/>
    </row>
    <row r="157" spans="2:7">
      <c r="B157" s="2086" t="s">
        <v>1161</v>
      </c>
      <c r="C157" s="2085">
        <f>C156+C155</f>
        <v>332817.07340235682</v>
      </c>
      <c r="G157" s="1994"/>
    </row>
  </sheetData>
  <mergeCells count="1">
    <mergeCell ref="B2:B3"/>
  </mergeCells>
  <conditionalFormatting sqref="B78">
    <cfRule type="cellIs" dxfId="82" priority="10" operator="lessThan">
      <formula>0</formula>
    </cfRule>
  </conditionalFormatting>
  <conditionalFormatting sqref="B95 D95:E95 B96:E96">
    <cfRule type="cellIs" dxfId="81" priority="11" operator="lessThan">
      <formula>0</formula>
    </cfRule>
  </conditionalFormatting>
  <conditionalFormatting sqref="B106">
    <cfRule type="cellIs" dxfId="80" priority="9" operator="lessThan">
      <formula>0</formula>
    </cfRule>
  </conditionalFormatting>
  <conditionalFormatting sqref="B120">
    <cfRule type="cellIs" dxfId="79" priority="7" operator="lessThan">
      <formula>0</formula>
    </cfRule>
  </conditionalFormatting>
  <conditionalFormatting sqref="B125:B126">
    <cfRule type="cellIs" dxfId="78" priority="6" operator="lessThan">
      <formula>0</formula>
    </cfRule>
  </conditionalFormatting>
  <conditionalFormatting sqref="B64:F64 B85:F86">
    <cfRule type="cellIs" dxfId="77" priority="16" operator="lessThan">
      <formula>0</formula>
    </cfRule>
  </conditionalFormatting>
  <conditionalFormatting sqref="B66:F67 F68:F70 B71 D71:F71">
    <cfRule type="cellIs" dxfId="76" priority="13" operator="lessThan">
      <formula>0</formula>
    </cfRule>
  </conditionalFormatting>
  <conditionalFormatting sqref="C95">
    <cfRule type="cellIs" dxfId="75" priority="5" operator="lessThan">
      <formula>$C$96</formula>
    </cfRule>
  </conditionalFormatting>
  <conditionalFormatting sqref="C130:E130">
    <cfRule type="dataBar" priority="3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{3657BEA1-65AF-2E44-AF90-4B21CC3809A7}</x14:id>
        </ext>
      </extLst>
    </cfRule>
  </conditionalFormatting>
  <conditionalFormatting sqref="C132:E132">
    <cfRule type="dataBar" priority="2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{C0270F34-3A8D-2445-AE42-B3B3F4A7C3AE}</x14:id>
        </ext>
      </extLst>
    </cfRule>
  </conditionalFormatting>
  <conditionalFormatting sqref="C134:E134">
    <cfRule type="dataBar" priority="1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{3CED1423-1DF7-0048-A914-6A91276B8F9A}</x14:id>
        </ext>
      </extLst>
    </cfRule>
  </conditionalFormatting>
  <conditionalFormatting sqref="C63:F67 B87">
    <cfRule type="cellIs" dxfId="74" priority="14" operator="lessThan">
      <formula>0</formula>
    </cfRule>
  </conditionalFormatting>
  <conditionalFormatting sqref="C84:F84">
    <cfRule type="cellIs" dxfId="73" priority="15" operator="lessThan">
      <formula>0</formula>
    </cfRule>
  </conditionalFormatting>
  <conditionalFormatting sqref="C119:F119">
    <cfRule type="cellIs" dxfId="72" priority="8" operator="lessThan">
      <formula>0</formula>
    </cfRule>
  </conditionalFormatting>
  <conditionalFormatting sqref="C130 E130 E134:E135 C132 E132 C134:C135">
    <cfRule type="dataBar" priority="17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{307010AC-E5AC-024C-A72B-E9F08033A70B}</x14:id>
        </ext>
      </extLst>
    </cfRule>
  </conditionalFormatting>
  <conditionalFormatting sqref="E138 C138 C140:C142 E140:E142">
    <cfRule type="dataBar" priority="4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{7AA740A4-57A3-6640-8D1D-0DE31791BDCA}</x14:id>
        </ext>
      </extLst>
    </cfRule>
  </conditionalFormatting>
  <conditionalFormatting sqref="F92:F94">
    <cfRule type="cellIs" dxfId="71" priority="12" operator="lessThan">
      <formula>0</formula>
    </cfRule>
  </conditionalFormatting>
  <dataValidations disablePrompts="1" count="1">
    <dataValidation type="list" allowBlank="1" showInputMessage="1" showErrorMessage="1" sqref="K50" xr:uid="{EAC13EAB-D271-C647-8E48-91C8EF108434}">
      <formula1>"1,2"</formula1>
    </dataValidation>
  </dataValidations>
  <pageMargins left="0.7" right="0.7" top="0.75" bottom="0.75" header="0.3" footer="0.3"/>
  <legacy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657BEA1-65AF-2E44-AF90-4B21CC3809A7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C130:E130</xm:sqref>
        </x14:conditionalFormatting>
        <x14:conditionalFormatting xmlns:xm="http://schemas.microsoft.com/office/excel/2006/main">
          <x14:cfRule type="dataBar" id="{C0270F34-3A8D-2445-AE42-B3B3F4A7C3AE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C132:E132</xm:sqref>
        </x14:conditionalFormatting>
        <x14:conditionalFormatting xmlns:xm="http://schemas.microsoft.com/office/excel/2006/main">
          <x14:cfRule type="dataBar" id="{3CED1423-1DF7-0048-A914-6A91276B8F9A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C134:E134</xm:sqref>
        </x14:conditionalFormatting>
        <x14:conditionalFormatting xmlns:xm="http://schemas.microsoft.com/office/excel/2006/main">
          <x14:cfRule type="dataBar" id="{307010AC-E5AC-024C-A72B-E9F08033A70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C130 E130 E134:E135 C132 E132 C134:C135</xm:sqref>
        </x14:conditionalFormatting>
        <x14:conditionalFormatting xmlns:xm="http://schemas.microsoft.com/office/excel/2006/main">
          <x14:cfRule type="dataBar" id="{7AA740A4-57A3-6640-8D1D-0DE31791BDCA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E138 C138 C140:C142 E140:E142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434B6E-A8AA-674B-AEB8-4FE8740F04ED}">
  <sheetPr>
    <tabColor theme="5" tint="0.79998168889431442"/>
  </sheetPr>
  <dimension ref="A1:L158"/>
  <sheetViews>
    <sheetView topLeftCell="B1" workbookViewId="0">
      <selection activeCell="G12" sqref="G12"/>
    </sheetView>
  </sheetViews>
  <sheetFormatPr baseColWidth="10" defaultColWidth="10.6640625" defaultRowHeight="16" outlineLevelRow="1" outlineLevelCol="1"/>
  <cols>
    <col min="1" max="1" width="70.6640625" style="1636" hidden="1" customWidth="1" outlineLevel="1"/>
    <col min="2" max="2" width="77.5" style="1636" customWidth="1" collapsed="1"/>
    <col min="3" max="3" width="19.1640625" style="1636" customWidth="1"/>
    <col min="4" max="4" width="1.1640625" style="1636" customWidth="1"/>
    <col min="5" max="5" width="19.33203125" style="1636" customWidth="1"/>
    <col min="6" max="6" width="1.33203125" style="1636" customWidth="1"/>
    <col min="7" max="7" width="81.5" style="1696" customWidth="1"/>
    <col min="8" max="8" width="41.83203125" style="1636" customWidth="1"/>
    <col min="9" max="10" width="3.33203125" style="1636" customWidth="1"/>
    <col min="11" max="16384" width="10.6640625" style="1636"/>
  </cols>
  <sheetData>
    <row r="1" spans="1:9" ht="26" customHeight="1">
      <c r="B1" s="1703"/>
      <c r="C1" s="1865"/>
      <c r="D1" s="1865"/>
      <c r="E1" s="1865"/>
      <c r="G1" s="1866" t="s">
        <v>864</v>
      </c>
      <c r="H1" s="94"/>
    </row>
    <row r="2" spans="1:9" ht="17">
      <c r="B2" s="2089" t="s">
        <v>1036</v>
      </c>
      <c r="C2" s="1867" t="s">
        <v>822</v>
      </c>
      <c r="D2" s="1867"/>
      <c r="E2" s="1867" t="s">
        <v>825</v>
      </c>
      <c r="F2" s="1868"/>
      <c r="G2" s="1612" t="s">
        <v>1133</v>
      </c>
    </row>
    <row r="3" spans="1:9" s="1696" customFormat="1" ht="44.5" customHeight="1">
      <c r="B3" s="2089"/>
      <c r="C3" s="1704" t="s">
        <v>823</v>
      </c>
      <c r="D3" s="1704"/>
      <c r="E3" s="1704" t="s">
        <v>1053</v>
      </c>
      <c r="F3" s="1869"/>
    </row>
    <row r="4" spans="1:9" ht="19">
      <c r="A4" s="1022" t="s">
        <v>792</v>
      </c>
      <c r="B4" s="1870" t="s">
        <v>1058</v>
      </c>
      <c r="C4" s="1871" t="e">
        <f>Воронка!#REF!</f>
        <v>#REF!</v>
      </c>
      <c r="D4" s="1871"/>
      <c r="E4" s="1871" t="e">
        <f>Воронка!#REF!</f>
        <v>#REF!</v>
      </c>
      <c r="F4" s="1872"/>
    </row>
    <row r="5" spans="1:9" hidden="1" outlineLevel="1">
      <c r="B5" s="1636" t="s">
        <v>1042</v>
      </c>
      <c r="C5" s="1873">
        <f>'период вознаграждения'!G6</f>
        <v>139074677.68860859</v>
      </c>
      <c r="D5" s="1873"/>
      <c r="E5" s="1873">
        <f>C5</f>
        <v>139074677.68860859</v>
      </c>
      <c r="F5" s="1873"/>
    </row>
    <row r="6" spans="1:9" hidden="1" outlineLevel="1">
      <c r="B6" s="1636" t="s">
        <v>1029</v>
      </c>
      <c r="C6" s="1873">
        <f>'период вознаграждения'!M6</f>
        <v>73059218.654784113</v>
      </c>
      <c r="D6" s="1873"/>
      <c r="E6" s="1873">
        <f>C6</f>
        <v>73059218.654784113</v>
      </c>
      <c r="F6" s="1873"/>
    </row>
    <row r="7" spans="1:9" ht="85" collapsed="1">
      <c r="B7" s="1660" t="s">
        <v>1074</v>
      </c>
      <c r="C7" s="1826">
        <f>'период вознаграждения'!T6</f>
        <v>84930191.509930313</v>
      </c>
      <c r="D7" s="1826"/>
      <c r="E7" s="1826">
        <f>C7</f>
        <v>84930191.509930313</v>
      </c>
      <c r="F7" s="1873"/>
      <c r="G7" s="1612" t="s">
        <v>1123</v>
      </c>
    </row>
    <row r="8" spans="1:9">
      <c r="B8" s="1763"/>
      <c r="C8" s="1873"/>
      <c r="D8" s="1873"/>
      <c r="E8" s="1873"/>
      <c r="F8" s="1873"/>
    </row>
    <row r="9" spans="1:9" ht="26">
      <c r="B9" s="1703" t="s">
        <v>788</v>
      </c>
      <c r="C9" s="1874"/>
      <c r="D9" s="1874"/>
      <c r="E9" s="1874"/>
      <c r="F9" s="1873"/>
    </row>
    <row r="10" spans="1:9" ht="19">
      <c r="B10" s="1875" t="s">
        <v>834</v>
      </c>
      <c r="C10" s="1876"/>
      <c r="D10" s="1876"/>
      <c r="E10" s="1876"/>
      <c r="F10" s="1873"/>
      <c r="H10" s="1877"/>
      <c r="I10" s="1877"/>
    </row>
    <row r="11" spans="1:9" ht="34">
      <c r="B11" s="1878" t="s">
        <v>831</v>
      </c>
      <c r="C11" s="1879" t="s">
        <v>862</v>
      </c>
      <c r="D11" s="1878"/>
      <c r="E11" s="1879" t="s">
        <v>862</v>
      </c>
      <c r="F11" s="1877"/>
      <c r="H11" s="1877"/>
      <c r="I11" s="1877"/>
    </row>
    <row r="12" spans="1:9" ht="51">
      <c r="A12" s="1543" t="s">
        <v>806</v>
      </c>
      <c r="B12" s="1864" t="s">
        <v>1126</v>
      </c>
      <c r="C12" s="1826">
        <v>396000</v>
      </c>
      <c r="D12" s="1826"/>
      <c r="E12" s="1826">
        <f>C12</f>
        <v>396000</v>
      </c>
      <c r="F12" s="1873"/>
      <c r="G12" s="1647" t="s">
        <v>1135</v>
      </c>
      <c r="H12" s="1647"/>
    </row>
    <row r="13" spans="1:9" ht="19">
      <c r="A13" s="1544" t="s">
        <v>805</v>
      </c>
      <c r="B13" s="1694" t="s">
        <v>828</v>
      </c>
      <c r="C13" s="1873">
        <f>'доп расходы_свод'!C17</f>
        <v>360000</v>
      </c>
      <c r="D13" s="1873"/>
      <c r="E13" s="1873">
        <f>C13</f>
        <v>360000</v>
      </c>
      <c r="F13" s="1873"/>
      <c r="G13" s="1696" t="s">
        <v>1104</v>
      </c>
    </row>
    <row r="14" spans="1:9" ht="20" thickBot="1">
      <c r="A14" s="39" t="s">
        <v>804</v>
      </c>
      <c r="B14" s="1880" t="s">
        <v>847</v>
      </c>
      <c r="C14" s="1881">
        <f>C12+C13</f>
        <v>756000</v>
      </c>
      <c r="D14" s="1881"/>
      <c r="E14" s="1881">
        <f>E12+E13</f>
        <v>756000</v>
      </c>
      <c r="F14" s="1882"/>
      <c r="G14" s="1883" t="s">
        <v>830</v>
      </c>
    </row>
    <row r="15" spans="1:9" ht="20" thickTop="1">
      <c r="A15" s="139"/>
      <c r="B15" s="1884" t="s">
        <v>854</v>
      </c>
      <c r="C15" s="1885" t="e">
        <f>C14/C$4</f>
        <v>#REF!</v>
      </c>
      <c r="D15" s="1886"/>
      <c r="E15" s="1885" t="e">
        <f>E14/E$4</f>
        <v>#REF!</v>
      </c>
      <c r="F15" s="1887"/>
    </row>
    <row r="16" spans="1:9" ht="19">
      <c r="A16" s="139"/>
      <c r="B16" s="1875" t="s">
        <v>833</v>
      </c>
      <c r="C16" s="1870"/>
      <c r="D16" s="1870"/>
      <c r="E16" s="1870"/>
      <c r="F16" s="1877"/>
    </row>
    <row r="17" spans="1:7" ht="51">
      <c r="A17" s="2"/>
      <c r="B17" s="1878" t="s">
        <v>831</v>
      </c>
      <c r="C17" s="1879" t="s">
        <v>832</v>
      </c>
      <c r="D17" s="1878"/>
      <c r="E17" s="1879" t="s">
        <v>845</v>
      </c>
      <c r="F17" s="1877"/>
    </row>
    <row r="18" spans="1:7" ht="19">
      <c r="A18" s="1545" t="s">
        <v>786</v>
      </c>
      <c r="B18" s="1878" t="s">
        <v>835</v>
      </c>
      <c r="C18" s="1888" t="e">
        <f>SUM(C19:C21)</f>
        <v>#REF!</v>
      </c>
      <c r="D18" s="1888"/>
      <c r="E18" s="1888" t="e">
        <f>SUM(E19:E21)</f>
        <v>#REF!</v>
      </c>
      <c r="F18" s="1872"/>
    </row>
    <row r="19" spans="1:7" ht="19">
      <c r="A19" s="39" t="s">
        <v>808</v>
      </c>
      <c r="B19" s="1694" t="s">
        <v>836</v>
      </c>
      <c r="C19" s="1695" t="e">
        <f>Воронка!#REF!</f>
        <v>#REF!</v>
      </c>
      <c r="D19" s="1695"/>
      <c r="E19" s="1695" t="e">
        <f>Воронка!#REF!</f>
        <v>#REF!</v>
      </c>
      <c r="F19" s="1873"/>
      <c r="G19" s="1924" t="s">
        <v>1124</v>
      </c>
    </row>
    <row r="20" spans="1:7" ht="19">
      <c r="A20" s="39" t="s">
        <v>809</v>
      </c>
      <c r="B20" s="1694" t="s">
        <v>839</v>
      </c>
      <c r="C20" s="1695" t="e">
        <f>Воронка!#REF!</f>
        <v>#REF!</v>
      </c>
      <c r="D20" s="1695"/>
      <c r="E20" s="1695" t="e">
        <f>Воронка!#REF!</f>
        <v>#REF!</v>
      </c>
      <c r="F20" s="1873"/>
      <c r="G20" s="1696" t="s">
        <v>838</v>
      </c>
    </row>
    <row r="21" spans="1:7" ht="34">
      <c r="A21" s="39" t="s">
        <v>811</v>
      </c>
      <c r="B21" s="1694" t="s">
        <v>840</v>
      </c>
      <c r="C21" s="1695" t="e">
        <f>Воронка!#REF!</f>
        <v>#REF!</v>
      </c>
      <c r="D21" s="1695"/>
      <c r="E21" s="1695" t="e">
        <f>Воронка!#REF!</f>
        <v>#REF!</v>
      </c>
      <c r="F21" s="1873"/>
      <c r="G21" s="1696" t="s">
        <v>1075</v>
      </c>
    </row>
    <row r="22" spans="1:7" ht="19">
      <c r="A22" s="1545" t="s">
        <v>785</v>
      </c>
      <c r="B22" s="1878" t="s">
        <v>841</v>
      </c>
      <c r="C22" s="1888" t="e">
        <f>SUM(C23:C25)</f>
        <v>#REF!</v>
      </c>
      <c r="D22" s="1888"/>
      <c r="E22" s="1888" t="e">
        <f>SUM(E23:E25)</f>
        <v>#REF!</v>
      </c>
      <c r="F22" s="1872"/>
    </row>
    <row r="23" spans="1:7" ht="19">
      <c r="A23" s="39" t="s">
        <v>782</v>
      </c>
      <c r="B23" s="1694" t="s">
        <v>782</v>
      </c>
      <c r="C23" s="1695" t="e">
        <f>Воронка!#REF!</f>
        <v>#REF!</v>
      </c>
      <c r="D23" s="1695"/>
      <c r="E23" s="1695" t="e">
        <f>Воронка!#REF!</f>
        <v>#REF!</v>
      </c>
      <c r="F23" s="1873"/>
    </row>
    <row r="24" spans="1:7" ht="19">
      <c r="A24" s="841" t="s">
        <v>783</v>
      </c>
      <c r="B24" s="1694" t="s">
        <v>783</v>
      </c>
      <c r="C24" s="1695" t="e">
        <f>Воронка!#REF!</f>
        <v>#REF!</v>
      </c>
      <c r="D24" s="1695"/>
      <c r="E24" s="1695" t="e">
        <f>Воронка!#REF!</f>
        <v>#REF!</v>
      </c>
      <c r="F24" s="1873"/>
      <c r="G24" s="1696" t="s">
        <v>849</v>
      </c>
    </row>
    <row r="25" spans="1:7" ht="19">
      <c r="A25" s="2"/>
      <c r="B25" s="1694" t="s">
        <v>842</v>
      </c>
      <c r="C25" s="1873">
        <f>расходы_разработка!D50-расходы_разработка!E50</f>
        <v>1272857.142857143</v>
      </c>
      <c r="D25" s="1873"/>
      <c r="E25" s="1873"/>
      <c r="F25" s="1873"/>
    </row>
    <row r="26" spans="1:7" ht="19">
      <c r="A26" s="1545" t="s">
        <v>810</v>
      </c>
      <c r="B26" s="1878" t="s">
        <v>900</v>
      </c>
      <c r="C26" s="1888">
        <f>расходы_разработка!D50-расходы_разработка!E50</f>
        <v>1272857.142857143</v>
      </c>
      <c r="D26" s="1888"/>
      <c r="E26" s="1888">
        <f>расходы_разработка!E50</f>
        <v>1272857.142857143</v>
      </c>
      <c r="F26" s="1872"/>
    </row>
    <row r="27" spans="1:7" ht="19">
      <c r="A27" s="304" t="s">
        <v>784</v>
      </c>
      <c r="B27" s="1878" t="s">
        <v>844</v>
      </c>
      <c r="C27" s="1888" t="e">
        <f>Воронка!#REF!</f>
        <v>#REF!</v>
      </c>
      <c r="D27" s="1888"/>
      <c r="E27" s="1888" t="e">
        <f>Воронка!#REF!</f>
        <v>#REF!</v>
      </c>
      <c r="F27" s="1872"/>
      <c r="G27" s="1696" t="s">
        <v>843</v>
      </c>
    </row>
    <row r="28" spans="1:7" ht="17" thickBot="1">
      <c r="B28" s="1889" t="s">
        <v>846</v>
      </c>
      <c r="C28" s="1890" t="e">
        <f>SUM(C18,C22,C26,C27)</f>
        <v>#REF!</v>
      </c>
      <c r="D28" s="1891"/>
      <c r="E28" s="1890" t="e">
        <f>SUM(E18,E22,E26,E27)</f>
        <v>#REF!</v>
      </c>
      <c r="F28" s="1892"/>
    </row>
    <row r="29" spans="1:7" s="1887" customFormat="1" ht="18" thickTop="1">
      <c r="B29" s="1884" t="s">
        <v>856</v>
      </c>
      <c r="C29" s="1893">
        <v>0.14000000000000001</v>
      </c>
      <c r="D29" s="1894"/>
      <c r="E29" s="1893">
        <v>0.15</v>
      </c>
      <c r="F29" s="1895"/>
      <c r="G29" s="1774" t="s">
        <v>1012</v>
      </c>
    </row>
    <row r="30" spans="1:7">
      <c r="B30" s="1884"/>
      <c r="C30" s="1896"/>
      <c r="D30" s="1887"/>
      <c r="E30" s="1897"/>
      <c r="F30" s="1887"/>
      <c r="G30" s="1647"/>
    </row>
    <row r="31" spans="1:7" s="423" customFormat="1" ht="19">
      <c r="B31" s="1898" t="s">
        <v>1005</v>
      </c>
      <c r="C31" s="1899"/>
      <c r="D31" s="1899"/>
      <c r="E31" s="1899"/>
      <c r="F31" s="1900"/>
      <c r="G31" s="1901"/>
    </row>
    <row r="32" spans="1:7" s="95" customFormat="1" ht="19">
      <c r="A32" s="39"/>
      <c r="B32" s="1902" t="s">
        <v>1019</v>
      </c>
      <c r="C32" s="1903" t="e">
        <f>C22*(1+C$29)</f>
        <v>#REF!</v>
      </c>
      <c r="D32" s="1903"/>
      <c r="E32" s="1903">
        <v>0</v>
      </c>
      <c r="F32" s="1904"/>
      <c r="G32" s="93" t="s">
        <v>1045</v>
      </c>
    </row>
    <row r="33" spans="1:7" s="95" customFormat="1" ht="19">
      <c r="A33" s="39"/>
      <c r="B33" s="1905" t="s">
        <v>1044</v>
      </c>
      <c r="C33" s="1906" t="e">
        <f>C32/C$4</f>
        <v>#REF!</v>
      </c>
      <c r="D33" s="1907"/>
      <c r="E33" s="1906" t="e">
        <f>E32/E$4</f>
        <v>#REF!</v>
      </c>
      <c r="F33" s="1904"/>
      <c r="G33" s="93"/>
    </row>
    <row r="34" spans="1:7" s="95" customFormat="1" ht="19">
      <c r="A34" s="39"/>
      <c r="B34" s="1902" t="s">
        <v>1032</v>
      </c>
      <c r="C34" s="1903" t="e">
        <f>(C18+C26+C27)*(1+C$29)</f>
        <v>#REF!</v>
      </c>
      <c r="D34" s="1907"/>
      <c r="E34" s="1903" t="e">
        <f>(E18+E26+E27+E22)*(1+E$29)</f>
        <v>#REF!</v>
      </c>
      <c r="F34" s="1904"/>
      <c r="G34" s="93" t="s">
        <v>1046</v>
      </c>
    </row>
    <row r="35" spans="1:7" s="95" customFormat="1" ht="19" hidden="1" outlineLevel="1">
      <c r="A35" s="2"/>
      <c r="B35" s="1905" t="s">
        <v>1043</v>
      </c>
      <c r="C35" s="1908" t="e">
        <f>C$34/C4</f>
        <v>#REF!</v>
      </c>
      <c r="D35" s="1909"/>
      <c r="E35" s="1908" t="e">
        <f>E$34/E4</f>
        <v>#REF!</v>
      </c>
      <c r="F35" s="1904"/>
      <c r="G35" s="93"/>
    </row>
    <row r="36" spans="1:7" s="95" customFormat="1" ht="19" hidden="1" outlineLevel="1">
      <c r="A36" s="2"/>
      <c r="B36" s="1905" t="s">
        <v>1041</v>
      </c>
      <c r="C36" s="1908" t="e">
        <f t="shared" ref="C36:E38" si="0">C$34/C5</f>
        <v>#REF!</v>
      </c>
      <c r="D36" s="1909"/>
      <c r="E36" s="1908" t="e">
        <f t="shared" si="0"/>
        <v>#REF!</v>
      </c>
      <c r="F36" s="1904"/>
      <c r="G36" s="93"/>
    </row>
    <row r="37" spans="1:7" s="95" customFormat="1" ht="19" hidden="1" outlineLevel="1">
      <c r="A37" s="2"/>
      <c r="B37" s="1905" t="s">
        <v>1039</v>
      </c>
      <c r="C37" s="1908" t="e">
        <f t="shared" si="0"/>
        <v>#REF!</v>
      </c>
      <c r="D37" s="1909"/>
      <c r="E37" s="1908" t="e">
        <f t="shared" si="0"/>
        <v>#REF!</v>
      </c>
      <c r="F37" s="1904"/>
      <c r="G37" s="93"/>
    </row>
    <row r="38" spans="1:7" s="95" customFormat="1" ht="19" collapsed="1">
      <c r="A38" s="2"/>
      <c r="B38" s="1905" t="s">
        <v>1128</v>
      </c>
      <c r="C38" s="1908" t="e">
        <f t="shared" si="0"/>
        <v>#REF!</v>
      </c>
      <c r="D38" s="1909"/>
      <c r="E38" s="1908" t="e">
        <f t="shared" si="0"/>
        <v>#REF!</v>
      </c>
      <c r="F38" s="1904"/>
      <c r="G38" s="93"/>
    </row>
    <row r="39" spans="1:7" s="95" customFormat="1" ht="18" thickBot="1">
      <c r="B39" s="1910" t="s">
        <v>858</v>
      </c>
      <c r="C39" s="1911" t="e">
        <f>C32+C34</f>
        <v>#REF!</v>
      </c>
      <c r="D39" s="1911"/>
      <c r="E39" s="1911" t="e">
        <f>E32+E34</f>
        <v>#REF!</v>
      </c>
      <c r="F39" s="1912"/>
      <c r="G39" s="582" t="s">
        <v>848</v>
      </c>
    </row>
    <row r="40" spans="1:7" ht="20" thickTop="1">
      <c r="A40" s="423"/>
      <c r="B40" s="1884" t="s">
        <v>1043</v>
      </c>
      <c r="C40" s="1913" t="e">
        <f>C39/C4</f>
        <v>#REF!</v>
      </c>
      <c r="D40" s="1887"/>
      <c r="E40" s="1913" t="e">
        <f>E39/E4</f>
        <v>#REF!</v>
      </c>
      <c r="F40" s="1914"/>
    </row>
    <row r="41" spans="1:7">
      <c r="B41" s="1884"/>
      <c r="C41" s="1915"/>
      <c r="D41" s="1895"/>
      <c r="E41" s="1915"/>
      <c r="F41" s="1895"/>
    </row>
    <row r="42" spans="1:7" s="423" customFormat="1" ht="19" hidden="1" outlineLevel="1">
      <c r="B42" s="1898" t="s">
        <v>1017</v>
      </c>
      <c r="C42" s="1899"/>
      <c r="D42" s="1899"/>
      <c r="E42" s="1899"/>
      <c r="F42" s="1900"/>
      <c r="G42" s="1901"/>
    </row>
    <row r="43" spans="1:7" ht="19" hidden="1" outlineLevel="1">
      <c r="A43" s="39"/>
      <c r="B43" s="1694" t="s">
        <v>1006</v>
      </c>
      <c r="C43" s="1695" t="e">
        <f>C$4*C47</f>
        <v>#REF!</v>
      </c>
      <c r="D43" s="1695"/>
      <c r="E43" s="1695" t="e">
        <f>E$4*E47</f>
        <v>#REF!</v>
      </c>
      <c r="F43" s="1873"/>
    </row>
    <row r="44" spans="1:7" ht="19" hidden="1" outlineLevel="1">
      <c r="A44" s="39"/>
      <c r="B44" s="1694" t="s">
        <v>1004</v>
      </c>
      <c r="C44" s="1695" t="e">
        <f>C$4*C48</f>
        <v>#REF!</v>
      </c>
      <c r="D44" s="1695"/>
      <c r="E44" s="1695" t="e">
        <f>E$4*E48</f>
        <v>#REF!</v>
      </c>
      <c r="F44" s="1873"/>
    </row>
    <row r="45" spans="1:7" ht="18" hidden="1" outlineLevel="1" thickBot="1">
      <c r="B45" s="1916" t="s">
        <v>859</v>
      </c>
      <c r="C45" s="1881" t="e">
        <f>C43+C44</f>
        <v>#REF!</v>
      </c>
      <c r="D45" s="1881"/>
      <c r="E45" s="1881" t="e">
        <f>E43+E44</f>
        <v>#REF!</v>
      </c>
      <c r="F45" s="1892"/>
      <c r="G45" s="1883" t="s">
        <v>848</v>
      </c>
    </row>
    <row r="46" spans="1:7" ht="20" hidden="1" outlineLevel="1" thickTop="1">
      <c r="A46" s="423"/>
      <c r="B46" s="1884" t="s">
        <v>1014</v>
      </c>
      <c r="C46" s="1913" t="e">
        <f>C45/C4</f>
        <v>#REF!</v>
      </c>
      <c r="D46" s="1887"/>
      <c r="E46" s="1913" t="e">
        <f>E47+E48</f>
        <v>#REF!</v>
      </c>
      <c r="F46" s="1914"/>
    </row>
    <row r="47" spans="1:7" ht="19" hidden="1" outlineLevel="1">
      <c r="A47" s="423"/>
      <c r="B47" s="1884" t="s">
        <v>1020</v>
      </c>
      <c r="C47" s="1913" t="e">
        <f>C33</f>
        <v>#REF!</v>
      </c>
      <c r="D47" s="1887"/>
      <c r="E47" s="1913" t="e">
        <f>E33</f>
        <v>#REF!</v>
      </c>
      <c r="F47" s="1914"/>
    </row>
    <row r="48" spans="1:7" ht="19" hidden="1" outlineLevel="1">
      <c r="A48" s="423"/>
      <c r="B48" s="1905" t="s">
        <v>1059</v>
      </c>
      <c r="C48" s="1913" t="e">
        <f>C35</f>
        <v>#REF!</v>
      </c>
      <c r="D48" s="1887"/>
      <c r="E48" s="1913" t="e">
        <f>E35</f>
        <v>#REF!</v>
      </c>
      <c r="F48" s="1914"/>
    </row>
    <row r="49" spans="2:12" ht="18" collapsed="1" thickBot="1">
      <c r="G49" s="2010" t="s">
        <v>1084</v>
      </c>
    </row>
    <row r="50" spans="2:12" ht="44" thickBot="1">
      <c r="B50" s="1703" t="s">
        <v>850</v>
      </c>
      <c r="C50" s="1704" t="s">
        <v>823</v>
      </c>
      <c r="D50" s="1704"/>
      <c r="E50" s="1704" t="s">
        <v>1053</v>
      </c>
      <c r="F50" s="1869"/>
      <c r="H50" s="1883"/>
      <c r="I50" s="1877"/>
      <c r="J50" s="1877"/>
      <c r="K50" s="1917">
        <v>1</v>
      </c>
      <c r="L50" s="1877" t="s">
        <v>861</v>
      </c>
    </row>
    <row r="51" spans="2:12" ht="26">
      <c r="B51" s="1918" t="s">
        <v>916</v>
      </c>
      <c r="C51" s="1919"/>
      <c r="D51" s="1919"/>
      <c r="E51" s="1919"/>
      <c r="F51" s="1920"/>
    </row>
    <row r="52" spans="2:12" ht="15.5" customHeight="1">
      <c r="B52" s="1921" t="s">
        <v>575</v>
      </c>
      <c r="C52" s="1922" t="e">
        <f>SUM(C53:C54)</f>
        <v>#REF!</v>
      </c>
      <c r="D52" s="1922"/>
      <c r="E52" s="1922" t="e">
        <f>SUM(E53:E54)</f>
        <v>#REF!</v>
      </c>
      <c r="F52" s="1872"/>
    </row>
    <row r="53" spans="2:12" ht="15.5" customHeight="1">
      <c r="B53" s="1694" t="s">
        <v>851</v>
      </c>
      <c r="C53" s="1695" t="e">
        <f>C4</f>
        <v>#REF!</v>
      </c>
      <c r="D53" s="1695"/>
      <c r="E53" s="1695" t="e">
        <f>E4</f>
        <v>#REF!</v>
      </c>
      <c r="F53" s="1873"/>
      <c r="G53" s="1923" t="s">
        <v>927</v>
      </c>
    </row>
    <row r="54" spans="2:12" ht="15.5" customHeight="1">
      <c r="B54" s="1694" t="s">
        <v>902</v>
      </c>
      <c r="C54" s="1695">
        <f>C14</f>
        <v>756000</v>
      </c>
      <c r="D54" s="1695"/>
      <c r="E54" s="1695">
        <f>E14</f>
        <v>756000</v>
      </c>
      <c r="F54" s="1873"/>
      <c r="G54" s="1924" t="s">
        <v>928</v>
      </c>
    </row>
    <row r="55" spans="2:12" ht="15.5" customHeight="1"/>
    <row r="56" spans="2:12" ht="15.5" customHeight="1">
      <c r="B56" s="1921" t="s">
        <v>335</v>
      </c>
      <c r="C56" s="1922" t="e">
        <f>SUM(C57:C61)</f>
        <v>#REF!</v>
      </c>
      <c r="D56" s="1922"/>
      <c r="E56" s="1922" t="e">
        <f>SUM(E57:E61)</f>
        <v>#REF!</v>
      </c>
      <c r="F56" s="1872"/>
    </row>
    <row r="57" spans="2:12" ht="15.5" customHeight="1">
      <c r="B57" s="1694" t="s">
        <v>904</v>
      </c>
      <c r="C57" s="1695">
        <f>Воронка!R52</f>
        <v>50425005.288461544</v>
      </c>
      <c r="D57" s="1695"/>
      <c r="E57" s="1695">
        <f>Воронка!R52</f>
        <v>50425005.288461544</v>
      </c>
      <c r="F57" s="1873"/>
    </row>
    <row r="58" spans="2:12" ht="15.5" customHeight="1">
      <c r="B58" s="1694" t="s">
        <v>1023</v>
      </c>
      <c r="C58" s="1873" t="e">
        <f>CHOOSE($K$50,C32,C43)</f>
        <v>#REF!</v>
      </c>
      <c r="D58" s="1873"/>
      <c r="E58" s="1873">
        <f>CHOOSE($K$50,E32,E43)</f>
        <v>0</v>
      </c>
      <c r="F58" s="1873"/>
      <c r="G58" s="1696" t="s">
        <v>926</v>
      </c>
    </row>
    <row r="59" spans="2:12" ht="15.5" customHeight="1">
      <c r="B59" s="1694" t="s">
        <v>1022</v>
      </c>
      <c r="C59" s="1873" t="e">
        <f>CHOOSE($K$50,C34,C44)</f>
        <v>#REF!</v>
      </c>
      <c r="D59" s="1873"/>
      <c r="E59" s="1873" t="e">
        <f>CHOOSE($K$50,E34,E44)</f>
        <v>#REF!</v>
      </c>
      <c r="F59" s="1873"/>
      <c r="G59" s="1924"/>
    </row>
    <row r="60" spans="2:12" ht="15.5" customHeight="1">
      <c r="B60" s="1694" t="s">
        <v>988</v>
      </c>
      <c r="C60" s="1695">
        <f>C13</f>
        <v>360000</v>
      </c>
      <c r="D60" s="1695"/>
      <c r="E60" s="1695">
        <f>E13</f>
        <v>360000</v>
      </c>
      <c r="F60" s="1873"/>
      <c r="G60" s="1647"/>
    </row>
    <row r="61" spans="2:12" ht="15.5" customHeight="1">
      <c r="B61" s="1694" t="s">
        <v>943</v>
      </c>
      <c r="C61" s="1873">
        <f>'доп расходы_свод'!D17</f>
        <v>8352000</v>
      </c>
      <c r="D61" s="1873"/>
      <c r="E61" s="1873">
        <f>'доп расходы_свод'!D18</f>
        <v>4176000</v>
      </c>
      <c r="F61" s="1873"/>
      <c r="G61" s="1647"/>
    </row>
    <row r="62" spans="2:12" ht="15.5" customHeight="1"/>
    <row r="63" spans="2:12" ht="15.5" customHeight="1" thickBot="1">
      <c r="B63" s="1925" t="s">
        <v>920</v>
      </c>
      <c r="C63" s="1926" t="e">
        <f>C52-C56</f>
        <v>#REF!</v>
      </c>
      <c r="D63" s="1926"/>
      <c r="E63" s="1926" t="e">
        <f>E52-E56</f>
        <v>#REF!</v>
      </c>
      <c r="F63" s="1882"/>
    </row>
    <row r="64" spans="2:12" ht="15.5" customHeight="1" thickTop="1">
      <c r="B64" s="1841" t="s">
        <v>938</v>
      </c>
      <c r="C64" s="1927" t="e">
        <f>C63/C52</f>
        <v>#REF!</v>
      </c>
      <c r="D64" s="1823"/>
      <c r="E64" s="1927" t="e">
        <f>E63/E52</f>
        <v>#REF!</v>
      </c>
      <c r="F64" s="1823"/>
    </row>
    <row r="65" spans="2:8" ht="18" thickBot="1">
      <c r="B65" s="1928" t="s">
        <v>940</v>
      </c>
      <c r="C65" s="1929" t="e">
        <f>C53-C59</f>
        <v>#REF!</v>
      </c>
      <c r="D65" s="1930"/>
      <c r="E65" s="1929" t="e">
        <f>E53-E59</f>
        <v>#REF!</v>
      </c>
      <c r="F65" s="1931"/>
    </row>
    <row r="66" spans="2:8" ht="20" customHeight="1" thickTop="1">
      <c r="B66" s="1625" t="s">
        <v>854</v>
      </c>
      <c r="C66" s="1643" t="e">
        <f>C65/C4</f>
        <v>#REF!</v>
      </c>
      <c r="D66" s="1644"/>
      <c r="E66" s="1643" t="e">
        <f>E65/E4</f>
        <v>#REF!</v>
      </c>
      <c r="F66" s="1823"/>
      <c r="G66" s="582" t="s">
        <v>1060</v>
      </c>
      <c r="H66" s="1647"/>
    </row>
    <row r="67" spans="2:8">
      <c r="B67" s="1625"/>
      <c r="C67" s="1932"/>
      <c r="D67" s="1823"/>
      <c r="E67" s="1932"/>
      <c r="F67" s="1823"/>
    </row>
    <row r="68" spans="2:8" s="1649" customFormat="1">
      <c r="B68" s="1921" t="s">
        <v>925</v>
      </c>
      <c r="C68" s="1922"/>
      <c r="D68" s="1922"/>
      <c r="E68" s="1922"/>
      <c r="F68" s="1933"/>
      <c r="G68" s="1924"/>
    </row>
    <row r="69" spans="2:8" s="1649" customFormat="1">
      <c r="B69" s="1934" t="s">
        <v>935</v>
      </c>
      <c r="C69" s="1935">
        <f>C13*22%</f>
        <v>79200</v>
      </c>
      <c r="D69" s="1935"/>
      <c r="E69" s="1935">
        <f>E13*22%</f>
        <v>79200</v>
      </c>
      <c r="F69" s="1826"/>
      <c r="G69" s="1647"/>
      <c r="H69" s="1763"/>
    </row>
    <row r="70" spans="2:8" s="1649" customFormat="1">
      <c r="B70" s="1934" t="s">
        <v>921</v>
      </c>
      <c r="C70" s="1935" t="e">
        <f>C63*5%</f>
        <v>#REF!</v>
      </c>
      <c r="D70" s="1935"/>
      <c r="E70" s="1935" t="e">
        <f>E63*5%</f>
        <v>#REF!</v>
      </c>
      <c r="F70" s="1826"/>
      <c r="G70" s="1647"/>
    </row>
    <row r="71" spans="2:8" s="1649" customFormat="1">
      <c r="B71" s="1907" t="s">
        <v>1027</v>
      </c>
      <c r="C71" s="1936" t="e">
        <f>C70-E70</f>
        <v>#REF!</v>
      </c>
      <c r="D71" s="1937"/>
      <c r="E71" s="1938"/>
      <c r="F71" s="1826"/>
      <c r="G71" s="1647"/>
    </row>
    <row r="72" spans="2:8">
      <c r="B72" s="1660"/>
      <c r="E72" s="1650"/>
    </row>
    <row r="73" spans="2:8" ht="26">
      <c r="B73" s="1918" t="s">
        <v>865</v>
      </c>
      <c r="C73" s="1919"/>
      <c r="D73" s="1919"/>
      <c r="E73" s="1919"/>
      <c r="F73" s="1920"/>
    </row>
    <row r="74" spans="2:8">
      <c r="B74" s="1921" t="s">
        <v>575</v>
      </c>
      <c r="C74" s="1922" t="e">
        <f>SUM(C75:C77)</f>
        <v>#REF!</v>
      </c>
      <c r="D74" s="1922"/>
      <c r="E74" s="1922" t="e">
        <f>SUM(E75:E77)</f>
        <v>#REF!</v>
      </c>
      <c r="F74" s="1872"/>
      <c r="G74" s="1924"/>
    </row>
    <row r="75" spans="2:8">
      <c r="B75" s="1694" t="s">
        <v>851</v>
      </c>
      <c r="C75" s="1695"/>
      <c r="D75" s="1695"/>
      <c r="E75" s="1695"/>
      <c r="F75" s="1873"/>
    </row>
    <row r="76" spans="2:8" ht="34">
      <c r="B76" s="1694" t="s">
        <v>1023</v>
      </c>
      <c r="C76" s="1873" t="e">
        <f>C58</f>
        <v>#REF!</v>
      </c>
      <c r="D76" s="1873"/>
      <c r="E76" s="1873">
        <f>E58</f>
        <v>0</v>
      </c>
      <c r="F76" s="1873"/>
      <c r="G76" s="1696" t="s">
        <v>926</v>
      </c>
    </row>
    <row r="77" spans="2:8">
      <c r="B77" s="1694" t="s">
        <v>1022</v>
      </c>
      <c r="C77" s="1873" t="e">
        <f>C59</f>
        <v>#REF!</v>
      </c>
      <c r="D77" s="1873"/>
      <c r="E77" s="1873" t="e">
        <f>E59</f>
        <v>#REF!</v>
      </c>
      <c r="F77" s="1873"/>
      <c r="G77" s="1660"/>
    </row>
    <row r="78" spans="2:8">
      <c r="B78" s="1841"/>
      <c r="C78" s="1939"/>
      <c r="D78" s="1695"/>
      <c r="E78" s="1939"/>
      <c r="F78" s="1873"/>
    </row>
    <row r="79" spans="2:8">
      <c r="B79" s="1921" t="s">
        <v>335</v>
      </c>
      <c r="C79" s="1922" t="e">
        <f>SUM(C80:C82)</f>
        <v>#REF!</v>
      </c>
      <c r="D79" s="1922"/>
      <c r="E79" s="1922" t="e">
        <f>SUM(E80:E82)</f>
        <v>#REF!</v>
      </c>
      <c r="F79" s="1872"/>
    </row>
    <row r="80" spans="2:8">
      <c r="B80" s="1694" t="s">
        <v>902</v>
      </c>
      <c r="C80" s="1695">
        <f>C54</f>
        <v>756000</v>
      </c>
      <c r="D80" s="1695"/>
      <c r="E80" s="1695">
        <f>E54</f>
        <v>756000</v>
      </c>
      <c r="F80" s="1873"/>
    </row>
    <row r="81" spans="2:8">
      <c r="B81" s="1694" t="s">
        <v>1023</v>
      </c>
      <c r="C81" s="1873" t="e">
        <f>C22</f>
        <v>#REF!</v>
      </c>
      <c r="D81" s="1873"/>
      <c r="E81" s="1873">
        <v>0</v>
      </c>
      <c r="F81" s="1873"/>
    </row>
    <row r="82" spans="2:8">
      <c r="B82" s="1694" t="s">
        <v>1025</v>
      </c>
      <c r="C82" s="1873" t="e">
        <f>C18+C26+C27</f>
        <v>#REF!</v>
      </c>
      <c r="D82" s="1873"/>
      <c r="E82" s="1873" t="e">
        <f>E18+E26+E27+E22</f>
        <v>#REF!</v>
      </c>
      <c r="F82" s="1873"/>
    </row>
    <row r="84" spans="2:8" ht="17" thickBot="1">
      <c r="B84" s="1925" t="s">
        <v>853</v>
      </c>
      <c r="C84" s="1926" t="e">
        <f>C74-C79</f>
        <v>#REF!</v>
      </c>
      <c r="D84" s="1926"/>
      <c r="E84" s="1926" t="e">
        <f>E74-E79</f>
        <v>#REF!</v>
      </c>
      <c r="F84" s="1882"/>
    </row>
    <row r="85" spans="2:8" ht="17" hidden="1" outlineLevel="1" thickTop="1">
      <c r="B85" s="1841" t="s">
        <v>939</v>
      </c>
      <c r="C85" s="1932" t="e">
        <f>C84/C74</f>
        <v>#REF!</v>
      </c>
      <c r="D85" s="1823"/>
      <c r="E85" s="1932" t="e">
        <f>E84/E74</f>
        <v>#REF!</v>
      </c>
      <c r="F85" s="1823"/>
    </row>
    <row r="86" spans="2:8" ht="17" collapsed="1" thickTop="1">
      <c r="B86" s="1841" t="s">
        <v>854</v>
      </c>
      <c r="C86" s="1927" t="e">
        <f>C84/C$4</f>
        <v>#REF!</v>
      </c>
      <c r="D86" s="1823"/>
      <c r="E86" s="1927" t="e">
        <f>E84/E$4</f>
        <v>#REF!</v>
      </c>
      <c r="F86" s="1823"/>
    </row>
    <row r="87" spans="2:8" ht="17">
      <c r="B87" s="1841" t="s">
        <v>1061</v>
      </c>
      <c r="C87" s="1842" t="e">
        <f>C84/C79</f>
        <v>#REF!</v>
      </c>
      <c r="D87" s="1843"/>
      <c r="E87" s="1842" t="e">
        <f>E84/E79</f>
        <v>#REF!</v>
      </c>
      <c r="F87" s="1825"/>
      <c r="G87" s="1774" t="s">
        <v>1012</v>
      </c>
    </row>
    <row r="88" spans="2:8">
      <c r="C88" s="1939"/>
      <c r="E88" s="1939"/>
    </row>
    <row r="89" spans="2:8">
      <c r="B89" s="1877" t="s">
        <v>852</v>
      </c>
      <c r="C89" s="1940" t="e">
        <f>Воронка!#REF!</f>
        <v>#REF!</v>
      </c>
      <c r="D89" s="1940"/>
      <c r="E89" s="1940" t="e">
        <f>Воронка!#REF!</f>
        <v>#REF!</v>
      </c>
      <c r="F89" s="1872"/>
    </row>
    <row r="90" spans="2:8" ht="17" thickBot="1">
      <c r="B90" s="1941" t="s">
        <v>855</v>
      </c>
      <c r="C90" s="1942" t="e">
        <f>C84+C89</f>
        <v>#REF!</v>
      </c>
      <c r="D90" s="1942"/>
      <c r="E90" s="1942" t="e">
        <f>E84+E89</f>
        <v>#REF!</v>
      </c>
      <c r="F90" s="1882"/>
    </row>
    <row r="91" spans="2:8" ht="17" thickTop="1"/>
    <row r="92" spans="2:8" s="1649" customFormat="1" ht="17" customHeight="1">
      <c r="B92" s="1921" t="s">
        <v>924</v>
      </c>
      <c r="C92" s="1922"/>
      <c r="D92" s="1922"/>
      <c r="E92" s="1922"/>
      <c r="F92" s="1933"/>
      <c r="G92" s="1647"/>
      <c r="H92" s="1763"/>
    </row>
    <row r="93" spans="2:8" s="1649" customFormat="1" ht="68" customHeight="1">
      <c r="B93" s="1934" t="s">
        <v>962</v>
      </c>
      <c r="C93" s="1935" t="e">
        <f xml:space="preserve"> (C76+C77)*22%</f>
        <v>#REF!</v>
      </c>
      <c r="D93" s="1935"/>
      <c r="E93" s="1935" t="e">
        <f xml:space="preserve"> (E76+E77)*22%</f>
        <v>#REF!</v>
      </c>
      <c r="F93" s="1826"/>
      <c r="G93" s="1985" t="s">
        <v>1086</v>
      </c>
    </row>
    <row r="94" spans="2:8" s="1649" customFormat="1" ht="17" customHeight="1">
      <c r="B94" s="1934" t="s">
        <v>922</v>
      </c>
      <c r="C94" s="1935" t="e">
        <f>C84*25%</f>
        <v>#REF!</v>
      </c>
      <c r="D94" s="1935"/>
      <c r="E94" s="1935" t="e">
        <f>E84*25%</f>
        <v>#REF!</v>
      </c>
      <c r="F94" s="1826"/>
      <c r="G94" s="1943"/>
    </row>
    <row r="95" spans="2:8" ht="17" customHeight="1">
      <c r="B95" s="1907" t="s">
        <v>1027</v>
      </c>
      <c r="C95" s="1944" t="e">
        <f>C94-E94</f>
        <v>#REF!</v>
      </c>
      <c r="D95" s="1937"/>
      <c r="E95" s="1938"/>
      <c r="F95" s="1660"/>
      <c r="G95" s="1945"/>
    </row>
    <row r="96" spans="2:8" ht="17" customHeight="1">
      <c r="B96" s="1946"/>
      <c r="C96" s="1944"/>
      <c r="D96" s="1937"/>
      <c r="E96" s="1938"/>
      <c r="F96" s="1660"/>
      <c r="G96" s="1945"/>
    </row>
    <row r="97" spans="2:7" ht="43">
      <c r="B97" s="1703" t="s">
        <v>945</v>
      </c>
      <c r="C97" s="1704" t="s">
        <v>823</v>
      </c>
      <c r="D97" s="1704"/>
      <c r="E97" s="1704" t="s">
        <v>1053</v>
      </c>
      <c r="F97" s="1869"/>
      <c r="G97" s="1947"/>
    </row>
    <row r="98" spans="2:7" ht="26">
      <c r="B98" s="1918" t="s">
        <v>946</v>
      </c>
      <c r="C98" s="1919"/>
      <c r="D98" s="1919"/>
      <c r="E98" s="1919"/>
      <c r="F98" s="1920"/>
    </row>
    <row r="99" spans="2:7">
      <c r="B99" s="1948" t="s">
        <v>575</v>
      </c>
      <c r="C99" s="1949" t="e">
        <f>C100+C103</f>
        <v>#REF!</v>
      </c>
      <c r="D99" s="1949"/>
      <c r="E99" s="1949" t="e">
        <f>E100+E103</f>
        <v>#REF!</v>
      </c>
      <c r="F99" s="1872"/>
      <c r="G99" s="1924"/>
    </row>
    <row r="100" spans="2:7">
      <c r="B100" s="1950" t="s">
        <v>942</v>
      </c>
      <c r="C100" s="1922" t="e">
        <f>SUM(C101:C102)</f>
        <v>#REF!</v>
      </c>
      <c r="D100" s="1922"/>
      <c r="E100" s="1922" t="e">
        <f>SUM(E101:E102)</f>
        <v>#REF!</v>
      </c>
      <c r="F100" s="1872"/>
      <c r="G100" s="1924"/>
    </row>
    <row r="101" spans="2:7" ht="17">
      <c r="B101" s="1694" t="s">
        <v>851</v>
      </c>
      <c r="C101" s="1695" t="e">
        <f>C53</f>
        <v>#REF!</v>
      </c>
      <c r="D101" s="1695"/>
      <c r="E101" s="1695" t="e">
        <f>E53</f>
        <v>#REF!</v>
      </c>
      <c r="F101" s="1873"/>
      <c r="G101" s="1696" t="s">
        <v>941</v>
      </c>
    </row>
    <row r="102" spans="2:7" ht="17">
      <c r="B102" s="1694" t="s">
        <v>902</v>
      </c>
      <c r="C102" s="1709">
        <f>C54</f>
        <v>756000</v>
      </c>
      <c r="D102" s="1709"/>
      <c r="E102" s="1709">
        <f>E54</f>
        <v>756000</v>
      </c>
      <c r="F102" s="1827"/>
      <c r="G102" s="1696" t="s">
        <v>1085</v>
      </c>
    </row>
    <row r="103" spans="2:7">
      <c r="B103" s="1950" t="s">
        <v>865</v>
      </c>
      <c r="C103" s="1922" t="e">
        <f>C104+C105</f>
        <v>#REF!</v>
      </c>
      <c r="D103" s="1922"/>
      <c r="E103" s="1922" t="e">
        <f>E104+E105</f>
        <v>#REF!</v>
      </c>
      <c r="F103" s="1872"/>
      <c r="G103" s="1924"/>
    </row>
    <row r="104" spans="2:7" ht="17">
      <c r="B104" s="1694" t="s">
        <v>1023</v>
      </c>
      <c r="C104" s="1873" t="e">
        <f>C58</f>
        <v>#REF!</v>
      </c>
      <c r="D104" s="1873"/>
      <c r="E104" s="1873">
        <f>E58</f>
        <v>0</v>
      </c>
      <c r="F104" s="1873"/>
      <c r="G104" s="1696" t="s">
        <v>947</v>
      </c>
    </row>
    <row r="105" spans="2:7">
      <c r="B105" s="1694" t="s">
        <v>1022</v>
      </c>
      <c r="C105" s="1873" t="e">
        <f>C59</f>
        <v>#REF!</v>
      </c>
      <c r="D105" s="1873"/>
      <c r="E105" s="1873" t="e">
        <f>E59</f>
        <v>#REF!</v>
      </c>
      <c r="F105" s="1873"/>
    </row>
    <row r="106" spans="2:7">
      <c r="B106" s="1841"/>
      <c r="C106" s="1939"/>
      <c r="D106" s="1695"/>
      <c r="E106" s="1939"/>
      <c r="F106" s="1873"/>
      <c r="G106" s="1951"/>
    </row>
    <row r="107" spans="2:7">
      <c r="B107" s="1948" t="s">
        <v>335</v>
      </c>
      <c r="C107" s="1949" t="e">
        <f>C108+C114</f>
        <v>#REF!</v>
      </c>
      <c r="D107" s="1949"/>
      <c r="E107" s="1949" t="e">
        <f>E108+E114</f>
        <v>#REF!</v>
      </c>
      <c r="F107" s="1872"/>
    </row>
    <row r="108" spans="2:7">
      <c r="B108" s="1950" t="s">
        <v>942</v>
      </c>
      <c r="C108" s="1922" t="e">
        <f>SUM(C109:C113)</f>
        <v>#REF!</v>
      </c>
      <c r="D108" s="1922"/>
      <c r="E108" s="1922" t="e">
        <f>SUM(E109:E113)</f>
        <v>#REF!</v>
      </c>
      <c r="F108" s="1872"/>
      <c r="G108" s="1924"/>
    </row>
    <row r="109" spans="2:7">
      <c r="B109" s="1694" t="str">
        <f>B57</f>
        <v>Sales команда МПСтатс</v>
      </c>
      <c r="C109" s="1695">
        <f>C57</f>
        <v>50425005.288461544</v>
      </c>
      <c r="D109" s="1695"/>
      <c r="E109" s="1695">
        <f>E57</f>
        <v>50425005.288461544</v>
      </c>
      <c r="F109" s="1873"/>
    </row>
    <row r="110" spans="2:7" ht="17">
      <c r="B110" s="1694" t="s">
        <v>1023</v>
      </c>
      <c r="C110" s="1873" t="e">
        <f>C58</f>
        <v>#REF!</v>
      </c>
      <c r="D110" s="1873"/>
      <c r="E110" s="1873">
        <f>E58</f>
        <v>0</v>
      </c>
      <c r="F110" s="1873"/>
      <c r="G110" s="1696" t="s">
        <v>1049</v>
      </c>
    </row>
    <row r="111" spans="2:7" ht="17">
      <c r="B111" s="1694" t="s">
        <v>1022</v>
      </c>
      <c r="C111" s="1873" t="e">
        <f>C59</f>
        <v>#REF!</v>
      </c>
      <c r="D111" s="1873"/>
      <c r="E111" s="1873" t="e">
        <f>E59</f>
        <v>#REF!</v>
      </c>
      <c r="F111" s="1873"/>
      <c r="G111" s="1696" t="s">
        <v>1050</v>
      </c>
    </row>
    <row r="112" spans="2:7">
      <c r="B112" s="1694" t="s">
        <v>988</v>
      </c>
      <c r="C112" s="1695">
        <f>C60</f>
        <v>360000</v>
      </c>
      <c r="D112" s="1695"/>
      <c r="E112" s="1695">
        <f>E60</f>
        <v>360000</v>
      </c>
      <c r="F112" s="1828"/>
      <c r="G112" s="1706"/>
    </row>
    <row r="113" spans="2:7">
      <c r="B113" s="1694" t="s">
        <v>943</v>
      </c>
      <c r="C113" s="1695">
        <f>C61</f>
        <v>8352000</v>
      </c>
      <c r="D113" s="1695"/>
      <c r="E113" s="1695">
        <f>E61</f>
        <v>4176000</v>
      </c>
      <c r="F113" s="1828"/>
      <c r="G113" s="1706"/>
    </row>
    <row r="114" spans="2:7">
      <c r="B114" s="1950" t="s">
        <v>865</v>
      </c>
      <c r="C114" s="1922" t="e">
        <f>SUM(C115:C117)</f>
        <v>#REF!</v>
      </c>
      <c r="D114" s="1922"/>
      <c r="E114" s="1922" t="e">
        <f>SUM(E115:E117)</f>
        <v>#REF!</v>
      </c>
      <c r="F114" s="1872"/>
      <c r="G114" s="1924"/>
    </row>
    <row r="115" spans="2:7" ht="17">
      <c r="B115" s="1694" t="s">
        <v>902</v>
      </c>
      <c r="C115" s="1695">
        <f>C80</f>
        <v>756000</v>
      </c>
      <c r="D115" s="1695"/>
      <c r="E115" s="1695">
        <f>E80</f>
        <v>756000</v>
      </c>
      <c r="F115" s="1873"/>
      <c r="G115" s="1696" t="s">
        <v>971</v>
      </c>
    </row>
    <row r="116" spans="2:7">
      <c r="B116" s="1694" t="s">
        <v>1024</v>
      </c>
      <c r="C116" s="1873" t="e">
        <f>C81</f>
        <v>#REF!</v>
      </c>
      <c r="D116" s="1873"/>
      <c r="E116" s="1873">
        <f>E81</f>
        <v>0</v>
      </c>
      <c r="F116" s="1873"/>
      <c r="G116" s="1636" t="s">
        <v>1047</v>
      </c>
    </row>
    <row r="117" spans="2:7">
      <c r="B117" s="1694" t="s">
        <v>1022</v>
      </c>
      <c r="C117" s="1873" t="e">
        <f>C82</f>
        <v>#REF!</v>
      </c>
      <c r="D117" s="1873"/>
      <c r="E117" s="1873" t="e">
        <f>E82</f>
        <v>#REF!</v>
      </c>
      <c r="F117" s="1873"/>
      <c r="G117" s="1636" t="s">
        <v>1048</v>
      </c>
    </row>
    <row r="119" spans="2:7" ht="17" thickBot="1">
      <c r="B119" s="1925" t="s">
        <v>970</v>
      </c>
      <c r="C119" s="1926" t="e">
        <f>C99-C107</f>
        <v>#REF!</v>
      </c>
      <c r="D119" s="1926"/>
      <c r="E119" s="1926" t="e">
        <f>E99-E107</f>
        <v>#REF!</v>
      </c>
      <c r="F119" s="1882"/>
    </row>
    <row r="120" spans="2:7" ht="17" thickTop="1">
      <c r="B120" s="1841" t="s">
        <v>961</v>
      </c>
      <c r="C120" s="1927" t="e">
        <f>C119/C99</f>
        <v>#REF!</v>
      </c>
      <c r="D120" s="1823"/>
      <c r="E120" s="1927" t="e">
        <f>E119/E99</f>
        <v>#REF!</v>
      </c>
      <c r="G120" s="1636"/>
    </row>
    <row r="121" spans="2:7">
      <c r="B121" s="1952" t="s">
        <v>975</v>
      </c>
      <c r="C121" s="1953" t="e">
        <f>C100-C108</f>
        <v>#REF!</v>
      </c>
      <c r="D121" s="1953"/>
      <c r="E121" s="1953" t="e">
        <f>E100-E108</f>
        <v>#REF!</v>
      </c>
      <c r="F121" s="1877"/>
      <c r="G121" s="1636"/>
    </row>
    <row r="122" spans="2:7">
      <c r="B122" s="1952" t="s">
        <v>966</v>
      </c>
      <c r="C122" s="1953" t="e">
        <f>C103-C114</f>
        <v>#REF!</v>
      </c>
      <c r="D122" s="1953"/>
      <c r="E122" s="1953" t="e">
        <f>E103-E114</f>
        <v>#REF!</v>
      </c>
      <c r="F122" s="1877"/>
      <c r="G122" s="1636"/>
    </row>
    <row r="123" spans="2:7" ht="17" thickBot="1">
      <c r="B123" s="1925" t="s">
        <v>967</v>
      </c>
      <c r="C123" s="1926" t="e">
        <f>C89</f>
        <v>#REF!</v>
      </c>
      <c r="D123" s="1926"/>
      <c r="E123" s="1926" t="e">
        <f>E89</f>
        <v>#REF!</v>
      </c>
      <c r="F123" s="1877"/>
      <c r="G123" s="1636" t="s">
        <v>969</v>
      </c>
    </row>
    <row r="124" spans="2:7" ht="18" thickTop="1" thickBot="1">
      <c r="B124" s="1954" t="s">
        <v>968</v>
      </c>
      <c r="C124" s="1955" t="e">
        <f>SUM(C121:C123)</f>
        <v>#REF!</v>
      </c>
      <c r="D124" s="1955"/>
      <c r="E124" s="1955" t="e">
        <f>SUM(E121:E123)</f>
        <v>#REF!</v>
      </c>
      <c r="F124" s="1877"/>
      <c r="G124" s="1636"/>
    </row>
    <row r="125" spans="2:7" ht="17" thickTop="1">
      <c r="B125" s="1825" t="s">
        <v>976</v>
      </c>
      <c r="C125" s="1956" t="e">
        <f>C124-E124</f>
        <v>#REF!</v>
      </c>
      <c r="E125" s="1936"/>
      <c r="G125" s="1636"/>
    </row>
    <row r="126" spans="2:7" ht="17" thickBot="1">
      <c r="B126" s="1907"/>
      <c r="C126" s="1957"/>
      <c r="E126" s="1936"/>
      <c r="G126" s="1636"/>
    </row>
    <row r="127" spans="2:7" ht="43">
      <c r="B127" s="1759" t="s">
        <v>1036</v>
      </c>
      <c r="C127" s="1704" t="s">
        <v>823</v>
      </c>
      <c r="D127" s="1704"/>
      <c r="E127" s="1704" t="s">
        <v>1053</v>
      </c>
      <c r="G127" s="1636"/>
    </row>
    <row r="128" spans="2:7" ht="21">
      <c r="B128" s="1958" t="s">
        <v>957</v>
      </c>
      <c r="C128" s="1959" t="e">
        <f>C101</f>
        <v>#REF!</v>
      </c>
      <c r="D128" s="1959"/>
      <c r="E128" s="1960" t="e">
        <f>E101</f>
        <v>#REF!</v>
      </c>
      <c r="F128" s="1961">
        <f t="shared" ref="F128" si="1">F101</f>
        <v>0</v>
      </c>
    </row>
    <row r="129" spans="2:7">
      <c r="B129" s="1952" t="s">
        <v>956</v>
      </c>
      <c r="C129" s="1953" t="e">
        <f>C128-C133-C131</f>
        <v>#REF!</v>
      </c>
      <c r="D129" s="1953"/>
      <c r="E129" s="1962" t="e">
        <f>E128-E133-E131</f>
        <v>#REF!</v>
      </c>
      <c r="F129" s="1877"/>
      <c r="G129" s="1636"/>
    </row>
    <row r="130" spans="2:7">
      <c r="B130" s="1963" t="s">
        <v>958</v>
      </c>
      <c r="C130" s="1964" t="e">
        <f>C129/C$128</f>
        <v>#REF!</v>
      </c>
      <c r="D130" s="1964"/>
      <c r="E130" s="1965" t="e">
        <f>E129/E$128</f>
        <v>#REF!</v>
      </c>
      <c r="G130" s="1636"/>
    </row>
    <row r="131" spans="2:7">
      <c r="B131" s="1952" t="s">
        <v>1030</v>
      </c>
      <c r="C131" s="1953" t="e">
        <f>C104</f>
        <v>#REF!</v>
      </c>
      <c r="D131" s="1953"/>
      <c r="E131" s="1962">
        <f>E104</f>
        <v>0</v>
      </c>
      <c r="G131" s="1636"/>
    </row>
    <row r="132" spans="2:7">
      <c r="B132" s="1963" t="s">
        <v>959</v>
      </c>
      <c r="C132" s="1966" t="e">
        <f>C131/C$128</f>
        <v>#REF!</v>
      </c>
      <c r="D132" s="1966"/>
      <c r="E132" s="1967" t="e">
        <f>E131/E$128</f>
        <v>#REF!</v>
      </c>
      <c r="G132" s="2009" t="s">
        <v>1078</v>
      </c>
    </row>
    <row r="133" spans="2:7">
      <c r="B133" s="1952" t="s">
        <v>1127</v>
      </c>
      <c r="C133" s="1953" t="e">
        <f>C105</f>
        <v>#REF!</v>
      </c>
      <c r="D133" s="1953"/>
      <c r="E133" s="1962" t="e">
        <f>E105</f>
        <v>#REF!</v>
      </c>
      <c r="F133" s="1877"/>
      <c r="G133" s="1636"/>
    </row>
    <row r="134" spans="2:7" ht="17" thickBot="1">
      <c r="B134" s="1968" t="s">
        <v>959</v>
      </c>
      <c r="C134" s="1969" t="e">
        <f>C133/C$128</f>
        <v>#REF!</v>
      </c>
      <c r="D134" s="1969"/>
      <c r="E134" s="1970" t="e">
        <f>E133/E$128</f>
        <v>#REF!</v>
      </c>
    </row>
    <row r="135" spans="2:7" ht="17" thickBot="1">
      <c r="B135" s="1971"/>
      <c r="C135" s="1966"/>
      <c r="D135" s="1964"/>
      <c r="E135" s="1966"/>
    </row>
    <row r="136" spans="2:7" ht="26">
      <c r="B136" s="1759" t="s">
        <v>1037</v>
      </c>
      <c r="C136" s="1760"/>
      <c r="D136" s="1760"/>
      <c r="E136" s="1972"/>
      <c r="G136" s="1887" t="s">
        <v>960</v>
      </c>
    </row>
    <row r="137" spans="2:7">
      <c r="B137" s="1952" t="s">
        <v>1030</v>
      </c>
      <c r="C137" s="1953" t="e">
        <f>C131</f>
        <v>#REF!</v>
      </c>
      <c r="D137" s="1953"/>
      <c r="E137" s="1962">
        <f>E131</f>
        <v>0</v>
      </c>
    </row>
    <row r="138" spans="2:7">
      <c r="B138" s="1963" t="s">
        <v>1038</v>
      </c>
      <c r="C138" s="1966" t="e">
        <f>C132</f>
        <v>#REF!</v>
      </c>
      <c r="D138" s="1964"/>
      <c r="E138" s="1965" t="e">
        <f>E132</f>
        <v>#REF!</v>
      </c>
    </row>
    <row r="139" spans="2:7">
      <c r="B139" s="1973" t="s">
        <v>1077</v>
      </c>
      <c r="C139" s="1974" t="e">
        <f>C133</f>
        <v>#REF!</v>
      </c>
      <c r="D139" s="1974"/>
      <c r="E139" s="1975" t="e">
        <f>E133</f>
        <v>#REF!</v>
      </c>
    </row>
    <row r="140" spans="2:7" hidden="1" outlineLevel="1">
      <c r="B140" s="1963" t="s">
        <v>1041</v>
      </c>
      <c r="C140" s="1964" t="e">
        <f>C$139/C5</f>
        <v>#REF!</v>
      </c>
      <c r="D140" s="1964"/>
      <c r="E140" s="1965" t="e">
        <f>E$139/E5</f>
        <v>#REF!</v>
      </c>
    </row>
    <row r="141" spans="2:7" hidden="1" outlineLevel="1">
      <c r="B141" s="1963" t="s">
        <v>1039</v>
      </c>
      <c r="C141" s="1964" t="e">
        <f>C$139/C6</f>
        <v>#REF!</v>
      </c>
      <c r="D141" s="1964"/>
      <c r="E141" s="1965" t="e">
        <f>E$139/E6</f>
        <v>#REF!</v>
      </c>
    </row>
    <row r="142" spans="2:7" ht="17" collapsed="1" thickBot="1">
      <c r="B142" s="2002" t="s">
        <v>1128</v>
      </c>
      <c r="C142" s="2003" t="e">
        <f>C$139/C7</f>
        <v>#REF!</v>
      </c>
      <c r="D142" s="2003"/>
      <c r="E142" s="2004" t="e">
        <f>E$139/E7</f>
        <v>#REF!</v>
      </c>
    </row>
    <row r="143" spans="2:7" ht="34">
      <c r="B143" s="1976" t="s">
        <v>1129</v>
      </c>
      <c r="C143" s="1977" t="e">
        <f>100%-C142</f>
        <v>#REF!</v>
      </c>
      <c r="D143" s="1978"/>
      <c r="E143" s="1977" t="e">
        <f>100%-E142-E138</f>
        <v>#REF!</v>
      </c>
      <c r="G143" s="1647" t="s">
        <v>1125</v>
      </c>
    </row>
    <row r="144" spans="2:7">
      <c r="B144" s="1976" t="s">
        <v>1130</v>
      </c>
      <c r="C144" s="1977" t="e">
        <f>C143-C138</f>
        <v>#REF!</v>
      </c>
      <c r="D144" s="1978"/>
      <c r="E144" s="1977" t="e">
        <f>E143</f>
        <v>#REF!</v>
      </c>
    </row>
    <row r="145" spans="2:7" ht="17">
      <c r="B145" s="1979"/>
      <c r="C145" s="2005">
        <f>0.2*C7</f>
        <v>16986038.301986065</v>
      </c>
      <c r="D145" s="2006"/>
      <c r="E145" s="2005">
        <f>0.2*E7</f>
        <v>16986038.301986065</v>
      </c>
      <c r="G145" s="2008" t="s">
        <v>1079</v>
      </c>
    </row>
    <row r="146" spans="2:7">
      <c r="B146" s="1979"/>
      <c r="C146" s="2007" t="e">
        <f>C133-C145</f>
        <v>#REF!</v>
      </c>
      <c r="D146" s="2006"/>
      <c r="E146" s="2007" t="e">
        <f>E133-E145</f>
        <v>#REF!</v>
      </c>
    </row>
    <row r="147" spans="2:7">
      <c r="B147" s="1878" t="s">
        <v>949</v>
      </c>
      <c r="C147" s="1888"/>
      <c r="D147" s="1888"/>
      <c r="E147" s="1888"/>
      <c r="G147" s="1647"/>
    </row>
    <row r="148" spans="2:7" ht="17">
      <c r="B148" s="1980" t="s">
        <v>954</v>
      </c>
      <c r="C148" s="1981"/>
      <c r="D148" s="1981"/>
      <c r="E148" s="1982"/>
      <c r="G148" s="1983" t="s">
        <v>963</v>
      </c>
    </row>
    <row r="149" spans="2:7" ht="17">
      <c r="B149" s="1845" t="s">
        <v>1081</v>
      </c>
      <c r="C149" s="1846">
        <f>C69</f>
        <v>79200</v>
      </c>
      <c r="D149" s="1846"/>
      <c r="E149" s="1984">
        <f>E69</f>
        <v>79200</v>
      </c>
      <c r="G149" s="1985" t="s">
        <v>965</v>
      </c>
    </row>
    <row r="150" spans="2:7" ht="17">
      <c r="B150" s="1845" t="s">
        <v>1082</v>
      </c>
      <c r="C150" s="1846" t="e">
        <f>C110*22%</f>
        <v>#REF!</v>
      </c>
      <c r="D150" s="1846"/>
      <c r="E150" s="1846">
        <f>E110*22%</f>
        <v>0</v>
      </c>
      <c r="G150" s="1985" t="s">
        <v>1083</v>
      </c>
    </row>
    <row r="151" spans="2:7" ht="51">
      <c r="B151" s="1845" t="s">
        <v>1062</v>
      </c>
      <c r="C151" s="1846" t="e">
        <f>C111*22%</f>
        <v>#REF!</v>
      </c>
      <c r="D151" s="1847"/>
      <c r="E151" s="1846" t="e">
        <f>E111*22%</f>
        <v>#REF!</v>
      </c>
      <c r="G151" s="1985" t="s">
        <v>1080</v>
      </c>
    </row>
    <row r="152" spans="2:7">
      <c r="B152" s="1980" t="s">
        <v>948</v>
      </c>
      <c r="C152" s="1981" t="e">
        <f>SUM(C153:C154)</f>
        <v>#REF!</v>
      </c>
      <c r="D152" s="1981"/>
      <c r="E152" s="1982" t="e">
        <f>SUM(E153:E154)</f>
        <v>#REF!</v>
      </c>
      <c r="F152" s="1986"/>
    </row>
    <row r="153" spans="2:7" ht="17">
      <c r="B153" s="1845" t="s">
        <v>952</v>
      </c>
      <c r="C153" s="1846" t="e">
        <f>C70</f>
        <v>#REF!</v>
      </c>
      <c r="D153" s="1846"/>
      <c r="E153" s="1984" t="e">
        <f>E70</f>
        <v>#REF!</v>
      </c>
      <c r="F153" s="1986"/>
      <c r="G153" s="1985" t="s">
        <v>964</v>
      </c>
    </row>
    <row r="154" spans="2:7">
      <c r="B154" s="1987" t="s">
        <v>953</v>
      </c>
      <c r="C154" s="1847" t="e">
        <f>C94</f>
        <v>#REF!</v>
      </c>
      <c r="D154" s="1847"/>
      <c r="E154" s="1988" t="e">
        <f>E94</f>
        <v>#REF!</v>
      </c>
      <c r="F154" s="1986"/>
    </row>
    <row r="155" spans="2:7" s="1907" customFormat="1">
      <c r="B155" s="1825" t="s">
        <v>973</v>
      </c>
      <c r="C155" s="1989" t="e">
        <f>C152-E152</f>
        <v>#REF!</v>
      </c>
      <c r="E155" s="1990"/>
      <c r="G155" s="1991"/>
    </row>
    <row r="156" spans="2:7">
      <c r="E156" s="1992"/>
    </row>
    <row r="157" spans="2:7">
      <c r="B157" s="1825"/>
      <c r="C157" s="1944"/>
      <c r="G157" s="1993"/>
    </row>
    <row r="158" spans="2:7">
      <c r="G158" s="1994"/>
    </row>
  </sheetData>
  <mergeCells count="1">
    <mergeCell ref="B2:B3"/>
  </mergeCells>
  <conditionalFormatting sqref="B78">
    <cfRule type="cellIs" dxfId="70" priority="10" operator="lessThan">
      <formula>0</formula>
    </cfRule>
  </conditionalFormatting>
  <conditionalFormatting sqref="B95 D95:E95 B96:E96">
    <cfRule type="cellIs" dxfId="69" priority="11" operator="lessThan">
      <formula>0</formula>
    </cfRule>
  </conditionalFormatting>
  <conditionalFormatting sqref="B106">
    <cfRule type="cellIs" dxfId="68" priority="9" operator="lessThan">
      <formula>0</formula>
    </cfRule>
  </conditionalFormatting>
  <conditionalFormatting sqref="B120">
    <cfRule type="cellIs" dxfId="67" priority="7" operator="lessThan">
      <formula>0</formula>
    </cfRule>
  </conditionalFormatting>
  <conditionalFormatting sqref="B125:B126">
    <cfRule type="cellIs" dxfId="66" priority="6" operator="lessThan">
      <formula>0</formula>
    </cfRule>
  </conditionalFormatting>
  <conditionalFormatting sqref="B64:F64 B85:F86">
    <cfRule type="cellIs" dxfId="65" priority="16" operator="lessThan">
      <formula>0</formula>
    </cfRule>
  </conditionalFormatting>
  <conditionalFormatting sqref="B66:F67 F68:F70 B71 D71:F71">
    <cfRule type="cellIs" dxfId="64" priority="13" operator="lessThan">
      <formula>0</formula>
    </cfRule>
  </conditionalFormatting>
  <conditionalFormatting sqref="C95">
    <cfRule type="cellIs" dxfId="63" priority="5" operator="lessThan">
      <formula>$C$96</formula>
    </cfRule>
  </conditionalFormatting>
  <conditionalFormatting sqref="C134:C135 C130 E130 E134:E135 C132 E132">
    <cfRule type="dataBar" priority="17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{85A9FB62-BAA0-E04A-AD64-33B62F89FCA7}</x14:id>
        </ext>
      </extLst>
    </cfRule>
  </conditionalFormatting>
  <conditionalFormatting sqref="C130:E130">
    <cfRule type="dataBar" priority="3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{3F2A9A67-29EE-8047-BCA2-F6F4219EC68D}</x14:id>
        </ext>
      </extLst>
    </cfRule>
  </conditionalFormatting>
  <conditionalFormatting sqref="C132:E132">
    <cfRule type="dataBar" priority="2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{4584D73E-E5F2-1D48-A98A-62E2936B411D}</x14:id>
        </ext>
      </extLst>
    </cfRule>
  </conditionalFormatting>
  <conditionalFormatting sqref="C134:E134">
    <cfRule type="dataBar" priority="1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{DDD67128-4C18-A640-9FB9-BF9300C8A5F5}</x14:id>
        </ext>
      </extLst>
    </cfRule>
  </conditionalFormatting>
  <conditionalFormatting sqref="C63:F67 B87">
    <cfRule type="cellIs" dxfId="62" priority="14" operator="lessThan">
      <formula>0</formula>
    </cfRule>
  </conditionalFormatting>
  <conditionalFormatting sqref="C84:F84">
    <cfRule type="cellIs" dxfId="61" priority="15" operator="lessThan">
      <formula>0</formula>
    </cfRule>
  </conditionalFormatting>
  <conditionalFormatting sqref="C119:F119">
    <cfRule type="cellIs" dxfId="60" priority="8" operator="lessThan">
      <formula>0</formula>
    </cfRule>
  </conditionalFormatting>
  <conditionalFormatting sqref="E138 C138 C140:C142 E140:E142">
    <cfRule type="dataBar" priority="4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{FF1C3A07-4E19-CC4A-98F7-719BB09F04F8}</x14:id>
        </ext>
      </extLst>
    </cfRule>
  </conditionalFormatting>
  <conditionalFormatting sqref="F92:F94">
    <cfRule type="cellIs" dxfId="59" priority="12" operator="lessThan">
      <formula>0</formula>
    </cfRule>
  </conditionalFormatting>
  <dataValidations count="1">
    <dataValidation type="list" allowBlank="1" showInputMessage="1" showErrorMessage="1" sqref="K50" xr:uid="{A36C8B74-0C41-8244-A22F-73753E6F5F28}">
      <formula1>"1,2"</formula1>
    </dataValidation>
  </dataValidations>
  <pageMargins left="0.7" right="0.7" top="0.75" bottom="0.75" header="0.3" footer="0.3"/>
  <legacy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5A9FB62-BAA0-E04A-AD64-33B62F89FCA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C134:C135 C130 E130 E134:E135 C132 E132</xm:sqref>
        </x14:conditionalFormatting>
        <x14:conditionalFormatting xmlns:xm="http://schemas.microsoft.com/office/excel/2006/main">
          <x14:cfRule type="dataBar" id="{3F2A9A67-29EE-8047-BCA2-F6F4219EC68D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C130:E130</xm:sqref>
        </x14:conditionalFormatting>
        <x14:conditionalFormatting xmlns:xm="http://schemas.microsoft.com/office/excel/2006/main">
          <x14:cfRule type="dataBar" id="{4584D73E-E5F2-1D48-A98A-62E2936B411D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C132:E132</xm:sqref>
        </x14:conditionalFormatting>
        <x14:conditionalFormatting xmlns:xm="http://schemas.microsoft.com/office/excel/2006/main">
          <x14:cfRule type="dataBar" id="{DDD67128-4C18-A640-9FB9-BF9300C8A5F5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C134:E134</xm:sqref>
        </x14:conditionalFormatting>
        <x14:conditionalFormatting xmlns:xm="http://schemas.microsoft.com/office/excel/2006/main">
          <x14:cfRule type="dataBar" id="{FF1C3A07-4E19-CC4A-98F7-719BB09F04F8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E138 C138 C140:C142 E140:E142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20C716-7FCA-D64B-A62A-9B2A29AAEA3C}">
  <dimension ref="A1:I53"/>
  <sheetViews>
    <sheetView workbookViewId="0">
      <selection activeCell="F25" sqref="F25"/>
    </sheetView>
  </sheetViews>
  <sheetFormatPr baseColWidth="10" defaultColWidth="8.6640625" defaultRowHeight="16"/>
  <cols>
    <col min="1" max="1" width="18" customWidth="1"/>
    <col min="2" max="2" width="21.6640625" customWidth="1"/>
    <col min="3" max="3" width="23.6640625" customWidth="1"/>
    <col min="4" max="4" width="20" customWidth="1"/>
    <col min="5" max="5" width="12.83203125" customWidth="1"/>
    <col min="6" max="6" width="20.1640625" customWidth="1"/>
    <col min="7" max="8" width="22" customWidth="1"/>
    <col min="9" max="9" width="26.83203125" customWidth="1"/>
    <col min="10" max="10" width="10.6640625" customWidth="1"/>
  </cols>
  <sheetData>
    <row r="1" spans="1:9">
      <c r="A1" s="1995" t="s">
        <v>1064</v>
      </c>
      <c r="B1" s="1995" t="s">
        <v>1076</v>
      </c>
      <c r="C1" s="1995" t="s">
        <v>1065</v>
      </c>
      <c r="D1" s="1995" t="s">
        <v>1066</v>
      </c>
      <c r="F1" s="1996" t="s">
        <v>1064</v>
      </c>
      <c r="G1" s="1996" t="s">
        <v>1065</v>
      </c>
      <c r="H1" s="1996" t="s">
        <v>1066</v>
      </c>
      <c r="I1" s="1996" t="s">
        <v>1067</v>
      </c>
    </row>
    <row r="2" spans="1:9">
      <c r="A2" s="1997" t="s">
        <v>1068</v>
      </c>
      <c r="B2" s="1998">
        <v>0</v>
      </c>
      <c r="C2" s="1998">
        <v>1</v>
      </c>
      <c r="D2" s="1998">
        <f>B2*C2</f>
        <v>0</v>
      </c>
      <c r="F2" s="1999" t="s">
        <v>1068</v>
      </c>
      <c r="G2" s="9">
        <f>SUM(C2:C7)</f>
        <v>191</v>
      </c>
      <c r="H2" s="9">
        <f>SUM(D2:D7)</f>
        <v>408</v>
      </c>
      <c r="I2" s="2001">
        <f>H2/G2</f>
        <v>2.1361256544502618</v>
      </c>
    </row>
    <row r="3" spans="1:9">
      <c r="A3" s="1997" t="s">
        <v>1068</v>
      </c>
      <c r="B3" s="1998">
        <v>1</v>
      </c>
      <c r="C3" s="1998">
        <v>140</v>
      </c>
      <c r="D3" s="1998">
        <f t="shared" ref="D3:D21" si="0">B3*C3</f>
        <v>140</v>
      </c>
      <c r="F3" s="1999" t="s">
        <v>1069</v>
      </c>
      <c r="G3" s="9">
        <f>SUM(C8:C12)</f>
        <v>161</v>
      </c>
      <c r="H3" s="9">
        <f>SUM(D8:D12)</f>
        <v>507</v>
      </c>
      <c r="I3" s="2000">
        <f t="shared" ref="I3:I5" si="1">H3/G3</f>
        <v>3.1490683229813663</v>
      </c>
    </row>
    <row r="4" spans="1:9">
      <c r="A4" s="1997" t="s">
        <v>1068</v>
      </c>
      <c r="B4" s="1998">
        <v>2</v>
      </c>
      <c r="C4" s="1998">
        <v>2</v>
      </c>
      <c r="D4" s="1998">
        <f t="shared" si="0"/>
        <v>4</v>
      </c>
      <c r="F4" s="1999" t="s">
        <v>1070</v>
      </c>
      <c r="G4" s="9">
        <f>SUM(C13:C17)</f>
        <v>102</v>
      </c>
      <c r="H4" s="9">
        <f>SUM(D13:D17)</f>
        <v>374</v>
      </c>
      <c r="I4" s="2000">
        <f t="shared" si="1"/>
        <v>3.6666666666666665</v>
      </c>
    </row>
    <row r="5" spans="1:9">
      <c r="A5" s="1997" t="s">
        <v>1068</v>
      </c>
      <c r="B5" s="1998">
        <v>3</v>
      </c>
      <c r="C5" s="1998">
        <v>28</v>
      </c>
      <c r="D5" s="1998">
        <f t="shared" si="0"/>
        <v>84</v>
      </c>
      <c r="F5" s="1999" t="s">
        <v>1071</v>
      </c>
      <c r="G5" s="9">
        <f>SUM(C18:C21)</f>
        <v>37</v>
      </c>
      <c r="H5" s="9">
        <f>SUM(D18:D21)</f>
        <v>166</v>
      </c>
      <c r="I5" s="2000">
        <f t="shared" si="1"/>
        <v>4.4864864864864868</v>
      </c>
    </row>
    <row r="6" spans="1:9">
      <c r="A6" s="1997" t="s">
        <v>1068</v>
      </c>
      <c r="B6" s="1998">
        <v>6</v>
      </c>
      <c r="C6" s="1998">
        <v>10</v>
      </c>
      <c r="D6" s="1998">
        <f t="shared" si="0"/>
        <v>60</v>
      </c>
    </row>
    <row r="7" spans="1:9">
      <c r="A7" s="1997" t="s">
        <v>1068</v>
      </c>
      <c r="B7" s="1998">
        <v>12</v>
      </c>
      <c r="C7" s="1998">
        <v>10</v>
      </c>
      <c r="D7" s="1998">
        <f t="shared" si="0"/>
        <v>120</v>
      </c>
    </row>
    <row r="8" spans="1:9">
      <c r="A8" s="1997" t="s">
        <v>1069</v>
      </c>
      <c r="B8" s="1998">
        <v>1</v>
      </c>
      <c r="C8" s="1998">
        <v>94</v>
      </c>
      <c r="D8" s="1998">
        <f t="shared" si="0"/>
        <v>94</v>
      </c>
    </row>
    <row r="9" spans="1:9">
      <c r="A9" s="1997" t="s">
        <v>1069</v>
      </c>
      <c r="B9" s="1998">
        <v>2</v>
      </c>
      <c r="C9" s="1998">
        <v>1</v>
      </c>
      <c r="D9" s="1998">
        <f t="shared" si="0"/>
        <v>2</v>
      </c>
    </row>
    <row r="10" spans="1:9">
      <c r="A10" s="1997" t="s">
        <v>1069</v>
      </c>
      <c r="B10" s="1998">
        <v>3</v>
      </c>
      <c r="C10" s="1998">
        <v>35</v>
      </c>
      <c r="D10" s="1998">
        <f t="shared" si="0"/>
        <v>105</v>
      </c>
    </row>
    <row r="11" spans="1:9">
      <c r="A11" s="1997" t="s">
        <v>1069</v>
      </c>
      <c r="B11" s="1998">
        <v>6</v>
      </c>
      <c r="C11" s="1998">
        <v>11</v>
      </c>
      <c r="D11" s="1998">
        <f t="shared" si="0"/>
        <v>66</v>
      </c>
    </row>
    <row r="12" spans="1:9">
      <c r="A12" s="1997" t="s">
        <v>1069</v>
      </c>
      <c r="B12" s="1998">
        <v>12</v>
      </c>
      <c r="C12" s="1998">
        <v>20</v>
      </c>
      <c r="D12" s="1998">
        <f t="shared" si="0"/>
        <v>240</v>
      </c>
    </row>
    <row r="13" spans="1:9">
      <c r="A13" s="1997" t="s">
        <v>1070</v>
      </c>
      <c r="B13" s="1998">
        <v>0</v>
      </c>
      <c r="C13" s="1998">
        <v>2</v>
      </c>
      <c r="D13" s="1998">
        <f t="shared" si="0"/>
        <v>0</v>
      </c>
    </row>
    <row r="14" spans="1:9">
      <c r="A14" s="1997" t="s">
        <v>1070</v>
      </c>
      <c r="B14" s="1998">
        <v>1</v>
      </c>
      <c r="C14" s="1998">
        <v>53</v>
      </c>
      <c r="D14" s="1998">
        <f t="shared" si="0"/>
        <v>53</v>
      </c>
    </row>
    <row r="15" spans="1:9">
      <c r="A15" s="1997" t="s">
        <v>1070</v>
      </c>
      <c r="B15" s="1998">
        <v>3</v>
      </c>
      <c r="C15" s="1998">
        <v>21</v>
      </c>
      <c r="D15" s="1998">
        <f t="shared" si="0"/>
        <v>63</v>
      </c>
    </row>
    <row r="16" spans="1:9">
      <c r="A16" s="1997" t="s">
        <v>1070</v>
      </c>
      <c r="B16" s="1998">
        <v>6</v>
      </c>
      <c r="C16" s="1998">
        <v>9</v>
      </c>
      <c r="D16" s="1998">
        <f t="shared" si="0"/>
        <v>54</v>
      </c>
    </row>
    <row r="17" spans="1:8">
      <c r="A17" s="1997" t="s">
        <v>1070</v>
      </c>
      <c r="B17" s="1998">
        <v>12</v>
      </c>
      <c r="C17" s="1998">
        <v>17</v>
      </c>
      <c r="D17" s="1998">
        <f t="shared" si="0"/>
        <v>204</v>
      </c>
    </row>
    <row r="18" spans="1:8">
      <c r="A18" s="1997" t="s">
        <v>1071</v>
      </c>
      <c r="B18" s="1998">
        <v>1</v>
      </c>
      <c r="C18" s="1998">
        <v>19</v>
      </c>
      <c r="D18" s="1998">
        <f t="shared" si="0"/>
        <v>19</v>
      </c>
    </row>
    <row r="19" spans="1:8">
      <c r="A19" s="1997" t="s">
        <v>1071</v>
      </c>
      <c r="B19" s="1998">
        <v>3</v>
      </c>
      <c r="C19" s="1998">
        <v>5</v>
      </c>
      <c r="D19" s="1998">
        <f t="shared" si="0"/>
        <v>15</v>
      </c>
    </row>
    <row r="20" spans="1:8">
      <c r="A20" s="1997" t="s">
        <v>1071</v>
      </c>
      <c r="B20" s="1998">
        <v>6</v>
      </c>
      <c r="C20" s="1998">
        <v>4</v>
      </c>
      <c r="D20" s="1998">
        <f t="shared" si="0"/>
        <v>24</v>
      </c>
    </row>
    <row r="21" spans="1:8">
      <c r="A21" s="1997" t="s">
        <v>1071</v>
      </c>
      <c r="B21" s="1998">
        <v>12</v>
      </c>
      <c r="C21" s="1998">
        <v>9</v>
      </c>
      <c r="D21" s="1998">
        <f t="shared" si="0"/>
        <v>108</v>
      </c>
    </row>
    <row r="22" spans="1:8">
      <c r="D22" s="1998"/>
    </row>
    <row r="23" spans="1:8">
      <c r="F23" s="2018"/>
      <c r="G23" s="2019"/>
      <c r="H23" s="2019"/>
    </row>
    <row r="24" spans="1:8">
      <c r="F24" s="1541"/>
    </row>
    <row r="25" spans="1:8">
      <c r="F25" s="1541"/>
    </row>
    <row r="26" spans="1:8">
      <c r="A26" s="2023"/>
      <c r="B26" s="2024" t="s">
        <v>1065</v>
      </c>
      <c r="C26" s="2023" t="s">
        <v>1107</v>
      </c>
      <c r="F26" s="1541"/>
    </row>
    <row r="27" spans="1:8">
      <c r="A27" s="2018" t="s">
        <v>1068</v>
      </c>
      <c r="B27" s="2019">
        <v>191</v>
      </c>
      <c r="C27" s="2019">
        <v>3752242</v>
      </c>
      <c r="F27" s="1541"/>
    </row>
    <row r="28" spans="1:8">
      <c r="A28" s="1541">
        <v>0</v>
      </c>
      <c r="B28">
        <v>1</v>
      </c>
      <c r="C28">
        <v>666</v>
      </c>
      <c r="F28" s="1541"/>
    </row>
    <row r="29" spans="1:8">
      <c r="A29" s="1541">
        <v>1</v>
      </c>
      <c r="B29">
        <v>140</v>
      </c>
      <c r="C29">
        <v>1583647</v>
      </c>
      <c r="F29" s="2018"/>
      <c r="G29" s="2019"/>
      <c r="H29" s="2019"/>
    </row>
    <row r="30" spans="1:8">
      <c r="A30" s="1541">
        <v>2</v>
      </c>
      <c r="B30">
        <v>2</v>
      </c>
      <c r="C30">
        <v>10000</v>
      </c>
      <c r="F30" s="1541"/>
    </row>
    <row r="31" spans="1:8">
      <c r="A31" s="1541">
        <v>3</v>
      </c>
      <c r="B31">
        <v>28</v>
      </c>
      <c r="C31">
        <v>783108</v>
      </c>
      <c r="F31" s="1541"/>
    </row>
    <row r="32" spans="1:8">
      <c r="A32" s="1541">
        <v>6</v>
      </c>
      <c r="B32">
        <v>10</v>
      </c>
      <c r="C32">
        <v>594903</v>
      </c>
      <c r="F32" s="1541"/>
    </row>
    <row r="33" spans="1:8">
      <c r="A33" s="1541">
        <v>12</v>
      </c>
      <c r="B33">
        <v>10</v>
      </c>
      <c r="C33">
        <v>779918</v>
      </c>
      <c r="F33" s="1541"/>
    </row>
    <row r="34" spans="1:8">
      <c r="A34" s="2018" t="s">
        <v>1069</v>
      </c>
      <c r="B34" s="2019">
        <v>161</v>
      </c>
      <c r="C34" s="2019">
        <v>4477202</v>
      </c>
      <c r="F34" s="1541"/>
    </row>
    <row r="35" spans="1:8">
      <c r="A35" s="1541">
        <v>1</v>
      </c>
      <c r="B35">
        <v>94</v>
      </c>
      <c r="C35">
        <v>1024717</v>
      </c>
      <c r="F35" s="2018"/>
      <c r="G35" s="2019"/>
      <c r="H35" s="2019"/>
    </row>
    <row r="36" spans="1:8">
      <c r="A36" s="1541">
        <v>2</v>
      </c>
      <c r="B36">
        <v>1</v>
      </c>
      <c r="C36">
        <v>25980</v>
      </c>
      <c r="F36" s="1541"/>
    </row>
    <row r="37" spans="1:8">
      <c r="A37" s="1541">
        <v>3</v>
      </c>
      <c r="B37">
        <v>35</v>
      </c>
      <c r="C37">
        <v>874673</v>
      </c>
      <c r="F37" s="1541"/>
    </row>
    <row r="38" spans="1:8">
      <c r="A38" s="1541">
        <v>6</v>
      </c>
      <c r="B38">
        <v>11</v>
      </c>
      <c r="C38">
        <v>506114</v>
      </c>
      <c r="F38" s="1541"/>
    </row>
    <row r="39" spans="1:8">
      <c r="A39" s="1541">
        <v>12</v>
      </c>
      <c r="B39">
        <v>20</v>
      </c>
      <c r="C39">
        <v>2045718</v>
      </c>
      <c r="F39" s="1541"/>
    </row>
    <row r="40" spans="1:8">
      <c r="A40" s="2018" t="s">
        <v>1070</v>
      </c>
      <c r="B40" s="2019">
        <v>102</v>
      </c>
      <c r="C40" s="2019">
        <v>3392809</v>
      </c>
      <c r="F40" s="2018"/>
      <c r="G40" s="2019"/>
      <c r="H40" s="2019"/>
    </row>
    <row r="41" spans="1:8">
      <c r="A41" s="1541">
        <v>0</v>
      </c>
      <c r="B41">
        <v>2</v>
      </c>
      <c r="C41">
        <v>5500</v>
      </c>
      <c r="F41" s="1541"/>
    </row>
    <row r="42" spans="1:8">
      <c r="A42" s="1541">
        <v>1</v>
      </c>
      <c r="B42">
        <v>53</v>
      </c>
      <c r="C42">
        <v>616841</v>
      </c>
      <c r="F42" s="2020"/>
      <c r="G42" s="2021"/>
      <c r="H42" s="2022"/>
    </row>
    <row r="43" spans="1:8">
      <c r="A43" s="1541">
        <v>3</v>
      </c>
      <c r="B43">
        <v>21</v>
      </c>
      <c r="C43">
        <v>721044</v>
      </c>
    </row>
    <row r="44" spans="1:8">
      <c r="A44" s="1541">
        <v>6</v>
      </c>
      <c r="B44">
        <v>9</v>
      </c>
      <c r="C44">
        <v>418312</v>
      </c>
    </row>
    <row r="45" spans="1:8">
      <c r="A45" s="1541">
        <v>12</v>
      </c>
      <c r="B45">
        <v>17</v>
      </c>
      <c r="C45">
        <v>1631112</v>
      </c>
    </row>
    <row r="46" spans="1:8">
      <c r="A46" s="2018" t="s">
        <v>1071</v>
      </c>
      <c r="B46" s="2019">
        <v>37</v>
      </c>
      <c r="C46" s="2019">
        <v>2024535</v>
      </c>
    </row>
    <row r="47" spans="1:8">
      <c r="A47" s="1541">
        <v>1</v>
      </c>
      <c r="B47">
        <v>19</v>
      </c>
      <c r="C47">
        <v>383254</v>
      </c>
    </row>
    <row r="48" spans="1:8">
      <c r="A48" s="1541">
        <v>3</v>
      </c>
      <c r="B48">
        <v>5</v>
      </c>
      <c r="C48">
        <v>151115</v>
      </c>
    </row>
    <row r="49" spans="1:3">
      <c r="A49" s="1541">
        <v>6</v>
      </c>
      <c r="B49">
        <v>4</v>
      </c>
      <c r="C49">
        <v>460467</v>
      </c>
    </row>
    <row r="50" spans="1:3">
      <c r="A50" s="1541">
        <v>12</v>
      </c>
      <c r="B50">
        <v>9</v>
      </c>
      <c r="C50">
        <v>1029699</v>
      </c>
    </row>
    <row r="51" spans="1:3">
      <c r="A51" s="2018" t="s">
        <v>1105</v>
      </c>
      <c r="B51" s="2019"/>
      <c r="C51" s="2019"/>
    </row>
    <row r="52" spans="1:3">
      <c r="A52" s="1541" t="s">
        <v>1105</v>
      </c>
    </row>
    <row r="53" spans="1:3">
      <c r="A53" s="2020" t="s">
        <v>1106</v>
      </c>
      <c r="B53" s="2021">
        <v>491</v>
      </c>
      <c r="C53" s="2022">
        <v>13646788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07BD67-7487-D143-B3F0-EDE481E96927}">
  <sheetPr codeName="Лист9">
    <tabColor theme="8" tint="0.79998168889431442"/>
  </sheetPr>
  <dimension ref="A1:BR205"/>
  <sheetViews>
    <sheetView zoomScale="90" zoomScaleNormal="90" workbookViewId="0">
      <pane xSplit="4" ySplit="4" topLeftCell="E103" activePane="bottomRight" state="frozen"/>
      <selection pane="topRight" activeCell="F1" sqref="F1"/>
      <selection pane="bottomLeft" activeCell="A4" sqref="A4"/>
      <selection pane="bottomRight" activeCell="G107" sqref="G107:G112"/>
    </sheetView>
  </sheetViews>
  <sheetFormatPr baseColWidth="10" defaultColWidth="10.83203125" defaultRowHeight="19" outlineLevelRow="2" outlineLevelCol="2"/>
  <cols>
    <col min="1" max="1" width="60.5" style="87" customWidth="1"/>
    <col min="2" max="2" width="18.33203125" style="1" customWidth="1" outlineLevel="1"/>
    <col min="3" max="3" width="14.33203125" style="1" customWidth="1" outlineLevel="1"/>
    <col min="4" max="4" width="15.33203125" style="1057" customWidth="1"/>
    <col min="5" max="5" width="14.33203125" style="1" customWidth="1" outlineLevel="1"/>
    <col min="6" max="6" width="12.1640625" style="2" customWidth="1"/>
    <col min="7" max="9" width="19.33203125" style="1" customWidth="1" outlineLevel="1"/>
    <col min="10" max="10" width="20.6640625" style="1" customWidth="1" outlineLevel="1"/>
    <col min="11" max="11" width="17.33203125" style="295" customWidth="1"/>
    <col min="12" max="12" width="10.1640625" style="1" customWidth="1" outlineLevel="1"/>
    <col min="13" max="13" width="13.5" style="1" customWidth="1"/>
    <col min="14" max="17" width="16" style="1" customWidth="1" outlineLevel="1"/>
    <col min="18" max="18" width="21.6640625" style="295" customWidth="1"/>
    <col min="19" max="19" width="12.6640625" style="1" customWidth="1" outlineLevel="1"/>
    <col min="20" max="22" width="17" style="1" customWidth="1" outlineLevel="2"/>
    <col min="23" max="23" width="17.33203125" style="1" customWidth="1" outlineLevel="2"/>
    <col min="24" max="24" width="16.6640625" style="295" customWidth="1" outlineLevel="1"/>
    <col min="25" max="27" width="10" style="1" customWidth="1" outlineLevel="2"/>
    <col min="28" max="28" width="12.5" style="1" customWidth="1" outlineLevel="1"/>
    <col min="29" max="32" width="14.33203125" style="1" customWidth="1" outlineLevel="2"/>
    <col min="33" max="33" width="14.33203125" style="1" customWidth="1" outlineLevel="1"/>
    <col min="34" max="34" width="12.5" style="28" customWidth="1" outlineLevel="1"/>
    <col min="35" max="38" width="14.33203125" style="1" customWidth="1" outlineLevel="2"/>
    <col min="39" max="39" width="14.33203125" style="24" customWidth="1" outlineLevel="1"/>
    <col min="40" max="40" width="16.33203125" style="295" customWidth="1" outlineLevel="1"/>
    <col min="41" max="45" width="11.83203125" style="1" customWidth="1"/>
    <col min="46" max="46" width="13.83203125" style="1" customWidth="1"/>
    <col min="47" max="47" width="16.33203125" style="1" customWidth="1"/>
    <col min="48" max="52" width="17" style="1" customWidth="1"/>
    <col min="53" max="58" width="10.83203125" style="423"/>
    <col min="59" max="70" width="17" style="1" customWidth="1"/>
    <col min="71" max="16384" width="10.83203125" style="423"/>
  </cols>
  <sheetData>
    <row r="1" spans="1:70" s="61" customFormat="1" ht="30" customHeight="1" outlineLevel="1" thickBot="1">
      <c r="A1" s="436"/>
      <c r="B1" s="13"/>
      <c r="C1" s="13"/>
      <c r="D1" s="1066"/>
      <c r="E1" s="13"/>
      <c r="F1" s="260" t="s">
        <v>799</v>
      </c>
      <c r="G1" s="260"/>
      <c r="H1" s="260"/>
      <c r="I1" s="260"/>
      <c r="J1" s="260"/>
      <c r="K1" s="516"/>
      <c r="M1" s="1324" t="s">
        <v>800</v>
      </c>
      <c r="N1" s="103"/>
      <c r="O1" s="103"/>
      <c r="P1" s="103"/>
      <c r="Q1" s="103"/>
      <c r="R1" s="1325"/>
      <c r="S1" s="1324" t="s">
        <v>649</v>
      </c>
      <c r="T1" s="103"/>
      <c r="U1" s="103"/>
      <c r="V1" s="103"/>
      <c r="W1" s="103"/>
      <c r="X1" s="1325"/>
      <c r="Y1" s="103"/>
      <c r="Z1" s="103"/>
      <c r="AA1" s="103"/>
      <c r="AB1" s="1324" t="s">
        <v>649</v>
      </c>
      <c r="AC1" s="103"/>
      <c r="AD1" s="103"/>
      <c r="AE1" s="103"/>
      <c r="AF1" s="103"/>
      <c r="AG1" s="103"/>
      <c r="AH1" s="103"/>
      <c r="AI1" s="103"/>
      <c r="AJ1" s="103"/>
      <c r="AK1" s="103"/>
      <c r="AL1" s="103"/>
      <c r="AM1" s="103"/>
      <c r="AN1" s="1325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</row>
    <row r="2" spans="1:70" s="799" customFormat="1" ht="73" customHeight="1">
      <c r="A2" s="1388"/>
      <c r="B2" s="1"/>
      <c r="C2" s="1"/>
      <c r="D2" s="1054"/>
      <c r="E2" s="1022"/>
      <c r="F2" s="2099" t="s">
        <v>1158</v>
      </c>
      <c r="G2" s="2099"/>
      <c r="H2" s="2099"/>
      <c r="I2" s="2099"/>
      <c r="J2" s="2099"/>
      <c r="K2" s="2100"/>
      <c r="L2" s="1035"/>
      <c r="M2" s="2097" t="s">
        <v>1159</v>
      </c>
      <c r="N2" s="2097"/>
      <c r="O2" s="2097"/>
      <c r="P2" s="2097"/>
      <c r="Q2" s="2097"/>
      <c r="R2" s="2098"/>
      <c r="S2" s="2101" t="s">
        <v>1156</v>
      </c>
      <c r="T2" s="2102"/>
      <c r="U2" s="2102"/>
      <c r="V2" s="2102"/>
      <c r="W2" s="2102"/>
      <c r="X2" s="2103"/>
      <c r="Z2" s="86"/>
      <c r="AA2" s="86"/>
      <c r="AB2" s="2096" t="s">
        <v>1157</v>
      </c>
      <c r="AC2" s="2097"/>
      <c r="AD2" s="2097"/>
      <c r="AE2" s="2097"/>
      <c r="AF2" s="2097"/>
      <c r="AG2" s="2097"/>
      <c r="AH2" s="2097"/>
      <c r="AI2" s="2097"/>
      <c r="AJ2" s="2097"/>
      <c r="AK2" s="2097"/>
      <c r="AL2" s="2097"/>
      <c r="AM2" s="2097"/>
      <c r="AN2" s="2098"/>
      <c r="AO2" s="134"/>
      <c r="AP2" s="85"/>
      <c r="AQ2" s="86"/>
      <c r="AR2" s="86"/>
      <c r="AS2" s="86"/>
      <c r="AT2" s="1211"/>
      <c r="AU2" s="1212"/>
      <c r="AV2" s="85"/>
      <c r="AW2" s="86"/>
      <c r="AX2" s="86"/>
      <c r="AY2" s="86"/>
      <c r="AZ2" s="1211"/>
    </row>
    <row r="3" spans="1:70" s="454" customFormat="1" ht="20" thickBot="1">
      <c r="A3" s="91"/>
      <c r="B3" s="88"/>
      <c r="C3" s="88"/>
      <c r="D3" s="1055"/>
      <c r="E3" s="88"/>
      <c r="F3" s="859"/>
      <c r="G3" s="88"/>
      <c r="H3" s="860"/>
      <c r="I3" s="860"/>
      <c r="J3" s="860"/>
      <c r="K3" s="861"/>
      <c r="L3" s="860"/>
      <c r="M3" s="859"/>
      <c r="N3" s="88"/>
      <c r="O3" s="860"/>
      <c r="P3" s="860"/>
      <c r="Q3" s="860"/>
      <c r="R3" s="861"/>
      <c r="S3" s="859"/>
      <c r="T3" s="88"/>
      <c r="U3" s="860"/>
      <c r="V3" s="860"/>
      <c r="W3" s="860"/>
      <c r="X3" s="861"/>
      <c r="Y3" s="860"/>
      <c r="Z3" s="860"/>
      <c r="AA3" s="860"/>
      <c r="AB3" s="2090" t="s">
        <v>447</v>
      </c>
      <c r="AC3" s="2091"/>
      <c r="AD3" s="2091"/>
      <c r="AE3" s="2091"/>
      <c r="AF3" s="2091"/>
      <c r="AG3" s="2092"/>
      <c r="AH3" s="2093" t="s">
        <v>446</v>
      </c>
      <c r="AI3" s="2094"/>
      <c r="AJ3" s="2094"/>
      <c r="AK3" s="2094"/>
      <c r="AL3" s="2094"/>
      <c r="AM3" s="2095"/>
      <c r="AN3" s="861"/>
      <c r="AO3" s="867"/>
      <c r="AP3" s="88"/>
      <c r="AQ3" s="860"/>
      <c r="AR3" s="860"/>
      <c r="AS3" s="860"/>
      <c r="AT3" s="868"/>
      <c r="AU3" s="867"/>
      <c r="AV3" s="88"/>
      <c r="AW3" s="860"/>
      <c r="AX3" s="860"/>
      <c r="AY3" s="860"/>
      <c r="AZ3" s="868"/>
    </row>
    <row r="4" spans="1:70" s="578" customFormat="1" ht="80" customHeight="1">
      <c r="A4" s="576" t="s">
        <v>39</v>
      </c>
      <c r="B4" s="970" t="s">
        <v>536</v>
      </c>
      <c r="C4" s="970" t="s">
        <v>536</v>
      </c>
      <c r="D4" s="1056" t="s">
        <v>554</v>
      </c>
      <c r="E4" s="1221" t="s">
        <v>622</v>
      </c>
      <c r="F4" s="627" t="s">
        <v>402</v>
      </c>
      <c r="G4" s="347" t="s">
        <v>37</v>
      </c>
      <c r="H4" s="347" t="s">
        <v>214</v>
      </c>
      <c r="I4" s="347" t="s">
        <v>210</v>
      </c>
      <c r="J4" s="347" t="s">
        <v>209</v>
      </c>
      <c r="K4" s="348" t="s">
        <v>420</v>
      </c>
      <c r="L4" s="1221" t="s">
        <v>622</v>
      </c>
      <c r="M4" s="627" t="s">
        <v>402</v>
      </c>
      <c r="N4" s="347" t="s">
        <v>301</v>
      </c>
      <c r="O4" s="347" t="s">
        <v>302</v>
      </c>
      <c r="P4" s="347" t="s">
        <v>303</v>
      </c>
      <c r="Q4" s="347" t="s">
        <v>304</v>
      </c>
      <c r="R4" s="348" t="s">
        <v>420</v>
      </c>
      <c r="S4" s="627" t="s">
        <v>402</v>
      </c>
      <c r="T4" s="347" t="s">
        <v>301</v>
      </c>
      <c r="U4" s="347" t="s">
        <v>302</v>
      </c>
      <c r="V4" s="347" t="s">
        <v>303</v>
      </c>
      <c r="W4" s="347" t="s">
        <v>304</v>
      </c>
      <c r="X4" s="348" t="s">
        <v>420</v>
      </c>
      <c r="Y4" s="1019" t="s">
        <v>557</v>
      </c>
      <c r="Z4" s="1019" t="s">
        <v>556</v>
      </c>
      <c r="AA4" s="1019" t="s">
        <v>555</v>
      </c>
      <c r="AB4" s="659" t="s">
        <v>402</v>
      </c>
      <c r="AC4" s="85" t="s">
        <v>301</v>
      </c>
      <c r="AD4" s="85" t="s">
        <v>302</v>
      </c>
      <c r="AE4" s="85" t="s">
        <v>303</v>
      </c>
      <c r="AF4" s="85" t="s">
        <v>304</v>
      </c>
      <c r="AG4" s="660" t="s">
        <v>443</v>
      </c>
      <c r="AH4" s="661" t="s">
        <v>402</v>
      </c>
      <c r="AI4" s="85" t="s">
        <v>301</v>
      </c>
      <c r="AJ4" s="85" t="s">
        <v>302</v>
      </c>
      <c r="AK4" s="85" t="s">
        <v>303</v>
      </c>
      <c r="AL4" s="85" t="s">
        <v>304</v>
      </c>
      <c r="AM4" s="660" t="s">
        <v>444</v>
      </c>
      <c r="AN4" s="680" t="s">
        <v>445</v>
      </c>
      <c r="AO4" s="1213"/>
      <c r="AP4" s="347"/>
      <c r="AQ4" s="347"/>
      <c r="AR4" s="347"/>
      <c r="AS4" s="347"/>
      <c r="AT4" s="412"/>
      <c r="AU4" s="1214"/>
      <c r="AV4" s="347"/>
      <c r="AW4" s="347"/>
      <c r="AX4" s="347"/>
      <c r="AY4" s="347"/>
      <c r="AZ4" s="412"/>
    </row>
    <row r="5" spans="1:70" ht="20">
      <c r="A5" s="87" t="s">
        <v>45</v>
      </c>
      <c r="B5" s="971"/>
      <c r="C5" s="971"/>
      <c r="E5" s="662"/>
      <c r="F5" s="789">
        <v>1</v>
      </c>
      <c r="G5" s="1">
        <f>'База селлеров'!B63</f>
        <v>79000</v>
      </c>
      <c r="H5" s="1">
        <f>'База селлеров'!C63</f>
        <v>33000</v>
      </c>
      <c r="I5" s="1">
        <f>'База селлеров'!D67</f>
        <v>1820.0000000000002</v>
      </c>
      <c r="J5" s="1">
        <f>'База селлеров'!E67</f>
        <v>3705</v>
      </c>
      <c r="K5" s="297">
        <f>SUM(G5:J5)</f>
        <v>117525</v>
      </c>
      <c r="L5" s="13"/>
      <c r="M5" s="74">
        <f>F5</f>
        <v>1</v>
      </c>
      <c r="N5" s="1">
        <f>G5</f>
        <v>79000</v>
      </c>
      <c r="O5" s="1">
        <f>H5</f>
        <v>33000</v>
      </c>
      <c r="P5" s="1">
        <f>I5</f>
        <v>1820.0000000000002</v>
      </c>
      <c r="Q5" s="1">
        <f>J5</f>
        <v>3705</v>
      </c>
      <c r="R5" s="297">
        <f>SUM(N5:Q5)</f>
        <v>117525</v>
      </c>
      <c r="S5" s="74">
        <f>M5</f>
        <v>1</v>
      </c>
      <c r="T5" s="1">
        <f>N5</f>
        <v>79000</v>
      </c>
      <c r="U5" s="1">
        <f>O5</f>
        <v>33000</v>
      </c>
      <c r="V5" s="1">
        <f>P5</f>
        <v>1820.0000000000002</v>
      </c>
      <c r="W5" s="1">
        <f>Q5</f>
        <v>3705</v>
      </c>
      <c r="X5" s="297">
        <f>SUM(T5:W5)</f>
        <v>117525</v>
      </c>
      <c r="Y5" s="663"/>
      <c r="Z5" s="663"/>
      <c r="AA5" s="663"/>
      <c r="AB5" s="87"/>
      <c r="AC5" s="154">
        <f>T5*T91</f>
        <v>70079.174723972304</v>
      </c>
      <c r="AD5" s="154">
        <f>U5*U91</f>
        <v>27249.295112781954</v>
      </c>
      <c r="AE5" s="154">
        <f>V5*V91</f>
        <v>1564.9857633945626</v>
      </c>
      <c r="AF5" s="154">
        <f>W5*W91</f>
        <v>3185.8638754817875</v>
      </c>
      <c r="AG5" s="681">
        <f>SUM(AC5:AF5)</f>
        <v>102079.31947563062</v>
      </c>
      <c r="AI5" s="154">
        <f>T5-AC5</f>
        <v>8920.8252760276955</v>
      </c>
      <c r="AJ5" s="154">
        <f>U5-AD5</f>
        <v>5750.7048872180458</v>
      </c>
      <c r="AK5" s="154">
        <f>V5-AE5</f>
        <v>255.01423660543765</v>
      </c>
      <c r="AL5" s="154">
        <f>W5-AF5</f>
        <v>519.13612451821245</v>
      </c>
      <c r="AM5" s="681">
        <f>SUM(AI5:AL5)</f>
        <v>15445.680524369391</v>
      </c>
      <c r="AN5" s="301">
        <f>AG5+AM5</f>
        <v>117525.00000000001</v>
      </c>
      <c r="AT5" s="24"/>
      <c r="AU5" s="28"/>
      <c r="AZ5" s="24"/>
      <c r="BG5" s="423"/>
      <c r="BH5" s="423"/>
      <c r="BI5" s="423"/>
      <c r="BJ5" s="423"/>
      <c r="BK5" s="423"/>
      <c r="BL5" s="423"/>
      <c r="BM5" s="423"/>
      <c r="BN5" s="423"/>
      <c r="BO5" s="423"/>
      <c r="BP5" s="423"/>
      <c r="BQ5" s="423"/>
      <c r="BR5" s="423"/>
    </row>
    <row r="6" spans="1:70" s="272" customFormat="1" ht="20" outlineLevel="1">
      <c r="A6" s="349" t="s">
        <v>318</v>
      </c>
      <c r="B6" s="971"/>
      <c r="C6" s="971"/>
      <c r="D6" s="1058"/>
      <c r="E6" s="662"/>
      <c r="F6" s="790"/>
      <c r="G6" s="662"/>
      <c r="H6" s="662"/>
      <c r="I6" s="285">
        <f>'База селлеров'!D69</f>
        <v>130.00000000000023</v>
      </c>
      <c r="J6" s="285">
        <f>'База селлеров'!E69</f>
        <v>1233</v>
      </c>
      <c r="K6" s="350"/>
      <c r="L6" s="663"/>
      <c r="M6" s="1021"/>
      <c r="N6" s="662"/>
      <c r="O6" s="662"/>
      <c r="P6" s="285">
        <f>I6</f>
        <v>130.00000000000023</v>
      </c>
      <c r="Q6" s="285">
        <f>J6</f>
        <v>1233</v>
      </c>
      <c r="R6" s="350"/>
      <c r="S6" s="1021"/>
      <c r="T6" s="662"/>
      <c r="U6" s="662"/>
      <c r="V6" s="285">
        <f>P6</f>
        <v>130.00000000000023</v>
      </c>
      <c r="W6" s="285">
        <f>Q6</f>
        <v>1233</v>
      </c>
      <c r="X6" s="350"/>
      <c r="Y6" s="663"/>
      <c r="Z6" s="663"/>
      <c r="AA6" s="663"/>
      <c r="AB6" s="351"/>
      <c r="AC6" s="662"/>
      <c r="AD6" s="662"/>
      <c r="AE6" s="285">
        <f>V6*V91</f>
        <v>111.78469738532608</v>
      </c>
      <c r="AF6" s="285">
        <f>W6*W91</f>
        <v>1060.234860585437</v>
      </c>
      <c r="AG6" s="352"/>
      <c r="AH6" s="470"/>
      <c r="AI6" s="663"/>
      <c r="AJ6" s="662"/>
      <c r="AK6" s="285">
        <f>V6-AE6</f>
        <v>18.215302614674144</v>
      </c>
      <c r="AL6" s="285">
        <f>W6-AF6</f>
        <v>172.76513941456301</v>
      </c>
      <c r="AM6" s="352"/>
      <c r="AN6" s="637"/>
      <c r="AO6" s="662"/>
      <c r="AP6" s="662"/>
      <c r="AQ6" s="662"/>
      <c r="AR6" s="662"/>
      <c r="AS6" s="662"/>
      <c r="AT6" s="352"/>
      <c r="AU6" s="470"/>
      <c r="AV6" s="662"/>
      <c r="AW6" s="662"/>
      <c r="AX6" s="662"/>
      <c r="AY6" s="662"/>
      <c r="AZ6" s="352"/>
    </row>
    <row r="7" spans="1:70" ht="20">
      <c r="A7" s="416" t="s">
        <v>325</v>
      </c>
      <c r="B7" s="971"/>
      <c r="C7" s="972">
        <v>1</v>
      </c>
      <c r="D7" s="1059" t="s">
        <v>542</v>
      </c>
      <c r="E7" s="1020"/>
      <c r="F7" s="791">
        <v>0.5</v>
      </c>
      <c r="G7" s="1">
        <f>G5*$F$7</f>
        <v>39500</v>
      </c>
      <c r="H7" s="1">
        <f>H5*$F$7</f>
        <v>16500</v>
      </c>
      <c r="I7" s="1">
        <f>I5*$F$7</f>
        <v>910.00000000000011</v>
      </c>
      <c r="J7" s="1">
        <f>J5*$F$7</f>
        <v>1852.5</v>
      </c>
      <c r="K7" s="301">
        <f>SUM(G7:J7)</f>
        <v>58762.5</v>
      </c>
      <c r="L7" s="13"/>
      <c r="M7" s="791">
        <f>F7</f>
        <v>0.5</v>
      </c>
      <c r="N7" s="1">
        <f>G7</f>
        <v>39500</v>
      </c>
      <c r="O7" s="1">
        <f>H7</f>
        <v>16500</v>
      </c>
      <c r="P7" s="1">
        <f>I7</f>
        <v>910.00000000000011</v>
      </c>
      <c r="Q7" s="1">
        <f>J7</f>
        <v>1852.5</v>
      </c>
      <c r="R7" s="301">
        <f>SUM(N7:Q7)</f>
        <v>58762.5</v>
      </c>
      <c r="S7" s="791">
        <f>M7</f>
        <v>0.5</v>
      </c>
      <c r="T7" s="1">
        <f>N7</f>
        <v>39500</v>
      </c>
      <c r="U7" s="1">
        <f>O7</f>
        <v>16500</v>
      </c>
      <c r="V7" s="1">
        <f>P7</f>
        <v>910.00000000000011</v>
      </c>
      <c r="W7" s="1">
        <f>Q7</f>
        <v>1852.5</v>
      </c>
      <c r="X7" s="297">
        <f>SUM(T7:W7)</f>
        <v>58762.5</v>
      </c>
      <c r="Y7" s="663"/>
      <c r="Z7" s="663"/>
      <c r="AA7" s="663"/>
      <c r="AB7" s="296">
        <f>S7</f>
        <v>0.5</v>
      </c>
      <c r="AC7" s="154">
        <f>$AB$7*AC5</f>
        <v>35039.587361986152</v>
      </c>
      <c r="AD7" s="154">
        <f t="shared" ref="AD7:AF7" si="0">$AB$7*AD5</f>
        <v>13624.647556390977</v>
      </c>
      <c r="AE7" s="154">
        <f t="shared" si="0"/>
        <v>782.49288169728129</v>
      </c>
      <c r="AF7" s="154">
        <f t="shared" si="0"/>
        <v>1592.9319377408938</v>
      </c>
      <c r="AG7" s="681">
        <f>SUM(AC7:AF7)</f>
        <v>51039.659737815309</v>
      </c>
      <c r="AH7" s="283">
        <f>M7</f>
        <v>0.5</v>
      </c>
      <c r="AI7" s="154">
        <f>$AH$7*AI5</f>
        <v>4460.4126380138478</v>
      </c>
      <c r="AJ7" s="154">
        <f t="shared" ref="AJ7:AL7" si="1">$AH$7*AJ5</f>
        <v>2875.3524436090229</v>
      </c>
      <c r="AK7" s="154">
        <f t="shared" si="1"/>
        <v>127.50711830271882</v>
      </c>
      <c r="AL7" s="154">
        <f t="shared" si="1"/>
        <v>259.56806225910623</v>
      </c>
      <c r="AM7" s="681">
        <f>SUM(AI7:AL7)</f>
        <v>7722.8402621846953</v>
      </c>
      <c r="AN7" s="301">
        <f>AG7+AM7</f>
        <v>58762.500000000007</v>
      </c>
      <c r="AT7" s="24"/>
      <c r="AU7" s="28"/>
      <c r="AZ7" s="24"/>
      <c r="BG7" s="423"/>
      <c r="BH7" s="423"/>
      <c r="BI7" s="423"/>
      <c r="BJ7" s="423"/>
      <c r="BK7" s="423"/>
      <c r="BL7" s="423"/>
      <c r="BM7" s="423"/>
      <c r="BN7" s="423"/>
      <c r="BO7" s="423"/>
      <c r="BP7" s="423"/>
      <c r="BQ7" s="423"/>
      <c r="BR7" s="423"/>
    </row>
    <row r="8" spans="1:70" ht="20" outlineLevel="1">
      <c r="A8" s="87" t="s">
        <v>0</v>
      </c>
      <c r="B8" s="971"/>
      <c r="C8" s="971"/>
      <c r="E8" s="662"/>
      <c r="F8" s="789">
        <v>0.35</v>
      </c>
      <c r="G8" s="1">
        <f>$F8*G7</f>
        <v>13825</v>
      </c>
      <c r="H8" s="1">
        <f>$F8*H7</f>
        <v>5775</v>
      </c>
      <c r="I8" s="154">
        <f>$F8*I7</f>
        <v>318.5</v>
      </c>
      <c r="J8" s="154">
        <f>$F8*J7</f>
        <v>648.375</v>
      </c>
      <c r="K8" s="301">
        <f>SUM(G8:J8)</f>
        <v>20566.875</v>
      </c>
      <c r="L8" s="285"/>
      <c r="M8" s="789">
        <v>0.35</v>
      </c>
      <c r="N8" s="1">
        <f>$F8*N7</f>
        <v>13825</v>
      </c>
      <c r="O8" s="1">
        <f>$F8*O7</f>
        <v>5775</v>
      </c>
      <c r="P8" s="154">
        <f>$F8*P7</f>
        <v>318.5</v>
      </c>
      <c r="Q8" s="154">
        <f>$F8*Q7</f>
        <v>648.375</v>
      </c>
      <c r="R8" s="301">
        <f>SUM(N8:Q8)</f>
        <v>20566.875</v>
      </c>
      <c r="S8" s="789">
        <v>0.35</v>
      </c>
      <c r="T8" s="1">
        <f>$F8*T7</f>
        <v>13825</v>
      </c>
      <c r="U8" s="1">
        <f>$F8*U7</f>
        <v>5775</v>
      </c>
      <c r="V8" s="154">
        <f>$F8*V7</f>
        <v>318.5</v>
      </c>
      <c r="W8" s="154">
        <f>$F8*W7</f>
        <v>648.375</v>
      </c>
      <c r="X8" s="301">
        <f>SUM(T8:W8)</f>
        <v>20566.875</v>
      </c>
      <c r="Y8" s="662"/>
      <c r="Z8" s="662"/>
      <c r="AA8" s="662"/>
      <c r="AB8" s="789">
        <v>0.35</v>
      </c>
      <c r="AC8" s="1">
        <f>$F8*AC7</f>
        <v>12263.855576695152</v>
      </c>
      <c r="AD8" s="1">
        <f>$F8*AD7</f>
        <v>4768.6266447368416</v>
      </c>
      <c r="AE8" s="154">
        <f>$F8*AE7</f>
        <v>273.87250859404844</v>
      </c>
      <c r="AF8" s="154">
        <f>$F8*AF7</f>
        <v>557.52617820931277</v>
      </c>
      <c r="AG8" s="301">
        <f>SUM(AC8:AF8)</f>
        <v>17863.880908235355</v>
      </c>
      <c r="AH8" s="789">
        <v>0.35</v>
      </c>
      <c r="AI8" s="1">
        <f>$F8*AI7</f>
        <v>1561.1444233048467</v>
      </c>
      <c r="AJ8" s="1">
        <f>$F8*AJ7</f>
        <v>1006.3733552631579</v>
      </c>
      <c r="AK8" s="154">
        <f>$F8*AK7</f>
        <v>44.627491405951588</v>
      </c>
      <c r="AL8" s="154">
        <f>$F8*AL7</f>
        <v>90.848821790687168</v>
      </c>
      <c r="AM8" s="301">
        <f>SUM(AI8:AL8)</f>
        <v>2702.9940917646431</v>
      </c>
      <c r="AN8" s="301">
        <f>AG8+AM8</f>
        <v>20566.874999999996</v>
      </c>
      <c r="AT8" s="24"/>
      <c r="AU8" s="28"/>
      <c r="AZ8" s="24"/>
      <c r="BG8" s="423"/>
      <c r="BH8" s="423"/>
      <c r="BI8" s="423"/>
      <c r="BJ8" s="423"/>
      <c r="BK8" s="423"/>
      <c r="BL8" s="423"/>
      <c r="BM8" s="423"/>
      <c r="BN8" s="423"/>
      <c r="BO8" s="423"/>
      <c r="BP8" s="423"/>
      <c r="BQ8" s="423"/>
      <c r="BR8" s="423"/>
    </row>
    <row r="9" spans="1:70" ht="20" outlineLevel="1">
      <c r="A9" s="87" t="s">
        <v>55</v>
      </c>
      <c r="B9" s="971"/>
      <c r="C9" s="971"/>
      <c r="E9" s="662"/>
      <c r="F9" s="423"/>
      <c r="G9" s="423"/>
      <c r="H9" s="423"/>
      <c r="I9" s="423"/>
      <c r="J9" s="423"/>
      <c r="K9" s="504"/>
      <c r="L9" s="13"/>
      <c r="M9" s="423"/>
      <c r="N9" s="423"/>
      <c r="O9" s="423"/>
      <c r="P9" s="423"/>
      <c r="Q9" s="423"/>
      <c r="R9" s="504"/>
      <c r="S9" s="423"/>
      <c r="T9" s="423"/>
      <c r="U9" s="423"/>
      <c r="V9" s="423"/>
      <c r="W9" s="423"/>
      <c r="X9" s="504"/>
      <c r="Y9" s="662"/>
      <c r="Z9" s="662"/>
      <c r="AA9" s="662"/>
      <c r="AB9" s="423"/>
      <c r="AC9" s="423"/>
      <c r="AD9" s="423"/>
      <c r="AE9" s="423"/>
      <c r="AF9" s="423"/>
      <c r="AG9" s="504"/>
      <c r="AH9" s="423"/>
      <c r="AI9" s="423"/>
      <c r="AJ9" s="423"/>
      <c r="AK9" s="423"/>
      <c r="AL9" s="423"/>
      <c r="AM9" s="504"/>
      <c r="AT9" s="24"/>
      <c r="AU9" s="28"/>
      <c r="AZ9" s="24"/>
      <c r="BG9" s="423"/>
      <c r="BH9" s="423"/>
      <c r="BI9" s="423"/>
      <c r="BJ9" s="423"/>
      <c r="BK9" s="423"/>
      <c r="BL9" s="423"/>
      <c r="BM9" s="423"/>
      <c r="BN9" s="423"/>
      <c r="BO9" s="423"/>
      <c r="BP9" s="423"/>
      <c r="BQ9" s="423"/>
      <c r="BR9" s="423"/>
    </row>
    <row r="10" spans="1:70" ht="20" outlineLevel="1">
      <c r="A10" s="87" t="s">
        <v>53</v>
      </c>
      <c r="B10" s="971"/>
      <c r="C10" s="971"/>
      <c r="E10" s="662"/>
      <c r="F10" s="789"/>
      <c r="K10" s="297"/>
      <c r="L10" s="13"/>
      <c r="M10" s="789"/>
      <c r="R10" s="297"/>
      <c r="S10" s="789"/>
      <c r="X10" s="297"/>
      <c r="Y10" s="662"/>
      <c r="Z10" s="662"/>
      <c r="AA10" s="662"/>
      <c r="AB10" s="789"/>
      <c r="AG10" s="297"/>
      <c r="AH10" s="789"/>
      <c r="AM10" s="297"/>
      <c r="AT10" s="24"/>
      <c r="AU10" s="28"/>
      <c r="AZ10" s="24"/>
      <c r="BG10" s="423"/>
      <c r="BH10" s="423"/>
      <c r="BI10" s="423"/>
      <c r="BJ10" s="423"/>
      <c r="BK10" s="423"/>
      <c r="BL10" s="423"/>
      <c r="BM10" s="423"/>
      <c r="BN10" s="423"/>
      <c r="BO10" s="423"/>
      <c r="BP10" s="423"/>
      <c r="BQ10" s="423"/>
      <c r="BR10" s="423"/>
    </row>
    <row r="11" spans="1:70" ht="20" outlineLevel="1">
      <c r="A11" s="87" t="s">
        <v>38</v>
      </c>
      <c r="B11" s="971"/>
      <c r="C11" s="971"/>
      <c r="E11" s="662"/>
      <c r="F11" s="789">
        <v>0.21</v>
      </c>
      <c r="G11" s="1">
        <f>$F11*G7</f>
        <v>8295</v>
      </c>
      <c r="H11" s="1">
        <f t="shared" ref="H11:J11" si="2">$F11*H7</f>
        <v>3465</v>
      </c>
      <c r="I11" s="154">
        <f t="shared" si="2"/>
        <v>191.10000000000002</v>
      </c>
      <c r="J11" s="154">
        <f t="shared" si="2"/>
        <v>389.02499999999998</v>
      </c>
      <c r="K11" s="301">
        <f>SUM(G11:J11)</f>
        <v>12340.125</v>
      </c>
      <c r="L11" s="13"/>
      <c r="M11" s="789">
        <v>0.21</v>
      </c>
      <c r="N11" s="1">
        <f>$F11*N7</f>
        <v>8295</v>
      </c>
      <c r="O11" s="1">
        <f t="shared" ref="O11:Q11" si="3">$F11*O7</f>
        <v>3465</v>
      </c>
      <c r="P11" s="154">
        <f t="shared" si="3"/>
        <v>191.10000000000002</v>
      </c>
      <c r="Q11" s="154">
        <f t="shared" si="3"/>
        <v>389.02499999999998</v>
      </c>
      <c r="R11" s="301">
        <f>SUM(N11:Q11)</f>
        <v>12340.125</v>
      </c>
      <c r="S11" s="789">
        <v>0.21</v>
      </c>
      <c r="T11" s="1">
        <f>$F11*T7</f>
        <v>8295</v>
      </c>
      <c r="U11" s="1">
        <f t="shared" ref="U11:W11" si="4">$F11*U7</f>
        <v>3465</v>
      </c>
      <c r="V11" s="154">
        <f t="shared" si="4"/>
        <v>191.10000000000002</v>
      </c>
      <c r="W11" s="154">
        <f t="shared" si="4"/>
        <v>389.02499999999998</v>
      </c>
      <c r="X11" s="301">
        <f>SUM(T11:W11)</f>
        <v>12340.125</v>
      </c>
      <c r="Y11" s="662"/>
      <c r="Z11" s="662"/>
      <c r="AA11" s="662"/>
      <c r="AB11" s="789">
        <v>0.21</v>
      </c>
      <c r="AC11" s="1">
        <f>$F11*AC7</f>
        <v>7358.313346017092</v>
      </c>
      <c r="AD11" s="1">
        <f t="shared" ref="AD11:AF11" si="5">$F11*AD7</f>
        <v>2861.175986842105</v>
      </c>
      <c r="AE11" s="154">
        <f t="shared" si="5"/>
        <v>164.32350515642906</v>
      </c>
      <c r="AF11" s="154">
        <f t="shared" si="5"/>
        <v>334.51570692558766</v>
      </c>
      <c r="AG11" s="301">
        <f>SUM(AC11:AF11)</f>
        <v>10718.328544941214</v>
      </c>
      <c r="AH11" s="789">
        <v>0.21</v>
      </c>
      <c r="AI11" s="1">
        <f>$F11*AI7</f>
        <v>936.68665398290796</v>
      </c>
      <c r="AJ11" s="1">
        <f t="shared" ref="AJ11:AL11" si="6">$F11*AJ7</f>
        <v>603.8240131578948</v>
      </c>
      <c r="AK11" s="154">
        <f t="shared" si="6"/>
        <v>26.776494843570951</v>
      </c>
      <c r="AL11" s="154">
        <f t="shared" si="6"/>
        <v>54.509293074412305</v>
      </c>
      <c r="AM11" s="301">
        <f>SUM(AI11:AL11)</f>
        <v>1621.7964550587858</v>
      </c>
      <c r="AN11" s="301">
        <f>AG11+AM11</f>
        <v>12340.125</v>
      </c>
      <c r="AT11" s="24"/>
      <c r="AU11" s="28"/>
      <c r="AZ11" s="24"/>
      <c r="BG11" s="423"/>
      <c r="BH11" s="423"/>
      <c r="BI11" s="423"/>
      <c r="BJ11" s="423"/>
      <c r="BK11" s="423"/>
      <c r="BL11" s="423"/>
      <c r="BM11" s="423"/>
      <c r="BN11" s="423"/>
      <c r="BO11" s="423"/>
      <c r="BP11" s="423"/>
      <c r="BQ11" s="423"/>
      <c r="BR11" s="423"/>
    </row>
    <row r="12" spans="1:70" ht="20" outlineLevel="1">
      <c r="A12" s="87" t="s">
        <v>124</v>
      </c>
      <c r="B12" s="971"/>
      <c r="C12" s="971"/>
      <c r="E12" s="662"/>
      <c r="F12" s="790"/>
      <c r="G12" s="285"/>
      <c r="H12" s="285"/>
      <c r="I12" s="285"/>
      <c r="J12" s="285"/>
      <c r="K12" s="346"/>
      <c r="L12" s="285"/>
      <c r="M12" s="74"/>
      <c r="N12" s="154"/>
      <c r="O12" s="154"/>
      <c r="P12" s="154"/>
      <c r="Q12" s="154"/>
      <c r="R12" s="299"/>
      <c r="Y12" s="662"/>
      <c r="Z12" s="662"/>
      <c r="AA12" s="662"/>
      <c r="AB12" s="87"/>
      <c r="AG12" s="24"/>
      <c r="AT12" s="24"/>
      <c r="AU12" s="28"/>
      <c r="AZ12" s="24"/>
      <c r="BG12" s="423"/>
      <c r="BH12" s="423"/>
      <c r="BI12" s="423"/>
      <c r="BJ12" s="423"/>
      <c r="BK12" s="423"/>
      <c r="BL12" s="423"/>
      <c r="BM12" s="423"/>
      <c r="BN12" s="423"/>
      <c r="BO12" s="423"/>
      <c r="BP12" s="423"/>
      <c r="BQ12" s="423"/>
      <c r="BR12" s="423"/>
    </row>
    <row r="13" spans="1:70" ht="20">
      <c r="A13" s="349" t="s">
        <v>538</v>
      </c>
      <c r="B13" s="971"/>
      <c r="C13" s="971"/>
      <c r="D13" s="1059" t="s">
        <v>539</v>
      </c>
      <c r="E13" s="662"/>
      <c r="F13" s="790">
        <f>G13/G7</f>
        <v>0.25</v>
      </c>
      <c r="G13" s="285">
        <f>G7-G14</f>
        <v>9875</v>
      </c>
      <c r="H13" s="285">
        <f t="shared" ref="H13:J13" si="7">H7-H14</f>
        <v>4125</v>
      </c>
      <c r="I13" s="285">
        <f t="shared" si="7"/>
        <v>227.5</v>
      </c>
      <c r="J13" s="285">
        <f t="shared" si="7"/>
        <v>463.125</v>
      </c>
      <c r="K13" s="473">
        <f>SUM(G13:J13)</f>
        <v>14690.625</v>
      </c>
      <c r="L13" s="950"/>
      <c r="M13" s="790">
        <f>N13/N7</f>
        <v>0.25</v>
      </c>
      <c r="N13" s="285">
        <f>N7-N14</f>
        <v>9875</v>
      </c>
      <c r="O13" s="285">
        <f t="shared" ref="O13:Q13" si="8">O7-O14</f>
        <v>4125</v>
      </c>
      <c r="P13" s="285">
        <f t="shared" si="8"/>
        <v>227.5</v>
      </c>
      <c r="Q13" s="285">
        <f t="shared" si="8"/>
        <v>463.125</v>
      </c>
      <c r="R13" s="473">
        <f>SUM(N13:Q13)</f>
        <v>14690.625</v>
      </c>
      <c r="S13" s="1" t="s">
        <v>1</v>
      </c>
      <c r="T13" s="1" t="s">
        <v>1</v>
      </c>
      <c r="U13" s="1" t="s">
        <v>1</v>
      </c>
      <c r="V13" s="1" t="s">
        <v>1</v>
      </c>
      <c r="W13" s="1" t="s">
        <v>1</v>
      </c>
      <c r="X13" s="295" t="s">
        <v>1</v>
      </c>
      <c r="Y13" s="662"/>
      <c r="Z13" s="662"/>
      <c r="AA13" s="662"/>
      <c r="AB13" s="87"/>
      <c r="AG13" s="24"/>
      <c r="AH13" s="156">
        <f t="shared" ref="AH13:AH20" si="9">M13</f>
        <v>0.25</v>
      </c>
      <c r="AI13" s="285">
        <f>AI7-AI14</f>
        <v>1115.1031595034619</v>
      </c>
      <c r="AJ13" s="285">
        <f t="shared" ref="AJ13:AL13" si="10">AJ7-AJ14</f>
        <v>718.83811090225572</v>
      </c>
      <c r="AK13" s="285">
        <f t="shared" si="10"/>
        <v>31.876779575679706</v>
      </c>
      <c r="AL13" s="285">
        <f t="shared" si="10"/>
        <v>64.892015564776557</v>
      </c>
      <c r="AM13" s="682">
        <f>SUM(AI13:AL13)</f>
        <v>1930.7100655461738</v>
      </c>
      <c r="AN13" s="346">
        <f>AG13+AM13</f>
        <v>1930.7100655461738</v>
      </c>
      <c r="AT13" s="24"/>
      <c r="AU13" s="28"/>
      <c r="AZ13" s="24"/>
      <c r="BG13" s="423"/>
      <c r="BH13" s="423"/>
      <c r="BI13" s="423"/>
      <c r="BJ13" s="423"/>
      <c r="BK13" s="423"/>
      <c r="BL13" s="423"/>
      <c r="BM13" s="423"/>
      <c r="BN13" s="423"/>
      <c r="BO13" s="423"/>
      <c r="BP13" s="423"/>
      <c r="BQ13" s="423"/>
      <c r="BR13" s="423"/>
    </row>
    <row r="14" spans="1:70" ht="20">
      <c r="A14" s="128" t="s">
        <v>600</v>
      </c>
      <c r="B14" s="971" t="s">
        <v>539</v>
      </c>
      <c r="C14" s="972">
        <v>0.13</v>
      </c>
      <c r="D14" s="1059" t="s">
        <v>539</v>
      </c>
      <c r="E14" s="1020"/>
      <c r="F14" s="1023">
        <v>0.75</v>
      </c>
      <c r="G14" s="154">
        <f>$G$7*F14</f>
        <v>29625</v>
      </c>
      <c r="H14" s="154">
        <f>$H$7*F14</f>
        <v>12375</v>
      </c>
      <c r="I14" s="154">
        <f>$I$7*F14</f>
        <v>682.50000000000011</v>
      </c>
      <c r="J14" s="154">
        <f>$J$7*F14</f>
        <v>1389.375</v>
      </c>
      <c r="K14" s="301">
        <f>SUM(G14:J14)</f>
        <v>44071.875</v>
      </c>
      <c r="L14" s="279"/>
      <c r="M14" s="1023">
        <f>F14</f>
        <v>0.75</v>
      </c>
      <c r="N14" s="154">
        <f>$N$7*M14</f>
        <v>29625</v>
      </c>
      <c r="O14" s="154">
        <f>$O$7*M14</f>
        <v>12375</v>
      </c>
      <c r="P14" s="154">
        <f>$P$7*M14</f>
        <v>682.50000000000011</v>
      </c>
      <c r="Q14" s="154">
        <f>$Q$7*M14</f>
        <v>1389.375</v>
      </c>
      <c r="R14" s="301">
        <f>SUM(N14:Q14)</f>
        <v>44071.875</v>
      </c>
      <c r="S14" s="1" t="s">
        <v>1</v>
      </c>
      <c r="T14" s="1" t="s">
        <v>1</v>
      </c>
      <c r="U14" s="1" t="s">
        <v>1</v>
      </c>
      <c r="V14" s="1" t="s">
        <v>1</v>
      </c>
      <c r="W14" s="1" t="s">
        <v>1</v>
      </c>
      <c r="X14" s="295" t="s">
        <v>1</v>
      </c>
      <c r="Y14" s="662"/>
      <c r="Z14" s="662"/>
      <c r="AA14" s="662"/>
      <c r="AB14" s="342"/>
      <c r="AC14" s="154"/>
      <c r="AD14" s="154"/>
      <c r="AE14" s="154"/>
      <c r="AF14" s="154"/>
      <c r="AG14" s="684"/>
      <c r="AH14" s="156">
        <f t="shared" si="9"/>
        <v>0.75</v>
      </c>
      <c r="AI14" s="154">
        <f>$AI$7*AH14</f>
        <v>3345.3094785103858</v>
      </c>
      <c r="AJ14" s="154">
        <f>$AJ$7*AH14</f>
        <v>2156.5143327067672</v>
      </c>
      <c r="AK14" s="154">
        <f>$AK$7*AH14</f>
        <v>95.630338727039117</v>
      </c>
      <c r="AL14" s="154">
        <f>$AL$7*AH14</f>
        <v>194.67604669432967</v>
      </c>
      <c r="AM14" s="681">
        <f>SUM(AI14:AL14)</f>
        <v>5792.1301966385217</v>
      </c>
      <c r="AN14" s="301">
        <f t="shared" ref="AN14:AN26" si="11">AG14+AM14</f>
        <v>5792.1301966385217</v>
      </c>
      <c r="AT14" s="24"/>
      <c r="AU14" s="28"/>
      <c r="AZ14" s="24"/>
      <c r="BG14" s="423"/>
      <c r="BH14" s="423"/>
      <c r="BI14" s="423"/>
      <c r="BJ14" s="423"/>
      <c r="BK14" s="423"/>
      <c r="BL14" s="423"/>
      <c r="BM14" s="423"/>
      <c r="BN14" s="423"/>
      <c r="BO14" s="423"/>
      <c r="BP14" s="423"/>
      <c r="BQ14" s="423"/>
      <c r="BR14" s="423"/>
    </row>
    <row r="15" spans="1:70" ht="20">
      <c r="A15" s="128" t="s">
        <v>171</v>
      </c>
      <c r="B15" s="971" t="s">
        <v>540</v>
      </c>
      <c r="C15" s="972">
        <v>1</v>
      </c>
      <c r="D15" s="1059" t="s">
        <v>543</v>
      </c>
      <c r="E15" s="1020"/>
      <c r="F15" s="74">
        <v>1</v>
      </c>
      <c r="G15" s="154">
        <f>$G$14*F15</f>
        <v>29625</v>
      </c>
      <c r="H15" s="154">
        <f>$H$14*F15</f>
        <v>12375</v>
      </c>
      <c r="I15" s="154">
        <f>$I$14*F15</f>
        <v>682.50000000000011</v>
      </c>
      <c r="J15" s="154">
        <f>$J$14*F15</f>
        <v>1389.375</v>
      </c>
      <c r="K15" s="301">
        <f t="shared" ref="K15:K51" si="12">SUM(G15:J15)</f>
        <v>44071.875</v>
      </c>
      <c r="L15" s="279"/>
      <c r="M15" s="74">
        <f t="shared" ref="M15:M18" si="13">F15</f>
        <v>1</v>
      </c>
      <c r="N15" s="154">
        <f t="shared" ref="N15:N18" si="14">$N$7*M15</f>
        <v>39500</v>
      </c>
      <c r="O15" s="154">
        <f t="shared" ref="O15:O18" si="15">$O$7*M15</f>
        <v>16500</v>
      </c>
      <c r="P15" s="154">
        <f t="shared" ref="P15:P18" si="16">$P$7*M15</f>
        <v>910.00000000000011</v>
      </c>
      <c r="Q15" s="154">
        <f t="shared" ref="Q15:Q18" si="17">$Q$7*M15</f>
        <v>1852.5</v>
      </c>
      <c r="R15" s="301">
        <f t="shared" ref="R15:R26" si="18">SUM(N15:Q15)</f>
        <v>58762.5</v>
      </c>
      <c r="S15" s="1" t="s">
        <v>1</v>
      </c>
      <c r="T15" s="1" t="s">
        <v>1</v>
      </c>
      <c r="U15" s="1" t="s">
        <v>1</v>
      </c>
      <c r="V15" s="1" t="s">
        <v>1</v>
      </c>
      <c r="W15" s="1" t="s">
        <v>1</v>
      </c>
      <c r="X15" s="295" t="s">
        <v>1</v>
      </c>
      <c r="Y15" s="662"/>
      <c r="Z15" s="662"/>
      <c r="AA15" s="662"/>
      <c r="AB15" s="342"/>
      <c r="AC15" s="154"/>
      <c r="AD15" s="154"/>
      <c r="AE15" s="154"/>
      <c r="AF15" s="154"/>
      <c r="AG15" s="684"/>
      <c r="AH15" s="156">
        <f t="shared" si="9"/>
        <v>1</v>
      </c>
      <c r="AI15" s="154">
        <f>$AI$7*AH15</f>
        <v>4460.4126380138478</v>
      </c>
      <c r="AJ15" s="154">
        <f>$AJ$7*AH15</f>
        <v>2875.3524436090229</v>
      </c>
      <c r="AK15" s="154">
        <f>$AK$7*AH15</f>
        <v>127.50711830271882</v>
      </c>
      <c r="AL15" s="154">
        <f>$AL$7*AH15</f>
        <v>259.56806225910623</v>
      </c>
      <c r="AM15" s="681">
        <f t="shared" ref="AM15:AM26" si="19">SUM(AI15:AL15)</f>
        <v>7722.8402621846953</v>
      </c>
      <c r="AN15" s="301">
        <f t="shared" si="11"/>
        <v>7722.8402621846953</v>
      </c>
      <c r="AT15" s="24"/>
      <c r="AU15" s="28"/>
      <c r="AZ15" s="24"/>
      <c r="BG15" s="423"/>
      <c r="BH15" s="423"/>
      <c r="BI15" s="423"/>
      <c r="BJ15" s="423"/>
      <c r="BK15" s="423"/>
      <c r="BL15" s="423"/>
      <c r="BM15" s="423"/>
      <c r="BN15" s="423"/>
      <c r="BO15" s="423"/>
      <c r="BP15" s="423"/>
      <c r="BQ15" s="423"/>
      <c r="BR15" s="423"/>
    </row>
    <row r="16" spans="1:70" ht="20">
      <c r="A16" s="128" t="s">
        <v>211</v>
      </c>
      <c r="B16" s="971" t="s">
        <v>540</v>
      </c>
      <c r="C16" s="973">
        <v>0.4</v>
      </c>
      <c r="D16" s="1059" t="s">
        <v>543</v>
      </c>
      <c r="E16" s="1021"/>
      <c r="F16" s="74">
        <f>'Воронка MPS_обработано'!N10</f>
        <v>0.4</v>
      </c>
      <c r="G16" s="154">
        <f t="shared" ref="G16:G18" si="20">$G$14*F16</f>
        <v>11850</v>
      </c>
      <c r="H16" s="154">
        <f t="shared" ref="H16:H18" si="21">$H$14*F16</f>
        <v>4950</v>
      </c>
      <c r="I16" s="154">
        <f t="shared" ref="I16:I18" si="22">$I$14*F16</f>
        <v>273.00000000000006</v>
      </c>
      <c r="J16" s="154">
        <f t="shared" ref="J16:J18" si="23">$J$14*F16</f>
        <v>555.75</v>
      </c>
      <c r="K16" s="301">
        <f t="shared" si="12"/>
        <v>17628.75</v>
      </c>
      <c r="L16" s="279"/>
      <c r="M16" s="74">
        <f t="shared" si="13"/>
        <v>0.4</v>
      </c>
      <c r="N16" s="154">
        <f t="shared" si="14"/>
        <v>15800</v>
      </c>
      <c r="O16" s="154">
        <f t="shared" si="15"/>
        <v>6600</v>
      </c>
      <c r="P16" s="154">
        <f t="shared" si="16"/>
        <v>364.00000000000006</v>
      </c>
      <c r="Q16" s="154">
        <f t="shared" si="17"/>
        <v>741</v>
      </c>
      <c r="R16" s="301">
        <f t="shared" si="18"/>
        <v>23505</v>
      </c>
      <c r="S16" s="1" t="s">
        <v>1</v>
      </c>
      <c r="T16" s="1" t="s">
        <v>1</v>
      </c>
      <c r="U16" s="1" t="s">
        <v>1</v>
      </c>
      <c r="V16" s="1" t="s">
        <v>1</v>
      </c>
      <c r="W16" s="1" t="s">
        <v>1</v>
      </c>
      <c r="X16" s="295" t="s">
        <v>1</v>
      </c>
      <c r="Y16" s="662"/>
      <c r="Z16" s="662"/>
      <c r="AA16" s="662"/>
      <c r="AB16" s="342"/>
      <c r="AC16" s="154"/>
      <c r="AD16" s="154"/>
      <c r="AE16" s="154"/>
      <c r="AF16" s="154"/>
      <c r="AG16" s="684"/>
      <c r="AH16" s="156">
        <f t="shared" si="9"/>
        <v>0.4</v>
      </c>
      <c r="AI16" s="154">
        <f>$AI$7*AH16</f>
        <v>1784.1650552055391</v>
      </c>
      <c r="AJ16" s="154">
        <f>$AJ$7*AH16</f>
        <v>1150.1409774436092</v>
      </c>
      <c r="AK16" s="154">
        <f>$AK$7*AH16</f>
        <v>51.002847321087529</v>
      </c>
      <c r="AL16" s="154">
        <f>$AL$7*AH16</f>
        <v>103.8272249036425</v>
      </c>
      <c r="AM16" s="681">
        <f t="shared" si="19"/>
        <v>3089.136104873879</v>
      </c>
      <c r="AN16" s="301">
        <f t="shared" si="11"/>
        <v>3089.136104873879</v>
      </c>
      <c r="AT16" s="24"/>
      <c r="AU16" s="28"/>
      <c r="AZ16" s="24"/>
      <c r="BG16" s="423"/>
      <c r="BH16" s="423"/>
      <c r="BI16" s="423"/>
      <c r="BJ16" s="423"/>
      <c r="BK16" s="423"/>
      <c r="BL16" s="423"/>
      <c r="BM16" s="423"/>
      <c r="BN16" s="423"/>
      <c r="BO16" s="423"/>
      <c r="BP16" s="423"/>
      <c r="BQ16" s="423"/>
      <c r="BR16" s="423"/>
    </row>
    <row r="17" spans="1:70" ht="20">
      <c r="A17" s="128" t="s">
        <v>212</v>
      </c>
      <c r="B17" s="971" t="s">
        <v>540</v>
      </c>
      <c r="C17" s="973">
        <v>0.29799999999999999</v>
      </c>
      <c r="D17" s="1059" t="s">
        <v>543</v>
      </c>
      <c r="E17" s="1021"/>
      <c r="F17" s="326">
        <f>'Воронка MPS_обработано'!N11</f>
        <v>0.29799999999999999</v>
      </c>
      <c r="G17" s="154">
        <f t="shared" si="20"/>
        <v>8828.25</v>
      </c>
      <c r="H17" s="154">
        <f t="shared" si="21"/>
        <v>3687.75</v>
      </c>
      <c r="I17" s="154">
        <f t="shared" si="22"/>
        <v>203.38500000000002</v>
      </c>
      <c r="J17" s="154">
        <f t="shared" si="23"/>
        <v>414.03375</v>
      </c>
      <c r="K17" s="301">
        <f t="shared" si="12"/>
        <v>13133.418750000001</v>
      </c>
      <c r="L17" s="279"/>
      <c r="M17" s="74">
        <f t="shared" si="13"/>
        <v>0.29799999999999999</v>
      </c>
      <c r="N17" s="154">
        <f t="shared" si="14"/>
        <v>11771</v>
      </c>
      <c r="O17" s="154">
        <f t="shared" si="15"/>
        <v>4917</v>
      </c>
      <c r="P17" s="154">
        <f t="shared" si="16"/>
        <v>271.18</v>
      </c>
      <c r="Q17" s="154">
        <f t="shared" si="17"/>
        <v>552.04499999999996</v>
      </c>
      <c r="R17" s="301">
        <f t="shared" si="18"/>
        <v>17511.224999999999</v>
      </c>
      <c r="S17" s="1" t="s">
        <v>1</v>
      </c>
      <c r="T17" s="1" t="s">
        <v>1</v>
      </c>
      <c r="U17" s="1" t="s">
        <v>1</v>
      </c>
      <c r="V17" s="1" t="s">
        <v>1</v>
      </c>
      <c r="W17" s="1" t="s">
        <v>1</v>
      </c>
      <c r="X17" s="295" t="s">
        <v>1</v>
      </c>
      <c r="Y17" s="662"/>
      <c r="Z17" s="662"/>
      <c r="AA17" s="662"/>
      <c r="AB17" s="342"/>
      <c r="AC17" s="154"/>
      <c r="AD17" s="154"/>
      <c r="AE17" s="154"/>
      <c r="AF17" s="154"/>
      <c r="AG17" s="684"/>
      <c r="AH17" s="156">
        <f t="shared" si="9"/>
        <v>0.29799999999999999</v>
      </c>
      <c r="AI17" s="154">
        <f>$AI$7*AH17</f>
        <v>1329.2029661281265</v>
      </c>
      <c r="AJ17" s="154">
        <f>$AJ$7*AH17</f>
        <v>856.85502819548879</v>
      </c>
      <c r="AK17" s="154">
        <f>$AK$7*AH17</f>
        <v>37.997121254210207</v>
      </c>
      <c r="AL17" s="154">
        <f>$AL$7*AH17</f>
        <v>77.35128255321365</v>
      </c>
      <c r="AM17" s="681">
        <f t="shared" si="19"/>
        <v>2301.4063981310392</v>
      </c>
      <c r="AN17" s="301">
        <f t="shared" si="11"/>
        <v>2301.4063981310392</v>
      </c>
      <c r="AT17" s="24"/>
      <c r="AU17" s="28"/>
      <c r="AZ17" s="24"/>
      <c r="BG17" s="423"/>
      <c r="BH17" s="423"/>
      <c r="BI17" s="423"/>
      <c r="BJ17" s="423"/>
      <c r="BK17" s="423"/>
      <c r="BL17" s="423"/>
      <c r="BM17" s="423"/>
      <c r="BN17" s="423"/>
      <c r="BO17" s="423"/>
      <c r="BP17" s="423"/>
      <c r="BQ17" s="423"/>
      <c r="BR17" s="423"/>
    </row>
    <row r="18" spans="1:70" ht="20">
      <c r="A18" s="128" t="s">
        <v>213</v>
      </c>
      <c r="B18" s="971" t="s">
        <v>540</v>
      </c>
      <c r="C18" s="973">
        <v>0.45500000000000002</v>
      </c>
      <c r="D18" s="1059" t="s">
        <v>543</v>
      </c>
      <c r="E18" s="1021"/>
      <c r="F18" s="326">
        <f>'Воронка MPS_обработано'!N12</f>
        <v>0.45500000000000002</v>
      </c>
      <c r="G18" s="154">
        <f t="shared" si="20"/>
        <v>13479.375</v>
      </c>
      <c r="H18" s="154">
        <f t="shared" si="21"/>
        <v>5630.625</v>
      </c>
      <c r="I18" s="154">
        <f t="shared" si="22"/>
        <v>310.53750000000008</v>
      </c>
      <c r="J18" s="154">
        <f t="shared" si="23"/>
        <v>632.16562499999998</v>
      </c>
      <c r="K18" s="301">
        <f t="shared" si="12"/>
        <v>20052.703125</v>
      </c>
      <c r="L18" s="279"/>
      <c r="M18" s="74">
        <f t="shared" si="13"/>
        <v>0.45500000000000002</v>
      </c>
      <c r="N18" s="154">
        <f t="shared" si="14"/>
        <v>17972.5</v>
      </c>
      <c r="O18" s="154">
        <f t="shared" si="15"/>
        <v>7507.5</v>
      </c>
      <c r="P18" s="154">
        <f t="shared" si="16"/>
        <v>414.05000000000007</v>
      </c>
      <c r="Q18" s="154">
        <f t="shared" si="17"/>
        <v>842.88750000000005</v>
      </c>
      <c r="R18" s="301">
        <f t="shared" si="18"/>
        <v>26736.9375</v>
      </c>
      <c r="S18" s="1" t="s">
        <v>1</v>
      </c>
      <c r="T18" s="1" t="s">
        <v>1</v>
      </c>
      <c r="U18" s="1" t="s">
        <v>1</v>
      </c>
      <c r="V18" s="1" t="s">
        <v>1</v>
      </c>
      <c r="W18" s="1" t="s">
        <v>1</v>
      </c>
      <c r="X18" s="295" t="s">
        <v>1</v>
      </c>
      <c r="Y18" s="662"/>
      <c r="Z18" s="662"/>
      <c r="AA18" s="662"/>
      <c r="AB18" s="342"/>
      <c r="AC18" s="154"/>
      <c r="AD18" s="154"/>
      <c r="AE18" s="154"/>
      <c r="AF18" s="154"/>
      <c r="AG18" s="684"/>
      <c r="AH18" s="156">
        <f t="shared" si="9"/>
        <v>0.45500000000000002</v>
      </c>
      <c r="AI18" s="154">
        <f>$AI$7*AH18</f>
        <v>2029.4877502963009</v>
      </c>
      <c r="AJ18" s="154">
        <f>$AJ$7*AH18</f>
        <v>1308.2853618421054</v>
      </c>
      <c r="AK18" s="154">
        <f>$AK$7*AH18</f>
        <v>58.015738827737067</v>
      </c>
      <c r="AL18" s="154">
        <f>$AL$7*AH18</f>
        <v>118.10346832789334</v>
      </c>
      <c r="AM18" s="681">
        <f t="shared" si="19"/>
        <v>3513.892319294037</v>
      </c>
      <c r="AN18" s="301">
        <f t="shared" si="11"/>
        <v>3513.892319294037</v>
      </c>
      <c r="AT18" s="24"/>
      <c r="AU18" s="28"/>
      <c r="AZ18" s="24"/>
      <c r="BG18" s="423"/>
      <c r="BH18" s="423"/>
      <c r="BI18" s="423"/>
      <c r="BJ18" s="423"/>
      <c r="BK18" s="423"/>
      <c r="BL18" s="423"/>
      <c r="BM18" s="423"/>
      <c r="BN18" s="423"/>
      <c r="BO18" s="423"/>
      <c r="BP18" s="423"/>
      <c r="BQ18" s="423"/>
      <c r="BR18" s="423"/>
    </row>
    <row r="19" spans="1:70" ht="40">
      <c r="A19" s="416" t="s">
        <v>337</v>
      </c>
      <c r="B19" s="971" t="s">
        <v>539</v>
      </c>
      <c r="C19" s="974" t="s">
        <v>541</v>
      </c>
      <c r="D19" s="1059" t="s">
        <v>543</v>
      </c>
      <c r="E19" s="74">
        <f>K19/K7</f>
        <v>6.4038461538461544E-2</v>
      </c>
      <c r="F19" s="723">
        <f>'Воронка MPS_обработано'!N14</f>
        <v>8.5384615384615392E-2</v>
      </c>
      <c r="G19" s="154">
        <f>$G$14*F19</f>
        <v>2529.5192307692309</v>
      </c>
      <c r="H19" s="154">
        <f>$H$14*F19</f>
        <v>1056.6346153846155</v>
      </c>
      <c r="I19" s="154">
        <f>$I$14*F19</f>
        <v>58.275000000000013</v>
      </c>
      <c r="J19" s="154">
        <f>$J$14*F19</f>
        <v>118.63125000000001</v>
      </c>
      <c r="K19" s="301">
        <f t="shared" si="12"/>
        <v>3763.0600961538466</v>
      </c>
      <c r="L19" s="326">
        <f>R19/R7</f>
        <v>9.6057692307692316E-2</v>
      </c>
      <c r="M19" s="1024">
        <f>F19*1.5</f>
        <v>0.12807692307692309</v>
      </c>
      <c r="N19" s="154">
        <f>N14*$M$19</f>
        <v>3794.2788461538466</v>
      </c>
      <c r="O19" s="154">
        <f t="shared" ref="O19:Q19" si="24">O14*$M$19</f>
        <v>1584.9519230769233</v>
      </c>
      <c r="P19" s="154">
        <f t="shared" si="24"/>
        <v>87.412500000000023</v>
      </c>
      <c r="Q19" s="154">
        <f t="shared" si="24"/>
        <v>177.94687500000001</v>
      </c>
      <c r="R19" s="301">
        <f t="shared" si="18"/>
        <v>5644.5901442307695</v>
      </c>
      <c r="S19" s="1228">
        <f>'Воронка Селлер as is'!F12</f>
        <v>1.7475398710553106E-2</v>
      </c>
      <c r="T19" s="154">
        <f>$S$19*T7</f>
        <v>690.27824906684771</v>
      </c>
      <c r="U19" s="154">
        <f t="shared" ref="U19:W19" si="25">$S$19*U7</f>
        <v>288.34407872412623</v>
      </c>
      <c r="V19" s="154">
        <f t="shared" si="25"/>
        <v>15.902612826603328</v>
      </c>
      <c r="W19" s="154">
        <f t="shared" si="25"/>
        <v>32.373176111299628</v>
      </c>
      <c r="X19" s="301">
        <f>SUM(T19:W19)</f>
        <v>1026.8981167288769</v>
      </c>
      <c r="Y19" s="1034">
        <f>AG19/$AG$7</f>
        <v>1.7475398710553106E-2</v>
      </c>
      <c r="Z19" s="1032">
        <f>AM19/$AM$7</f>
        <v>9.605769230769233E-2</v>
      </c>
      <c r="AA19" s="1034">
        <f>AN19/AN7</f>
        <v>2.7803048161934605E-2</v>
      </c>
      <c r="AB19" s="927">
        <f>S19</f>
        <v>1.7475398710553106E-2</v>
      </c>
      <c r="AC19" s="154">
        <f>$S$19*AC7</f>
        <v>612.33075980396575</v>
      </c>
      <c r="AD19" s="154">
        <f t="shared" ref="AD19:AF19" si="26">$S$19*AD7</f>
        <v>238.0961483386954</v>
      </c>
      <c r="AE19" s="154">
        <f t="shared" si="26"/>
        <v>13.674375095829653</v>
      </c>
      <c r="AF19" s="154">
        <f t="shared" si="26"/>
        <v>27.837120730796077</v>
      </c>
      <c r="AG19" s="681">
        <f>SUM(AC19:AF19)</f>
        <v>891.93840396928692</v>
      </c>
      <c r="AH19" s="928">
        <f t="shared" si="9"/>
        <v>0.12807692307692309</v>
      </c>
      <c r="AI19" s="154">
        <f>AI14*$AH$19</f>
        <v>428.4569447476764</v>
      </c>
      <c r="AJ19" s="154">
        <f>AJ14*$AH$19</f>
        <v>276.19972030436674</v>
      </c>
      <c r="AK19" s="154">
        <f t="shared" ref="AK19:AL19" si="27">AK14*$AH$19</f>
        <v>12.248039536963088</v>
      </c>
      <c r="AL19" s="154">
        <f t="shared" si="27"/>
        <v>24.933509057389148</v>
      </c>
      <c r="AM19" s="681">
        <f t="shared" si="19"/>
        <v>741.83821364639539</v>
      </c>
      <c r="AN19" s="301">
        <f t="shared" si="11"/>
        <v>1633.7766176156824</v>
      </c>
      <c r="AT19" s="24"/>
      <c r="AU19" s="28"/>
      <c r="AZ19" s="24"/>
      <c r="BG19" s="423"/>
      <c r="BH19" s="423"/>
      <c r="BI19" s="423"/>
      <c r="BJ19" s="423"/>
      <c r="BK19" s="423"/>
      <c r="BL19" s="423"/>
      <c r="BM19" s="423"/>
      <c r="BN19" s="423"/>
      <c r="BO19" s="423"/>
      <c r="BP19" s="423"/>
      <c r="BQ19" s="423"/>
      <c r="BR19" s="423"/>
    </row>
    <row r="20" spans="1:70" ht="21" thickBot="1">
      <c r="A20" s="416" t="s">
        <v>338</v>
      </c>
      <c r="B20" s="938"/>
      <c r="C20" s="939"/>
      <c r="D20" s="1060" t="s">
        <v>539</v>
      </c>
      <c r="E20" s="160">
        <f>K20/K7</f>
        <v>4.3688496776382764E-3</v>
      </c>
      <c r="F20" s="724">
        <f>S19</f>
        <v>1.7475398710553106E-2</v>
      </c>
      <c r="G20" s="154">
        <f>G13*$F$20</f>
        <v>172.56956226671193</v>
      </c>
      <c r="H20" s="154">
        <f t="shared" ref="H20:J20" si="28">H13*$F$20</f>
        <v>72.086019681031559</v>
      </c>
      <c r="I20" s="154">
        <f t="shared" si="28"/>
        <v>3.9756532066508314</v>
      </c>
      <c r="J20" s="154">
        <f t="shared" si="28"/>
        <v>8.093294027824907</v>
      </c>
      <c r="K20" s="301">
        <f t="shared" si="12"/>
        <v>256.72452918221921</v>
      </c>
      <c r="L20" s="326">
        <f>R20/R7</f>
        <v>4.3688496776382764E-3</v>
      </c>
      <c r="M20" s="724">
        <f>S19</f>
        <v>1.7475398710553106E-2</v>
      </c>
      <c r="N20" s="154">
        <f>N13*$M$20</f>
        <v>172.56956226671193</v>
      </c>
      <c r="O20" s="154">
        <f t="shared" ref="O20:Q20" si="29">O13*$M$20</f>
        <v>72.086019681031559</v>
      </c>
      <c r="P20" s="154">
        <f t="shared" si="29"/>
        <v>3.9756532066508314</v>
      </c>
      <c r="Q20" s="154">
        <f t="shared" si="29"/>
        <v>8.093294027824907</v>
      </c>
      <c r="R20" s="301">
        <f t="shared" si="18"/>
        <v>256.72452918221921</v>
      </c>
      <c r="S20" s="326"/>
      <c r="T20" s="154"/>
      <c r="U20" s="154"/>
      <c r="V20" s="154"/>
      <c r="W20" s="154"/>
      <c r="X20" s="301"/>
      <c r="Y20" s="1034">
        <f t="shared" ref="Y20:Y21" si="30">AG20/$AG$7</f>
        <v>0</v>
      </c>
      <c r="Z20" s="1032">
        <f t="shared" ref="Z20:Z21" si="31">AM20/$AM$7</f>
        <v>4.3688496776382773E-3</v>
      </c>
      <c r="AA20" s="1034">
        <f>AN20/AN7</f>
        <v>5.7417448525671144E-4</v>
      </c>
      <c r="AB20" s="342"/>
      <c r="AC20" s="154"/>
      <c r="AD20" s="154"/>
      <c r="AE20" s="154"/>
      <c r="AF20" s="154"/>
      <c r="AG20" s="684"/>
      <c r="AH20" s="156">
        <f t="shared" si="9"/>
        <v>1.7475398710553106E-2</v>
      </c>
      <c r="AI20" s="154">
        <f>AI13*$AH$20</f>
        <v>19.486872315720493</v>
      </c>
      <c r="AJ20" s="154">
        <f>AJ13*$AH$20</f>
        <v>12.56198259635771</v>
      </c>
      <c r="AK20" s="154">
        <f t="shared" ref="AK20:AL20" si="32">AK13*$AH$20</f>
        <v>0.55705943269341873</v>
      </c>
      <c r="AL20" s="154">
        <f t="shared" si="32"/>
        <v>1.1340138451258883</v>
      </c>
      <c r="AM20" s="681">
        <f t="shared" si="19"/>
        <v>33.739928189897512</v>
      </c>
      <c r="AN20" s="301">
        <f t="shared" si="11"/>
        <v>33.739928189897512</v>
      </c>
      <c r="AP20" s="84"/>
      <c r="AT20" s="24"/>
      <c r="AU20" s="28"/>
      <c r="AZ20" s="24"/>
      <c r="BG20" s="423"/>
      <c r="BH20" s="423"/>
      <c r="BI20" s="423"/>
      <c r="BJ20" s="423"/>
      <c r="BK20" s="423"/>
      <c r="BL20" s="423"/>
      <c r="BM20" s="423"/>
      <c r="BN20" s="423"/>
      <c r="BO20" s="423"/>
      <c r="BP20" s="423"/>
      <c r="BQ20" s="423"/>
      <c r="BR20" s="423"/>
    </row>
    <row r="21" spans="1:70" s="1483" customFormat="1" ht="21" thickBot="1">
      <c r="A21" s="1469" t="s">
        <v>339</v>
      </c>
      <c r="B21" s="864"/>
      <c r="C21" s="864"/>
      <c r="D21" s="1470"/>
      <c r="E21" s="1472">
        <f>K21/K7</f>
        <v>6.8407311216099817E-2</v>
      </c>
      <c r="F21" s="1473"/>
      <c r="G21" s="1473">
        <f>SUM(G19:G20)</f>
        <v>2702.0887930359427</v>
      </c>
      <c r="H21" s="1473">
        <f t="shared" ref="H21:J21" si="33">SUM(H19:H20)</f>
        <v>1128.720635065647</v>
      </c>
      <c r="I21" s="1473">
        <f t="shared" si="33"/>
        <v>62.250653206650846</v>
      </c>
      <c r="J21" s="1473">
        <f t="shared" si="33"/>
        <v>126.72454402782492</v>
      </c>
      <c r="K21" s="1474">
        <f t="shared" si="12"/>
        <v>4019.7846253360653</v>
      </c>
      <c r="L21" s="1475">
        <f>R21/R7</f>
        <v>0.10042654198533059</v>
      </c>
      <c r="M21" s="1473"/>
      <c r="N21" s="1473">
        <f>SUM(N19:N20)</f>
        <v>3966.8484084205584</v>
      </c>
      <c r="O21" s="1473">
        <f t="shared" ref="O21:Q21" si="34">SUM(O19:O20)</f>
        <v>1657.0379427579549</v>
      </c>
      <c r="P21" s="1473">
        <f t="shared" si="34"/>
        <v>91.388153206650856</v>
      </c>
      <c r="Q21" s="1473">
        <f t="shared" si="34"/>
        <v>186.0401690278249</v>
      </c>
      <c r="R21" s="1474">
        <f t="shared" si="18"/>
        <v>5901.3146734129887</v>
      </c>
      <c r="S21" s="1476"/>
      <c r="T21" s="1473">
        <f>T19</f>
        <v>690.27824906684771</v>
      </c>
      <c r="U21" s="1473">
        <f t="shared" ref="U21:W21" si="35">U19</f>
        <v>288.34407872412623</v>
      </c>
      <c r="V21" s="1473">
        <f t="shared" si="35"/>
        <v>15.902612826603328</v>
      </c>
      <c r="W21" s="1473">
        <f t="shared" si="35"/>
        <v>32.373176111299628</v>
      </c>
      <c r="X21" s="1474">
        <f>SUM(T21:W21)</f>
        <v>1026.8981167288769</v>
      </c>
      <c r="Y21" s="1477">
        <f t="shared" si="30"/>
        <v>1.7475398710553106E-2</v>
      </c>
      <c r="Z21" s="1477">
        <f t="shared" si="31"/>
        <v>0.10042654198533059</v>
      </c>
      <c r="AA21" s="1475">
        <f>AN21/AN7</f>
        <v>2.8377222647191315E-2</v>
      </c>
      <c r="AB21" s="1478"/>
      <c r="AC21" s="1473">
        <f>AC19</f>
        <v>612.33075980396575</v>
      </c>
      <c r="AD21" s="1473">
        <f t="shared" ref="AD21:AF21" si="36">AD19</f>
        <v>238.0961483386954</v>
      </c>
      <c r="AE21" s="1473">
        <f t="shared" si="36"/>
        <v>13.674375095829653</v>
      </c>
      <c r="AF21" s="1473">
        <f t="shared" si="36"/>
        <v>27.837120730796077</v>
      </c>
      <c r="AG21" s="1479">
        <f>SUM(AC21:AF21)</f>
        <v>891.93840396928692</v>
      </c>
      <c r="AH21" s="1480"/>
      <c r="AI21" s="1473">
        <f>SUM(AI19:AI20)</f>
        <v>447.94381706339692</v>
      </c>
      <c r="AJ21" s="1473">
        <f t="shared" ref="AJ21:AL21" si="37">SUM(AJ19:AJ20)</f>
        <v>288.76170290072446</v>
      </c>
      <c r="AK21" s="1473">
        <f t="shared" si="37"/>
        <v>12.805098969656507</v>
      </c>
      <c r="AL21" s="1473">
        <f t="shared" si="37"/>
        <v>26.067522902515037</v>
      </c>
      <c r="AM21" s="1479">
        <f t="shared" si="19"/>
        <v>775.57814183629284</v>
      </c>
      <c r="AN21" s="1474">
        <f t="shared" si="11"/>
        <v>1667.5165458055799</v>
      </c>
      <c r="AO21" s="864"/>
      <c r="AP21" s="864"/>
      <c r="AQ21" s="864"/>
      <c r="AR21" s="864"/>
      <c r="AS21" s="864"/>
      <c r="AT21" s="1481"/>
      <c r="AU21" s="1482"/>
      <c r="AV21" s="864"/>
      <c r="AW21" s="864"/>
      <c r="AX21" s="864"/>
      <c r="AY21" s="864"/>
      <c r="AZ21" s="1481"/>
    </row>
    <row r="22" spans="1:70" outlineLevel="1">
      <c r="A22" s="436" t="s">
        <v>327</v>
      </c>
      <c r="B22" s="2"/>
      <c r="C22" s="2"/>
      <c r="D22" s="1061"/>
      <c r="E22" s="2"/>
      <c r="F22" s="811"/>
      <c r="G22" s="154">
        <f t="shared" ref="G22:J26" si="38">G$21*G88</f>
        <v>0.29496945841263178</v>
      </c>
      <c r="H22" s="154">
        <f t="shared" si="38"/>
        <v>1.9448507183148678</v>
      </c>
      <c r="I22" s="154">
        <f t="shared" si="38"/>
        <v>5.133695661856167E-2</v>
      </c>
      <c r="J22" s="154">
        <f t="shared" si="38"/>
        <v>0.10450737597350053</v>
      </c>
      <c r="K22" s="301">
        <f t="shared" si="12"/>
        <v>2.3956645093195621</v>
      </c>
      <c r="L22" s="279"/>
      <c r="M22" s="154"/>
      <c r="N22" s="154">
        <f t="shared" ref="N22:Q26" si="39">N$21*N88</f>
        <v>0.43303503928238896</v>
      </c>
      <c r="O22" s="154">
        <f t="shared" si="39"/>
        <v>2.8551718938498594</v>
      </c>
      <c r="P22" s="154">
        <f t="shared" si="39"/>
        <v>7.536611127670953E-2</v>
      </c>
      <c r="Q22" s="154">
        <f t="shared" si="39"/>
        <v>0.15342386938473007</v>
      </c>
      <c r="R22" s="301">
        <f t="shared" si="18"/>
        <v>3.5169969137936881</v>
      </c>
      <c r="S22" s="326"/>
      <c r="T22" s="154">
        <f t="shared" ref="T22:W26" si="40">T$21*T88</f>
        <v>7.5353186692469806E-2</v>
      </c>
      <c r="U22" s="154">
        <f t="shared" si="40"/>
        <v>0.49683346897954078</v>
      </c>
      <c r="V22" s="154">
        <f t="shared" si="40"/>
        <v>1.3114589209063823E-2</v>
      </c>
      <c r="W22" s="154">
        <f t="shared" si="40"/>
        <v>2.6697556604165638E-2</v>
      </c>
      <c r="X22" s="301">
        <f t="shared" ref="X22:X26" si="41">SUM(T22:W22)</f>
        <v>0.61199880148524</v>
      </c>
      <c r="Y22" s="279"/>
      <c r="Z22" s="279"/>
      <c r="AA22" s="279"/>
      <c r="AB22" s="154"/>
      <c r="AC22" s="154">
        <f t="shared" ref="AC22:AF26" si="42">AC$21*AC88</f>
        <v>0</v>
      </c>
      <c r="AD22" s="154">
        <f t="shared" si="42"/>
        <v>0</v>
      </c>
      <c r="AE22" s="154">
        <f t="shared" si="42"/>
        <v>0</v>
      </c>
      <c r="AF22" s="154">
        <f t="shared" si="42"/>
        <v>0</v>
      </c>
      <c r="AG22" s="279">
        <f t="shared" ref="AG22:AG26" si="43">SUM(AC22:AF22)</f>
        <v>0</v>
      </c>
      <c r="AH22" s="615"/>
      <c r="AI22" s="154">
        <f t="shared" ref="AI22:AL26" si="44">AI$21*AI88</f>
        <v>0.43303503928238901</v>
      </c>
      <c r="AJ22" s="154">
        <f t="shared" si="44"/>
        <v>2.8551718938498598</v>
      </c>
      <c r="AK22" s="154">
        <f t="shared" si="44"/>
        <v>7.5366111276709502E-2</v>
      </c>
      <c r="AL22" s="154">
        <f t="shared" si="44"/>
        <v>0.1534238693847301</v>
      </c>
      <c r="AM22" s="681">
        <f t="shared" si="19"/>
        <v>3.5169969137936885</v>
      </c>
      <c r="AN22" s="301">
        <f t="shared" si="11"/>
        <v>3.5169969137936885</v>
      </c>
      <c r="BG22" s="423"/>
      <c r="BH22" s="423"/>
      <c r="BI22" s="423"/>
      <c r="BJ22" s="423"/>
      <c r="BK22" s="423"/>
      <c r="BL22" s="423"/>
      <c r="BM22" s="423"/>
      <c r="BN22" s="423"/>
      <c r="BO22" s="423"/>
      <c r="BP22" s="423"/>
      <c r="BQ22" s="423"/>
      <c r="BR22" s="423"/>
    </row>
    <row r="23" spans="1:70" outlineLevel="1">
      <c r="A23" s="436" t="s">
        <v>429</v>
      </c>
      <c r="B23" s="2"/>
      <c r="C23" s="2"/>
      <c r="D23" s="1061"/>
      <c r="E23" s="2"/>
      <c r="F23" s="154"/>
      <c r="G23" s="154">
        <f t="shared" si="38"/>
        <v>20.268615642353698</v>
      </c>
      <c r="H23" s="154">
        <f t="shared" si="38"/>
        <v>23.161404009022519</v>
      </c>
      <c r="I23" s="154">
        <f t="shared" si="38"/>
        <v>0.82625480705032417</v>
      </c>
      <c r="J23" s="154">
        <f t="shared" si="38"/>
        <v>1.6820187143524454</v>
      </c>
      <c r="K23" s="301">
        <f t="shared" si="12"/>
        <v>45.938293172778984</v>
      </c>
      <c r="L23" s="279"/>
      <c r="M23" s="154"/>
      <c r="N23" s="154">
        <f t="shared" si="39"/>
        <v>29.755693413547011</v>
      </c>
      <c r="O23" s="154">
        <f t="shared" si="39"/>
        <v>34.002501644939237</v>
      </c>
      <c r="P23" s="154">
        <f t="shared" si="39"/>
        <v>1.2129977278114619</v>
      </c>
      <c r="Q23" s="154">
        <f t="shared" si="39"/>
        <v>2.469316803044761</v>
      </c>
      <c r="R23" s="301">
        <f t="shared" si="18"/>
        <v>67.440509589342469</v>
      </c>
      <c r="S23" s="326"/>
      <c r="T23" s="154">
        <f t="shared" si="40"/>
        <v>5.1778403998682823</v>
      </c>
      <c r="U23" s="154">
        <f t="shared" si="40"/>
        <v>5.9168349487563496</v>
      </c>
      <c r="V23" s="154">
        <f t="shared" si="40"/>
        <v>0.21107586211219562</v>
      </c>
      <c r="W23" s="154">
        <f t="shared" si="40"/>
        <v>0.42969014787125537</v>
      </c>
      <c r="X23" s="301">
        <f t="shared" si="41"/>
        <v>11.735441358608083</v>
      </c>
      <c r="Y23" s="279"/>
      <c r="Z23" s="279"/>
      <c r="AA23" s="279"/>
      <c r="AB23" s="154"/>
      <c r="AC23" s="154">
        <f t="shared" si="42"/>
        <v>0</v>
      </c>
      <c r="AD23" s="154">
        <f t="shared" si="42"/>
        <v>0</v>
      </c>
      <c r="AE23" s="154">
        <f t="shared" si="42"/>
        <v>0</v>
      </c>
      <c r="AF23" s="154">
        <f t="shared" si="42"/>
        <v>0</v>
      </c>
      <c r="AG23" s="279">
        <f t="shared" si="43"/>
        <v>0</v>
      </c>
      <c r="AH23" s="615"/>
      <c r="AI23" s="154">
        <f t="shared" si="44"/>
        <v>29.755693413547014</v>
      </c>
      <c r="AJ23" s="154">
        <f t="shared" si="44"/>
        <v>34.002501644939237</v>
      </c>
      <c r="AK23" s="154">
        <f t="shared" si="44"/>
        <v>1.2129977278114614</v>
      </c>
      <c r="AL23" s="154">
        <f t="shared" si="44"/>
        <v>2.469316803044761</v>
      </c>
      <c r="AM23" s="681">
        <f t="shared" si="19"/>
        <v>67.440509589342469</v>
      </c>
      <c r="AN23" s="301">
        <f t="shared" si="11"/>
        <v>67.440509589342469</v>
      </c>
      <c r="BG23" s="423"/>
      <c r="BH23" s="423"/>
      <c r="BI23" s="423"/>
      <c r="BJ23" s="423"/>
      <c r="BK23" s="423"/>
      <c r="BL23" s="423"/>
      <c r="BM23" s="423"/>
      <c r="BN23" s="423"/>
      <c r="BO23" s="423"/>
      <c r="BP23" s="423"/>
      <c r="BQ23" s="423"/>
      <c r="BR23" s="423"/>
    </row>
    <row r="24" spans="1:70" outlineLevel="1">
      <c r="A24" s="436" t="s">
        <v>65</v>
      </c>
      <c r="B24" s="2"/>
      <c r="C24" s="2"/>
      <c r="D24" s="1061"/>
      <c r="E24" s="2"/>
      <c r="F24" s="154"/>
      <c r="G24" s="154">
        <f t="shared" si="38"/>
        <v>284.56125038007173</v>
      </c>
      <c r="H24" s="154">
        <f t="shared" si="38"/>
        <v>171.58887473859812</v>
      </c>
      <c r="I24" s="154">
        <f t="shared" si="38"/>
        <v>7.8448273603332606</v>
      </c>
      <c r="J24" s="154">
        <f t="shared" si="38"/>
        <v>15.969827126392708</v>
      </c>
      <c r="K24" s="301">
        <f t="shared" si="12"/>
        <v>479.96477960539585</v>
      </c>
      <c r="L24" s="279"/>
      <c r="M24" s="154"/>
      <c r="N24" s="154">
        <f t="shared" si="39"/>
        <v>417.7550886105675</v>
      </c>
      <c r="O24" s="154">
        <f t="shared" si="39"/>
        <v>251.90402936193536</v>
      </c>
      <c r="P24" s="154">
        <f t="shared" si="39"/>
        <v>11.516735130568341</v>
      </c>
      <c r="Q24" s="154">
        <f t="shared" si="39"/>
        <v>23.444782230085544</v>
      </c>
      <c r="R24" s="301">
        <f t="shared" si="18"/>
        <v>704.62063533315677</v>
      </c>
      <c r="S24" s="326"/>
      <c r="T24" s="154">
        <f t="shared" si="40"/>
        <v>72.694295676321232</v>
      </c>
      <c r="U24" s="154">
        <f t="shared" si="40"/>
        <v>43.834261967694943</v>
      </c>
      <c r="V24" s="154">
        <f t="shared" si="40"/>
        <v>2.0040472794524158</v>
      </c>
      <c r="W24" s="154">
        <f t="shared" si="40"/>
        <v>4.0796676760281319</v>
      </c>
      <c r="X24" s="301">
        <f t="shared" si="41"/>
        <v>122.61227259949673</v>
      </c>
      <c r="Y24" s="279"/>
      <c r="Z24" s="279"/>
      <c r="AA24" s="279"/>
      <c r="AB24" s="154"/>
      <c r="AC24" s="154">
        <f t="shared" si="42"/>
        <v>0</v>
      </c>
      <c r="AD24" s="154">
        <f t="shared" si="42"/>
        <v>0</v>
      </c>
      <c r="AE24" s="154">
        <f t="shared" si="42"/>
        <v>0</v>
      </c>
      <c r="AF24" s="154">
        <f t="shared" si="42"/>
        <v>0</v>
      </c>
      <c r="AG24" s="279">
        <f t="shared" si="43"/>
        <v>0</v>
      </c>
      <c r="AH24" s="615"/>
      <c r="AI24" s="154">
        <f t="shared" si="44"/>
        <v>417.75508861056755</v>
      </c>
      <c r="AJ24" s="154">
        <f t="shared" si="44"/>
        <v>251.90402936193536</v>
      </c>
      <c r="AK24" s="154">
        <f t="shared" si="44"/>
        <v>11.516735130568335</v>
      </c>
      <c r="AL24" s="154">
        <f t="shared" si="44"/>
        <v>23.444782230085544</v>
      </c>
      <c r="AM24" s="681">
        <f t="shared" si="19"/>
        <v>704.62063533315688</v>
      </c>
      <c r="AN24" s="301">
        <f t="shared" si="11"/>
        <v>704.62063533315688</v>
      </c>
      <c r="BG24" s="423"/>
      <c r="BH24" s="423"/>
      <c r="BI24" s="423"/>
      <c r="BJ24" s="423"/>
      <c r="BK24" s="423"/>
      <c r="BL24" s="423"/>
      <c r="BM24" s="423"/>
      <c r="BN24" s="423"/>
      <c r="BO24" s="423"/>
      <c r="BP24" s="423"/>
      <c r="BQ24" s="423"/>
      <c r="BR24" s="423"/>
    </row>
    <row r="25" spans="1:70" outlineLevel="1">
      <c r="A25" s="436" t="s">
        <v>66</v>
      </c>
      <c r="B25" s="2"/>
      <c r="C25" s="2"/>
      <c r="D25" s="1061"/>
      <c r="E25" s="2"/>
      <c r="F25" s="811"/>
      <c r="G25" s="154">
        <f t="shared" si="38"/>
        <v>2396.9639575551046</v>
      </c>
      <c r="H25" s="154">
        <f t="shared" si="38"/>
        <v>932.02550559971155</v>
      </c>
      <c r="I25" s="154">
        <f t="shared" si="38"/>
        <v>53.528234082648702</v>
      </c>
      <c r="J25" s="154">
        <f t="shared" si="38"/>
        <v>108.96819081110627</v>
      </c>
      <c r="K25" s="301">
        <f t="shared" si="12"/>
        <v>3491.4858880485708</v>
      </c>
      <c r="L25" s="279"/>
      <c r="M25" s="154"/>
      <c r="N25" s="154">
        <f t="shared" si="39"/>
        <v>3518.9045913571617</v>
      </c>
      <c r="O25" s="154">
        <f t="shared" si="39"/>
        <v>1368.2762398572304</v>
      </c>
      <c r="P25" s="154">
        <f t="shared" si="39"/>
        <v>78.583054236994343</v>
      </c>
      <c r="Q25" s="154">
        <f t="shared" si="39"/>
        <v>159.97264612530986</v>
      </c>
      <c r="R25" s="301">
        <f t="shared" si="18"/>
        <v>5125.7365315766956</v>
      </c>
      <c r="S25" s="326"/>
      <c r="T25" s="154">
        <f t="shared" si="40"/>
        <v>612.33075980396575</v>
      </c>
      <c r="U25" s="154">
        <f t="shared" si="40"/>
        <v>238.0961483386954</v>
      </c>
      <c r="V25" s="154">
        <f t="shared" si="40"/>
        <v>13.674375095829653</v>
      </c>
      <c r="W25" s="154">
        <f t="shared" si="40"/>
        <v>27.837120730796077</v>
      </c>
      <c r="X25" s="301">
        <f t="shared" si="41"/>
        <v>891.93840396928692</v>
      </c>
      <c r="Y25" s="279"/>
      <c r="Z25" s="279"/>
      <c r="AA25" s="279"/>
      <c r="AB25" s="154"/>
      <c r="AC25" s="154">
        <f t="shared" si="42"/>
        <v>612.33075980396575</v>
      </c>
      <c r="AD25" s="154">
        <f t="shared" si="42"/>
        <v>238.0961483386954</v>
      </c>
      <c r="AE25" s="154">
        <f t="shared" si="42"/>
        <v>13.674375095829653</v>
      </c>
      <c r="AF25" s="154">
        <f t="shared" si="42"/>
        <v>27.837120730796077</v>
      </c>
      <c r="AG25" s="279">
        <f t="shared" si="43"/>
        <v>891.93840396928692</v>
      </c>
      <c r="AH25" s="615"/>
      <c r="AI25" s="154">
        <f t="shared" si="44"/>
        <v>0</v>
      </c>
      <c r="AJ25" s="154">
        <f t="shared" si="44"/>
        <v>0</v>
      </c>
      <c r="AK25" s="154">
        <f t="shared" si="44"/>
        <v>0</v>
      </c>
      <c r="AL25" s="154">
        <f t="shared" si="44"/>
        <v>0</v>
      </c>
      <c r="AM25" s="681">
        <f t="shared" si="19"/>
        <v>0</v>
      </c>
      <c r="AN25" s="301">
        <f t="shared" si="11"/>
        <v>891.93840396928692</v>
      </c>
      <c r="BG25" s="423"/>
      <c r="BH25" s="423"/>
      <c r="BI25" s="423"/>
      <c r="BJ25" s="423"/>
      <c r="BK25" s="423"/>
      <c r="BL25" s="423"/>
      <c r="BM25" s="423"/>
      <c r="BN25" s="423"/>
      <c r="BO25" s="423"/>
      <c r="BP25" s="423"/>
      <c r="BQ25" s="423"/>
      <c r="BR25" s="423"/>
    </row>
    <row r="26" spans="1:70" s="454" customFormat="1" ht="20" outlineLevel="1" thickBot="1">
      <c r="A26" s="1038" t="s">
        <v>328</v>
      </c>
      <c r="B26" s="930"/>
      <c r="C26" s="930"/>
      <c r="D26" s="1062"/>
      <c r="E26" s="930"/>
      <c r="F26" s="363"/>
      <c r="G26" s="363">
        <f t="shared" si="38"/>
        <v>0</v>
      </c>
      <c r="H26" s="363">
        <f t="shared" si="38"/>
        <v>0</v>
      </c>
      <c r="I26" s="363">
        <f t="shared" si="38"/>
        <v>0</v>
      </c>
      <c r="J26" s="363">
        <f t="shared" si="38"/>
        <v>0</v>
      </c>
      <c r="K26" s="364">
        <f t="shared" si="12"/>
        <v>0</v>
      </c>
      <c r="L26" s="626"/>
      <c r="M26" s="363"/>
      <c r="N26" s="363">
        <f t="shared" si="39"/>
        <v>0</v>
      </c>
      <c r="O26" s="363">
        <f t="shared" si="39"/>
        <v>0</v>
      </c>
      <c r="P26" s="363">
        <f t="shared" si="39"/>
        <v>0</v>
      </c>
      <c r="Q26" s="363">
        <f t="shared" si="39"/>
        <v>0</v>
      </c>
      <c r="R26" s="364">
        <f t="shared" si="18"/>
        <v>0</v>
      </c>
      <c r="S26" s="949"/>
      <c r="T26" s="363">
        <f t="shared" si="40"/>
        <v>0</v>
      </c>
      <c r="U26" s="363">
        <f t="shared" si="40"/>
        <v>0</v>
      </c>
      <c r="V26" s="363">
        <f t="shared" si="40"/>
        <v>0</v>
      </c>
      <c r="W26" s="363">
        <f t="shared" si="40"/>
        <v>0</v>
      </c>
      <c r="X26" s="364">
        <f t="shared" si="41"/>
        <v>0</v>
      </c>
      <c r="Y26" s="626"/>
      <c r="Z26" s="626"/>
      <c r="AA26" s="626"/>
      <c r="AB26" s="363"/>
      <c r="AC26" s="363">
        <f t="shared" si="42"/>
        <v>0</v>
      </c>
      <c r="AD26" s="363">
        <f t="shared" si="42"/>
        <v>0</v>
      </c>
      <c r="AE26" s="363">
        <f t="shared" si="42"/>
        <v>0</v>
      </c>
      <c r="AF26" s="363">
        <f t="shared" si="42"/>
        <v>0</v>
      </c>
      <c r="AG26" s="626">
        <f t="shared" si="43"/>
        <v>0</v>
      </c>
      <c r="AH26" s="664"/>
      <c r="AI26" s="363">
        <f t="shared" si="44"/>
        <v>0</v>
      </c>
      <c r="AJ26" s="363">
        <f t="shared" si="44"/>
        <v>0</v>
      </c>
      <c r="AK26" s="363">
        <f t="shared" si="44"/>
        <v>0</v>
      </c>
      <c r="AL26" s="363">
        <f t="shared" si="44"/>
        <v>0</v>
      </c>
      <c r="AM26" s="683">
        <f t="shared" si="19"/>
        <v>0</v>
      </c>
      <c r="AN26" s="364">
        <f t="shared" si="11"/>
        <v>0</v>
      </c>
      <c r="AO26" s="88"/>
      <c r="AP26" s="88"/>
      <c r="AQ26" s="88"/>
      <c r="AR26" s="88"/>
      <c r="AS26" s="88"/>
      <c r="AT26" s="88"/>
      <c r="AU26" s="88"/>
      <c r="AV26" s="88"/>
      <c r="AW26" s="88"/>
      <c r="AX26" s="88"/>
      <c r="AY26" s="88"/>
      <c r="AZ26" s="88"/>
    </row>
    <row r="27" spans="1:70">
      <c r="A27" s="436"/>
      <c r="B27" s="2"/>
      <c r="C27" s="2"/>
      <c r="D27" s="1061"/>
      <c r="E27" s="2"/>
      <c r="F27" s="154"/>
      <c r="G27" s="154"/>
      <c r="H27" s="154"/>
      <c r="I27" s="154"/>
      <c r="J27" s="154"/>
      <c r="K27" s="301"/>
      <c r="L27" s="279"/>
      <c r="M27" s="1217">
        <f>M19/F19</f>
        <v>1.5</v>
      </c>
      <c r="N27" s="154"/>
      <c r="O27" s="154"/>
      <c r="P27" s="154"/>
      <c r="Q27" s="154"/>
      <c r="R27" s="1218"/>
      <c r="S27" s="326"/>
      <c r="T27" s="154"/>
      <c r="U27" s="154"/>
      <c r="V27" s="154"/>
      <c r="W27" s="154"/>
      <c r="X27" s="301"/>
      <c r="Y27" s="279"/>
      <c r="Z27" s="279"/>
      <c r="AA27" s="279"/>
      <c r="AB27" s="154"/>
      <c r="AC27" s="154"/>
      <c r="AD27" s="154"/>
      <c r="AE27" s="154"/>
      <c r="AF27" s="154"/>
      <c r="AG27" s="279"/>
      <c r="AH27" s="615"/>
      <c r="AI27" s="154"/>
      <c r="AJ27" s="154"/>
      <c r="AK27" s="154"/>
      <c r="AL27" s="154"/>
      <c r="AM27" s="681"/>
      <c r="AN27" s="301"/>
      <c r="BG27" s="423"/>
      <c r="BH27" s="423"/>
      <c r="BI27" s="423"/>
      <c r="BJ27" s="423"/>
      <c r="BK27" s="423"/>
      <c r="BL27" s="423"/>
      <c r="BM27" s="423"/>
      <c r="BN27" s="423"/>
      <c r="BO27" s="423"/>
      <c r="BP27" s="423"/>
      <c r="BQ27" s="423"/>
      <c r="BR27" s="423"/>
    </row>
    <row r="28" spans="1:70">
      <c r="A28" s="436"/>
      <c r="B28" s="2"/>
      <c r="C28" s="2"/>
      <c r="D28" s="1061"/>
      <c r="E28" s="2"/>
      <c r="F28" s="154"/>
      <c r="G28" s="154"/>
      <c r="H28" s="154"/>
      <c r="I28" s="154"/>
      <c r="J28" s="154"/>
      <c r="K28" s="301"/>
      <c r="L28" s="279"/>
      <c r="M28" s="1245">
        <f>(M19-F19)/F19</f>
        <v>0.5</v>
      </c>
      <c r="N28" s="154"/>
      <c r="O28" s="154"/>
      <c r="P28" s="154"/>
      <c r="Q28" s="154"/>
      <c r="R28" s="301"/>
      <c r="S28" s="326"/>
      <c r="T28" s="154"/>
      <c r="U28" s="154"/>
      <c r="V28" s="154"/>
      <c r="W28" s="154"/>
      <c r="X28" s="301"/>
      <c r="Y28" s="279"/>
      <c r="Z28" s="279"/>
      <c r="AA28" s="279"/>
      <c r="AB28" s="154"/>
      <c r="AC28" s="154"/>
      <c r="AD28" s="154"/>
      <c r="AE28" s="154"/>
      <c r="AF28" s="154"/>
      <c r="AG28" s="279"/>
      <c r="AH28" s="615"/>
      <c r="AI28" s="154"/>
      <c r="AJ28" s="154"/>
      <c r="AK28" s="154"/>
      <c r="AL28" s="154"/>
      <c r="AM28" s="681"/>
      <c r="AN28" s="301"/>
      <c r="BG28" s="423"/>
      <c r="BH28" s="423"/>
      <c r="BI28" s="423"/>
      <c r="BJ28" s="423"/>
      <c r="BK28" s="423"/>
      <c r="BL28" s="423"/>
      <c r="BM28" s="423"/>
      <c r="BN28" s="423"/>
      <c r="BO28" s="423"/>
      <c r="BP28" s="423"/>
      <c r="BQ28" s="423"/>
      <c r="BR28" s="423"/>
    </row>
    <row r="29" spans="1:70" s="969" customFormat="1" ht="21" thickBot="1">
      <c r="A29" s="416" t="s">
        <v>63</v>
      </c>
      <c r="B29" s="962"/>
      <c r="C29" s="962"/>
      <c r="D29" s="1063"/>
      <c r="E29" s="962"/>
      <c r="F29" s="963"/>
      <c r="G29" s="964">
        <f t="shared" ref="G29:K33" si="45">G44/G21</f>
        <v>20930.298172291186</v>
      </c>
      <c r="H29" s="964">
        <f t="shared" si="45"/>
        <v>21327.658677944863</v>
      </c>
      <c r="I29" s="964">
        <f t="shared" si="45"/>
        <v>21106.467446786352</v>
      </c>
      <c r="J29" s="964">
        <f t="shared" si="45"/>
        <v>21106.467446786348</v>
      </c>
      <c r="K29" s="1215">
        <f t="shared" si="45"/>
        <v>21050.155495653511</v>
      </c>
      <c r="L29" s="966"/>
      <c r="M29" s="963"/>
      <c r="N29" s="964">
        <f t="shared" ref="N29:R33" si="46">N44/N21</f>
        <v>23817.575828985246</v>
      </c>
      <c r="O29" s="964">
        <f t="shared" si="46"/>
        <v>24219.664902178411</v>
      </c>
      <c r="P29" s="964">
        <f t="shared" si="46"/>
        <v>23995.841507881392</v>
      </c>
      <c r="Q29" s="964">
        <f t="shared" si="46"/>
        <v>23995.841507881396</v>
      </c>
      <c r="R29" s="1215">
        <f t="shared" si="46"/>
        <v>23938.859447715524</v>
      </c>
      <c r="S29" s="1027"/>
      <c r="T29" s="964">
        <f t="shared" ref="T29:X33" si="47">T44/T21</f>
        <v>23817.575828985242</v>
      </c>
      <c r="U29" s="964">
        <f t="shared" si="47"/>
        <v>24219.664902178414</v>
      </c>
      <c r="V29" s="964">
        <f t="shared" si="47"/>
        <v>23995.8415078814</v>
      </c>
      <c r="W29" s="964">
        <f t="shared" si="47"/>
        <v>23995.8415078814</v>
      </c>
      <c r="X29" s="1215">
        <f t="shared" si="47"/>
        <v>23938.85944771552</v>
      </c>
      <c r="Y29" s="966"/>
      <c r="Z29" s="966"/>
      <c r="AA29" s="966"/>
      <c r="AB29" s="963"/>
      <c r="AC29" s="964">
        <f t="shared" ref="AC29:AG33" si="48">AC44/AC21</f>
        <v>23361.308724832215</v>
      </c>
      <c r="AD29" s="964">
        <f t="shared" si="48"/>
        <v>23361.308724832215</v>
      </c>
      <c r="AE29" s="964">
        <f t="shared" si="48"/>
        <v>23361.308724832215</v>
      </c>
      <c r="AF29" s="964">
        <f t="shared" si="48"/>
        <v>23361.308724832215</v>
      </c>
      <c r="AG29" s="965">
        <f t="shared" si="48"/>
        <v>23361.308724832215</v>
      </c>
      <c r="AH29" s="967"/>
      <c r="AI29" s="964">
        <f t="shared" ref="AI29:AN33" si="49">AI44/AI21</f>
        <v>27401.865524543395</v>
      </c>
      <c r="AJ29" s="964">
        <f t="shared" si="49"/>
        <v>28286.922959599062</v>
      </c>
      <c r="AK29" s="964">
        <f t="shared" si="49"/>
        <v>27889.878111867314</v>
      </c>
      <c r="AL29" s="964">
        <f t="shared" si="49"/>
        <v>27889.878111867311</v>
      </c>
      <c r="AM29" s="965">
        <f t="shared" si="49"/>
        <v>27755.847935957816</v>
      </c>
      <c r="AN29" s="1215">
        <f t="shared" si="49"/>
        <v>25405.251595542959</v>
      </c>
      <c r="AO29" s="968"/>
      <c r="AP29" s="968"/>
      <c r="AQ29" s="968"/>
      <c r="AR29" s="968"/>
      <c r="AS29" s="968"/>
      <c r="AT29" s="968"/>
      <c r="AU29" s="968"/>
      <c r="AV29" s="968"/>
      <c r="AW29" s="968"/>
      <c r="AX29" s="968"/>
      <c r="AY29" s="968"/>
      <c r="AZ29" s="968"/>
    </row>
    <row r="30" spans="1:70" outlineLevel="1">
      <c r="A30" s="1037" t="s">
        <v>327</v>
      </c>
      <c r="B30" s="2"/>
      <c r="C30" s="2"/>
      <c r="D30" s="1061"/>
      <c r="E30" s="2"/>
      <c r="F30" s="154"/>
      <c r="G30" s="169">
        <f t="shared" si="45"/>
        <v>55362.5</v>
      </c>
      <c r="H30" s="169">
        <f t="shared" si="45"/>
        <v>55362.5</v>
      </c>
      <c r="I30" s="169">
        <f t="shared" si="45"/>
        <v>55362.5</v>
      </c>
      <c r="J30" s="169">
        <f t="shared" si="45"/>
        <v>55362.5</v>
      </c>
      <c r="K30" s="407">
        <f t="shared" si="45"/>
        <v>55362.499999999993</v>
      </c>
      <c r="L30" s="279"/>
      <c r="M30" s="154"/>
      <c r="N30" s="169">
        <f t="shared" si="46"/>
        <v>59174.344262295082</v>
      </c>
      <c r="O30" s="169">
        <f t="shared" si="46"/>
        <v>59174.34426229509</v>
      </c>
      <c r="P30" s="169">
        <f t="shared" si="46"/>
        <v>59174.344262295082</v>
      </c>
      <c r="Q30" s="169">
        <f t="shared" si="46"/>
        <v>59174.344262295082</v>
      </c>
      <c r="R30" s="407">
        <f t="shared" si="46"/>
        <v>59174.344262295082</v>
      </c>
      <c r="S30" s="326"/>
      <c r="T30" s="169">
        <f t="shared" si="47"/>
        <v>59174.344262295075</v>
      </c>
      <c r="U30" s="169">
        <f t="shared" si="47"/>
        <v>59174.344262295082</v>
      </c>
      <c r="V30" s="169">
        <f t="shared" si="47"/>
        <v>59174.344262295082</v>
      </c>
      <c r="W30" s="169">
        <f t="shared" si="47"/>
        <v>59174.344262295082</v>
      </c>
      <c r="X30" s="407">
        <f t="shared" si="47"/>
        <v>59174.344262295082</v>
      </c>
      <c r="Y30" s="279"/>
      <c r="Z30" s="279"/>
      <c r="AA30" s="279"/>
      <c r="AB30" s="154"/>
      <c r="AC30" s="169" t="e">
        <f t="shared" si="48"/>
        <v>#DIV/0!</v>
      </c>
      <c r="AD30" s="169" t="e">
        <f t="shared" si="48"/>
        <v>#DIV/0!</v>
      </c>
      <c r="AE30" s="169" t="e">
        <f t="shared" si="48"/>
        <v>#DIV/0!</v>
      </c>
      <c r="AF30" s="169" t="e">
        <f t="shared" si="48"/>
        <v>#DIV/0!</v>
      </c>
      <c r="AG30" s="169" t="e">
        <f t="shared" si="48"/>
        <v>#DIV/0!</v>
      </c>
      <c r="AH30" s="615"/>
      <c r="AI30" s="169">
        <f t="shared" si="49"/>
        <v>59174.344262295082</v>
      </c>
      <c r="AJ30" s="169">
        <f t="shared" si="49"/>
        <v>59174.34426229509</v>
      </c>
      <c r="AK30" s="169">
        <f t="shared" si="49"/>
        <v>59174.344262295075</v>
      </c>
      <c r="AL30" s="169">
        <f t="shared" si="49"/>
        <v>59174.34426229509</v>
      </c>
      <c r="AM30" s="169">
        <f t="shared" si="49"/>
        <v>59174.34426229509</v>
      </c>
      <c r="AN30" s="407">
        <f t="shared" si="49"/>
        <v>59174.34426229509</v>
      </c>
      <c r="BG30" s="423"/>
      <c r="BH30" s="423"/>
      <c r="BI30" s="423"/>
      <c r="BJ30" s="423"/>
      <c r="BK30" s="423"/>
      <c r="BL30" s="423"/>
      <c r="BM30" s="423"/>
      <c r="BN30" s="423"/>
      <c r="BO30" s="423"/>
      <c r="BP30" s="423"/>
      <c r="BQ30" s="423"/>
      <c r="BR30" s="423"/>
    </row>
    <row r="31" spans="1:70" outlineLevel="1">
      <c r="A31" s="436" t="s">
        <v>429</v>
      </c>
      <c r="B31" s="2"/>
      <c r="C31" s="2"/>
      <c r="D31" s="1061"/>
      <c r="E31" s="2"/>
      <c r="F31" s="154"/>
      <c r="G31" s="169">
        <f t="shared" si="45"/>
        <v>35026.5</v>
      </c>
      <c r="H31" s="169">
        <f t="shared" si="45"/>
        <v>35026.5</v>
      </c>
      <c r="I31" s="169">
        <f t="shared" si="45"/>
        <v>35026.5</v>
      </c>
      <c r="J31" s="169">
        <f t="shared" si="45"/>
        <v>35026.5</v>
      </c>
      <c r="K31" s="407">
        <f t="shared" si="45"/>
        <v>35026.5</v>
      </c>
      <c r="L31" s="279"/>
      <c r="M31" s="154"/>
      <c r="N31" s="169">
        <f t="shared" si="46"/>
        <v>38183.394849785407</v>
      </c>
      <c r="O31" s="169">
        <f t="shared" si="46"/>
        <v>38183.394849785407</v>
      </c>
      <c r="P31" s="169">
        <f t="shared" si="46"/>
        <v>38183.394849785407</v>
      </c>
      <c r="Q31" s="169">
        <f t="shared" si="46"/>
        <v>38183.394849785407</v>
      </c>
      <c r="R31" s="407">
        <f t="shared" si="46"/>
        <v>38183.394849785414</v>
      </c>
      <c r="S31" s="326"/>
      <c r="T31" s="169">
        <f t="shared" si="47"/>
        <v>38183.394849785407</v>
      </c>
      <c r="U31" s="169">
        <f t="shared" si="47"/>
        <v>38183.394849785407</v>
      </c>
      <c r="V31" s="169">
        <f t="shared" si="47"/>
        <v>38183.394849785407</v>
      </c>
      <c r="W31" s="169">
        <f t="shared" si="47"/>
        <v>38183.3948497854</v>
      </c>
      <c r="X31" s="407">
        <f t="shared" si="47"/>
        <v>38183.394849785407</v>
      </c>
      <c r="Y31" s="279"/>
      <c r="Z31" s="279"/>
      <c r="AA31" s="279"/>
      <c r="AB31" s="154"/>
      <c r="AC31" s="169" t="e">
        <f t="shared" si="48"/>
        <v>#DIV/0!</v>
      </c>
      <c r="AD31" s="169" t="e">
        <f t="shared" si="48"/>
        <v>#DIV/0!</v>
      </c>
      <c r="AE31" s="169" t="e">
        <f t="shared" si="48"/>
        <v>#DIV/0!</v>
      </c>
      <c r="AF31" s="169" t="e">
        <f t="shared" si="48"/>
        <v>#DIV/0!</v>
      </c>
      <c r="AG31" s="169" t="e">
        <f t="shared" si="48"/>
        <v>#DIV/0!</v>
      </c>
      <c r="AH31" s="615"/>
      <c r="AI31" s="169">
        <f t="shared" si="49"/>
        <v>38183.394849785407</v>
      </c>
      <c r="AJ31" s="169">
        <f t="shared" si="49"/>
        <v>38183.394849785407</v>
      </c>
      <c r="AK31" s="169">
        <f t="shared" si="49"/>
        <v>38183.394849785407</v>
      </c>
      <c r="AL31" s="169">
        <f t="shared" si="49"/>
        <v>38183.394849785407</v>
      </c>
      <c r="AM31" s="169">
        <f t="shared" si="49"/>
        <v>38183.394849785414</v>
      </c>
      <c r="AN31" s="407">
        <f t="shared" si="49"/>
        <v>38183.394849785414</v>
      </c>
      <c r="BG31" s="423"/>
      <c r="BH31" s="423"/>
      <c r="BI31" s="423"/>
      <c r="BJ31" s="423"/>
      <c r="BK31" s="423"/>
      <c r="BL31" s="423"/>
      <c r="BM31" s="423"/>
      <c r="BN31" s="423"/>
      <c r="BO31" s="423"/>
      <c r="BP31" s="423"/>
      <c r="BQ31" s="423"/>
      <c r="BR31" s="423"/>
    </row>
    <row r="32" spans="1:70" outlineLevel="1">
      <c r="A32" s="436" t="s">
        <v>65</v>
      </c>
      <c r="B32" s="2"/>
      <c r="C32" s="2"/>
      <c r="D32" s="1061"/>
      <c r="E32" s="2"/>
      <c r="F32" s="154"/>
      <c r="G32" s="169">
        <f t="shared" si="45"/>
        <v>23721.5</v>
      </c>
      <c r="H32" s="169">
        <f t="shared" si="45"/>
        <v>23721.5</v>
      </c>
      <c r="I32" s="169">
        <f t="shared" si="45"/>
        <v>23721.5</v>
      </c>
      <c r="J32" s="169">
        <f t="shared" si="45"/>
        <v>23721.5</v>
      </c>
      <c r="K32" s="407">
        <f t="shared" si="45"/>
        <v>23721.5</v>
      </c>
      <c r="L32" s="279"/>
      <c r="M32" s="154"/>
      <c r="N32" s="169">
        <f t="shared" si="46"/>
        <v>26600.988439306358</v>
      </c>
      <c r="O32" s="169">
        <f t="shared" si="46"/>
        <v>26600.988439306362</v>
      </c>
      <c r="P32" s="169">
        <f t="shared" si="46"/>
        <v>26600.988439306366</v>
      </c>
      <c r="Q32" s="169">
        <f t="shared" si="46"/>
        <v>26600.988439306358</v>
      </c>
      <c r="R32" s="407">
        <f t="shared" si="46"/>
        <v>26600.988439306355</v>
      </c>
      <c r="S32" s="326"/>
      <c r="T32" s="169">
        <f t="shared" si="47"/>
        <v>26600.988439306362</v>
      </c>
      <c r="U32" s="169">
        <f t="shared" si="47"/>
        <v>26600.988439306362</v>
      </c>
      <c r="V32" s="169">
        <f t="shared" si="47"/>
        <v>26600.988439306362</v>
      </c>
      <c r="W32" s="169">
        <f t="shared" si="47"/>
        <v>26600.988439306362</v>
      </c>
      <c r="X32" s="407">
        <f t="shared" si="47"/>
        <v>26600.988439306355</v>
      </c>
      <c r="Y32" s="279"/>
      <c r="Z32" s="279"/>
      <c r="AA32" s="279"/>
      <c r="AB32" s="154"/>
      <c r="AC32" s="169" t="e">
        <f t="shared" si="48"/>
        <v>#DIV/0!</v>
      </c>
      <c r="AD32" s="169" t="e">
        <f t="shared" si="48"/>
        <v>#DIV/0!</v>
      </c>
      <c r="AE32" s="169" t="e">
        <f t="shared" si="48"/>
        <v>#DIV/0!</v>
      </c>
      <c r="AF32" s="169" t="e">
        <f t="shared" si="48"/>
        <v>#DIV/0!</v>
      </c>
      <c r="AG32" s="169" t="e">
        <f t="shared" si="48"/>
        <v>#DIV/0!</v>
      </c>
      <c r="AH32" s="615"/>
      <c r="AI32" s="169">
        <f t="shared" si="49"/>
        <v>26600.988439306362</v>
      </c>
      <c r="AJ32" s="169">
        <f t="shared" si="49"/>
        <v>26600.988439306362</v>
      </c>
      <c r="AK32" s="169">
        <f t="shared" si="49"/>
        <v>26600.988439306362</v>
      </c>
      <c r="AL32" s="169">
        <f t="shared" si="49"/>
        <v>26600.988439306358</v>
      </c>
      <c r="AM32" s="169">
        <f t="shared" si="49"/>
        <v>26600.988439306358</v>
      </c>
      <c r="AN32" s="407">
        <f t="shared" si="49"/>
        <v>26600.988439306358</v>
      </c>
      <c r="BG32" s="423"/>
      <c r="BH32" s="423"/>
      <c r="BI32" s="423"/>
      <c r="BJ32" s="423"/>
      <c r="BK32" s="423"/>
      <c r="BL32" s="423"/>
      <c r="BM32" s="423"/>
      <c r="BN32" s="423"/>
      <c r="BO32" s="423"/>
      <c r="BP32" s="423"/>
      <c r="BQ32" s="423"/>
      <c r="BR32" s="423"/>
    </row>
    <row r="33" spans="1:70" outlineLevel="1">
      <c r="A33" s="436" t="s">
        <v>66</v>
      </c>
      <c r="B33" s="2"/>
      <c r="C33" s="2"/>
      <c r="D33" s="1061"/>
      <c r="E33" s="2"/>
      <c r="F33" s="154"/>
      <c r="G33" s="169">
        <f t="shared" si="45"/>
        <v>20475.5</v>
      </c>
      <c r="H33" s="169">
        <f t="shared" si="45"/>
        <v>20475.5</v>
      </c>
      <c r="I33" s="169">
        <f t="shared" si="45"/>
        <v>20475.5</v>
      </c>
      <c r="J33" s="169">
        <f t="shared" si="45"/>
        <v>20475.5</v>
      </c>
      <c r="K33" s="407">
        <f t="shared" si="45"/>
        <v>20475.5</v>
      </c>
      <c r="L33" s="279"/>
      <c r="M33" s="154"/>
      <c r="N33" s="169">
        <f t="shared" si="46"/>
        <v>23361.308724832215</v>
      </c>
      <c r="O33" s="169">
        <f t="shared" si="46"/>
        <v>23361.308724832215</v>
      </c>
      <c r="P33" s="169">
        <f t="shared" si="46"/>
        <v>23361.308724832215</v>
      </c>
      <c r="Q33" s="169">
        <f t="shared" si="46"/>
        <v>23361.308724832215</v>
      </c>
      <c r="R33" s="407">
        <f t="shared" si="46"/>
        <v>23361.308724832219</v>
      </c>
      <c r="S33" s="326"/>
      <c r="T33" s="169">
        <f t="shared" si="47"/>
        <v>23361.308724832215</v>
      </c>
      <c r="U33" s="169">
        <f t="shared" si="47"/>
        <v>23361.308724832215</v>
      </c>
      <c r="V33" s="169">
        <f t="shared" si="47"/>
        <v>23361.308724832215</v>
      </c>
      <c r="W33" s="169">
        <f t="shared" si="47"/>
        <v>23361.308724832215</v>
      </c>
      <c r="X33" s="407">
        <f t="shared" si="47"/>
        <v>23361.308724832215</v>
      </c>
      <c r="Y33" s="279"/>
      <c r="Z33" s="279"/>
      <c r="AA33" s="279"/>
      <c r="AB33" s="154"/>
      <c r="AC33" s="169">
        <f t="shared" si="48"/>
        <v>23361.308724832215</v>
      </c>
      <c r="AD33" s="169">
        <f t="shared" si="48"/>
        <v>23361.308724832215</v>
      </c>
      <c r="AE33" s="169">
        <f t="shared" si="48"/>
        <v>23361.308724832215</v>
      </c>
      <c r="AF33" s="169">
        <f t="shared" si="48"/>
        <v>23361.308724832215</v>
      </c>
      <c r="AG33" s="169">
        <f t="shared" si="48"/>
        <v>23361.308724832215</v>
      </c>
      <c r="AH33" s="615"/>
      <c r="AI33" s="169" t="e">
        <f t="shared" si="49"/>
        <v>#DIV/0!</v>
      </c>
      <c r="AJ33" s="169" t="e">
        <f t="shared" si="49"/>
        <v>#DIV/0!</v>
      </c>
      <c r="AK33" s="169" t="e">
        <f t="shared" si="49"/>
        <v>#DIV/0!</v>
      </c>
      <c r="AL33" s="169" t="e">
        <f t="shared" si="49"/>
        <v>#DIV/0!</v>
      </c>
      <c r="AM33" s="169" t="e">
        <f t="shared" si="49"/>
        <v>#DIV/0!</v>
      </c>
      <c r="AN33" s="407">
        <f t="shared" si="49"/>
        <v>23361.308724832215</v>
      </c>
      <c r="BG33" s="423"/>
      <c r="BH33" s="423"/>
      <c r="BI33" s="423"/>
      <c r="BJ33" s="423"/>
      <c r="BK33" s="423"/>
      <c r="BL33" s="423"/>
      <c r="BM33" s="423"/>
      <c r="BN33" s="423"/>
      <c r="BO33" s="423"/>
      <c r="BP33" s="423"/>
      <c r="BQ33" s="423"/>
      <c r="BR33" s="423"/>
    </row>
    <row r="34" spans="1:70" ht="20" outlineLevel="1" thickBot="1">
      <c r="A34" s="1038" t="s">
        <v>328</v>
      </c>
      <c r="B34" s="2"/>
      <c r="C34" s="2"/>
      <c r="D34" s="1061"/>
      <c r="E34" s="2"/>
      <c r="F34" s="154"/>
      <c r="G34" s="169"/>
      <c r="H34" s="154"/>
      <c r="I34" s="154"/>
      <c r="J34" s="154"/>
      <c r="K34" s="301"/>
      <c r="L34" s="279"/>
      <c r="M34" s="154"/>
      <c r="N34" s="154"/>
      <c r="O34" s="154"/>
      <c r="P34" s="154"/>
      <c r="Q34" s="154"/>
      <c r="R34" s="301"/>
      <c r="S34" s="326"/>
      <c r="T34" s="154"/>
      <c r="U34" s="154"/>
      <c r="V34" s="154"/>
      <c r="W34" s="154"/>
      <c r="X34" s="301"/>
      <c r="Y34" s="279"/>
      <c r="Z34" s="279"/>
      <c r="AA34" s="279"/>
      <c r="AB34" s="154"/>
      <c r="AC34" s="154"/>
      <c r="AD34" s="154"/>
      <c r="AE34" s="154"/>
      <c r="AF34" s="154"/>
      <c r="AG34" s="279"/>
      <c r="AH34" s="615"/>
      <c r="AI34" s="154"/>
      <c r="AJ34" s="154"/>
      <c r="AK34" s="154"/>
      <c r="AL34" s="154"/>
      <c r="AM34" s="681"/>
      <c r="AN34" s="301"/>
      <c r="BG34" s="423"/>
      <c r="BH34" s="423"/>
      <c r="BI34" s="423"/>
      <c r="BJ34" s="423"/>
      <c r="BK34" s="423"/>
      <c r="BL34" s="423"/>
      <c r="BM34" s="423"/>
      <c r="BN34" s="423"/>
      <c r="BO34" s="423"/>
      <c r="BP34" s="423"/>
      <c r="BQ34" s="423"/>
      <c r="BR34" s="423"/>
    </row>
    <row r="35" spans="1:70" s="969" customFormat="1">
      <c r="A35" s="1039" t="s">
        <v>621</v>
      </c>
      <c r="B35" s="962"/>
      <c r="C35" s="962"/>
      <c r="D35" s="1063"/>
      <c r="E35" s="962"/>
      <c r="F35" s="963"/>
      <c r="G35" s="964">
        <f>G36+G40+G41</f>
        <v>17257.059886560732</v>
      </c>
      <c r="H35" s="964">
        <f t="shared" ref="H35:K35" si="50">H36+H40+H41</f>
        <v>17274.488959383139</v>
      </c>
      <c r="I35" s="964">
        <f t="shared" si="50"/>
        <v>17264.787043816068</v>
      </c>
      <c r="J35" s="964">
        <f t="shared" si="50"/>
        <v>17264.787043816068</v>
      </c>
      <c r="K35" s="1215">
        <f t="shared" si="50"/>
        <v>17262.317082450758</v>
      </c>
      <c r="L35" s="966"/>
      <c r="M35" s="963"/>
      <c r="N35" s="964">
        <f>N50/N21</f>
        <v>10573.405098437237</v>
      </c>
      <c r="O35" s="964">
        <f>O50/O21</f>
        <v>10590.834171259643</v>
      </c>
      <c r="P35" s="964">
        <f>P50/P21</f>
        <v>10581.132255692575</v>
      </c>
      <c r="Q35" s="964">
        <f>Q50/Q21</f>
        <v>10581.132255692575</v>
      </c>
      <c r="R35" s="1215">
        <f>R50/R21</f>
        <v>10578.662294327261</v>
      </c>
      <c r="S35" s="1027"/>
      <c r="T35" s="964">
        <f>T50/T21</f>
        <v>5327.4924792646016</v>
      </c>
      <c r="U35" s="964">
        <f>U50/U21</f>
        <v>5344.9215520870112</v>
      </c>
      <c r="V35" s="964">
        <f>V50/V21</f>
        <v>5335.2196365199407</v>
      </c>
      <c r="W35" s="964">
        <f>W50/W21</f>
        <v>5335.2196365199416</v>
      </c>
      <c r="X35" s="1215">
        <f>X50/X21</f>
        <v>5332.7496751546278</v>
      </c>
      <c r="Y35" s="966"/>
      <c r="Z35" s="966"/>
      <c r="AA35" s="966"/>
      <c r="AB35" s="963"/>
      <c r="AC35" s="964">
        <f>AC50/AC21</f>
        <v>5305.0586448188387</v>
      </c>
      <c r="AD35" s="964">
        <f>AD50/AD21</f>
        <v>5305.0586448188387</v>
      </c>
      <c r="AE35" s="964">
        <f>AE50/AE21</f>
        <v>5305.0586448188396</v>
      </c>
      <c r="AF35" s="964">
        <f>AF50/AF21</f>
        <v>5305.0586448188378</v>
      </c>
      <c r="AG35" s="965">
        <f>AG50/AG21</f>
        <v>5305.0586448188387</v>
      </c>
      <c r="AH35" s="967"/>
      <c r="AI35" s="964">
        <f t="shared" ref="AI35:AN35" si="51">AI50/AI21</f>
        <v>10658.803779752672</v>
      </c>
      <c r="AJ35" s="964">
        <f t="shared" si="51"/>
        <v>10688.887237317198</v>
      </c>
      <c r="AK35" s="964">
        <f t="shared" si="51"/>
        <v>10675.391523530896</v>
      </c>
      <c r="AL35" s="964">
        <f t="shared" si="51"/>
        <v>10675.391523530894</v>
      </c>
      <c r="AM35" s="965">
        <f t="shared" si="51"/>
        <v>10670.835784039156</v>
      </c>
      <c r="AN35" s="1215">
        <f t="shared" si="51"/>
        <v>7800.7337094003942</v>
      </c>
      <c r="AO35" s="968"/>
      <c r="AP35" s="968"/>
      <c r="AQ35" s="968"/>
      <c r="AR35" s="968"/>
      <c r="AS35" s="968"/>
      <c r="AT35" s="968"/>
      <c r="AU35" s="968"/>
      <c r="AV35" s="968"/>
      <c r="AW35" s="968"/>
      <c r="AX35" s="968"/>
      <c r="AY35" s="968"/>
      <c r="AZ35" s="968"/>
    </row>
    <row r="36" spans="1:70" s="961" customFormat="1">
      <c r="A36" s="1040" t="s">
        <v>564</v>
      </c>
      <c r="B36" s="955"/>
      <c r="C36" s="955"/>
      <c r="D36" s="1064"/>
      <c r="E36" s="955"/>
      <c r="F36" s="956"/>
      <c r="G36" s="957">
        <f>SUM(G37:G39)</f>
        <v>14406.631692279212</v>
      </c>
      <c r="H36" s="957">
        <f t="shared" ref="H36:J36" si="52">SUM(H37:H39)</f>
        <v>14406.631692279212</v>
      </c>
      <c r="I36" s="957">
        <f t="shared" si="52"/>
        <v>14406.63169227921</v>
      </c>
      <c r="J36" s="957">
        <f t="shared" si="52"/>
        <v>14406.63169227921</v>
      </c>
      <c r="K36" s="1216">
        <f>SUM(K37:K39)</f>
        <v>14406.631692279212</v>
      </c>
      <c r="L36" s="958"/>
      <c r="M36" s="956"/>
      <c r="N36" s="957">
        <f>SUM(N37:N39)</f>
        <v>9619.018273712858</v>
      </c>
      <c r="O36" s="957">
        <f t="shared" ref="O36" si="53">SUM(O37:O39)</f>
        <v>9619.0182737128562</v>
      </c>
      <c r="P36" s="957">
        <f t="shared" ref="P36" si="54">SUM(P37:P39)</f>
        <v>9619.0182737128562</v>
      </c>
      <c r="Q36" s="957">
        <f t="shared" ref="Q36" si="55">SUM(Q37:Q39)</f>
        <v>9619.0182737128562</v>
      </c>
      <c r="R36" s="1216">
        <f>SUM(R37:R39)</f>
        <v>9619.018273712858</v>
      </c>
      <c r="S36" s="1028"/>
      <c r="T36" s="957">
        <f>SUM(T37:T39)</f>
        <v>3940.4518657505218</v>
      </c>
      <c r="U36" s="957">
        <f t="shared" ref="U36" si="56">SUM(U37:U39)</f>
        <v>3940.4518657505218</v>
      </c>
      <c r="V36" s="957">
        <f t="shared" ref="V36" si="57">SUM(V37:V39)</f>
        <v>3940.4518657505218</v>
      </c>
      <c r="W36" s="957">
        <f t="shared" ref="W36" si="58">SUM(W37:W39)</f>
        <v>3940.4518657505218</v>
      </c>
      <c r="X36" s="1216">
        <f>SUM(X37:X39)</f>
        <v>3940.4518657505218</v>
      </c>
      <c r="Y36" s="958"/>
      <c r="Z36" s="958"/>
      <c r="AA36" s="958"/>
      <c r="AB36" s="956"/>
      <c r="AC36" s="957">
        <f>SUM(AC37:AC39)</f>
        <v>3940.4518657505214</v>
      </c>
      <c r="AD36" s="957">
        <f t="shared" ref="AD36" si="59">SUM(AD37:AD39)</f>
        <v>3940.4518657505214</v>
      </c>
      <c r="AE36" s="957">
        <f t="shared" ref="AE36" si="60">SUM(AE37:AE39)</f>
        <v>3940.4518657505214</v>
      </c>
      <c r="AF36" s="957">
        <f t="shared" ref="AF36" si="61">SUM(AF37:AF39)</f>
        <v>3940.4518657505214</v>
      </c>
      <c r="AG36" s="957">
        <f>SUM(AG37:AG39)</f>
        <v>3940.4518657505205</v>
      </c>
      <c r="AH36" s="959"/>
      <c r="AI36" s="957">
        <f>SUM(AI37:AI39)</f>
        <v>9619.0182737128562</v>
      </c>
      <c r="AJ36" s="957">
        <f t="shared" ref="AJ36" si="62">SUM(AJ37:AJ39)</f>
        <v>9619.0182737128562</v>
      </c>
      <c r="AK36" s="957">
        <f t="shared" ref="AK36" si="63">SUM(AK37:AK39)</f>
        <v>9619.0182737128562</v>
      </c>
      <c r="AL36" s="957">
        <f t="shared" ref="AL36" si="64">SUM(AL37:AL39)</f>
        <v>9619.0182737128562</v>
      </c>
      <c r="AM36" s="957">
        <f>SUM(AM37:AM39)</f>
        <v>9619.0182737128562</v>
      </c>
      <c r="AN36" s="1216">
        <f t="shared" ref="AN36" si="65">AN51/AN21</f>
        <v>6400.8544135622942</v>
      </c>
      <c r="AO36" s="960"/>
      <c r="AP36" s="960"/>
      <c r="AQ36" s="960"/>
      <c r="AR36" s="960"/>
      <c r="AS36" s="960"/>
      <c r="AT36" s="960"/>
      <c r="AU36" s="960"/>
      <c r="AV36" s="960"/>
      <c r="AW36" s="960"/>
      <c r="AX36" s="960"/>
      <c r="AY36" s="960"/>
      <c r="AZ36" s="960"/>
    </row>
    <row r="37" spans="1:70" outlineLevel="1">
      <c r="A37" s="436" t="s">
        <v>609</v>
      </c>
      <c r="B37" s="2"/>
      <c r="C37" s="2"/>
      <c r="D37" s="1061"/>
      <c r="E37" s="2"/>
      <c r="F37" s="154"/>
      <c r="G37" s="169">
        <f>G52/G19</f>
        <v>13400</v>
      </c>
      <c r="H37" s="169">
        <f t="shared" ref="H37:K37" si="66">H52/H19</f>
        <v>13400</v>
      </c>
      <c r="I37" s="169">
        <f t="shared" si="66"/>
        <v>13399.999999999998</v>
      </c>
      <c r="J37" s="169">
        <f t="shared" si="66"/>
        <v>13399.999999999998</v>
      </c>
      <c r="K37" s="407">
        <f t="shared" si="66"/>
        <v>13400</v>
      </c>
      <c r="L37" s="279"/>
      <c r="M37" s="154"/>
      <c r="N37" s="169">
        <f>N52/N19</f>
        <v>8933.3333333333339</v>
      </c>
      <c r="O37" s="169">
        <f t="shared" ref="O37:R37" si="67">O52/O19</f>
        <v>8933.3333333333321</v>
      </c>
      <c r="P37" s="169">
        <f t="shared" si="67"/>
        <v>8933.3333333333321</v>
      </c>
      <c r="Q37" s="169">
        <f t="shared" si="67"/>
        <v>8933.3333333333321</v>
      </c>
      <c r="R37" s="407">
        <f t="shared" si="67"/>
        <v>8933.3333333333339</v>
      </c>
      <c r="S37" s="362"/>
      <c r="T37" s="169">
        <f>T52/T19</f>
        <v>0</v>
      </c>
      <c r="U37" s="169">
        <f t="shared" ref="U37:X37" si="68">U52/U19</f>
        <v>0</v>
      </c>
      <c r="V37" s="169">
        <f t="shared" si="68"/>
        <v>0</v>
      </c>
      <c r="W37" s="169">
        <f t="shared" si="68"/>
        <v>0</v>
      </c>
      <c r="X37" s="407">
        <f t="shared" si="68"/>
        <v>0</v>
      </c>
      <c r="Y37" s="279"/>
      <c r="Z37" s="279"/>
      <c r="AA37" s="279"/>
      <c r="AB37" s="154"/>
      <c r="AC37" s="169">
        <f>AC52/AC19</f>
        <v>0</v>
      </c>
      <c r="AD37" s="169">
        <f t="shared" ref="AD37:AG37" si="69">AD52/AD19</f>
        <v>0</v>
      </c>
      <c r="AE37" s="169">
        <f t="shared" si="69"/>
        <v>0</v>
      </c>
      <c r="AF37" s="169">
        <f t="shared" si="69"/>
        <v>0</v>
      </c>
      <c r="AG37" s="169">
        <f t="shared" si="69"/>
        <v>0</v>
      </c>
      <c r="AH37" s="615"/>
      <c r="AI37" s="169">
        <f>AI52/AI19</f>
        <v>8933.3333333333321</v>
      </c>
      <c r="AJ37" s="169">
        <f t="shared" ref="AJ37:AM37" si="70">AJ52/AJ19</f>
        <v>8933.3333333333321</v>
      </c>
      <c r="AK37" s="169">
        <f t="shared" si="70"/>
        <v>8933.3333333333321</v>
      </c>
      <c r="AL37" s="169">
        <f t="shared" si="70"/>
        <v>8933.3333333333321</v>
      </c>
      <c r="AM37" s="169">
        <f t="shared" si="70"/>
        <v>8933.3333333333321</v>
      </c>
      <c r="AN37" s="407"/>
      <c r="BG37" s="423"/>
      <c r="BH37" s="423"/>
      <c r="BI37" s="423"/>
      <c r="BJ37" s="423"/>
      <c r="BK37" s="423"/>
      <c r="BL37" s="423"/>
      <c r="BM37" s="423"/>
      <c r="BN37" s="423"/>
      <c r="BO37" s="423"/>
      <c r="BP37" s="423"/>
      <c r="BQ37" s="423"/>
      <c r="BR37" s="423"/>
    </row>
    <row r="38" spans="1:70" outlineLevel="1">
      <c r="A38" s="436" t="s">
        <v>611</v>
      </c>
      <c r="B38" s="2"/>
      <c r="C38" s="2"/>
      <c r="D38" s="1061"/>
      <c r="E38" s="2"/>
      <c r="F38" s="154"/>
      <c r="G38" s="169">
        <f>G54/G21</f>
        <v>746.30864078922923</v>
      </c>
      <c r="H38" s="169">
        <f t="shared" ref="H38:K38" si="71">H54/H21</f>
        <v>746.30864078922923</v>
      </c>
      <c r="I38" s="169">
        <f t="shared" si="71"/>
        <v>746.30864078922923</v>
      </c>
      <c r="J38" s="169">
        <f t="shared" si="71"/>
        <v>746.30864078922923</v>
      </c>
      <c r="K38" s="407">
        <f t="shared" si="71"/>
        <v>746.30864078922912</v>
      </c>
      <c r="L38" s="279"/>
      <c r="M38" s="154"/>
      <c r="N38" s="169">
        <f>N54/N21</f>
        <v>508.36130015499896</v>
      </c>
      <c r="O38" s="169">
        <f t="shared" ref="O38:R38" si="72">O54/O21</f>
        <v>508.36130015499901</v>
      </c>
      <c r="P38" s="169">
        <f t="shared" si="72"/>
        <v>508.36130015499896</v>
      </c>
      <c r="Q38" s="169">
        <f t="shared" si="72"/>
        <v>508.36130015499896</v>
      </c>
      <c r="R38" s="407">
        <f t="shared" si="72"/>
        <v>508.36130015499896</v>
      </c>
      <c r="S38" s="362"/>
      <c r="T38" s="169">
        <f>T54/T21</f>
        <v>2921.4193220612015</v>
      </c>
      <c r="U38" s="169">
        <f t="shared" ref="U38:X38" si="73">U54/U21</f>
        <v>2921.4193220612015</v>
      </c>
      <c r="V38" s="169">
        <f t="shared" si="73"/>
        <v>2921.4193220612015</v>
      </c>
      <c r="W38" s="169">
        <f t="shared" si="73"/>
        <v>2921.4193220612015</v>
      </c>
      <c r="X38" s="407">
        <f t="shared" si="73"/>
        <v>2921.4193220612015</v>
      </c>
      <c r="Y38" s="279"/>
      <c r="Z38" s="279"/>
      <c r="AA38" s="279"/>
      <c r="AB38" s="154"/>
      <c r="AC38" s="169">
        <f>AC54/AC21</f>
        <v>2921.419322061201</v>
      </c>
      <c r="AD38" s="169">
        <f t="shared" ref="AD38:AG38" si="74">AD54/AD21</f>
        <v>2921.419322061201</v>
      </c>
      <c r="AE38" s="169">
        <f t="shared" si="74"/>
        <v>2921.419322061201</v>
      </c>
      <c r="AF38" s="169">
        <f t="shared" si="74"/>
        <v>2921.419322061201</v>
      </c>
      <c r="AG38" s="169">
        <f t="shared" si="74"/>
        <v>2921.4193220612005</v>
      </c>
      <c r="AH38" s="615"/>
      <c r="AI38" s="169">
        <f>AI54/AI21</f>
        <v>508.36130015499907</v>
      </c>
      <c r="AJ38" s="169">
        <f t="shared" ref="AJ38:AM38" si="75">AJ54/AJ21</f>
        <v>508.36130015499907</v>
      </c>
      <c r="AK38" s="169">
        <f t="shared" si="75"/>
        <v>508.36130015499907</v>
      </c>
      <c r="AL38" s="169">
        <f t="shared" si="75"/>
        <v>508.36130015499901</v>
      </c>
      <c r="AM38" s="169">
        <f t="shared" si="75"/>
        <v>508.36130015499913</v>
      </c>
      <c r="AN38" s="407"/>
      <c r="BG38" s="423"/>
      <c r="BH38" s="423"/>
      <c r="BI38" s="423"/>
      <c r="BJ38" s="423"/>
      <c r="BK38" s="423"/>
      <c r="BL38" s="423"/>
      <c r="BM38" s="423"/>
      <c r="BN38" s="423"/>
      <c r="BO38" s="423"/>
      <c r="BP38" s="423"/>
      <c r="BQ38" s="423"/>
      <c r="BR38" s="423"/>
    </row>
    <row r="39" spans="1:70" outlineLevel="1">
      <c r="A39" s="436" t="s">
        <v>610</v>
      </c>
      <c r="B39" s="2"/>
      <c r="C39" s="2"/>
      <c r="D39" s="1061"/>
      <c r="E39" s="2"/>
      <c r="F39" s="154"/>
      <c r="G39" s="169">
        <f>G53/G21</f>
        <v>260.32305148998239</v>
      </c>
      <c r="H39" s="169">
        <f t="shared" ref="H39:K39" si="76">H53/H21</f>
        <v>260.32305148998233</v>
      </c>
      <c r="I39" s="169">
        <f t="shared" si="76"/>
        <v>260.32305148998233</v>
      </c>
      <c r="J39" s="169">
        <f t="shared" si="76"/>
        <v>260.32305148998233</v>
      </c>
      <c r="K39" s="407">
        <f t="shared" si="76"/>
        <v>260.32305148998233</v>
      </c>
      <c r="L39" s="279"/>
      <c r="M39" s="154"/>
      <c r="N39" s="169">
        <f>N53/N21</f>
        <v>177.32364022452583</v>
      </c>
      <c r="O39" s="169">
        <f t="shared" ref="O39:R39" si="77">O53/O21</f>
        <v>177.32364022452583</v>
      </c>
      <c r="P39" s="169">
        <f t="shared" si="77"/>
        <v>177.3236402245258</v>
      </c>
      <c r="Q39" s="169">
        <f t="shared" si="77"/>
        <v>177.32364022452586</v>
      </c>
      <c r="R39" s="407">
        <f t="shared" si="77"/>
        <v>177.32364022452583</v>
      </c>
      <c r="S39" s="362"/>
      <c r="T39" s="169">
        <f>T53/T21</f>
        <v>1019.0325436893203</v>
      </c>
      <c r="U39" s="169">
        <f t="shared" ref="U39:X39" si="78">U53/U21</f>
        <v>1019.0325436893204</v>
      </c>
      <c r="V39" s="169">
        <f t="shared" si="78"/>
        <v>1019.0325436893203</v>
      </c>
      <c r="W39" s="169">
        <f t="shared" si="78"/>
        <v>1019.0325436893204</v>
      </c>
      <c r="X39" s="407">
        <f t="shared" si="78"/>
        <v>1019.0325436893203</v>
      </c>
      <c r="Y39" s="279"/>
      <c r="Z39" s="279"/>
      <c r="AA39" s="279"/>
      <c r="AB39" s="154"/>
      <c r="AC39" s="169">
        <f>AC53/AC21</f>
        <v>1019.0325436893202</v>
      </c>
      <c r="AD39" s="169">
        <f t="shared" ref="AD39:AG39" si="79">AD53/AD21</f>
        <v>1019.0325436893203</v>
      </c>
      <c r="AE39" s="169">
        <f t="shared" si="79"/>
        <v>1019.0325436893204</v>
      </c>
      <c r="AF39" s="169">
        <f t="shared" si="79"/>
        <v>1019.0325436893202</v>
      </c>
      <c r="AG39" s="169">
        <f t="shared" si="79"/>
        <v>1019.0325436893202</v>
      </c>
      <c r="AH39" s="615"/>
      <c r="AI39" s="169">
        <f>AI53/AI21</f>
        <v>177.32364022452578</v>
      </c>
      <c r="AJ39" s="169">
        <f t="shared" ref="AJ39:AM39" si="80">AJ53/AJ21</f>
        <v>177.32364022452583</v>
      </c>
      <c r="AK39" s="169">
        <f t="shared" si="80"/>
        <v>177.3236402245258</v>
      </c>
      <c r="AL39" s="169">
        <f t="shared" si="80"/>
        <v>177.32364022452583</v>
      </c>
      <c r="AM39" s="169">
        <f t="shared" si="80"/>
        <v>177.3236402245258</v>
      </c>
      <c r="AN39" s="407"/>
      <c r="BG39" s="423"/>
      <c r="BH39" s="423"/>
      <c r="BI39" s="423"/>
      <c r="BJ39" s="423"/>
      <c r="BK39" s="423"/>
      <c r="BL39" s="423"/>
      <c r="BM39" s="423"/>
      <c r="BN39" s="423"/>
      <c r="BO39" s="423"/>
      <c r="BP39" s="423"/>
      <c r="BQ39" s="423"/>
      <c r="BR39" s="423"/>
    </row>
    <row r="40" spans="1:70" s="961" customFormat="1">
      <c r="A40" s="1040" t="s">
        <v>566</v>
      </c>
      <c r="B40" s="955"/>
      <c r="C40" s="955"/>
      <c r="D40" s="1064"/>
      <c r="E40" s="955"/>
      <c r="F40" s="956"/>
      <c r="G40" s="957">
        <f>G55/G21</f>
        <v>1250.4281942815205</v>
      </c>
      <c r="H40" s="957">
        <f>H55/H21</f>
        <v>1267.8572671039296</v>
      </c>
      <c r="I40" s="957">
        <f>I55/I21</f>
        <v>1258.1553515368598</v>
      </c>
      <c r="J40" s="957">
        <f>J55/J21</f>
        <v>1258.1553515368596</v>
      </c>
      <c r="K40" s="1216">
        <f>K55/K21</f>
        <v>1255.685390171546</v>
      </c>
      <c r="L40" s="958"/>
      <c r="M40" s="956"/>
      <c r="N40" s="957">
        <f>N55/N21</f>
        <v>1343.0130751360423</v>
      </c>
      <c r="O40" s="957">
        <f>O55/O21</f>
        <v>1360.4421479584512</v>
      </c>
      <c r="P40" s="957">
        <f>P55/P21</f>
        <v>1350.7402323913816</v>
      </c>
      <c r="Q40" s="957">
        <f>Q55/Q21</f>
        <v>1350.7402323913816</v>
      </c>
      <c r="R40" s="1216">
        <f>R55/R21</f>
        <v>1348.2702710260678</v>
      </c>
      <c r="S40" s="1028"/>
      <c r="T40" s="957">
        <f>T55/T21</f>
        <v>1387.0406135140795</v>
      </c>
      <c r="U40" s="957">
        <f>U55/U21</f>
        <v>1404.4696863364884</v>
      </c>
      <c r="V40" s="957">
        <f>V55/V21</f>
        <v>1394.7677707694186</v>
      </c>
      <c r="W40" s="957">
        <f>W55/W21</f>
        <v>1394.7677707694186</v>
      </c>
      <c r="X40" s="1216">
        <f>X55/X21</f>
        <v>1392.2978094041048</v>
      </c>
      <c r="Y40" s="958"/>
      <c r="Z40" s="958"/>
      <c r="AA40" s="958"/>
      <c r="AB40" s="956"/>
      <c r="AC40" s="957">
        <f>AC55/AC21</f>
        <v>1364.6067790683178</v>
      </c>
      <c r="AD40" s="957">
        <f>AD55/AD21</f>
        <v>1364.6067790683176</v>
      </c>
      <c r="AE40" s="957">
        <f>AE55/AE21</f>
        <v>1364.6067790683178</v>
      </c>
      <c r="AF40" s="957">
        <f>AF55/AF21</f>
        <v>1364.6067790683176</v>
      </c>
      <c r="AG40" s="957">
        <f>AG55/AG21</f>
        <v>1364.6067790683178</v>
      </c>
      <c r="AH40" s="959"/>
      <c r="AI40" s="957">
        <f t="shared" ref="AI40:AN40" si="81">AI55/AI21</f>
        <v>1428.4117564514811</v>
      </c>
      <c r="AJ40" s="957">
        <f t="shared" si="81"/>
        <v>1458.4952140160049</v>
      </c>
      <c r="AK40" s="957">
        <f t="shared" si="81"/>
        <v>1444.9995002297019</v>
      </c>
      <c r="AL40" s="957">
        <f t="shared" si="81"/>
        <v>1444.9995002297014</v>
      </c>
      <c r="AM40" s="957">
        <f t="shared" si="81"/>
        <v>1440.4437607379643</v>
      </c>
      <c r="AN40" s="1216">
        <f t="shared" si="81"/>
        <v>1399.8792958381002</v>
      </c>
      <c r="AO40" s="960"/>
      <c r="AP40" s="960"/>
      <c r="AQ40" s="960"/>
      <c r="AR40" s="960"/>
      <c r="AS40" s="960"/>
      <c r="AT40" s="960"/>
      <c r="AU40" s="960"/>
      <c r="AV40" s="960"/>
      <c r="AW40" s="960"/>
      <c r="AX40" s="960"/>
      <c r="AY40" s="960"/>
      <c r="AZ40" s="960"/>
    </row>
    <row r="41" spans="1:70" s="961" customFormat="1">
      <c r="A41" s="1040" t="s">
        <v>501</v>
      </c>
      <c r="B41" s="955"/>
      <c r="C41" s="955"/>
      <c r="D41" s="1064"/>
      <c r="E41" s="955"/>
      <c r="F41" s="956"/>
      <c r="G41" s="957">
        <f>G71/G21</f>
        <v>1600.0000000000002</v>
      </c>
      <c r="H41" s="957">
        <f>H71/H21</f>
        <v>1600</v>
      </c>
      <c r="I41" s="957">
        <f>I71/I21</f>
        <v>1600</v>
      </c>
      <c r="J41" s="957">
        <f>J71/J21</f>
        <v>1600</v>
      </c>
      <c r="K41" s="1216">
        <f>K71/K21</f>
        <v>1600.0000000000002</v>
      </c>
      <c r="L41" s="958"/>
      <c r="M41" s="956"/>
      <c r="N41" s="957">
        <f>N71/N21</f>
        <v>0</v>
      </c>
      <c r="O41" s="957">
        <f>O71/O21</f>
        <v>0</v>
      </c>
      <c r="P41" s="957">
        <f>P71/P21</f>
        <v>0</v>
      </c>
      <c r="Q41" s="957">
        <f>Q71/Q21</f>
        <v>0</v>
      </c>
      <c r="R41" s="1216">
        <f>R71/R21</f>
        <v>0</v>
      </c>
      <c r="S41" s="1028"/>
      <c r="T41" s="957">
        <f>T71/T21</f>
        <v>0</v>
      </c>
      <c r="U41" s="957">
        <f>U71/U21</f>
        <v>0</v>
      </c>
      <c r="V41" s="957">
        <f>V71/V21</f>
        <v>0</v>
      </c>
      <c r="W41" s="957">
        <f>W71/W21</f>
        <v>0</v>
      </c>
      <c r="X41" s="1216">
        <f>X71/X21</f>
        <v>0</v>
      </c>
      <c r="Y41" s="958"/>
      <c r="Z41" s="958"/>
      <c r="AA41" s="958"/>
      <c r="AB41" s="956"/>
      <c r="AC41" s="957">
        <f>AC71/AC21</f>
        <v>0</v>
      </c>
      <c r="AD41" s="957">
        <f>AD71/AD21</f>
        <v>0</v>
      </c>
      <c r="AE41" s="957">
        <f>AE71/AE21</f>
        <v>0</v>
      </c>
      <c r="AF41" s="957">
        <f>AF71/AF21</f>
        <v>0</v>
      </c>
      <c r="AG41" s="957">
        <f>AG71/AG21</f>
        <v>0</v>
      </c>
      <c r="AH41" s="959"/>
      <c r="AI41" s="957">
        <f t="shared" ref="AI41:AN41" si="82">AI71/AI21</f>
        <v>0</v>
      </c>
      <c r="AJ41" s="957">
        <f t="shared" si="82"/>
        <v>0</v>
      </c>
      <c r="AK41" s="957">
        <f t="shared" si="82"/>
        <v>0</v>
      </c>
      <c r="AL41" s="957">
        <f t="shared" si="82"/>
        <v>0</v>
      </c>
      <c r="AM41" s="957">
        <f t="shared" si="82"/>
        <v>0</v>
      </c>
      <c r="AN41" s="1216">
        <f t="shared" si="82"/>
        <v>0</v>
      </c>
      <c r="AO41" s="960"/>
      <c r="AP41" s="960"/>
      <c r="AQ41" s="960"/>
      <c r="AR41" s="960"/>
      <c r="AS41" s="960"/>
      <c r="AT41" s="960"/>
      <c r="AU41" s="960"/>
      <c r="AV41" s="960"/>
      <c r="AW41" s="960"/>
      <c r="AX41" s="960"/>
      <c r="AY41" s="960"/>
      <c r="AZ41" s="960"/>
    </row>
    <row r="42" spans="1:70">
      <c r="A42" s="436"/>
      <c r="B42" s="2"/>
      <c r="C42" s="2"/>
      <c r="D42" s="1061"/>
      <c r="E42" s="2"/>
      <c r="F42" s="154"/>
      <c r="G42" s="169"/>
      <c r="H42" s="154"/>
      <c r="I42" s="154"/>
      <c r="J42" s="154"/>
      <c r="K42" s="301"/>
      <c r="L42" s="279"/>
      <c r="M42" s="154"/>
      <c r="N42" s="154"/>
      <c r="O42" s="154"/>
      <c r="P42" s="154"/>
      <c r="Q42" s="154"/>
      <c r="R42" s="301"/>
      <c r="S42" s="326"/>
      <c r="T42" s="154"/>
      <c r="U42" s="154"/>
      <c r="V42" s="154"/>
      <c r="W42" s="154"/>
      <c r="X42" s="301"/>
      <c r="Y42" s="279"/>
      <c r="Z42" s="279"/>
      <c r="AA42" s="279"/>
      <c r="AB42" s="154"/>
      <c r="AC42" s="154"/>
      <c r="AD42" s="154"/>
      <c r="AE42" s="154"/>
      <c r="AF42" s="154"/>
      <c r="AG42" s="279"/>
      <c r="AH42" s="615"/>
      <c r="AI42" s="154"/>
      <c r="AJ42" s="154"/>
      <c r="AK42" s="154"/>
      <c r="AL42" s="154"/>
      <c r="AM42" s="681"/>
      <c r="AN42" s="301"/>
      <c r="BG42" s="423"/>
      <c r="BH42" s="423"/>
      <c r="BI42" s="423"/>
      <c r="BJ42" s="423"/>
      <c r="BK42" s="423"/>
      <c r="BL42" s="423"/>
      <c r="BM42" s="423"/>
      <c r="BN42" s="423"/>
      <c r="BO42" s="423"/>
      <c r="BP42" s="423"/>
      <c r="BQ42" s="423"/>
      <c r="BR42" s="423"/>
    </row>
    <row r="43" spans="1:70">
      <c r="A43" s="1036"/>
      <c r="F43" s="898"/>
      <c r="G43" s="784"/>
      <c r="H43" s="784"/>
      <c r="I43" s="784"/>
      <c r="J43" s="784"/>
      <c r="K43" s="301"/>
      <c r="L43" s="279"/>
      <c r="M43" s="940"/>
      <c r="N43" s="154"/>
      <c r="O43" s="154"/>
      <c r="P43" s="154"/>
      <c r="Q43" s="154"/>
      <c r="R43" s="903"/>
      <c r="S43" s="1029"/>
      <c r="T43" s="154"/>
      <c r="U43" s="154"/>
      <c r="V43" s="154"/>
      <c r="W43" s="154"/>
      <c r="X43" s="301"/>
      <c r="Y43" s="279"/>
      <c r="Z43" s="279"/>
      <c r="AA43" s="279"/>
      <c r="AB43" s="1229"/>
      <c r="AC43" s="154"/>
      <c r="AD43" s="154"/>
      <c r="AE43" s="154"/>
      <c r="AF43" s="154"/>
      <c r="AG43" s="154"/>
      <c r="AH43" s="615"/>
      <c r="AI43" s="154"/>
      <c r="AJ43" s="154"/>
      <c r="AK43" s="154"/>
      <c r="AL43" s="154"/>
      <c r="AM43" s="684"/>
      <c r="AN43" s="299"/>
      <c r="BG43" s="423"/>
      <c r="BH43" s="423"/>
      <c r="BI43" s="423"/>
      <c r="BJ43" s="423"/>
      <c r="BK43" s="423"/>
      <c r="BL43" s="423"/>
      <c r="BM43" s="423"/>
      <c r="BN43" s="423"/>
      <c r="BO43" s="423"/>
      <c r="BP43" s="423"/>
      <c r="BQ43" s="423"/>
      <c r="BR43" s="423"/>
    </row>
    <row r="44" spans="1:70" s="495" customFormat="1" ht="20">
      <c r="A44" s="1086" t="s">
        <v>342</v>
      </c>
      <c r="B44" s="932"/>
      <c r="C44" s="932"/>
      <c r="D44" s="1065"/>
      <c r="E44" s="932"/>
      <c r="F44" s="726"/>
      <c r="G44" s="1087">
        <f>SUM(G45:G49)</f>
        <v>56555524.126248688</v>
      </c>
      <c r="H44" s="1087">
        <f t="shared" ref="H44:J44" si="83">SUM(H45:H49)</f>
        <v>24072968.447433282</v>
      </c>
      <c r="I44" s="1087">
        <f t="shared" si="83"/>
        <v>1313891.3854473624</v>
      </c>
      <c r="J44" s="1087">
        <f t="shared" si="83"/>
        <v>2674707.4632321298</v>
      </c>
      <c r="K44" s="873">
        <f t="shared" si="12"/>
        <v>84617091.422361463</v>
      </c>
      <c r="L44" s="677"/>
      <c r="M44" s="1025"/>
      <c r="N44" s="1087">
        <f>SUM(N45:N49)</f>
        <v>94480712.769646078</v>
      </c>
      <c r="O44" s="1087">
        <f t="shared" ref="O44:Q44" si="84">SUM(O45:O49)</f>
        <v>40132903.703792758</v>
      </c>
      <c r="P44" s="1087">
        <f t="shared" si="84"/>
        <v>2192935.6400447767</v>
      </c>
      <c r="Q44" s="1087">
        <f t="shared" si="84"/>
        <v>4464190.4100911515</v>
      </c>
      <c r="R44" s="873">
        <f t="shared" ref="R44:R51" si="85">SUM(N44:Q44)</f>
        <v>141270742.52357477</v>
      </c>
      <c r="S44" s="1030"/>
      <c r="T44" s="1087">
        <f>SUM(T45:T49)</f>
        <v>16440754.540248806</v>
      </c>
      <c r="U44" s="1087">
        <f t="shared" ref="U44:W44" si="86">SUM(U45:U49)</f>
        <v>6983596.9632256897</v>
      </c>
      <c r="V44" s="1087">
        <f t="shared" si="86"/>
        <v>381596.57694837527</v>
      </c>
      <c r="W44" s="1087">
        <f t="shared" si="86"/>
        <v>776821.60307347821</v>
      </c>
      <c r="X44" s="674">
        <f t="shared" ref="X44:X51" si="87">SUM(T44:W44)</f>
        <v>24582769.683496349</v>
      </c>
      <c r="Y44" s="677"/>
      <c r="Z44" s="677"/>
      <c r="AA44" s="677"/>
      <c r="AB44" s="1230"/>
      <c r="AC44" s="1087">
        <f>SUM(AC45:AC49)</f>
        <v>14304847.921491524</v>
      </c>
      <c r="AD44" s="1087">
        <f t="shared" ref="AD44:AF44" si="88">SUM(AD45:AD49)</f>
        <v>5562237.6275337106</v>
      </c>
      <c r="AE44" s="1087">
        <f t="shared" si="88"/>
        <v>319451.29823283362</v>
      </c>
      <c r="AF44" s="1087">
        <f t="shared" si="88"/>
        <v>650311.57140255417</v>
      </c>
      <c r="AG44" s="677">
        <f t="shared" ref="AG44:AG75" si="89">SUM(AC44:AF44)</f>
        <v>20836848.418660622</v>
      </c>
      <c r="AH44" s="688"/>
      <c r="AI44" s="1087">
        <f>SUM(AI45:AI49)</f>
        <v>12274496.23772187</v>
      </c>
      <c r="AJ44" s="1087">
        <f t="shared" ref="AJ44:AL44" si="90">SUM(AJ45:AJ49)</f>
        <v>8168180.0436354261</v>
      </c>
      <c r="AK44" s="1087">
        <f t="shared" si="90"/>
        <v>357132.64947411773</v>
      </c>
      <c r="AL44" s="1087">
        <f t="shared" si="90"/>
        <v>727020.03642945399</v>
      </c>
      <c r="AM44" s="689">
        <f t="shared" ref="AM44:AM51" si="91">SUM(AI44:AL44)</f>
        <v>21526828.967260867</v>
      </c>
      <c r="AN44" s="674">
        <f>AM44+AG44</f>
        <v>42363677.385921493</v>
      </c>
      <c r="AO44" s="493"/>
      <c r="AP44" s="493"/>
      <c r="AQ44" s="493"/>
      <c r="AR44" s="493"/>
      <c r="AS44" s="493"/>
      <c r="AT44" s="493"/>
      <c r="AU44" s="493"/>
      <c r="AV44" s="493"/>
      <c r="AW44" s="493"/>
      <c r="AX44" s="493"/>
      <c r="AY44" s="493"/>
      <c r="AZ44" s="493"/>
    </row>
    <row r="45" spans="1:70" outlineLevel="1">
      <c r="A45" s="436" t="s">
        <v>327</v>
      </c>
      <c r="B45" s="2"/>
      <c r="C45" s="2"/>
      <c r="D45" s="1061"/>
      <c r="E45" s="2"/>
      <c r="F45" s="724"/>
      <c r="G45" s="169">
        <f t="shared" ref="G45:J49" si="92">G$21*G88*G98</f>
        <v>16330.246641369327</v>
      </c>
      <c r="H45" s="169">
        <f t="shared" si="92"/>
        <v>107671.79789270686</v>
      </c>
      <c r="I45" s="169">
        <f t="shared" si="92"/>
        <v>2842.1422607951204</v>
      </c>
      <c r="J45" s="169">
        <f t="shared" si="92"/>
        <v>5785.7896023329231</v>
      </c>
      <c r="K45" s="406">
        <f>SUM(G45:J45)</f>
        <v>132629.97639720424</v>
      </c>
      <c r="L45" s="671"/>
      <c r="M45" s="74"/>
      <c r="N45" s="169">
        <f t="shared" ref="N45:Q49" si="93">N$21*N88*N98</f>
        <v>25624.564492132558</v>
      </c>
      <c r="O45" s="169">
        <f t="shared" si="93"/>
        <v>168952.92457470062</v>
      </c>
      <c r="P45" s="169">
        <f t="shared" si="93"/>
        <v>4459.7402143984491</v>
      </c>
      <c r="Q45" s="169">
        <f t="shared" si="93"/>
        <v>9078.7568650254125</v>
      </c>
      <c r="R45" s="406">
        <f t="shared" si="85"/>
        <v>208115.98614625703</v>
      </c>
      <c r="S45" s="362"/>
      <c r="T45" s="169">
        <f t="shared" ref="T45:W49" si="94">T$21*T88*T98</f>
        <v>4458.9754106012006</v>
      </c>
      <c r="U45" s="169">
        <f t="shared" si="94"/>
        <v>29399.79473442565</v>
      </c>
      <c r="V45" s="169">
        <f t="shared" si="94"/>
        <v>776.04721671572281</v>
      </c>
      <c r="W45" s="169">
        <f t="shared" si="94"/>
        <v>1579.8104054570072</v>
      </c>
      <c r="X45" s="406">
        <f t="shared" si="87"/>
        <v>36214.627767199578</v>
      </c>
      <c r="Y45" s="671"/>
      <c r="Z45" s="671"/>
      <c r="AA45" s="671"/>
      <c r="AB45" s="154"/>
      <c r="AC45" s="169">
        <f t="shared" ref="AC45:AF49" si="95">AC$21*AC88*AC98</f>
        <v>0</v>
      </c>
      <c r="AD45" s="169">
        <f t="shared" si="95"/>
        <v>0</v>
      </c>
      <c r="AE45" s="169">
        <f t="shared" si="95"/>
        <v>0</v>
      </c>
      <c r="AF45" s="169">
        <f t="shared" si="95"/>
        <v>0</v>
      </c>
      <c r="AG45" s="671">
        <f t="shared" si="89"/>
        <v>0</v>
      </c>
      <c r="AH45" s="615"/>
      <c r="AI45" s="169">
        <f t="shared" ref="AI45:AL49" si="96">AI$21*AI88*AI98</f>
        <v>25624.564492132562</v>
      </c>
      <c r="AJ45" s="169">
        <f t="shared" si="96"/>
        <v>168952.92457470065</v>
      </c>
      <c r="AK45" s="169">
        <f t="shared" si="96"/>
        <v>4459.7402143984473</v>
      </c>
      <c r="AL45" s="169">
        <f t="shared" si="96"/>
        <v>9078.7568650254143</v>
      </c>
      <c r="AM45" s="687">
        <f t="shared" si="91"/>
        <v>208115.98614625708</v>
      </c>
      <c r="AN45" s="406">
        <f>AM45+AG45</f>
        <v>208115.98614625708</v>
      </c>
      <c r="BG45" s="423"/>
      <c r="BH45" s="423"/>
      <c r="BI45" s="423"/>
      <c r="BJ45" s="423"/>
      <c r="BK45" s="423"/>
      <c r="BL45" s="423"/>
      <c r="BM45" s="423"/>
      <c r="BN45" s="423"/>
      <c r="BO45" s="423"/>
      <c r="BP45" s="423"/>
      <c r="BQ45" s="423"/>
      <c r="BR45" s="423"/>
    </row>
    <row r="46" spans="1:70" outlineLevel="1">
      <c r="A46" s="436" t="s">
        <v>429</v>
      </c>
      <c r="B46" s="2"/>
      <c r="C46" s="2"/>
      <c r="D46" s="1061"/>
      <c r="E46" s="2"/>
      <c r="F46" s="724"/>
      <c r="G46" s="169">
        <f t="shared" si="92"/>
        <v>709938.6657969018</v>
      </c>
      <c r="H46" s="169">
        <f t="shared" si="92"/>
        <v>811262.91752202727</v>
      </c>
      <c r="I46" s="169">
        <f t="shared" si="92"/>
        <v>28940.81399914818</v>
      </c>
      <c r="J46" s="169">
        <f t="shared" si="92"/>
        <v>58915.228498265933</v>
      </c>
      <c r="K46" s="406">
        <f t="shared" si="12"/>
        <v>1609057.6258163431</v>
      </c>
      <c r="L46" s="671"/>
      <c r="M46" s="74"/>
      <c r="N46" s="169">
        <f t="shared" si="93"/>
        <v>1136173.3906386246</v>
      </c>
      <c r="O46" s="169">
        <f t="shared" si="93"/>
        <v>1298330.9461891926</v>
      </c>
      <c r="P46" s="169">
        <f t="shared" si="93"/>
        <v>46316.371192917577</v>
      </c>
      <c r="Q46" s="169">
        <f t="shared" si="93"/>
        <v>94286.898499867893</v>
      </c>
      <c r="R46" s="406">
        <f t="shared" si="85"/>
        <v>2575107.6065206029</v>
      </c>
      <c r="S46" s="362"/>
      <c r="T46" s="169">
        <f t="shared" si="94"/>
        <v>197707.52445734138</v>
      </c>
      <c r="U46" s="169">
        <f t="shared" si="94"/>
        <v>225924.84510937351</v>
      </c>
      <c r="V46" s="169">
        <f t="shared" si="94"/>
        <v>8059.5929862888252</v>
      </c>
      <c r="W46" s="169">
        <f t="shared" si="94"/>
        <v>16407.02857923082</v>
      </c>
      <c r="X46" s="406">
        <f t="shared" si="87"/>
        <v>448098.99113223451</v>
      </c>
      <c r="Y46" s="671"/>
      <c r="Z46" s="671"/>
      <c r="AA46" s="671"/>
      <c r="AB46" s="154"/>
      <c r="AC46" s="169">
        <f t="shared" si="95"/>
        <v>0</v>
      </c>
      <c r="AD46" s="169">
        <f t="shared" si="95"/>
        <v>0</v>
      </c>
      <c r="AE46" s="169">
        <f t="shared" si="95"/>
        <v>0</v>
      </c>
      <c r="AF46" s="169">
        <f t="shared" si="95"/>
        <v>0</v>
      </c>
      <c r="AG46" s="671">
        <f t="shared" si="89"/>
        <v>0</v>
      </c>
      <c r="AH46" s="615"/>
      <c r="AI46" s="169">
        <f t="shared" si="96"/>
        <v>1136173.3906386246</v>
      </c>
      <c r="AJ46" s="169">
        <f t="shared" si="96"/>
        <v>1298330.9461891926</v>
      </c>
      <c r="AK46" s="169">
        <f t="shared" si="96"/>
        <v>46316.371192917555</v>
      </c>
      <c r="AL46" s="169">
        <f t="shared" si="96"/>
        <v>94286.898499867893</v>
      </c>
      <c r="AM46" s="687">
        <f t="shared" si="91"/>
        <v>2575107.6065206029</v>
      </c>
      <c r="AN46" s="406">
        <f t="shared" ref="AN46:AN71" si="97">AM46+AG46</f>
        <v>2575107.6065206029</v>
      </c>
      <c r="BG46" s="423"/>
      <c r="BH46" s="423"/>
      <c r="BI46" s="423"/>
      <c r="BJ46" s="423"/>
      <c r="BK46" s="423"/>
      <c r="BL46" s="423"/>
      <c r="BM46" s="423"/>
      <c r="BN46" s="423"/>
      <c r="BO46" s="423"/>
      <c r="BP46" s="423"/>
      <c r="BQ46" s="423"/>
      <c r="BR46" s="423"/>
    </row>
    <row r="47" spans="1:70" outlineLevel="1">
      <c r="A47" s="436" t="s">
        <v>65</v>
      </c>
      <c r="B47" s="2"/>
      <c r="C47" s="2"/>
      <c r="D47" s="1061"/>
      <c r="E47" s="2"/>
      <c r="F47" s="724"/>
      <c r="G47" s="169">
        <f t="shared" si="92"/>
        <v>6750219.7008908717</v>
      </c>
      <c r="H47" s="169">
        <f t="shared" si="92"/>
        <v>4070345.4921116554</v>
      </c>
      <c r="I47" s="169">
        <f t="shared" si="92"/>
        <v>186091.07222814544</v>
      </c>
      <c r="J47" s="169">
        <f t="shared" si="92"/>
        <v>378828.2541787246</v>
      </c>
      <c r="K47" s="406">
        <f t="shared" si="12"/>
        <v>11385484.519409398</v>
      </c>
      <c r="L47" s="671"/>
      <c r="M47" s="74"/>
      <c r="N47" s="169">
        <f t="shared" si="93"/>
        <v>11112698.28259111</v>
      </c>
      <c r="O47" s="169">
        <f t="shared" si="93"/>
        <v>6700896.1728715328</v>
      </c>
      <c r="P47" s="169">
        <f t="shared" si="93"/>
        <v>306356.53806680191</v>
      </c>
      <c r="Q47" s="169">
        <f t="shared" si="93"/>
        <v>623654.38106456073</v>
      </c>
      <c r="R47" s="406">
        <f t="shared" si="85"/>
        <v>18743605.374594003</v>
      </c>
      <c r="S47" s="362"/>
      <c r="T47" s="169">
        <f t="shared" si="94"/>
        <v>1933740.1188893395</v>
      </c>
      <c r="U47" s="169">
        <f t="shared" si="94"/>
        <v>1166034.6958481797</v>
      </c>
      <c r="V47" s="169">
        <f t="shared" si="94"/>
        <v>53309.63851253708</v>
      </c>
      <c r="W47" s="169">
        <f t="shared" si="94"/>
        <v>108523.19268623619</v>
      </c>
      <c r="X47" s="406">
        <f t="shared" si="87"/>
        <v>3261607.6459362921</v>
      </c>
      <c r="Y47" s="671"/>
      <c r="Z47" s="671"/>
      <c r="AA47" s="671"/>
      <c r="AB47" s="154"/>
      <c r="AC47" s="169">
        <f t="shared" si="95"/>
        <v>0</v>
      </c>
      <c r="AD47" s="169">
        <f t="shared" si="95"/>
        <v>0</v>
      </c>
      <c r="AE47" s="169">
        <f t="shared" si="95"/>
        <v>0</v>
      </c>
      <c r="AF47" s="169">
        <f t="shared" si="95"/>
        <v>0</v>
      </c>
      <c r="AG47" s="671">
        <f t="shared" si="89"/>
        <v>0</v>
      </c>
      <c r="AH47" s="615"/>
      <c r="AI47" s="169">
        <f t="shared" si="96"/>
        <v>11112698.282591112</v>
      </c>
      <c r="AJ47" s="169">
        <f t="shared" si="96"/>
        <v>6700896.1728715328</v>
      </c>
      <c r="AK47" s="169">
        <f t="shared" si="96"/>
        <v>306356.53806680173</v>
      </c>
      <c r="AL47" s="169">
        <f t="shared" si="96"/>
        <v>623654.38106456073</v>
      </c>
      <c r="AM47" s="687">
        <f t="shared" si="91"/>
        <v>18743605.374594007</v>
      </c>
      <c r="AN47" s="406">
        <f t="shared" si="97"/>
        <v>18743605.374594007</v>
      </c>
      <c r="BG47" s="423"/>
      <c r="BH47" s="423"/>
      <c r="BI47" s="423"/>
      <c r="BJ47" s="423"/>
      <c r="BK47" s="423"/>
      <c r="BL47" s="423"/>
      <c r="BM47" s="423"/>
      <c r="BN47" s="423"/>
      <c r="BO47" s="423"/>
      <c r="BP47" s="423"/>
      <c r="BQ47" s="423"/>
      <c r="BR47" s="423"/>
    </row>
    <row r="48" spans="1:70" outlineLevel="1">
      <c r="A48" s="436" t="s">
        <v>66</v>
      </c>
      <c r="B48" s="2"/>
      <c r="C48" s="2"/>
      <c r="D48" s="1061"/>
      <c r="E48" s="2"/>
      <c r="F48" s="724"/>
      <c r="G48" s="169">
        <f t="shared" si="92"/>
        <v>49079035.512919545</v>
      </c>
      <c r="H48" s="169">
        <f t="shared" si="92"/>
        <v>19083688.239906892</v>
      </c>
      <c r="I48" s="169">
        <f t="shared" si="92"/>
        <v>1096017.3569592736</v>
      </c>
      <c r="J48" s="169">
        <f t="shared" si="92"/>
        <v>2231178.1909528063</v>
      </c>
      <c r="K48" s="406">
        <f t="shared" si="12"/>
        <v>71489919.300738513</v>
      </c>
      <c r="L48" s="671"/>
      <c r="M48" s="74"/>
      <c r="N48" s="169">
        <f t="shared" si="93"/>
        <v>82206216.531924203</v>
      </c>
      <c r="O48" s="169">
        <f t="shared" si="93"/>
        <v>31964723.660157334</v>
      </c>
      <c r="P48" s="169">
        <f t="shared" si="93"/>
        <v>1835802.9905706591</v>
      </c>
      <c r="Q48" s="169">
        <f t="shared" si="93"/>
        <v>3737170.3736616978</v>
      </c>
      <c r="R48" s="406">
        <f t="shared" si="85"/>
        <v>119743913.5563139</v>
      </c>
      <c r="S48" s="362"/>
      <c r="T48" s="169">
        <f t="shared" si="94"/>
        <v>14304847.921491524</v>
      </c>
      <c r="U48" s="169">
        <f t="shared" si="94"/>
        <v>5562237.6275337106</v>
      </c>
      <c r="V48" s="169">
        <f t="shared" si="94"/>
        <v>319451.29823283362</v>
      </c>
      <c r="W48" s="169">
        <f t="shared" si="94"/>
        <v>650311.57140255417</v>
      </c>
      <c r="X48" s="406">
        <f t="shared" si="87"/>
        <v>20836848.418660622</v>
      </c>
      <c r="Y48" s="671"/>
      <c r="Z48" s="671"/>
      <c r="AA48" s="671"/>
      <c r="AB48" s="154"/>
      <c r="AC48" s="169">
        <f t="shared" si="95"/>
        <v>14304847.921491524</v>
      </c>
      <c r="AD48" s="169">
        <f t="shared" si="95"/>
        <v>5562237.6275337106</v>
      </c>
      <c r="AE48" s="169">
        <f t="shared" si="95"/>
        <v>319451.29823283362</v>
      </c>
      <c r="AF48" s="169">
        <f t="shared" si="95"/>
        <v>650311.57140255417</v>
      </c>
      <c r="AG48" s="671">
        <f t="shared" si="89"/>
        <v>20836848.418660622</v>
      </c>
      <c r="AH48" s="615"/>
      <c r="AI48" s="169">
        <f t="shared" si="96"/>
        <v>0</v>
      </c>
      <c r="AJ48" s="169">
        <f t="shared" si="96"/>
        <v>0</v>
      </c>
      <c r="AK48" s="169">
        <f t="shared" si="96"/>
        <v>0</v>
      </c>
      <c r="AL48" s="169">
        <f t="shared" si="96"/>
        <v>0</v>
      </c>
      <c r="AM48" s="687">
        <f t="shared" si="91"/>
        <v>0</v>
      </c>
      <c r="AN48" s="406">
        <f t="shared" si="97"/>
        <v>20836848.418660622</v>
      </c>
      <c r="BG48" s="423"/>
      <c r="BH48" s="423"/>
      <c r="BI48" s="423"/>
      <c r="BJ48" s="423"/>
      <c r="BK48" s="423"/>
      <c r="BL48" s="423"/>
      <c r="BM48" s="423"/>
      <c r="BN48" s="423"/>
      <c r="BO48" s="423"/>
      <c r="BP48" s="423"/>
      <c r="BQ48" s="423"/>
      <c r="BR48" s="423"/>
    </row>
    <row r="49" spans="1:70" outlineLevel="1">
      <c r="A49" s="436" t="s">
        <v>328</v>
      </c>
      <c r="B49" s="2"/>
      <c r="C49" s="2"/>
      <c r="D49" s="1061"/>
      <c r="E49" s="2"/>
      <c r="F49" s="724"/>
      <c r="G49" s="169">
        <f t="shared" si="92"/>
        <v>0</v>
      </c>
      <c r="H49" s="169">
        <f t="shared" si="92"/>
        <v>0</v>
      </c>
      <c r="I49" s="169">
        <f t="shared" si="92"/>
        <v>0</v>
      </c>
      <c r="J49" s="169">
        <f t="shared" si="92"/>
        <v>0</v>
      </c>
      <c r="K49" s="406">
        <f t="shared" si="12"/>
        <v>0</v>
      </c>
      <c r="L49" s="671"/>
      <c r="M49" s="74"/>
      <c r="N49" s="169">
        <f t="shared" si="93"/>
        <v>0</v>
      </c>
      <c r="O49" s="169">
        <f t="shared" si="93"/>
        <v>0</v>
      </c>
      <c r="P49" s="169">
        <f t="shared" si="93"/>
        <v>0</v>
      </c>
      <c r="Q49" s="169">
        <f t="shared" si="93"/>
        <v>0</v>
      </c>
      <c r="R49" s="406">
        <f t="shared" si="85"/>
        <v>0</v>
      </c>
      <c r="S49" s="362"/>
      <c r="T49" s="169">
        <f t="shared" si="94"/>
        <v>0</v>
      </c>
      <c r="U49" s="169">
        <f t="shared" si="94"/>
        <v>0</v>
      </c>
      <c r="V49" s="169">
        <f t="shared" si="94"/>
        <v>0</v>
      </c>
      <c r="W49" s="169">
        <f t="shared" si="94"/>
        <v>0</v>
      </c>
      <c r="X49" s="406">
        <f t="shared" si="87"/>
        <v>0</v>
      </c>
      <c r="Y49" s="671"/>
      <c r="Z49" s="671"/>
      <c r="AA49" s="671"/>
      <c r="AB49" s="154"/>
      <c r="AC49" s="169">
        <f t="shared" si="95"/>
        <v>0</v>
      </c>
      <c r="AD49" s="169">
        <f t="shared" si="95"/>
        <v>0</v>
      </c>
      <c r="AE49" s="169">
        <f t="shared" si="95"/>
        <v>0</v>
      </c>
      <c r="AF49" s="169">
        <f t="shared" si="95"/>
        <v>0</v>
      </c>
      <c r="AG49" s="671">
        <f t="shared" si="89"/>
        <v>0</v>
      </c>
      <c r="AH49" s="615"/>
      <c r="AI49" s="169">
        <f t="shared" si="96"/>
        <v>0</v>
      </c>
      <c r="AJ49" s="169">
        <f t="shared" si="96"/>
        <v>0</v>
      </c>
      <c r="AK49" s="169">
        <f t="shared" si="96"/>
        <v>0</v>
      </c>
      <c r="AL49" s="169">
        <f t="shared" si="96"/>
        <v>0</v>
      </c>
      <c r="AM49" s="687">
        <f t="shared" si="91"/>
        <v>0</v>
      </c>
      <c r="AN49" s="406">
        <f t="shared" si="97"/>
        <v>0</v>
      </c>
      <c r="BG49" s="423"/>
      <c r="BH49" s="423"/>
      <c r="BI49" s="423"/>
      <c r="BJ49" s="423"/>
      <c r="BK49" s="423"/>
      <c r="BL49" s="423"/>
      <c r="BM49" s="423"/>
      <c r="BN49" s="423"/>
      <c r="BO49" s="423"/>
      <c r="BP49" s="423"/>
      <c r="BQ49" s="423"/>
      <c r="BR49" s="423"/>
    </row>
    <row r="50" spans="1:70" s="1101" customFormat="1" ht="20">
      <c r="A50" s="1092" t="s">
        <v>343</v>
      </c>
      <c r="B50" s="1093"/>
      <c r="C50" s="1093"/>
      <c r="D50" s="1094"/>
      <c r="E50" s="1093"/>
      <c r="F50" s="1095"/>
      <c r="G50" s="1096">
        <f>G51+G55+G71</f>
        <v>44317675.985851936</v>
      </c>
      <c r="H50" s="1096">
        <f t="shared" ref="H50:J50" si="98">H51+H55+H71</f>
        <v>18532119.484943625</v>
      </c>
      <c r="I50" s="1096">
        <f t="shared" si="98"/>
        <v>1021470.5179821517</v>
      </c>
      <c r="J50" s="1096">
        <f t="shared" si="98"/>
        <v>2079422.1258922371</v>
      </c>
      <c r="K50" s="1088">
        <f t="shared" si="12"/>
        <v>65950688.114669949</v>
      </c>
      <c r="L50" s="1089"/>
      <c r="M50" s="1097"/>
      <c r="N50" s="1096">
        <f>N51+N55+N71</f>
        <v>41943095.186321571</v>
      </c>
      <c r="O50" s="1096">
        <f t="shared" ref="O50" si="99">O51+O55+O71</f>
        <v>17549414.067234728</v>
      </c>
      <c r="P50" s="1096">
        <f t="shared" ref="P50" si="100">P51+P55+P71</f>
        <v>966990.13568306819</v>
      </c>
      <c r="Q50" s="1096">
        <f t="shared" ref="Q50" si="101">Q51+Q55+Q71</f>
        <v>1968515.6333548168</v>
      </c>
      <c r="R50" s="1088">
        <f t="shared" si="85"/>
        <v>62428015.022594184</v>
      </c>
      <c r="S50" s="1098"/>
      <c r="T50" s="1096">
        <f>T51+T55+T71</f>
        <v>3677452.1805035686</v>
      </c>
      <c r="U50" s="1096">
        <f t="shared" ref="U50" si="102">U51+U55+U71</f>
        <v>1541176.480789256</v>
      </c>
      <c r="V50" s="1096">
        <f t="shared" ref="V50" si="103">V51+V55+V71</f>
        <v>84843.93222446795</v>
      </c>
      <c r="W50" s="1096">
        <f t="shared" ref="W50" si="104">W51+W55+W71</f>
        <v>172718.00488552405</v>
      </c>
      <c r="X50" s="1088">
        <f t="shared" si="87"/>
        <v>5476190.5984028168</v>
      </c>
      <c r="Y50" s="1089"/>
      <c r="Z50" s="1089"/>
      <c r="AA50" s="1089"/>
      <c r="AB50" s="1231"/>
      <c r="AC50" s="1096">
        <f>AC51+AC55+AC71</f>
        <v>3248450.5907865162</v>
      </c>
      <c r="AD50" s="1096">
        <f t="shared" ref="AD50" si="105">AD51+AD55+AD71</f>
        <v>1263114.0300422646</v>
      </c>
      <c r="AE50" s="1096">
        <f t="shared" ref="AE50" si="106">AE51+AE55+AE71</f>
        <v>72543.361814626551</v>
      </c>
      <c r="AF50" s="1096">
        <f t="shared" ref="AF50" si="107">AF51+AF55+AF71</f>
        <v>147677.55797977542</v>
      </c>
      <c r="AG50" s="1088">
        <f t="shared" si="89"/>
        <v>4731785.5406231834</v>
      </c>
      <c r="AH50" s="1099"/>
      <c r="AI50" s="1096">
        <f>AI51+AI55+AI71</f>
        <v>4774545.2504321747</v>
      </c>
      <c r="AJ50" s="1096">
        <f t="shared" ref="AJ50" si="108">AJ51+AJ55+AJ71</f>
        <v>3086541.2807615343</v>
      </c>
      <c r="AK50" s="1096">
        <f t="shared" ref="AK50" si="109">AK51+AK55+AK71</f>
        <v>136699.44499864528</v>
      </c>
      <c r="AL50" s="1096">
        <f t="shared" ref="AL50" si="110">AL51+AL55+AL71</f>
        <v>278281.01303295646</v>
      </c>
      <c r="AM50" s="1088">
        <f t="shared" si="91"/>
        <v>8276066.9892253103</v>
      </c>
      <c r="AN50" s="1088">
        <f>AM50+AG50</f>
        <v>13007852.529848494</v>
      </c>
      <c r="AO50" s="1100"/>
      <c r="AP50" s="1100"/>
      <c r="AQ50" s="1100"/>
      <c r="AR50" s="1100"/>
      <c r="AS50" s="1100"/>
      <c r="AT50" s="1100"/>
      <c r="AU50" s="1100"/>
      <c r="AV50" s="1100"/>
      <c r="AW50" s="1100"/>
      <c r="AX50" s="1100"/>
      <c r="AY50" s="1100"/>
      <c r="AZ50" s="1100"/>
    </row>
    <row r="51" spans="1:70" s="1114" customFormat="1" ht="20">
      <c r="A51" s="1102" t="s">
        <v>565</v>
      </c>
      <c r="B51" s="1103"/>
      <c r="C51" s="1103"/>
      <c r="D51" s="1104"/>
      <c r="E51" s="1103"/>
      <c r="F51" s="1105"/>
      <c r="G51" s="1106">
        <f>G52+G53+G54</f>
        <v>36615565.90673016</v>
      </c>
      <c r="H51" s="1106">
        <f t="shared" ref="H51:J51" si="111">H52+H53+H54</f>
        <v>15295109.809140446</v>
      </c>
      <c r="I51" s="1106">
        <f t="shared" si="111"/>
        <v>843548.48038289743</v>
      </c>
      <c r="J51" s="1106">
        <f t="shared" si="111"/>
        <v>1717223.692208041</v>
      </c>
      <c r="K51" s="1107">
        <f t="shared" si="12"/>
        <v>54471447.888461545</v>
      </c>
      <c r="L51" s="1108"/>
      <c r="M51" s="1109"/>
      <c r="N51" s="1106">
        <f>N52+N53+N54</f>
        <v>36615565.90673016</v>
      </c>
      <c r="O51" s="1106">
        <f t="shared" ref="O51" si="112">O52+O53+O54</f>
        <v>15295109.809140444</v>
      </c>
      <c r="P51" s="1106">
        <f t="shared" ref="P51" si="113">P52+P53+P54</f>
        <v>843548.48038289743</v>
      </c>
      <c r="Q51" s="1106">
        <f t="shared" ref="Q51" si="114">Q52+Q53+Q54</f>
        <v>1717223.6922080407</v>
      </c>
      <c r="R51" s="1107">
        <f t="shared" si="85"/>
        <v>54471447.888461545</v>
      </c>
      <c r="S51" s="1110"/>
      <c r="T51" s="1106">
        <f>T52+T53+T54</f>
        <v>2720008.2144224634</v>
      </c>
      <c r="U51" s="1106">
        <f t="shared" ref="U51" si="115">U52+U53+U54</f>
        <v>1136205.9629865987</v>
      </c>
      <c r="V51" s="1106">
        <f t="shared" ref="V51" si="116">V52+V53+V54</f>
        <v>62663.480382897258</v>
      </c>
      <c r="W51" s="1106">
        <f t="shared" ref="W51" si="117">W52+W53+W54</f>
        <v>127564.94220804085</v>
      </c>
      <c r="X51" s="1107">
        <f t="shared" si="87"/>
        <v>4046442.6000000006</v>
      </c>
      <c r="Y51" s="1108"/>
      <c r="Z51" s="1108"/>
      <c r="AA51" s="1108"/>
      <c r="AB51" s="1232"/>
      <c r="AC51" s="1106">
        <f>AC52+AC53+AC54</f>
        <v>2412859.8849259708</v>
      </c>
      <c r="AD51" s="1106">
        <f t="shared" ref="AD51" si="118">AD52+AD53+AD54</f>
        <v>938206.41194922524</v>
      </c>
      <c r="AE51" s="1106">
        <f t="shared" ref="AE51" si="119">AE52+AE53+AE54</f>
        <v>53883.216859334425</v>
      </c>
      <c r="AF51" s="1106">
        <f t="shared" ref="AF51" si="120">AF52+AF53+AF54</f>
        <v>109690.83432078791</v>
      </c>
      <c r="AG51" s="1107">
        <f t="shared" si="89"/>
        <v>3514640.3480553185</v>
      </c>
      <c r="AH51" s="1111"/>
      <c r="AI51" s="1106">
        <f>AI52+AI53+AI54</f>
        <v>4134697.0359090674</v>
      </c>
      <c r="AJ51" s="1106">
        <f t="shared" ref="AJ51" si="121">AJ52+AJ53+AJ54</f>
        <v>2665383.7190897162</v>
      </c>
      <c r="AK51" s="1106">
        <f t="shared" ref="AK51" si="122">AK52+AK53+AK54</f>
        <v>118196.08338709974</v>
      </c>
      <c r="AL51" s="1106">
        <f t="shared" ref="AL51" si="123">AL52+AL53+AL54</f>
        <v>240613.45546659594</v>
      </c>
      <c r="AM51" s="1107">
        <f t="shared" si="91"/>
        <v>7158890.2938524801</v>
      </c>
      <c r="AN51" s="1112">
        <f t="shared" si="97"/>
        <v>10673530.641907798</v>
      </c>
      <c r="AO51" s="1113"/>
      <c r="AP51" s="1113"/>
      <c r="AQ51" s="1113"/>
      <c r="AR51" s="1113"/>
      <c r="AS51" s="1113"/>
      <c r="AT51" s="1113"/>
      <c r="AU51" s="1113"/>
      <c r="AV51" s="1113"/>
      <c r="AW51" s="1113"/>
      <c r="AX51" s="1113"/>
      <c r="AY51" s="1113"/>
      <c r="AZ51" s="1113"/>
    </row>
    <row r="52" spans="1:70" ht="20">
      <c r="A52" s="826" t="s">
        <v>499</v>
      </c>
      <c r="B52" s="13"/>
      <c r="C52" s="13"/>
      <c r="D52" s="1066"/>
      <c r="E52" s="13"/>
      <c r="G52" s="169">
        <f>G19*G149</f>
        <v>33895557.692307696</v>
      </c>
      <c r="H52" s="169">
        <f>H19*H149</f>
        <v>14158903.846153848</v>
      </c>
      <c r="I52" s="169">
        <f>I19*I149</f>
        <v>780885.00000000012</v>
      </c>
      <c r="J52" s="169">
        <f>J19*J149</f>
        <v>1589658.75</v>
      </c>
      <c r="K52" s="406">
        <f t="shared" ref="K52:K75" si="124">SUM(G52:J52)</f>
        <v>50425005.288461544</v>
      </c>
      <c r="L52" s="671"/>
      <c r="N52" s="169">
        <f>N19*N149</f>
        <v>33895557.692307696</v>
      </c>
      <c r="O52" s="169">
        <f>O19*O149</f>
        <v>14158903.846153846</v>
      </c>
      <c r="P52" s="169">
        <f>P19*P149</f>
        <v>780885.00000000012</v>
      </c>
      <c r="Q52" s="169">
        <f>Q19*Q149</f>
        <v>1589658.7499999998</v>
      </c>
      <c r="R52" s="406">
        <f t="shared" ref="R52" si="125">SUM(N52:Q52)</f>
        <v>50425005.288461544</v>
      </c>
      <c r="S52" s="80"/>
      <c r="T52" s="169">
        <f>T19*T149</f>
        <v>0</v>
      </c>
      <c r="U52" s="169">
        <f>U19*U149</f>
        <v>0</v>
      </c>
      <c r="V52" s="169">
        <f>V19*V149</f>
        <v>0</v>
      </c>
      <c r="W52" s="169">
        <f>W19*W149</f>
        <v>0</v>
      </c>
      <c r="X52" s="406">
        <f t="shared" ref="X52" si="126">SUM(T52:W52)</f>
        <v>0</v>
      </c>
      <c r="Y52" s="671"/>
      <c r="Z52" s="671"/>
      <c r="AA52" s="671"/>
      <c r="AC52" s="169">
        <f>AC19*AC149</f>
        <v>0</v>
      </c>
      <c r="AD52" s="169">
        <f>AD19*AD149</f>
        <v>0</v>
      </c>
      <c r="AE52" s="169">
        <f>AE19*AE149</f>
        <v>0</v>
      </c>
      <c r="AF52" s="169">
        <f>AF19*AF149</f>
        <v>0</v>
      </c>
      <c r="AG52" s="406">
        <f t="shared" ref="AG52" si="127">SUM(AC52:AF52)</f>
        <v>0</v>
      </c>
      <c r="AI52" s="169">
        <f>AI19*AI149</f>
        <v>3827548.7064125752</v>
      </c>
      <c r="AJ52" s="169">
        <f>AJ19*AJ149</f>
        <v>2467384.1680523427</v>
      </c>
      <c r="AK52" s="169">
        <f>AK19*AK149</f>
        <v>109415.8198635369</v>
      </c>
      <c r="AL52" s="169">
        <f>AL19*AL149</f>
        <v>222739.34757934304</v>
      </c>
      <c r="AM52" s="406">
        <f t="shared" ref="AM52" si="128">SUM(AI52:AL52)</f>
        <v>6627088.0419077985</v>
      </c>
      <c r="AN52" s="406">
        <f t="shared" si="97"/>
        <v>6627088.0419077985</v>
      </c>
      <c r="AU52" s="80"/>
    </row>
    <row r="53" spans="1:70" ht="20">
      <c r="A53" s="826" t="s">
        <v>500</v>
      </c>
      <c r="B53" s="13"/>
      <c r="C53" s="13"/>
      <c r="D53" s="1066"/>
      <c r="E53" s="13"/>
      <c r="G53" s="169">
        <f>G7*G160*G152</f>
        <v>703416</v>
      </c>
      <c r="H53" s="169">
        <f>H7*H160*H152</f>
        <v>293832</v>
      </c>
      <c r="I53" s="169">
        <f>I7*I160*I152</f>
        <v>16205.28</v>
      </c>
      <c r="J53" s="169">
        <f>J7*J160*J152</f>
        <v>32989.32</v>
      </c>
      <c r="K53" s="406">
        <f>SUM(G53:J53)</f>
        <v>1046442.6</v>
      </c>
      <c r="L53" s="671"/>
      <c r="N53" s="169">
        <f>N7*N160*N152</f>
        <v>703416</v>
      </c>
      <c r="O53" s="169">
        <f>O7*O160*O152</f>
        <v>293832</v>
      </c>
      <c r="P53" s="169">
        <f>P7*P160*P152</f>
        <v>16205.28</v>
      </c>
      <c r="Q53" s="169">
        <f>Q7*Q160*Q152</f>
        <v>32989.32</v>
      </c>
      <c r="R53" s="406">
        <f>SUM(N53:Q53)</f>
        <v>1046442.6</v>
      </c>
      <c r="S53" s="80"/>
      <c r="T53" s="169">
        <f>T7*T160*T152</f>
        <v>703416</v>
      </c>
      <c r="U53" s="169">
        <f>U7*U160*U152</f>
        <v>293832</v>
      </c>
      <c r="V53" s="169">
        <f>V7*V160*V152</f>
        <v>16205.28</v>
      </c>
      <c r="W53" s="169">
        <f>W7*W160*W152</f>
        <v>32989.32</v>
      </c>
      <c r="X53" s="406">
        <f>SUM(T53:W53)</f>
        <v>1046442.6</v>
      </c>
      <c r="Y53" s="671"/>
      <c r="Z53" s="671"/>
      <c r="AA53" s="671"/>
      <c r="AC53" s="169">
        <f>AC7*AC160*AC152</f>
        <v>623984.97174224933</v>
      </c>
      <c r="AD53" s="169">
        <f>AD7*AD160*AD152</f>
        <v>242627.7236842105</v>
      </c>
      <c r="AE53" s="169">
        <f>AE7*AE160*AE152</f>
        <v>13934.633237265185</v>
      </c>
      <c r="AF53" s="169">
        <f>AF7*AF160*AF152</f>
        <v>28366.931947289831</v>
      </c>
      <c r="AG53" s="406">
        <f>SUM(AC53:AF53)</f>
        <v>908914.26061101491</v>
      </c>
      <c r="AI53" s="169">
        <f>AI7*AI160*AI152</f>
        <v>79431.028257750586</v>
      </c>
      <c r="AJ53" s="169">
        <f>AJ7*AJ160*AJ152</f>
        <v>51204.276315789481</v>
      </c>
      <c r="AK53" s="169">
        <f>AK7*AK160*AK152</f>
        <v>2270.6467627348165</v>
      </c>
      <c r="AL53" s="169">
        <f>AL7*AL160*AL152</f>
        <v>4622.3880527101637</v>
      </c>
      <c r="AM53" s="406">
        <f>SUM(AI53:AL53)</f>
        <v>137528.33938898504</v>
      </c>
      <c r="AN53" s="406">
        <f t="shared" si="97"/>
        <v>1046442.6</v>
      </c>
      <c r="AU53" s="80"/>
    </row>
    <row r="54" spans="1:70" s="424" customFormat="1" ht="20">
      <c r="A54" s="1115" t="s">
        <v>496</v>
      </c>
      <c r="B54" s="305"/>
      <c r="C54" s="305"/>
      <c r="D54" s="1116"/>
      <c r="E54" s="305"/>
      <c r="F54" s="1117"/>
      <c r="G54" s="373">
        <f>G150*G21</f>
        <v>2016592.2144224632</v>
      </c>
      <c r="H54" s="373">
        <f>H150*H21</f>
        <v>842373.96298659861</v>
      </c>
      <c r="I54" s="373">
        <f>I150*I21</f>
        <v>46458.200382897267</v>
      </c>
      <c r="J54" s="373">
        <f>J150*J21</f>
        <v>94575.622208040848</v>
      </c>
      <c r="K54" s="1091">
        <f>SUM(G54:J54)</f>
        <v>2999999.9999999995</v>
      </c>
      <c r="L54" s="1118"/>
      <c r="M54" s="287"/>
      <c r="N54" s="373">
        <f>N150*N21</f>
        <v>2016592.2144224634</v>
      </c>
      <c r="O54" s="373">
        <f>O150*O21</f>
        <v>842373.96298659872</v>
      </c>
      <c r="P54" s="373">
        <f>P150*P21</f>
        <v>46458.200382897267</v>
      </c>
      <c r="Q54" s="373">
        <f>Q150*Q21</f>
        <v>94575.622208040833</v>
      </c>
      <c r="R54" s="1091">
        <f>SUM(N54:Q54)</f>
        <v>3000000</v>
      </c>
      <c r="S54" s="1119"/>
      <c r="T54" s="373">
        <f>T150*T21</f>
        <v>2016592.2144224634</v>
      </c>
      <c r="U54" s="373">
        <f>U150*U21</f>
        <v>842373.96298659861</v>
      </c>
      <c r="V54" s="373">
        <f>V150*V21</f>
        <v>46458.200382897259</v>
      </c>
      <c r="W54" s="373">
        <f>W150*W21</f>
        <v>94575.622208040848</v>
      </c>
      <c r="X54" s="1091">
        <f>SUM(T54:W54)</f>
        <v>3000000</v>
      </c>
      <c r="Y54" s="1118"/>
      <c r="Z54" s="1118"/>
      <c r="AA54" s="1118"/>
      <c r="AB54" s="287"/>
      <c r="AC54" s="373">
        <f>AC150*AC21</f>
        <v>1788874.9131837217</v>
      </c>
      <c r="AD54" s="373">
        <f>AD150*AD21</f>
        <v>695578.68826501467</v>
      </c>
      <c r="AE54" s="373">
        <f>AE150*AE21</f>
        <v>39948.583622069236</v>
      </c>
      <c r="AF54" s="373">
        <f>AF150*AF21</f>
        <v>81323.902373498073</v>
      </c>
      <c r="AG54" s="1118">
        <f>SUM(AC54:AF54)</f>
        <v>2605726.0874443036</v>
      </c>
      <c r="AH54" s="286"/>
      <c r="AI54" s="373">
        <f>AI150*AI21</f>
        <v>227717.30123874152</v>
      </c>
      <c r="AJ54" s="373">
        <f>AJ150*AJ21</f>
        <v>146795.27472158385</v>
      </c>
      <c r="AK54" s="373">
        <f>AK150*AK21</f>
        <v>6509.6167608280211</v>
      </c>
      <c r="AL54" s="373">
        <f>AL150*AL21</f>
        <v>13251.719834542759</v>
      </c>
      <c r="AM54" s="1120">
        <f>SUM(AI54:AL54)</f>
        <v>394273.91255569615</v>
      </c>
      <c r="AN54" s="1091">
        <f t="shared" si="97"/>
        <v>2999999.9999999995</v>
      </c>
      <c r="AO54" s="287"/>
      <c r="AP54" s="287"/>
      <c r="AQ54" s="287"/>
      <c r="AR54" s="287"/>
      <c r="AS54" s="287"/>
      <c r="AT54" s="287"/>
      <c r="AU54" s="1119"/>
      <c r="AV54" s="287"/>
      <c r="AW54" s="287"/>
      <c r="AX54" s="287"/>
      <c r="AY54" s="287"/>
      <c r="AZ54" s="287"/>
      <c r="BG54" s="287"/>
      <c r="BH54" s="287"/>
      <c r="BI54" s="287"/>
      <c r="BJ54" s="287"/>
      <c r="BK54" s="287"/>
      <c r="BL54" s="287"/>
      <c r="BM54" s="287"/>
      <c r="BN54" s="287"/>
      <c r="BO54" s="287"/>
      <c r="BP54" s="287"/>
      <c r="BQ54" s="287"/>
      <c r="BR54" s="287"/>
    </row>
    <row r="55" spans="1:70" s="1114" customFormat="1" ht="20">
      <c r="A55" s="1102" t="s">
        <v>119</v>
      </c>
      <c r="B55" s="1103"/>
      <c r="C55" s="1103"/>
      <c r="D55" s="1104"/>
      <c r="E55" s="1103"/>
      <c r="F55" s="1121"/>
      <c r="G55" s="1106">
        <f>G56+G65</f>
        <v>3378768.0102642667</v>
      </c>
      <c r="H55" s="1106">
        <f t="shared" ref="H55:J55" si="129">H56+H65</f>
        <v>1431056.6596981431</v>
      </c>
      <c r="I55" s="1106">
        <f t="shared" si="129"/>
        <v>78320.992468612938</v>
      </c>
      <c r="J55" s="1106">
        <f t="shared" si="129"/>
        <v>159439.1632396763</v>
      </c>
      <c r="K55" s="1107">
        <f t="shared" ref="K55" si="130">SUM(G55:J55)</f>
        <v>5047584.8256706996</v>
      </c>
      <c r="L55" s="1108"/>
      <c r="M55" s="1113"/>
      <c r="N55" s="1106">
        <f>N56+N65</f>
        <v>5327529.2795914095</v>
      </c>
      <c r="O55" s="1106">
        <f t="shared" ref="O55" si="131">O56+O65</f>
        <v>2254304.2580942851</v>
      </c>
      <c r="P55" s="1106">
        <f t="shared" ref="P55" si="132">P56+P65</f>
        <v>123441.65530017077</v>
      </c>
      <c r="Q55" s="1106">
        <f t="shared" ref="Q55" si="133">Q56+Q65</f>
        <v>251291.94114677611</v>
      </c>
      <c r="R55" s="1107">
        <f t="shared" ref="R55" si="134">SUM(N55:Q55)</f>
        <v>7956567.1341326414</v>
      </c>
      <c r="S55" s="1122"/>
      <c r="T55" s="1106">
        <f>T56+T65</f>
        <v>957443.96608110494</v>
      </c>
      <c r="U55" s="1106">
        <f t="shared" ref="U55:W55" si="135">U56+U65</f>
        <v>404970.51780265727</v>
      </c>
      <c r="V55" s="1106">
        <f t="shared" si="135"/>
        <v>22180.451841570684</v>
      </c>
      <c r="W55" s="1106">
        <f t="shared" si="135"/>
        <v>45153.062677483176</v>
      </c>
      <c r="X55" s="1107">
        <f t="shared" ref="X55" si="136">SUM(T55:W55)</f>
        <v>1429747.998402816</v>
      </c>
      <c r="Y55" s="1108"/>
      <c r="Z55" s="1108"/>
      <c r="AA55" s="1108"/>
      <c r="AB55" s="1113"/>
      <c r="AC55" s="1106">
        <f>AC56+AC65</f>
        <v>835590.70586054551</v>
      </c>
      <c r="AD55" s="1106">
        <f t="shared" ref="AD55:AF55" si="137">AD56+AD65</f>
        <v>324907.61809303949</v>
      </c>
      <c r="AE55" s="1106">
        <f t="shared" si="137"/>
        <v>18660.144955292122</v>
      </c>
      <c r="AF55" s="1106">
        <f t="shared" si="137"/>
        <v>37986.723658987525</v>
      </c>
      <c r="AG55" s="1107">
        <f t="shared" ref="AG55" si="138">SUM(AC55:AF55)</f>
        <v>1217145.1925678647</v>
      </c>
      <c r="AH55" s="1123"/>
      <c r="AI55" s="1106">
        <f>AI56+AI65</f>
        <v>639848.21452310774</v>
      </c>
      <c r="AJ55" s="1106">
        <f t="shared" ref="AJ55:AL55" si="139">AJ56+AJ65</f>
        <v>421157.56167181814</v>
      </c>
      <c r="AK55" s="1106">
        <f t="shared" si="139"/>
        <v>18503.361611545522</v>
      </c>
      <c r="AL55" s="1106">
        <f t="shared" si="139"/>
        <v>37667.557566360527</v>
      </c>
      <c r="AM55" s="1107">
        <f t="shared" ref="AM55" si="140">SUM(AI55:AL55)</f>
        <v>1117176.695372832</v>
      </c>
      <c r="AN55" s="1107">
        <f t="shared" si="97"/>
        <v>2334321.8879406964</v>
      </c>
      <c r="AO55" s="1113"/>
      <c r="AP55" s="1113"/>
      <c r="AQ55" s="1113"/>
      <c r="AR55" s="1113"/>
      <c r="AS55" s="1113"/>
      <c r="AT55" s="1113"/>
      <c r="AU55" s="1122"/>
      <c r="AV55" s="1113"/>
      <c r="AW55" s="1113"/>
      <c r="AX55" s="1113"/>
      <c r="AY55" s="1113"/>
      <c r="AZ55" s="1113"/>
      <c r="BG55" s="1113"/>
      <c r="BH55" s="1113"/>
      <c r="BI55" s="1113"/>
      <c r="BJ55" s="1113"/>
      <c r="BK55" s="1113"/>
      <c r="BL55" s="1113"/>
      <c r="BM55" s="1113"/>
      <c r="BN55" s="1113"/>
      <c r="BO55" s="1113"/>
      <c r="BP55" s="1113"/>
      <c r="BQ55" s="1113"/>
      <c r="BR55" s="1113"/>
    </row>
    <row r="56" spans="1:70" s="2" customFormat="1" ht="20">
      <c r="A56" s="1527" t="s">
        <v>506</v>
      </c>
      <c r="B56" s="13"/>
      <c r="C56" s="13"/>
      <c r="D56" s="1066"/>
      <c r="E56" s="13"/>
      <c r="G56" s="169">
        <f>G64+G63</f>
        <v>473030.4378095725</v>
      </c>
      <c r="H56" s="169">
        <f t="shared" ref="H56:J56" si="141">H64+H63</f>
        <v>197594.99300906193</v>
      </c>
      <c r="I56" s="169">
        <f t="shared" si="141"/>
        <v>10897.663250802811</v>
      </c>
      <c r="J56" s="169">
        <f t="shared" si="141"/>
        <v>22184.528760562858</v>
      </c>
      <c r="K56" s="406">
        <f>SUM(G56:J56)</f>
        <v>703707.62283000012</v>
      </c>
      <c r="L56" s="671"/>
      <c r="M56" s="1"/>
      <c r="N56" s="169">
        <f>N64+N63</f>
        <v>473030.4378095725</v>
      </c>
      <c r="O56" s="169">
        <f t="shared" ref="O56:Q56" si="142">O64+O63</f>
        <v>197594.99300906193</v>
      </c>
      <c r="P56" s="169">
        <f t="shared" si="142"/>
        <v>10897.663250802811</v>
      </c>
      <c r="Q56" s="169">
        <f t="shared" si="142"/>
        <v>22184.528760562858</v>
      </c>
      <c r="R56" s="406">
        <f>SUM(N56:Q56)</f>
        <v>703707.62283000012</v>
      </c>
      <c r="S56" s="80"/>
      <c r="T56" s="169">
        <f>T64+T63</f>
        <v>112704.10824105605</v>
      </c>
      <c r="U56" s="169">
        <f t="shared" ref="U56:W56" si="143">U64+U63</f>
        <v>47078.931290567722</v>
      </c>
      <c r="V56" s="169">
        <f t="shared" si="143"/>
        <v>2596.4743923888864</v>
      </c>
      <c r="W56" s="169">
        <f t="shared" si="143"/>
        <v>5285.6800130773754</v>
      </c>
      <c r="X56" s="406">
        <f>SUM(T56:W56)</f>
        <v>167665.19393709002</v>
      </c>
      <c r="Y56" s="671"/>
      <c r="Z56" s="671"/>
      <c r="AA56" s="671"/>
      <c r="AB56" s="1"/>
      <c r="AC56" s="169">
        <f>AC64+AC63</f>
        <v>99977.353082714602</v>
      </c>
      <c r="AD56" s="169">
        <f t="shared" ref="AD56:AF56" si="144">AD64+AD63</f>
        <v>38874.778555486788</v>
      </c>
      <c r="AE56" s="169">
        <f t="shared" si="144"/>
        <v>2232.6623401687657</v>
      </c>
      <c r="AF56" s="169">
        <f t="shared" si="144"/>
        <v>4545.062621057843</v>
      </c>
      <c r="AG56" s="406">
        <f>SUM(AC56:AF56)</f>
        <v>145629.85659942799</v>
      </c>
      <c r="AH56" s="28"/>
      <c r="AI56" s="169">
        <f>AI64+AI63</f>
        <v>12726.755158341446</v>
      </c>
      <c r="AJ56" s="169">
        <f t="shared" ref="AJ56:AL56" si="145">AJ64+AJ63</f>
        <v>8204.152735080921</v>
      </c>
      <c r="AK56" s="169">
        <f t="shared" si="145"/>
        <v>363.81205222012062</v>
      </c>
      <c r="AL56" s="169">
        <f t="shared" si="145"/>
        <v>740.61739201953128</v>
      </c>
      <c r="AM56" s="406">
        <f>SUM(AI56:AL56)</f>
        <v>22035.337337662018</v>
      </c>
      <c r="AN56" s="406">
        <f t="shared" si="97"/>
        <v>167665.19393709002</v>
      </c>
      <c r="AO56" s="1"/>
      <c r="AP56" s="1"/>
      <c r="AQ56" s="1"/>
      <c r="AR56" s="1"/>
      <c r="AS56" s="1"/>
      <c r="AT56" s="1"/>
      <c r="AU56" s="80"/>
      <c r="AV56" s="1"/>
      <c r="AW56" s="1"/>
      <c r="AX56" s="1"/>
      <c r="AY56" s="1"/>
      <c r="AZ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</row>
    <row r="57" spans="1:70" s="1373" customFormat="1" ht="40" outlineLevel="1">
      <c r="A57" s="1366" t="s">
        <v>510</v>
      </c>
      <c r="B57" s="71"/>
      <c r="C57" s="71"/>
      <c r="D57" s="1367"/>
      <c r="E57" s="71"/>
      <c r="F57" s="1368"/>
      <c r="G57" s="255">
        <f>SUM(G58:G62)</f>
        <v>341500.92009552917</v>
      </c>
      <c r="H57" s="255">
        <f t="shared" ref="H57:J57" si="146">SUM(H58:H62)</f>
        <v>144964.32784225693</v>
      </c>
      <c r="I57" s="255">
        <f t="shared" si="146"/>
        <v>7924.0221766946725</v>
      </c>
      <c r="J57" s="255">
        <f t="shared" si="146"/>
        <v>16131.045145414151</v>
      </c>
      <c r="K57" s="1369">
        <f>SUM(G57:J57)</f>
        <v>510520.31525989488</v>
      </c>
      <c r="L57" s="255"/>
      <c r="M57" s="71"/>
      <c r="N57" s="255">
        <f>SUM(N58:N62)</f>
        <v>570531.84595424321</v>
      </c>
      <c r="O57" s="255">
        <f t="shared" ref="O57:Q57" si="147">SUM(O58:O62)</f>
        <v>241717.66681678017</v>
      </c>
      <c r="P57" s="255">
        <f t="shared" si="147"/>
        <v>13226.891925968077</v>
      </c>
      <c r="Q57" s="255">
        <f t="shared" si="147"/>
        <v>26926.172849292154</v>
      </c>
      <c r="R57" s="1369">
        <f>SUM(N57:Q57)</f>
        <v>852402.57754628372</v>
      </c>
      <c r="S57" s="1370"/>
      <c r="T57" s="255">
        <f>SUM(T58:T62)</f>
        <v>99279.247179243044</v>
      </c>
      <c r="U57" s="255">
        <f t="shared" ref="U57:W57" si="148">SUM(U58:U62)</f>
        <v>42061.715155191603</v>
      </c>
      <c r="V57" s="255">
        <f t="shared" si="148"/>
        <v>2301.6346628907272</v>
      </c>
      <c r="W57" s="255">
        <f t="shared" si="148"/>
        <v>4685.4705637418365</v>
      </c>
      <c r="X57" s="1369">
        <f>SUM(T57:W57)</f>
        <v>148328.0675610672</v>
      </c>
      <c r="Y57" s="255"/>
      <c r="Z57" s="255"/>
      <c r="AA57" s="255"/>
      <c r="AB57" s="71"/>
      <c r="AC57" s="255">
        <f>SUM(AC58:AC62)</f>
        <v>86454.000247506265</v>
      </c>
      <c r="AD57" s="255">
        <f t="shared" ref="AD57:AF57" si="149">SUM(AD58:AD62)</f>
        <v>33616.414230103073</v>
      </c>
      <c r="AE57" s="255">
        <f t="shared" si="149"/>
        <v>1930.663140780036</v>
      </c>
      <c r="AF57" s="255">
        <f t="shared" si="149"/>
        <v>3930.2785365879295</v>
      </c>
      <c r="AG57" s="1369">
        <f>SUM(AC57:AF57)</f>
        <v>125931.35615497729</v>
      </c>
      <c r="AH57" s="1371"/>
      <c r="AI57" s="255">
        <f>SUM(AI58:AI62)</f>
        <v>73703.336947871561</v>
      </c>
      <c r="AJ57" s="255">
        <f t="shared" ref="AJ57:AL57" si="150">SUM(AJ58:AJ62)</f>
        <v>48532.933753321566</v>
      </c>
      <c r="AK57" s="255">
        <f t="shared" si="150"/>
        <v>2131.8762311336232</v>
      </c>
      <c r="AL57" s="255">
        <f t="shared" si="150"/>
        <v>4339.8908990934469</v>
      </c>
      <c r="AM57" s="1369">
        <f>SUM(AI57:AL57)</f>
        <v>128708.0378314202</v>
      </c>
      <c r="AN57" s="1372">
        <f t="shared" si="97"/>
        <v>254639.39398639748</v>
      </c>
      <c r="AO57" s="71"/>
      <c r="AP57" s="71"/>
      <c r="AQ57" s="71"/>
      <c r="AR57" s="71"/>
      <c r="AS57" s="71"/>
      <c r="AT57" s="71"/>
      <c r="AU57" s="1370"/>
      <c r="AV57" s="71"/>
      <c r="AW57" s="71"/>
      <c r="AX57" s="71"/>
      <c r="AY57" s="71"/>
      <c r="AZ57" s="71"/>
      <c r="BG57" s="71"/>
      <c r="BH57" s="71"/>
      <c r="BI57" s="71"/>
      <c r="BJ57" s="71"/>
      <c r="BK57" s="71"/>
      <c r="BL57" s="71"/>
      <c r="BM57" s="71"/>
      <c r="BN57" s="71"/>
      <c r="BO57" s="71"/>
      <c r="BP57" s="71"/>
      <c r="BQ57" s="71"/>
      <c r="BR57" s="71"/>
    </row>
    <row r="58" spans="1:70" s="1373" customFormat="1" outlineLevel="1">
      <c r="A58" s="1374" t="s">
        <v>327</v>
      </c>
      <c r="B58" s="1368"/>
      <c r="C58" s="1368"/>
      <c r="D58" s="1375"/>
      <c r="E58" s="1368"/>
      <c r="F58" s="1368"/>
      <c r="G58" s="255">
        <f t="shared" ref="G58:J62" si="151">(G22*G$156*G123)</f>
        <v>74.718300553261997</v>
      </c>
      <c r="H58" s="255">
        <f t="shared" si="151"/>
        <v>492.6474126653336</v>
      </c>
      <c r="I58" s="255">
        <f t="shared" si="151"/>
        <v>13.004092609308593</v>
      </c>
      <c r="J58" s="255">
        <f t="shared" si="151"/>
        <v>26.472617097521063</v>
      </c>
      <c r="K58" s="1369">
        <f>SUM(G58:J58)</f>
        <v>606.84242292542524</v>
      </c>
      <c r="L58" s="255"/>
      <c r="M58" s="71"/>
      <c r="N58" s="255">
        <f t="shared" ref="N58:Q62" si="152">(N22*N$156*N123)</f>
        <v>117.24402902888797</v>
      </c>
      <c r="O58" s="255">
        <f t="shared" si="152"/>
        <v>773.03641977734048</v>
      </c>
      <c r="P58" s="255">
        <f t="shared" si="152"/>
        <v>20.405338452435693</v>
      </c>
      <c r="Q58" s="255">
        <f t="shared" si="152"/>
        <v>41.539438992458365</v>
      </c>
      <c r="R58" s="1369">
        <f>SUM(N58:Q58)</f>
        <v>952.22522625112254</v>
      </c>
      <c r="S58" s="1370"/>
      <c r="T58" s="255">
        <f t="shared" ref="T58:W62" si="153">(T22*T$156*T123)</f>
        <v>20.40183912745659</v>
      </c>
      <c r="U58" s="255">
        <f t="shared" si="153"/>
        <v>134.51742324614557</v>
      </c>
      <c r="V58" s="255">
        <f t="shared" si="153"/>
        <v>3.5507687333512101</v>
      </c>
      <c r="W58" s="255">
        <f t="shared" si="153"/>
        <v>7.2283506357506768</v>
      </c>
      <c r="X58" s="1369">
        <f>SUM(T58:W58)</f>
        <v>165.69838174270404</v>
      </c>
      <c r="Y58" s="255"/>
      <c r="Z58" s="255"/>
      <c r="AA58" s="255"/>
      <c r="AB58" s="71"/>
      <c r="AC58" s="255">
        <f t="shared" ref="AC58:AF62" si="154">(AC22*AC$156*AC123)</f>
        <v>0</v>
      </c>
      <c r="AD58" s="255">
        <f t="shared" si="154"/>
        <v>0</v>
      </c>
      <c r="AE58" s="255">
        <f t="shared" si="154"/>
        <v>0</v>
      </c>
      <c r="AF58" s="255">
        <f t="shared" si="154"/>
        <v>0</v>
      </c>
      <c r="AG58" s="1369">
        <f>SUM(AC58:AF58)</f>
        <v>0</v>
      </c>
      <c r="AH58" s="1371"/>
      <c r="AI58" s="255">
        <f t="shared" ref="AI58:AL62" si="155">(AI22*AI$156*AI123)</f>
        <v>117.24402902888798</v>
      </c>
      <c r="AJ58" s="255">
        <f t="shared" si="155"/>
        <v>773.03641977734048</v>
      </c>
      <c r="AK58" s="255">
        <f t="shared" si="155"/>
        <v>20.405338452435686</v>
      </c>
      <c r="AL58" s="255">
        <f t="shared" si="155"/>
        <v>41.539438992458372</v>
      </c>
      <c r="AM58" s="1369">
        <f>SUM(AI58:AL58)</f>
        <v>952.22522625112254</v>
      </c>
      <c r="AN58" s="1369">
        <f t="shared" si="97"/>
        <v>952.22522625112254</v>
      </c>
      <c r="AO58" s="71"/>
      <c r="AP58" s="71"/>
      <c r="AQ58" s="71"/>
      <c r="AR58" s="71"/>
      <c r="AS58" s="71"/>
      <c r="AT58" s="71"/>
      <c r="AU58" s="1370"/>
      <c r="AV58" s="71"/>
      <c r="AW58" s="71"/>
      <c r="AX58" s="71"/>
      <c r="AY58" s="71"/>
      <c r="AZ58" s="71"/>
      <c r="BG58" s="71"/>
      <c r="BH58" s="71"/>
      <c r="BI58" s="71"/>
      <c r="BJ58" s="71"/>
      <c r="BK58" s="71"/>
      <c r="BL58" s="71"/>
      <c r="BM58" s="71"/>
      <c r="BN58" s="71"/>
      <c r="BO58" s="71"/>
      <c r="BP58" s="71"/>
      <c r="BQ58" s="71"/>
      <c r="BR58" s="71"/>
    </row>
    <row r="59" spans="1:70" s="1373" customFormat="1" outlineLevel="1">
      <c r="A59" s="1374" t="s">
        <v>429</v>
      </c>
      <c r="B59" s="1368"/>
      <c r="C59" s="1368"/>
      <c r="D59" s="1375"/>
      <c r="E59" s="1368"/>
      <c r="F59" s="1368"/>
      <c r="G59" s="255">
        <f t="shared" si="151"/>
        <v>3922.2033245460102</v>
      </c>
      <c r="H59" s="255">
        <f t="shared" si="151"/>
        <v>4481.9901570145994</v>
      </c>
      <c r="I59" s="255">
        <f t="shared" si="151"/>
        <v>159.88952616788444</v>
      </c>
      <c r="J59" s="255">
        <f t="shared" si="151"/>
        <v>325.48939255605046</v>
      </c>
      <c r="K59" s="1369">
        <f t="shared" ref="K59:K65" si="156">SUM(G59:J59)</f>
        <v>8889.5724002845436</v>
      </c>
      <c r="L59" s="255"/>
      <c r="M59" s="71"/>
      <c r="N59" s="255">
        <f t="shared" si="152"/>
        <v>6277.0254174300435</v>
      </c>
      <c r="O59" s="255">
        <f t="shared" si="152"/>
        <v>7172.8984472033544</v>
      </c>
      <c r="P59" s="255">
        <f t="shared" si="152"/>
        <v>255.88439371710177</v>
      </c>
      <c r="Q59" s="255">
        <f t="shared" si="152"/>
        <v>520.90751578124275</v>
      </c>
      <c r="R59" s="1369">
        <f t="shared" ref="R59:R64" si="157">SUM(N59:Q59)</f>
        <v>14226.715774131742</v>
      </c>
      <c r="S59" s="1370"/>
      <c r="T59" s="255">
        <f t="shared" si="153"/>
        <v>1092.276202260246</v>
      </c>
      <c r="U59" s="255">
        <f t="shared" si="153"/>
        <v>1248.1686394568458</v>
      </c>
      <c r="V59" s="255">
        <f t="shared" si="153"/>
        <v>44.526892150360865</v>
      </c>
      <c r="W59" s="255">
        <f t="shared" si="153"/>
        <v>90.644030448948911</v>
      </c>
      <c r="X59" s="1369">
        <f t="shared" ref="X59:X65" si="158">SUM(T59:W59)</f>
        <v>2475.6157643164011</v>
      </c>
      <c r="Y59" s="255"/>
      <c r="Z59" s="255"/>
      <c r="AA59" s="255"/>
      <c r="AB59" s="71"/>
      <c r="AC59" s="255">
        <f t="shared" si="154"/>
        <v>0</v>
      </c>
      <c r="AD59" s="255">
        <f t="shared" si="154"/>
        <v>0</v>
      </c>
      <c r="AE59" s="255">
        <f t="shared" si="154"/>
        <v>0</v>
      </c>
      <c r="AF59" s="255">
        <f t="shared" si="154"/>
        <v>0</v>
      </c>
      <c r="AG59" s="1369">
        <f t="shared" ref="AG59:AG65" si="159">SUM(AC59:AF59)</f>
        <v>0</v>
      </c>
      <c r="AH59" s="1371"/>
      <c r="AI59" s="255">
        <f t="shared" si="155"/>
        <v>6277.0254174300444</v>
      </c>
      <c r="AJ59" s="255">
        <f t="shared" si="155"/>
        <v>7172.8984472033544</v>
      </c>
      <c r="AK59" s="255">
        <f t="shared" si="155"/>
        <v>255.88439371710169</v>
      </c>
      <c r="AL59" s="255">
        <f t="shared" si="155"/>
        <v>520.90751578124275</v>
      </c>
      <c r="AM59" s="1369">
        <f t="shared" ref="AM59:AM65" si="160">SUM(AI59:AL59)</f>
        <v>14226.715774131742</v>
      </c>
      <c r="AN59" s="1369">
        <f>AM59+AG59</f>
        <v>14226.715774131742</v>
      </c>
      <c r="AO59" s="71"/>
      <c r="AP59" s="71"/>
      <c r="AQ59" s="71"/>
      <c r="AR59" s="71"/>
      <c r="AS59" s="71"/>
      <c r="AT59" s="71"/>
      <c r="AU59" s="1370"/>
      <c r="AV59" s="71"/>
      <c r="AW59" s="71"/>
      <c r="AX59" s="71"/>
      <c r="AY59" s="71"/>
      <c r="AZ59" s="71"/>
      <c r="BG59" s="71"/>
      <c r="BH59" s="71"/>
      <c r="BI59" s="71"/>
      <c r="BJ59" s="71"/>
      <c r="BK59" s="71"/>
      <c r="BL59" s="71"/>
      <c r="BM59" s="71"/>
      <c r="BN59" s="71"/>
      <c r="BO59" s="71"/>
      <c r="BP59" s="71"/>
      <c r="BQ59" s="71"/>
      <c r="BR59" s="71"/>
    </row>
    <row r="60" spans="1:70" s="1373" customFormat="1" outlineLevel="1">
      <c r="A60" s="1374" t="s">
        <v>65</v>
      </c>
      <c r="B60" s="1368"/>
      <c r="C60" s="1368"/>
      <c r="D60" s="1375"/>
      <c r="E60" s="1368"/>
      <c r="F60" s="1368"/>
      <c r="G60" s="255">
        <f t="shared" si="151"/>
        <v>40885.749072158702</v>
      </c>
      <c r="H60" s="255">
        <f t="shared" si="151"/>
        <v>24653.882658886792</v>
      </c>
      <c r="I60" s="255">
        <f t="shared" si="151"/>
        <v>1127.1444813395888</v>
      </c>
      <c r="J60" s="255">
        <f t="shared" si="151"/>
        <v>2294.5441227270198</v>
      </c>
      <c r="K60" s="1369">
        <f t="shared" si="156"/>
        <v>68961.320335112105</v>
      </c>
      <c r="L60" s="255"/>
      <c r="M60" s="71"/>
      <c r="N60" s="255">
        <f t="shared" si="152"/>
        <v>67309.067501412632</v>
      </c>
      <c r="O60" s="255">
        <f t="shared" si="152"/>
        <v>40586.998886340873</v>
      </c>
      <c r="P60" s="255">
        <f t="shared" si="152"/>
        <v>1855.5864989640863</v>
      </c>
      <c r="Q60" s="255">
        <f t="shared" si="152"/>
        <v>3777.4439443197457</v>
      </c>
      <c r="R60" s="1369">
        <f t="shared" si="157"/>
        <v>113529.09683103733</v>
      </c>
      <c r="S60" s="1370"/>
      <c r="T60" s="255">
        <f t="shared" si="153"/>
        <v>11712.568890349074</v>
      </c>
      <c r="U60" s="255">
        <f t="shared" si="153"/>
        <v>7062.6148623855415</v>
      </c>
      <c r="V60" s="255">
        <f t="shared" si="153"/>
        <v>322.89386122697925</v>
      </c>
      <c r="W60" s="255">
        <f t="shared" si="153"/>
        <v>657.31964606920758</v>
      </c>
      <c r="X60" s="1369">
        <f t="shared" si="158"/>
        <v>19755.397260030801</v>
      </c>
      <c r="Y60" s="255"/>
      <c r="Z60" s="255"/>
      <c r="AA60" s="255"/>
      <c r="AB60" s="71"/>
      <c r="AC60" s="255">
        <f t="shared" si="154"/>
        <v>0</v>
      </c>
      <c r="AD60" s="255">
        <f t="shared" si="154"/>
        <v>0</v>
      </c>
      <c r="AE60" s="255">
        <f t="shared" si="154"/>
        <v>0</v>
      </c>
      <c r="AF60" s="255">
        <f t="shared" si="154"/>
        <v>0</v>
      </c>
      <c r="AG60" s="1369">
        <f t="shared" si="159"/>
        <v>0</v>
      </c>
      <c r="AH60" s="1371"/>
      <c r="AI60" s="255">
        <f t="shared" si="155"/>
        <v>67309.067501412632</v>
      </c>
      <c r="AJ60" s="255">
        <f t="shared" si="155"/>
        <v>40586.998886340873</v>
      </c>
      <c r="AK60" s="255">
        <f t="shared" si="155"/>
        <v>1855.5864989640856</v>
      </c>
      <c r="AL60" s="255">
        <f t="shared" si="155"/>
        <v>3777.4439443197457</v>
      </c>
      <c r="AM60" s="1369">
        <f t="shared" si="160"/>
        <v>113529.09683103733</v>
      </c>
      <c r="AN60" s="1369">
        <f t="shared" si="97"/>
        <v>113529.09683103733</v>
      </c>
      <c r="AO60" s="71"/>
      <c r="AP60" s="71"/>
      <c r="AQ60" s="71"/>
      <c r="AR60" s="71"/>
      <c r="AS60" s="71"/>
      <c r="AT60" s="71"/>
      <c r="AU60" s="1370"/>
      <c r="AV60" s="71"/>
      <c r="AW60" s="71"/>
      <c r="AX60" s="71"/>
      <c r="AY60" s="71"/>
      <c r="AZ60" s="71"/>
      <c r="BG60" s="71"/>
      <c r="BH60" s="71"/>
      <c r="BI60" s="71"/>
      <c r="BJ60" s="71"/>
      <c r="BK60" s="71"/>
      <c r="BL60" s="71"/>
      <c r="BM60" s="71"/>
      <c r="BN60" s="71"/>
      <c r="BO60" s="71"/>
      <c r="BP60" s="71"/>
      <c r="BQ60" s="71"/>
      <c r="BR60" s="71"/>
    </row>
    <row r="61" spans="1:70" s="1373" customFormat="1" outlineLevel="1">
      <c r="A61" s="1374" t="s">
        <v>66</v>
      </c>
      <c r="B61" s="1368"/>
      <c r="C61" s="1368"/>
      <c r="D61" s="1375"/>
      <c r="E61" s="1368"/>
      <c r="F61" s="1368"/>
      <c r="G61" s="255">
        <f t="shared" si="151"/>
        <v>296618.2493982712</v>
      </c>
      <c r="H61" s="255">
        <f t="shared" si="151"/>
        <v>115335.80761369021</v>
      </c>
      <c r="I61" s="255">
        <f t="shared" si="151"/>
        <v>6623.9840765778908</v>
      </c>
      <c r="J61" s="255">
        <f t="shared" si="151"/>
        <v>13484.53901303356</v>
      </c>
      <c r="K61" s="1369">
        <f t="shared" si="156"/>
        <v>432062.58010157285</v>
      </c>
      <c r="L61" s="255"/>
      <c r="M61" s="71"/>
      <c r="N61" s="255">
        <f t="shared" si="152"/>
        <v>496828.50900637161</v>
      </c>
      <c r="O61" s="255">
        <f t="shared" si="152"/>
        <v>193184.73306345861</v>
      </c>
      <c r="P61" s="255">
        <f t="shared" si="152"/>
        <v>11095.015694834454</v>
      </c>
      <c r="Q61" s="255">
        <f t="shared" si="152"/>
        <v>22586.281950198707</v>
      </c>
      <c r="R61" s="1369">
        <f t="shared" si="157"/>
        <v>723694.53971486329</v>
      </c>
      <c r="S61" s="1370"/>
      <c r="T61" s="255">
        <f t="shared" si="153"/>
        <v>86454.000247506265</v>
      </c>
      <c r="U61" s="255">
        <f t="shared" si="153"/>
        <v>33616.414230103073</v>
      </c>
      <c r="V61" s="255">
        <f t="shared" si="153"/>
        <v>1930.663140780036</v>
      </c>
      <c r="W61" s="255">
        <f t="shared" si="153"/>
        <v>3930.2785365879295</v>
      </c>
      <c r="X61" s="1369">
        <f t="shared" si="158"/>
        <v>125931.35615497729</v>
      </c>
      <c r="Y61" s="255"/>
      <c r="Z61" s="255"/>
      <c r="AA61" s="255"/>
      <c r="AB61" s="71"/>
      <c r="AC61" s="255">
        <f t="shared" si="154"/>
        <v>86454.000247506265</v>
      </c>
      <c r="AD61" s="255">
        <f t="shared" si="154"/>
        <v>33616.414230103073</v>
      </c>
      <c r="AE61" s="255">
        <f t="shared" si="154"/>
        <v>1930.663140780036</v>
      </c>
      <c r="AF61" s="255">
        <f t="shared" si="154"/>
        <v>3930.2785365879295</v>
      </c>
      <c r="AG61" s="1369">
        <f t="shared" si="159"/>
        <v>125931.35615497729</v>
      </c>
      <c r="AH61" s="1371"/>
      <c r="AI61" s="255">
        <f t="shared" si="155"/>
        <v>0</v>
      </c>
      <c r="AJ61" s="255">
        <f t="shared" si="155"/>
        <v>0</v>
      </c>
      <c r="AK61" s="255">
        <f t="shared" si="155"/>
        <v>0</v>
      </c>
      <c r="AL61" s="255">
        <f t="shared" si="155"/>
        <v>0</v>
      </c>
      <c r="AM61" s="1369">
        <f t="shared" si="160"/>
        <v>0</v>
      </c>
      <c r="AN61" s="1369">
        <f t="shared" si="97"/>
        <v>125931.35615497729</v>
      </c>
      <c r="AO61" s="71"/>
      <c r="AP61" s="71"/>
      <c r="AQ61" s="71"/>
      <c r="AR61" s="71"/>
      <c r="AS61" s="71"/>
      <c r="AT61" s="71"/>
      <c r="AU61" s="1370"/>
      <c r="AV61" s="71"/>
      <c r="AW61" s="71"/>
      <c r="AX61" s="71"/>
      <c r="AY61" s="71"/>
      <c r="AZ61" s="71"/>
      <c r="BG61" s="71"/>
      <c r="BH61" s="71"/>
      <c r="BI61" s="71"/>
      <c r="BJ61" s="71"/>
      <c r="BK61" s="71"/>
      <c r="BL61" s="71"/>
      <c r="BM61" s="71"/>
      <c r="BN61" s="71"/>
      <c r="BO61" s="71"/>
      <c r="BP61" s="71"/>
      <c r="BQ61" s="71"/>
      <c r="BR61" s="71"/>
    </row>
    <row r="62" spans="1:70" s="1373" customFormat="1" outlineLevel="1">
      <c r="A62" s="1374" t="s">
        <v>328</v>
      </c>
      <c r="B62" s="1368"/>
      <c r="C62" s="1368"/>
      <c r="D62" s="1375"/>
      <c r="E62" s="1368"/>
      <c r="F62" s="1368"/>
      <c r="G62" s="255">
        <f t="shared" si="151"/>
        <v>0</v>
      </c>
      <c r="H62" s="255">
        <f t="shared" si="151"/>
        <v>0</v>
      </c>
      <c r="I62" s="255">
        <f t="shared" si="151"/>
        <v>0</v>
      </c>
      <c r="J62" s="255">
        <f t="shared" si="151"/>
        <v>0</v>
      </c>
      <c r="K62" s="1369">
        <f t="shared" si="156"/>
        <v>0</v>
      </c>
      <c r="L62" s="255"/>
      <c r="M62" s="71"/>
      <c r="N62" s="255">
        <f t="shared" si="152"/>
        <v>0</v>
      </c>
      <c r="O62" s="255">
        <f t="shared" si="152"/>
        <v>0</v>
      </c>
      <c r="P62" s="255">
        <f t="shared" si="152"/>
        <v>0</v>
      </c>
      <c r="Q62" s="255">
        <f t="shared" si="152"/>
        <v>0</v>
      </c>
      <c r="R62" s="1369">
        <f t="shared" si="157"/>
        <v>0</v>
      </c>
      <c r="S62" s="1370"/>
      <c r="T62" s="255">
        <f t="shared" si="153"/>
        <v>0</v>
      </c>
      <c r="U62" s="255">
        <f t="shared" si="153"/>
        <v>0</v>
      </c>
      <c r="V62" s="255">
        <f t="shared" si="153"/>
        <v>0</v>
      </c>
      <c r="W62" s="255">
        <f t="shared" si="153"/>
        <v>0</v>
      </c>
      <c r="X62" s="1369">
        <f t="shared" si="158"/>
        <v>0</v>
      </c>
      <c r="Y62" s="255"/>
      <c r="Z62" s="255"/>
      <c r="AA62" s="255"/>
      <c r="AB62" s="71"/>
      <c r="AC62" s="255">
        <f t="shared" si="154"/>
        <v>0</v>
      </c>
      <c r="AD62" s="255">
        <f t="shared" si="154"/>
        <v>0</v>
      </c>
      <c r="AE62" s="255">
        <f t="shared" si="154"/>
        <v>0</v>
      </c>
      <c r="AF62" s="255">
        <f t="shared" si="154"/>
        <v>0</v>
      </c>
      <c r="AG62" s="1369">
        <f t="shared" si="159"/>
        <v>0</v>
      </c>
      <c r="AH62" s="1371"/>
      <c r="AI62" s="255">
        <f t="shared" si="155"/>
        <v>0</v>
      </c>
      <c r="AJ62" s="255">
        <f t="shared" si="155"/>
        <v>0</v>
      </c>
      <c r="AK62" s="255">
        <f t="shared" si="155"/>
        <v>0</v>
      </c>
      <c r="AL62" s="255">
        <f t="shared" si="155"/>
        <v>0</v>
      </c>
      <c r="AM62" s="1369">
        <f t="shared" si="160"/>
        <v>0</v>
      </c>
      <c r="AN62" s="1369">
        <f t="shared" si="97"/>
        <v>0</v>
      </c>
      <c r="AO62" s="71"/>
      <c r="AP62" s="71"/>
      <c r="AQ62" s="71"/>
      <c r="AR62" s="71"/>
      <c r="AS62" s="71"/>
      <c r="AT62" s="71"/>
      <c r="AU62" s="1370"/>
      <c r="AV62" s="71"/>
      <c r="AW62" s="71"/>
      <c r="AX62" s="71"/>
      <c r="AY62" s="71"/>
      <c r="AZ62" s="71"/>
      <c r="BG62" s="71"/>
      <c r="BH62" s="71"/>
      <c r="BI62" s="71"/>
      <c r="BJ62" s="71"/>
      <c r="BK62" s="71"/>
      <c r="BL62" s="71"/>
      <c r="BM62" s="71"/>
      <c r="BN62" s="71"/>
      <c r="BO62" s="71"/>
      <c r="BP62" s="71"/>
      <c r="BQ62" s="71"/>
      <c r="BR62" s="71"/>
    </row>
    <row r="63" spans="1:70" ht="40" outlineLevel="1">
      <c r="A63" s="1590" t="s">
        <v>760</v>
      </c>
      <c r="B63" s="2"/>
      <c r="C63" s="2"/>
      <c r="D63" s="1061"/>
      <c r="E63" s="2"/>
      <c r="G63" s="169">
        <f>G167*G161*G157*12</f>
        <v>435702.9378095725</v>
      </c>
      <c r="H63" s="169">
        <f>H167*H161*H157*12</f>
        <v>182002.49300906193</v>
      </c>
      <c r="I63" s="169">
        <f>I167*I161*I157*12</f>
        <v>10037.71325080281</v>
      </c>
      <c r="J63" s="169">
        <f>J167*J161*J157*12</f>
        <v>20433.916260562859</v>
      </c>
      <c r="K63" s="407">
        <f t="shared" si="156"/>
        <v>648177.06033000012</v>
      </c>
      <c r="L63" s="169"/>
      <c r="N63" s="169">
        <f>N167*N161*N157*12</f>
        <v>435702.9378095725</v>
      </c>
      <c r="O63" s="169">
        <f>O167*O161*O157*12</f>
        <v>182002.49300906193</v>
      </c>
      <c r="P63" s="169">
        <f>P167*P161*P157*12</f>
        <v>10037.71325080281</v>
      </c>
      <c r="Q63" s="169">
        <f>Q167*Q161*Q157*12</f>
        <v>20433.916260562859</v>
      </c>
      <c r="R63" s="407">
        <f t="shared" si="157"/>
        <v>648177.06033000012</v>
      </c>
      <c r="S63" s="80"/>
      <c r="T63" s="169">
        <f>T167*T161*T157*T165</f>
        <v>75376.608241056048</v>
      </c>
      <c r="U63" s="169">
        <f>U167*U161*U157*U165</f>
        <v>31486.431290567718</v>
      </c>
      <c r="V63" s="169">
        <f>V167*V161*V157*V165</f>
        <v>1736.5243923888863</v>
      </c>
      <c r="W63" s="169">
        <f>W167*W161*W157*W165</f>
        <v>3535.0675130773748</v>
      </c>
      <c r="X63" s="407">
        <f t="shared" si="158"/>
        <v>112134.63143709004</v>
      </c>
      <c r="Y63" s="169"/>
      <c r="Z63" s="169"/>
      <c r="AA63" s="169"/>
      <c r="AC63" s="169">
        <f>AC167*AC161*AC157*AC165</f>
        <v>66864.94302563768</v>
      </c>
      <c r="AD63" s="169">
        <f>AD167*AD161*AD157*AD165</f>
        <v>25999.486614697318</v>
      </c>
      <c r="AE63" s="169">
        <f>AE167*AE161*AE157*AE165</f>
        <v>1493.2065669648348</v>
      </c>
      <c r="AF63" s="169">
        <f>AF167*AF161*AF157*AF165</f>
        <v>3039.7419398926986</v>
      </c>
      <c r="AG63" s="407">
        <f t="shared" si="159"/>
        <v>97397.378147192532</v>
      </c>
      <c r="AI63" s="169">
        <f>AI167*AI161*AI157*AI165</f>
        <v>8511.6652154183594</v>
      </c>
      <c r="AJ63" s="169">
        <f>AJ167*AJ161*AJ157*AJ165</f>
        <v>5486.9446758703943</v>
      </c>
      <c r="AK63" s="169">
        <f>AK167*AK161*AK157*AK165</f>
        <v>243.31782542405131</v>
      </c>
      <c r="AL63" s="169">
        <f>AL167*AL161*AL157*AL165</f>
        <v>495.32557318467593</v>
      </c>
      <c r="AM63" s="407">
        <f t="shared" si="160"/>
        <v>14737.253289897482</v>
      </c>
      <c r="AN63" s="1168">
        <f t="shared" si="97"/>
        <v>112134.63143709002</v>
      </c>
      <c r="AU63" s="80"/>
    </row>
    <row r="64" spans="1:70" ht="20" outlineLevel="1">
      <c r="A64" s="1590" t="s">
        <v>511</v>
      </c>
      <c r="G64" s="169">
        <f>G7*G159*G158</f>
        <v>37327.5</v>
      </c>
      <c r="H64" s="169">
        <f>H7*H159*H158</f>
        <v>15592.500000000002</v>
      </c>
      <c r="I64" s="169">
        <f>I7*I159*I158</f>
        <v>859.95</v>
      </c>
      <c r="J64" s="169">
        <f>J7*J159*J158</f>
        <v>1750.6125000000002</v>
      </c>
      <c r="K64" s="407">
        <f t="shared" si="156"/>
        <v>55530.5625</v>
      </c>
      <c r="L64" s="169"/>
      <c r="N64" s="169">
        <f>N7*N159*N158</f>
        <v>37327.5</v>
      </c>
      <c r="O64" s="169">
        <f>O7*O159*O158</f>
        <v>15592.500000000002</v>
      </c>
      <c r="P64" s="169">
        <f>P7*P159*P158</f>
        <v>859.95</v>
      </c>
      <c r="Q64" s="169">
        <f>Q7*Q159*Q158</f>
        <v>1750.6125000000002</v>
      </c>
      <c r="R64" s="407">
        <f t="shared" si="157"/>
        <v>55530.5625</v>
      </c>
      <c r="S64" s="80"/>
      <c r="T64" s="169">
        <f>T7*T159*T158</f>
        <v>37327.5</v>
      </c>
      <c r="U64" s="169">
        <f>U7*U159*U158</f>
        <v>15592.500000000002</v>
      </c>
      <c r="V64" s="169">
        <f>V7*V159*V158</f>
        <v>859.95</v>
      </c>
      <c r="W64" s="169">
        <f>W7*W159*W158</f>
        <v>1750.6125000000002</v>
      </c>
      <c r="X64" s="407">
        <f t="shared" si="158"/>
        <v>55530.5625</v>
      </c>
      <c r="Y64" s="169"/>
      <c r="Z64" s="169"/>
      <c r="AA64" s="169"/>
      <c r="AC64" s="169">
        <f>AC7*AC159*AC158</f>
        <v>33112.410057076915</v>
      </c>
      <c r="AD64" s="169">
        <f>AD7*AD159*AD158</f>
        <v>12875.291940789473</v>
      </c>
      <c r="AE64" s="169">
        <f>AE7*AE159*AE158</f>
        <v>739.45577320393079</v>
      </c>
      <c r="AF64" s="169">
        <f>AF7*AF159*AF158</f>
        <v>1505.3206811651446</v>
      </c>
      <c r="AG64" s="407">
        <f t="shared" si="159"/>
        <v>48232.478452235468</v>
      </c>
      <c r="AI64" s="169">
        <f>AI7*AI159*AI158</f>
        <v>4215.0899429230867</v>
      </c>
      <c r="AJ64" s="169">
        <f>AJ7*AJ159*AJ158</f>
        <v>2717.2080592105267</v>
      </c>
      <c r="AK64" s="169">
        <f>AK7*AK159*AK158</f>
        <v>120.4942267960693</v>
      </c>
      <c r="AL64" s="169">
        <f>AL7*AL159*AL158</f>
        <v>245.29181883485538</v>
      </c>
      <c r="AM64" s="407">
        <f t="shared" si="160"/>
        <v>7298.0840477645388</v>
      </c>
      <c r="AN64" s="1168">
        <f t="shared" si="97"/>
        <v>55530.562500000007</v>
      </c>
      <c r="AU64" s="80"/>
    </row>
    <row r="65" spans="1:70" s="424" customFormat="1" ht="20">
      <c r="A65" s="1115" t="s">
        <v>508</v>
      </c>
      <c r="B65" s="305"/>
      <c r="C65" s="305"/>
      <c r="D65" s="1116"/>
      <c r="E65" s="305"/>
      <c r="F65" s="1117"/>
      <c r="G65" s="373">
        <f>SUM(G66:G70)</f>
        <v>2905737.5724546942</v>
      </c>
      <c r="H65" s="373">
        <f t="shared" ref="H65:J65" si="161">SUM(H66:H70)</f>
        <v>1233461.6666890811</v>
      </c>
      <c r="I65" s="373">
        <f t="shared" si="161"/>
        <v>67423.329217810126</v>
      </c>
      <c r="J65" s="373">
        <f t="shared" si="161"/>
        <v>137254.63447911345</v>
      </c>
      <c r="K65" s="406">
        <f t="shared" si="156"/>
        <v>4343877.2028406989</v>
      </c>
      <c r="L65" s="1118"/>
      <c r="M65" s="287"/>
      <c r="N65" s="373">
        <f>SUM(N66:N70)</f>
        <v>4854498.8417818369</v>
      </c>
      <c r="O65" s="373">
        <f t="shared" ref="O65" si="162">SUM(O66:O70)</f>
        <v>2056709.2650852231</v>
      </c>
      <c r="P65" s="373">
        <f t="shared" ref="P65" si="163">SUM(P66:P70)</f>
        <v>112543.99204936795</v>
      </c>
      <c r="Q65" s="373">
        <f t="shared" ref="Q65" si="164">SUM(Q66:Q70)</f>
        <v>229107.41238621325</v>
      </c>
      <c r="R65" s="1091">
        <f t="shared" ref="R65" si="165">SUM(N65:Q65)</f>
        <v>7252859.5113026416</v>
      </c>
      <c r="S65" s="1119"/>
      <c r="T65" s="373">
        <f>SUM(T66:T70)</f>
        <v>844739.85784004885</v>
      </c>
      <c r="U65" s="373">
        <f t="shared" ref="U65:W65" si="166">SUM(U66:U70)</f>
        <v>357891.58651208953</v>
      </c>
      <c r="V65" s="373">
        <f t="shared" si="166"/>
        <v>19583.977449181799</v>
      </c>
      <c r="W65" s="373">
        <f t="shared" si="166"/>
        <v>39867.382664405799</v>
      </c>
      <c r="X65" s="1091">
        <f t="shared" si="158"/>
        <v>1262082.8044657258</v>
      </c>
      <c r="Y65" s="1118"/>
      <c r="Z65" s="1118"/>
      <c r="AA65" s="1118"/>
      <c r="AB65" s="287"/>
      <c r="AC65" s="373">
        <f>SUM(AC66:AC70)</f>
        <v>735613.35277783091</v>
      </c>
      <c r="AD65" s="373">
        <f t="shared" ref="AD65:AF65" si="167">SUM(AD66:AD70)</f>
        <v>286032.83953755273</v>
      </c>
      <c r="AE65" s="373">
        <f t="shared" si="167"/>
        <v>16427.482615123357</v>
      </c>
      <c r="AF65" s="373">
        <f t="shared" si="167"/>
        <v>33441.661037929684</v>
      </c>
      <c r="AG65" s="1091">
        <f t="shared" si="159"/>
        <v>1071515.3359684367</v>
      </c>
      <c r="AH65" s="286"/>
      <c r="AI65" s="373">
        <f>SUM(AI66:AI70)</f>
        <v>627121.45936476626</v>
      </c>
      <c r="AJ65" s="373">
        <f t="shared" ref="AJ65:AL65" si="168">SUM(AJ66:AJ70)</f>
        <v>412953.40893673722</v>
      </c>
      <c r="AK65" s="373">
        <f t="shared" si="168"/>
        <v>18139.549559325402</v>
      </c>
      <c r="AL65" s="373">
        <f t="shared" si="168"/>
        <v>36926.940174340998</v>
      </c>
      <c r="AM65" s="1091">
        <f t="shared" si="160"/>
        <v>1095141.3580351698</v>
      </c>
      <c r="AN65" s="1091">
        <f>AM65+AG65</f>
        <v>2166656.6940036062</v>
      </c>
      <c r="AO65" s="287"/>
      <c r="AP65" s="287"/>
      <c r="AQ65" s="287"/>
      <c r="AR65" s="287"/>
      <c r="AS65" s="287"/>
      <c r="AT65" s="287"/>
      <c r="AU65" s="1119"/>
      <c r="AV65" s="287"/>
      <c r="AW65" s="287"/>
      <c r="AX65" s="287"/>
      <c r="AY65" s="287"/>
      <c r="AZ65" s="287"/>
      <c r="BG65" s="287"/>
      <c r="BH65" s="287"/>
      <c r="BI65" s="287"/>
      <c r="BJ65" s="287"/>
      <c r="BK65" s="287"/>
      <c r="BL65" s="287"/>
      <c r="BM65" s="287"/>
      <c r="BN65" s="287"/>
      <c r="BO65" s="287"/>
      <c r="BP65" s="287"/>
      <c r="BQ65" s="287"/>
      <c r="BR65" s="287"/>
    </row>
    <row r="66" spans="1:70" outlineLevel="1">
      <c r="A66" s="39" t="s">
        <v>327</v>
      </c>
      <c r="B66" s="2"/>
      <c r="C66" s="2"/>
      <c r="D66" s="1061"/>
      <c r="E66" s="2"/>
      <c r="G66" s="169">
        <f t="shared" ref="G66:J70" si="169">G22*G123*G$155</f>
        <v>635.75750603202562</v>
      </c>
      <c r="H66" s="169">
        <f t="shared" si="169"/>
        <v>4191.801581541311</v>
      </c>
      <c r="I66" s="169">
        <f t="shared" si="169"/>
        <v>110.64825383187325</v>
      </c>
      <c r="J66" s="169">
        <f t="shared" si="169"/>
        <v>225.24823101488477</v>
      </c>
      <c r="K66" s="407">
        <f>SUM(G66:J66)</f>
        <v>5163.4555724200945</v>
      </c>
      <c r="L66" s="169"/>
      <c r="N66" s="169">
        <f t="shared" ref="N66:Q70" si="170">N22*N123*N$155</f>
        <v>997.59725449614859</v>
      </c>
      <c r="O66" s="169">
        <f t="shared" si="170"/>
        <v>6577.5546642583822</v>
      </c>
      <c r="P66" s="169">
        <f t="shared" si="170"/>
        <v>173.62342275186495</v>
      </c>
      <c r="Q66" s="169">
        <f t="shared" si="170"/>
        <v>353.44768203058214</v>
      </c>
      <c r="R66" s="407">
        <f>SUM(N66:Q66)</f>
        <v>8102.223023536978</v>
      </c>
      <c r="S66" s="80"/>
      <c r="T66" s="169">
        <f t="shared" ref="T66:W70" si="171">T22*T123*T$155</f>
        <v>173.59364795633243</v>
      </c>
      <c r="U66" s="169">
        <f t="shared" si="171"/>
        <v>1144.5718236038006</v>
      </c>
      <c r="V66" s="169">
        <f t="shared" si="171"/>
        <v>30.212516313893961</v>
      </c>
      <c r="W66" s="169">
        <f t="shared" si="171"/>
        <v>61.504051067569854</v>
      </c>
      <c r="X66" s="407">
        <f>SUM(T66:W66)</f>
        <v>1409.8820389415969</v>
      </c>
      <c r="Y66" s="169"/>
      <c r="Z66" s="169"/>
      <c r="AA66" s="169"/>
      <c r="AC66" s="169">
        <f t="shared" ref="AC66:AF70" si="172">AC22*AC123*AC$155</f>
        <v>0</v>
      </c>
      <c r="AD66" s="169">
        <f t="shared" si="172"/>
        <v>0</v>
      </c>
      <c r="AE66" s="169">
        <f t="shared" si="172"/>
        <v>0</v>
      </c>
      <c r="AF66" s="169">
        <f t="shared" si="172"/>
        <v>0</v>
      </c>
      <c r="AG66" s="169">
        <f>SUM(AC66:AF66)</f>
        <v>0</v>
      </c>
      <c r="AI66" s="169">
        <f t="shared" ref="AI66:AL70" si="173">AI22*AI123*AI$155</f>
        <v>997.59725449614882</v>
      </c>
      <c r="AJ66" s="169">
        <f t="shared" si="173"/>
        <v>6577.5546642583831</v>
      </c>
      <c r="AK66" s="169">
        <f t="shared" si="173"/>
        <v>173.62342275186487</v>
      </c>
      <c r="AL66" s="169">
        <f t="shared" si="173"/>
        <v>353.4476820305822</v>
      </c>
      <c r="AM66" s="371">
        <f>SUM(AI66:AL66)</f>
        <v>8102.2230235369789</v>
      </c>
      <c r="AN66" s="406">
        <f t="shared" si="97"/>
        <v>8102.2230235369789</v>
      </c>
      <c r="AU66" s="80"/>
    </row>
    <row r="67" spans="1:70" outlineLevel="1">
      <c r="A67" s="39" t="s">
        <v>429</v>
      </c>
      <c r="B67" s="2"/>
      <c r="C67" s="2"/>
      <c r="D67" s="1061"/>
      <c r="E67" s="2"/>
      <c r="G67" s="169">
        <f t="shared" si="169"/>
        <v>33372.951275656771</v>
      </c>
      <c r="H67" s="169">
        <f t="shared" si="169"/>
        <v>38136.023747655876</v>
      </c>
      <c r="I67" s="169">
        <f t="shared" si="169"/>
        <v>1360.4560816352605</v>
      </c>
      <c r="J67" s="169">
        <f t="shared" si="169"/>
        <v>2769.4998804717798</v>
      </c>
      <c r="K67" s="407">
        <f t="shared" ref="K67:K70" si="174">SUM(G67:J67)</f>
        <v>75638.930985419676</v>
      </c>
      <c r="L67" s="169"/>
      <c r="N67" s="169">
        <f t="shared" si="170"/>
        <v>53409.485964422645</v>
      </c>
      <c r="O67" s="169">
        <f t="shared" si="170"/>
        <v>61032.223619222939</v>
      </c>
      <c r="P67" s="169">
        <f t="shared" si="170"/>
        <v>2177.2500549063866</v>
      </c>
      <c r="Q67" s="169">
        <f t="shared" si="170"/>
        <v>4432.2590403451431</v>
      </c>
      <c r="R67" s="407">
        <f t="shared" ref="R67:R70" si="175">SUM(N67:Q67)</f>
        <v>121051.21867889712</v>
      </c>
      <c r="S67" s="80"/>
      <c r="T67" s="169">
        <f t="shared" si="171"/>
        <v>9293.8783284035762</v>
      </c>
      <c r="U67" s="169">
        <f t="shared" si="171"/>
        <v>10620.324277354399</v>
      </c>
      <c r="V67" s="169">
        <f t="shared" si="171"/>
        <v>378.86710076725029</v>
      </c>
      <c r="W67" s="169">
        <f t="shared" si="171"/>
        <v>771.26516941904538</v>
      </c>
      <c r="X67" s="407">
        <f t="shared" ref="X67:X70" si="176">SUM(T67:W67)</f>
        <v>21064.334875944271</v>
      </c>
      <c r="Y67" s="169"/>
      <c r="Z67" s="169"/>
      <c r="AA67" s="169"/>
      <c r="AC67" s="169">
        <f t="shared" si="172"/>
        <v>0</v>
      </c>
      <c r="AD67" s="169">
        <f t="shared" si="172"/>
        <v>0</v>
      </c>
      <c r="AE67" s="169">
        <f t="shared" si="172"/>
        <v>0</v>
      </c>
      <c r="AF67" s="169">
        <f t="shared" si="172"/>
        <v>0</v>
      </c>
      <c r="AG67" s="169">
        <f t="shared" ref="AG67:AG70" si="177">SUM(AC67:AF67)</f>
        <v>0</v>
      </c>
      <c r="AI67" s="169">
        <f t="shared" si="173"/>
        <v>53409.485964422653</v>
      </c>
      <c r="AJ67" s="169">
        <f t="shared" si="173"/>
        <v>61032.223619222939</v>
      </c>
      <c r="AK67" s="169">
        <f t="shared" si="173"/>
        <v>2177.2500549063861</v>
      </c>
      <c r="AL67" s="169">
        <f t="shared" si="173"/>
        <v>4432.2590403451431</v>
      </c>
      <c r="AM67" s="371">
        <f t="shared" ref="AM67:AM70" si="178">SUM(AI67:AL67)</f>
        <v>121051.21867889713</v>
      </c>
      <c r="AN67" s="406">
        <f t="shared" si="97"/>
        <v>121051.21867889713</v>
      </c>
      <c r="AU67" s="80"/>
    </row>
    <row r="68" spans="1:70" outlineLevel="1">
      <c r="A68" s="39" t="s">
        <v>65</v>
      </c>
      <c r="B68" s="2"/>
      <c r="C68" s="2"/>
      <c r="D68" s="1061"/>
      <c r="E68" s="2"/>
      <c r="G68" s="169">
        <f t="shared" si="169"/>
        <v>347885.61396465037</v>
      </c>
      <c r="H68" s="169">
        <f t="shared" si="169"/>
        <v>209773.11899709416</v>
      </c>
      <c r="I68" s="169">
        <f t="shared" si="169"/>
        <v>9590.5629422527563</v>
      </c>
      <c r="J68" s="169">
        <f t="shared" si="169"/>
        <v>19523.645989585966</v>
      </c>
      <c r="K68" s="407">
        <f t="shared" si="174"/>
        <v>586772.94189358328</v>
      </c>
      <c r="L68" s="169"/>
      <c r="N68" s="169">
        <f t="shared" si="170"/>
        <v>572714.37614584737</v>
      </c>
      <c r="O68" s="169">
        <f t="shared" si="170"/>
        <v>345343.63065325591</v>
      </c>
      <c r="P68" s="169">
        <f t="shared" si="170"/>
        <v>15788.676081667158</v>
      </c>
      <c r="Q68" s="169">
        <f t="shared" si="170"/>
        <v>32141.233451965272</v>
      </c>
      <c r="R68" s="407">
        <f t="shared" si="175"/>
        <v>965987.91633273568</v>
      </c>
      <c r="S68" s="80"/>
      <c r="T68" s="169">
        <f t="shared" si="171"/>
        <v>99659.033085857998</v>
      </c>
      <c r="U68" s="169">
        <f t="shared" si="171"/>
        <v>60093.85087357858</v>
      </c>
      <c r="V68" s="169">
        <f t="shared" si="171"/>
        <v>2747.4152169772988</v>
      </c>
      <c r="W68" s="169">
        <f t="shared" si="171"/>
        <v>5592.9524059895002</v>
      </c>
      <c r="X68" s="407">
        <f t="shared" si="176"/>
        <v>168093.25158240338</v>
      </c>
      <c r="Y68" s="169"/>
      <c r="Z68" s="169"/>
      <c r="AA68" s="169"/>
      <c r="AC68" s="169">
        <f t="shared" si="172"/>
        <v>0</v>
      </c>
      <c r="AD68" s="169">
        <f t="shared" si="172"/>
        <v>0</v>
      </c>
      <c r="AE68" s="169">
        <f t="shared" si="172"/>
        <v>0</v>
      </c>
      <c r="AF68" s="169">
        <f t="shared" si="172"/>
        <v>0</v>
      </c>
      <c r="AG68" s="169">
        <f t="shared" si="177"/>
        <v>0</v>
      </c>
      <c r="AI68" s="169">
        <f t="shared" si="173"/>
        <v>572714.37614584749</v>
      </c>
      <c r="AJ68" s="169">
        <f t="shared" si="173"/>
        <v>345343.63065325591</v>
      </c>
      <c r="AK68" s="169">
        <f t="shared" si="173"/>
        <v>15788.676081667152</v>
      </c>
      <c r="AL68" s="169">
        <f t="shared" si="173"/>
        <v>32141.233451965272</v>
      </c>
      <c r="AM68" s="371">
        <f t="shared" si="178"/>
        <v>965987.91633273591</v>
      </c>
      <c r="AN68" s="406">
        <f t="shared" si="97"/>
        <v>965987.91633273591</v>
      </c>
      <c r="AU68" s="80"/>
    </row>
    <row r="69" spans="1:70" outlineLevel="1">
      <c r="A69" s="39" t="s">
        <v>66</v>
      </c>
      <c r="B69" s="2"/>
      <c r="C69" s="2"/>
      <c r="D69" s="1061"/>
      <c r="E69" s="2"/>
      <c r="G69" s="169">
        <f t="shared" si="169"/>
        <v>2523843.2497083549</v>
      </c>
      <c r="H69" s="169">
        <f t="shared" si="169"/>
        <v>981360.72236278967</v>
      </c>
      <c r="I69" s="169">
        <f t="shared" si="169"/>
        <v>56361.661940090242</v>
      </c>
      <c r="J69" s="169">
        <f t="shared" si="169"/>
        <v>114736.24037804082</v>
      </c>
      <c r="K69" s="407">
        <f t="shared" si="174"/>
        <v>3676301.8743892759</v>
      </c>
      <c r="L69" s="169"/>
      <c r="N69" s="169">
        <f t="shared" si="170"/>
        <v>4227377.3824170707</v>
      </c>
      <c r="O69" s="169">
        <f t="shared" si="170"/>
        <v>1643755.856148486</v>
      </c>
      <c r="P69" s="169">
        <f t="shared" si="170"/>
        <v>94404.442490042551</v>
      </c>
      <c r="Q69" s="169">
        <f t="shared" si="170"/>
        <v>192180.47221187226</v>
      </c>
      <c r="R69" s="407">
        <f t="shared" si="175"/>
        <v>6157718.1532674711</v>
      </c>
      <c r="S69" s="80"/>
      <c r="T69" s="169">
        <f t="shared" si="171"/>
        <v>735613.35277783091</v>
      </c>
      <c r="U69" s="169">
        <f t="shared" si="171"/>
        <v>286032.83953755273</v>
      </c>
      <c r="V69" s="169">
        <f t="shared" si="171"/>
        <v>16427.482615123357</v>
      </c>
      <c r="W69" s="169">
        <f t="shared" si="171"/>
        <v>33441.661037929684</v>
      </c>
      <c r="X69" s="407">
        <f t="shared" si="176"/>
        <v>1071515.3359684367</v>
      </c>
      <c r="Y69" s="169"/>
      <c r="Z69" s="169"/>
      <c r="AA69" s="169"/>
      <c r="AC69" s="169">
        <f t="shared" si="172"/>
        <v>735613.35277783091</v>
      </c>
      <c r="AD69" s="169">
        <f t="shared" si="172"/>
        <v>286032.83953755273</v>
      </c>
      <c r="AE69" s="169">
        <f t="shared" si="172"/>
        <v>16427.482615123357</v>
      </c>
      <c r="AF69" s="169">
        <f t="shared" si="172"/>
        <v>33441.661037929684</v>
      </c>
      <c r="AG69" s="169">
        <f t="shared" si="177"/>
        <v>1071515.3359684367</v>
      </c>
      <c r="AI69" s="169">
        <f t="shared" si="173"/>
        <v>0</v>
      </c>
      <c r="AJ69" s="169">
        <f t="shared" si="173"/>
        <v>0</v>
      </c>
      <c r="AK69" s="169">
        <f t="shared" si="173"/>
        <v>0</v>
      </c>
      <c r="AL69" s="169">
        <f t="shared" si="173"/>
        <v>0</v>
      </c>
      <c r="AM69" s="371">
        <f t="shared" si="178"/>
        <v>0</v>
      </c>
      <c r="AN69" s="406">
        <f t="shared" si="97"/>
        <v>1071515.3359684367</v>
      </c>
      <c r="AU69" s="80"/>
    </row>
    <row r="70" spans="1:70" outlineLevel="1">
      <c r="A70" s="39" t="s">
        <v>328</v>
      </c>
      <c r="B70" s="2"/>
      <c r="C70" s="2"/>
      <c r="D70" s="1061"/>
      <c r="E70" s="2"/>
      <c r="G70" s="169">
        <f t="shared" si="169"/>
        <v>0</v>
      </c>
      <c r="H70" s="169">
        <f t="shared" si="169"/>
        <v>0</v>
      </c>
      <c r="I70" s="169">
        <f t="shared" si="169"/>
        <v>0</v>
      </c>
      <c r="J70" s="169">
        <f t="shared" si="169"/>
        <v>0</v>
      </c>
      <c r="K70" s="407">
        <f t="shared" si="174"/>
        <v>0</v>
      </c>
      <c r="L70" s="169"/>
      <c r="N70" s="169">
        <f t="shared" si="170"/>
        <v>0</v>
      </c>
      <c r="O70" s="169">
        <f t="shared" si="170"/>
        <v>0</v>
      </c>
      <c r="P70" s="169">
        <f t="shared" si="170"/>
        <v>0</v>
      </c>
      <c r="Q70" s="169">
        <f t="shared" si="170"/>
        <v>0</v>
      </c>
      <c r="R70" s="407">
        <f t="shared" si="175"/>
        <v>0</v>
      </c>
      <c r="S70" s="80"/>
      <c r="T70" s="169">
        <f t="shared" si="171"/>
        <v>0</v>
      </c>
      <c r="U70" s="169">
        <f t="shared" si="171"/>
        <v>0</v>
      </c>
      <c r="V70" s="169">
        <f t="shared" si="171"/>
        <v>0</v>
      </c>
      <c r="W70" s="169">
        <f t="shared" si="171"/>
        <v>0</v>
      </c>
      <c r="X70" s="407">
        <f t="shared" si="176"/>
        <v>0</v>
      </c>
      <c r="Y70" s="169"/>
      <c r="Z70" s="169"/>
      <c r="AA70" s="169"/>
      <c r="AC70" s="169">
        <f t="shared" si="172"/>
        <v>0</v>
      </c>
      <c r="AD70" s="169">
        <f t="shared" si="172"/>
        <v>0</v>
      </c>
      <c r="AE70" s="169">
        <f t="shared" si="172"/>
        <v>0</v>
      </c>
      <c r="AF70" s="169">
        <f t="shared" si="172"/>
        <v>0</v>
      </c>
      <c r="AG70" s="169">
        <f t="shared" si="177"/>
        <v>0</v>
      </c>
      <c r="AI70" s="169">
        <f t="shared" si="173"/>
        <v>0</v>
      </c>
      <c r="AJ70" s="169">
        <f t="shared" si="173"/>
        <v>0</v>
      </c>
      <c r="AK70" s="169">
        <f t="shared" si="173"/>
        <v>0</v>
      </c>
      <c r="AL70" s="169">
        <f t="shared" si="173"/>
        <v>0</v>
      </c>
      <c r="AM70" s="371">
        <f t="shared" si="178"/>
        <v>0</v>
      </c>
      <c r="AN70" s="406">
        <f t="shared" si="97"/>
        <v>0</v>
      </c>
      <c r="AU70" s="80"/>
    </row>
    <row r="71" spans="1:70" s="1181" customFormat="1" ht="20">
      <c r="A71" s="1176" t="s">
        <v>501</v>
      </c>
      <c r="B71" s="103"/>
      <c r="C71" s="103"/>
      <c r="D71" s="1177"/>
      <c r="E71" s="103"/>
      <c r="F71" s="257"/>
      <c r="G71" s="275">
        <f>G21*G170</f>
        <v>4323342.0688575087</v>
      </c>
      <c r="H71" s="275">
        <f>H21*H170</f>
        <v>1805953.0161050353</v>
      </c>
      <c r="I71" s="275">
        <f>I21*I170</f>
        <v>99601.04513064136</v>
      </c>
      <c r="J71" s="275">
        <f>J21*J170</f>
        <v>202759.27044451988</v>
      </c>
      <c r="K71" s="1178">
        <f>SUM(G71:J71)</f>
        <v>6431655.400537705</v>
      </c>
      <c r="L71" s="276"/>
      <c r="M71" s="25"/>
      <c r="N71" s="275">
        <f>N21*N170</f>
        <v>0</v>
      </c>
      <c r="O71" s="275">
        <f>O21*O170</f>
        <v>0</v>
      </c>
      <c r="P71" s="275">
        <f>P21*P170</f>
        <v>0</v>
      </c>
      <c r="Q71" s="275">
        <f>Q21*Q170</f>
        <v>0</v>
      </c>
      <c r="R71" s="1178">
        <f>SUM(N71:Q71)</f>
        <v>0</v>
      </c>
      <c r="S71" s="277"/>
      <c r="T71" s="275">
        <f>T19*T170</f>
        <v>0</v>
      </c>
      <c r="U71" s="275">
        <f>U19*U170</f>
        <v>0</v>
      </c>
      <c r="V71" s="275">
        <f>V19*V170</f>
        <v>0</v>
      </c>
      <c r="W71" s="275">
        <f>W19*W170</f>
        <v>0</v>
      </c>
      <c r="X71" s="1312">
        <f>SUM(T71:W71)</f>
        <v>0</v>
      </c>
      <c r="Y71" s="275"/>
      <c r="Z71" s="275"/>
      <c r="AA71" s="275"/>
      <c r="AB71" s="25"/>
      <c r="AC71" s="275">
        <f>AC19*AC170</f>
        <v>0</v>
      </c>
      <c r="AD71" s="275">
        <f>AD19*AD170</f>
        <v>0</v>
      </c>
      <c r="AE71" s="275">
        <f>AE19*AE170</f>
        <v>0</v>
      </c>
      <c r="AF71" s="275">
        <f>AF19*AF170</f>
        <v>0</v>
      </c>
      <c r="AG71" s="275">
        <f>SUM(AC71:AF71)</f>
        <v>0</v>
      </c>
      <c r="AH71" s="1179"/>
      <c r="AI71" s="275">
        <f>AI21*AI170</f>
        <v>0</v>
      </c>
      <c r="AJ71" s="275">
        <f>AJ21*AJ170</f>
        <v>0</v>
      </c>
      <c r="AK71" s="275">
        <f>AK21*AK170</f>
        <v>0</v>
      </c>
      <c r="AL71" s="275">
        <f>AL21*AL170</f>
        <v>0</v>
      </c>
      <c r="AM71" s="1180">
        <f>SUM(AI71:AL71)</f>
        <v>0</v>
      </c>
      <c r="AN71" s="406">
        <f t="shared" si="97"/>
        <v>0</v>
      </c>
      <c r="AO71" s="25"/>
      <c r="AP71" s="25"/>
      <c r="AQ71" s="25"/>
      <c r="AR71" s="25"/>
      <c r="AS71" s="25"/>
      <c r="AT71" s="25"/>
      <c r="AU71" s="277"/>
      <c r="AV71" s="25"/>
      <c r="AW71" s="25"/>
      <c r="AX71" s="25"/>
      <c r="AY71" s="25"/>
      <c r="AZ71" s="25"/>
      <c r="BG71" s="25"/>
      <c r="BH71" s="25"/>
      <c r="BI71" s="25"/>
      <c r="BJ71" s="25"/>
      <c r="BK71" s="25"/>
      <c r="BL71" s="25"/>
      <c r="BM71" s="25"/>
      <c r="BN71" s="25"/>
      <c r="BO71" s="25"/>
      <c r="BP71" s="25"/>
      <c r="BQ71" s="25"/>
      <c r="BR71" s="25"/>
    </row>
    <row r="72" spans="1:70">
      <c r="A72" s="13"/>
      <c r="B72" s="13"/>
      <c r="C72" s="13"/>
      <c r="D72" s="13"/>
      <c r="E72" s="13"/>
      <c r="G72" s="169"/>
      <c r="H72" s="169"/>
      <c r="I72" s="169"/>
      <c r="J72" s="169"/>
      <c r="K72" s="406"/>
      <c r="L72" s="671"/>
      <c r="N72" s="169"/>
      <c r="O72" s="169"/>
      <c r="P72" s="169"/>
      <c r="Q72" s="169"/>
      <c r="R72" s="406"/>
      <c r="S72" s="80"/>
      <c r="T72" s="169"/>
      <c r="U72" s="169"/>
      <c r="V72" s="169"/>
      <c r="W72" s="169"/>
      <c r="X72" s="407"/>
      <c r="Y72" s="169"/>
      <c r="Z72" s="169"/>
      <c r="AA72" s="169"/>
      <c r="AC72" s="169"/>
      <c r="AD72" s="169"/>
      <c r="AE72" s="169"/>
      <c r="AF72" s="169"/>
      <c r="AG72" s="169"/>
      <c r="AH72" s="1"/>
      <c r="AI72" s="169"/>
      <c r="AJ72" s="169"/>
      <c r="AK72" s="169"/>
      <c r="AL72" s="169"/>
      <c r="AM72" s="671"/>
      <c r="AN72" s="406"/>
      <c r="AU72" s="80"/>
    </row>
    <row r="74" spans="1:70">
      <c r="A74" s="13"/>
      <c r="B74" s="13"/>
      <c r="C74" s="13"/>
      <c r="D74" s="13"/>
      <c r="E74" s="13"/>
      <c r="G74" s="169"/>
      <c r="H74" s="169"/>
      <c r="I74" s="169"/>
      <c r="J74" s="169"/>
      <c r="K74" s="406"/>
      <c r="L74" s="671"/>
      <c r="N74" s="169"/>
      <c r="O74" s="169"/>
      <c r="P74" s="169"/>
      <c r="Q74" s="169"/>
      <c r="R74" s="406"/>
      <c r="S74" s="80"/>
      <c r="T74" s="169"/>
      <c r="U74" s="169"/>
      <c r="V74" s="169"/>
      <c r="W74" s="169"/>
      <c r="X74" s="407"/>
      <c r="Y74" s="169"/>
      <c r="Z74" s="169"/>
      <c r="AA74" s="169"/>
      <c r="AC74" s="169"/>
      <c r="AD74" s="169"/>
      <c r="AE74" s="169"/>
      <c r="AF74" s="169"/>
      <c r="AG74" s="169"/>
      <c r="AH74" s="1"/>
      <c r="AI74" s="169"/>
      <c r="AJ74" s="169"/>
      <c r="AK74" s="169"/>
      <c r="AL74" s="169"/>
      <c r="AM74" s="671"/>
      <c r="AN74" s="406"/>
      <c r="AU74" s="80"/>
    </row>
    <row r="75" spans="1:70" s="1185" customFormat="1" ht="60">
      <c r="A75" s="1182" t="s">
        <v>614</v>
      </c>
      <c r="B75" s="1183"/>
      <c r="C75" s="1183"/>
      <c r="D75" s="1184"/>
      <c r="E75" s="1183"/>
      <c r="G75" s="1186">
        <f>G44-G50</f>
        <v>12237848.140396751</v>
      </c>
      <c r="H75" s="1186">
        <f>H44-H50</f>
        <v>5540848.9624896571</v>
      </c>
      <c r="I75" s="1186">
        <f>I44-I50</f>
        <v>292420.86746521073</v>
      </c>
      <c r="J75" s="1186">
        <f>J44-J50</f>
        <v>595285.33733989275</v>
      </c>
      <c r="K75" s="1187">
        <f t="shared" si="124"/>
        <v>18666403.307691511</v>
      </c>
      <c r="L75" s="1188"/>
      <c r="M75" s="1188"/>
      <c r="N75" s="1186">
        <f>N44-N50</f>
        <v>52537617.583324507</v>
      </c>
      <c r="O75" s="1186">
        <f>O44-O50</f>
        <v>22583489.63655803</v>
      </c>
      <c r="P75" s="1186">
        <f>P44-P50</f>
        <v>1225945.5043617086</v>
      </c>
      <c r="Q75" s="1186">
        <f>Q44-Q50</f>
        <v>2495674.7767363349</v>
      </c>
      <c r="R75" s="1187">
        <f t="shared" ref="R75" si="179">SUM(N75:Q75)</f>
        <v>78842727.500980571</v>
      </c>
      <c r="S75" s="1188"/>
      <c r="T75" s="1186">
        <f>T44-T50</f>
        <v>12763302.359745238</v>
      </c>
      <c r="U75" s="1186">
        <f>U44-U50</f>
        <v>5442420.4824364334</v>
      </c>
      <c r="V75" s="1186">
        <f>V44-V50</f>
        <v>296752.64472390735</v>
      </c>
      <c r="W75" s="1186">
        <f>W44-W50</f>
        <v>604103.59818795417</v>
      </c>
      <c r="X75" s="1187">
        <f t="shared" ref="X75" si="180">SUM(T75:W75)</f>
        <v>19106579.085093532</v>
      </c>
      <c r="Y75" s="1189"/>
      <c r="Z75" s="1189"/>
      <c r="AA75" s="1189"/>
      <c r="AB75" s="1188"/>
      <c r="AC75" s="1186">
        <f>AC44-AC50</f>
        <v>11056397.330705008</v>
      </c>
      <c r="AD75" s="1186">
        <f>AD44-AD50</f>
        <v>4299123.597491446</v>
      </c>
      <c r="AE75" s="1186">
        <f>AE44-AE50</f>
        <v>246907.93641820707</v>
      </c>
      <c r="AF75" s="1186">
        <f>AF44-AF50</f>
        <v>502634.01342277875</v>
      </c>
      <c r="AG75" s="1190">
        <f t="shared" si="89"/>
        <v>16105062.878037438</v>
      </c>
      <c r="AH75" s="1191"/>
      <c r="AI75" s="1186">
        <f>AI44-AI50</f>
        <v>7499950.9872896951</v>
      </c>
      <c r="AJ75" s="1186">
        <f>AJ44-AJ50</f>
        <v>5081638.7628738917</v>
      </c>
      <c r="AK75" s="1186">
        <f>AK44-AK50</f>
        <v>220433.20447547245</v>
      </c>
      <c r="AL75" s="1186">
        <f>AL44-AL50</f>
        <v>448739.02339649753</v>
      </c>
      <c r="AM75" s="1192">
        <f t="shared" ref="AM75" si="181">SUM(AI75:AL75)</f>
        <v>13250761.978035556</v>
      </c>
      <c r="AN75" s="1187">
        <f>AM75+AG75</f>
        <v>29355824.856072992</v>
      </c>
      <c r="AO75" s="1188"/>
      <c r="AP75" s="1188"/>
      <c r="AQ75" s="1188"/>
      <c r="AR75" s="1188"/>
      <c r="AS75" s="1188"/>
      <c r="AT75" s="1188"/>
      <c r="AU75" s="1188"/>
      <c r="AV75" s="1188"/>
      <c r="AW75" s="1188"/>
      <c r="AX75" s="1188"/>
      <c r="AY75" s="1188"/>
      <c r="AZ75" s="1188"/>
      <c r="BG75" s="1188"/>
      <c r="BH75" s="1188"/>
      <c r="BI75" s="1188"/>
      <c r="BJ75" s="1188"/>
      <c r="BK75" s="1188"/>
      <c r="BL75" s="1188"/>
      <c r="BM75" s="1188"/>
      <c r="BN75" s="1188"/>
      <c r="BO75" s="1188"/>
      <c r="BP75" s="1188"/>
      <c r="BQ75" s="1188"/>
      <c r="BR75" s="1188"/>
    </row>
    <row r="76" spans="1:70">
      <c r="G76" s="139"/>
      <c r="R76" s="1385">
        <f>R75/K75</f>
        <v>4.2237771359249132</v>
      </c>
      <c r="AN76" s="406"/>
    </row>
    <row r="77" spans="1:70" s="679" customFormat="1" ht="60">
      <c r="A77" s="568" t="s">
        <v>613</v>
      </c>
      <c r="B77" s="932"/>
      <c r="C77" s="932"/>
      <c r="D77" s="1065"/>
      <c r="E77" s="932"/>
      <c r="G77" s="492">
        <f>G19*G142</f>
        <v>0</v>
      </c>
      <c r="H77" s="492">
        <f>H19*H142</f>
        <v>0</v>
      </c>
      <c r="I77" s="492">
        <f>I6*I142</f>
        <v>5200000.0000000093</v>
      </c>
      <c r="J77" s="492">
        <f>J6*J142</f>
        <v>49320000</v>
      </c>
      <c r="K77" s="674">
        <f>SUM(G77:J77)</f>
        <v>54520000.000000007</v>
      </c>
      <c r="L77" s="677"/>
      <c r="M77" s="493"/>
      <c r="N77" s="492">
        <f>N21*N143</f>
        <v>31734787.267364468</v>
      </c>
      <c r="O77" s="492">
        <f>O21*O143</f>
        <v>13256303.542063639</v>
      </c>
      <c r="P77" s="492">
        <f>P6*P142</f>
        <v>6240000.0000000112</v>
      </c>
      <c r="Q77" s="492">
        <f>Q6*Q142</f>
        <v>59184000</v>
      </c>
      <c r="R77" s="674">
        <f>SUM(N77:Q77)</f>
        <v>110415090.80942813</v>
      </c>
      <c r="S77" s="494"/>
      <c r="T77" s="492">
        <f>T21*T143</f>
        <v>5522225.9925347818</v>
      </c>
      <c r="U77" s="492">
        <f>U21*U143</f>
        <v>2306752.6297930097</v>
      </c>
      <c r="V77" s="492">
        <f>V6*V142</f>
        <v>6240000.0000000112</v>
      </c>
      <c r="W77" s="492">
        <f>W6*W142</f>
        <v>59184000</v>
      </c>
      <c r="X77" s="674">
        <f>SUM(T77:W77)</f>
        <v>73252978.622327805</v>
      </c>
      <c r="Y77" s="677"/>
      <c r="Z77" s="677"/>
      <c r="AA77" s="677"/>
      <c r="AB77" s="493"/>
      <c r="AC77" s="492">
        <f>AC21*AC143</f>
        <v>4898646.0784317264</v>
      </c>
      <c r="AD77" s="492">
        <f>AD21*AD143</f>
        <v>1904769.1867095632</v>
      </c>
      <c r="AE77" s="492">
        <f>AE6*AE142</f>
        <v>5365665.4744956521</v>
      </c>
      <c r="AF77" s="492">
        <f>AF6*AF142</f>
        <v>50891273.308100976</v>
      </c>
      <c r="AG77" s="677">
        <f>SUM(AC77:AF77)</f>
        <v>63060354.047737919</v>
      </c>
      <c r="AH77" s="691"/>
      <c r="AI77" s="492">
        <f>AI21*AI143</f>
        <v>3583550.5365071753</v>
      </c>
      <c r="AJ77" s="492">
        <f>AJ21*AJ143</f>
        <v>2310093.6232057959</v>
      </c>
      <c r="AK77" s="492">
        <f>AK6*AK142</f>
        <v>874334.52550435893</v>
      </c>
      <c r="AL77" s="492">
        <f>AL6*AL142</f>
        <v>8292726.6918990249</v>
      </c>
      <c r="AM77" s="689">
        <f>SUM(AI77:AL77)</f>
        <v>15060705.377116356</v>
      </c>
      <c r="AN77" s="674">
        <f>AM77+AG77</f>
        <v>78121059.424854279</v>
      </c>
      <c r="AO77" s="493"/>
      <c r="AP77" s="493"/>
      <c r="AQ77" s="493"/>
      <c r="AR77" s="493"/>
      <c r="AS77" s="493"/>
      <c r="AT77" s="493"/>
      <c r="AU77" s="494"/>
      <c r="AV77" s="493"/>
      <c r="AW77" s="493"/>
      <c r="AX77" s="493"/>
      <c r="AY77" s="493"/>
      <c r="AZ77" s="493"/>
      <c r="BG77" s="493"/>
      <c r="BH77" s="493"/>
      <c r="BI77" s="493"/>
      <c r="BJ77" s="493"/>
      <c r="BK77" s="493"/>
      <c r="BL77" s="493"/>
      <c r="BM77" s="493"/>
      <c r="BN77" s="493"/>
      <c r="BO77" s="493"/>
      <c r="BP77" s="493"/>
      <c r="BQ77" s="493"/>
      <c r="BR77" s="493"/>
    </row>
    <row r="78" spans="1:70">
      <c r="G78" s="139"/>
      <c r="AN78" s="406"/>
    </row>
    <row r="79" spans="1:70" s="727" customFormat="1" ht="21" thickBot="1">
      <c r="A79" s="569" t="s">
        <v>612</v>
      </c>
      <c r="B79" s="933"/>
      <c r="C79" s="933"/>
      <c r="D79" s="1067"/>
      <c r="E79" s="933"/>
      <c r="G79" s="571">
        <f>G75+G77</f>
        <v>12237848.140396751</v>
      </c>
      <c r="H79" s="571">
        <f>H75+H77</f>
        <v>5540848.9624896571</v>
      </c>
      <c r="I79" s="571">
        <f>I75+I77</f>
        <v>5492420.8674652204</v>
      </c>
      <c r="J79" s="571">
        <f>J75+J77</f>
        <v>49915285.337339893</v>
      </c>
      <c r="K79" s="874">
        <f>SUM(G79:J79)</f>
        <v>73186403.307691514</v>
      </c>
      <c r="L79" s="574"/>
      <c r="M79" s="574"/>
      <c r="N79" s="571">
        <f>N75+N77</f>
        <v>84272404.850688979</v>
      </c>
      <c r="O79" s="571">
        <f>O75+O77</f>
        <v>35839793.178621665</v>
      </c>
      <c r="P79" s="571">
        <f>P75+P77</f>
        <v>7465945.5043617198</v>
      </c>
      <c r="Q79" s="571">
        <f>Q75+Q77</f>
        <v>61679674.776736334</v>
      </c>
      <c r="R79" s="874">
        <f>SUM(N79:Q79)</f>
        <v>189257818.31040871</v>
      </c>
      <c r="S79" s="575"/>
      <c r="T79" s="571">
        <f>T75+T77</f>
        <v>18285528.352280021</v>
      </c>
      <c r="U79" s="571">
        <f>U75+U77</f>
        <v>7749173.1122294432</v>
      </c>
      <c r="V79" s="571">
        <f>V75+V77</f>
        <v>6536752.6447239183</v>
      </c>
      <c r="W79" s="571">
        <f>W75+W77</f>
        <v>59788103.598187953</v>
      </c>
      <c r="X79" s="874">
        <f>SUM(T79:W79)</f>
        <v>92359557.707421333</v>
      </c>
      <c r="Y79" s="872"/>
      <c r="Z79" s="872"/>
      <c r="AA79" s="872"/>
      <c r="AB79" s="574"/>
      <c r="AC79" s="571">
        <f>AC75+AC77</f>
        <v>15955043.409136735</v>
      </c>
      <c r="AD79" s="571">
        <f>AD75+AD77</f>
        <v>6203892.7842010092</v>
      </c>
      <c r="AE79" s="571">
        <f>AE75+AE77</f>
        <v>5612573.4109138595</v>
      </c>
      <c r="AF79" s="571">
        <f>AF75+AF77</f>
        <v>51393907.321523756</v>
      </c>
      <c r="AG79" s="869">
        <f>SUM(AC79:AF79)</f>
        <v>79165416.925775364</v>
      </c>
      <c r="AH79" s="692"/>
      <c r="AI79" s="571">
        <f>AI75+AI77</f>
        <v>11083501.523796871</v>
      </c>
      <c r="AJ79" s="571">
        <f>AJ75+AJ77</f>
        <v>7391732.3860796876</v>
      </c>
      <c r="AK79" s="571">
        <f>AK75+AK77</f>
        <v>1094767.7299798313</v>
      </c>
      <c r="AL79" s="571">
        <f>AL75+AL77</f>
        <v>8741465.7152955215</v>
      </c>
      <c r="AM79" s="870">
        <f>SUM(AI79:AL79)</f>
        <v>28311467.355151914</v>
      </c>
      <c r="AN79" s="874">
        <f>AM79+AG79</f>
        <v>107476884.28092727</v>
      </c>
      <c r="AO79" s="574"/>
      <c r="AP79" s="574"/>
      <c r="AQ79" s="574"/>
      <c r="AR79" s="574"/>
      <c r="AS79" s="574"/>
      <c r="AT79" s="574"/>
      <c r="AU79" s="575"/>
      <c r="AV79" s="574"/>
      <c r="AW79" s="574"/>
      <c r="AX79" s="574"/>
      <c r="AY79" s="574"/>
      <c r="AZ79" s="574"/>
      <c r="BG79" s="574"/>
      <c r="BH79" s="574"/>
      <c r="BI79" s="574"/>
      <c r="BJ79" s="574"/>
      <c r="BK79" s="574"/>
      <c r="BL79" s="574"/>
      <c r="BM79" s="574"/>
      <c r="BN79" s="574"/>
      <c r="BO79" s="574"/>
      <c r="BP79" s="574"/>
      <c r="BQ79" s="574"/>
      <c r="BR79" s="574"/>
    </row>
    <row r="80" spans="1:70">
      <c r="R80" s="1385">
        <f>R79/K79</f>
        <v>2.5859696577071536</v>
      </c>
    </row>
    <row r="81" spans="1:70">
      <c r="A81" s="1432"/>
      <c r="K81" s="1431"/>
      <c r="R81" s="1152">
        <f>R79-K79</f>
        <v>116071415.0027172</v>
      </c>
    </row>
    <row r="82" spans="1:70">
      <c r="A82" s="1344" t="s">
        <v>1155</v>
      </c>
      <c r="B82" s="423"/>
      <c r="C82" s="423"/>
      <c r="D82" s="423"/>
      <c r="E82" s="423"/>
      <c r="F82" s="423"/>
      <c r="G82" s="423"/>
      <c r="H82" s="423"/>
      <c r="I82" s="423"/>
      <c r="J82" s="423"/>
      <c r="K82" s="504"/>
      <c r="L82" s="423"/>
      <c r="M82" s="423"/>
      <c r="N82" s="423"/>
      <c r="O82" s="423"/>
      <c r="P82" s="423"/>
      <c r="Q82" s="423"/>
      <c r="R82" s="423"/>
      <c r="S82" s="939"/>
    </row>
    <row r="83" spans="1:70" outlineLevel="1">
      <c r="K83" s="407"/>
      <c r="L83" s="169"/>
      <c r="R83" s="1246"/>
      <c r="S83" s="939"/>
    </row>
    <row r="84" spans="1:70" s="425" customFormat="1" ht="20" outlineLevel="1">
      <c r="A84" s="558" t="s">
        <v>295</v>
      </c>
      <c r="B84" s="355"/>
      <c r="C84" s="355"/>
      <c r="D84" s="1068"/>
      <c r="E84" s="355"/>
      <c r="F84" s="452"/>
      <c r="G84" s="355"/>
      <c r="H84" s="355"/>
      <c r="I84" s="355"/>
      <c r="J84" s="355"/>
      <c r="K84" s="498"/>
      <c r="L84" s="355"/>
      <c r="M84" s="43"/>
      <c r="N84" s="43"/>
      <c r="O84" s="43"/>
      <c r="P84" s="43"/>
      <c r="Q84" s="43"/>
      <c r="R84" s="503"/>
      <c r="S84" s="43"/>
      <c r="T84" s="43"/>
      <c r="U84" s="43"/>
      <c r="V84" s="43"/>
      <c r="W84" s="43"/>
      <c r="X84" s="503"/>
      <c r="Y84" s="43"/>
      <c r="Z84" s="43"/>
      <c r="AA84" s="43"/>
      <c r="AB84" s="355"/>
      <c r="AC84" s="355"/>
      <c r="AD84" s="355"/>
      <c r="AE84" s="355"/>
      <c r="AF84" s="355"/>
      <c r="AG84" s="355"/>
      <c r="AH84" s="820"/>
      <c r="AI84" s="355"/>
      <c r="AJ84" s="355"/>
      <c r="AK84" s="355"/>
      <c r="AL84" s="355"/>
      <c r="AM84" s="821"/>
      <c r="AN84" s="498"/>
      <c r="AO84" s="355"/>
      <c r="AP84" s="355"/>
      <c r="AQ84" s="355"/>
      <c r="AR84" s="355"/>
      <c r="AS84" s="355"/>
      <c r="AT84" s="355"/>
      <c r="AU84" s="43"/>
      <c r="AV84" s="43"/>
      <c r="AW84" s="43"/>
      <c r="AX84" s="43"/>
      <c r="AY84" s="43"/>
      <c r="AZ84" s="43"/>
      <c r="BG84" s="43"/>
      <c r="BH84" s="43"/>
      <c r="BI84" s="43"/>
      <c r="BJ84" s="43"/>
      <c r="BK84" s="43"/>
      <c r="BL84" s="43"/>
      <c r="BM84" s="43"/>
      <c r="BN84" s="43"/>
      <c r="BO84" s="43"/>
      <c r="BP84" s="43"/>
      <c r="BQ84" s="43"/>
      <c r="BR84" s="43"/>
    </row>
    <row r="85" spans="1:70" s="418" customFormat="1" ht="20" outlineLevel="2">
      <c r="A85" s="1041" t="s">
        <v>332</v>
      </c>
      <c r="B85" s="417"/>
      <c r="C85" s="417"/>
      <c r="D85" s="1069"/>
      <c r="E85" s="417"/>
      <c r="G85" s="419"/>
      <c r="H85" s="420"/>
      <c r="I85" s="420"/>
      <c r="J85" s="420"/>
      <c r="K85" s="500"/>
      <c r="L85" s="420"/>
      <c r="M85" s="421"/>
      <c r="N85" s="421"/>
      <c r="O85" s="421"/>
      <c r="P85" s="421"/>
      <c r="Q85" s="421"/>
      <c r="R85" s="531"/>
      <c r="S85" s="421"/>
      <c r="T85" s="420"/>
      <c r="U85" s="420"/>
      <c r="V85" s="420"/>
      <c r="W85" s="420"/>
      <c r="X85" s="500"/>
      <c r="Y85" s="420"/>
      <c r="Z85" s="420"/>
      <c r="AA85" s="420"/>
      <c r="AB85" s="420"/>
      <c r="AC85" s="420"/>
      <c r="AD85" s="420"/>
      <c r="AE85" s="420"/>
      <c r="AF85" s="420"/>
      <c r="AG85" s="420"/>
      <c r="AH85" s="822"/>
      <c r="AI85" s="420"/>
      <c r="AJ85" s="420"/>
      <c r="AK85" s="420"/>
      <c r="AL85" s="420"/>
      <c r="AM85" s="823"/>
      <c r="AN85" s="500"/>
      <c r="AO85" s="417"/>
      <c r="AP85" s="417"/>
      <c r="AQ85" s="417"/>
      <c r="AR85" s="417"/>
      <c r="AS85" s="417"/>
      <c r="AT85" s="417"/>
      <c r="AU85" s="421"/>
      <c r="AV85" s="421"/>
      <c r="AW85" s="421"/>
      <c r="AX85" s="421"/>
      <c r="AY85" s="421"/>
      <c r="AZ85" s="421"/>
      <c r="BG85" s="421"/>
      <c r="BH85" s="421"/>
      <c r="BI85" s="421"/>
      <c r="BJ85" s="421"/>
      <c r="BK85" s="421"/>
      <c r="BL85" s="421"/>
      <c r="BM85" s="421"/>
      <c r="BN85" s="421"/>
      <c r="BO85" s="421"/>
      <c r="BP85" s="421"/>
      <c r="BQ85" s="421"/>
      <c r="BR85" s="421"/>
    </row>
    <row r="86" spans="1:70" s="801" customFormat="1" outlineLevel="2">
      <c r="A86" s="1042" t="s">
        <v>507</v>
      </c>
      <c r="B86" s="934"/>
      <c r="C86" s="934"/>
      <c r="D86" s="1070"/>
      <c r="E86" s="934"/>
      <c r="G86" s="802"/>
      <c r="H86" s="803"/>
      <c r="I86" s="803"/>
      <c r="J86" s="803"/>
      <c r="K86" s="804"/>
      <c r="L86" s="803"/>
      <c r="M86" s="806"/>
      <c r="N86" s="806"/>
      <c r="O86" s="806"/>
      <c r="P86" s="806"/>
      <c r="Q86" s="806"/>
      <c r="R86" s="807"/>
      <c r="S86" s="806"/>
      <c r="T86" s="803"/>
      <c r="U86" s="803"/>
      <c r="V86" s="803"/>
      <c r="W86" s="803"/>
      <c r="X86" s="804"/>
      <c r="Y86" s="803"/>
      <c r="Z86" s="803"/>
      <c r="AA86" s="803"/>
      <c r="AB86" s="803"/>
      <c r="AC86" s="803"/>
      <c r="AD86" s="803"/>
      <c r="AE86" s="803"/>
      <c r="AF86" s="803"/>
      <c r="AG86" s="803"/>
      <c r="AH86" s="824"/>
      <c r="AI86" s="803"/>
      <c r="AJ86" s="803"/>
      <c r="AK86" s="803"/>
      <c r="AL86" s="803"/>
      <c r="AM86" s="825"/>
      <c r="AN86" s="804"/>
      <c r="AO86" s="809"/>
      <c r="AP86" s="809"/>
      <c r="AQ86" s="809"/>
      <c r="AR86" s="809"/>
      <c r="AS86" s="809"/>
      <c r="AT86" s="809"/>
      <c r="AU86" s="806"/>
      <c r="AV86" s="806"/>
      <c r="AW86" s="806"/>
      <c r="AX86" s="806"/>
      <c r="AY86" s="806"/>
      <c r="AZ86" s="806"/>
      <c r="BG86" s="806"/>
      <c r="BH86" s="806"/>
      <c r="BI86" s="806"/>
      <c r="BJ86" s="806"/>
      <c r="BK86" s="806"/>
      <c r="BL86" s="806"/>
      <c r="BM86" s="806"/>
      <c r="BN86" s="806"/>
      <c r="BO86" s="806"/>
      <c r="BP86" s="806"/>
      <c r="BQ86" s="806"/>
      <c r="BR86" s="806"/>
    </row>
    <row r="87" spans="1:70" ht="40" outlineLevel="2">
      <c r="A87" s="161" t="s">
        <v>422</v>
      </c>
      <c r="B87" s="13"/>
      <c r="C87" s="13"/>
      <c r="D87" s="1066"/>
      <c r="E87" s="13"/>
      <c r="F87" s="61"/>
      <c r="G87" s="344" t="s">
        <v>403</v>
      </c>
      <c r="H87" s="13"/>
      <c r="I87" s="13"/>
      <c r="J87" s="13"/>
      <c r="K87" s="297"/>
      <c r="L87" s="13"/>
      <c r="N87" s="344" t="s">
        <v>403</v>
      </c>
      <c r="T87" s="344" t="s">
        <v>403</v>
      </c>
      <c r="AB87" s="13"/>
      <c r="AC87" s="13"/>
      <c r="AD87" s="13"/>
      <c r="AE87" s="13"/>
      <c r="AF87" s="13"/>
      <c r="AG87" s="13"/>
      <c r="AH87" s="826"/>
      <c r="AI87" s="13"/>
      <c r="AJ87" s="13"/>
      <c r="AK87" s="13"/>
      <c r="AL87" s="13"/>
      <c r="AM87" s="614"/>
      <c r="AN87" s="297"/>
      <c r="AO87" s="13"/>
      <c r="AP87" s="13"/>
      <c r="AQ87" s="13"/>
      <c r="AR87" s="13"/>
      <c r="AS87" s="13"/>
      <c r="AT87" s="13"/>
    </row>
    <row r="88" spans="1:70" outlineLevel="2">
      <c r="A88" s="1043" t="s">
        <v>327</v>
      </c>
      <c r="B88" s="2"/>
      <c r="C88" s="2"/>
      <c r="D88" s="1061"/>
      <c r="E88" s="2"/>
      <c r="F88" s="61"/>
      <c r="G88" s="764">
        <f>'База селлеров'!B38</f>
        <v>1.0916349572702888E-4</v>
      </c>
      <c r="H88" s="408">
        <f>'База селлеров'!C38</f>
        <v>1.7230576441102756E-3</v>
      </c>
      <c r="I88" s="408">
        <f>'База селлеров'!D38</f>
        <v>8.2468141254904686E-4</v>
      </c>
      <c r="J88" s="408">
        <f>'База селлеров'!E38</f>
        <v>8.2468141254904686E-4</v>
      </c>
      <c r="K88" s="468"/>
      <c r="L88" s="13"/>
      <c r="N88" s="408">
        <f t="shared" ref="N88:Q89" si="182">G88</f>
        <v>1.0916349572702888E-4</v>
      </c>
      <c r="O88" s="409">
        <f t="shared" si="182"/>
        <v>1.7230576441102756E-3</v>
      </c>
      <c r="P88" s="409">
        <f t="shared" si="182"/>
        <v>8.2468141254904686E-4</v>
      </c>
      <c r="Q88" s="410">
        <f t="shared" si="182"/>
        <v>8.2468141254904686E-4</v>
      </c>
      <c r="T88" s="408">
        <f t="shared" ref="T88:W92" si="183">N88</f>
        <v>1.0916349572702888E-4</v>
      </c>
      <c r="U88" s="409">
        <f t="shared" si="183"/>
        <v>1.7230576441102756E-3</v>
      </c>
      <c r="V88" s="409">
        <f t="shared" si="183"/>
        <v>8.2468141254904686E-4</v>
      </c>
      <c r="W88" s="410">
        <f t="shared" si="183"/>
        <v>8.2468141254904686E-4</v>
      </c>
      <c r="AB88" s="13"/>
      <c r="AC88" s="408">
        <v>0</v>
      </c>
      <c r="AD88" s="409">
        <v>0</v>
      </c>
      <c r="AE88" s="409">
        <v>0</v>
      </c>
      <c r="AF88" s="410">
        <v>0</v>
      </c>
      <c r="AG88" s="13"/>
      <c r="AH88" s="826"/>
      <c r="AI88" s="1160">
        <f>T88/(T88+T89+T90)</f>
        <v>9.6671730423974599E-4</v>
      </c>
      <c r="AJ88" s="1161">
        <f>U88/(U88+U89+U90)</f>
        <v>9.8876404494382016E-3</v>
      </c>
      <c r="AK88" s="1161">
        <f>V88/(V88+V89+V90)</f>
        <v>5.8856328604175697E-3</v>
      </c>
      <c r="AL88" s="1162">
        <f>W88/(W88+W89+W90)</f>
        <v>5.8856328604175697E-3</v>
      </c>
      <c r="AM88" s="614"/>
      <c r="AN88" s="297"/>
      <c r="AO88" s="13"/>
      <c r="AP88" s="13"/>
      <c r="AQ88" s="13"/>
      <c r="AR88" s="13"/>
      <c r="AS88" s="13"/>
      <c r="AT88" s="13"/>
    </row>
    <row r="89" spans="1:70" outlineLevel="2">
      <c r="A89" s="436" t="s">
        <v>429</v>
      </c>
      <c r="B89" s="2"/>
      <c r="C89" s="2"/>
      <c r="D89" s="1061"/>
      <c r="E89" s="2"/>
      <c r="G89" s="402">
        <f>'База селлеров'!B39</f>
        <v>7.5010916349572705E-3</v>
      </c>
      <c r="H89" s="362">
        <f>'База селлеров'!C39</f>
        <v>2.0520050125313282E-2</v>
      </c>
      <c r="I89" s="362">
        <f>'База селлеров'!D39</f>
        <v>1.3273030313552554E-2</v>
      </c>
      <c r="J89" s="362">
        <f>I89</f>
        <v>1.3273030313552554E-2</v>
      </c>
      <c r="K89" s="297"/>
      <c r="L89" s="13"/>
      <c r="N89" s="283">
        <f t="shared" si="182"/>
        <v>7.5010916349572705E-3</v>
      </c>
      <c r="O89" s="74">
        <f t="shared" si="182"/>
        <v>2.0520050125313282E-2</v>
      </c>
      <c r="P89" s="74">
        <f t="shared" si="182"/>
        <v>1.3273030313552554E-2</v>
      </c>
      <c r="Q89" s="289">
        <f t="shared" si="182"/>
        <v>1.3273030313552554E-2</v>
      </c>
      <c r="R89" s="532"/>
      <c r="S89" s="2"/>
      <c r="T89" s="283">
        <f t="shared" si="183"/>
        <v>7.5010916349572705E-3</v>
      </c>
      <c r="U89" s="74">
        <f t="shared" si="183"/>
        <v>2.0520050125313282E-2</v>
      </c>
      <c r="V89" s="74">
        <f t="shared" si="183"/>
        <v>1.3273030313552554E-2</v>
      </c>
      <c r="W89" s="289">
        <f t="shared" si="183"/>
        <v>1.3273030313552554E-2</v>
      </c>
      <c r="AC89" s="283">
        <v>0</v>
      </c>
      <c r="AD89" s="74">
        <v>0</v>
      </c>
      <c r="AE89" s="74">
        <v>0</v>
      </c>
      <c r="AF89" s="289">
        <v>0</v>
      </c>
      <c r="AI89" s="1163">
        <f>T89/(T88+T89+T90)</f>
        <v>6.6427289048473975E-2</v>
      </c>
      <c r="AJ89" s="1164">
        <f>U89/(U88+U89+U90)</f>
        <v>0.11775280898876403</v>
      </c>
      <c r="AK89" s="1164">
        <f>V89/(V88+V89+V90)</f>
        <v>9.4727712037668041E-2</v>
      </c>
      <c r="AL89" s="1165">
        <f>W89/(W88+W89+W90)</f>
        <v>9.4727712037668041E-2</v>
      </c>
      <c r="AO89" s="2"/>
      <c r="AP89" s="2"/>
      <c r="AQ89" s="2"/>
      <c r="AR89" s="2"/>
      <c r="AS89" s="2"/>
      <c r="AT89" s="2"/>
    </row>
    <row r="90" spans="1:70" outlineLevel="2">
      <c r="A90" s="436" t="s">
        <v>65</v>
      </c>
      <c r="B90" s="2"/>
      <c r="C90" s="2"/>
      <c r="D90" s="1061"/>
      <c r="E90" s="2"/>
      <c r="G90" s="402">
        <f>'База селлеров'!B40</f>
        <v>0.10531158380637515</v>
      </c>
      <c r="H90" s="362">
        <f>'База селлеров'!C40</f>
        <v>0.15202067669172933</v>
      </c>
      <c r="I90" s="362">
        <f>'База селлеров'!D40</f>
        <v>0.12602000069446856</v>
      </c>
      <c r="J90" s="362">
        <f>'База селлеров'!E40</f>
        <v>0.12602000069446856</v>
      </c>
      <c r="K90" s="297"/>
      <c r="L90" s="13"/>
      <c r="N90" s="283">
        <f t="shared" ref="N90:N92" si="184">G90</f>
        <v>0.10531158380637515</v>
      </c>
      <c r="O90" s="74">
        <f t="shared" ref="O90:Q92" si="185">H90</f>
        <v>0.15202067669172933</v>
      </c>
      <c r="P90" s="74">
        <f t="shared" si="185"/>
        <v>0.12602000069446856</v>
      </c>
      <c r="Q90" s="289">
        <f t="shared" si="185"/>
        <v>0.12602000069446856</v>
      </c>
      <c r="R90" s="532"/>
      <c r="S90" s="2"/>
      <c r="T90" s="283">
        <f t="shared" si="183"/>
        <v>0.10531158380637515</v>
      </c>
      <c r="U90" s="74">
        <f t="shared" si="183"/>
        <v>0.15202067669172933</v>
      </c>
      <c r="V90" s="74">
        <f t="shared" si="183"/>
        <v>0.12602000069446856</v>
      </c>
      <c r="W90" s="289">
        <f t="shared" si="183"/>
        <v>0.12602000069446856</v>
      </c>
      <c r="AC90" s="283">
        <v>0</v>
      </c>
      <c r="AD90" s="74">
        <v>0</v>
      </c>
      <c r="AE90" s="74">
        <v>0</v>
      </c>
      <c r="AF90" s="289">
        <v>0</v>
      </c>
      <c r="AI90" s="1163">
        <f>T90/(T88+T89+T90)</f>
        <v>0.93260599364728636</v>
      </c>
      <c r="AJ90" s="1164">
        <f>U90/(U88+U89+U90)</f>
        <v>0.8723595505617977</v>
      </c>
      <c r="AK90" s="1164">
        <f>V90/(V88+V89+V90)</f>
        <v>0.89938665510191429</v>
      </c>
      <c r="AL90" s="1165">
        <f>W90/(W88+W89+W90)</f>
        <v>0.89938665510191429</v>
      </c>
      <c r="AO90" s="2"/>
      <c r="AP90" s="2"/>
      <c r="AQ90" s="2"/>
      <c r="AR90" s="2"/>
      <c r="AS90" s="2"/>
      <c r="AT90" s="2"/>
    </row>
    <row r="91" spans="1:70" outlineLevel="2">
      <c r="A91" s="436" t="s">
        <v>66</v>
      </c>
      <c r="B91" s="2"/>
      <c r="C91" s="2"/>
      <c r="D91" s="1061"/>
      <c r="E91" s="2"/>
      <c r="G91" s="402">
        <f>'База селлеров'!B41</f>
        <v>0.88707816106294057</v>
      </c>
      <c r="H91" s="362">
        <f>'База селлеров'!C41</f>
        <v>0.82573621553884713</v>
      </c>
      <c r="I91" s="362">
        <f>'База селлеров'!D41</f>
        <v>0.85988228757942986</v>
      </c>
      <c r="J91" s="362">
        <f>'База селлеров'!E41</f>
        <v>0.85988228757942986</v>
      </c>
      <c r="K91" s="297"/>
      <c r="L91" s="13"/>
      <c r="N91" s="283">
        <f t="shared" si="184"/>
        <v>0.88707816106294057</v>
      </c>
      <c r="O91" s="74">
        <f t="shared" si="185"/>
        <v>0.82573621553884713</v>
      </c>
      <c r="P91" s="74">
        <f t="shared" si="185"/>
        <v>0.85988228757942986</v>
      </c>
      <c r="Q91" s="289">
        <f t="shared" si="185"/>
        <v>0.85988228757942986</v>
      </c>
      <c r="R91" s="532"/>
      <c r="S91" s="2"/>
      <c r="T91" s="283">
        <f t="shared" si="183"/>
        <v>0.88707816106294057</v>
      </c>
      <c r="U91" s="74">
        <f t="shared" si="183"/>
        <v>0.82573621553884713</v>
      </c>
      <c r="V91" s="74">
        <f t="shared" si="183"/>
        <v>0.85988228757942986</v>
      </c>
      <c r="W91" s="289">
        <f t="shared" si="183"/>
        <v>0.85988228757942986</v>
      </c>
      <c r="AC91" s="283">
        <v>1</v>
      </c>
      <c r="AD91" s="74">
        <v>1</v>
      </c>
      <c r="AE91" s="74">
        <v>1</v>
      </c>
      <c r="AF91" s="289">
        <v>1</v>
      </c>
      <c r="AI91" s="283">
        <v>0</v>
      </c>
      <c r="AJ91" s="74">
        <v>0</v>
      </c>
      <c r="AK91" s="74">
        <v>0</v>
      </c>
      <c r="AL91" s="289">
        <v>0</v>
      </c>
      <c r="AO91" s="2"/>
      <c r="AP91" s="2"/>
      <c r="AQ91" s="2"/>
      <c r="AR91" s="2"/>
      <c r="AS91" s="2"/>
      <c r="AT91" s="2"/>
    </row>
    <row r="92" spans="1:70" outlineLevel="2">
      <c r="A92" s="436" t="s">
        <v>328</v>
      </c>
      <c r="B92" s="2"/>
      <c r="C92" s="2"/>
      <c r="D92" s="1061"/>
      <c r="E92" s="2"/>
      <c r="G92" s="643">
        <v>0</v>
      </c>
      <c r="H92" s="644">
        <v>0</v>
      </c>
      <c r="I92" s="644">
        <v>0</v>
      </c>
      <c r="J92" s="644">
        <v>0</v>
      </c>
      <c r="K92" s="297"/>
      <c r="L92" s="13"/>
      <c r="N92" s="283">
        <f t="shared" si="184"/>
        <v>0</v>
      </c>
      <c r="O92" s="74">
        <f t="shared" si="185"/>
        <v>0</v>
      </c>
      <c r="P92" s="74">
        <f t="shared" si="185"/>
        <v>0</v>
      </c>
      <c r="Q92" s="289">
        <f t="shared" si="185"/>
        <v>0</v>
      </c>
      <c r="R92" s="532"/>
      <c r="S92" s="2"/>
      <c r="T92" s="283">
        <f t="shared" si="183"/>
        <v>0</v>
      </c>
      <c r="U92" s="74">
        <f t="shared" si="183"/>
        <v>0</v>
      </c>
      <c r="V92" s="74">
        <f t="shared" si="183"/>
        <v>0</v>
      </c>
      <c r="W92" s="289">
        <f t="shared" si="183"/>
        <v>0</v>
      </c>
      <c r="AC92" s="283">
        <v>0</v>
      </c>
      <c r="AD92" s="74">
        <v>0</v>
      </c>
      <c r="AE92" s="74">
        <v>0</v>
      </c>
      <c r="AF92" s="289">
        <v>0</v>
      </c>
      <c r="AI92" s="283">
        <f t="shared" ref="AI92" si="186">AC92</f>
        <v>0</v>
      </c>
      <c r="AJ92" s="74">
        <f>AD92</f>
        <v>0</v>
      </c>
      <c r="AK92" s="74">
        <f t="shared" ref="AK92:AL92" si="187">AE92</f>
        <v>0</v>
      </c>
      <c r="AL92" s="289">
        <f t="shared" si="187"/>
        <v>0</v>
      </c>
      <c r="AO92" s="2"/>
      <c r="AP92" s="2"/>
      <c r="AQ92" s="2"/>
      <c r="AR92" s="2"/>
      <c r="AS92" s="2"/>
      <c r="AT92" s="2"/>
    </row>
    <row r="93" spans="1:70" outlineLevel="2">
      <c r="A93" s="1044"/>
      <c r="B93" s="2"/>
      <c r="C93" s="2"/>
      <c r="D93" s="1061"/>
      <c r="E93" s="2"/>
      <c r="G93" s="403"/>
      <c r="H93" s="404"/>
      <c r="I93" s="424"/>
      <c r="J93" s="404"/>
      <c r="K93" s="501"/>
      <c r="L93" s="362"/>
      <c r="N93" s="286"/>
      <c r="O93" s="287"/>
      <c r="P93" s="287"/>
      <c r="Q93" s="288"/>
      <c r="S93" s="2"/>
      <c r="T93" s="286"/>
      <c r="U93" s="287"/>
      <c r="V93" s="287"/>
      <c r="W93" s="288"/>
      <c r="AC93" s="286"/>
      <c r="AD93" s="287"/>
      <c r="AE93" s="287"/>
      <c r="AF93" s="288"/>
      <c r="AI93" s="286"/>
      <c r="AJ93" s="287"/>
      <c r="AK93" s="287"/>
      <c r="AL93" s="288"/>
      <c r="AO93" s="2"/>
      <c r="AP93" s="2"/>
      <c r="AQ93" s="2"/>
      <c r="AR93" s="2"/>
      <c r="AS93" s="2"/>
      <c r="AT93" s="2"/>
    </row>
    <row r="94" spans="1:70" outlineLevel="2">
      <c r="A94" s="161"/>
      <c r="B94" s="13"/>
      <c r="C94" s="13"/>
      <c r="D94" s="1066"/>
      <c r="E94" s="13"/>
      <c r="G94" s="400"/>
      <c r="H94" s="154"/>
      <c r="I94" s="401"/>
      <c r="J94" s="154"/>
      <c r="K94" s="299"/>
      <c r="L94" s="154"/>
      <c r="T94" s="154"/>
      <c r="U94" s="154"/>
      <c r="V94" s="154"/>
      <c r="W94" s="154"/>
      <c r="X94" s="299"/>
      <c r="Y94" s="154"/>
      <c r="Z94" s="154"/>
      <c r="AA94" s="154"/>
      <c r="AB94" s="154"/>
      <c r="AC94" s="154"/>
      <c r="AD94" s="154"/>
      <c r="AE94" s="154"/>
      <c r="AF94" s="154"/>
      <c r="AG94" s="154"/>
      <c r="AH94" s="615"/>
      <c r="AI94" s="154"/>
      <c r="AJ94" s="154"/>
      <c r="AK94" s="154"/>
      <c r="AL94" s="154"/>
      <c r="AM94" s="684"/>
      <c r="AN94" s="299"/>
      <c r="AO94" s="13"/>
      <c r="AP94" s="13"/>
      <c r="AQ94" s="13"/>
      <c r="AR94" s="13"/>
      <c r="AS94" s="13"/>
      <c r="AT94" s="13"/>
    </row>
    <row r="95" spans="1:70" outlineLevel="2">
      <c r="A95" s="161"/>
      <c r="B95" s="13"/>
      <c r="C95" s="13"/>
      <c r="D95" s="1066"/>
      <c r="E95" s="13"/>
      <c r="G95" s="400"/>
      <c r="H95" s="154"/>
      <c r="I95" s="154"/>
      <c r="J95" s="154"/>
      <c r="K95" s="299"/>
      <c r="L95" s="154"/>
      <c r="T95" s="154"/>
      <c r="U95" s="154"/>
      <c r="V95" s="154"/>
      <c r="W95" s="154"/>
      <c r="X95" s="299"/>
      <c r="Y95" s="154"/>
      <c r="Z95" s="154"/>
      <c r="AA95" s="154"/>
      <c r="AB95" s="154"/>
      <c r="AC95" s="154"/>
      <c r="AD95" s="154"/>
      <c r="AE95" s="154"/>
      <c r="AF95" s="154"/>
      <c r="AG95" s="154"/>
      <c r="AH95" s="615"/>
      <c r="AI95" s="154"/>
      <c r="AJ95" s="154"/>
      <c r="AK95" s="154"/>
      <c r="AL95" s="154"/>
      <c r="AM95" s="684"/>
      <c r="AN95" s="299"/>
      <c r="AO95" s="13"/>
      <c r="AP95" s="13"/>
      <c r="AQ95" s="13"/>
      <c r="AR95" s="13"/>
      <c r="AS95" s="13"/>
      <c r="AT95" s="13"/>
    </row>
    <row r="96" spans="1:70" s="425" customFormat="1" ht="80" outlineLevel="2">
      <c r="A96" s="382" t="s">
        <v>348</v>
      </c>
      <c r="B96" s="452"/>
      <c r="C96" s="452"/>
      <c r="D96" s="1071"/>
      <c r="E96" s="452"/>
      <c r="F96" s="356"/>
      <c r="G96" s="399" t="s">
        <v>404</v>
      </c>
      <c r="H96" s="43"/>
      <c r="I96" s="43"/>
      <c r="J96" s="43"/>
      <c r="K96" s="503"/>
      <c r="L96" s="43"/>
      <c r="M96" s="71" t="s">
        <v>363</v>
      </c>
      <c r="N96" s="399" t="s">
        <v>334</v>
      </c>
      <c r="O96" s="43"/>
      <c r="P96" s="43"/>
      <c r="Q96" s="43"/>
      <c r="R96" s="503"/>
      <c r="S96" s="43"/>
      <c r="T96" s="399" t="s">
        <v>334</v>
      </c>
      <c r="U96" s="43"/>
      <c r="V96" s="43"/>
      <c r="W96" s="43"/>
      <c r="X96" s="503"/>
      <c r="Y96" s="43"/>
      <c r="Z96" s="43"/>
      <c r="AA96" s="43"/>
      <c r="AB96" s="43"/>
      <c r="AC96" s="43"/>
      <c r="AD96" s="43"/>
      <c r="AE96" s="43"/>
      <c r="AF96" s="43"/>
      <c r="AG96" s="43"/>
      <c r="AH96" s="827"/>
      <c r="AI96" s="43"/>
      <c r="AJ96" s="43"/>
      <c r="AK96" s="43"/>
      <c r="AL96" s="43"/>
      <c r="AM96" s="828"/>
      <c r="AN96" s="503"/>
      <c r="AO96" s="43"/>
      <c r="AP96" s="43"/>
      <c r="AQ96" s="43"/>
      <c r="AR96" s="43"/>
      <c r="AS96" s="43"/>
      <c r="AT96" s="43"/>
      <c r="AU96" s="43"/>
      <c r="AV96" s="43"/>
      <c r="AW96" s="43"/>
      <c r="AX96" s="43"/>
      <c r="AY96" s="43"/>
      <c r="AZ96" s="43"/>
      <c r="BG96" s="43"/>
      <c r="BH96" s="43"/>
      <c r="BI96" s="43"/>
      <c r="BJ96" s="43"/>
      <c r="BK96" s="43"/>
      <c r="BL96" s="43"/>
      <c r="BM96" s="43"/>
      <c r="BN96" s="43"/>
      <c r="BO96" s="43"/>
      <c r="BP96" s="43"/>
      <c r="BQ96" s="43"/>
      <c r="BR96" s="43"/>
    </row>
    <row r="97" spans="1:70" outlineLevel="2">
      <c r="A97" s="436" t="s">
        <v>64</v>
      </c>
      <c r="B97" s="2"/>
      <c r="C97" s="2"/>
      <c r="D97" s="1061"/>
      <c r="E97" s="2"/>
      <c r="G97" s="423"/>
      <c r="K97" s="504"/>
      <c r="L97" s="423"/>
      <c r="T97" s="423"/>
    </row>
    <row r="98" spans="1:70" outlineLevel="2">
      <c r="A98" s="1043" t="s">
        <v>327</v>
      </c>
      <c r="B98" s="2"/>
      <c r="C98" s="2"/>
      <c r="D98" s="1061"/>
      <c r="E98" s="2"/>
      <c r="G98" s="367">
        <f t="shared" ref="G98:J103" si="188">G107/2</f>
        <v>55362.5</v>
      </c>
      <c r="H98" s="368">
        <f t="shared" si="188"/>
        <v>55362.5</v>
      </c>
      <c r="I98" s="368">
        <f t="shared" si="188"/>
        <v>55362.5</v>
      </c>
      <c r="J98" s="369">
        <f t="shared" si="188"/>
        <v>55362.5</v>
      </c>
      <c r="K98" s="504"/>
      <c r="L98" s="423"/>
      <c r="M98" s="423"/>
      <c r="N98" s="367">
        <f>N115/2*N123</f>
        <v>59174.344262295082</v>
      </c>
      <c r="O98" s="368">
        <f>N98</f>
        <v>59174.344262295082</v>
      </c>
      <c r="P98" s="368">
        <f>O98</f>
        <v>59174.344262295082</v>
      </c>
      <c r="Q98" s="369">
        <f>P98</f>
        <v>59174.344262295082</v>
      </c>
      <c r="T98" s="413">
        <f t="shared" ref="T98:T103" si="189">N98</f>
        <v>59174.344262295082</v>
      </c>
      <c r="U98" s="368">
        <f>T98</f>
        <v>59174.344262295082</v>
      </c>
      <c r="V98" s="368">
        <f t="shared" ref="V98:W98" si="190">U98</f>
        <v>59174.344262295082</v>
      </c>
      <c r="W98" s="369">
        <f t="shared" si="190"/>
        <v>59174.344262295082</v>
      </c>
      <c r="AC98" s="413">
        <f>T98</f>
        <v>59174.344262295082</v>
      </c>
      <c r="AD98" s="368">
        <f>AC98</f>
        <v>59174.344262295082</v>
      </c>
      <c r="AE98" s="368">
        <f t="shared" ref="AE98:AF103" si="191">AD98</f>
        <v>59174.344262295082</v>
      </c>
      <c r="AF98" s="369">
        <f t="shared" si="191"/>
        <v>59174.344262295082</v>
      </c>
      <c r="AI98" s="413">
        <f>AC98</f>
        <v>59174.344262295082</v>
      </c>
      <c r="AJ98" s="368">
        <f>AI98</f>
        <v>59174.344262295082</v>
      </c>
      <c r="AK98" s="368">
        <f t="shared" ref="AK98:AL103" si="192">AJ98</f>
        <v>59174.344262295082</v>
      </c>
      <c r="AL98" s="369">
        <f t="shared" si="192"/>
        <v>59174.344262295082</v>
      </c>
    </row>
    <row r="99" spans="1:70" outlineLevel="2">
      <c r="A99" s="436" t="s">
        <v>62</v>
      </c>
      <c r="B99" s="2"/>
      <c r="C99" s="2"/>
      <c r="D99" s="1061"/>
      <c r="E99" s="2"/>
      <c r="G99" s="370">
        <f t="shared" si="188"/>
        <v>35026.5</v>
      </c>
      <c r="H99" s="169">
        <f t="shared" si="188"/>
        <v>35026.5</v>
      </c>
      <c r="I99" s="169">
        <f t="shared" si="188"/>
        <v>35026.5</v>
      </c>
      <c r="J99" s="371">
        <f t="shared" si="188"/>
        <v>35026.5</v>
      </c>
      <c r="K99" s="504"/>
      <c r="L99" s="423"/>
      <c r="M99" s="423"/>
      <c r="N99" s="370">
        <f t="shared" ref="N99:N103" si="193">N116/2*N124</f>
        <v>38183.394849785407</v>
      </c>
      <c r="O99" s="169">
        <f t="shared" ref="O99:Q103" si="194">N99</f>
        <v>38183.394849785407</v>
      </c>
      <c r="P99" s="169">
        <f t="shared" si="194"/>
        <v>38183.394849785407</v>
      </c>
      <c r="Q99" s="371">
        <f t="shared" si="194"/>
        <v>38183.394849785407</v>
      </c>
      <c r="T99" s="414">
        <f t="shared" si="189"/>
        <v>38183.394849785407</v>
      </c>
      <c r="U99" s="169">
        <f t="shared" ref="U99:W103" si="195">T99</f>
        <v>38183.394849785407</v>
      </c>
      <c r="V99" s="169">
        <f t="shared" si="195"/>
        <v>38183.394849785407</v>
      </c>
      <c r="W99" s="371">
        <f t="shared" si="195"/>
        <v>38183.394849785407</v>
      </c>
      <c r="AB99" s="154"/>
      <c r="AC99" s="414">
        <f t="shared" ref="AC99:AC103" si="196">T99</f>
        <v>38183.394849785407</v>
      </c>
      <c r="AD99" s="169">
        <f t="shared" ref="AD99:AD103" si="197">AC99</f>
        <v>38183.394849785407</v>
      </c>
      <c r="AE99" s="169">
        <f t="shared" si="191"/>
        <v>38183.394849785407</v>
      </c>
      <c r="AF99" s="371">
        <f t="shared" si="191"/>
        <v>38183.394849785407</v>
      </c>
      <c r="AG99" s="154"/>
      <c r="AH99" s="615"/>
      <c r="AI99" s="414">
        <f t="shared" ref="AI99:AI103" si="198">AC99</f>
        <v>38183.394849785407</v>
      </c>
      <c r="AJ99" s="169">
        <f t="shared" ref="AJ99:AJ103" si="199">AI99</f>
        <v>38183.394849785407</v>
      </c>
      <c r="AK99" s="169">
        <f t="shared" si="192"/>
        <v>38183.394849785407</v>
      </c>
      <c r="AL99" s="371">
        <f t="shared" si="192"/>
        <v>38183.394849785407</v>
      </c>
      <c r="AM99" s="684"/>
      <c r="AN99" s="299"/>
      <c r="AO99" s="2"/>
      <c r="AP99" s="2"/>
      <c r="AQ99" s="2"/>
      <c r="AR99" s="2"/>
      <c r="AS99" s="2"/>
      <c r="AT99" s="2"/>
    </row>
    <row r="100" spans="1:70" outlineLevel="2">
      <c r="A100" s="436" t="s">
        <v>65</v>
      </c>
      <c r="B100" s="2"/>
      <c r="C100" s="2"/>
      <c r="D100" s="1061"/>
      <c r="E100" s="2"/>
      <c r="G100" s="370">
        <f t="shared" si="188"/>
        <v>23721.5</v>
      </c>
      <c r="H100" s="169">
        <f t="shared" si="188"/>
        <v>23721.5</v>
      </c>
      <c r="I100" s="169">
        <f t="shared" si="188"/>
        <v>23721.5</v>
      </c>
      <c r="J100" s="371">
        <f t="shared" si="188"/>
        <v>23721.5</v>
      </c>
      <c r="K100" s="504"/>
      <c r="L100" s="423"/>
      <c r="M100" s="423"/>
      <c r="N100" s="370">
        <f t="shared" si="193"/>
        <v>26600.988439306362</v>
      </c>
      <c r="O100" s="169">
        <f t="shared" si="194"/>
        <v>26600.988439306362</v>
      </c>
      <c r="P100" s="169">
        <f t="shared" si="194"/>
        <v>26600.988439306362</v>
      </c>
      <c r="Q100" s="371">
        <f t="shared" si="194"/>
        <v>26600.988439306362</v>
      </c>
      <c r="T100" s="414">
        <f t="shared" si="189"/>
        <v>26600.988439306362</v>
      </c>
      <c r="U100" s="169">
        <f t="shared" si="195"/>
        <v>26600.988439306362</v>
      </c>
      <c r="V100" s="169">
        <f t="shared" si="195"/>
        <v>26600.988439306362</v>
      </c>
      <c r="W100" s="371">
        <f t="shared" si="195"/>
        <v>26600.988439306362</v>
      </c>
      <c r="AB100" s="154"/>
      <c r="AC100" s="414">
        <f t="shared" si="196"/>
        <v>26600.988439306362</v>
      </c>
      <c r="AD100" s="169">
        <f t="shared" si="197"/>
        <v>26600.988439306362</v>
      </c>
      <c r="AE100" s="169">
        <f t="shared" si="191"/>
        <v>26600.988439306362</v>
      </c>
      <c r="AF100" s="371">
        <f t="shared" si="191"/>
        <v>26600.988439306362</v>
      </c>
      <c r="AG100" s="154"/>
      <c r="AH100" s="615"/>
      <c r="AI100" s="414">
        <f t="shared" si="198"/>
        <v>26600.988439306362</v>
      </c>
      <c r="AJ100" s="169">
        <f t="shared" si="199"/>
        <v>26600.988439306362</v>
      </c>
      <c r="AK100" s="169">
        <f t="shared" si="192"/>
        <v>26600.988439306362</v>
      </c>
      <c r="AL100" s="371">
        <f t="shared" si="192"/>
        <v>26600.988439306362</v>
      </c>
      <c r="AM100" s="684"/>
      <c r="AN100" s="299"/>
      <c r="AO100" s="2"/>
      <c r="AP100" s="2"/>
      <c r="AQ100" s="2"/>
      <c r="AR100" s="2"/>
      <c r="AS100" s="2"/>
      <c r="AT100" s="2"/>
    </row>
    <row r="101" spans="1:70" outlineLevel="2">
      <c r="A101" s="436" t="s">
        <v>66</v>
      </c>
      <c r="B101" s="2"/>
      <c r="C101" s="2"/>
      <c r="D101" s="1061"/>
      <c r="E101" s="2"/>
      <c r="G101" s="370">
        <f t="shared" si="188"/>
        <v>20475.5</v>
      </c>
      <c r="H101" s="169">
        <f t="shared" si="188"/>
        <v>20475.5</v>
      </c>
      <c r="I101" s="169">
        <f t="shared" si="188"/>
        <v>20475.5</v>
      </c>
      <c r="J101" s="371">
        <f t="shared" si="188"/>
        <v>20475.5</v>
      </c>
      <c r="K101" s="504"/>
      <c r="L101" s="423"/>
      <c r="M101" s="423"/>
      <c r="N101" s="370">
        <f t="shared" si="193"/>
        <v>23361.308724832215</v>
      </c>
      <c r="O101" s="169">
        <f t="shared" si="194"/>
        <v>23361.308724832215</v>
      </c>
      <c r="P101" s="169">
        <f t="shared" si="194"/>
        <v>23361.308724832215</v>
      </c>
      <c r="Q101" s="371">
        <f t="shared" si="194"/>
        <v>23361.308724832215</v>
      </c>
      <c r="T101" s="414">
        <f t="shared" si="189"/>
        <v>23361.308724832215</v>
      </c>
      <c r="U101" s="169">
        <f t="shared" si="195"/>
        <v>23361.308724832215</v>
      </c>
      <c r="V101" s="169">
        <f t="shared" si="195"/>
        <v>23361.308724832215</v>
      </c>
      <c r="W101" s="371">
        <f t="shared" si="195"/>
        <v>23361.308724832215</v>
      </c>
      <c r="AB101" s="154"/>
      <c r="AC101" s="414">
        <f t="shared" si="196"/>
        <v>23361.308724832215</v>
      </c>
      <c r="AD101" s="169">
        <f t="shared" si="197"/>
        <v>23361.308724832215</v>
      </c>
      <c r="AE101" s="169">
        <f t="shared" si="191"/>
        <v>23361.308724832215</v>
      </c>
      <c r="AF101" s="371">
        <f t="shared" si="191"/>
        <v>23361.308724832215</v>
      </c>
      <c r="AG101" s="154"/>
      <c r="AH101" s="615"/>
      <c r="AI101" s="414">
        <f t="shared" si="198"/>
        <v>23361.308724832215</v>
      </c>
      <c r="AJ101" s="169">
        <f t="shared" si="199"/>
        <v>23361.308724832215</v>
      </c>
      <c r="AK101" s="169">
        <f t="shared" si="192"/>
        <v>23361.308724832215</v>
      </c>
      <c r="AL101" s="371">
        <f t="shared" si="192"/>
        <v>23361.308724832215</v>
      </c>
      <c r="AM101" s="684"/>
      <c r="AN101" s="299"/>
      <c r="AO101" s="2"/>
      <c r="AP101" s="2"/>
      <c r="AQ101" s="2"/>
      <c r="AR101" s="2"/>
      <c r="AS101" s="2"/>
      <c r="AT101" s="2"/>
    </row>
    <row r="102" spans="1:70" outlineLevel="2">
      <c r="A102" s="436" t="s">
        <v>328</v>
      </c>
      <c r="B102" s="2"/>
      <c r="C102" s="2"/>
      <c r="D102" s="1061"/>
      <c r="E102" s="2"/>
      <c r="G102" s="370">
        <f t="shared" si="188"/>
        <v>16914</v>
      </c>
      <c r="H102" s="169">
        <f t="shared" si="188"/>
        <v>16914</v>
      </c>
      <c r="I102" s="169">
        <f t="shared" si="188"/>
        <v>16914</v>
      </c>
      <c r="J102" s="371">
        <f t="shared" si="188"/>
        <v>16914</v>
      </c>
      <c r="K102" s="504"/>
      <c r="L102" s="423"/>
      <c r="M102" s="423"/>
      <c r="N102" s="370">
        <f t="shared" si="193"/>
        <v>19667.441860465118</v>
      </c>
      <c r="O102" s="169">
        <f t="shared" si="194"/>
        <v>19667.441860465118</v>
      </c>
      <c r="P102" s="169">
        <f t="shared" si="194"/>
        <v>19667.441860465118</v>
      </c>
      <c r="Q102" s="371">
        <f t="shared" si="194"/>
        <v>19667.441860465118</v>
      </c>
      <c r="T102" s="414">
        <f t="shared" si="189"/>
        <v>19667.441860465118</v>
      </c>
      <c r="U102" s="169">
        <f t="shared" si="195"/>
        <v>19667.441860465118</v>
      </c>
      <c r="V102" s="169">
        <f t="shared" si="195"/>
        <v>19667.441860465118</v>
      </c>
      <c r="W102" s="371">
        <f t="shared" si="195"/>
        <v>19667.441860465118</v>
      </c>
      <c r="AB102" s="154"/>
      <c r="AC102" s="414">
        <f t="shared" si="196"/>
        <v>19667.441860465118</v>
      </c>
      <c r="AD102" s="169">
        <f t="shared" si="197"/>
        <v>19667.441860465118</v>
      </c>
      <c r="AE102" s="169">
        <f t="shared" si="191"/>
        <v>19667.441860465118</v>
      </c>
      <c r="AF102" s="371">
        <f t="shared" si="191"/>
        <v>19667.441860465118</v>
      </c>
      <c r="AG102" s="154"/>
      <c r="AH102" s="615"/>
      <c r="AI102" s="414">
        <f t="shared" si="198"/>
        <v>19667.441860465118</v>
      </c>
      <c r="AJ102" s="169">
        <f t="shared" si="199"/>
        <v>19667.441860465118</v>
      </c>
      <c r="AK102" s="169">
        <f t="shared" si="192"/>
        <v>19667.441860465118</v>
      </c>
      <c r="AL102" s="371">
        <f t="shared" si="192"/>
        <v>19667.441860465118</v>
      </c>
      <c r="AM102" s="684"/>
      <c r="AN102" s="299"/>
      <c r="AO102" s="2"/>
      <c r="AP102" s="2"/>
      <c r="AQ102" s="2"/>
      <c r="AR102" s="2"/>
      <c r="AS102" s="2"/>
      <c r="AT102" s="2"/>
    </row>
    <row r="103" spans="1:70" outlineLevel="2">
      <c r="A103" s="1044" t="s">
        <v>329</v>
      </c>
      <c r="B103" s="2"/>
      <c r="C103" s="2"/>
      <c r="D103" s="1061"/>
      <c r="E103" s="2"/>
      <c r="G103" s="372">
        <f t="shared" si="188"/>
        <v>10790.5</v>
      </c>
      <c r="H103" s="373">
        <f t="shared" si="188"/>
        <v>10790.5</v>
      </c>
      <c r="I103" s="373">
        <f t="shared" si="188"/>
        <v>10790.5</v>
      </c>
      <c r="J103" s="374">
        <f t="shared" si="188"/>
        <v>10790.5</v>
      </c>
      <c r="K103" s="504"/>
      <c r="L103" s="423"/>
      <c r="M103" s="423"/>
      <c r="N103" s="372">
        <f t="shared" si="193"/>
        <v>13126.58762886598</v>
      </c>
      <c r="O103" s="373">
        <f t="shared" si="194"/>
        <v>13126.58762886598</v>
      </c>
      <c r="P103" s="373">
        <f t="shared" si="194"/>
        <v>13126.58762886598</v>
      </c>
      <c r="Q103" s="374">
        <f t="shared" si="194"/>
        <v>13126.58762886598</v>
      </c>
      <c r="T103" s="415">
        <f t="shared" si="189"/>
        <v>13126.58762886598</v>
      </c>
      <c r="U103" s="373">
        <f t="shared" si="195"/>
        <v>13126.58762886598</v>
      </c>
      <c r="V103" s="373">
        <f t="shared" si="195"/>
        <v>13126.58762886598</v>
      </c>
      <c r="W103" s="374">
        <f t="shared" si="195"/>
        <v>13126.58762886598</v>
      </c>
      <c r="AB103" s="154"/>
      <c r="AC103" s="415">
        <f t="shared" si="196"/>
        <v>13126.58762886598</v>
      </c>
      <c r="AD103" s="373">
        <f t="shared" si="197"/>
        <v>13126.58762886598</v>
      </c>
      <c r="AE103" s="373">
        <f t="shared" si="191"/>
        <v>13126.58762886598</v>
      </c>
      <c r="AF103" s="374">
        <f t="shared" si="191"/>
        <v>13126.58762886598</v>
      </c>
      <c r="AG103" s="154"/>
      <c r="AH103" s="615"/>
      <c r="AI103" s="415">
        <f t="shared" si="198"/>
        <v>13126.58762886598</v>
      </c>
      <c r="AJ103" s="373">
        <f t="shared" si="199"/>
        <v>13126.58762886598</v>
      </c>
      <c r="AK103" s="373">
        <f t="shared" si="192"/>
        <v>13126.58762886598</v>
      </c>
      <c r="AL103" s="374">
        <f t="shared" si="192"/>
        <v>13126.58762886598</v>
      </c>
      <c r="AM103" s="684"/>
      <c r="AN103" s="299"/>
      <c r="AO103" s="2"/>
      <c r="AP103" s="2"/>
      <c r="AQ103" s="2"/>
      <c r="AR103" s="2"/>
      <c r="AS103" s="2"/>
      <c r="AT103" s="2"/>
    </row>
    <row r="104" spans="1:70" outlineLevel="2">
      <c r="A104" s="436"/>
      <c r="B104" s="2"/>
      <c r="C104" s="2"/>
      <c r="D104" s="1061"/>
      <c r="E104" s="2"/>
      <c r="G104" s="169"/>
      <c r="H104" s="169"/>
      <c r="I104" s="169"/>
      <c r="J104" s="169"/>
      <c r="K104" s="407"/>
      <c r="L104" s="169"/>
      <c r="M104" s="423"/>
      <c r="N104" s="169"/>
      <c r="O104" s="169"/>
      <c r="P104" s="169"/>
      <c r="Q104" s="169"/>
      <c r="T104" s="169"/>
      <c r="U104" s="169"/>
      <c r="V104" s="169"/>
      <c r="W104" s="169"/>
      <c r="AB104" s="154"/>
      <c r="AC104" s="154"/>
      <c r="AD104" s="154"/>
      <c r="AE104" s="154"/>
      <c r="AF104" s="154"/>
      <c r="AG104" s="154"/>
      <c r="AH104" s="615"/>
      <c r="AI104" s="154"/>
      <c r="AJ104" s="154"/>
      <c r="AK104" s="154"/>
      <c r="AL104" s="154"/>
      <c r="AM104" s="684"/>
      <c r="AN104" s="299"/>
      <c r="AO104" s="2"/>
      <c r="AP104" s="2"/>
      <c r="AQ104" s="2"/>
      <c r="AR104" s="2"/>
      <c r="AS104" s="2"/>
      <c r="AT104" s="2"/>
    </row>
    <row r="105" spans="1:70" s="489" customFormat="1" outlineLevel="2">
      <c r="A105" s="551" t="s">
        <v>347</v>
      </c>
      <c r="B105" s="148"/>
      <c r="C105" s="148"/>
      <c r="D105" s="1072"/>
      <c r="E105" s="148"/>
      <c r="F105" s="728"/>
      <c r="G105" s="506"/>
      <c r="H105" s="148"/>
      <c r="I105" s="148"/>
      <c r="J105" s="148"/>
      <c r="K105" s="507"/>
      <c r="L105" s="148"/>
      <c r="M105" s="21"/>
      <c r="N105" s="534"/>
      <c r="O105" s="21"/>
      <c r="P105" s="21"/>
      <c r="Q105" s="21"/>
      <c r="R105" s="535"/>
      <c r="S105" s="148"/>
      <c r="T105" s="405"/>
      <c r="U105" s="405"/>
      <c r="V105" s="405"/>
      <c r="W105" s="405"/>
      <c r="X105" s="1313"/>
      <c r="Y105" s="405"/>
      <c r="Z105" s="405"/>
      <c r="AA105" s="405"/>
      <c r="AB105" s="148"/>
      <c r="AC105" s="148"/>
      <c r="AD105" s="148"/>
      <c r="AE105" s="148"/>
      <c r="AF105" s="148"/>
      <c r="AG105" s="148"/>
      <c r="AH105" s="829"/>
      <c r="AI105" s="148"/>
      <c r="AJ105" s="148"/>
      <c r="AK105" s="148"/>
      <c r="AL105" s="148"/>
      <c r="AM105" s="830"/>
      <c r="AN105" s="507"/>
      <c r="AO105" s="148"/>
      <c r="AP105" s="148"/>
      <c r="AQ105" s="148"/>
      <c r="AR105" s="148"/>
      <c r="AS105" s="148"/>
      <c r="AT105" s="148"/>
      <c r="AU105" s="21"/>
      <c r="AV105" s="21"/>
      <c r="AW105" s="21"/>
      <c r="AX105" s="21"/>
      <c r="AY105" s="21"/>
      <c r="AZ105" s="21"/>
      <c r="BG105" s="21"/>
      <c r="BH105" s="21"/>
      <c r="BI105" s="21"/>
      <c r="BJ105" s="21"/>
      <c r="BK105" s="21"/>
      <c r="BL105" s="21"/>
      <c r="BM105" s="21"/>
      <c r="BN105" s="21"/>
      <c r="BO105" s="21"/>
      <c r="BP105" s="21"/>
      <c r="BQ105" s="21"/>
      <c r="BR105" s="21"/>
    </row>
    <row r="106" spans="1:70" outlineLevel="2">
      <c r="A106" s="436" t="s">
        <v>64</v>
      </c>
      <c r="B106" s="2"/>
      <c r="C106" s="2"/>
      <c r="D106" s="1061"/>
      <c r="E106" s="2"/>
      <c r="H106" s="2"/>
      <c r="I106" s="2"/>
      <c r="J106" s="2"/>
      <c r="K106" s="508"/>
      <c r="L106" s="2"/>
      <c r="S106" s="61"/>
      <c r="T106" s="326"/>
      <c r="U106" s="326"/>
      <c r="V106" s="326"/>
      <c r="W106" s="326"/>
      <c r="X106" s="1314"/>
      <c r="Y106" s="326"/>
      <c r="Z106" s="326"/>
      <c r="AA106" s="326"/>
      <c r="AB106" s="61"/>
      <c r="AC106" s="61"/>
      <c r="AD106" s="61"/>
      <c r="AE106" s="61"/>
      <c r="AF106" s="61"/>
      <c r="AG106" s="61"/>
      <c r="AH106" s="831"/>
      <c r="AI106" s="61"/>
      <c r="AJ106" s="61"/>
      <c r="AK106" s="61"/>
      <c r="AL106" s="61"/>
      <c r="AM106" s="832"/>
      <c r="AN106" s="560"/>
      <c r="AO106" s="2"/>
      <c r="AP106" s="2"/>
      <c r="AQ106" s="2"/>
      <c r="AR106" s="2"/>
      <c r="AS106" s="2"/>
      <c r="AT106" s="2"/>
    </row>
    <row r="107" spans="1:70" outlineLevel="2">
      <c r="A107" s="1043" t="s">
        <v>327</v>
      </c>
      <c r="B107" s="2"/>
      <c r="C107" s="2"/>
      <c r="D107" s="1061"/>
      <c r="E107" s="2"/>
      <c r="G107" s="386">
        <f>'MPS др метрики'!C110</f>
        <v>110725</v>
      </c>
      <c r="H107" s="426">
        <f t="shared" ref="H107:J112" si="200">G107</f>
        <v>110725</v>
      </c>
      <c r="I107" s="426">
        <f t="shared" si="200"/>
        <v>110725</v>
      </c>
      <c r="J107" s="486">
        <f t="shared" si="200"/>
        <v>110725</v>
      </c>
      <c r="K107" s="508"/>
      <c r="L107" s="2"/>
      <c r="N107" s="386">
        <f t="shared" ref="N107:N112" si="201">G107</f>
        <v>110725</v>
      </c>
      <c r="O107" s="387">
        <f>N107</f>
        <v>110725</v>
      </c>
      <c r="P107" s="387">
        <f t="shared" ref="P107:Q107" si="202">O107</f>
        <v>110725</v>
      </c>
      <c r="Q107" s="388">
        <f t="shared" si="202"/>
        <v>110725</v>
      </c>
      <c r="S107" s="61"/>
      <c r="T107" s="386">
        <f t="shared" ref="T107:W112" si="203">N107</f>
        <v>110725</v>
      </c>
      <c r="U107" s="387">
        <f t="shared" si="203"/>
        <v>110725</v>
      </c>
      <c r="V107" s="387">
        <f t="shared" si="203"/>
        <v>110725</v>
      </c>
      <c r="W107" s="388">
        <f t="shared" si="203"/>
        <v>110725</v>
      </c>
      <c r="X107" s="1314"/>
      <c r="Y107" s="326"/>
      <c r="Z107" s="326"/>
      <c r="AA107" s="326"/>
      <c r="AB107" s="61"/>
      <c r="AC107" s="386">
        <f t="shared" ref="AC107:AF112" si="204">T107</f>
        <v>110725</v>
      </c>
      <c r="AD107" s="387">
        <f t="shared" si="204"/>
        <v>110725</v>
      </c>
      <c r="AE107" s="387">
        <f t="shared" si="204"/>
        <v>110725</v>
      </c>
      <c r="AF107" s="388">
        <f t="shared" si="204"/>
        <v>110725</v>
      </c>
      <c r="AG107" s="61"/>
      <c r="AH107" s="831"/>
      <c r="AI107" s="386">
        <f t="shared" ref="AI107:AL112" si="205">AC107</f>
        <v>110725</v>
      </c>
      <c r="AJ107" s="387">
        <f t="shared" si="205"/>
        <v>110725</v>
      </c>
      <c r="AK107" s="387">
        <f t="shared" si="205"/>
        <v>110725</v>
      </c>
      <c r="AL107" s="388">
        <f t="shared" si="205"/>
        <v>110725</v>
      </c>
      <c r="AM107" s="832"/>
      <c r="AN107" s="560"/>
      <c r="AO107" s="2"/>
      <c r="AP107" s="2"/>
      <c r="AQ107" s="2"/>
      <c r="AR107" s="2"/>
      <c r="AS107" s="2"/>
      <c r="AT107" s="2"/>
    </row>
    <row r="108" spans="1:70" s="2" customFormat="1" outlineLevel="2">
      <c r="A108" s="436" t="s">
        <v>62</v>
      </c>
      <c r="D108" s="1061"/>
      <c r="G108" s="389">
        <f>'MPS др метрики'!C111</f>
        <v>70053</v>
      </c>
      <c r="H108" s="427">
        <f t="shared" si="200"/>
        <v>70053</v>
      </c>
      <c r="I108" s="427">
        <f t="shared" si="200"/>
        <v>70053</v>
      </c>
      <c r="J108" s="487">
        <f t="shared" si="200"/>
        <v>70053</v>
      </c>
      <c r="K108" s="508"/>
      <c r="M108" s="1"/>
      <c r="N108" s="389">
        <f t="shared" si="201"/>
        <v>70053</v>
      </c>
      <c r="O108" s="291">
        <f t="shared" ref="O108:Q112" si="206">N108</f>
        <v>70053</v>
      </c>
      <c r="P108" s="291">
        <f t="shared" si="206"/>
        <v>70053</v>
      </c>
      <c r="Q108" s="390">
        <f t="shared" si="206"/>
        <v>70053</v>
      </c>
      <c r="R108" s="295"/>
      <c r="S108" s="61"/>
      <c r="T108" s="389">
        <f t="shared" si="203"/>
        <v>70053</v>
      </c>
      <c r="U108" s="291">
        <f t="shared" si="203"/>
        <v>70053</v>
      </c>
      <c r="V108" s="291">
        <f t="shared" si="203"/>
        <v>70053</v>
      </c>
      <c r="W108" s="390">
        <f t="shared" si="203"/>
        <v>70053</v>
      </c>
      <c r="X108" s="1314"/>
      <c r="Y108" s="326"/>
      <c r="Z108" s="326"/>
      <c r="AA108" s="326"/>
      <c r="AB108" s="61"/>
      <c r="AC108" s="389">
        <f t="shared" si="204"/>
        <v>70053</v>
      </c>
      <c r="AD108" s="291">
        <f t="shared" si="204"/>
        <v>70053</v>
      </c>
      <c r="AE108" s="291">
        <f t="shared" si="204"/>
        <v>70053</v>
      </c>
      <c r="AF108" s="390">
        <f t="shared" si="204"/>
        <v>70053</v>
      </c>
      <c r="AG108" s="61"/>
      <c r="AH108" s="831"/>
      <c r="AI108" s="389">
        <f t="shared" si="205"/>
        <v>70053</v>
      </c>
      <c r="AJ108" s="291">
        <f t="shared" si="205"/>
        <v>70053</v>
      </c>
      <c r="AK108" s="291">
        <f t="shared" si="205"/>
        <v>70053</v>
      </c>
      <c r="AL108" s="390">
        <f t="shared" si="205"/>
        <v>70053</v>
      </c>
      <c r="AM108" s="832"/>
      <c r="AN108" s="560"/>
      <c r="AU108" s="1"/>
      <c r="AV108" s="1"/>
      <c r="AW108" s="1"/>
      <c r="AX108" s="1"/>
      <c r="AY108" s="1"/>
      <c r="AZ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</row>
    <row r="109" spans="1:70" s="2" customFormat="1" outlineLevel="2">
      <c r="A109" s="436" t="s">
        <v>65</v>
      </c>
      <c r="D109" s="1061"/>
      <c r="G109" s="389">
        <f>'MPS др метрики'!C112</f>
        <v>47443</v>
      </c>
      <c r="H109" s="427">
        <f t="shared" si="200"/>
        <v>47443</v>
      </c>
      <c r="I109" s="427">
        <f t="shared" si="200"/>
        <v>47443</v>
      </c>
      <c r="J109" s="487">
        <f t="shared" si="200"/>
        <v>47443</v>
      </c>
      <c r="K109" s="508"/>
      <c r="M109" s="1"/>
      <c r="N109" s="389">
        <f t="shared" si="201"/>
        <v>47443</v>
      </c>
      <c r="O109" s="291">
        <f t="shared" si="206"/>
        <v>47443</v>
      </c>
      <c r="P109" s="291">
        <f t="shared" si="206"/>
        <v>47443</v>
      </c>
      <c r="Q109" s="390">
        <f t="shared" si="206"/>
        <v>47443</v>
      </c>
      <c r="R109" s="295"/>
      <c r="S109" s="61"/>
      <c r="T109" s="389">
        <f t="shared" si="203"/>
        <v>47443</v>
      </c>
      <c r="U109" s="291">
        <f t="shared" si="203"/>
        <v>47443</v>
      </c>
      <c r="V109" s="291">
        <f t="shared" si="203"/>
        <v>47443</v>
      </c>
      <c r="W109" s="390">
        <f t="shared" si="203"/>
        <v>47443</v>
      </c>
      <c r="X109" s="1314"/>
      <c r="Y109" s="326"/>
      <c r="Z109" s="326"/>
      <c r="AA109" s="326"/>
      <c r="AB109" s="61"/>
      <c r="AC109" s="389">
        <f t="shared" si="204"/>
        <v>47443</v>
      </c>
      <c r="AD109" s="291">
        <f t="shared" si="204"/>
        <v>47443</v>
      </c>
      <c r="AE109" s="291">
        <f t="shared" si="204"/>
        <v>47443</v>
      </c>
      <c r="AF109" s="390">
        <f t="shared" si="204"/>
        <v>47443</v>
      </c>
      <c r="AG109" s="61"/>
      <c r="AH109" s="831"/>
      <c r="AI109" s="389">
        <f t="shared" si="205"/>
        <v>47443</v>
      </c>
      <c r="AJ109" s="291">
        <f t="shared" si="205"/>
        <v>47443</v>
      </c>
      <c r="AK109" s="291">
        <f t="shared" si="205"/>
        <v>47443</v>
      </c>
      <c r="AL109" s="390">
        <f t="shared" si="205"/>
        <v>47443</v>
      </c>
      <c r="AM109" s="832"/>
      <c r="AN109" s="560"/>
      <c r="AU109" s="1"/>
      <c r="AV109" s="1"/>
      <c r="AW109" s="1"/>
      <c r="AX109" s="1"/>
      <c r="AY109" s="1"/>
      <c r="AZ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</row>
    <row r="110" spans="1:70" s="2" customFormat="1" outlineLevel="2">
      <c r="A110" s="436" t="s">
        <v>66</v>
      </c>
      <c r="D110" s="1061"/>
      <c r="G110" s="389">
        <f>'MPS др метрики'!C113</f>
        <v>40951</v>
      </c>
      <c r="H110" s="427">
        <f t="shared" si="200"/>
        <v>40951</v>
      </c>
      <c r="I110" s="427">
        <f t="shared" si="200"/>
        <v>40951</v>
      </c>
      <c r="J110" s="487">
        <f t="shared" si="200"/>
        <v>40951</v>
      </c>
      <c r="K110" s="508"/>
      <c r="M110" s="1"/>
      <c r="N110" s="389">
        <f t="shared" si="201"/>
        <v>40951</v>
      </c>
      <c r="O110" s="291">
        <f t="shared" si="206"/>
        <v>40951</v>
      </c>
      <c r="P110" s="291">
        <f t="shared" si="206"/>
        <v>40951</v>
      </c>
      <c r="Q110" s="390">
        <f t="shared" si="206"/>
        <v>40951</v>
      </c>
      <c r="R110" s="295"/>
      <c r="S110" s="61"/>
      <c r="T110" s="389">
        <f t="shared" si="203"/>
        <v>40951</v>
      </c>
      <c r="U110" s="291">
        <f t="shared" si="203"/>
        <v>40951</v>
      </c>
      <c r="V110" s="291">
        <f t="shared" si="203"/>
        <v>40951</v>
      </c>
      <c r="W110" s="390">
        <f t="shared" si="203"/>
        <v>40951</v>
      </c>
      <c r="X110" s="1314"/>
      <c r="Y110" s="326"/>
      <c r="Z110" s="326"/>
      <c r="AA110" s="326"/>
      <c r="AB110" s="61"/>
      <c r="AC110" s="389">
        <f t="shared" si="204"/>
        <v>40951</v>
      </c>
      <c r="AD110" s="291">
        <f t="shared" si="204"/>
        <v>40951</v>
      </c>
      <c r="AE110" s="291">
        <f t="shared" si="204"/>
        <v>40951</v>
      </c>
      <c r="AF110" s="390">
        <f t="shared" si="204"/>
        <v>40951</v>
      </c>
      <c r="AG110" s="61"/>
      <c r="AH110" s="831"/>
      <c r="AI110" s="389">
        <f t="shared" si="205"/>
        <v>40951</v>
      </c>
      <c r="AJ110" s="291">
        <f t="shared" si="205"/>
        <v>40951</v>
      </c>
      <c r="AK110" s="291">
        <f t="shared" si="205"/>
        <v>40951</v>
      </c>
      <c r="AL110" s="390">
        <f t="shared" si="205"/>
        <v>40951</v>
      </c>
      <c r="AM110" s="832"/>
      <c r="AN110" s="560"/>
      <c r="AU110" s="1"/>
      <c r="AV110" s="1"/>
      <c r="AW110" s="1"/>
      <c r="AX110" s="1"/>
      <c r="AY110" s="1"/>
      <c r="AZ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</row>
    <row r="111" spans="1:70" s="2" customFormat="1" outlineLevel="2">
      <c r="A111" s="436" t="s">
        <v>328</v>
      </c>
      <c r="D111" s="1061"/>
      <c r="G111" s="389">
        <f>'MPS др метрики'!C114</f>
        <v>33828</v>
      </c>
      <c r="H111" s="427">
        <f t="shared" si="200"/>
        <v>33828</v>
      </c>
      <c r="I111" s="427">
        <f t="shared" si="200"/>
        <v>33828</v>
      </c>
      <c r="J111" s="487">
        <f t="shared" si="200"/>
        <v>33828</v>
      </c>
      <c r="K111" s="508"/>
      <c r="M111" s="1"/>
      <c r="N111" s="389">
        <f t="shared" si="201"/>
        <v>33828</v>
      </c>
      <c r="O111" s="291">
        <f t="shared" si="206"/>
        <v>33828</v>
      </c>
      <c r="P111" s="291">
        <f t="shared" si="206"/>
        <v>33828</v>
      </c>
      <c r="Q111" s="390">
        <f t="shared" si="206"/>
        <v>33828</v>
      </c>
      <c r="R111" s="295"/>
      <c r="S111" s="61"/>
      <c r="T111" s="389">
        <f t="shared" si="203"/>
        <v>33828</v>
      </c>
      <c r="U111" s="291">
        <f t="shared" si="203"/>
        <v>33828</v>
      </c>
      <c r="V111" s="291">
        <f t="shared" si="203"/>
        <v>33828</v>
      </c>
      <c r="W111" s="390">
        <f t="shared" si="203"/>
        <v>33828</v>
      </c>
      <c r="X111" s="1314"/>
      <c r="Y111" s="326"/>
      <c r="Z111" s="326"/>
      <c r="AA111" s="326"/>
      <c r="AB111" s="61"/>
      <c r="AC111" s="389">
        <f t="shared" si="204"/>
        <v>33828</v>
      </c>
      <c r="AD111" s="291">
        <f t="shared" si="204"/>
        <v>33828</v>
      </c>
      <c r="AE111" s="291">
        <f t="shared" si="204"/>
        <v>33828</v>
      </c>
      <c r="AF111" s="390">
        <f t="shared" si="204"/>
        <v>33828</v>
      </c>
      <c r="AG111" s="61"/>
      <c r="AH111" s="831"/>
      <c r="AI111" s="389">
        <f t="shared" si="205"/>
        <v>33828</v>
      </c>
      <c r="AJ111" s="291">
        <f t="shared" si="205"/>
        <v>33828</v>
      </c>
      <c r="AK111" s="291">
        <f t="shared" si="205"/>
        <v>33828</v>
      </c>
      <c r="AL111" s="390">
        <f t="shared" si="205"/>
        <v>33828</v>
      </c>
      <c r="AM111" s="832"/>
      <c r="AN111" s="560"/>
      <c r="AU111" s="1"/>
      <c r="AV111" s="1"/>
      <c r="AW111" s="1"/>
      <c r="AX111" s="1"/>
      <c r="AY111" s="1"/>
      <c r="AZ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</row>
    <row r="112" spans="1:70" s="2" customFormat="1" outlineLevel="2">
      <c r="A112" s="1044" t="s">
        <v>329</v>
      </c>
      <c r="D112" s="1061"/>
      <c r="F112" s="139"/>
      <c r="G112" s="391">
        <f>'MPS др метрики'!C115</f>
        <v>21581</v>
      </c>
      <c r="H112" s="428">
        <f t="shared" si="200"/>
        <v>21581</v>
      </c>
      <c r="I112" s="428">
        <f t="shared" si="200"/>
        <v>21581</v>
      </c>
      <c r="J112" s="488">
        <f t="shared" si="200"/>
        <v>21581</v>
      </c>
      <c r="K112" s="508"/>
      <c r="M112" s="1"/>
      <c r="N112" s="391">
        <f t="shared" si="201"/>
        <v>21581</v>
      </c>
      <c r="O112" s="392">
        <f t="shared" si="206"/>
        <v>21581</v>
      </c>
      <c r="P112" s="392">
        <f t="shared" si="206"/>
        <v>21581</v>
      </c>
      <c r="Q112" s="393">
        <f t="shared" si="206"/>
        <v>21581</v>
      </c>
      <c r="R112" s="295"/>
      <c r="S112" s="1"/>
      <c r="T112" s="391">
        <f t="shared" si="203"/>
        <v>21581</v>
      </c>
      <c r="U112" s="392">
        <f t="shared" si="203"/>
        <v>21581</v>
      </c>
      <c r="V112" s="392">
        <f t="shared" si="203"/>
        <v>21581</v>
      </c>
      <c r="W112" s="393">
        <f t="shared" si="203"/>
        <v>21581</v>
      </c>
      <c r="X112" s="1314"/>
      <c r="Y112" s="326"/>
      <c r="Z112" s="326"/>
      <c r="AA112" s="326"/>
      <c r="AB112" s="61"/>
      <c r="AC112" s="391">
        <f t="shared" si="204"/>
        <v>21581</v>
      </c>
      <c r="AD112" s="392">
        <f t="shared" si="204"/>
        <v>21581</v>
      </c>
      <c r="AE112" s="392">
        <f t="shared" si="204"/>
        <v>21581</v>
      </c>
      <c r="AF112" s="393">
        <f t="shared" si="204"/>
        <v>21581</v>
      </c>
      <c r="AG112" s="61"/>
      <c r="AH112" s="831"/>
      <c r="AI112" s="391">
        <f t="shared" si="205"/>
        <v>21581</v>
      </c>
      <c r="AJ112" s="392">
        <f t="shared" si="205"/>
        <v>21581</v>
      </c>
      <c r="AK112" s="392">
        <f t="shared" si="205"/>
        <v>21581</v>
      </c>
      <c r="AL112" s="393">
        <f t="shared" si="205"/>
        <v>21581</v>
      </c>
      <c r="AM112" s="832"/>
      <c r="AN112" s="560"/>
      <c r="AO112" s="84"/>
      <c r="AP112" s="84"/>
      <c r="AQ112" s="84"/>
      <c r="AR112" s="84"/>
      <c r="AS112" s="84"/>
      <c r="AT112" s="84"/>
      <c r="AU112" s="1"/>
      <c r="AV112" s="1"/>
      <c r="AW112" s="1"/>
      <c r="AX112" s="1"/>
      <c r="AY112" s="1"/>
      <c r="AZ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</row>
    <row r="113" spans="1:70" s="2" customFormat="1" outlineLevel="2">
      <c r="A113" s="436"/>
      <c r="D113" s="1061"/>
      <c r="F113" s="139"/>
      <c r="G113" s="1"/>
      <c r="H113" s="427"/>
      <c r="I113" s="427"/>
      <c r="J113" s="427"/>
      <c r="K113" s="510"/>
      <c r="L113" s="427"/>
      <c r="M113" s="1"/>
      <c r="N113" s="291"/>
      <c r="O113" s="291"/>
      <c r="P113" s="291"/>
      <c r="Q113" s="291"/>
      <c r="R113" s="295"/>
      <c r="S113" s="1"/>
      <c r="T113" s="291"/>
      <c r="U113" s="291"/>
      <c r="V113" s="291"/>
      <c r="W113" s="291"/>
      <c r="X113" s="1314"/>
      <c r="Y113" s="326"/>
      <c r="Z113" s="326"/>
      <c r="AA113" s="326"/>
      <c r="AB113" s="61"/>
      <c r="AC113" s="61"/>
      <c r="AD113" s="61"/>
      <c r="AE113" s="61"/>
      <c r="AF113" s="61"/>
      <c r="AG113" s="61"/>
      <c r="AH113" s="831"/>
      <c r="AI113" s="61"/>
      <c r="AJ113" s="61"/>
      <c r="AK113" s="61"/>
      <c r="AL113" s="61"/>
      <c r="AM113" s="832"/>
      <c r="AN113" s="560"/>
      <c r="AO113" s="84"/>
      <c r="AP113" s="84"/>
      <c r="AQ113" s="84"/>
      <c r="AR113" s="84"/>
      <c r="AS113" s="84"/>
      <c r="AT113" s="84"/>
      <c r="AU113" s="1"/>
      <c r="AV113" s="1"/>
      <c r="AW113" s="1"/>
      <c r="AX113" s="1"/>
      <c r="AY113" s="1"/>
      <c r="AZ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</row>
    <row r="114" spans="1:70" s="2" customFormat="1" outlineLevel="2">
      <c r="A114" s="436" t="s">
        <v>333</v>
      </c>
      <c r="D114" s="1061"/>
      <c r="F114" s="139"/>
      <c r="G114" s="1"/>
      <c r="H114" s="427"/>
      <c r="I114" s="427"/>
      <c r="J114" s="427"/>
      <c r="K114" s="510"/>
      <c r="L114" s="427"/>
      <c r="M114" s="1"/>
      <c r="N114" s="291"/>
      <c r="O114" s="291"/>
      <c r="P114" s="291"/>
      <c r="Q114" s="291"/>
      <c r="R114" s="295"/>
      <c r="S114" s="1"/>
      <c r="T114" s="291"/>
      <c r="U114" s="291"/>
      <c r="V114" s="291"/>
      <c r="W114" s="291"/>
      <c r="X114" s="1314"/>
      <c r="Y114" s="326"/>
      <c r="Z114" s="326"/>
      <c r="AA114" s="326"/>
      <c r="AB114" s="61"/>
      <c r="AC114" s="61"/>
      <c r="AD114" s="61"/>
      <c r="AE114" s="61"/>
      <c r="AF114" s="61"/>
      <c r="AG114" s="61"/>
      <c r="AH114" s="831"/>
      <c r="AI114" s="61"/>
      <c r="AJ114" s="61"/>
      <c r="AK114" s="61"/>
      <c r="AL114" s="61"/>
      <c r="AM114" s="832"/>
      <c r="AN114" s="560"/>
      <c r="AO114" s="84"/>
      <c r="AP114" s="84"/>
      <c r="AQ114" s="84"/>
      <c r="AR114" s="84"/>
      <c r="AS114" s="84"/>
      <c r="AT114" s="84"/>
      <c r="AU114" s="1"/>
      <c r="AV114" s="1"/>
      <c r="AW114" s="1"/>
      <c r="AX114" s="1"/>
      <c r="AY114" s="1"/>
      <c r="AZ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</row>
    <row r="115" spans="1:70" s="2" customFormat="1" outlineLevel="2">
      <c r="A115" s="1043" t="s">
        <v>327</v>
      </c>
      <c r="D115" s="1061"/>
      <c r="F115" s="139"/>
      <c r="G115" s="367">
        <f t="shared" ref="G115:J120" si="207">G107/G131</f>
        <v>10890.983606557378</v>
      </c>
      <c r="H115" s="368">
        <f t="shared" si="207"/>
        <v>10890.983606557378</v>
      </c>
      <c r="I115" s="368">
        <f t="shared" si="207"/>
        <v>10890.983606557378</v>
      </c>
      <c r="J115" s="369">
        <f t="shared" si="207"/>
        <v>10890.983606557378</v>
      </c>
      <c r="K115" s="407"/>
      <c r="L115" s="169"/>
      <c r="M115" s="1"/>
      <c r="N115" s="389">
        <f t="shared" ref="N115:N120" si="208">G115</f>
        <v>10890.983606557378</v>
      </c>
      <c r="O115" s="387">
        <f>N115</f>
        <v>10890.983606557378</v>
      </c>
      <c r="P115" s="387">
        <f t="shared" ref="P115:Q115" si="209">O115</f>
        <v>10890.983606557378</v>
      </c>
      <c r="Q115" s="388">
        <f t="shared" si="209"/>
        <v>10890.983606557378</v>
      </c>
      <c r="R115" s="295"/>
      <c r="S115" s="1"/>
      <c r="T115" s="386">
        <f t="shared" ref="T115:T120" si="210">N115</f>
        <v>10890.983606557378</v>
      </c>
      <c r="U115" s="387">
        <f>T115</f>
        <v>10890.983606557378</v>
      </c>
      <c r="V115" s="387">
        <f t="shared" ref="V115:W115" si="211">U115</f>
        <v>10890.983606557378</v>
      </c>
      <c r="W115" s="388">
        <f t="shared" si="211"/>
        <v>10890.983606557378</v>
      </c>
      <c r="X115" s="1314"/>
      <c r="Y115" s="326"/>
      <c r="Z115" s="326"/>
      <c r="AA115" s="326"/>
      <c r="AB115" s="61"/>
      <c r="AC115" s="386">
        <f t="shared" ref="AC115:AC120" si="212">T115</f>
        <v>10890.983606557378</v>
      </c>
      <c r="AD115" s="387">
        <f>AC115</f>
        <v>10890.983606557378</v>
      </c>
      <c r="AE115" s="387">
        <f t="shared" ref="AE115:AF120" si="213">AD115</f>
        <v>10890.983606557378</v>
      </c>
      <c r="AF115" s="388">
        <f t="shared" si="213"/>
        <v>10890.983606557378</v>
      </c>
      <c r="AG115" s="61"/>
      <c r="AH115" s="831"/>
      <c r="AI115" s="386">
        <f t="shared" ref="AI115:AI120" si="214">AC115</f>
        <v>10890.983606557378</v>
      </c>
      <c r="AJ115" s="387">
        <f>AI115</f>
        <v>10890.983606557378</v>
      </c>
      <c r="AK115" s="387">
        <f t="shared" ref="AK115:AL120" si="215">AJ115</f>
        <v>10890.983606557378</v>
      </c>
      <c r="AL115" s="388">
        <f t="shared" si="215"/>
        <v>10890.983606557378</v>
      </c>
      <c r="AM115" s="832"/>
      <c r="AN115" s="560"/>
      <c r="AO115" s="84"/>
      <c r="AP115" s="84"/>
      <c r="AQ115" s="84"/>
      <c r="AR115" s="84"/>
      <c r="AS115" s="84"/>
      <c r="AT115" s="84"/>
      <c r="AU115" s="1"/>
      <c r="AV115" s="1"/>
      <c r="AW115" s="1"/>
      <c r="AX115" s="1"/>
      <c r="AY115" s="1"/>
      <c r="AZ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</row>
    <row r="116" spans="1:70" s="2" customFormat="1" outlineLevel="2">
      <c r="A116" s="436" t="s">
        <v>62</v>
      </c>
      <c r="D116" s="1061"/>
      <c r="F116" s="139"/>
      <c r="G116" s="370">
        <f t="shared" si="207"/>
        <v>9019.69957081545</v>
      </c>
      <c r="H116" s="169">
        <f t="shared" si="207"/>
        <v>9019.69957081545</v>
      </c>
      <c r="I116" s="169">
        <f t="shared" si="207"/>
        <v>9019.69957081545</v>
      </c>
      <c r="J116" s="371">
        <f t="shared" si="207"/>
        <v>9019.69957081545</v>
      </c>
      <c r="K116" s="407"/>
      <c r="L116" s="169"/>
      <c r="M116" s="1"/>
      <c r="N116" s="389">
        <f t="shared" si="208"/>
        <v>9019.69957081545</v>
      </c>
      <c r="O116" s="291">
        <f t="shared" ref="O116:Q120" si="216">N116</f>
        <v>9019.69957081545</v>
      </c>
      <c r="P116" s="291">
        <f t="shared" si="216"/>
        <v>9019.69957081545</v>
      </c>
      <c r="Q116" s="390">
        <f t="shared" si="216"/>
        <v>9019.69957081545</v>
      </c>
      <c r="R116" s="295"/>
      <c r="S116" s="1"/>
      <c r="T116" s="389">
        <f t="shared" si="210"/>
        <v>9019.69957081545</v>
      </c>
      <c r="U116" s="291">
        <f t="shared" ref="U116:W120" si="217">T116</f>
        <v>9019.69957081545</v>
      </c>
      <c r="V116" s="291">
        <f t="shared" si="217"/>
        <v>9019.69957081545</v>
      </c>
      <c r="W116" s="390">
        <f t="shared" si="217"/>
        <v>9019.69957081545</v>
      </c>
      <c r="X116" s="1314"/>
      <c r="Y116" s="326"/>
      <c r="Z116" s="326"/>
      <c r="AA116" s="326"/>
      <c r="AB116" s="61"/>
      <c r="AC116" s="389">
        <f t="shared" si="212"/>
        <v>9019.69957081545</v>
      </c>
      <c r="AD116" s="291">
        <f t="shared" ref="AD116:AD120" si="218">AC116</f>
        <v>9019.69957081545</v>
      </c>
      <c r="AE116" s="291">
        <f t="shared" si="213"/>
        <v>9019.69957081545</v>
      </c>
      <c r="AF116" s="390">
        <f t="shared" si="213"/>
        <v>9019.69957081545</v>
      </c>
      <c r="AG116" s="61"/>
      <c r="AH116" s="831"/>
      <c r="AI116" s="389">
        <f t="shared" si="214"/>
        <v>9019.69957081545</v>
      </c>
      <c r="AJ116" s="291">
        <f t="shared" ref="AJ116:AJ120" si="219">AI116</f>
        <v>9019.69957081545</v>
      </c>
      <c r="AK116" s="291">
        <f t="shared" si="215"/>
        <v>9019.69957081545</v>
      </c>
      <c r="AL116" s="390">
        <f t="shared" si="215"/>
        <v>9019.69957081545</v>
      </c>
      <c r="AM116" s="832"/>
      <c r="AN116" s="560"/>
      <c r="AO116" s="84"/>
      <c r="AP116" s="84"/>
      <c r="AQ116" s="84"/>
      <c r="AR116" s="84"/>
      <c r="AS116" s="84"/>
      <c r="AT116" s="84"/>
      <c r="AU116" s="1"/>
      <c r="AV116" s="1"/>
      <c r="AW116" s="1"/>
      <c r="AX116" s="1"/>
      <c r="AY116" s="1"/>
      <c r="AZ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</row>
    <row r="117" spans="1:70" s="2" customFormat="1" outlineLevel="2">
      <c r="A117" s="436" t="s">
        <v>65</v>
      </c>
      <c r="D117" s="1061"/>
      <c r="F117" s="139"/>
      <c r="G117" s="370">
        <f t="shared" si="207"/>
        <v>8227.1098265895962</v>
      </c>
      <c r="H117" s="169">
        <f t="shared" si="207"/>
        <v>8227.1098265895962</v>
      </c>
      <c r="I117" s="169">
        <f t="shared" si="207"/>
        <v>8227.1098265895962</v>
      </c>
      <c r="J117" s="371">
        <f t="shared" si="207"/>
        <v>8227.1098265895962</v>
      </c>
      <c r="K117" s="407"/>
      <c r="L117" s="169"/>
      <c r="M117" s="1"/>
      <c r="N117" s="389">
        <f t="shared" si="208"/>
        <v>8227.1098265895962</v>
      </c>
      <c r="O117" s="291">
        <f t="shared" si="216"/>
        <v>8227.1098265895962</v>
      </c>
      <c r="P117" s="291">
        <f t="shared" si="216"/>
        <v>8227.1098265895962</v>
      </c>
      <c r="Q117" s="390">
        <f t="shared" si="216"/>
        <v>8227.1098265895962</v>
      </c>
      <c r="R117" s="295"/>
      <c r="S117" s="1"/>
      <c r="T117" s="389">
        <f t="shared" si="210"/>
        <v>8227.1098265895962</v>
      </c>
      <c r="U117" s="291">
        <f t="shared" si="217"/>
        <v>8227.1098265895962</v>
      </c>
      <c r="V117" s="291">
        <f t="shared" si="217"/>
        <v>8227.1098265895962</v>
      </c>
      <c r="W117" s="390">
        <f t="shared" si="217"/>
        <v>8227.1098265895962</v>
      </c>
      <c r="X117" s="1314"/>
      <c r="Y117" s="326"/>
      <c r="Z117" s="326"/>
      <c r="AA117" s="326"/>
      <c r="AB117" s="61"/>
      <c r="AC117" s="389">
        <f t="shared" si="212"/>
        <v>8227.1098265895962</v>
      </c>
      <c r="AD117" s="291">
        <f t="shared" si="218"/>
        <v>8227.1098265895962</v>
      </c>
      <c r="AE117" s="291">
        <f t="shared" si="213"/>
        <v>8227.1098265895962</v>
      </c>
      <c r="AF117" s="390">
        <f t="shared" si="213"/>
        <v>8227.1098265895962</v>
      </c>
      <c r="AG117" s="61"/>
      <c r="AH117" s="831"/>
      <c r="AI117" s="389">
        <f t="shared" si="214"/>
        <v>8227.1098265895962</v>
      </c>
      <c r="AJ117" s="291">
        <f t="shared" si="219"/>
        <v>8227.1098265895962</v>
      </c>
      <c r="AK117" s="291">
        <f t="shared" si="215"/>
        <v>8227.1098265895962</v>
      </c>
      <c r="AL117" s="390">
        <f t="shared" si="215"/>
        <v>8227.1098265895962</v>
      </c>
      <c r="AM117" s="832"/>
      <c r="AN117" s="560"/>
      <c r="AO117" s="84"/>
      <c r="AP117" s="84"/>
      <c r="AQ117" s="84"/>
      <c r="AR117" s="84"/>
      <c r="AS117" s="84"/>
      <c r="AT117" s="84"/>
      <c r="AU117" s="1"/>
      <c r="AV117" s="1"/>
      <c r="AW117" s="1"/>
      <c r="AX117" s="1"/>
      <c r="AY117" s="1"/>
      <c r="AZ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</row>
    <row r="118" spans="1:70" s="2" customFormat="1" outlineLevel="2">
      <c r="A118" s="436" t="s">
        <v>66</v>
      </c>
      <c r="D118" s="1061"/>
      <c r="F118" s="139"/>
      <c r="G118" s="370">
        <f t="shared" si="207"/>
        <v>8245.1677852348985</v>
      </c>
      <c r="H118" s="169">
        <f t="shared" si="207"/>
        <v>8245.1677852348985</v>
      </c>
      <c r="I118" s="169">
        <f t="shared" si="207"/>
        <v>8245.1677852348985</v>
      </c>
      <c r="J118" s="371">
        <f t="shared" si="207"/>
        <v>8245.1677852348985</v>
      </c>
      <c r="K118" s="407"/>
      <c r="L118" s="169"/>
      <c r="M118" s="1"/>
      <c r="N118" s="389">
        <f t="shared" si="208"/>
        <v>8245.1677852348985</v>
      </c>
      <c r="O118" s="291">
        <f t="shared" si="216"/>
        <v>8245.1677852348985</v>
      </c>
      <c r="P118" s="291">
        <f t="shared" si="216"/>
        <v>8245.1677852348985</v>
      </c>
      <c r="Q118" s="390">
        <f t="shared" si="216"/>
        <v>8245.1677852348985</v>
      </c>
      <c r="R118" s="295"/>
      <c r="S118" s="1"/>
      <c r="T118" s="389">
        <f t="shared" si="210"/>
        <v>8245.1677852348985</v>
      </c>
      <c r="U118" s="291">
        <f t="shared" si="217"/>
        <v>8245.1677852348985</v>
      </c>
      <c r="V118" s="291">
        <f t="shared" si="217"/>
        <v>8245.1677852348985</v>
      </c>
      <c r="W118" s="390">
        <f t="shared" si="217"/>
        <v>8245.1677852348985</v>
      </c>
      <c r="X118" s="1314"/>
      <c r="Y118" s="326"/>
      <c r="Z118" s="326"/>
      <c r="AA118" s="326"/>
      <c r="AB118" s="61"/>
      <c r="AC118" s="389">
        <f t="shared" si="212"/>
        <v>8245.1677852348985</v>
      </c>
      <c r="AD118" s="291">
        <f t="shared" si="218"/>
        <v>8245.1677852348985</v>
      </c>
      <c r="AE118" s="291">
        <f t="shared" si="213"/>
        <v>8245.1677852348985</v>
      </c>
      <c r="AF118" s="390">
        <f t="shared" si="213"/>
        <v>8245.1677852348985</v>
      </c>
      <c r="AG118" s="61"/>
      <c r="AH118" s="831"/>
      <c r="AI118" s="389">
        <f t="shared" si="214"/>
        <v>8245.1677852348985</v>
      </c>
      <c r="AJ118" s="291">
        <f t="shared" si="219"/>
        <v>8245.1677852348985</v>
      </c>
      <c r="AK118" s="291">
        <f t="shared" si="215"/>
        <v>8245.1677852348985</v>
      </c>
      <c r="AL118" s="390">
        <f t="shared" si="215"/>
        <v>8245.1677852348985</v>
      </c>
      <c r="AM118" s="832"/>
      <c r="AN118" s="560"/>
      <c r="AO118" s="84"/>
      <c r="AP118" s="84"/>
      <c r="AQ118" s="84"/>
      <c r="AR118" s="84"/>
      <c r="AS118" s="84"/>
      <c r="AT118" s="84"/>
      <c r="AU118" s="1"/>
      <c r="AV118" s="1"/>
      <c r="AW118" s="1"/>
      <c r="AX118" s="1"/>
      <c r="AY118" s="1"/>
      <c r="AZ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</row>
    <row r="119" spans="1:70" s="2" customFormat="1" outlineLevel="2">
      <c r="A119" s="436" t="s">
        <v>328</v>
      </c>
      <c r="D119" s="1061"/>
      <c r="F119" s="139"/>
      <c r="G119" s="370">
        <f t="shared" si="207"/>
        <v>7866.9767441860467</v>
      </c>
      <c r="H119" s="169">
        <f t="shared" si="207"/>
        <v>7866.9767441860467</v>
      </c>
      <c r="I119" s="169">
        <f t="shared" si="207"/>
        <v>7866.9767441860467</v>
      </c>
      <c r="J119" s="371">
        <f t="shared" si="207"/>
        <v>7866.9767441860467</v>
      </c>
      <c r="K119" s="407"/>
      <c r="L119" s="169"/>
      <c r="M119" s="1"/>
      <c r="N119" s="389">
        <f t="shared" si="208"/>
        <v>7866.9767441860467</v>
      </c>
      <c r="O119" s="291">
        <f t="shared" si="216"/>
        <v>7866.9767441860467</v>
      </c>
      <c r="P119" s="291">
        <f t="shared" si="216"/>
        <v>7866.9767441860467</v>
      </c>
      <c r="Q119" s="390">
        <f t="shared" si="216"/>
        <v>7866.9767441860467</v>
      </c>
      <c r="R119" s="295"/>
      <c r="S119" s="1"/>
      <c r="T119" s="389">
        <f t="shared" si="210"/>
        <v>7866.9767441860467</v>
      </c>
      <c r="U119" s="291">
        <f t="shared" si="217"/>
        <v>7866.9767441860467</v>
      </c>
      <c r="V119" s="291">
        <f t="shared" si="217"/>
        <v>7866.9767441860467</v>
      </c>
      <c r="W119" s="390">
        <f t="shared" si="217"/>
        <v>7866.9767441860467</v>
      </c>
      <c r="X119" s="1314"/>
      <c r="Y119" s="326"/>
      <c r="Z119" s="326"/>
      <c r="AA119" s="326"/>
      <c r="AB119" s="61"/>
      <c r="AC119" s="389">
        <f t="shared" si="212"/>
        <v>7866.9767441860467</v>
      </c>
      <c r="AD119" s="291">
        <f t="shared" si="218"/>
        <v>7866.9767441860467</v>
      </c>
      <c r="AE119" s="291">
        <f t="shared" si="213"/>
        <v>7866.9767441860467</v>
      </c>
      <c r="AF119" s="390">
        <f t="shared" si="213"/>
        <v>7866.9767441860467</v>
      </c>
      <c r="AG119" s="61"/>
      <c r="AH119" s="831"/>
      <c r="AI119" s="389">
        <f t="shared" si="214"/>
        <v>7866.9767441860467</v>
      </c>
      <c r="AJ119" s="291">
        <f t="shared" si="219"/>
        <v>7866.9767441860467</v>
      </c>
      <c r="AK119" s="291">
        <f t="shared" si="215"/>
        <v>7866.9767441860467</v>
      </c>
      <c r="AL119" s="390">
        <f t="shared" si="215"/>
        <v>7866.9767441860467</v>
      </c>
      <c r="AM119" s="832"/>
      <c r="AN119" s="560"/>
      <c r="AO119" s="84"/>
      <c r="AP119" s="84"/>
      <c r="AQ119" s="84"/>
      <c r="AR119" s="84"/>
      <c r="AS119" s="84"/>
      <c r="AT119" s="84"/>
      <c r="AU119" s="1"/>
      <c r="AV119" s="1"/>
      <c r="AW119" s="1"/>
      <c r="AX119" s="1"/>
      <c r="AY119" s="1"/>
      <c r="AZ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</row>
    <row r="120" spans="1:70" s="2" customFormat="1" outlineLevel="2">
      <c r="A120" s="1044" t="s">
        <v>329</v>
      </c>
      <c r="D120" s="1061"/>
      <c r="F120" s="139"/>
      <c r="G120" s="372">
        <f t="shared" si="207"/>
        <v>6674.5360824742265</v>
      </c>
      <c r="H120" s="373">
        <f t="shared" si="207"/>
        <v>6674.5360824742265</v>
      </c>
      <c r="I120" s="373">
        <f t="shared" si="207"/>
        <v>6674.5360824742265</v>
      </c>
      <c r="J120" s="374">
        <f t="shared" si="207"/>
        <v>6674.5360824742265</v>
      </c>
      <c r="K120" s="407"/>
      <c r="L120" s="169"/>
      <c r="M120" s="1"/>
      <c r="N120" s="391">
        <f t="shared" si="208"/>
        <v>6674.5360824742265</v>
      </c>
      <c r="O120" s="392">
        <f t="shared" si="216"/>
        <v>6674.5360824742265</v>
      </c>
      <c r="P120" s="392">
        <f t="shared" si="216"/>
        <v>6674.5360824742265</v>
      </c>
      <c r="Q120" s="393">
        <f t="shared" si="216"/>
        <v>6674.5360824742265</v>
      </c>
      <c r="R120" s="295"/>
      <c r="S120" s="1"/>
      <c r="T120" s="391">
        <f t="shared" si="210"/>
        <v>6674.5360824742265</v>
      </c>
      <c r="U120" s="392">
        <f t="shared" si="217"/>
        <v>6674.5360824742265</v>
      </c>
      <c r="V120" s="392">
        <f t="shared" si="217"/>
        <v>6674.5360824742265</v>
      </c>
      <c r="W120" s="393">
        <f t="shared" si="217"/>
        <v>6674.5360824742265</v>
      </c>
      <c r="X120" s="1314"/>
      <c r="Y120" s="326"/>
      <c r="Z120" s="326"/>
      <c r="AA120" s="326"/>
      <c r="AB120" s="61"/>
      <c r="AC120" s="391">
        <f t="shared" si="212"/>
        <v>6674.5360824742265</v>
      </c>
      <c r="AD120" s="392">
        <f t="shared" si="218"/>
        <v>6674.5360824742265</v>
      </c>
      <c r="AE120" s="392">
        <f t="shared" si="213"/>
        <v>6674.5360824742265</v>
      </c>
      <c r="AF120" s="393">
        <f t="shared" si="213"/>
        <v>6674.5360824742265</v>
      </c>
      <c r="AG120" s="61"/>
      <c r="AH120" s="831"/>
      <c r="AI120" s="391">
        <f t="shared" si="214"/>
        <v>6674.5360824742265</v>
      </c>
      <c r="AJ120" s="392">
        <f t="shared" si="219"/>
        <v>6674.5360824742265</v>
      </c>
      <c r="AK120" s="392">
        <f t="shared" si="215"/>
        <v>6674.5360824742265</v>
      </c>
      <c r="AL120" s="393">
        <f t="shared" si="215"/>
        <v>6674.5360824742265</v>
      </c>
      <c r="AM120" s="832"/>
      <c r="AN120" s="560"/>
      <c r="AO120" s="84"/>
      <c r="AP120" s="84"/>
      <c r="AQ120" s="84"/>
      <c r="AR120" s="84"/>
      <c r="AS120" s="84"/>
      <c r="AT120" s="84"/>
      <c r="AU120" s="1"/>
      <c r="AV120" s="1"/>
      <c r="AW120" s="1"/>
      <c r="AX120" s="1"/>
      <c r="AY120" s="1"/>
      <c r="AZ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</row>
    <row r="121" spans="1:70" outlineLevel="2">
      <c r="A121" s="436"/>
      <c r="B121" s="2"/>
      <c r="C121" s="2"/>
      <c r="D121" s="1061"/>
      <c r="E121" s="2"/>
      <c r="G121" s="290"/>
      <c r="H121" s="429"/>
      <c r="I121" s="429"/>
      <c r="J121" s="429"/>
      <c r="K121" s="511"/>
      <c r="L121" s="429"/>
      <c r="M121" s="423"/>
      <c r="N121" s="169"/>
      <c r="O121" s="169"/>
      <c r="P121" s="169"/>
      <c r="Q121" s="169"/>
      <c r="T121" s="169"/>
      <c r="U121" s="169"/>
      <c r="V121" s="169"/>
      <c r="W121" s="169"/>
      <c r="AB121" s="154"/>
      <c r="AC121" s="154"/>
      <c r="AD121" s="154"/>
      <c r="AE121" s="154"/>
      <c r="AF121" s="154"/>
      <c r="AG121" s="154"/>
      <c r="AH121" s="615"/>
      <c r="AI121" s="154"/>
      <c r="AJ121" s="154"/>
      <c r="AK121" s="154"/>
      <c r="AL121" s="154"/>
      <c r="AM121" s="684"/>
      <c r="AN121" s="299"/>
      <c r="AO121" s="2"/>
      <c r="AP121" s="2"/>
      <c r="AQ121" s="2"/>
      <c r="AR121" s="2"/>
      <c r="AS121" s="2"/>
      <c r="AT121" s="2"/>
    </row>
    <row r="122" spans="1:70" s="425" customFormat="1" outlineLevel="2">
      <c r="A122" s="382" t="s">
        <v>345</v>
      </c>
      <c r="B122" s="452"/>
      <c r="C122" s="452"/>
      <c r="D122" s="1071"/>
      <c r="E122" s="452"/>
      <c r="F122" s="356"/>
      <c r="G122" s="343"/>
      <c r="H122" s="430"/>
      <c r="I122" s="430"/>
      <c r="J122" s="430"/>
      <c r="K122" s="512"/>
      <c r="L122" s="430"/>
      <c r="N122" s="399" t="s">
        <v>334</v>
      </c>
      <c r="O122" s="354"/>
      <c r="P122" s="354"/>
      <c r="Q122" s="354"/>
      <c r="R122" s="503"/>
      <c r="S122" s="43"/>
      <c r="T122" s="399" t="s">
        <v>334</v>
      </c>
      <c r="U122" s="354"/>
      <c r="V122" s="354"/>
      <c r="W122" s="354"/>
      <c r="X122" s="503"/>
      <c r="Y122" s="43"/>
      <c r="Z122" s="43"/>
      <c r="AA122" s="43"/>
      <c r="AB122" s="633"/>
      <c r="AC122" s="633"/>
      <c r="AD122" s="633"/>
      <c r="AE122" s="633"/>
      <c r="AF122" s="633"/>
      <c r="AG122" s="633"/>
      <c r="AH122" s="833"/>
      <c r="AI122" s="633"/>
      <c r="AJ122" s="633"/>
      <c r="AK122" s="633"/>
      <c r="AL122" s="633"/>
      <c r="AM122" s="834"/>
      <c r="AN122" s="562"/>
      <c r="AO122" s="356"/>
      <c r="AP122" s="356"/>
      <c r="AQ122" s="356"/>
      <c r="AR122" s="356"/>
      <c r="AS122" s="356"/>
      <c r="AT122" s="356"/>
      <c r="AU122" s="43"/>
      <c r="AV122" s="43"/>
      <c r="AW122" s="43"/>
      <c r="AX122" s="43"/>
      <c r="AY122" s="43"/>
      <c r="AZ122" s="43"/>
      <c r="BG122" s="43"/>
      <c r="BH122" s="43"/>
      <c r="BI122" s="43"/>
      <c r="BJ122" s="43"/>
      <c r="BK122" s="43"/>
      <c r="BL122" s="43"/>
      <c r="BM122" s="43"/>
      <c r="BN122" s="43"/>
      <c r="BO122" s="43"/>
      <c r="BP122" s="43"/>
      <c r="BQ122" s="43"/>
      <c r="BR122" s="43"/>
    </row>
    <row r="123" spans="1:70" outlineLevel="2">
      <c r="A123" s="1043" t="s">
        <v>327</v>
      </c>
      <c r="B123" s="2"/>
      <c r="C123" s="2"/>
      <c r="D123" s="1061"/>
      <c r="E123" s="2"/>
      <c r="G123" s="378">
        <f t="shared" ref="G123:G128" si="220">G131</f>
        <v>10.166666666666666</v>
      </c>
      <c r="H123" s="431">
        <f t="shared" ref="H123:J129" si="221">G123</f>
        <v>10.166666666666666</v>
      </c>
      <c r="I123" s="431">
        <f t="shared" si="221"/>
        <v>10.166666666666666</v>
      </c>
      <c r="J123" s="432">
        <f t="shared" si="221"/>
        <v>10.166666666666666</v>
      </c>
      <c r="K123" s="511"/>
      <c r="L123" s="429"/>
      <c r="M123" s="423"/>
      <c r="N123" s="378">
        <f>G123+0.7</f>
        <v>10.866666666666665</v>
      </c>
      <c r="O123" s="394">
        <f>N123</f>
        <v>10.866666666666665</v>
      </c>
      <c r="P123" s="394">
        <f t="shared" ref="P123:Q123" si="222">O123</f>
        <v>10.866666666666665</v>
      </c>
      <c r="Q123" s="395">
        <f t="shared" si="222"/>
        <v>10.866666666666665</v>
      </c>
      <c r="T123" s="378">
        <f t="shared" ref="T123:T129" si="223">N123</f>
        <v>10.866666666666665</v>
      </c>
      <c r="U123" s="394">
        <f>T123</f>
        <v>10.866666666666665</v>
      </c>
      <c r="V123" s="394">
        <f t="shared" ref="V123:W123" si="224">U123</f>
        <v>10.866666666666665</v>
      </c>
      <c r="W123" s="395">
        <f t="shared" si="224"/>
        <v>10.866666666666665</v>
      </c>
      <c r="AB123" s="154"/>
      <c r="AC123" s="378">
        <f>T123</f>
        <v>10.866666666666665</v>
      </c>
      <c r="AD123" s="394">
        <f>AC123</f>
        <v>10.866666666666665</v>
      </c>
      <c r="AE123" s="394">
        <f t="shared" ref="AE123:AF129" si="225">AD123</f>
        <v>10.866666666666665</v>
      </c>
      <c r="AF123" s="395">
        <f t="shared" si="225"/>
        <v>10.866666666666665</v>
      </c>
      <c r="AG123" s="154"/>
      <c r="AH123" s="615"/>
      <c r="AI123" s="378">
        <f>AC123</f>
        <v>10.866666666666665</v>
      </c>
      <c r="AJ123" s="394">
        <f>AI123</f>
        <v>10.866666666666665</v>
      </c>
      <c r="AK123" s="394">
        <f t="shared" ref="AK123:AL129" si="226">AJ123</f>
        <v>10.866666666666665</v>
      </c>
      <c r="AL123" s="395">
        <f t="shared" si="226"/>
        <v>10.866666666666665</v>
      </c>
      <c r="AM123" s="684"/>
      <c r="AN123" s="299"/>
      <c r="AO123" s="2"/>
      <c r="AP123" s="2"/>
      <c r="AQ123" s="2"/>
      <c r="AR123" s="2"/>
      <c r="AS123" s="2"/>
      <c r="AT123" s="2"/>
    </row>
    <row r="124" spans="1:70" outlineLevel="2">
      <c r="A124" s="436" t="s">
        <v>62</v>
      </c>
      <c r="B124" s="2"/>
      <c r="C124" s="2"/>
      <c r="D124" s="1061"/>
      <c r="E124" s="2"/>
      <c r="G124" s="379">
        <f t="shared" si="220"/>
        <v>7.7666666666666666</v>
      </c>
      <c r="H124" s="429">
        <f t="shared" si="221"/>
        <v>7.7666666666666666</v>
      </c>
      <c r="I124" s="429">
        <f t="shared" si="221"/>
        <v>7.7666666666666666</v>
      </c>
      <c r="J124" s="433">
        <f t="shared" si="221"/>
        <v>7.7666666666666666</v>
      </c>
      <c r="K124" s="511"/>
      <c r="L124" s="429"/>
      <c r="M124" s="423"/>
      <c r="N124" s="379">
        <f t="shared" ref="N124:N128" si="227">G124+0.7</f>
        <v>8.4666666666666668</v>
      </c>
      <c r="O124" s="290">
        <f t="shared" ref="O124:Q129" si="228">N124</f>
        <v>8.4666666666666668</v>
      </c>
      <c r="P124" s="290">
        <f t="shared" si="228"/>
        <v>8.4666666666666668</v>
      </c>
      <c r="Q124" s="396">
        <f t="shared" si="228"/>
        <v>8.4666666666666668</v>
      </c>
      <c r="T124" s="379">
        <f t="shared" si="223"/>
        <v>8.4666666666666668</v>
      </c>
      <c r="U124" s="290">
        <f t="shared" ref="U124:W129" si="229">T124</f>
        <v>8.4666666666666668</v>
      </c>
      <c r="V124" s="290">
        <f t="shared" si="229"/>
        <v>8.4666666666666668</v>
      </c>
      <c r="W124" s="396">
        <f t="shared" si="229"/>
        <v>8.4666666666666668</v>
      </c>
      <c r="AB124" s="154"/>
      <c r="AC124" s="379">
        <f t="shared" ref="AC124:AC129" si="230">T124</f>
        <v>8.4666666666666668</v>
      </c>
      <c r="AD124" s="290">
        <f t="shared" ref="AD124:AD129" si="231">AC124</f>
        <v>8.4666666666666668</v>
      </c>
      <c r="AE124" s="290">
        <f t="shared" si="225"/>
        <v>8.4666666666666668</v>
      </c>
      <c r="AF124" s="396">
        <f t="shared" si="225"/>
        <v>8.4666666666666668</v>
      </c>
      <c r="AG124" s="154"/>
      <c r="AH124" s="615"/>
      <c r="AI124" s="379">
        <f t="shared" ref="AI124:AI129" si="232">AC124</f>
        <v>8.4666666666666668</v>
      </c>
      <c r="AJ124" s="290">
        <f t="shared" ref="AJ124:AJ129" si="233">AI124</f>
        <v>8.4666666666666668</v>
      </c>
      <c r="AK124" s="290">
        <f t="shared" si="226"/>
        <v>8.4666666666666668</v>
      </c>
      <c r="AL124" s="396">
        <f t="shared" si="226"/>
        <v>8.4666666666666668</v>
      </c>
      <c r="AM124" s="684"/>
      <c r="AN124" s="299"/>
      <c r="AO124" s="2"/>
      <c r="AP124" s="2"/>
      <c r="AQ124" s="2"/>
      <c r="AR124" s="2"/>
      <c r="AS124" s="2"/>
      <c r="AT124" s="2"/>
    </row>
    <row r="125" spans="1:70" outlineLevel="2">
      <c r="A125" s="436" t="s">
        <v>65</v>
      </c>
      <c r="B125" s="2"/>
      <c r="C125" s="2"/>
      <c r="D125" s="1061"/>
      <c r="E125" s="2"/>
      <c r="G125" s="379">
        <f t="shared" si="220"/>
        <v>5.7666666666666666</v>
      </c>
      <c r="H125" s="429">
        <f t="shared" si="221"/>
        <v>5.7666666666666666</v>
      </c>
      <c r="I125" s="429">
        <f t="shared" si="221"/>
        <v>5.7666666666666666</v>
      </c>
      <c r="J125" s="433">
        <f t="shared" si="221"/>
        <v>5.7666666666666666</v>
      </c>
      <c r="K125" s="511"/>
      <c r="L125" s="429"/>
      <c r="M125" s="423"/>
      <c r="N125" s="379">
        <f t="shared" si="227"/>
        <v>6.4666666666666668</v>
      </c>
      <c r="O125" s="290">
        <f t="shared" si="228"/>
        <v>6.4666666666666668</v>
      </c>
      <c r="P125" s="290">
        <f t="shared" si="228"/>
        <v>6.4666666666666668</v>
      </c>
      <c r="Q125" s="396">
        <f t="shared" si="228"/>
        <v>6.4666666666666668</v>
      </c>
      <c r="T125" s="379">
        <f t="shared" si="223"/>
        <v>6.4666666666666668</v>
      </c>
      <c r="U125" s="290">
        <f t="shared" si="229"/>
        <v>6.4666666666666668</v>
      </c>
      <c r="V125" s="290">
        <f t="shared" si="229"/>
        <v>6.4666666666666668</v>
      </c>
      <c r="W125" s="396">
        <f t="shared" si="229"/>
        <v>6.4666666666666668</v>
      </c>
      <c r="AB125" s="154"/>
      <c r="AC125" s="379">
        <f t="shared" si="230"/>
        <v>6.4666666666666668</v>
      </c>
      <c r="AD125" s="290">
        <f t="shared" si="231"/>
        <v>6.4666666666666668</v>
      </c>
      <c r="AE125" s="290">
        <f t="shared" si="225"/>
        <v>6.4666666666666668</v>
      </c>
      <c r="AF125" s="396">
        <f t="shared" si="225"/>
        <v>6.4666666666666668</v>
      </c>
      <c r="AG125" s="154"/>
      <c r="AH125" s="615"/>
      <c r="AI125" s="379">
        <f t="shared" si="232"/>
        <v>6.4666666666666668</v>
      </c>
      <c r="AJ125" s="290">
        <f t="shared" si="233"/>
        <v>6.4666666666666668</v>
      </c>
      <c r="AK125" s="290">
        <f t="shared" si="226"/>
        <v>6.4666666666666668</v>
      </c>
      <c r="AL125" s="396">
        <f t="shared" si="226"/>
        <v>6.4666666666666668</v>
      </c>
      <c r="AM125" s="684"/>
      <c r="AN125" s="299"/>
      <c r="AO125" s="2"/>
      <c r="AP125" s="2"/>
      <c r="AQ125" s="2"/>
      <c r="AR125" s="2"/>
      <c r="AS125" s="2"/>
      <c r="AT125" s="2"/>
    </row>
    <row r="126" spans="1:70" outlineLevel="2">
      <c r="A126" s="436" t="s">
        <v>66</v>
      </c>
      <c r="B126" s="2"/>
      <c r="C126" s="2"/>
      <c r="D126" s="1061"/>
      <c r="E126" s="2"/>
      <c r="G126" s="379">
        <f t="shared" si="220"/>
        <v>4.9666666666666668</v>
      </c>
      <c r="H126" s="429">
        <f t="shared" si="221"/>
        <v>4.9666666666666668</v>
      </c>
      <c r="I126" s="429">
        <f t="shared" si="221"/>
        <v>4.9666666666666668</v>
      </c>
      <c r="J126" s="433">
        <f t="shared" si="221"/>
        <v>4.9666666666666668</v>
      </c>
      <c r="K126" s="511"/>
      <c r="L126" s="429"/>
      <c r="M126" s="423"/>
      <c r="N126" s="379">
        <f t="shared" si="227"/>
        <v>5.666666666666667</v>
      </c>
      <c r="O126" s="290">
        <f t="shared" si="228"/>
        <v>5.666666666666667</v>
      </c>
      <c r="P126" s="290">
        <f t="shared" si="228"/>
        <v>5.666666666666667</v>
      </c>
      <c r="Q126" s="396">
        <f t="shared" si="228"/>
        <v>5.666666666666667</v>
      </c>
      <c r="T126" s="379">
        <f t="shared" si="223"/>
        <v>5.666666666666667</v>
      </c>
      <c r="U126" s="290">
        <f t="shared" si="229"/>
        <v>5.666666666666667</v>
      </c>
      <c r="V126" s="290">
        <f t="shared" si="229"/>
        <v>5.666666666666667</v>
      </c>
      <c r="W126" s="396">
        <f t="shared" si="229"/>
        <v>5.666666666666667</v>
      </c>
      <c r="AB126" s="154"/>
      <c r="AC126" s="379">
        <f t="shared" si="230"/>
        <v>5.666666666666667</v>
      </c>
      <c r="AD126" s="290">
        <f t="shared" si="231"/>
        <v>5.666666666666667</v>
      </c>
      <c r="AE126" s="290">
        <f t="shared" si="225"/>
        <v>5.666666666666667</v>
      </c>
      <c r="AF126" s="396">
        <f t="shared" si="225"/>
        <v>5.666666666666667</v>
      </c>
      <c r="AG126" s="154"/>
      <c r="AH126" s="615"/>
      <c r="AI126" s="379">
        <f t="shared" si="232"/>
        <v>5.666666666666667</v>
      </c>
      <c r="AJ126" s="290">
        <f t="shared" si="233"/>
        <v>5.666666666666667</v>
      </c>
      <c r="AK126" s="290">
        <f t="shared" si="226"/>
        <v>5.666666666666667</v>
      </c>
      <c r="AL126" s="396">
        <f t="shared" si="226"/>
        <v>5.666666666666667</v>
      </c>
      <c r="AM126" s="684"/>
      <c r="AN126" s="299"/>
      <c r="AO126" s="2"/>
      <c r="AP126" s="2"/>
      <c r="AQ126" s="2"/>
      <c r="AR126" s="2"/>
      <c r="AS126" s="2"/>
      <c r="AT126" s="2"/>
    </row>
    <row r="127" spans="1:70" outlineLevel="2">
      <c r="A127" s="436" t="s">
        <v>328</v>
      </c>
      <c r="B127" s="2"/>
      <c r="C127" s="2"/>
      <c r="D127" s="1061"/>
      <c r="E127" s="2"/>
      <c r="G127" s="379">
        <f t="shared" si="220"/>
        <v>4.3</v>
      </c>
      <c r="H127" s="429">
        <f t="shared" si="221"/>
        <v>4.3</v>
      </c>
      <c r="I127" s="429">
        <f t="shared" si="221"/>
        <v>4.3</v>
      </c>
      <c r="J127" s="433">
        <f t="shared" si="221"/>
        <v>4.3</v>
      </c>
      <c r="K127" s="511"/>
      <c r="L127" s="429"/>
      <c r="M127" s="423"/>
      <c r="N127" s="379">
        <f t="shared" si="227"/>
        <v>5</v>
      </c>
      <c r="O127" s="290">
        <f t="shared" si="228"/>
        <v>5</v>
      </c>
      <c r="P127" s="290">
        <f t="shared" si="228"/>
        <v>5</v>
      </c>
      <c r="Q127" s="396">
        <f t="shared" si="228"/>
        <v>5</v>
      </c>
      <c r="T127" s="379">
        <f t="shared" si="223"/>
        <v>5</v>
      </c>
      <c r="U127" s="290">
        <f t="shared" si="229"/>
        <v>5</v>
      </c>
      <c r="V127" s="290">
        <f t="shared" si="229"/>
        <v>5</v>
      </c>
      <c r="W127" s="396">
        <f t="shared" si="229"/>
        <v>5</v>
      </c>
      <c r="AB127" s="154"/>
      <c r="AC127" s="379">
        <f t="shared" si="230"/>
        <v>5</v>
      </c>
      <c r="AD127" s="290">
        <f t="shared" si="231"/>
        <v>5</v>
      </c>
      <c r="AE127" s="290">
        <f t="shared" si="225"/>
        <v>5</v>
      </c>
      <c r="AF127" s="396">
        <f t="shared" si="225"/>
        <v>5</v>
      </c>
      <c r="AG127" s="154"/>
      <c r="AH127" s="615"/>
      <c r="AI127" s="379">
        <f t="shared" si="232"/>
        <v>5</v>
      </c>
      <c r="AJ127" s="290">
        <f t="shared" si="233"/>
        <v>5</v>
      </c>
      <c r="AK127" s="290">
        <f t="shared" si="226"/>
        <v>5</v>
      </c>
      <c r="AL127" s="396">
        <f t="shared" si="226"/>
        <v>5</v>
      </c>
      <c r="AM127" s="684"/>
      <c r="AN127" s="299"/>
      <c r="AO127" s="2"/>
      <c r="AP127" s="2"/>
      <c r="AQ127" s="2"/>
      <c r="AR127" s="2"/>
      <c r="AS127" s="2"/>
      <c r="AT127" s="2"/>
    </row>
    <row r="128" spans="1:70" outlineLevel="2">
      <c r="A128" s="1044" t="s">
        <v>329</v>
      </c>
      <c r="B128" s="2"/>
      <c r="C128" s="2"/>
      <c r="D128" s="1061"/>
      <c r="E128" s="2"/>
      <c r="G128" s="380">
        <f t="shared" si="220"/>
        <v>3.2333333333333334</v>
      </c>
      <c r="H128" s="434">
        <f t="shared" si="221"/>
        <v>3.2333333333333334</v>
      </c>
      <c r="I128" s="434">
        <f t="shared" si="221"/>
        <v>3.2333333333333334</v>
      </c>
      <c r="J128" s="435">
        <f t="shared" si="221"/>
        <v>3.2333333333333334</v>
      </c>
      <c r="K128" s="511"/>
      <c r="L128" s="429"/>
      <c r="M128" s="423"/>
      <c r="N128" s="380">
        <f t="shared" si="227"/>
        <v>3.9333333333333336</v>
      </c>
      <c r="O128" s="397">
        <f t="shared" si="228"/>
        <v>3.9333333333333336</v>
      </c>
      <c r="P128" s="397">
        <f t="shared" si="228"/>
        <v>3.9333333333333336</v>
      </c>
      <c r="Q128" s="398">
        <f t="shared" si="228"/>
        <v>3.9333333333333336</v>
      </c>
      <c r="T128" s="380">
        <f t="shared" si="223"/>
        <v>3.9333333333333336</v>
      </c>
      <c r="U128" s="397">
        <f t="shared" si="229"/>
        <v>3.9333333333333336</v>
      </c>
      <c r="V128" s="397">
        <f t="shared" si="229"/>
        <v>3.9333333333333336</v>
      </c>
      <c r="W128" s="398">
        <f t="shared" si="229"/>
        <v>3.9333333333333336</v>
      </c>
      <c r="AB128" s="154"/>
      <c r="AC128" s="380">
        <f t="shared" si="230"/>
        <v>3.9333333333333336</v>
      </c>
      <c r="AD128" s="397">
        <f t="shared" si="231"/>
        <v>3.9333333333333336</v>
      </c>
      <c r="AE128" s="397">
        <f t="shared" si="225"/>
        <v>3.9333333333333336</v>
      </c>
      <c r="AF128" s="398">
        <f t="shared" si="225"/>
        <v>3.9333333333333336</v>
      </c>
      <c r="AG128" s="154"/>
      <c r="AH128" s="615"/>
      <c r="AI128" s="380">
        <f t="shared" si="232"/>
        <v>3.9333333333333336</v>
      </c>
      <c r="AJ128" s="397">
        <f t="shared" si="233"/>
        <v>3.9333333333333336</v>
      </c>
      <c r="AK128" s="397">
        <f t="shared" si="226"/>
        <v>3.9333333333333336</v>
      </c>
      <c r="AL128" s="398">
        <f t="shared" si="226"/>
        <v>3.9333333333333336</v>
      </c>
      <c r="AM128" s="684"/>
      <c r="AN128" s="299"/>
      <c r="AO128" s="2"/>
      <c r="AP128" s="2"/>
      <c r="AQ128" s="2"/>
      <c r="AR128" s="2"/>
      <c r="AS128" s="2"/>
      <c r="AT128" s="2"/>
    </row>
    <row r="129" spans="1:70" s="762" customFormat="1" outlineLevel="2">
      <c r="A129" s="1045"/>
      <c r="B129" s="400"/>
      <c r="C129" s="400"/>
      <c r="D129" s="1073"/>
      <c r="E129" s="400"/>
      <c r="F129" s="400"/>
      <c r="G129" s="154">
        <f>AVERAGE(G123:G128)</f>
        <v>6.0333333333333323</v>
      </c>
      <c r="H129" s="400">
        <f t="shared" si="221"/>
        <v>6.0333333333333323</v>
      </c>
      <c r="I129" s="400">
        <f t="shared" si="221"/>
        <v>6.0333333333333323</v>
      </c>
      <c r="J129" s="400">
        <f t="shared" si="221"/>
        <v>6.0333333333333323</v>
      </c>
      <c r="K129" s="760"/>
      <c r="L129" s="400"/>
      <c r="N129" s="154">
        <f t="shared" ref="N129" si="234">G129+1</f>
        <v>7.0333333333333323</v>
      </c>
      <c r="O129" s="154">
        <f t="shared" si="228"/>
        <v>7.0333333333333323</v>
      </c>
      <c r="P129" s="154">
        <f t="shared" si="228"/>
        <v>7.0333333333333323</v>
      </c>
      <c r="Q129" s="154">
        <f t="shared" si="228"/>
        <v>7.0333333333333323</v>
      </c>
      <c r="R129" s="299"/>
      <c r="S129" s="154"/>
      <c r="T129" s="154">
        <f t="shared" si="223"/>
        <v>7.0333333333333323</v>
      </c>
      <c r="U129" s="154">
        <f t="shared" si="229"/>
        <v>7.0333333333333323</v>
      </c>
      <c r="V129" s="154">
        <f t="shared" si="229"/>
        <v>7.0333333333333323</v>
      </c>
      <c r="W129" s="154">
        <f t="shared" si="229"/>
        <v>7.0333333333333323</v>
      </c>
      <c r="X129" s="299"/>
      <c r="Y129" s="154"/>
      <c r="Z129" s="154"/>
      <c r="AA129" s="154"/>
      <c r="AB129" s="154"/>
      <c r="AC129" s="154">
        <f t="shared" si="230"/>
        <v>7.0333333333333323</v>
      </c>
      <c r="AD129" s="154">
        <f t="shared" si="231"/>
        <v>7.0333333333333323</v>
      </c>
      <c r="AE129" s="154">
        <f t="shared" si="225"/>
        <v>7.0333333333333323</v>
      </c>
      <c r="AF129" s="154">
        <f t="shared" si="225"/>
        <v>7.0333333333333323</v>
      </c>
      <c r="AG129" s="154"/>
      <c r="AH129" s="615"/>
      <c r="AI129" s="154">
        <f t="shared" si="232"/>
        <v>7.0333333333333323</v>
      </c>
      <c r="AJ129" s="154">
        <f t="shared" si="233"/>
        <v>7.0333333333333323</v>
      </c>
      <c r="AK129" s="154">
        <f t="shared" si="226"/>
        <v>7.0333333333333323</v>
      </c>
      <c r="AL129" s="154">
        <f t="shared" si="226"/>
        <v>7.0333333333333323</v>
      </c>
      <c r="AM129" s="684"/>
      <c r="AN129" s="299"/>
      <c r="AO129" s="400"/>
      <c r="AP129" s="400"/>
      <c r="AQ129" s="400"/>
      <c r="AR129" s="400"/>
      <c r="AS129" s="400"/>
      <c r="AT129" s="400"/>
      <c r="AU129" s="154"/>
      <c r="AV129" s="154"/>
      <c r="AW129" s="154"/>
      <c r="AX129" s="154"/>
      <c r="AY129" s="154"/>
      <c r="AZ129" s="154"/>
      <c r="BG129" s="154"/>
      <c r="BH129" s="154"/>
      <c r="BI129" s="154"/>
      <c r="BJ129" s="154"/>
      <c r="BK129" s="154"/>
      <c r="BL129" s="154"/>
      <c r="BM129" s="154"/>
      <c r="BN129" s="154"/>
      <c r="BO129" s="154"/>
      <c r="BP129" s="154"/>
      <c r="BQ129" s="154"/>
      <c r="BR129" s="154"/>
    </row>
    <row r="130" spans="1:70" s="425" customFormat="1" outlineLevel="2">
      <c r="A130" s="382" t="s">
        <v>346</v>
      </c>
      <c r="B130" s="452"/>
      <c r="C130" s="452"/>
      <c r="D130" s="1071"/>
      <c r="E130" s="452"/>
      <c r="F130" s="356"/>
      <c r="G130" s="354"/>
      <c r="H130" s="354"/>
      <c r="I130" s="354"/>
      <c r="J130" s="354"/>
      <c r="K130" s="512"/>
      <c r="L130" s="430"/>
      <c r="N130" s="354"/>
      <c r="O130" s="354"/>
      <c r="P130" s="354"/>
      <c r="Q130" s="354"/>
      <c r="R130" s="503"/>
      <c r="S130" s="43"/>
      <c r="T130" s="354"/>
      <c r="U130" s="354"/>
      <c r="V130" s="354"/>
      <c r="W130" s="354"/>
      <c r="X130" s="503"/>
      <c r="Y130" s="43"/>
      <c r="Z130" s="43"/>
      <c r="AA130" s="43"/>
      <c r="AB130" s="633"/>
      <c r="AC130" s="633"/>
      <c r="AD130" s="633"/>
      <c r="AE130" s="633"/>
      <c r="AF130" s="633"/>
      <c r="AG130" s="633"/>
      <c r="AH130" s="833"/>
      <c r="AI130" s="633"/>
      <c r="AJ130" s="633"/>
      <c r="AK130" s="633"/>
      <c r="AL130" s="633"/>
      <c r="AM130" s="834"/>
      <c r="AN130" s="562"/>
      <c r="AO130" s="356"/>
      <c r="AP130" s="356"/>
      <c r="AQ130" s="356"/>
      <c r="AR130" s="356"/>
      <c r="AS130" s="356"/>
      <c r="AT130" s="356"/>
      <c r="AU130" s="43"/>
      <c r="AV130" s="43"/>
      <c r="AW130" s="43"/>
      <c r="AX130" s="43"/>
      <c r="AY130" s="43"/>
      <c r="AZ130" s="43"/>
      <c r="BG130" s="43"/>
      <c r="BH130" s="43"/>
      <c r="BI130" s="43"/>
      <c r="BJ130" s="43"/>
      <c r="BK130" s="43"/>
      <c r="BL130" s="43"/>
      <c r="BM130" s="43"/>
      <c r="BN130" s="43"/>
      <c r="BO130" s="43"/>
      <c r="BP130" s="43"/>
      <c r="BQ130" s="43"/>
      <c r="BR130" s="43"/>
    </row>
    <row r="131" spans="1:70" outlineLevel="2">
      <c r="A131" s="1043" t="s">
        <v>327</v>
      </c>
      <c r="B131" s="2"/>
      <c r="C131" s="2"/>
      <c r="D131" s="1061"/>
      <c r="E131" s="2"/>
      <c r="G131" s="378">
        <f>'MPS др метрики'!E110</f>
        <v>10.166666666666666</v>
      </c>
      <c r="H131" s="431">
        <f t="shared" ref="H131:J136" si="235">G131</f>
        <v>10.166666666666666</v>
      </c>
      <c r="I131" s="431">
        <f t="shared" si="235"/>
        <v>10.166666666666666</v>
      </c>
      <c r="J131" s="431">
        <f t="shared" si="235"/>
        <v>10.166666666666666</v>
      </c>
      <c r="K131" s="511"/>
      <c r="L131" s="429"/>
      <c r="M131" s="423"/>
      <c r="N131" s="378">
        <f t="shared" ref="N131:Q136" si="236">G131</f>
        <v>10.166666666666666</v>
      </c>
      <c r="O131" s="394">
        <f t="shared" si="236"/>
        <v>10.166666666666666</v>
      </c>
      <c r="P131" s="394">
        <f t="shared" si="236"/>
        <v>10.166666666666666</v>
      </c>
      <c r="Q131" s="395">
        <f t="shared" si="236"/>
        <v>10.166666666666666</v>
      </c>
      <c r="T131" s="378">
        <f t="shared" ref="T131:W136" si="237">N131</f>
        <v>10.166666666666666</v>
      </c>
      <c r="U131" s="394">
        <f t="shared" si="237"/>
        <v>10.166666666666666</v>
      </c>
      <c r="V131" s="394">
        <f t="shared" si="237"/>
        <v>10.166666666666666</v>
      </c>
      <c r="W131" s="395">
        <f t="shared" si="237"/>
        <v>10.166666666666666</v>
      </c>
      <c r="AB131" s="154"/>
      <c r="AC131" s="378">
        <f t="shared" ref="AC131:AF136" si="238">T131</f>
        <v>10.166666666666666</v>
      </c>
      <c r="AD131" s="394">
        <f t="shared" si="238"/>
        <v>10.166666666666666</v>
      </c>
      <c r="AE131" s="394">
        <f t="shared" si="238"/>
        <v>10.166666666666666</v>
      </c>
      <c r="AF131" s="395">
        <f t="shared" si="238"/>
        <v>10.166666666666666</v>
      </c>
      <c r="AG131" s="154"/>
      <c r="AH131" s="615"/>
      <c r="AI131" s="378">
        <f t="shared" ref="AI131:AL136" si="239">AC131</f>
        <v>10.166666666666666</v>
      </c>
      <c r="AJ131" s="394">
        <f t="shared" si="239"/>
        <v>10.166666666666666</v>
      </c>
      <c r="AK131" s="394">
        <f t="shared" si="239"/>
        <v>10.166666666666666</v>
      </c>
      <c r="AL131" s="395">
        <f t="shared" si="239"/>
        <v>10.166666666666666</v>
      </c>
      <c r="AM131" s="684"/>
      <c r="AN131" s="299"/>
      <c r="AO131" s="2"/>
      <c r="AP131" s="2"/>
      <c r="AQ131" s="2"/>
      <c r="AR131" s="2"/>
      <c r="AS131" s="2"/>
      <c r="AT131" s="2"/>
    </row>
    <row r="132" spans="1:70" outlineLevel="2">
      <c r="A132" s="436" t="s">
        <v>62</v>
      </c>
      <c r="B132" s="2"/>
      <c r="C132" s="2"/>
      <c r="D132" s="1061"/>
      <c r="E132" s="2"/>
      <c r="G132" s="379">
        <f>'MPS др метрики'!E111</f>
        <v>7.7666666666666666</v>
      </c>
      <c r="H132" s="429">
        <f t="shared" si="235"/>
        <v>7.7666666666666666</v>
      </c>
      <c r="I132" s="429">
        <f t="shared" si="235"/>
        <v>7.7666666666666666</v>
      </c>
      <c r="J132" s="429">
        <f t="shared" si="235"/>
        <v>7.7666666666666666</v>
      </c>
      <c r="K132" s="511"/>
      <c r="L132" s="429"/>
      <c r="M132" s="423"/>
      <c r="N132" s="379">
        <f t="shared" si="236"/>
        <v>7.7666666666666666</v>
      </c>
      <c r="O132" s="290">
        <f t="shared" si="236"/>
        <v>7.7666666666666666</v>
      </c>
      <c r="P132" s="290">
        <f t="shared" si="236"/>
        <v>7.7666666666666666</v>
      </c>
      <c r="Q132" s="396">
        <f t="shared" si="236"/>
        <v>7.7666666666666666</v>
      </c>
      <c r="T132" s="379">
        <f t="shared" si="237"/>
        <v>7.7666666666666666</v>
      </c>
      <c r="U132" s="290">
        <f t="shared" si="237"/>
        <v>7.7666666666666666</v>
      </c>
      <c r="V132" s="290">
        <f t="shared" si="237"/>
        <v>7.7666666666666666</v>
      </c>
      <c r="W132" s="396">
        <f t="shared" si="237"/>
        <v>7.7666666666666666</v>
      </c>
      <c r="AB132" s="154"/>
      <c r="AC132" s="379">
        <f t="shared" si="238"/>
        <v>7.7666666666666666</v>
      </c>
      <c r="AD132" s="290">
        <f t="shared" si="238"/>
        <v>7.7666666666666666</v>
      </c>
      <c r="AE132" s="290">
        <f t="shared" si="238"/>
        <v>7.7666666666666666</v>
      </c>
      <c r="AF132" s="396">
        <f t="shared" si="238"/>
        <v>7.7666666666666666</v>
      </c>
      <c r="AG132" s="154"/>
      <c r="AH132" s="615"/>
      <c r="AI132" s="379">
        <f t="shared" si="239"/>
        <v>7.7666666666666666</v>
      </c>
      <c r="AJ132" s="290">
        <f t="shared" si="239"/>
        <v>7.7666666666666666</v>
      </c>
      <c r="AK132" s="290">
        <f t="shared" si="239"/>
        <v>7.7666666666666666</v>
      </c>
      <c r="AL132" s="396">
        <f t="shared" si="239"/>
        <v>7.7666666666666666</v>
      </c>
      <c r="AM132" s="684"/>
      <c r="AN132" s="299"/>
      <c r="AO132" s="2"/>
      <c r="AP132" s="2"/>
      <c r="AQ132" s="2"/>
      <c r="AR132" s="2"/>
      <c r="AS132" s="2"/>
      <c r="AT132" s="2"/>
    </row>
    <row r="133" spans="1:70" outlineLevel="2">
      <c r="A133" s="436" t="s">
        <v>65</v>
      </c>
      <c r="B133" s="2"/>
      <c r="C133" s="2"/>
      <c r="D133" s="1061"/>
      <c r="E133" s="2"/>
      <c r="G133" s="379">
        <f>'MPS др метрики'!E112</f>
        <v>5.7666666666666666</v>
      </c>
      <c r="H133" s="429">
        <f t="shared" si="235"/>
        <v>5.7666666666666666</v>
      </c>
      <c r="I133" s="429">
        <f t="shared" si="235"/>
        <v>5.7666666666666666</v>
      </c>
      <c r="J133" s="429">
        <f t="shared" si="235"/>
        <v>5.7666666666666666</v>
      </c>
      <c r="K133" s="511"/>
      <c r="L133" s="429"/>
      <c r="M133" s="423"/>
      <c r="N133" s="379">
        <f t="shared" si="236"/>
        <v>5.7666666666666666</v>
      </c>
      <c r="O133" s="290">
        <f t="shared" si="236"/>
        <v>5.7666666666666666</v>
      </c>
      <c r="P133" s="290">
        <f t="shared" si="236"/>
        <v>5.7666666666666666</v>
      </c>
      <c r="Q133" s="396">
        <f t="shared" si="236"/>
        <v>5.7666666666666666</v>
      </c>
      <c r="T133" s="379">
        <f t="shared" si="237"/>
        <v>5.7666666666666666</v>
      </c>
      <c r="U133" s="290">
        <f t="shared" si="237"/>
        <v>5.7666666666666666</v>
      </c>
      <c r="V133" s="290">
        <f t="shared" si="237"/>
        <v>5.7666666666666666</v>
      </c>
      <c r="W133" s="396">
        <f t="shared" si="237"/>
        <v>5.7666666666666666</v>
      </c>
      <c r="AB133" s="154"/>
      <c r="AC133" s="379">
        <f t="shared" si="238"/>
        <v>5.7666666666666666</v>
      </c>
      <c r="AD133" s="290">
        <f t="shared" si="238"/>
        <v>5.7666666666666666</v>
      </c>
      <c r="AE133" s="290">
        <f t="shared" si="238"/>
        <v>5.7666666666666666</v>
      </c>
      <c r="AF133" s="396">
        <f t="shared" si="238"/>
        <v>5.7666666666666666</v>
      </c>
      <c r="AG133" s="154"/>
      <c r="AH133" s="615"/>
      <c r="AI133" s="379">
        <f t="shared" si="239"/>
        <v>5.7666666666666666</v>
      </c>
      <c r="AJ133" s="290">
        <f t="shared" si="239"/>
        <v>5.7666666666666666</v>
      </c>
      <c r="AK133" s="290">
        <f t="shared" si="239"/>
        <v>5.7666666666666666</v>
      </c>
      <c r="AL133" s="396">
        <f t="shared" si="239"/>
        <v>5.7666666666666666</v>
      </c>
      <c r="AM133" s="684"/>
      <c r="AN133" s="299"/>
      <c r="AO133" s="2"/>
      <c r="AP133" s="2"/>
      <c r="AQ133" s="2"/>
      <c r="AR133" s="2"/>
      <c r="AS133" s="2"/>
      <c r="AT133" s="2"/>
    </row>
    <row r="134" spans="1:70" outlineLevel="2">
      <c r="A134" s="436" t="s">
        <v>66</v>
      </c>
      <c r="B134" s="2"/>
      <c r="C134" s="2"/>
      <c r="D134" s="1061"/>
      <c r="E134" s="2"/>
      <c r="G134" s="379">
        <f>'MPS др метрики'!E113</f>
        <v>4.9666666666666668</v>
      </c>
      <c r="H134" s="429">
        <f t="shared" si="235"/>
        <v>4.9666666666666668</v>
      </c>
      <c r="I134" s="429">
        <f t="shared" si="235"/>
        <v>4.9666666666666668</v>
      </c>
      <c r="J134" s="429">
        <f t="shared" si="235"/>
        <v>4.9666666666666668</v>
      </c>
      <c r="K134" s="511"/>
      <c r="L134" s="429"/>
      <c r="M134" s="423"/>
      <c r="N134" s="379">
        <f t="shared" si="236"/>
        <v>4.9666666666666668</v>
      </c>
      <c r="O134" s="290">
        <f t="shared" si="236"/>
        <v>4.9666666666666668</v>
      </c>
      <c r="P134" s="290">
        <f t="shared" si="236"/>
        <v>4.9666666666666668</v>
      </c>
      <c r="Q134" s="396">
        <f t="shared" si="236"/>
        <v>4.9666666666666668</v>
      </c>
      <c r="T134" s="379">
        <f t="shared" si="237"/>
        <v>4.9666666666666668</v>
      </c>
      <c r="U134" s="290">
        <f t="shared" si="237"/>
        <v>4.9666666666666668</v>
      </c>
      <c r="V134" s="290">
        <f t="shared" si="237"/>
        <v>4.9666666666666668</v>
      </c>
      <c r="W134" s="396">
        <f t="shared" si="237"/>
        <v>4.9666666666666668</v>
      </c>
      <c r="AB134" s="154"/>
      <c r="AC134" s="379">
        <f t="shared" si="238"/>
        <v>4.9666666666666668</v>
      </c>
      <c r="AD134" s="290">
        <f t="shared" si="238"/>
        <v>4.9666666666666668</v>
      </c>
      <c r="AE134" s="290">
        <f t="shared" si="238"/>
        <v>4.9666666666666668</v>
      </c>
      <c r="AF134" s="396">
        <f t="shared" si="238"/>
        <v>4.9666666666666668</v>
      </c>
      <c r="AG134" s="154"/>
      <c r="AH134" s="615"/>
      <c r="AI134" s="379">
        <f t="shared" si="239"/>
        <v>4.9666666666666668</v>
      </c>
      <c r="AJ134" s="290">
        <f t="shared" si="239"/>
        <v>4.9666666666666668</v>
      </c>
      <c r="AK134" s="290">
        <f t="shared" si="239"/>
        <v>4.9666666666666668</v>
      </c>
      <c r="AL134" s="396">
        <f t="shared" si="239"/>
        <v>4.9666666666666668</v>
      </c>
      <c r="AM134" s="684"/>
      <c r="AN134" s="299"/>
      <c r="AO134" s="2"/>
      <c r="AP134" s="2"/>
      <c r="AQ134" s="2"/>
      <c r="AR134" s="2"/>
      <c r="AS134" s="2"/>
      <c r="AT134" s="2"/>
    </row>
    <row r="135" spans="1:70" outlineLevel="2">
      <c r="A135" s="436" t="s">
        <v>328</v>
      </c>
      <c r="B135" s="2"/>
      <c r="C135" s="2"/>
      <c r="D135" s="1061"/>
      <c r="E135" s="2"/>
      <c r="G135" s="379">
        <f>'MPS др метрики'!E114</f>
        <v>4.3</v>
      </c>
      <c r="H135" s="429">
        <f t="shared" si="235"/>
        <v>4.3</v>
      </c>
      <c r="I135" s="429">
        <f t="shared" si="235"/>
        <v>4.3</v>
      </c>
      <c r="J135" s="429">
        <f t="shared" si="235"/>
        <v>4.3</v>
      </c>
      <c r="K135" s="511"/>
      <c r="L135" s="429"/>
      <c r="M135" s="423"/>
      <c r="N135" s="379">
        <f t="shared" si="236"/>
        <v>4.3</v>
      </c>
      <c r="O135" s="290">
        <f t="shared" si="236"/>
        <v>4.3</v>
      </c>
      <c r="P135" s="290">
        <f t="shared" si="236"/>
        <v>4.3</v>
      </c>
      <c r="Q135" s="396">
        <f t="shared" si="236"/>
        <v>4.3</v>
      </c>
      <c r="T135" s="379">
        <f t="shared" si="237"/>
        <v>4.3</v>
      </c>
      <c r="U135" s="290">
        <f t="shared" si="237"/>
        <v>4.3</v>
      </c>
      <c r="V135" s="290">
        <f t="shared" si="237"/>
        <v>4.3</v>
      </c>
      <c r="W135" s="396">
        <f t="shared" si="237"/>
        <v>4.3</v>
      </c>
      <c r="AB135" s="154"/>
      <c r="AC135" s="379">
        <f t="shared" si="238"/>
        <v>4.3</v>
      </c>
      <c r="AD135" s="290">
        <f t="shared" si="238"/>
        <v>4.3</v>
      </c>
      <c r="AE135" s="290">
        <f t="shared" si="238"/>
        <v>4.3</v>
      </c>
      <c r="AF135" s="396">
        <f t="shared" si="238"/>
        <v>4.3</v>
      </c>
      <c r="AG135" s="154"/>
      <c r="AH135" s="615"/>
      <c r="AI135" s="379">
        <f t="shared" si="239"/>
        <v>4.3</v>
      </c>
      <c r="AJ135" s="290">
        <f t="shared" si="239"/>
        <v>4.3</v>
      </c>
      <c r="AK135" s="290">
        <f t="shared" si="239"/>
        <v>4.3</v>
      </c>
      <c r="AL135" s="396">
        <f t="shared" si="239"/>
        <v>4.3</v>
      </c>
      <c r="AM135" s="684"/>
      <c r="AN135" s="299"/>
      <c r="AO135" s="2"/>
      <c r="AP135" s="2"/>
      <c r="AQ135" s="2"/>
      <c r="AR135" s="2"/>
      <c r="AS135" s="2"/>
      <c r="AT135" s="2"/>
    </row>
    <row r="136" spans="1:70" outlineLevel="2">
      <c r="A136" s="1044" t="s">
        <v>329</v>
      </c>
      <c r="B136" s="2"/>
      <c r="C136" s="2"/>
      <c r="D136" s="1061"/>
      <c r="E136" s="2"/>
      <c r="G136" s="380">
        <f>'MPS др метрики'!E115</f>
        <v>3.2333333333333334</v>
      </c>
      <c r="H136" s="434">
        <f t="shared" si="235"/>
        <v>3.2333333333333334</v>
      </c>
      <c r="I136" s="434">
        <f t="shared" si="235"/>
        <v>3.2333333333333334</v>
      </c>
      <c r="J136" s="434">
        <f t="shared" si="235"/>
        <v>3.2333333333333334</v>
      </c>
      <c r="K136" s="511"/>
      <c r="L136" s="429"/>
      <c r="M136" s="423"/>
      <c r="N136" s="380">
        <f t="shared" si="236"/>
        <v>3.2333333333333334</v>
      </c>
      <c r="O136" s="397">
        <f t="shared" si="236"/>
        <v>3.2333333333333334</v>
      </c>
      <c r="P136" s="397">
        <f t="shared" si="236"/>
        <v>3.2333333333333334</v>
      </c>
      <c r="Q136" s="398">
        <f t="shared" si="236"/>
        <v>3.2333333333333334</v>
      </c>
      <c r="T136" s="380">
        <f t="shared" si="237"/>
        <v>3.2333333333333334</v>
      </c>
      <c r="U136" s="397">
        <f t="shared" si="237"/>
        <v>3.2333333333333334</v>
      </c>
      <c r="V136" s="397">
        <f t="shared" si="237"/>
        <v>3.2333333333333334</v>
      </c>
      <c r="W136" s="398">
        <f t="shared" si="237"/>
        <v>3.2333333333333334</v>
      </c>
      <c r="AB136" s="154"/>
      <c r="AC136" s="380">
        <f t="shared" si="238"/>
        <v>3.2333333333333334</v>
      </c>
      <c r="AD136" s="397">
        <f t="shared" si="238"/>
        <v>3.2333333333333334</v>
      </c>
      <c r="AE136" s="397">
        <f t="shared" si="238"/>
        <v>3.2333333333333334</v>
      </c>
      <c r="AF136" s="398">
        <f t="shared" si="238"/>
        <v>3.2333333333333334</v>
      </c>
      <c r="AG136" s="154"/>
      <c r="AH136" s="615"/>
      <c r="AI136" s="380">
        <f t="shared" si="239"/>
        <v>3.2333333333333334</v>
      </c>
      <c r="AJ136" s="397">
        <f t="shared" si="239"/>
        <v>3.2333333333333334</v>
      </c>
      <c r="AK136" s="397">
        <f t="shared" si="239"/>
        <v>3.2333333333333334</v>
      </c>
      <c r="AL136" s="398">
        <f t="shared" si="239"/>
        <v>3.2333333333333334</v>
      </c>
      <c r="AM136" s="684"/>
      <c r="AN136" s="299"/>
      <c r="AO136" s="2"/>
      <c r="AP136" s="2"/>
      <c r="AQ136" s="2"/>
      <c r="AR136" s="2"/>
      <c r="AS136" s="2"/>
      <c r="AT136" s="2"/>
    </row>
    <row r="137" spans="1:70" outlineLevel="2">
      <c r="A137" s="436"/>
      <c r="B137" s="2"/>
      <c r="C137" s="2"/>
      <c r="D137" s="1061"/>
      <c r="E137" s="2"/>
      <c r="G137" s="169"/>
      <c r="H137" s="169"/>
      <c r="I137" s="169"/>
      <c r="J137" s="169"/>
      <c r="K137" s="407"/>
      <c r="L137" s="169"/>
      <c r="M137" s="423"/>
      <c r="N137" s="169"/>
      <c r="O137" s="169"/>
      <c r="P137" s="169"/>
      <c r="Q137" s="169"/>
      <c r="T137" s="169"/>
      <c r="U137" s="169"/>
      <c r="V137" s="169"/>
      <c r="W137" s="169"/>
      <c r="AB137" s="154"/>
      <c r="AC137" s="154"/>
      <c r="AD137" s="154"/>
      <c r="AE137" s="154"/>
      <c r="AF137" s="154"/>
      <c r="AG137" s="154"/>
      <c r="AH137" s="615"/>
      <c r="AI137" s="154"/>
      <c r="AJ137" s="154"/>
      <c r="AK137" s="154"/>
      <c r="AL137" s="154"/>
      <c r="AM137" s="684"/>
      <c r="AN137" s="299"/>
      <c r="AO137" s="2"/>
      <c r="AP137" s="2"/>
      <c r="AQ137" s="2"/>
      <c r="AR137" s="2"/>
      <c r="AS137" s="2"/>
      <c r="AT137" s="2"/>
    </row>
    <row r="138" spans="1:70" outlineLevel="2">
      <c r="A138" s="436"/>
      <c r="B138" s="2"/>
      <c r="C138" s="2"/>
      <c r="D138" s="1061"/>
      <c r="E138" s="2"/>
      <c r="G138" s="169"/>
      <c r="AO138" s="2"/>
      <c r="AP138" s="2"/>
      <c r="AQ138" s="2"/>
      <c r="AR138" s="2"/>
      <c r="AS138" s="2"/>
      <c r="AT138" s="2"/>
    </row>
    <row r="139" spans="1:70" s="418" customFormat="1" ht="20" outlineLevel="2">
      <c r="A139" s="1041" t="s">
        <v>349</v>
      </c>
      <c r="B139" s="417"/>
      <c r="C139" s="417"/>
      <c r="D139" s="1069"/>
      <c r="E139" s="417"/>
      <c r="G139" s="419"/>
      <c r="H139" s="420"/>
      <c r="I139" s="420"/>
      <c r="J139" s="420"/>
      <c r="K139" s="500"/>
      <c r="L139" s="420"/>
      <c r="N139" s="421"/>
      <c r="O139" s="421"/>
      <c r="P139" s="421"/>
      <c r="Q139" s="421"/>
      <c r="R139" s="531"/>
      <c r="S139" s="421"/>
      <c r="T139" s="420"/>
      <c r="U139" s="420"/>
      <c r="V139" s="420"/>
      <c r="W139" s="420"/>
      <c r="X139" s="500"/>
      <c r="Y139" s="420"/>
      <c r="Z139" s="420"/>
      <c r="AA139" s="420"/>
      <c r="AB139" s="420"/>
      <c r="AC139" s="420"/>
      <c r="AD139" s="420"/>
      <c r="AE139" s="420"/>
      <c r="AF139" s="420"/>
      <c r="AG139" s="420"/>
      <c r="AH139" s="822"/>
      <c r="AI139" s="420"/>
      <c r="AJ139" s="420"/>
      <c r="AK139" s="420"/>
      <c r="AL139" s="420"/>
      <c r="AM139" s="823"/>
      <c r="AN139" s="500"/>
      <c r="AO139" s="417"/>
      <c r="AP139" s="417"/>
      <c r="AQ139" s="417"/>
      <c r="AR139" s="417"/>
      <c r="AS139" s="417"/>
      <c r="AT139" s="417"/>
      <c r="AU139" s="421"/>
      <c r="AV139" s="421"/>
      <c r="AW139" s="421"/>
      <c r="AX139" s="421"/>
      <c r="AY139" s="421"/>
      <c r="AZ139" s="421"/>
      <c r="BG139" s="421"/>
      <c r="BH139" s="421"/>
      <c r="BI139" s="421"/>
      <c r="BJ139" s="421"/>
      <c r="BK139" s="421"/>
      <c r="BL139" s="421"/>
      <c r="BM139" s="421"/>
      <c r="BN139" s="421"/>
      <c r="BO139" s="421"/>
      <c r="BP139" s="421"/>
      <c r="BQ139" s="421"/>
      <c r="BR139" s="421"/>
    </row>
    <row r="140" spans="1:70" ht="20" outlineLevel="2">
      <c r="A140" s="87" t="s">
        <v>350</v>
      </c>
      <c r="F140" s="729"/>
      <c r="G140" s="169">
        <v>60000</v>
      </c>
      <c r="H140" s="169">
        <f>G140</f>
        <v>60000</v>
      </c>
      <c r="I140" s="169">
        <f t="shared" ref="I140:J142" si="240">H140</f>
        <v>60000</v>
      </c>
      <c r="J140" s="169">
        <f t="shared" si="240"/>
        <v>60000</v>
      </c>
      <c r="K140" s="407"/>
      <c r="L140" s="169"/>
      <c r="N140" s="169">
        <f t="shared" ref="N140:Q141" si="241">G140</f>
        <v>60000</v>
      </c>
      <c r="O140" s="169">
        <f t="shared" si="241"/>
        <v>60000</v>
      </c>
      <c r="P140" s="169">
        <f t="shared" si="241"/>
        <v>60000</v>
      </c>
      <c r="Q140" s="169">
        <f t="shared" si="241"/>
        <v>60000</v>
      </c>
      <c r="R140" s="407"/>
      <c r="S140" s="788"/>
      <c r="T140" s="169">
        <f t="shared" ref="T140:W141" si="242">N140</f>
        <v>60000</v>
      </c>
      <c r="U140" s="169">
        <f t="shared" si="242"/>
        <v>60000</v>
      </c>
      <c r="V140" s="169">
        <f t="shared" si="242"/>
        <v>60000</v>
      </c>
      <c r="W140" s="169">
        <f t="shared" si="242"/>
        <v>60000</v>
      </c>
      <c r="AB140" s="788"/>
      <c r="AC140" s="169">
        <f t="shared" ref="AC140:AF141" si="243">T140</f>
        <v>60000</v>
      </c>
      <c r="AD140" s="169">
        <f t="shared" si="243"/>
        <v>60000</v>
      </c>
      <c r="AE140" s="169">
        <f t="shared" si="243"/>
        <v>60000</v>
      </c>
      <c r="AF140" s="169">
        <f t="shared" si="243"/>
        <v>60000</v>
      </c>
      <c r="AH140" s="835"/>
      <c r="AI140" s="169">
        <f>AC140</f>
        <v>60000</v>
      </c>
      <c r="AJ140" s="169">
        <f t="shared" ref="AJ140:AL141" si="244">AD140</f>
        <v>60000</v>
      </c>
      <c r="AK140" s="169">
        <f t="shared" si="244"/>
        <v>60000</v>
      </c>
      <c r="AL140" s="169">
        <f t="shared" si="244"/>
        <v>60000</v>
      </c>
      <c r="AO140" s="13"/>
      <c r="AP140" s="13"/>
      <c r="AQ140" s="13"/>
      <c r="AR140" s="13"/>
      <c r="AS140" s="13"/>
      <c r="AT140" s="13"/>
    </row>
    <row r="141" spans="1:70" ht="20" outlineLevel="2">
      <c r="A141" s="87" t="s">
        <v>351</v>
      </c>
      <c r="F141" s="729"/>
      <c r="G141" s="169">
        <v>40000</v>
      </c>
      <c r="H141" s="169">
        <f>G141</f>
        <v>40000</v>
      </c>
      <c r="I141" s="169">
        <f t="shared" si="240"/>
        <v>40000</v>
      </c>
      <c r="J141" s="169">
        <f t="shared" si="240"/>
        <v>40000</v>
      </c>
      <c r="K141" s="407"/>
      <c r="L141" s="169"/>
      <c r="N141" s="169">
        <f t="shared" si="241"/>
        <v>40000</v>
      </c>
      <c r="O141" s="169">
        <f t="shared" si="241"/>
        <v>40000</v>
      </c>
      <c r="P141" s="169">
        <f t="shared" si="241"/>
        <v>40000</v>
      </c>
      <c r="Q141" s="169">
        <f t="shared" si="241"/>
        <v>40000</v>
      </c>
      <c r="R141" s="407"/>
      <c r="S141" s="788"/>
      <c r="T141" s="169">
        <f t="shared" si="242"/>
        <v>40000</v>
      </c>
      <c r="U141" s="169">
        <f t="shared" si="242"/>
        <v>40000</v>
      </c>
      <c r="V141" s="169">
        <f t="shared" si="242"/>
        <v>40000</v>
      </c>
      <c r="W141" s="169">
        <f t="shared" si="242"/>
        <v>40000</v>
      </c>
      <c r="AB141" s="788"/>
      <c r="AC141" s="169">
        <f t="shared" si="243"/>
        <v>40000</v>
      </c>
      <c r="AD141" s="169">
        <f t="shared" si="243"/>
        <v>40000</v>
      </c>
      <c r="AE141" s="169">
        <f t="shared" si="243"/>
        <v>40000</v>
      </c>
      <c r="AF141" s="169">
        <f t="shared" si="243"/>
        <v>40000</v>
      </c>
      <c r="AH141" s="835"/>
      <c r="AI141" s="169">
        <f>AC141</f>
        <v>40000</v>
      </c>
      <c r="AJ141" s="169">
        <f t="shared" si="244"/>
        <v>40000</v>
      </c>
      <c r="AK141" s="169">
        <f t="shared" si="244"/>
        <v>40000</v>
      </c>
      <c r="AL141" s="169">
        <f t="shared" si="244"/>
        <v>40000</v>
      </c>
      <c r="AO141" s="13"/>
      <c r="AP141" s="13"/>
      <c r="AQ141" s="13"/>
      <c r="AR141" s="13"/>
      <c r="AS141" s="13"/>
      <c r="AT141" s="13"/>
    </row>
    <row r="142" spans="1:70" s="425" customFormat="1" ht="40" outlineLevel="2">
      <c r="A142" s="529" t="s">
        <v>352</v>
      </c>
      <c r="B142" s="43"/>
      <c r="C142" s="43"/>
      <c r="D142" s="1074"/>
      <c r="E142" s="43"/>
      <c r="F142" s="730"/>
      <c r="G142" s="354">
        <v>0</v>
      </c>
      <c r="H142" s="354">
        <f>G142</f>
        <v>0</v>
      </c>
      <c r="I142" s="354">
        <f>I141</f>
        <v>40000</v>
      </c>
      <c r="J142" s="354">
        <f t="shared" si="240"/>
        <v>40000</v>
      </c>
      <c r="K142" s="515"/>
      <c r="L142" s="354"/>
      <c r="N142" s="422">
        <f>N141+N143</f>
        <v>48000</v>
      </c>
      <c r="O142" s="422">
        <f t="shared" ref="O142:Q142" si="245">O141+O143</f>
        <v>48000</v>
      </c>
      <c r="P142" s="422">
        <f t="shared" si="245"/>
        <v>48000</v>
      </c>
      <c r="Q142" s="422">
        <f t="shared" si="245"/>
        <v>48000</v>
      </c>
      <c r="R142" s="515"/>
      <c r="S142" s="360"/>
      <c r="T142" s="354">
        <f>N142</f>
        <v>48000</v>
      </c>
      <c r="U142" s="354">
        <f>T142</f>
        <v>48000</v>
      </c>
      <c r="V142" s="354">
        <f t="shared" ref="V142:W143" si="246">U142</f>
        <v>48000</v>
      </c>
      <c r="W142" s="354">
        <f t="shared" si="246"/>
        <v>48000</v>
      </c>
      <c r="X142" s="503"/>
      <c r="Y142" s="43"/>
      <c r="Z142" s="43"/>
      <c r="AA142" s="43"/>
      <c r="AB142" s="360"/>
      <c r="AC142" s="354">
        <f>T142</f>
        <v>48000</v>
      </c>
      <c r="AD142" s="354">
        <f>AC142</f>
        <v>48000</v>
      </c>
      <c r="AE142" s="354">
        <f t="shared" ref="AE142:AF143" si="247">AD142</f>
        <v>48000</v>
      </c>
      <c r="AF142" s="354">
        <f t="shared" si="247"/>
        <v>48000</v>
      </c>
      <c r="AG142" s="43"/>
      <c r="AH142" s="836"/>
      <c r="AI142" s="354">
        <f>AC142</f>
        <v>48000</v>
      </c>
      <c r="AJ142" s="354">
        <f>AI142</f>
        <v>48000</v>
      </c>
      <c r="AK142" s="354">
        <f t="shared" ref="AK142:AL143" si="248">AJ142</f>
        <v>48000</v>
      </c>
      <c r="AL142" s="354">
        <f t="shared" si="248"/>
        <v>48000</v>
      </c>
      <c r="AM142" s="828"/>
      <c r="AN142" s="503"/>
      <c r="AO142" s="355"/>
      <c r="AP142" s="355"/>
      <c r="AQ142" s="355"/>
      <c r="AR142" s="355"/>
      <c r="AS142" s="355"/>
      <c r="AT142" s="355"/>
      <c r="AU142" s="43"/>
      <c r="AV142" s="43"/>
      <c r="AW142" s="43"/>
      <c r="AX142" s="43"/>
      <c r="AY142" s="43"/>
      <c r="AZ142" s="43"/>
      <c r="BG142" s="43"/>
      <c r="BH142" s="43"/>
      <c r="BI142" s="43"/>
      <c r="BJ142" s="43"/>
      <c r="BK142" s="43"/>
      <c r="BL142" s="43"/>
      <c r="BM142" s="43"/>
      <c r="BN142" s="43"/>
      <c r="BO142" s="43"/>
      <c r="BP142" s="43"/>
      <c r="BQ142" s="43"/>
      <c r="BR142" s="43"/>
    </row>
    <row r="143" spans="1:70" ht="60" outlineLevel="2">
      <c r="F143" s="729"/>
      <c r="G143" s="169"/>
      <c r="H143" s="169"/>
      <c r="I143" s="169"/>
      <c r="J143" s="169"/>
      <c r="K143" s="407"/>
      <c r="L143" s="169"/>
      <c r="M143" s="1026" t="s">
        <v>366</v>
      </c>
      <c r="N143" s="345">
        <f>N141*N144-N141</f>
        <v>8000</v>
      </c>
      <c r="O143" s="345">
        <f>N143</f>
        <v>8000</v>
      </c>
      <c r="P143" s="345">
        <f t="shared" ref="P143:Q144" si="249">O143</f>
        <v>8000</v>
      </c>
      <c r="Q143" s="345">
        <f t="shared" si="249"/>
        <v>8000</v>
      </c>
      <c r="R143" s="407"/>
      <c r="S143" s="1031" t="s">
        <v>353</v>
      </c>
      <c r="T143" s="345">
        <f>N143</f>
        <v>8000</v>
      </c>
      <c r="U143" s="345">
        <f>T143</f>
        <v>8000</v>
      </c>
      <c r="V143" s="345">
        <f t="shared" si="246"/>
        <v>8000</v>
      </c>
      <c r="W143" s="345">
        <f t="shared" si="246"/>
        <v>8000</v>
      </c>
      <c r="AB143" s="1031" t="s">
        <v>353</v>
      </c>
      <c r="AC143" s="345">
        <f>T143</f>
        <v>8000</v>
      </c>
      <c r="AD143" s="345">
        <f>AC143</f>
        <v>8000</v>
      </c>
      <c r="AE143" s="345">
        <f t="shared" si="247"/>
        <v>8000</v>
      </c>
      <c r="AF143" s="345">
        <f t="shared" si="247"/>
        <v>8000</v>
      </c>
      <c r="AH143" s="837" t="s">
        <v>353</v>
      </c>
      <c r="AI143" s="345">
        <f>AC143</f>
        <v>8000</v>
      </c>
      <c r="AJ143" s="345">
        <f>AI143</f>
        <v>8000</v>
      </c>
      <c r="AK143" s="345">
        <f t="shared" si="248"/>
        <v>8000</v>
      </c>
      <c r="AL143" s="345">
        <f t="shared" si="248"/>
        <v>8000</v>
      </c>
      <c r="AO143" s="13"/>
      <c r="AP143" s="13"/>
      <c r="AQ143" s="13"/>
      <c r="AR143" s="13"/>
      <c r="AS143" s="13"/>
      <c r="AT143" s="13"/>
    </row>
    <row r="144" spans="1:70" outlineLevel="2">
      <c r="G144" s="2"/>
      <c r="H144" s="2"/>
      <c r="I144" s="2"/>
      <c r="J144" s="2"/>
      <c r="M144" s="450"/>
      <c r="N144" s="490">
        <v>1.2</v>
      </c>
      <c r="O144" s="490">
        <f>N144</f>
        <v>1.2</v>
      </c>
      <c r="P144" s="490">
        <f t="shared" si="249"/>
        <v>1.2</v>
      </c>
      <c r="Q144" s="490">
        <f t="shared" si="249"/>
        <v>1.2</v>
      </c>
      <c r="S144" s="450"/>
      <c r="T144" s="490">
        <f>N144</f>
        <v>1.2</v>
      </c>
      <c r="U144" s="490">
        <f>O144</f>
        <v>1.2</v>
      </c>
      <c r="V144" s="490">
        <f>P144</f>
        <v>1.2</v>
      </c>
      <c r="W144" s="449">
        <f>Q144</f>
        <v>1.2</v>
      </c>
      <c r="AB144" s="450"/>
      <c r="AC144" s="490">
        <f>T144</f>
        <v>1.2</v>
      </c>
      <c r="AD144" s="490">
        <f>U144</f>
        <v>1.2</v>
      </c>
      <c r="AE144" s="490">
        <f>V144</f>
        <v>1.2</v>
      </c>
      <c r="AF144" s="449">
        <f>W144</f>
        <v>1.2</v>
      </c>
      <c r="AH144" s="838"/>
      <c r="AI144" s="490">
        <f>AC144</f>
        <v>1.2</v>
      </c>
      <c r="AJ144" s="490">
        <f t="shared" ref="AJ144:AL144" si="250">AD144</f>
        <v>1.2</v>
      </c>
      <c r="AK144" s="490">
        <f t="shared" si="250"/>
        <v>1.2</v>
      </c>
      <c r="AL144" s="449">
        <f t="shared" si="250"/>
        <v>1.2</v>
      </c>
    </row>
    <row r="145" spans="1:70" outlineLevel="2">
      <c r="G145" s="2"/>
      <c r="N145" s="344" t="s">
        <v>365</v>
      </c>
      <c r="S145" s="450"/>
      <c r="T145" s="451" t="s">
        <v>354</v>
      </c>
      <c r="U145" s="450"/>
      <c r="V145" s="450"/>
      <c r="W145" s="450"/>
      <c r="AB145" s="450"/>
      <c r="AC145" s="451" t="s">
        <v>354</v>
      </c>
      <c r="AD145" s="450"/>
      <c r="AE145" s="450"/>
      <c r="AF145" s="450"/>
      <c r="AH145" s="838"/>
      <c r="AI145" s="451" t="s">
        <v>354</v>
      </c>
      <c r="AJ145" s="450"/>
      <c r="AK145" s="450"/>
      <c r="AL145" s="450"/>
    </row>
    <row r="146" spans="1:70" outlineLevel="2">
      <c r="G146" s="2"/>
      <c r="N146" s="423"/>
      <c r="Q146" s="139"/>
    </row>
    <row r="147" spans="1:70" s="418" customFormat="1" ht="20" outlineLevel="2">
      <c r="A147" s="1041" t="s">
        <v>335</v>
      </c>
      <c r="B147" s="417"/>
      <c r="C147" s="417"/>
      <c r="D147" s="1069"/>
      <c r="E147" s="417"/>
      <c r="G147" s="419"/>
      <c r="H147" s="420"/>
      <c r="I147" s="420"/>
      <c r="J147" s="420"/>
      <c r="K147" s="500"/>
      <c r="L147" s="420"/>
      <c r="M147" s="421"/>
      <c r="N147" s="421"/>
      <c r="O147" s="421"/>
      <c r="P147" s="421"/>
      <c r="Q147" s="421"/>
      <c r="R147" s="531"/>
      <c r="S147" s="421"/>
      <c r="T147" s="465"/>
      <c r="U147" s="420"/>
      <c r="V147" s="420"/>
      <c r="W147" s="420"/>
      <c r="X147" s="500"/>
      <c r="Y147" s="420"/>
      <c r="Z147" s="420"/>
      <c r="AA147" s="420"/>
      <c r="AB147" s="420"/>
      <c r="AC147" s="420"/>
      <c r="AD147" s="420"/>
      <c r="AE147" s="420"/>
      <c r="AF147" s="420"/>
      <c r="AG147" s="420"/>
      <c r="AH147" s="822"/>
      <c r="AI147" s="420"/>
      <c r="AJ147" s="420"/>
      <c r="AK147" s="420"/>
      <c r="AL147" s="420"/>
      <c r="AM147" s="823"/>
      <c r="AN147" s="500"/>
      <c r="AO147" s="417"/>
      <c r="AP147" s="417"/>
      <c r="AQ147" s="417"/>
      <c r="AR147" s="417"/>
      <c r="AS147" s="417"/>
      <c r="AT147" s="417"/>
      <c r="AU147" s="421"/>
      <c r="AV147" s="421"/>
      <c r="AW147" s="421"/>
      <c r="AX147" s="421"/>
      <c r="AY147" s="421"/>
      <c r="AZ147" s="421"/>
      <c r="BG147" s="421"/>
      <c r="BH147" s="421"/>
      <c r="BI147" s="421"/>
      <c r="BJ147" s="421"/>
      <c r="BK147" s="421"/>
      <c r="BL147" s="421"/>
      <c r="BM147" s="421"/>
      <c r="BN147" s="421"/>
      <c r="BO147" s="421"/>
      <c r="BP147" s="421"/>
      <c r="BQ147" s="421"/>
      <c r="BR147" s="421"/>
    </row>
    <row r="148" spans="1:70" s="446" customFormat="1" ht="20" outlineLevel="2">
      <c r="A148" s="565" t="s">
        <v>358</v>
      </c>
      <c r="B148" s="383"/>
      <c r="C148" s="383"/>
      <c r="D148" s="1075"/>
      <c r="E148" s="383"/>
      <c r="G148" s="814"/>
      <c r="H148" s="814"/>
      <c r="I148" s="814"/>
      <c r="J148" s="814"/>
      <c r="K148" s="523"/>
      <c r="L148" s="383"/>
      <c r="M148" s="445"/>
      <c r="N148" s="815">
        <f>G148</f>
        <v>0</v>
      </c>
      <c r="O148" s="815">
        <f>N148</f>
        <v>0</v>
      </c>
      <c r="P148" s="815">
        <f t="shared" ref="P148:Q148" si="251">O148</f>
        <v>0</v>
      </c>
      <c r="Q148" s="815">
        <f t="shared" si="251"/>
        <v>0</v>
      </c>
      <c r="R148" s="547"/>
      <c r="S148" s="385"/>
      <c r="T148" s="816">
        <f>T149+T150</f>
        <v>2921.4193220612015</v>
      </c>
      <c r="U148" s="816">
        <f>U149+U150</f>
        <v>2921.4193220612015</v>
      </c>
      <c r="V148" s="816">
        <f>V149+V150</f>
        <v>2921.4193220612015</v>
      </c>
      <c r="W148" s="816">
        <f>W149+W150</f>
        <v>2921.4193220612015</v>
      </c>
      <c r="X148" s="1315"/>
      <c r="Y148" s="815"/>
      <c r="Z148" s="815"/>
      <c r="AA148" s="815"/>
      <c r="AB148" s="383"/>
      <c r="AC148" s="816"/>
      <c r="AD148" s="816"/>
      <c r="AE148" s="816"/>
      <c r="AF148" s="816"/>
      <c r="AG148" s="815"/>
      <c r="AH148" s="839"/>
      <c r="AI148" s="815"/>
      <c r="AJ148" s="815"/>
      <c r="AK148" s="815"/>
      <c r="AL148" s="815"/>
      <c r="AM148" s="840"/>
      <c r="AN148" s="523"/>
      <c r="AO148" s="383"/>
      <c r="AP148" s="383"/>
      <c r="AQ148" s="383"/>
      <c r="AR148" s="383"/>
      <c r="AS148" s="383"/>
      <c r="AT148" s="383"/>
      <c r="AU148" s="385"/>
      <c r="AV148" s="385"/>
      <c r="AW148" s="385"/>
      <c r="AX148" s="385"/>
      <c r="AY148" s="385"/>
      <c r="AZ148" s="385"/>
      <c r="BG148" s="445" t="s">
        <v>141</v>
      </c>
      <c r="BH148" s="385"/>
      <c r="BI148" s="385"/>
      <c r="BJ148" s="385"/>
      <c r="BK148" s="385"/>
      <c r="BL148" s="385"/>
      <c r="BM148" s="385" t="s">
        <v>33</v>
      </c>
      <c r="BN148" s="385"/>
      <c r="BO148" s="385"/>
      <c r="BP148" s="385"/>
      <c r="BQ148" s="385"/>
      <c r="BR148" s="385"/>
    </row>
    <row r="149" spans="1:70" ht="20" outlineLevel="2">
      <c r="A149" s="1046" t="s">
        <v>479</v>
      </c>
      <c r="B149" s="935"/>
      <c r="C149" s="935"/>
      <c r="D149" s="1076"/>
      <c r="E149" s="935"/>
      <c r="F149" s="423"/>
      <c r="G149" s="169">
        <f>G175</f>
        <v>13400</v>
      </c>
      <c r="H149" s="169">
        <f>G149</f>
        <v>13400</v>
      </c>
      <c r="I149" s="169">
        <f t="shared" ref="I149:J149" si="252">H149</f>
        <v>13400</v>
      </c>
      <c r="J149" s="169">
        <f t="shared" si="252"/>
        <v>13400</v>
      </c>
      <c r="K149" s="297"/>
      <c r="L149" s="13"/>
      <c r="M149" s="788"/>
      <c r="N149" s="275">
        <f>N175</f>
        <v>8933.3333333333321</v>
      </c>
      <c r="O149" s="275">
        <f>N149</f>
        <v>8933.3333333333321</v>
      </c>
      <c r="P149" s="275">
        <f>O149</f>
        <v>8933.3333333333321</v>
      </c>
      <c r="Q149" s="275">
        <f>P149</f>
        <v>8933.3333333333321</v>
      </c>
      <c r="T149" s="169">
        <v>0</v>
      </c>
      <c r="U149" s="169">
        <v>0</v>
      </c>
      <c r="V149" s="169">
        <v>0</v>
      </c>
      <c r="W149" s="169">
        <v>0</v>
      </c>
      <c r="X149" s="407">
        <v>0</v>
      </c>
      <c r="Y149" s="169"/>
      <c r="Z149" s="169"/>
      <c r="AA149" s="169"/>
      <c r="AB149" s="13"/>
      <c r="AC149" s="169">
        <f>T149</f>
        <v>0</v>
      </c>
      <c r="AD149" s="169">
        <f>U149</f>
        <v>0</v>
      </c>
      <c r="AE149" s="169">
        <f>V149</f>
        <v>0</v>
      </c>
      <c r="AF149" s="169">
        <f>W149</f>
        <v>0</v>
      </c>
      <c r="AG149" s="169"/>
      <c r="AH149" s="826"/>
      <c r="AI149" s="275">
        <f>N149</f>
        <v>8933.3333333333321</v>
      </c>
      <c r="AJ149" s="275">
        <f>O149</f>
        <v>8933.3333333333321</v>
      </c>
      <c r="AK149" s="275">
        <f>P149</f>
        <v>8933.3333333333321</v>
      </c>
      <c r="AL149" s="275">
        <f>Q149</f>
        <v>8933.3333333333321</v>
      </c>
      <c r="AM149" s="614"/>
      <c r="AN149" s="297"/>
      <c r="AO149" s="13"/>
      <c r="AP149" s="13"/>
      <c r="AQ149" s="13"/>
      <c r="AR149" s="13"/>
      <c r="AS149" s="13"/>
      <c r="AT149" s="13"/>
      <c r="BG149" s="788"/>
    </row>
    <row r="150" spans="1:70" ht="20" outlineLevel="2">
      <c r="A150" s="1047" t="s">
        <v>505</v>
      </c>
      <c r="B150" s="359"/>
      <c r="C150" s="359"/>
      <c r="D150" s="1077"/>
      <c r="E150" s="359"/>
      <c r="F150" s="423"/>
      <c r="G150" s="427">
        <f>K150</f>
        <v>746.30864078922923</v>
      </c>
      <c r="H150" s="427">
        <f>K150</f>
        <v>746.30864078922923</v>
      </c>
      <c r="I150" s="427">
        <f>K150</f>
        <v>746.30864078922923</v>
      </c>
      <c r="J150" s="427">
        <f>K150</f>
        <v>746.30864078922923</v>
      </c>
      <c r="K150" s="510">
        <f>3000000/K21</f>
        <v>746.30864078922923</v>
      </c>
      <c r="L150" s="427"/>
      <c r="N150" s="427">
        <f>R150</f>
        <v>508.36130015499896</v>
      </c>
      <c r="O150" s="427">
        <f>R150</f>
        <v>508.36130015499896</v>
      </c>
      <c r="P150" s="427">
        <f>R150</f>
        <v>508.36130015499896</v>
      </c>
      <c r="Q150" s="427">
        <f>R150</f>
        <v>508.36130015499896</v>
      </c>
      <c r="R150" s="510">
        <f>3000000/R21</f>
        <v>508.36130015499896</v>
      </c>
      <c r="T150" s="427">
        <f>X150</f>
        <v>2921.4193220612015</v>
      </c>
      <c r="U150" s="427">
        <f>X150</f>
        <v>2921.4193220612015</v>
      </c>
      <c r="V150" s="427">
        <f>X150</f>
        <v>2921.4193220612015</v>
      </c>
      <c r="W150" s="427">
        <f>X150</f>
        <v>2921.4193220612015</v>
      </c>
      <c r="X150" s="510">
        <f>3000000/X21</f>
        <v>2921.4193220612015</v>
      </c>
      <c r="Y150" s="427"/>
      <c r="Z150" s="427"/>
      <c r="AA150" s="427"/>
      <c r="AB150" s="423"/>
      <c r="AC150" s="427">
        <f>AG150</f>
        <v>2921.419322061201</v>
      </c>
      <c r="AD150" s="427">
        <f>AG150</f>
        <v>2921.419322061201</v>
      </c>
      <c r="AE150" s="427">
        <f>AG150</f>
        <v>2921.419322061201</v>
      </c>
      <c r="AF150" s="427">
        <f>AG150</f>
        <v>2921.419322061201</v>
      </c>
      <c r="AG150" s="427">
        <f>3000000*AG151/AG21</f>
        <v>2921.419322061201</v>
      </c>
      <c r="AH150" s="841"/>
      <c r="AI150" s="427">
        <f>AM150</f>
        <v>508.36130015499907</v>
      </c>
      <c r="AJ150" s="427">
        <f>AM150</f>
        <v>508.36130015499907</v>
      </c>
      <c r="AK150" s="427">
        <f>AM150</f>
        <v>508.36130015499907</v>
      </c>
      <c r="AL150" s="427">
        <f>AM150</f>
        <v>508.36130015499907</v>
      </c>
      <c r="AM150" s="487">
        <f>3000000*AM151/AM21</f>
        <v>508.36130015499907</v>
      </c>
      <c r="AN150" s="504"/>
      <c r="AO150" s="423"/>
      <c r="AP150" s="423"/>
      <c r="AQ150" s="423"/>
      <c r="AR150" s="423"/>
      <c r="AS150" s="423"/>
      <c r="AT150" s="423"/>
      <c r="AU150" s="423"/>
      <c r="AV150" s="423"/>
      <c r="AW150" s="423"/>
      <c r="AX150" s="423"/>
      <c r="AY150" s="423"/>
      <c r="AZ150" s="423"/>
      <c r="BG150" s="423"/>
    </row>
    <row r="151" spans="1:70" outlineLevel="2">
      <c r="A151" s="1047"/>
      <c r="B151" s="359"/>
      <c r="C151" s="359"/>
      <c r="D151" s="1077"/>
      <c r="E151" s="359"/>
      <c r="F151" s="423"/>
      <c r="G151" s="427"/>
      <c r="H151" s="427"/>
      <c r="I151" s="427"/>
      <c r="J151" s="427"/>
      <c r="K151" s="510"/>
      <c r="L151" s="427"/>
      <c r="N151" s="427"/>
      <c r="O151" s="427"/>
      <c r="P151" s="427"/>
      <c r="Q151" s="427"/>
      <c r="R151" s="510"/>
      <c r="T151" s="427"/>
      <c r="U151" s="427"/>
      <c r="V151" s="427"/>
      <c r="W151" s="427"/>
      <c r="X151" s="510"/>
      <c r="Y151" s="427"/>
      <c r="Z151" s="427"/>
      <c r="AA151" s="427"/>
      <c r="AB151" s="423"/>
      <c r="AC151" s="427"/>
      <c r="AD151" s="427"/>
      <c r="AE151" s="427"/>
      <c r="AF151" s="427"/>
      <c r="AG151" s="817">
        <f>AG7/AN7</f>
        <v>0.86857536248143463</v>
      </c>
      <c r="AH151" s="841"/>
      <c r="AI151" s="427"/>
      <c r="AJ151" s="427"/>
      <c r="AK151" s="427"/>
      <c r="AL151" s="427"/>
      <c r="AM151" s="842">
        <f>100%-AG151</f>
        <v>0.13142463751856537</v>
      </c>
      <c r="AN151" s="504"/>
      <c r="AO151" s="423"/>
      <c r="AP151" s="423"/>
      <c r="AQ151" s="423"/>
      <c r="AR151" s="423"/>
      <c r="AS151" s="423"/>
      <c r="AT151" s="423"/>
      <c r="AU151" s="423"/>
      <c r="AV151" s="423"/>
      <c r="AW151" s="423"/>
      <c r="AX151" s="423"/>
      <c r="AY151" s="423"/>
      <c r="AZ151" s="423"/>
      <c r="BG151" s="423"/>
    </row>
    <row r="152" spans="1:70" ht="40" outlineLevel="2">
      <c r="A152" s="161" t="s">
        <v>504</v>
      </c>
      <c r="B152" s="13"/>
      <c r="C152" s="13"/>
      <c r="D152" s="1066"/>
      <c r="E152" s="13"/>
      <c r="F152" s="423"/>
      <c r="G152" s="255">
        <f>G184*4</f>
        <v>84.8</v>
      </c>
      <c r="H152" s="255">
        <f>G152</f>
        <v>84.8</v>
      </c>
      <c r="I152" s="255">
        <f>H152</f>
        <v>84.8</v>
      </c>
      <c r="J152" s="255">
        <f>I152</f>
        <v>84.8</v>
      </c>
      <c r="K152" s="407"/>
      <c r="L152" s="169"/>
      <c r="N152" s="255">
        <f>G152</f>
        <v>84.8</v>
      </c>
      <c r="O152" s="1166">
        <f>N152</f>
        <v>84.8</v>
      </c>
      <c r="P152" s="1166">
        <f t="shared" ref="P152:Q152" si="253">O152</f>
        <v>84.8</v>
      </c>
      <c r="Q152" s="1166">
        <f t="shared" si="253"/>
        <v>84.8</v>
      </c>
      <c r="T152" s="255">
        <f>N152</f>
        <v>84.8</v>
      </c>
      <c r="U152" s="1166">
        <f>T152</f>
        <v>84.8</v>
      </c>
      <c r="V152" s="1166">
        <f t="shared" ref="V152:W152" si="254">U152</f>
        <v>84.8</v>
      </c>
      <c r="W152" s="1166">
        <f t="shared" si="254"/>
        <v>84.8</v>
      </c>
      <c r="AB152" s="423"/>
      <c r="AC152" s="255">
        <f>T152</f>
        <v>84.8</v>
      </c>
      <c r="AD152" s="1166">
        <f>AC152</f>
        <v>84.8</v>
      </c>
      <c r="AE152" s="1166">
        <f t="shared" ref="AE152:AF152" si="255">AD152</f>
        <v>84.8</v>
      </c>
      <c r="AF152" s="1166">
        <f t="shared" si="255"/>
        <v>84.8</v>
      </c>
      <c r="AG152" s="423"/>
      <c r="AH152" s="841"/>
      <c r="AI152" s="255">
        <f>AC152</f>
        <v>84.8</v>
      </c>
      <c r="AJ152" s="1166">
        <f>AI152</f>
        <v>84.8</v>
      </c>
      <c r="AK152" s="1166">
        <f t="shared" ref="AK152:AL152" si="256">AJ152</f>
        <v>84.8</v>
      </c>
      <c r="AL152" s="1166">
        <f t="shared" si="256"/>
        <v>84.8</v>
      </c>
      <c r="AM152" s="423"/>
      <c r="AN152" s="504"/>
      <c r="AO152" s="423"/>
      <c r="AP152" s="423"/>
      <c r="AQ152" s="423"/>
      <c r="AR152" s="423"/>
      <c r="AS152" s="423"/>
      <c r="AT152" s="423"/>
      <c r="AU152" s="423"/>
      <c r="AV152" s="423"/>
      <c r="AW152" s="423"/>
      <c r="AX152" s="423"/>
      <c r="AY152" s="423"/>
      <c r="AZ152" s="423"/>
      <c r="BG152" s="423"/>
    </row>
    <row r="153" spans="1:70" s="440" customFormat="1" outlineLevel="2">
      <c r="A153" s="1048"/>
      <c r="B153" s="439"/>
      <c r="C153" s="439"/>
      <c r="D153" s="1078"/>
      <c r="E153" s="439"/>
      <c r="G153" s="441"/>
      <c r="H153" s="442"/>
      <c r="I153" s="442"/>
      <c r="J153" s="442"/>
      <c r="K153" s="520"/>
      <c r="L153" s="442"/>
      <c r="M153" s="443"/>
      <c r="N153" s="443"/>
      <c r="O153" s="443"/>
      <c r="P153" s="443"/>
      <c r="Q153" s="443"/>
      <c r="R153" s="543"/>
      <c r="S153" s="443"/>
      <c r="T153" s="442"/>
      <c r="U153" s="442"/>
      <c r="V153" s="442"/>
      <c r="W153" s="442"/>
      <c r="X153" s="520"/>
      <c r="Y153" s="442"/>
      <c r="Z153" s="442"/>
      <c r="AA153" s="442"/>
      <c r="AB153" s="442"/>
      <c r="AC153" s="442"/>
      <c r="AD153" s="442"/>
      <c r="AE153" s="442"/>
      <c r="AF153" s="442"/>
      <c r="AG153" s="442"/>
      <c r="AH153" s="843"/>
      <c r="AI153" s="442"/>
      <c r="AJ153" s="442"/>
      <c r="AK153" s="442"/>
      <c r="AL153" s="442"/>
      <c r="AM153" s="844"/>
      <c r="AN153" s="520"/>
      <c r="AO153" s="439"/>
      <c r="AP153" s="439"/>
      <c r="AQ153" s="439"/>
      <c r="AR153" s="439"/>
      <c r="AS153" s="439"/>
      <c r="AT153" s="439"/>
      <c r="AU153" s="443"/>
      <c r="AV153" s="443"/>
      <c r="AW153" s="443"/>
      <c r="AX153" s="443"/>
      <c r="AY153" s="443"/>
      <c r="AZ153" s="443"/>
      <c r="BG153" s="443"/>
      <c r="BH153" s="443"/>
      <c r="BI153" s="443"/>
      <c r="BJ153" s="443"/>
      <c r="BK153" s="443"/>
      <c r="BL153" s="443"/>
      <c r="BM153" s="443"/>
      <c r="BN153" s="443"/>
      <c r="BO153" s="443"/>
      <c r="BP153" s="443"/>
      <c r="BQ153" s="443"/>
      <c r="BR153" s="443"/>
    </row>
    <row r="154" spans="1:70" s="775" customFormat="1" ht="20" outlineLevel="2">
      <c r="A154" s="558" t="s">
        <v>361</v>
      </c>
      <c r="B154" s="355"/>
      <c r="C154" s="355"/>
      <c r="D154" s="1068"/>
      <c r="E154" s="355"/>
      <c r="G154" s="354">
        <f>G155</f>
        <v>212</v>
      </c>
      <c r="H154" s="354">
        <f t="shared" ref="H154:H159" si="257">G154</f>
        <v>212</v>
      </c>
      <c r="I154" s="354">
        <f t="shared" ref="I154:J155" si="258">H154</f>
        <v>212</v>
      </c>
      <c r="J154" s="354">
        <f t="shared" si="258"/>
        <v>212</v>
      </c>
      <c r="K154" s="776"/>
      <c r="L154" s="780"/>
      <c r="M154" s="43"/>
      <c r="N154" s="777">
        <f>G154</f>
        <v>212</v>
      </c>
      <c r="O154" s="777">
        <f>H154</f>
        <v>212</v>
      </c>
      <c r="P154" s="777">
        <f>I154</f>
        <v>212</v>
      </c>
      <c r="Q154" s="777">
        <f>J154</f>
        <v>212</v>
      </c>
      <c r="R154" s="778"/>
      <c r="S154" s="783"/>
      <c r="T154" s="777">
        <f>N154</f>
        <v>212</v>
      </c>
      <c r="U154" s="777">
        <f>O154</f>
        <v>212</v>
      </c>
      <c r="V154" s="777">
        <f>P154</f>
        <v>212</v>
      </c>
      <c r="W154" s="777">
        <f>Q154</f>
        <v>212</v>
      </c>
      <c r="X154" s="776"/>
      <c r="Y154" s="780"/>
      <c r="Z154" s="780"/>
      <c r="AA154" s="780"/>
      <c r="AB154" s="780"/>
      <c r="AC154" s="777">
        <f t="shared" ref="AC154:AF155" si="259">T154</f>
        <v>212</v>
      </c>
      <c r="AD154" s="777">
        <f t="shared" si="259"/>
        <v>212</v>
      </c>
      <c r="AE154" s="777">
        <f t="shared" si="259"/>
        <v>212</v>
      </c>
      <c r="AF154" s="777">
        <f t="shared" si="259"/>
        <v>212</v>
      </c>
      <c r="AG154" s="780"/>
      <c r="AH154" s="845"/>
      <c r="AI154" s="354">
        <f>N154</f>
        <v>212</v>
      </c>
      <c r="AJ154" s="354">
        <f>O154</f>
        <v>212</v>
      </c>
      <c r="AK154" s="354">
        <f>P154</f>
        <v>212</v>
      </c>
      <c r="AL154" s="354">
        <f>Q154</f>
        <v>212</v>
      </c>
      <c r="AM154" s="846"/>
      <c r="AN154" s="776"/>
      <c r="AO154" s="782"/>
      <c r="AP154" s="782"/>
      <c r="AQ154" s="782"/>
      <c r="AR154" s="782"/>
      <c r="AS154" s="782"/>
      <c r="AT154" s="782"/>
      <c r="AU154" s="783"/>
      <c r="AV154" s="783"/>
      <c r="AW154" s="783"/>
      <c r="AX154" s="783"/>
      <c r="AY154" s="783"/>
      <c r="AZ154" s="783"/>
      <c r="BG154" s="783"/>
      <c r="BH154" s="783"/>
      <c r="BI154" s="783"/>
      <c r="BJ154" s="783"/>
      <c r="BK154" s="783"/>
      <c r="BL154" s="783"/>
      <c r="BM154" s="783"/>
      <c r="BN154" s="783"/>
      <c r="BO154" s="783"/>
      <c r="BP154" s="783"/>
      <c r="BQ154" s="783"/>
      <c r="BR154" s="783"/>
    </row>
    <row r="155" spans="1:70" s="440" customFormat="1" ht="20" outlineLevel="2">
      <c r="A155" s="161" t="s">
        <v>502</v>
      </c>
      <c r="B155" s="13"/>
      <c r="C155" s="13"/>
      <c r="D155" s="1066"/>
      <c r="E155" s="13"/>
      <c r="G155" s="169">
        <f>G185</f>
        <v>212</v>
      </c>
      <c r="H155" s="169">
        <f t="shared" si="257"/>
        <v>212</v>
      </c>
      <c r="I155" s="169">
        <f t="shared" si="258"/>
        <v>212</v>
      </c>
      <c r="J155" s="169">
        <f t="shared" si="258"/>
        <v>212</v>
      </c>
      <c r="K155" s="520"/>
      <c r="L155" s="442"/>
      <c r="M155" s="443"/>
      <c r="N155" s="169">
        <f>N185</f>
        <v>212</v>
      </c>
      <c r="O155" s="169">
        <f>O185</f>
        <v>212</v>
      </c>
      <c r="P155" s="169">
        <f>P185</f>
        <v>212</v>
      </c>
      <c r="Q155" s="169">
        <f>Q185</f>
        <v>212</v>
      </c>
      <c r="R155" s="543"/>
      <c r="S155" s="443"/>
      <c r="T155" s="169">
        <f>T185</f>
        <v>212</v>
      </c>
      <c r="U155" s="169">
        <f>U185</f>
        <v>212</v>
      </c>
      <c r="V155" s="169">
        <f>V185</f>
        <v>212</v>
      </c>
      <c r="W155" s="169">
        <f>W185</f>
        <v>212</v>
      </c>
      <c r="X155" s="520"/>
      <c r="Y155" s="442"/>
      <c r="Z155" s="442"/>
      <c r="AA155" s="442"/>
      <c r="AB155" s="442"/>
      <c r="AC155" s="169">
        <f t="shared" si="259"/>
        <v>212</v>
      </c>
      <c r="AD155" s="169">
        <f t="shared" si="259"/>
        <v>212</v>
      </c>
      <c r="AE155" s="169">
        <f t="shared" si="259"/>
        <v>212</v>
      </c>
      <c r="AF155" s="169">
        <f t="shared" si="259"/>
        <v>212</v>
      </c>
      <c r="AG155" s="442"/>
      <c r="AH155" s="843"/>
      <c r="AI155" s="169">
        <f>AC155</f>
        <v>212</v>
      </c>
      <c r="AJ155" s="169">
        <f t="shared" ref="AJ155:AL155" si="260">AD155</f>
        <v>212</v>
      </c>
      <c r="AK155" s="169">
        <f t="shared" si="260"/>
        <v>212</v>
      </c>
      <c r="AL155" s="169">
        <f t="shared" si="260"/>
        <v>212</v>
      </c>
      <c r="AM155" s="844"/>
      <c r="AN155" s="520"/>
      <c r="AO155" s="439"/>
      <c r="AP155" s="439"/>
      <c r="AQ155" s="439"/>
      <c r="AR155" s="439"/>
      <c r="AS155" s="439"/>
      <c r="AT155" s="439"/>
      <c r="AU155" s="443"/>
      <c r="AV155" s="443"/>
      <c r="AW155" s="443"/>
      <c r="AX155" s="443"/>
      <c r="AY155" s="443"/>
      <c r="AZ155" s="443"/>
      <c r="BG155" s="443"/>
      <c r="BH155" s="443"/>
      <c r="BI155" s="443"/>
      <c r="BJ155" s="443"/>
      <c r="BK155" s="443"/>
      <c r="BL155" s="443"/>
      <c r="BM155" s="443"/>
      <c r="BN155" s="443"/>
      <c r="BO155" s="443"/>
      <c r="BP155" s="443"/>
      <c r="BQ155" s="443"/>
      <c r="BR155" s="443"/>
    </row>
    <row r="156" spans="1:70" s="440" customFormat="1" ht="40" outlineLevel="2">
      <c r="A156" s="161" t="s">
        <v>582</v>
      </c>
      <c r="B156" s="13"/>
      <c r="C156" s="13"/>
      <c r="D156" s="1066"/>
      <c r="E156" s="13"/>
      <c r="G156" s="169">
        <f>2.7*G166</f>
        <v>24.915600000000005</v>
      </c>
      <c r="H156" s="169">
        <f t="shared" si="257"/>
        <v>24.915600000000005</v>
      </c>
      <c r="I156" s="169">
        <f t="shared" ref="I156:J157" si="261">H156</f>
        <v>24.915600000000005</v>
      </c>
      <c r="J156" s="169">
        <f t="shared" si="261"/>
        <v>24.915600000000005</v>
      </c>
      <c r="K156" s="520"/>
      <c r="L156" s="442"/>
      <c r="M156" s="443"/>
      <c r="N156" s="169">
        <f t="shared" ref="N156:N161" si="262">G156</f>
        <v>24.915600000000005</v>
      </c>
      <c r="O156" s="169">
        <f>N156</f>
        <v>24.915600000000005</v>
      </c>
      <c r="P156" s="169">
        <f t="shared" ref="P156:Q156" si="263">O156</f>
        <v>24.915600000000005</v>
      </c>
      <c r="Q156" s="169">
        <f t="shared" si="263"/>
        <v>24.915600000000005</v>
      </c>
      <c r="R156" s="543"/>
      <c r="S156" s="443"/>
      <c r="T156" s="169">
        <f t="shared" ref="T156:T161" si="264">N156</f>
        <v>24.915600000000005</v>
      </c>
      <c r="U156" s="169">
        <f>T156</f>
        <v>24.915600000000005</v>
      </c>
      <c r="V156" s="169">
        <f t="shared" ref="V156:W158" si="265">U156</f>
        <v>24.915600000000005</v>
      </c>
      <c r="W156" s="169">
        <f t="shared" si="265"/>
        <v>24.915600000000005</v>
      </c>
      <c r="X156" s="520"/>
      <c r="Y156" s="442"/>
      <c r="Z156" s="442"/>
      <c r="AA156" s="442"/>
      <c r="AB156" s="442"/>
      <c r="AC156" s="169">
        <f t="shared" ref="AC156:AC161" si="266">T156</f>
        <v>24.915600000000005</v>
      </c>
      <c r="AD156" s="169">
        <f>AC156</f>
        <v>24.915600000000005</v>
      </c>
      <c r="AE156" s="169">
        <f t="shared" ref="AE156:AF156" si="267">AD156</f>
        <v>24.915600000000005</v>
      </c>
      <c r="AF156" s="169">
        <f t="shared" si="267"/>
        <v>24.915600000000005</v>
      </c>
      <c r="AG156" s="442"/>
      <c r="AH156" s="843"/>
      <c r="AI156" s="169">
        <f>AC156</f>
        <v>24.915600000000005</v>
      </c>
      <c r="AJ156" s="169">
        <f>AI156</f>
        <v>24.915600000000005</v>
      </c>
      <c r="AK156" s="169">
        <f t="shared" ref="AK156:AL156" si="268">AJ156</f>
        <v>24.915600000000005</v>
      </c>
      <c r="AL156" s="169">
        <f t="shared" si="268"/>
        <v>24.915600000000005</v>
      </c>
      <c r="AM156" s="844"/>
      <c r="AN156" s="520"/>
      <c r="AO156" s="439"/>
      <c r="AP156" s="439"/>
      <c r="AQ156" s="439"/>
      <c r="AR156" s="439"/>
      <c r="AS156" s="439"/>
      <c r="AT156" s="439"/>
      <c r="AU156" s="443"/>
      <c r="AV156" s="443"/>
      <c r="AW156" s="443"/>
      <c r="AX156" s="443"/>
      <c r="AY156" s="443"/>
      <c r="AZ156" s="443"/>
      <c r="BG156" s="443"/>
      <c r="BH156" s="443"/>
      <c r="BI156" s="443"/>
      <c r="BJ156" s="443"/>
      <c r="BK156" s="443"/>
      <c r="BL156" s="443"/>
      <c r="BM156" s="443"/>
      <c r="BN156" s="443"/>
      <c r="BO156" s="443"/>
      <c r="BP156" s="443"/>
      <c r="BQ156" s="443"/>
      <c r="BR156" s="443"/>
    </row>
    <row r="157" spans="1:70" s="440" customFormat="1" ht="40" outlineLevel="2">
      <c r="A157" s="161" t="s">
        <v>583</v>
      </c>
      <c r="B157" s="13"/>
      <c r="C157" s="13"/>
      <c r="D157" s="1066"/>
      <c r="E157" s="13"/>
      <c r="G157" s="1317">
        <f>2.7*G165</f>
        <v>5.6052000000000008</v>
      </c>
      <c r="H157" s="1317">
        <f t="shared" si="257"/>
        <v>5.6052000000000008</v>
      </c>
      <c r="I157" s="1317">
        <f t="shared" si="261"/>
        <v>5.6052000000000008</v>
      </c>
      <c r="J157" s="1317">
        <f t="shared" si="261"/>
        <v>5.6052000000000008</v>
      </c>
      <c r="K157" s="520"/>
      <c r="L157" s="442"/>
      <c r="M157" s="443"/>
      <c r="N157" s="1317">
        <f t="shared" si="262"/>
        <v>5.6052000000000008</v>
      </c>
      <c r="O157" s="1317">
        <f>N157</f>
        <v>5.6052000000000008</v>
      </c>
      <c r="P157" s="1317">
        <f t="shared" ref="P157:Q157" si="269">O157</f>
        <v>5.6052000000000008</v>
      </c>
      <c r="Q157" s="1317">
        <f t="shared" si="269"/>
        <v>5.6052000000000008</v>
      </c>
      <c r="R157" s="543"/>
      <c r="S157" s="443"/>
      <c r="T157" s="169">
        <f t="shared" si="264"/>
        <v>5.6052000000000008</v>
      </c>
      <c r="U157" s="169">
        <f>T157</f>
        <v>5.6052000000000008</v>
      </c>
      <c r="V157" s="169">
        <f t="shared" si="265"/>
        <v>5.6052000000000008</v>
      </c>
      <c r="W157" s="169">
        <f t="shared" si="265"/>
        <v>5.6052000000000008</v>
      </c>
      <c r="X157" s="520"/>
      <c r="Y157" s="442"/>
      <c r="Z157" s="442"/>
      <c r="AA157" s="442"/>
      <c r="AB157" s="442"/>
      <c r="AC157" s="169">
        <f t="shared" si="266"/>
        <v>5.6052000000000008</v>
      </c>
      <c r="AD157" s="169">
        <f t="shared" ref="AD157:AF157" si="270">AC157</f>
        <v>5.6052000000000008</v>
      </c>
      <c r="AE157" s="169">
        <f t="shared" si="270"/>
        <v>5.6052000000000008</v>
      </c>
      <c r="AF157" s="169">
        <f t="shared" si="270"/>
        <v>5.6052000000000008</v>
      </c>
      <c r="AG157" s="442"/>
      <c r="AH157" s="843"/>
      <c r="AI157" s="169">
        <f t="shared" ref="AI157:AI158" si="271">AC157</f>
        <v>5.6052000000000008</v>
      </c>
      <c r="AJ157" s="169">
        <f t="shared" ref="AJ157:AL158" si="272">AI157</f>
        <v>5.6052000000000008</v>
      </c>
      <c r="AK157" s="169">
        <f t="shared" si="272"/>
        <v>5.6052000000000008</v>
      </c>
      <c r="AL157" s="169">
        <f t="shared" si="272"/>
        <v>5.6052000000000008</v>
      </c>
      <c r="AM157" s="844"/>
      <c r="AN157" s="520"/>
      <c r="AO157" s="439"/>
      <c r="AP157" s="439"/>
      <c r="AQ157" s="439"/>
      <c r="AR157" s="439"/>
      <c r="AS157" s="439"/>
      <c r="AT157" s="439"/>
      <c r="AU157" s="443"/>
      <c r="AV157" s="443"/>
      <c r="AW157" s="443"/>
      <c r="AX157" s="443"/>
      <c r="AY157" s="443"/>
      <c r="AZ157" s="443"/>
      <c r="BG157" s="443"/>
      <c r="BH157" s="443"/>
      <c r="BI157" s="443"/>
      <c r="BJ157" s="443"/>
      <c r="BK157" s="443"/>
      <c r="BL157" s="443"/>
      <c r="BM157" s="443"/>
      <c r="BN157" s="443"/>
      <c r="BO157" s="443"/>
      <c r="BP157" s="443"/>
      <c r="BQ157" s="443"/>
      <c r="BR157" s="443"/>
    </row>
    <row r="158" spans="1:70" s="440" customFormat="1" ht="40" outlineLevel="2">
      <c r="A158" s="161" t="s">
        <v>581</v>
      </c>
      <c r="B158" s="13"/>
      <c r="C158" s="13"/>
      <c r="D158" s="1066"/>
      <c r="E158" s="13"/>
      <c r="G158" s="1317">
        <f>2.7*1</f>
        <v>2.7</v>
      </c>
      <c r="H158" s="1317">
        <f t="shared" si="257"/>
        <v>2.7</v>
      </c>
      <c r="I158" s="1317">
        <f t="shared" ref="I158:J158" si="273">H158</f>
        <v>2.7</v>
      </c>
      <c r="J158" s="1317">
        <f t="shared" si="273"/>
        <v>2.7</v>
      </c>
      <c r="K158" s="520"/>
      <c r="L158" s="442"/>
      <c r="M158" s="443"/>
      <c r="N158" s="1317">
        <f t="shared" si="262"/>
        <v>2.7</v>
      </c>
      <c r="O158" s="1317">
        <f>N158</f>
        <v>2.7</v>
      </c>
      <c r="P158" s="1317">
        <f t="shared" ref="P158:Q158" si="274">O158</f>
        <v>2.7</v>
      </c>
      <c r="Q158" s="1317">
        <f t="shared" si="274"/>
        <v>2.7</v>
      </c>
      <c r="R158" s="543"/>
      <c r="S158" s="443"/>
      <c r="T158" s="169">
        <f t="shared" si="264"/>
        <v>2.7</v>
      </c>
      <c r="U158" s="169">
        <f>T158</f>
        <v>2.7</v>
      </c>
      <c r="V158" s="169">
        <f t="shared" si="265"/>
        <v>2.7</v>
      </c>
      <c r="W158" s="169">
        <f t="shared" si="265"/>
        <v>2.7</v>
      </c>
      <c r="X158" s="520"/>
      <c r="Y158" s="442"/>
      <c r="Z158" s="442"/>
      <c r="AA158" s="442"/>
      <c r="AB158" s="442"/>
      <c r="AC158" s="169">
        <f t="shared" si="266"/>
        <v>2.7</v>
      </c>
      <c r="AD158" s="169">
        <f t="shared" ref="AD158:AF158" si="275">AC158</f>
        <v>2.7</v>
      </c>
      <c r="AE158" s="169">
        <f t="shared" si="275"/>
        <v>2.7</v>
      </c>
      <c r="AF158" s="169">
        <f t="shared" si="275"/>
        <v>2.7</v>
      </c>
      <c r="AG158" s="442"/>
      <c r="AH158" s="843"/>
      <c r="AI158" s="169">
        <f t="shared" si="271"/>
        <v>2.7</v>
      </c>
      <c r="AJ158" s="169">
        <f t="shared" si="272"/>
        <v>2.7</v>
      </c>
      <c r="AK158" s="169">
        <f t="shared" si="272"/>
        <v>2.7</v>
      </c>
      <c r="AL158" s="169">
        <f t="shared" si="272"/>
        <v>2.7</v>
      </c>
      <c r="AM158" s="844"/>
      <c r="AN158" s="520"/>
      <c r="AO158" s="439"/>
      <c r="AP158" s="439"/>
      <c r="AQ158" s="439"/>
      <c r="AR158" s="439"/>
      <c r="AS158" s="439"/>
      <c r="AT158" s="439"/>
      <c r="AU158" s="443"/>
      <c r="AV158" s="443"/>
      <c r="AW158" s="443"/>
      <c r="AX158" s="443"/>
      <c r="AY158" s="443"/>
      <c r="AZ158" s="443"/>
      <c r="BG158" s="443"/>
      <c r="BH158" s="443"/>
      <c r="BI158" s="443"/>
      <c r="BJ158" s="443"/>
      <c r="BK158" s="443"/>
      <c r="BL158" s="443"/>
      <c r="BM158" s="443"/>
      <c r="BN158" s="443"/>
      <c r="BO158" s="443"/>
      <c r="BP158" s="443"/>
      <c r="BQ158" s="443"/>
      <c r="BR158" s="443"/>
    </row>
    <row r="159" spans="1:70" s="440" customFormat="1" ht="20" outlineLevel="2">
      <c r="A159" s="161" t="s">
        <v>647</v>
      </c>
      <c r="B159" s="13"/>
      <c r="C159" s="13"/>
      <c r="D159" s="1066"/>
      <c r="E159" s="13"/>
      <c r="G159" s="812">
        <v>0.35</v>
      </c>
      <c r="H159" s="812">
        <f t="shared" si="257"/>
        <v>0.35</v>
      </c>
      <c r="I159" s="812">
        <f t="shared" ref="I159:J159" si="276">H159</f>
        <v>0.35</v>
      </c>
      <c r="J159" s="812">
        <f t="shared" si="276"/>
        <v>0.35</v>
      </c>
      <c r="K159" s="520"/>
      <c r="L159" s="442"/>
      <c r="M159" s="443"/>
      <c r="N159" s="812">
        <f t="shared" si="262"/>
        <v>0.35</v>
      </c>
      <c r="O159" s="644">
        <f>H159</f>
        <v>0.35</v>
      </c>
      <c r="P159" s="644">
        <f>I159</f>
        <v>0.35</v>
      </c>
      <c r="Q159" s="644">
        <f>J159</f>
        <v>0.35</v>
      </c>
      <c r="R159" s="543"/>
      <c r="S159" s="443"/>
      <c r="T159" s="812">
        <f t="shared" si="264"/>
        <v>0.35</v>
      </c>
      <c r="U159" s="644">
        <f>O159</f>
        <v>0.35</v>
      </c>
      <c r="V159" s="644">
        <f>P159</f>
        <v>0.35</v>
      </c>
      <c r="W159" s="644">
        <f>Q159</f>
        <v>0.35</v>
      </c>
      <c r="X159" s="520"/>
      <c r="Y159" s="442"/>
      <c r="Z159" s="442"/>
      <c r="AA159" s="442"/>
      <c r="AB159" s="442"/>
      <c r="AC159" s="812">
        <f t="shared" si="266"/>
        <v>0.35</v>
      </c>
      <c r="AD159" s="644">
        <f>U159</f>
        <v>0.35</v>
      </c>
      <c r="AE159" s="644">
        <f t="shared" ref="AE159" si="277">V159</f>
        <v>0.35</v>
      </c>
      <c r="AF159" s="644">
        <f t="shared" ref="AF159" si="278">W159</f>
        <v>0.35</v>
      </c>
      <c r="AG159" s="442"/>
      <c r="AH159" s="843"/>
      <c r="AI159" s="811">
        <f>AC159</f>
        <v>0.35</v>
      </c>
      <c r="AJ159" s="644">
        <f>AD159</f>
        <v>0.35</v>
      </c>
      <c r="AK159" s="644">
        <f t="shared" ref="AK159" si="279">AE159</f>
        <v>0.35</v>
      </c>
      <c r="AL159" s="644">
        <f t="shared" ref="AL159" si="280">AF159</f>
        <v>0.35</v>
      </c>
      <c r="AM159" s="844"/>
      <c r="AN159" s="520"/>
      <c r="AO159" s="439"/>
      <c r="AP159" s="439"/>
      <c r="AQ159" s="439"/>
      <c r="AR159" s="439"/>
      <c r="AS159" s="439"/>
      <c r="AT159" s="439"/>
      <c r="AU159" s="443"/>
      <c r="AV159" s="443"/>
      <c r="AW159" s="443"/>
      <c r="AX159" s="443"/>
      <c r="AY159" s="443"/>
      <c r="AZ159" s="443"/>
      <c r="BG159" s="443"/>
      <c r="BH159" s="443"/>
      <c r="BI159" s="443"/>
      <c r="BJ159" s="443"/>
      <c r="BK159" s="443"/>
      <c r="BL159" s="443"/>
      <c r="BM159" s="443"/>
      <c r="BN159" s="443"/>
      <c r="BO159" s="443"/>
      <c r="BP159" s="443"/>
      <c r="BQ159" s="443"/>
      <c r="BR159" s="443"/>
    </row>
    <row r="160" spans="1:70" s="440" customFormat="1" ht="20" outlineLevel="2">
      <c r="A160" s="161" t="s">
        <v>603</v>
      </c>
      <c r="B160" s="13"/>
      <c r="C160" s="13"/>
      <c r="D160" s="1066"/>
      <c r="E160" s="13"/>
      <c r="G160" s="812">
        <f>60%*G159</f>
        <v>0.21</v>
      </c>
      <c r="H160" s="812">
        <f t="shared" ref="H160:J160" si="281">60%*H159</f>
        <v>0.21</v>
      </c>
      <c r="I160" s="812">
        <f t="shared" si="281"/>
        <v>0.21</v>
      </c>
      <c r="J160" s="812">
        <f t="shared" si="281"/>
        <v>0.21</v>
      </c>
      <c r="K160" s="520"/>
      <c r="L160" s="442"/>
      <c r="M160" s="443"/>
      <c r="N160" s="812">
        <f t="shared" si="262"/>
        <v>0.21</v>
      </c>
      <c r="O160" s="812">
        <f t="shared" ref="O160:Q161" si="282">N160</f>
        <v>0.21</v>
      </c>
      <c r="P160" s="812">
        <f t="shared" si="282"/>
        <v>0.21</v>
      </c>
      <c r="Q160" s="812">
        <f t="shared" si="282"/>
        <v>0.21</v>
      </c>
      <c r="R160" s="543"/>
      <c r="S160" s="443"/>
      <c r="T160" s="812">
        <f t="shared" si="264"/>
        <v>0.21</v>
      </c>
      <c r="U160" s="812">
        <f t="shared" ref="U160:W161" si="283">T160</f>
        <v>0.21</v>
      </c>
      <c r="V160" s="812">
        <f t="shared" si="283"/>
        <v>0.21</v>
      </c>
      <c r="W160" s="812">
        <f t="shared" si="283"/>
        <v>0.21</v>
      </c>
      <c r="X160" s="520"/>
      <c r="Y160" s="442"/>
      <c r="Z160" s="442"/>
      <c r="AA160" s="442"/>
      <c r="AB160" s="442"/>
      <c r="AC160" s="812">
        <f t="shared" si="266"/>
        <v>0.21</v>
      </c>
      <c r="AD160" s="812">
        <f t="shared" ref="AD160:AF161" si="284">AC160</f>
        <v>0.21</v>
      </c>
      <c r="AE160" s="812">
        <f t="shared" si="284"/>
        <v>0.21</v>
      </c>
      <c r="AF160" s="812">
        <f t="shared" si="284"/>
        <v>0.21</v>
      </c>
      <c r="AG160" s="442"/>
      <c r="AH160" s="843"/>
      <c r="AI160" s="811">
        <f>AC160</f>
        <v>0.21</v>
      </c>
      <c r="AJ160" s="811">
        <f t="shared" ref="AJ160:AL161" si="285">AI160</f>
        <v>0.21</v>
      </c>
      <c r="AK160" s="811">
        <f t="shared" si="285"/>
        <v>0.21</v>
      </c>
      <c r="AL160" s="811">
        <f t="shared" si="285"/>
        <v>0.21</v>
      </c>
      <c r="AM160" s="844"/>
      <c r="AN160" s="520"/>
      <c r="AO160" s="439"/>
      <c r="AP160" s="439"/>
      <c r="AQ160" s="439"/>
      <c r="AR160" s="439"/>
      <c r="AS160" s="439"/>
      <c r="AT160" s="439"/>
      <c r="AU160" s="443"/>
      <c r="AV160" s="443"/>
      <c r="AW160" s="443"/>
      <c r="AX160" s="443"/>
      <c r="AY160" s="443"/>
      <c r="AZ160" s="443"/>
      <c r="BG160" s="443"/>
      <c r="BH160" s="443"/>
      <c r="BI160" s="443"/>
      <c r="BJ160" s="443"/>
      <c r="BK160" s="443"/>
      <c r="BL160" s="443"/>
      <c r="BM160" s="443"/>
      <c r="BN160" s="443"/>
      <c r="BO160" s="443"/>
      <c r="BP160" s="443"/>
      <c r="BQ160" s="443"/>
      <c r="BR160" s="443"/>
    </row>
    <row r="161" spans="1:70" s="440" customFormat="1" ht="20" outlineLevel="2">
      <c r="A161" s="161" t="s">
        <v>597</v>
      </c>
      <c r="B161" s="13"/>
      <c r="C161" s="13"/>
      <c r="D161" s="1066"/>
      <c r="E161" s="13"/>
      <c r="G161" s="812">
        <f>G201</f>
        <v>0.62</v>
      </c>
      <c r="H161" s="812">
        <f>G161</f>
        <v>0.62</v>
      </c>
      <c r="I161" s="812">
        <f t="shared" ref="I161:J161" si="286">H161</f>
        <v>0.62</v>
      </c>
      <c r="J161" s="812">
        <f t="shared" si="286"/>
        <v>0.62</v>
      </c>
      <c r="K161" s="520"/>
      <c r="L161" s="442"/>
      <c r="M161" s="443"/>
      <c r="N161" s="812">
        <f t="shared" si="262"/>
        <v>0.62</v>
      </c>
      <c r="O161" s="812">
        <f t="shared" si="282"/>
        <v>0.62</v>
      </c>
      <c r="P161" s="812">
        <f t="shared" si="282"/>
        <v>0.62</v>
      </c>
      <c r="Q161" s="812">
        <f t="shared" si="282"/>
        <v>0.62</v>
      </c>
      <c r="R161" s="543"/>
      <c r="S161" s="443"/>
      <c r="T161" s="812">
        <f t="shared" si="264"/>
        <v>0.62</v>
      </c>
      <c r="U161" s="812">
        <f t="shared" si="283"/>
        <v>0.62</v>
      </c>
      <c r="V161" s="812">
        <f t="shared" si="283"/>
        <v>0.62</v>
      </c>
      <c r="W161" s="812">
        <f t="shared" si="283"/>
        <v>0.62</v>
      </c>
      <c r="X161" s="520"/>
      <c r="Y161" s="442"/>
      <c r="Z161" s="442"/>
      <c r="AA161" s="442"/>
      <c r="AB161" s="442"/>
      <c r="AC161" s="812">
        <f t="shared" si="266"/>
        <v>0.62</v>
      </c>
      <c r="AD161" s="812">
        <f t="shared" si="284"/>
        <v>0.62</v>
      </c>
      <c r="AE161" s="812">
        <f t="shared" si="284"/>
        <v>0.62</v>
      </c>
      <c r="AF161" s="812">
        <f t="shared" si="284"/>
        <v>0.62</v>
      </c>
      <c r="AG161" s="442"/>
      <c r="AH161" s="843"/>
      <c r="AI161" s="811">
        <f>AC161</f>
        <v>0.62</v>
      </c>
      <c r="AJ161" s="811">
        <f t="shared" si="285"/>
        <v>0.62</v>
      </c>
      <c r="AK161" s="811">
        <f t="shared" si="285"/>
        <v>0.62</v>
      </c>
      <c r="AL161" s="811">
        <f t="shared" si="285"/>
        <v>0.62</v>
      </c>
      <c r="AM161" s="844"/>
      <c r="AN161" s="520"/>
      <c r="AO161" s="439"/>
      <c r="AP161" s="439"/>
      <c r="AQ161" s="439"/>
      <c r="AR161" s="439"/>
      <c r="AS161" s="439"/>
      <c r="AT161" s="439"/>
      <c r="AU161" s="443"/>
      <c r="AV161" s="443"/>
      <c r="AW161" s="443"/>
      <c r="AX161" s="443"/>
      <c r="AY161" s="443"/>
      <c r="AZ161" s="443"/>
      <c r="BG161" s="443"/>
      <c r="BH161" s="443"/>
      <c r="BI161" s="443"/>
      <c r="BJ161" s="443"/>
      <c r="BK161" s="443"/>
      <c r="BL161" s="443"/>
      <c r="BM161" s="443"/>
      <c r="BN161" s="443"/>
      <c r="BO161" s="443"/>
      <c r="BP161" s="443"/>
      <c r="BQ161" s="443"/>
      <c r="BR161" s="443"/>
    </row>
    <row r="162" spans="1:70" s="440" customFormat="1" outlineLevel="2">
      <c r="A162" s="13"/>
      <c r="B162" s="13"/>
      <c r="C162" s="13"/>
      <c r="D162" s="1066"/>
      <c r="E162" s="13"/>
      <c r="G162" s="812"/>
      <c r="H162" s="812"/>
      <c r="I162" s="812"/>
      <c r="J162" s="812"/>
      <c r="K162" s="520"/>
      <c r="L162" s="442"/>
      <c r="M162" s="443"/>
      <c r="N162" s="812"/>
      <c r="O162" s="812"/>
      <c r="P162" s="812"/>
      <c r="Q162" s="812"/>
      <c r="R162" s="543"/>
      <c r="S162" s="443"/>
      <c r="T162" s="812"/>
      <c r="U162" s="812"/>
      <c r="V162" s="812"/>
      <c r="W162" s="812"/>
      <c r="X162" s="520"/>
      <c r="Y162" s="442"/>
      <c r="Z162" s="442"/>
      <c r="AA162" s="442"/>
      <c r="AB162" s="442"/>
      <c r="AC162" s="812"/>
      <c r="AD162" s="812"/>
      <c r="AE162" s="812"/>
      <c r="AF162" s="812"/>
      <c r="AG162" s="442"/>
      <c r="AH162" s="843"/>
      <c r="AI162" s="811"/>
      <c r="AJ162" s="811"/>
      <c r="AK162" s="811"/>
      <c r="AL162" s="811"/>
      <c r="AM162" s="844"/>
      <c r="AN162" s="520"/>
      <c r="AO162" s="439"/>
      <c r="AP162" s="439"/>
      <c r="AQ162" s="439"/>
      <c r="AR162" s="439"/>
      <c r="AS162" s="439"/>
      <c r="AT162" s="439"/>
      <c r="AU162" s="443"/>
      <c r="AV162" s="443"/>
      <c r="AW162" s="443"/>
      <c r="AX162" s="443"/>
      <c r="AY162" s="443"/>
      <c r="AZ162" s="443"/>
      <c r="BG162" s="443"/>
      <c r="BH162" s="443"/>
      <c r="BI162" s="443"/>
      <c r="BJ162" s="443"/>
      <c r="BK162" s="443"/>
      <c r="BL162" s="443"/>
      <c r="BM162" s="443"/>
      <c r="BN162" s="443"/>
      <c r="BO162" s="443"/>
      <c r="BP162" s="443"/>
      <c r="BQ162" s="443"/>
      <c r="BR162" s="443"/>
    </row>
    <row r="163" spans="1:70" s="440" customFormat="1" ht="20" outlineLevel="2">
      <c r="A163" s="1" t="s">
        <v>584</v>
      </c>
      <c r="B163" s="13"/>
      <c r="C163" s="13"/>
      <c r="D163" s="1066"/>
      <c r="E163" s="13"/>
      <c r="G163" s="812"/>
      <c r="H163" s="812"/>
      <c r="I163" s="812"/>
      <c r="J163" s="812"/>
      <c r="K163" s="520"/>
      <c r="L163" s="442"/>
      <c r="M163" s="443"/>
      <c r="N163" s="812"/>
      <c r="O163" s="812"/>
      <c r="P163" s="812"/>
      <c r="Q163" s="812"/>
      <c r="R163" s="543"/>
      <c r="S163" s="443"/>
      <c r="T163" s="812"/>
      <c r="U163" s="812"/>
      <c r="V163" s="812"/>
      <c r="W163" s="812"/>
      <c r="X163" s="520"/>
      <c r="Y163" s="442"/>
      <c r="Z163" s="442"/>
      <c r="AA163" s="442"/>
      <c r="AB163" s="442"/>
      <c r="AC163" s="812"/>
      <c r="AD163" s="812"/>
      <c r="AE163" s="812"/>
      <c r="AF163" s="812"/>
      <c r="AG163" s="442"/>
      <c r="AH163" s="843"/>
      <c r="AI163" s="811"/>
      <c r="AJ163" s="811"/>
      <c r="AK163" s="811"/>
      <c r="AL163" s="811"/>
      <c r="AM163" s="844"/>
      <c r="AN163" s="520"/>
      <c r="AO163" s="439"/>
      <c r="AP163" s="439"/>
      <c r="AQ163" s="439"/>
      <c r="AR163" s="439"/>
      <c r="AS163" s="439"/>
      <c r="AT163" s="439"/>
      <c r="AU163" s="443"/>
      <c r="AV163" s="443"/>
      <c r="AW163" s="443"/>
      <c r="AX163" s="443"/>
      <c r="AY163" s="443"/>
      <c r="AZ163" s="443"/>
      <c r="BG163" s="443"/>
      <c r="BH163" s="443"/>
      <c r="BI163" s="443"/>
      <c r="BJ163" s="443"/>
      <c r="BK163" s="443"/>
      <c r="BL163" s="443"/>
      <c r="BM163" s="443"/>
      <c r="BN163" s="443"/>
      <c r="BO163" s="443"/>
      <c r="BP163" s="443"/>
      <c r="BQ163" s="443"/>
      <c r="BR163" s="443"/>
    </row>
    <row r="164" spans="1:70" s="440" customFormat="1" outlineLevel="2">
      <c r="A164" s="2" t="s">
        <v>577</v>
      </c>
      <c r="B164" s="13"/>
      <c r="C164" s="13"/>
      <c r="D164" s="1066"/>
      <c r="E164" s="13"/>
      <c r="G164" s="939">
        <f>G197+(G197/100*20)</f>
        <v>1.8</v>
      </c>
      <c r="H164" s="1143">
        <f>G164</f>
        <v>1.8</v>
      </c>
      <c r="I164" s="1143">
        <f t="shared" ref="I164:J164" si="287">H164</f>
        <v>1.8</v>
      </c>
      <c r="J164" s="1143">
        <f t="shared" si="287"/>
        <v>1.8</v>
      </c>
      <c r="K164" s="520"/>
      <c r="L164" s="442"/>
      <c r="M164" s="443"/>
      <c r="N164" s="1143">
        <f>G164</f>
        <v>1.8</v>
      </c>
      <c r="O164" s="1143">
        <f>N164</f>
        <v>1.8</v>
      </c>
      <c r="P164" s="1143">
        <f t="shared" ref="P164:Q164" si="288">O164</f>
        <v>1.8</v>
      </c>
      <c r="Q164" s="1143">
        <f t="shared" si="288"/>
        <v>1.8</v>
      </c>
      <c r="R164" s="543"/>
      <c r="S164" s="443"/>
      <c r="T164" s="1144">
        <f>N164</f>
        <v>1.8</v>
      </c>
      <c r="U164" s="1144">
        <f>O164</f>
        <v>1.8</v>
      </c>
      <c r="V164" s="1144">
        <f t="shared" ref="V164:W166" si="289">P164</f>
        <v>1.8</v>
      </c>
      <c r="W164" s="1144">
        <f t="shared" si="289"/>
        <v>1.8</v>
      </c>
      <c r="X164" s="520"/>
      <c r="Y164" s="442"/>
      <c r="Z164" s="442"/>
      <c r="AA164" s="442"/>
      <c r="AB164" s="442"/>
      <c r="AC164" s="1143">
        <f>T164</f>
        <v>1.8</v>
      </c>
      <c r="AD164" s="1143">
        <f t="shared" ref="AD164:AF166" si="290">U164</f>
        <v>1.8</v>
      </c>
      <c r="AE164" s="1143">
        <f t="shared" si="290"/>
        <v>1.8</v>
      </c>
      <c r="AF164" s="1143">
        <f t="shared" si="290"/>
        <v>1.8</v>
      </c>
      <c r="AG164" s="442"/>
      <c r="AH164" s="843"/>
      <c r="AI164" s="1146">
        <f>AC164</f>
        <v>1.8</v>
      </c>
      <c r="AJ164" s="1146">
        <f>AI164</f>
        <v>1.8</v>
      </c>
      <c r="AK164" s="1146">
        <f t="shared" ref="AK164:AL164" si="291">AJ164</f>
        <v>1.8</v>
      </c>
      <c r="AL164" s="1146">
        <f t="shared" si="291"/>
        <v>1.8</v>
      </c>
      <c r="AM164" s="844"/>
      <c r="AN164" s="520"/>
      <c r="AO164" s="439"/>
      <c r="AP164" s="439"/>
      <c r="AQ164" s="439"/>
      <c r="AR164" s="439"/>
      <c r="AS164" s="439"/>
      <c r="AT164" s="439"/>
      <c r="AU164" s="443"/>
      <c r="AV164" s="443"/>
      <c r="AW164" s="443"/>
      <c r="AX164" s="443"/>
      <c r="AY164" s="443"/>
      <c r="AZ164" s="443"/>
      <c r="BG164" s="443"/>
      <c r="BH164" s="443"/>
      <c r="BI164" s="443"/>
      <c r="BJ164" s="443"/>
      <c r="BK164" s="443"/>
      <c r="BL164" s="443"/>
      <c r="BM164" s="443"/>
      <c r="BN164" s="443"/>
      <c r="BO164" s="443"/>
      <c r="BP164" s="443"/>
      <c r="BQ164" s="443"/>
      <c r="BR164" s="443"/>
    </row>
    <row r="165" spans="1:70" s="440" customFormat="1" outlineLevel="2">
      <c r="A165" s="2" t="s">
        <v>578</v>
      </c>
      <c r="B165" s="13"/>
      <c r="C165" s="13"/>
      <c r="D165" s="1066"/>
      <c r="E165" s="13"/>
      <c r="G165" s="939">
        <f>G198+(G198/100*20)</f>
        <v>2.0760000000000001</v>
      </c>
      <c r="H165" s="1143">
        <f t="shared" ref="H165:J166" si="292">G165</f>
        <v>2.0760000000000001</v>
      </c>
      <c r="I165" s="1143">
        <f t="shared" si="292"/>
        <v>2.0760000000000001</v>
      </c>
      <c r="J165" s="1143">
        <f t="shared" si="292"/>
        <v>2.0760000000000001</v>
      </c>
      <c r="K165" s="520"/>
      <c r="L165" s="442"/>
      <c r="M165" s="443"/>
      <c r="N165" s="1143">
        <f t="shared" ref="N165:N166" si="293">G165</f>
        <v>2.0760000000000001</v>
      </c>
      <c r="O165" s="1143">
        <f t="shared" ref="O165:Q168" si="294">N165</f>
        <v>2.0760000000000001</v>
      </c>
      <c r="P165" s="1143">
        <f t="shared" si="294"/>
        <v>2.0760000000000001</v>
      </c>
      <c r="Q165" s="1143">
        <f t="shared" si="294"/>
        <v>2.0760000000000001</v>
      </c>
      <c r="R165" s="543"/>
      <c r="S165" s="443"/>
      <c r="T165" s="1144">
        <f t="shared" ref="T165:T166" si="295">N165</f>
        <v>2.0760000000000001</v>
      </c>
      <c r="U165" s="1144">
        <f t="shared" ref="U165:U166" si="296">O165</f>
        <v>2.0760000000000001</v>
      </c>
      <c r="V165" s="1144">
        <f t="shared" si="289"/>
        <v>2.0760000000000001</v>
      </c>
      <c r="W165" s="1144">
        <f t="shared" si="289"/>
        <v>2.0760000000000001</v>
      </c>
      <c r="X165" s="520"/>
      <c r="Y165" s="442"/>
      <c r="Z165" s="442"/>
      <c r="AA165" s="442"/>
      <c r="AB165" s="442"/>
      <c r="AC165" s="1143">
        <f t="shared" ref="AC165:AC166" si="297">T165</f>
        <v>2.0760000000000001</v>
      </c>
      <c r="AD165" s="1143">
        <f t="shared" si="290"/>
        <v>2.0760000000000001</v>
      </c>
      <c r="AE165" s="1143">
        <f t="shared" si="290"/>
        <v>2.0760000000000001</v>
      </c>
      <c r="AF165" s="1143">
        <f t="shared" si="290"/>
        <v>2.0760000000000001</v>
      </c>
      <c r="AG165" s="442"/>
      <c r="AH165" s="843"/>
      <c r="AI165" s="1146">
        <f t="shared" ref="AI165:AI166" si="298">AC165</f>
        <v>2.0760000000000001</v>
      </c>
      <c r="AJ165" s="1146">
        <f t="shared" ref="AJ165:AL166" si="299">AI165</f>
        <v>2.0760000000000001</v>
      </c>
      <c r="AK165" s="1146">
        <f t="shared" si="299"/>
        <v>2.0760000000000001</v>
      </c>
      <c r="AL165" s="1146">
        <f t="shared" si="299"/>
        <v>2.0760000000000001</v>
      </c>
      <c r="AM165" s="844"/>
      <c r="AN165" s="520"/>
      <c r="AO165" s="439"/>
      <c r="AP165" s="439"/>
      <c r="AQ165" s="439"/>
      <c r="AR165" s="439"/>
      <c r="AS165" s="439"/>
      <c r="AT165" s="439"/>
      <c r="AU165" s="443"/>
      <c r="AV165" s="443"/>
      <c r="AW165" s="443"/>
      <c r="AX165" s="443"/>
      <c r="AY165" s="443"/>
      <c r="AZ165" s="443"/>
      <c r="BG165" s="443"/>
      <c r="BH165" s="443"/>
      <c r="BI165" s="443"/>
      <c r="BJ165" s="443"/>
      <c r="BK165" s="443"/>
      <c r="BL165" s="443"/>
      <c r="BM165" s="443"/>
      <c r="BN165" s="443"/>
      <c r="BO165" s="443"/>
      <c r="BP165" s="443"/>
      <c r="BQ165" s="443"/>
      <c r="BR165" s="443"/>
    </row>
    <row r="166" spans="1:70" s="440" customFormat="1" outlineLevel="2">
      <c r="A166" s="2" t="s">
        <v>579</v>
      </c>
      <c r="B166" s="13"/>
      <c r="C166" s="13"/>
      <c r="D166" s="1066"/>
      <c r="E166" s="13"/>
      <c r="G166" s="939">
        <f>G199+(G199/100*20)</f>
        <v>9.2280000000000015</v>
      </c>
      <c r="H166" s="1143">
        <f t="shared" si="292"/>
        <v>9.2280000000000015</v>
      </c>
      <c r="I166" s="1143">
        <f t="shared" si="292"/>
        <v>9.2280000000000015</v>
      </c>
      <c r="J166" s="1143">
        <f t="shared" si="292"/>
        <v>9.2280000000000015</v>
      </c>
      <c r="K166" s="520"/>
      <c r="L166" s="442"/>
      <c r="M166" s="443"/>
      <c r="N166" s="1143">
        <f t="shared" si="293"/>
        <v>9.2280000000000015</v>
      </c>
      <c r="O166" s="1143">
        <f t="shared" si="294"/>
        <v>9.2280000000000015</v>
      </c>
      <c r="P166" s="1143">
        <f t="shared" si="294"/>
        <v>9.2280000000000015</v>
      </c>
      <c r="Q166" s="1143">
        <f t="shared" si="294"/>
        <v>9.2280000000000015</v>
      </c>
      <c r="R166" s="543"/>
      <c r="S166" s="443"/>
      <c r="T166" s="1144">
        <f t="shared" si="295"/>
        <v>9.2280000000000015</v>
      </c>
      <c r="U166" s="1144">
        <f t="shared" si="296"/>
        <v>9.2280000000000015</v>
      </c>
      <c r="V166" s="1144">
        <f t="shared" si="289"/>
        <v>9.2280000000000015</v>
      </c>
      <c r="W166" s="1144">
        <f t="shared" si="289"/>
        <v>9.2280000000000015</v>
      </c>
      <c r="X166" s="520"/>
      <c r="Y166" s="442"/>
      <c r="Z166" s="442"/>
      <c r="AA166" s="442"/>
      <c r="AB166" s="442"/>
      <c r="AC166" s="1143">
        <f t="shared" si="297"/>
        <v>9.2280000000000015</v>
      </c>
      <c r="AD166" s="1143">
        <f t="shared" si="290"/>
        <v>9.2280000000000015</v>
      </c>
      <c r="AE166" s="1143">
        <f t="shared" si="290"/>
        <v>9.2280000000000015</v>
      </c>
      <c r="AF166" s="1143">
        <f t="shared" si="290"/>
        <v>9.2280000000000015</v>
      </c>
      <c r="AG166" s="442"/>
      <c r="AH166" s="843"/>
      <c r="AI166" s="1146">
        <f t="shared" si="298"/>
        <v>9.2280000000000015</v>
      </c>
      <c r="AJ166" s="1146">
        <f t="shared" si="299"/>
        <v>9.2280000000000015</v>
      </c>
      <c r="AK166" s="1146">
        <f t="shared" si="299"/>
        <v>9.2280000000000015</v>
      </c>
      <c r="AL166" s="1146">
        <f t="shared" si="299"/>
        <v>9.2280000000000015</v>
      </c>
      <c r="AM166" s="844"/>
      <c r="AN166" s="520"/>
      <c r="AO166" s="439"/>
      <c r="AP166" s="439"/>
      <c r="AQ166" s="439"/>
      <c r="AR166" s="439"/>
      <c r="AS166" s="439"/>
      <c r="AT166" s="439"/>
      <c r="AU166" s="443"/>
      <c r="AV166" s="443"/>
      <c r="AW166" s="443"/>
      <c r="AX166" s="443"/>
      <c r="AY166" s="443"/>
      <c r="AZ166" s="443"/>
      <c r="BG166" s="443"/>
      <c r="BH166" s="443"/>
      <c r="BI166" s="443"/>
      <c r="BJ166" s="443"/>
      <c r="BK166" s="443"/>
      <c r="BL166" s="443"/>
      <c r="BM166" s="443"/>
      <c r="BN166" s="443"/>
      <c r="BO166" s="443"/>
      <c r="BP166" s="443"/>
      <c r="BQ166" s="443"/>
      <c r="BR166" s="443"/>
    </row>
    <row r="167" spans="1:70" s="440" customFormat="1" ht="20" outlineLevel="2">
      <c r="A167" s="87" t="s">
        <v>761</v>
      </c>
      <c r="B167" s="423"/>
      <c r="C167" s="1"/>
      <c r="D167" s="1057"/>
      <c r="E167" s="1"/>
      <c r="F167" s="2"/>
      <c r="G167" s="1365">
        <f>G168*G169</f>
        <v>10447.838225909381</v>
      </c>
      <c r="H167" s="1365">
        <f t="shared" ref="H167:J167" si="300">H168*H169</f>
        <v>4364.2868538608809</v>
      </c>
      <c r="I167" s="1365">
        <f t="shared" si="300"/>
        <v>240.6970325462668</v>
      </c>
      <c r="J167" s="1365">
        <f t="shared" si="300"/>
        <v>489.99038768347157</v>
      </c>
      <c r="K167" s="299">
        <f>SUM(G167:J167)</f>
        <v>15542.812500000002</v>
      </c>
      <c r="L167" s="442"/>
      <c r="M167" s="443"/>
      <c r="N167" s="1365">
        <f>N168*N169</f>
        <v>10447.838225909381</v>
      </c>
      <c r="O167" s="1365">
        <f t="shared" ref="O167" si="301">O168*O169</f>
        <v>4364.2868538608809</v>
      </c>
      <c r="P167" s="1365">
        <f t="shared" ref="P167" si="302">P168*P169</f>
        <v>240.6970325462668</v>
      </c>
      <c r="Q167" s="1365">
        <f t="shared" ref="Q167" si="303">Q168*Q169</f>
        <v>489.99038768347157</v>
      </c>
      <c r="R167" s="299">
        <f>SUM(N167:Q167)</f>
        <v>15542.812500000002</v>
      </c>
      <c r="S167" s="443"/>
      <c r="T167" s="1365">
        <f>T168*T169</f>
        <v>10447.838225909381</v>
      </c>
      <c r="U167" s="1365">
        <f t="shared" ref="U167" si="304">U168*U169</f>
        <v>4364.2868538608809</v>
      </c>
      <c r="V167" s="1365">
        <f t="shared" ref="V167" si="305">V168*V169</f>
        <v>240.6970325462668</v>
      </c>
      <c r="W167" s="1365">
        <f t="shared" ref="W167" si="306">W168*W169</f>
        <v>489.99038768347157</v>
      </c>
      <c r="X167" s="299">
        <f>SUM(T167:W167)</f>
        <v>15542.812500000002</v>
      </c>
      <c r="Y167" s="442"/>
      <c r="Z167" s="442"/>
      <c r="AA167" s="442"/>
      <c r="AB167" s="299"/>
      <c r="AC167" s="1365">
        <f>AC168*AC169</f>
        <v>9268.0491205227881</v>
      </c>
      <c r="AD167" s="1365">
        <f t="shared" ref="AD167" si="307">AD168*AD169</f>
        <v>3603.7497102330244</v>
      </c>
      <c r="AE167" s="1365">
        <f t="shared" ref="AE167" si="308">AE168*AE169</f>
        <v>206.97111495946433</v>
      </c>
      <c r="AF167" s="1365">
        <f t="shared" ref="AF167" si="309">AF168*AF169</f>
        <v>421.33405545319516</v>
      </c>
      <c r="AG167" s="299">
        <f>SUM(AC167:AF167)</f>
        <v>13500.104001168471</v>
      </c>
      <c r="AH167" s="843"/>
      <c r="AI167" s="1365">
        <f>AI168*AI169</f>
        <v>1179.7891053865922</v>
      </c>
      <c r="AJ167" s="1365">
        <f t="shared" ref="AJ167" si="310">AJ168*AJ169</f>
        <v>760.53714362785581</v>
      </c>
      <c r="AK167" s="1365">
        <f t="shared" ref="AK167" si="311">AK168*AK169</f>
        <v>33.725917586802424</v>
      </c>
      <c r="AL167" s="1365">
        <f t="shared" ref="AL167" si="312">AL168*AL169</f>
        <v>68.656332230276377</v>
      </c>
      <c r="AM167" s="299">
        <f>SUM(AI167:AL167)</f>
        <v>2042.7084988315266</v>
      </c>
      <c r="AN167" s="299">
        <f>AG167+AM167</f>
        <v>15542.812499999998</v>
      </c>
      <c r="AO167" s="439"/>
      <c r="AP167" s="439"/>
      <c r="AQ167" s="439"/>
      <c r="AR167" s="439"/>
      <c r="AS167" s="439"/>
      <c r="AT167" s="439"/>
      <c r="AU167" s="443"/>
      <c r="AV167" s="443"/>
      <c r="AW167" s="443"/>
      <c r="AX167" s="443"/>
      <c r="AY167" s="443"/>
      <c r="AZ167" s="443"/>
      <c r="BG167" s="443"/>
      <c r="BH167" s="443"/>
      <c r="BI167" s="443"/>
      <c r="BJ167" s="443"/>
      <c r="BK167" s="443"/>
      <c r="BL167" s="443"/>
      <c r="BM167" s="443"/>
      <c r="BN167" s="443"/>
      <c r="BO167" s="443"/>
      <c r="BP167" s="443"/>
      <c r="BQ167" s="443"/>
      <c r="BR167" s="443"/>
    </row>
    <row r="168" spans="1:70" s="440" customFormat="1" ht="20" outlineLevel="2">
      <c r="A168" s="87" t="s">
        <v>605</v>
      </c>
      <c r="B168" s="13"/>
      <c r="C168" s="13"/>
      <c r="D168" s="1066"/>
      <c r="E168" s="13"/>
      <c r="G168" s="154">
        <v>15542.8125</v>
      </c>
      <c r="H168" s="1145">
        <f t="shared" ref="H168" si="313">G168</f>
        <v>15542.8125</v>
      </c>
      <c r="I168" s="1145">
        <f t="shared" ref="I168" si="314">H168</f>
        <v>15542.8125</v>
      </c>
      <c r="J168" s="1145">
        <f t="shared" ref="J168" si="315">I168</f>
        <v>15542.8125</v>
      </c>
      <c r="K168" s="520" t="s">
        <v>762</v>
      </c>
      <c r="L168" s="442"/>
      <c r="M168" s="443"/>
      <c r="N168" s="154">
        <v>15542.8125</v>
      </c>
      <c r="O168" s="1145">
        <f t="shared" si="294"/>
        <v>15542.8125</v>
      </c>
      <c r="P168" s="1145">
        <f t="shared" si="294"/>
        <v>15542.8125</v>
      </c>
      <c r="Q168" s="1145">
        <f t="shared" si="294"/>
        <v>15542.8125</v>
      </c>
      <c r="R168" s="543"/>
      <c r="S168" s="443"/>
      <c r="T168" s="154">
        <v>15542.8125</v>
      </c>
      <c r="U168" s="1145">
        <f t="shared" ref="U168" si="316">T168</f>
        <v>15542.8125</v>
      </c>
      <c r="V168" s="1145">
        <f t="shared" ref="V168" si="317">U168</f>
        <v>15542.8125</v>
      </c>
      <c r="W168" s="1145">
        <f t="shared" ref="W168" si="318">V168</f>
        <v>15542.8125</v>
      </c>
      <c r="X168" s="520"/>
      <c r="Y168" s="442"/>
      <c r="Z168" s="442"/>
      <c r="AA168" s="442"/>
      <c r="AB168" s="442"/>
      <c r="AC168" s="1145">
        <f>T168*$AG$168</f>
        <v>13500.104001168473</v>
      </c>
      <c r="AD168" s="1145">
        <f>U168*$AG$168</f>
        <v>13500.104001168473</v>
      </c>
      <c r="AE168" s="1145">
        <f>V168*$AG$168</f>
        <v>13500.104001168473</v>
      </c>
      <c r="AF168" s="1145">
        <f>W168*$AG$168</f>
        <v>13500.104001168473</v>
      </c>
      <c r="AG168" s="812">
        <f>AG7/AN7</f>
        <v>0.86857536248143463</v>
      </c>
      <c r="AH168" s="843"/>
      <c r="AI168" s="1148">
        <f>T168*$AM$168</f>
        <v>2042.7084988315269</v>
      </c>
      <c r="AJ168" s="1148">
        <f>U168*$AM$168</f>
        <v>2042.7084988315269</v>
      </c>
      <c r="AK168" s="1148">
        <f>V168*$AM$168</f>
        <v>2042.7084988315269</v>
      </c>
      <c r="AL168" s="1148">
        <f>W168*$AM$168</f>
        <v>2042.7084988315269</v>
      </c>
      <c r="AM168" s="1147">
        <f>100%-AG168</f>
        <v>0.13142463751856537</v>
      </c>
      <c r="AN168" s="520"/>
      <c r="AO168" s="439"/>
      <c r="AP168" s="439"/>
      <c r="AQ168" s="439"/>
      <c r="AR168" s="439"/>
      <c r="AS168" s="439"/>
      <c r="AT168" s="439"/>
      <c r="AU168" s="443"/>
      <c r="AV168" s="443"/>
      <c r="AW168" s="443"/>
      <c r="AX168" s="443"/>
      <c r="AY168" s="443"/>
      <c r="AZ168" s="443"/>
      <c r="BG168" s="443"/>
      <c r="BH168" s="443"/>
      <c r="BI168" s="443"/>
      <c r="BJ168" s="443"/>
      <c r="BK168" s="443"/>
      <c r="BL168" s="443"/>
      <c r="BM168" s="443"/>
      <c r="BN168" s="443"/>
      <c r="BO168" s="443"/>
      <c r="BP168" s="443"/>
      <c r="BQ168" s="443"/>
      <c r="BR168" s="443"/>
    </row>
    <row r="169" spans="1:70" s="440" customFormat="1" outlineLevel="2">
      <c r="B169" s="13"/>
      <c r="C169" s="13"/>
      <c r="D169" s="1066"/>
      <c r="E169" s="13"/>
      <c r="G169" s="812">
        <f>G5/$K5</f>
        <v>0.6721974048074878</v>
      </c>
      <c r="H169" s="812">
        <f>H5/$K5</f>
        <v>0.28079132099553289</v>
      </c>
      <c r="I169" s="812">
        <f>I5/$K5</f>
        <v>1.5486066794299088E-2</v>
      </c>
      <c r="J169" s="812">
        <f>J5/$K5</f>
        <v>3.1525207402680278E-2</v>
      </c>
      <c r="K169" s="520"/>
      <c r="L169" s="442"/>
      <c r="M169" s="443"/>
      <c r="N169" s="812">
        <f>N5/$R5</f>
        <v>0.6721974048074878</v>
      </c>
      <c r="O169" s="812">
        <f>O5/$R5</f>
        <v>0.28079132099553289</v>
      </c>
      <c r="P169" s="812">
        <f>P5/$R5</f>
        <v>1.5486066794299088E-2</v>
      </c>
      <c r="Q169" s="812">
        <f>Q5/$R5</f>
        <v>3.1525207402680278E-2</v>
      </c>
      <c r="R169" s="543"/>
      <c r="S169" s="443"/>
      <c r="T169" s="812">
        <f>T5/$X5</f>
        <v>0.6721974048074878</v>
      </c>
      <c r="U169" s="812">
        <f>U5/$X5</f>
        <v>0.28079132099553289</v>
      </c>
      <c r="V169" s="812">
        <f>V5/$X5</f>
        <v>1.5486066794299088E-2</v>
      </c>
      <c r="W169" s="812">
        <f>W5/$X5</f>
        <v>3.1525207402680278E-2</v>
      </c>
      <c r="X169" s="520"/>
      <c r="Y169" s="442"/>
      <c r="Z169" s="442"/>
      <c r="AA169" s="442"/>
      <c r="AB169" s="442"/>
      <c r="AC169" s="812">
        <f>AC5/$AG5</f>
        <v>0.68651686829380065</v>
      </c>
      <c r="AD169" s="812">
        <f>AD5/$AG5</f>
        <v>0.26694236651222164</v>
      </c>
      <c r="AE169" s="812">
        <f>AE5/$AG5</f>
        <v>1.5331075593310274E-2</v>
      </c>
      <c r="AF169" s="812">
        <f>AF5/$AG5</f>
        <v>3.1209689600667334E-2</v>
      </c>
      <c r="AG169" s="442"/>
      <c r="AH169" s="843"/>
      <c r="AI169" s="812">
        <f>AI5/$AM5</f>
        <v>0.5775611674702763</v>
      </c>
      <c r="AJ169" s="812">
        <f>AJ5/$AM5</f>
        <v>0.3723180003720058</v>
      </c>
      <c r="AK169" s="812">
        <f>AK5/$AM5</f>
        <v>1.6510391769601181E-2</v>
      </c>
      <c r="AL169" s="812">
        <f>AL5/$AM5</f>
        <v>3.3610440388116697E-2</v>
      </c>
      <c r="AM169" s="844"/>
      <c r="AN169" s="520"/>
      <c r="AO169" s="439"/>
      <c r="AP169" s="439"/>
      <c r="AQ169" s="439"/>
      <c r="AR169" s="439"/>
      <c r="AS169" s="439"/>
      <c r="AT169" s="439"/>
      <c r="AU169" s="443"/>
      <c r="AV169" s="443"/>
      <c r="AW169" s="443"/>
      <c r="AX169" s="443"/>
      <c r="AY169" s="443"/>
      <c r="AZ169" s="443"/>
      <c r="BG169" s="443"/>
      <c r="BH169" s="443"/>
      <c r="BI169" s="443"/>
      <c r="BJ169" s="443"/>
      <c r="BK169" s="443"/>
      <c r="BL169" s="443"/>
      <c r="BM169" s="443"/>
      <c r="BN169" s="443"/>
      <c r="BO169" s="443"/>
      <c r="BP169" s="443"/>
      <c r="BQ169" s="443"/>
      <c r="BR169" s="443"/>
    </row>
    <row r="170" spans="1:70" s="425" customFormat="1" ht="40" outlineLevel="2">
      <c r="A170" s="558" t="s">
        <v>356</v>
      </c>
      <c r="B170" s="355"/>
      <c r="C170" s="355"/>
      <c r="D170" s="1068"/>
      <c r="E170" s="355"/>
      <c r="F170" s="452"/>
      <c r="G170" s="438">
        <f>G181</f>
        <v>1600</v>
      </c>
      <c r="H170" s="354">
        <f>G170</f>
        <v>1600</v>
      </c>
      <c r="I170" s="354">
        <f t="shared" ref="I170:J170" si="319">H170</f>
        <v>1600</v>
      </c>
      <c r="J170" s="354">
        <f t="shared" si="319"/>
        <v>1600</v>
      </c>
      <c r="K170" s="498"/>
      <c r="L170" s="355"/>
      <c r="M170" s="463"/>
      <c r="N170" s="361">
        <v>0</v>
      </c>
      <c r="O170" s="361">
        <f>N170</f>
        <v>0</v>
      </c>
      <c r="P170" s="361">
        <f t="shared" ref="P170:Q170" si="320">O170</f>
        <v>0</v>
      </c>
      <c r="Q170" s="361">
        <f t="shared" si="320"/>
        <v>0</v>
      </c>
      <c r="R170" s="503"/>
      <c r="S170" s="43"/>
      <c r="T170" s="361">
        <v>0</v>
      </c>
      <c r="U170" s="361">
        <f>T170</f>
        <v>0</v>
      </c>
      <c r="V170" s="361">
        <f t="shared" ref="V170:W170" si="321">U170</f>
        <v>0</v>
      </c>
      <c r="W170" s="361">
        <f t="shared" si="321"/>
        <v>0</v>
      </c>
      <c r="X170" s="1316"/>
      <c r="Y170" s="361"/>
      <c r="Z170" s="361"/>
      <c r="AA170" s="361"/>
      <c r="AB170" s="355"/>
      <c r="AC170" s="361">
        <v>0</v>
      </c>
      <c r="AD170" s="361">
        <f>AC170</f>
        <v>0</v>
      </c>
      <c r="AE170" s="361">
        <f t="shared" ref="AE170:AG170" si="322">AD170</f>
        <v>0</v>
      </c>
      <c r="AF170" s="361">
        <f t="shared" si="322"/>
        <v>0</v>
      </c>
      <c r="AG170" s="361">
        <f t="shared" si="322"/>
        <v>0</v>
      </c>
      <c r="AH170" s="820"/>
      <c r="AI170" s="361">
        <f>N170</f>
        <v>0</v>
      </c>
      <c r="AJ170" s="361">
        <f>O170</f>
        <v>0</v>
      </c>
      <c r="AK170" s="361">
        <f>P170</f>
        <v>0</v>
      </c>
      <c r="AL170" s="361">
        <f>Q170</f>
        <v>0</v>
      </c>
      <c r="AM170" s="821"/>
      <c r="AN170" s="498"/>
      <c r="AO170" s="355"/>
      <c r="AP170" s="355"/>
      <c r="AQ170" s="355"/>
      <c r="AR170" s="355"/>
      <c r="AS170" s="355"/>
      <c r="AT170" s="355"/>
      <c r="AU170" s="43"/>
      <c r="AV170" s="43"/>
      <c r="AW170" s="43"/>
      <c r="AX170" s="43"/>
      <c r="AY170" s="43"/>
      <c r="AZ170" s="43"/>
      <c r="BG170" s="463" t="s">
        <v>141</v>
      </c>
      <c r="BH170" s="43"/>
      <c r="BI170" s="43"/>
      <c r="BJ170" s="43"/>
      <c r="BK170" s="43"/>
      <c r="BL170" s="43"/>
      <c r="BM170" s="43" t="s">
        <v>33</v>
      </c>
      <c r="BN170" s="43"/>
      <c r="BO170" s="43"/>
      <c r="BP170" s="43"/>
      <c r="BQ170" s="43"/>
      <c r="BR170" s="43"/>
    </row>
    <row r="171" spans="1:70" s="440" customFormat="1" outlineLevel="2">
      <c r="A171" s="161"/>
      <c r="B171" s="13"/>
      <c r="C171" s="13"/>
      <c r="D171" s="1066"/>
      <c r="E171" s="13"/>
      <c r="G171" s="812"/>
      <c r="H171" s="442"/>
      <c r="I171" s="442"/>
      <c r="J171" s="442"/>
      <c r="K171" s="520"/>
      <c r="L171" s="442"/>
      <c r="M171" s="443"/>
      <c r="N171" s="443"/>
      <c r="O171" s="443"/>
      <c r="P171" s="443"/>
      <c r="Q171" s="443"/>
      <c r="R171" s="543"/>
      <c r="S171" s="443"/>
      <c r="T171" s="442"/>
      <c r="U171" s="442"/>
      <c r="V171" s="442"/>
      <c r="W171" s="442"/>
      <c r="X171" s="520"/>
      <c r="Y171" s="442"/>
      <c r="Z171" s="442"/>
      <c r="AA171" s="442"/>
      <c r="AB171" s="442"/>
      <c r="AC171" s="442"/>
      <c r="AD171" s="442"/>
      <c r="AE171" s="442"/>
      <c r="AF171" s="442"/>
      <c r="AG171" s="442"/>
      <c r="AH171" s="843"/>
      <c r="AI171" s="442"/>
      <c r="AJ171" s="442"/>
      <c r="AK171" s="442"/>
      <c r="AL171" s="442"/>
      <c r="AM171" s="844"/>
      <c r="AN171" s="520"/>
      <c r="AO171" s="439"/>
      <c r="AP171" s="439"/>
      <c r="AQ171" s="439"/>
      <c r="AR171" s="439"/>
      <c r="AS171" s="439"/>
      <c r="AT171" s="439"/>
      <c r="AU171" s="443"/>
      <c r="AV171" s="443"/>
      <c r="AW171" s="443"/>
      <c r="AX171" s="443"/>
      <c r="AY171" s="443"/>
      <c r="AZ171" s="443"/>
      <c r="BG171" s="443"/>
      <c r="BH171" s="443"/>
      <c r="BI171" s="443"/>
      <c r="BJ171" s="443"/>
      <c r="BK171" s="443"/>
      <c r="BL171" s="443"/>
      <c r="BM171" s="443"/>
      <c r="BN171" s="443"/>
      <c r="BO171" s="443"/>
      <c r="BP171" s="443"/>
      <c r="BQ171" s="443"/>
      <c r="BR171" s="443"/>
    </row>
    <row r="172" spans="1:70" s="440" customFormat="1" outlineLevel="2">
      <c r="A172" s="161"/>
      <c r="B172" s="13"/>
      <c r="C172" s="13"/>
      <c r="D172" s="1066"/>
      <c r="E172" s="13"/>
      <c r="G172" s="812"/>
      <c r="H172" s="442"/>
      <c r="I172" s="442"/>
      <c r="J172" s="442"/>
      <c r="K172" s="520"/>
      <c r="L172" s="442"/>
      <c r="M172" s="443"/>
      <c r="N172" s="443"/>
      <c r="O172" s="443"/>
      <c r="P172" s="443"/>
      <c r="Q172" s="443"/>
      <c r="R172" s="543"/>
      <c r="S172" s="443"/>
      <c r="T172" s="442"/>
      <c r="U172" s="442"/>
      <c r="V172" s="442"/>
      <c r="W172" s="442"/>
      <c r="X172" s="520"/>
      <c r="Y172" s="442"/>
      <c r="Z172" s="442"/>
      <c r="AA172" s="442"/>
      <c r="AB172" s="442"/>
      <c r="AC172" s="442"/>
      <c r="AD172" s="442"/>
      <c r="AE172" s="442"/>
      <c r="AF172" s="442"/>
      <c r="AG172" s="442"/>
      <c r="AH172" s="843"/>
      <c r="AI172" s="442"/>
      <c r="AJ172" s="442"/>
      <c r="AK172" s="442"/>
      <c r="AL172" s="442"/>
      <c r="AM172" s="844"/>
      <c r="AN172" s="520"/>
      <c r="AO172" s="439"/>
      <c r="AP172" s="439"/>
      <c r="AQ172" s="439"/>
      <c r="AR172" s="439"/>
      <c r="AS172" s="439"/>
      <c r="AT172" s="439"/>
      <c r="AU172" s="443"/>
      <c r="AV172" s="443"/>
      <c r="AW172" s="443"/>
      <c r="AX172" s="443"/>
      <c r="AY172" s="443"/>
      <c r="AZ172" s="443"/>
      <c r="BG172" s="443"/>
      <c r="BH172" s="443"/>
      <c r="BI172" s="443"/>
      <c r="BJ172" s="443"/>
      <c r="BK172" s="443"/>
      <c r="BL172" s="443"/>
      <c r="BM172" s="443"/>
      <c r="BN172" s="443"/>
      <c r="BO172" s="443"/>
      <c r="BP172" s="443"/>
      <c r="BQ172" s="443"/>
      <c r="BR172" s="443"/>
    </row>
    <row r="173" spans="1:70" s="446" customFormat="1" ht="20" outlineLevel="2">
      <c r="A173" s="565" t="s">
        <v>362</v>
      </c>
      <c r="B173" s="383"/>
      <c r="C173" s="383"/>
      <c r="D173" s="1075"/>
      <c r="E173" s="383"/>
      <c r="F173" s="731"/>
      <c r="G173" s="384"/>
      <c r="H173" s="383"/>
      <c r="I173" s="383"/>
      <c r="J173" s="383"/>
      <c r="K173" s="523"/>
      <c r="L173" s="383"/>
      <c r="M173" s="445"/>
      <c r="N173" s="385"/>
      <c r="O173" s="385"/>
      <c r="P173" s="385"/>
      <c r="Q173" s="385"/>
      <c r="R173" s="547"/>
      <c r="S173" s="385"/>
      <c r="T173" s="385"/>
      <c r="U173" s="385"/>
      <c r="V173" s="385"/>
      <c r="W173" s="385"/>
      <c r="X173" s="547"/>
      <c r="Y173" s="385"/>
      <c r="Z173" s="385"/>
      <c r="AA173" s="385"/>
      <c r="AB173" s="383"/>
      <c r="AC173" s="383"/>
      <c r="AD173" s="383"/>
      <c r="AE173" s="383"/>
      <c r="AF173" s="383"/>
      <c r="AG173" s="383"/>
      <c r="AH173" s="839"/>
      <c r="AI173" s="383"/>
      <c r="AJ173" s="383"/>
      <c r="AK173" s="383"/>
      <c r="AL173" s="383"/>
      <c r="AM173" s="840"/>
      <c r="AN173" s="523"/>
      <c r="AO173" s="383"/>
      <c r="AP173" s="383"/>
      <c r="AQ173" s="383"/>
      <c r="AR173" s="383"/>
      <c r="AS173" s="383"/>
      <c r="AT173" s="383"/>
      <c r="AU173" s="385"/>
      <c r="AV173" s="385"/>
      <c r="AW173" s="385"/>
      <c r="AX173" s="385"/>
      <c r="AY173" s="385"/>
      <c r="AZ173" s="385"/>
      <c r="BG173" s="445" t="s">
        <v>141</v>
      </c>
      <c r="BH173" s="385"/>
      <c r="BI173" s="385"/>
      <c r="BJ173" s="385"/>
      <c r="BK173" s="385"/>
      <c r="BL173" s="385"/>
      <c r="BM173" s="385" t="s">
        <v>33</v>
      </c>
      <c r="BN173" s="385"/>
      <c r="BO173" s="385"/>
      <c r="BP173" s="385"/>
      <c r="BQ173" s="385"/>
      <c r="BR173" s="385"/>
    </row>
    <row r="174" spans="1:70" s="489" customFormat="1" ht="20" outlineLevel="2">
      <c r="A174" s="1049" t="s">
        <v>357</v>
      </c>
      <c r="B174" s="259"/>
      <c r="C174" s="259"/>
      <c r="D174" s="1079"/>
      <c r="E174" s="259"/>
      <c r="F174" s="728"/>
      <c r="G174" s="773">
        <v>37600</v>
      </c>
      <c r="H174" s="773">
        <f>G174</f>
        <v>37600</v>
      </c>
      <c r="I174" s="773">
        <f t="shared" ref="I174:J177" si="323">H174</f>
        <v>37600</v>
      </c>
      <c r="J174" s="773">
        <f t="shared" si="323"/>
        <v>37600</v>
      </c>
      <c r="K174" s="767"/>
      <c r="L174" s="722"/>
      <c r="M174" s="21"/>
      <c r="N174" s="768">
        <f t="shared" ref="N174:N179" si="324">G174</f>
        <v>37600</v>
      </c>
      <c r="O174" s="768">
        <f t="shared" ref="O174:Q174" si="325">H174</f>
        <v>37600</v>
      </c>
      <c r="P174" s="768">
        <f t="shared" si="325"/>
        <v>37600</v>
      </c>
      <c r="Q174" s="768">
        <f t="shared" si="325"/>
        <v>37600</v>
      </c>
      <c r="R174" s="767"/>
      <c r="S174" s="21"/>
      <c r="T174" s="768">
        <f>N174</f>
        <v>37600</v>
      </c>
      <c r="U174" s="722">
        <f>O174</f>
        <v>37600</v>
      </c>
      <c r="V174" s="722">
        <f>P174</f>
        <v>37600</v>
      </c>
      <c r="W174" s="722">
        <f>Q174</f>
        <v>37600</v>
      </c>
      <c r="X174" s="770"/>
      <c r="AH174" s="847"/>
      <c r="AM174" s="848"/>
      <c r="AN174" s="770"/>
      <c r="BH174" s="21"/>
      <c r="BI174" s="21"/>
      <c r="BJ174" s="21"/>
      <c r="BK174" s="21"/>
      <c r="BL174" s="21"/>
      <c r="BM174" s="21" t="s">
        <v>33</v>
      </c>
      <c r="BN174" s="21"/>
      <c r="BO174" s="21"/>
      <c r="BP174" s="21"/>
      <c r="BQ174" s="21"/>
      <c r="BR174" s="21"/>
    </row>
    <row r="175" spans="1:70" s="489" customFormat="1" ht="20" outlineLevel="2">
      <c r="A175" s="1050" t="s">
        <v>323</v>
      </c>
      <c r="B175" s="936"/>
      <c r="C175" s="936"/>
      <c r="D175" s="1080"/>
      <c r="E175" s="936"/>
      <c r="F175" s="728"/>
      <c r="G175" s="774">
        <v>13400</v>
      </c>
      <c r="H175" s="773">
        <f>G175</f>
        <v>13400</v>
      </c>
      <c r="I175" s="773">
        <f t="shared" si="323"/>
        <v>13400</v>
      </c>
      <c r="J175" s="773">
        <f t="shared" si="323"/>
        <v>13400</v>
      </c>
      <c r="K175" s="767"/>
      <c r="L175" s="722"/>
      <c r="M175" s="728"/>
      <c r="N175" s="275">
        <f>G175*(F19/M19)</f>
        <v>8933.3333333333321</v>
      </c>
      <c r="O175" s="275">
        <f>N175</f>
        <v>8933.3333333333321</v>
      </c>
      <c r="P175" s="275">
        <f>O175</f>
        <v>8933.3333333333321</v>
      </c>
      <c r="Q175" s="275">
        <f>P175</f>
        <v>8933.3333333333321</v>
      </c>
      <c r="R175" s="767"/>
      <c r="S175" s="728"/>
      <c r="T175" s="722">
        <v>13100</v>
      </c>
      <c r="U175" s="722">
        <f>T175</f>
        <v>13100</v>
      </c>
      <c r="V175" s="722">
        <f t="shared" ref="V175" si="326">U175</f>
        <v>13100</v>
      </c>
      <c r="W175" s="722">
        <f t="shared" ref="W175" si="327">V175</f>
        <v>13100</v>
      </c>
      <c r="X175" s="770"/>
      <c r="AH175" s="847"/>
      <c r="AM175" s="848"/>
      <c r="AN175" s="770"/>
      <c r="BH175" s="21"/>
      <c r="BI175" s="21"/>
      <c r="BJ175" s="21"/>
      <c r="BK175" s="21"/>
      <c r="BL175" s="21"/>
      <c r="BM175" s="21"/>
      <c r="BN175" s="21"/>
      <c r="BO175" s="21"/>
      <c r="BP175" s="21"/>
      <c r="BQ175" s="21"/>
      <c r="BR175" s="21"/>
    </row>
    <row r="176" spans="1:70" ht="20" outlineLevel="2">
      <c r="A176" s="485" t="s">
        <v>284</v>
      </c>
      <c r="B176" s="80"/>
      <c r="C176" s="80"/>
      <c r="D176" s="1081"/>
      <c r="E176" s="80"/>
      <c r="F176" s="423"/>
      <c r="G176" s="1">
        <v>5700</v>
      </c>
      <c r="H176" s="169">
        <f>G176</f>
        <v>5700</v>
      </c>
      <c r="I176" s="169">
        <f t="shared" si="323"/>
        <v>5700</v>
      </c>
      <c r="J176" s="169">
        <f t="shared" si="323"/>
        <v>5700</v>
      </c>
      <c r="K176" s="407"/>
      <c r="L176" s="169"/>
      <c r="M176" s="423"/>
      <c r="S176" s="423"/>
      <c r="T176" s="1">
        <f t="shared" ref="T176:W177" si="328">N176</f>
        <v>0</v>
      </c>
      <c r="U176" s="1">
        <f t="shared" si="328"/>
        <v>0</v>
      </c>
      <c r="V176" s="1">
        <f t="shared" si="328"/>
        <v>0</v>
      </c>
      <c r="W176" s="1">
        <f t="shared" si="328"/>
        <v>0</v>
      </c>
      <c r="X176" s="504"/>
      <c r="Y176" s="423"/>
      <c r="Z176" s="423"/>
      <c r="AA176" s="423"/>
      <c r="AB176" s="423"/>
      <c r="AC176" s="423"/>
      <c r="AD176" s="423"/>
      <c r="AE176" s="423"/>
      <c r="AF176" s="423"/>
      <c r="AG176" s="423"/>
      <c r="AH176" s="841"/>
      <c r="AI176" s="423"/>
      <c r="AJ176" s="423"/>
      <c r="AK176" s="423"/>
      <c r="AL176" s="423"/>
      <c r="AM176" s="849"/>
      <c r="AN176" s="504"/>
      <c r="AO176" s="423"/>
      <c r="AP176" s="423"/>
      <c r="AQ176" s="423"/>
      <c r="AR176" s="423"/>
      <c r="AS176" s="423"/>
      <c r="AT176" s="423"/>
      <c r="AU176" s="423"/>
      <c r="AV176" s="423"/>
      <c r="AW176" s="423"/>
      <c r="AX176" s="423"/>
      <c r="AY176" s="423"/>
      <c r="AZ176" s="423"/>
      <c r="BG176" s="423"/>
      <c r="BM176" s="14"/>
    </row>
    <row r="177" spans="1:70" ht="20" outlineLevel="2">
      <c r="A177" s="485" t="s">
        <v>498</v>
      </c>
      <c r="B177" s="80"/>
      <c r="C177" s="80"/>
      <c r="D177" s="1081"/>
      <c r="E177" s="80"/>
      <c r="F177" s="423"/>
      <c r="G177" s="1">
        <v>7800</v>
      </c>
      <c r="H177" s="169">
        <f>G177</f>
        <v>7800</v>
      </c>
      <c r="I177" s="169">
        <f t="shared" si="323"/>
        <v>7800</v>
      </c>
      <c r="J177" s="169">
        <f t="shared" si="323"/>
        <v>7800</v>
      </c>
      <c r="K177" s="407"/>
      <c r="L177" s="169"/>
      <c r="M177" s="423"/>
      <c r="S177" s="423"/>
      <c r="T177" s="1">
        <f t="shared" si="328"/>
        <v>0</v>
      </c>
      <c r="U177" s="1">
        <f t="shared" si="328"/>
        <v>0</v>
      </c>
      <c r="V177" s="1">
        <f t="shared" si="328"/>
        <v>0</v>
      </c>
      <c r="W177" s="1">
        <f t="shared" si="328"/>
        <v>0</v>
      </c>
      <c r="X177" s="504"/>
      <c r="Y177" s="423"/>
      <c r="Z177" s="423"/>
      <c r="AA177" s="423"/>
      <c r="AB177" s="423"/>
      <c r="AC177" s="423"/>
      <c r="AD177" s="423"/>
      <c r="AE177" s="423"/>
      <c r="AF177" s="423"/>
      <c r="AG177" s="423"/>
      <c r="AH177" s="841"/>
      <c r="AI177" s="423"/>
      <c r="AJ177" s="423"/>
      <c r="AK177" s="423"/>
      <c r="AL177" s="423"/>
      <c r="AM177" s="849"/>
      <c r="AN177" s="504"/>
      <c r="AO177" s="423"/>
      <c r="AP177" s="423"/>
      <c r="AQ177" s="423"/>
      <c r="AR177" s="423"/>
      <c r="AS177" s="423"/>
      <c r="AT177" s="423"/>
      <c r="AU177" s="423"/>
      <c r="AV177" s="423"/>
      <c r="AW177" s="423"/>
      <c r="AX177" s="423"/>
      <c r="AY177" s="423"/>
      <c r="AZ177" s="423"/>
      <c r="BG177" s="423"/>
      <c r="BM177" s="14"/>
    </row>
    <row r="178" spans="1:70" s="489" customFormat="1" ht="20" outlineLevel="2">
      <c r="A178" s="1051" t="s">
        <v>321</v>
      </c>
      <c r="B178" s="628"/>
      <c r="C178" s="628"/>
      <c r="D178" s="1082"/>
      <c r="E178" s="628"/>
      <c r="G178" s="722">
        <v>20900</v>
      </c>
      <c r="H178" s="722">
        <f>G178</f>
        <v>20900</v>
      </c>
      <c r="I178" s="722">
        <f t="shared" ref="I178:J178" si="329">H178</f>
        <v>20900</v>
      </c>
      <c r="J178" s="722">
        <f t="shared" si="329"/>
        <v>20900</v>
      </c>
      <c r="K178" s="767"/>
      <c r="L178" s="722"/>
      <c r="N178" s="722">
        <f t="shared" si="324"/>
        <v>20900</v>
      </c>
      <c r="O178" s="722">
        <f>N178</f>
        <v>20900</v>
      </c>
      <c r="P178" s="722">
        <f t="shared" ref="P178:Q178" si="330">O178</f>
        <v>20900</v>
      </c>
      <c r="Q178" s="722">
        <f t="shared" si="330"/>
        <v>20900</v>
      </c>
      <c r="R178" s="535"/>
      <c r="S178" s="21"/>
      <c r="T178" s="722">
        <f>N178</f>
        <v>20900</v>
      </c>
      <c r="U178" s="722">
        <f>T178</f>
        <v>20900</v>
      </c>
      <c r="V178" s="722">
        <f t="shared" ref="V178:W178" si="331">U178</f>
        <v>20900</v>
      </c>
      <c r="W178" s="722">
        <f t="shared" si="331"/>
        <v>20900</v>
      </c>
      <c r="X178" s="535"/>
      <c r="Y178" s="21"/>
      <c r="Z178" s="21"/>
      <c r="AA178" s="21"/>
      <c r="AH178" s="847"/>
      <c r="AM178" s="848"/>
      <c r="AN178" s="770"/>
      <c r="BH178" s="21"/>
      <c r="BI178" s="21"/>
      <c r="BJ178" s="21"/>
      <c r="BK178" s="21"/>
      <c r="BL178" s="21"/>
      <c r="BM178" s="21"/>
      <c r="BN178" s="21"/>
      <c r="BO178" s="21"/>
      <c r="BP178" s="21"/>
      <c r="BQ178" s="21"/>
      <c r="BR178" s="21"/>
    </row>
    <row r="179" spans="1:70" s="489" customFormat="1" ht="20" outlineLevel="2">
      <c r="A179" s="1051" t="s">
        <v>491</v>
      </c>
      <c r="B179" s="628"/>
      <c r="C179" s="628"/>
      <c r="D179" s="1082"/>
      <c r="E179" s="628"/>
      <c r="G179" s="722"/>
      <c r="H179" s="722"/>
      <c r="I179" s="722"/>
      <c r="J179" s="722"/>
      <c r="K179" s="767"/>
      <c r="L179" s="722"/>
      <c r="N179" s="722">
        <f t="shared" si="324"/>
        <v>0</v>
      </c>
      <c r="O179" s="722">
        <f>H179</f>
        <v>0</v>
      </c>
      <c r="P179" s="722">
        <f>I179</f>
        <v>0</v>
      </c>
      <c r="Q179" s="722">
        <f>J179</f>
        <v>0</v>
      </c>
      <c r="R179" s="535"/>
      <c r="T179" s="722">
        <f>N179</f>
        <v>0</v>
      </c>
      <c r="U179" s="722">
        <f>O179</f>
        <v>0</v>
      </c>
      <c r="V179" s="722">
        <f>P179</f>
        <v>0</v>
      </c>
      <c r="W179" s="722">
        <f>Q179</f>
        <v>0</v>
      </c>
      <c r="X179" s="535"/>
      <c r="Y179" s="21"/>
      <c r="Z179" s="21"/>
      <c r="AA179" s="21"/>
      <c r="AH179" s="847"/>
      <c r="AM179" s="848"/>
      <c r="AN179" s="770"/>
      <c r="BH179" s="21"/>
      <c r="BI179" s="21"/>
      <c r="BJ179" s="21"/>
      <c r="BK179" s="21"/>
      <c r="BL179" s="21"/>
      <c r="BM179" s="21"/>
      <c r="BN179" s="21"/>
      <c r="BO179" s="21"/>
      <c r="BP179" s="21"/>
      <c r="BQ179" s="21"/>
      <c r="BR179" s="21"/>
    </row>
    <row r="180" spans="1:70" outlineLevel="2">
      <c r="A180" s="1052"/>
      <c r="B180" s="273"/>
      <c r="C180" s="273"/>
      <c r="D180" s="1083"/>
      <c r="E180" s="273"/>
      <c r="F180" s="423"/>
      <c r="G180" s="169"/>
      <c r="H180" s="169"/>
      <c r="I180" s="169"/>
      <c r="J180" s="169"/>
      <c r="K180" s="407"/>
      <c r="L180" s="169"/>
      <c r="M180" s="423"/>
      <c r="S180" s="423"/>
      <c r="AB180" s="423"/>
      <c r="AC180" s="423"/>
      <c r="AD180" s="423"/>
      <c r="AE180" s="423"/>
      <c r="AF180" s="423"/>
      <c r="AG180" s="423"/>
      <c r="AH180" s="841"/>
      <c r="AI180" s="423"/>
      <c r="AJ180" s="423"/>
      <c r="AK180" s="423"/>
      <c r="AL180" s="423"/>
      <c r="AM180" s="849"/>
      <c r="AN180" s="504"/>
      <c r="AO180" s="423"/>
      <c r="AP180" s="423"/>
      <c r="AQ180" s="423"/>
      <c r="AR180" s="423"/>
      <c r="AS180" s="423"/>
      <c r="AT180" s="423"/>
      <c r="AU180" s="423"/>
      <c r="AV180" s="423"/>
      <c r="AW180" s="423"/>
      <c r="AX180" s="423"/>
      <c r="AY180" s="423"/>
      <c r="AZ180" s="423"/>
      <c r="BG180" s="423"/>
      <c r="BM180" s="14"/>
    </row>
    <row r="181" spans="1:70" s="489" customFormat="1" ht="20" outlineLevel="2">
      <c r="A181" s="1049" t="s">
        <v>355</v>
      </c>
      <c r="B181" s="259"/>
      <c r="C181" s="259"/>
      <c r="D181" s="1079"/>
      <c r="E181" s="259"/>
      <c r="F181" s="728"/>
      <c r="G181" s="722">
        <v>1600</v>
      </c>
      <c r="H181" s="722">
        <f>G181</f>
        <v>1600</v>
      </c>
      <c r="I181" s="722">
        <f t="shared" ref="I181:J181" si="332">H181</f>
        <v>1600</v>
      </c>
      <c r="J181" s="722">
        <f t="shared" si="332"/>
        <v>1600</v>
      </c>
      <c r="K181" s="767"/>
      <c r="L181" s="722"/>
      <c r="M181" s="21"/>
      <c r="N181" s="772">
        <f>G181</f>
        <v>1600</v>
      </c>
      <c r="O181" s="722">
        <f>H181</f>
        <v>1600</v>
      </c>
      <c r="P181" s="722">
        <f>I181</f>
        <v>1600</v>
      </c>
      <c r="Q181" s="722">
        <f>J181</f>
        <v>1600</v>
      </c>
      <c r="R181" s="767"/>
      <c r="S181" s="21"/>
      <c r="T181" s="772">
        <f>N181</f>
        <v>1600</v>
      </c>
      <c r="U181" s="722">
        <f>O181</f>
        <v>1600</v>
      </c>
      <c r="V181" s="722">
        <f>P181</f>
        <v>1600</v>
      </c>
      <c r="W181" s="722">
        <f>Q181</f>
        <v>1600</v>
      </c>
      <c r="X181" s="535"/>
      <c r="Y181" s="21"/>
      <c r="Z181" s="21"/>
      <c r="AA181" s="21"/>
      <c r="AH181" s="847"/>
      <c r="AM181" s="848"/>
      <c r="AN181" s="770"/>
      <c r="BH181" s="21"/>
      <c r="BI181" s="21"/>
      <c r="BJ181" s="21"/>
      <c r="BK181" s="21"/>
      <c r="BL181" s="21"/>
      <c r="BM181" s="21" t="s">
        <v>33</v>
      </c>
      <c r="BN181" s="21"/>
      <c r="BO181" s="21"/>
      <c r="BP181" s="21"/>
      <c r="BQ181" s="21"/>
      <c r="BR181" s="21"/>
    </row>
    <row r="182" spans="1:70" outlineLevel="2">
      <c r="A182" s="1047"/>
      <c r="B182" s="359"/>
      <c r="C182" s="359"/>
      <c r="D182" s="1077"/>
      <c r="E182" s="359"/>
      <c r="F182" s="423"/>
      <c r="H182" s="169"/>
      <c r="I182" s="169"/>
      <c r="J182" s="169"/>
      <c r="K182" s="407"/>
      <c r="L182" s="169"/>
      <c r="T182" s="423"/>
      <c r="AB182" s="423"/>
      <c r="AC182" s="423"/>
      <c r="AD182" s="423"/>
      <c r="AE182" s="423"/>
      <c r="AF182" s="423"/>
      <c r="AG182" s="423"/>
      <c r="AH182" s="841"/>
      <c r="AI182" s="423"/>
      <c r="AJ182" s="423"/>
      <c r="AK182" s="423"/>
      <c r="AL182" s="423"/>
      <c r="AM182" s="849"/>
      <c r="AN182" s="504"/>
      <c r="AO182" s="423"/>
      <c r="AP182" s="423"/>
      <c r="AQ182" s="423"/>
      <c r="AR182" s="423"/>
      <c r="AS182" s="423"/>
      <c r="AT182" s="423"/>
      <c r="AU182" s="423"/>
      <c r="AV182" s="423"/>
      <c r="AW182" s="423"/>
      <c r="AX182" s="423"/>
      <c r="AY182" s="423"/>
      <c r="AZ182" s="423"/>
      <c r="BG182" s="423"/>
    </row>
    <row r="183" spans="1:70" outlineLevel="2"/>
    <row r="184" spans="1:70" ht="20" outlineLevel="2">
      <c r="A184" s="558" t="s">
        <v>580</v>
      </c>
      <c r="B184" s="355"/>
      <c r="C184" s="355"/>
      <c r="D184" s="1068"/>
      <c r="E184" s="355"/>
      <c r="F184" s="423"/>
      <c r="G184" s="785">
        <f>G185/10</f>
        <v>21.2</v>
      </c>
      <c r="H184" s="785">
        <f>G184</f>
        <v>21.2</v>
      </c>
      <c r="I184" s="785">
        <f t="shared" ref="I184:J185" si="333">H184</f>
        <v>21.2</v>
      </c>
      <c r="J184" s="785">
        <f t="shared" si="333"/>
        <v>21.2</v>
      </c>
      <c r="K184" s="407"/>
      <c r="L184" s="169"/>
      <c r="N184" s="785">
        <f>J184</f>
        <v>21.2</v>
      </c>
      <c r="O184" s="785">
        <f>N184</f>
        <v>21.2</v>
      </c>
      <c r="P184" s="785">
        <f t="shared" ref="P184:Q185" si="334">O184</f>
        <v>21.2</v>
      </c>
      <c r="Q184" s="785">
        <f t="shared" si="334"/>
        <v>21.2</v>
      </c>
      <c r="T184" s="785">
        <f>G184</f>
        <v>21.2</v>
      </c>
      <c r="U184" s="785">
        <f>O184</f>
        <v>21.2</v>
      </c>
      <c r="V184" s="785">
        <f>P184</f>
        <v>21.2</v>
      </c>
      <c r="W184" s="785">
        <f>Q184</f>
        <v>21.2</v>
      </c>
      <c r="AB184" s="423"/>
      <c r="AC184" s="423"/>
      <c r="AD184" s="423"/>
      <c r="AE184" s="423"/>
      <c r="AF184" s="423"/>
      <c r="AG184" s="423"/>
      <c r="AH184" s="841"/>
      <c r="AI184" s="423"/>
      <c r="AJ184" s="423"/>
      <c r="AK184" s="423"/>
      <c r="AL184" s="423"/>
      <c r="AM184" s="849"/>
      <c r="AN184" s="504"/>
      <c r="AO184" s="423"/>
      <c r="AP184" s="423"/>
      <c r="AQ184" s="423"/>
      <c r="AR184" s="423"/>
      <c r="AS184" s="423"/>
      <c r="AT184" s="423"/>
      <c r="AU184" s="423"/>
      <c r="AV184" s="423"/>
      <c r="AW184" s="423"/>
      <c r="AX184" s="423"/>
      <c r="AY184" s="423"/>
      <c r="AZ184" s="423"/>
      <c r="BG184" s="423"/>
    </row>
    <row r="185" spans="1:70" s="489" customFormat="1" ht="20" outlineLevel="2">
      <c r="A185" s="1049" t="s">
        <v>495</v>
      </c>
      <c r="B185" s="259"/>
      <c r="C185" s="259"/>
      <c r="D185" s="1079"/>
      <c r="E185" s="259"/>
      <c r="G185" s="722">
        <f>'MPS др метрики'!H58</f>
        <v>212</v>
      </c>
      <c r="H185" s="722">
        <f>G185</f>
        <v>212</v>
      </c>
      <c r="I185" s="722">
        <f t="shared" si="333"/>
        <v>212</v>
      </c>
      <c r="J185" s="722">
        <f t="shared" si="333"/>
        <v>212</v>
      </c>
      <c r="K185" s="767"/>
      <c r="L185" s="722"/>
      <c r="M185" s="21"/>
      <c r="N185" s="722">
        <f>G185</f>
        <v>212</v>
      </c>
      <c r="O185" s="722">
        <f>N185</f>
        <v>212</v>
      </c>
      <c r="P185" s="722">
        <f t="shared" si="334"/>
        <v>212</v>
      </c>
      <c r="Q185" s="722">
        <f t="shared" si="334"/>
        <v>212</v>
      </c>
      <c r="R185" s="535"/>
      <c r="S185" s="1"/>
      <c r="T185" s="722">
        <f>N185</f>
        <v>212</v>
      </c>
      <c r="U185" s="722">
        <f>T185</f>
        <v>212</v>
      </c>
      <c r="V185" s="722">
        <f t="shared" ref="V185" si="335">U185</f>
        <v>212</v>
      </c>
      <c r="W185" s="722">
        <f t="shared" ref="W185" si="336">V185</f>
        <v>212</v>
      </c>
      <c r="X185" s="535"/>
      <c r="Y185" s="21"/>
      <c r="Z185" s="21"/>
      <c r="AA185" s="21"/>
      <c r="AB185" s="423"/>
      <c r="AC185" s="722"/>
      <c r="AD185" s="722"/>
      <c r="AE185" s="722"/>
      <c r="AF185" s="722"/>
      <c r="AH185" s="847"/>
      <c r="AI185" s="722"/>
      <c r="AJ185" s="722"/>
      <c r="AK185" s="722"/>
      <c r="AL185" s="722"/>
      <c r="AM185" s="848"/>
      <c r="AN185" s="770"/>
      <c r="BH185" s="21"/>
      <c r="BI185" s="21"/>
      <c r="BJ185" s="21"/>
      <c r="BK185" s="21"/>
      <c r="BL185" s="21"/>
      <c r="BM185" s="21"/>
      <c r="BN185" s="21"/>
      <c r="BO185" s="21"/>
      <c r="BP185" s="21"/>
      <c r="BQ185" s="21"/>
      <c r="BR185" s="21"/>
    </row>
    <row r="186" spans="1:70" outlineLevel="2">
      <c r="A186" s="1047"/>
      <c r="B186" s="359"/>
      <c r="C186" s="359"/>
      <c r="D186" s="1077"/>
      <c r="E186" s="359"/>
      <c r="F186" s="423"/>
      <c r="G186" s="652"/>
      <c r="H186" s="169"/>
      <c r="I186" s="169"/>
      <c r="J186" s="169"/>
      <c r="K186" s="407"/>
      <c r="L186" s="169"/>
      <c r="T186" s="423"/>
      <c r="AB186" s="423"/>
      <c r="AC186" s="423"/>
      <c r="AD186" s="423"/>
      <c r="AE186" s="423"/>
      <c r="AF186" s="423"/>
      <c r="AG186" s="423"/>
      <c r="AH186" s="841"/>
      <c r="AI186" s="423"/>
      <c r="AJ186" s="423"/>
      <c r="AK186" s="423"/>
      <c r="AL186" s="423"/>
      <c r="AM186" s="849"/>
      <c r="AN186" s="504"/>
      <c r="AO186" s="423"/>
      <c r="AP186" s="423"/>
      <c r="AQ186" s="423"/>
      <c r="AR186" s="423"/>
      <c r="AS186" s="423"/>
      <c r="AT186" s="423"/>
      <c r="AU186" s="423"/>
      <c r="AV186" s="423"/>
      <c r="AW186" s="423"/>
      <c r="AX186" s="423"/>
      <c r="AY186" s="423"/>
      <c r="AZ186" s="423"/>
      <c r="BG186" s="423"/>
    </row>
    <row r="187" spans="1:70" s="456" customFormat="1" ht="20" outlineLevel="2">
      <c r="A187" s="1053" t="s">
        <v>360</v>
      </c>
      <c r="B187" s="455"/>
      <c r="C187" s="455"/>
      <c r="D187" s="1084"/>
      <c r="E187" s="455"/>
      <c r="G187" s="457"/>
      <c r="H187" s="458"/>
      <c r="I187" s="458"/>
      <c r="J187" s="458"/>
      <c r="K187" s="525"/>
      <c r="L187" s="458"/>
      <c r="M187" s="457"/>
      <c r="N187" s="457"/>
      <c r="O187" s="457"/>
      <c r="P187" s="457"/>
      <c r="Q187" s="457"/>
      <c r="R187" s="549"/>
      <c r="S187" s="457"/>
      <c r="U187" s="457"/>
      <c r="V187" s="457"/>
      <c r="W187" s="457"/>
      <c r="X187" s="549"/>
      <c r="Y187" s="457"/>
      <c r="Z187" s="457"/>
      <c r="AA187" s="457"/>
      <c r="AH187" s="850"/>
      <c r="AM187" s="851"/>
      <c r="AN187" s="566"/>
      <c r="BH187" s="457"/>
      <c r="BI187" s="457"/>
      <c r="BJ187" s="457"/>
      <c r="BK187" s="457"/>
      <c r="BL187" s="457"/>
      <c r="BM187" s="457"/>
      <c r="BN187" s="457"/>
      <c r="BO187" s="457"/>
      <c r="BP187" s="457"/>
      <c r="BQ187" s="457"/>
      <c r="BR187" s="457"/>
    </row>
    <row r="188" spans="1:70" s="2" customFormat="1" outlineLevel="2">
      <c r="A188" s="89" t="s">
        <v>359</v>
      </c>
      <c r="B188" s="15"/>
      <c r="C188" s="15"/>
      <c r="D188" s="1085"/>
      <c r="E188" s="15"/>
      <c r="F188" s="526"/>
      <c r="G188" s="526">
        <v>400000</v>
      </c>
      <c r="H188" s="526">
        <v>400000</v>
      </c>
      <c r="I188" s="526">
        <v>400000</v>
      </c>
      <c r="J188" s="526">
        <v>400000</v>
      </c>
      <c r="K188" s="295"/>
      <c r="L188" s="1"/>
      <c r="M188" s="1"/>
      <c r="N188" s="1"/>
      <c r="O188" s="1"/>
      <c r="P188" s="1"/>
      <c r="Q188" s="1"/>
      <c r="R188" s="295"/>
      <c r="S188" s="1"/>
      <c r="T188" s="1"/>
      <c r="U188" s="1"/>
      <c r="V188" s="1"/>
      <c r="W188" s="1"/>
      <c r="X188" s="295"/>
      <c r="Y188" s="1"/>
      <c r="Z188" s="1"/>
      <c r="AA188" s="1"/>
      <c r="AB188" s="1"/>
      <c r="AC188" s="1"/>
      <c r="AD188" s="1"/>
      <c r="AE188" s="1"/>
      <c r="AF188" s="1"/>
      <c r="AG188" s="1"/>
      <c r="AH188" s="28"/>
      <c r="AI188" s="1"/>
      <c r="AJ188" s="1"/>
      <c r="AK188" s="1"/>
      <c r="AL188" s="1"/>
      <c r="AM188" s="24"/>
      <c r="AN188" s="295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</row>
    <row r="189" spans="1:70" s="2" customFormat="1" outlineLevel="2">
      <c r="A189" s="89" t="s">
        <v>371</v>
      </c>
      <c r="B189" s="15"/>
      <c r="C189" s="15"/>
      <c r="D189" s="1085"/>
      <c r="E189" s="15"/>
      <c r="F189" s="15"/>
      <c r="G189" s="15">
        <v>547</v>
      </c>
      <c r="H189" s="15">
        <v>547</v>
      </c>
      <c r="I189" s="15">
        <v>547</v>
      </c>
      <c r="J189" s="15">
        <v>547</v>
      </c>
      <c r="K189" s="295"/>
      <c r="L189" s="1"/>
      <c r="M189" s="1"/>
      <c r="N189" s="1"/>
      <c r="O189" s="1"/>
      <c r="P189" s="1"/>
      <c r="Q189" s="1"/>
      <c r="R189" s="295"/>
      <c r="S189" s="1"/>
      <c r="T189" s="1"/>
      <c r="U189" s="1"/>
      <c r="V189" s="1"/>
      <c r="W189" s="1"/>
      <c r="X189" s="295"/>
      <c r="Y189" s="1"/>
      <c r="Z189" s="1"/>
      <c r="AA189" s="1"/>
      <c r="AB189" s="1"/>
      <c r="AC189" s="1"/>
      <c r="AD189" s="1"/>
      <c r="AE189" s="1"/>
      <c r="AF189" s="1"/>
      <c r="AG189" s="1"/>
      <c r="AH189" s="28"/>
      <c r="AI189" s="1"/>
      <c r="AJ189" s="1"/>
      <c r="AK189" s="1"/>
      <c r="AL189" s="1"/>
      <c r="AM189" s="24"/>
      <c r="AN189" s="295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</row>
    <row r="190" spans="1:70" ht="20" outlineLevel="2">
      <c r="A190" s="87" t="s">
        <v>372</v>
      </c>
      <c r="F190" s="527"/>
      <c r="G190" s="527">
        <f>G188/G189</f>
        <v>731.26142595978058</v>
      </c>
      <c r="H190" s="527">
        <f t="shared" ref="H190:J190" si="337">H188/H189</f>
        <v>731.26142595978058</v>
      </c>
      <c r="I190" s="527">
        <f t="shared" si="337"/>
        <v>731.26142595978058</v>
      </c>
      <c r="J190" s="527">
        <f t="shared" si="337"/>
        <v>731.26142595978058</v>
      </c>
    </row>
    <row r="191" spans="1:70" outlineLevel="2"/>
    <row r="192" spans="1:70" outlineLevel="2">
      <c r="A192" s="89" t="s">
        <v>492</v>
      </c>
      <c r="B192" s="15"/>
      <c r="C192" s="15"/>
      <c r="D192" s="1085"/>
      <c r="E192" s="15"/>
      <c r="F192" s="527"/>
      <c r="G192" s="15">
        <v>3697</v>
      </c>
      <c r="H192" s="15">
        <v>3697</v>
      </c>
      <c r="I192" s="15">
        <v>3697</v>
      </c>
      <c r="J192" s="15">
        <v>3697</v>
      </c>
    </row>
    <row r="193" spans="1:32" ht="20" outlineLevel="2">
      <c r="A193" s="87" t="s">
        <v>489</v>
      </c>
      <c r="F193" s="527"/>
      <c r="G193" s="766">
        <f>G188/G192</f>
        <v>108.19583446037328</v>
      </c>
      <c r="H193" s="766">
        <f>H188/H192</f>
        <v>108.19583446037328</v>
      </c>
      <c r="I193" s="766">
        <f>I188/I192</f>
        <v>108.19583446037328</v>
      </c>
      <c r="J193" s="766">
        <f>J188/J192</f>
        <v>108.19583446037328</v>
      </c>
    </row>
    <row r="194" spans="1:32" outlineLevel="2">
      <c r="F194" s="527"/>
      <c r="G194" s="766"/>
      <c r="H194" s="766"/>
      <c r="I194" s="766"/>
      <c r="J194" s="766"/>
    </row>
    <row r="195" spans="1:32" ht="40" outlineLevel="2">
      <c r="A195" s="87" t="s">
        <v>494</v>
      </c>
      <c r="F195" s="527"/>
      <c r="G195" s="423"/>
      <c r="H195" s="766">
        <v>81</v>
      </c>
      <c r="I195" s="766">
        <v>81</v>
      </c>
      <c r="J195" s="766">
        <v>81</v>
      </c>
      <c r="N195" s="766">
        <v>81</v>
      </c>
      <c r="O195" s="766">
        <v>81</v>
      </c>
      <c r="P195" s="766">
        <v>81</v>
      </c>
      <c r="Q195" s="766">
        <v>81</v>
      </c>
      <c r="T195" s="766">
        <v>81</v>
      </c>
      <c r="U195" s="766">
        <v>81</v>
      </c>
      <c r="V195" s="766">
        <v>81</v>
      </c>
      <c r="W195" s="766">
        <v>81</v>
      </c>
      <c r="AC195" s="766"/>
      <c r="AD195" s="766"/>
      <c r="AE195" s="766"/>
      <c r="AF195" s="766"/>
    </row>
    <row r="196" spans="1:32" outlineLevel="2">
      <c r="G196" s="423"/>
    </row>
    <row r="197" spans="1:32" outlineLevel="2">
      <c r="A197" s="1133" t="s">
        <v>577</v>
      </c>
      <c r="B197" s="423"/>
      <c r="G197" s="1127">
        <v>1.5</v>
      </c>
      <c r="H197" s="1131">
        <f>G197</f>
        <v>1.5</v>
      </c>
      <c r="I197" s="1131">
        <f t="shared" ref="I197:J197" si="338">H197</f>
        <v>1.5</v>
      </c>
      <c r="J197" s="592">
        <f t="shared" si="338"/>
        <v>1.5</v>
      </c>
    </row>
    <row r="198" spans="1:32" outlineLevel="2">
      <c r="A198" s="1134" t="s">
        <v>578</v>
      </c>
      <c r="B198" s="423"/>
      <c r="G198" s="1129">
        <v>1.73</v>
      </c>
      <c r="H198" s="93">
        <f t="shared" ref="H198:J198" si="339">G198</f>
        <v>1.73</v>
      </c>
      <c r="I198" s="93">
        <f t="shared" si="339"/>
        <v>1.73</v>
      </c>
      <c r="J198" s="595">
        <f t="shared" si="339"/>
        <v>1.73</v>
      </c>
    </row>
    <row r="199" spans="1:32" outlineLevel="2">
      <c r="A199" s="1135" t="s">
        <v>579</v>
      </c>
      <c r="B199" s="423"/>
      <c r="G199" s="1130">
        <v>7.69</v>
      </c>
      <c r="H199" s="1132">
        <f t="shared" ref="H199:J199" si="340">G199</f>
        <v>7.69</v>
      </c>
      <c r="I199" s="1132">
        <f t="shared" si="340"/>
        <v>7.69</v>
      </c>
      <c r="J199" s="597">
        <f t="shared" si="340"/>
        <v>7.69</v>
      </c>
    </row>
    <row r="200" spans="1:32" outlineLevel="2">
      <c r="G200" s="423"/>
    </row>
    <row r="201" spans="1:32" ht="20" outlineLevel="2">
      <c r="A201" s="87" t="s">
        <v>598</v>
      </c>
      <c r="G201" s="1142">
        <v>0.62</v>
      </c>
    </row>
    <row r="202" spans="1:32" ht="20" outlineLevel="2">
      <c r="A202" s="87" t="s">
        <v>599</v>
      </c>
      <c r="B202" s="423"/>
      <c r="G202" s="154">
        <v>15542.8125</v>
      </c>
    </row>
    <row r="203" spans="1:32" outlineLevel="2">
      <c r="A203" s="423"/>
      <c r="B203" s="423"/>
    </row>
    <row r="204" spans="1:32" outlineLevel="1">
      <c r="R204" s="1152">
        <f>R79-K79</f>
        <v>116071415.0027172</v>
      </c>
    </row>
    <row r="205" spans="1:32" outlineLevel="1">
      <c r="R205" s="1152">
        <f>R77-K77</f>
        <v>55895090.809428118</v>
      </c>
    </row>
  </sheetData>
  <mergeCells count="6">
    <mergeCell ref="AB3:AG3"/>
    <mergeCell ref="AH3:AM3"/>
    <mergeCell ref="AB2:AN2"/>
    <mergeCell ref="M2:R2"/>
    <mergeCell ref="F2:K2"/>
    <mergeCell ref="S2:X2"/>
  </mergeCells>
  <pageMargins left="0.7" right="0.7" top="0.75" bottom="0.75" header="0.3" footer="0.3"/>
  <pageSetup paperSize="9" orientation="portrait" horizontalDpi="0" verticalDpi="0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8F4895-FD2B-EF42-8ECE-4323B4AF40BD}">
  <sheetPr codeName="Лист10"/>
  <dimension ref="A1:BR202"/>
  <sheetViews>
    <sheetView zoomScale="90" zoomScaleNormal="90" workbookViewId="0">
      <selection activeCell="R74" sqref="R74"/>
    </sheetView>
  </sheetViews>
  <sheetFormatPr baseColWidth="10" defaultColWidth="10.83203125" defaultRowHeight="19" outlineLevelRow="1" outlineLevelCol="1"/>
  <cols>
    <col min="1" max="1" width="49.5" style="87" customWidth="1"/>
    <col min="2" max="2" width="18.33203125" style="1" hidden="1" customWidth="1" outlineLevel="1"/>
    <col min="3" max="3" width="14.33203125" style="1" hidden="1" customWidth="1" outlineLevel="1"/>
    <col min="4" max="4" width="15.33203125" style="1057" customWidth="1" collapsed="1"/>
    <col min="5" max="5" width="14.33203125" style="1" hidden="1" customWidth="1" outlineLevel="1"/>
    <col min="6" max="6" width="12.1640625" style="2" customWidth="1" collapsed="1"/>
    <col min="7" max="10" width="19.33203125" style="1" hidden="1" customWidth="1" outlineLevel="1"/>
    <col min="11" max="11" width="26.5" style="295" customWidth="1" collapsed="1"/>
    <col min="12" max="12" width="10.1640625" style="1" customWidth="1"/>
    <col min="13" max="13" width="13.5" style="1" customWidth="1"/>
    <col min="14" max="17" width="16" style="1" hidden="1" customWidth="1" outlineLevel="1"/>
    <col min="18" max="18" width="22" style="295" customWidth="1" collapsed="1"/>
    <col min="19" max="19" width="12.6640625" style="1" customWidth="1"/>
    <col min="20" max="22" width="17" style="1" hidden="1" customWidth="1" outlineLevel="1"/>
    <col min="23" max="23" width="17.33203125" style="1" hidden="1" customWidth="1" outlineLevel="1"/>
    <col min="24" max="24" width="16.6640625" style="295" customWidth="1" collapsed="1"/>
    <col min="25" max="27" width="10" style="1" hidden="1" customWidth="1" outlineLevel="1"/>
    <col min="28" max="28" width="12.5" style="1" customWidth="1" collapsed="1"/>
    <col min="29" max="32" width="14.33203125" style="1" hidden="1" customWidth="1" outlineLevel="1"/>
    <col min="33" max="33" width="18.1640625" style="1" customWidth="1" collapsed="1"/>
    <col min="34" max="34" width="12.5" style="28" customWidth="1"/>
    <col min="35" max="38" width="14.33203125" style="1" hidden="1" customWidth="1" outlineLevel="1"/>
    <col min="39" max="39" width="17.1640625" style="24" customWidth="1" collapsed="1"/>
    <col min="40" max="40" width="16.33203125" style="295" customWidth="1"/>
    <col min="41" max="45" width="11.83203125" style="1" customWidth="1"/>
    <col min="46" max="46" width="13.83203125" style="1" customWidth="1"/>
    <col min="47" max="47" width="16.33203125" style="1" customWidth="1"/>
    <col min="48" max="52" width="17" style="1" customWidth="1"/>
    <col min="53" max="58" width="10.83203125" style="423"/>
    <col min="59" max="70" width="17" style="1" customWidth="1"/>
    <col min="71" max="16384" width="10.83203125" style="423"/>
  </cols>
  <sheetData>
    <row r="1" spans="1:70" s="61" customFormat="1" ht="20" thickBot="1">
      <c r="A1" s="161"/>
      <c r="B1" s="13"/>
      <c r="C1" s="13"/>
      <c r="D1" s="1066"/>
      <c r="E1" s="13"/>
      <c r="F1" s="1319" t="s">
        <v>648</v>
      </c>
      <c r="G1" s="1320"/>
      <c r="H1" s="1320"/>
      <c r="I1" s="1320"/>
      <c r="J1" s="1320"/>
      <c r="K1" s="1321"/>
      <c r="L1" s="1324" t="s">
        <v>649</v>
      </c>
      <c r="M1" s="103"/>
      <c r="N1" s="103"/>
      <c r="O1" s="103"/>
      <c r="P1" s="103"/>
      <c r="Q1" s="103"/>
      <c r="R1" s="1325"/>
      <c r="S1" s="1324" t="s">
        <v>649</v>
      </c>
      <c r="T1" s="103"/>
      <c r="U1" s="103"/>
      <c r="V1" s="103"/>
      <c r="W1" s="103"/>
      <c r="X1" s="1325"/>
      <c r="Y1" s="103"/>
      <c r="Z1" s="103"/>
      <c r="AA1" s="103"/>
      <c r="AB1" s="1324" t="s">
        <v>649</v>
      </c>
      <c r="AC1" s="103"/>
      <c r="AD1" s="103"/>
      <c r="AE1" s="103"/>
      <c r="AF1" s="103"/>
      <c r="AG1" s="103"/>
      <c r="AH1" s="103"/>
      <c r="AI1" s="103"/>
      <c r="AJ1" s="103"/>
      <c r="AK1" s="103"/>
      <c r="AL1" s="103"/>
      <c r="AM1" s="103"/>
      <c r="AN1" s="1325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</row>
    <row r="2" spans="1:70" s="799" customFormat="1">
      <c r="A2" s="1036"/>
      <c r="B2" s="1"/>
      <c r="C2" s="1"/>
      <c r="D2" s="1054"/>
      <c r="E2" s="1022"/>
      <c r="F2" s="2104" t="s">
        <v>314</v>
      </c>
      <c r="G2" s="2104"/>
      <c r="H2" s="2104"/>
      <c r="I2" s="2104"/>
      <c r="J2" s="2104"/>
      <c r="K2" s="2105"/>
      <c r="L2" s="1035"/>
      <c r="M2" s="2106" t="s">
        <v>315</v>
      </c>
      <c r="N2" s="2106"/>
      <c r="O2" s="2106"/>
      <c r="P2" s="2106"/>
      <c r="Q2" s="2106"/>
      <c r="R2" s="2107"/>
      <c r="S2" s="309" t="s">
        <v>401</v>
      </c>
      <c r="T2" s="670"/>
      <c r="U2" s="310"/>
      <c r="V2" s="310"/>
      <c r="W2" s="310"/>
      <c r="X2" s="1311"/>
      <c r="Z2" s="86"/>
      <c r="AA2" s="86"/>
      <c r="AB2" s="2096" t="s">
        <v>601</v>
      </c>
      <c r="AC2" s="2097"/>
      <c r="AD2" s="2097"/>
      <c r="AE2" s="2097"/>
      <c r="AF2" s="2097"/>
      <c r="AG2" s="2097"/>
      <c r="AH2" s="2097"/>
      <c r="AI2" s="2097"/>
      <c r="AJ2" s="2097"/>
      <c r="AK2" s="2097"/>
      <c r="AL2" s="2097"/>
      <c r="AM2" s="2097"/>
      <c r="AN2" s="2098"/>
      <c r="AO2" s="134"/>
      <c r="AP2" s="85"/>
      <c r="AQ2" s="86"/>
      <c r="AR2" s="86"/>
      <c r="AS2" s="86"/>
      <c r="AT2" s="1211"/>
      <c r="AU2" s="1212"/>
      <c r="AV2" s="85"/>
      <c r="AW2" s="86"/>
      <c r="AX2" s="86"/>
      <c r="AY2" s="86"/>
      <c r="AZ2" s="1211"/>
    </row>
    <row r="3" spans="1:70" s="454" customFormat="1" ht="20" thickBot="1">
      <c r="A3" s="91"/>
      <c r="B3" s="88"/>
      <c r="C3" s="88"/>
      <c r="D3" s="1055"/>
      <c r="E3" s="88"/>
      <c r="F3" s="859"/>
      <c r="G3" s="88"/>
      <c r="H3" s="860"/>
      <c r="I3" s="860"/>
      <c r="J3" s="860"/>
      <c r="K3" s="861"/>
      <c r="L3" s="860"/>
      <c r="M3" s="859"/>
      <c r="N3" s="88"/>
      <c r="O3" s="860"/>
      <c r="P3" s="860"/>
      <c r="Q3" s="860"/>
      <c r="R3" s="861"/>
      <c r="S3" s="859"/>
      <c r="T3" s="88"/>
      <c r="U3" s="860"/>
      <c r="V3" s="860"/>
      <c r="W3" s="860"/>
      <c r="X3" s="861"/>
      <c r="Y3" s="860"/>
      <c r="Z3" s="860"/>
      <c r="AA3" s="860"/>
      <c r="AB3" s="2090" t="s">
        <v>447</v>
      </c>
      <c r="AC3" s="2091"/>
      <c r="AD3" s="2091"/>
      <c r="AE3" s="2091"/>
      <c r="AF3" s="2091"/>
      <c r="AG3" s="2092"/>
      <c r="AH3" s="2093" t="s">
        <v>446</v>
      </c>
      <c r="AI3" s="2094"/>
      <c r="AJ3" s="2094"/>
      <c r="AK3" s="2094"/>
      <c r="AL3" s="2094"/>
      <c r="AM3" s="2095"/>
      <c r="AN3" s="861"/>
      <c r="AO3" s="867"/>
      <c r="AP3" s="88"/>
      <c r="AQ3" s="860"/>
      <c r="AR3" s="860"/>
      <c r="AS3" s="860"/>
      <c r="AT3" s="868"/>
      <c r="AU3" s="867"/>
      <c r="AV3" s="88"/>
      <c r="AW3" s="860"/>
      <c r="AX3" s="860"/>
      <c r="AY3" s="860"/>
      <c r="AZ3" s="868"/>
    </row>
    <row r="4" spans="1:70" s="578" customFormat="1" ht="120">
      <c r="A4" s="576" t="s">
        <v>39</v>
      </c>
      <c r="B4" s="970" t="s">
        <v>536</v>
      </c>
      <c r="C4" s="970" t="s">
        <v>536</v>
      </c>
      <c r="D4" s="1056" t="s">
        <v>554</v>
      </c>
      <c r="E4" s="1221" t="s">
        <v>622</v>
      </c>
      <c r="F4" s="627" t="s">
        <v>402</v>
      </c>
      <c r="G4" s="347" t="s">
        <v>37</v>
      </c>
      <c r="H4" s="347" t="s">
        <v>214</v>
      </c>
      <c r="I4" s="347" t="s">
        <v>210</v>
      </c>
      <c r="J4" s="347" t="s">
        <v>209</v>
      </c>
      <c r="K4" s="348" t="s">
        <v>420</v>
      </c>
      <c r="L4" s="1221" t="s">
        <v>622</v>
      </c>
      <c r="M4" s="627" t="s">
        <v>402</v>
      </c>
      <c r="N4" s="347" t="s">
        <v>301</v>
      </c>
      <c r="O4" s="347" t="s">
        <v>302</v>
      </c>
      <c r="P4" s="347" t="s">
        <v>303</v>
      </c>
      <c r="Q4" s="347" t="s">
        <v>304</v>
      </c>
      <c r="R4" s="348" t="s">
        <v>420</v>
      </c>
      <c r="S4" s="627" t="s">
        <v>402</v>
      </c>
      <c r="T4" s="347" t="s">
        <v>301</v>
      </c>
      <c r="U4" s="347" t="s">
        <v>302</v>
      </c>
      <c r="V4" s="347" t="s">
        <v>303</v>
      </c>
      <c r="W4" s="347" t="s">
        <v>304</v>
      </c>
      <c r="X4" s="348" t="s">
        <v>420</v>
      </c>
      <c r="Y4" s="1019" t="s">
        <v>557</v>
      </c>
      <c r="Z4" s="1019" t="s">
        <v>556</v>
      </c>
      <c r="AA4" s="1019" t="s">
        <v>555</v>
      </c>
      <c r="AB4" s="659" t="s">
        <v>402</v>
      </c>
      <c r="AC4" s="85" t="s">
        <v>301</v>
      </c>
      <c r="AD4" s="85" t="s">
        <v>302</v>
      </c>
      <c r="AE4" s="85" t="s">
        <v>303</v>
      </c>
      <c r="AF4" s="85" t="s">
        <v>304</v>
      </c>
      <c r="AG4" s="660" t="s">
        <v>443</v>
      </c>
      <c r="AH4" s="661" t="s">
        <v>402</v>
      </c>
      <c r="AI4" s="85" t="s">
        <v>301</v>
      </c>
      <c r="AJ4" s="85" t="s">
        <v>302</v>
      </c>
      <c r="AK4" s="85" t="s">
        <v>303</v>
      </c>
      <c r="AL4" s="85" t="s">
        <v>304</v>
      </c>
      <c r="AM4" s="660" t="s">
        <v>444</v>
      </c>
      <c r="AN4" s="680" t="s">
        <v>445</v>
      </c>
      <c r="AO4" s="1213"/>
      <c r="AP4" s="347"/>
      <c r="AQ4" s="347"/>
      <c r="AR4" s="347"/>
      <c r="AS4" s="347"/>
      <c r="AT4" s="412"/>
      <c r="AU4" s="1214"/>
      <c r="AV4" s="347"/>
      <c r="AW4" s="347"/>
      <c r="AX4" s="347"/>
      <c r="AY4" s="347"/>
      <c r="AZ4" s="412"/>
    </row>
    <row r="5" spans="1:70" ht="20">
      <c r="A5" s="87" t="s">
        <v>45</v>
      </c>
      <c r="B5" s="971"/>
      <c r="C5" s="971"/>
      <c r="E5" s="662"/>
      <c r="F5" s="789">
        <v>1</v>
      </c>
      <c r="G5" s="1">
        <f>'База селлеров'!B63</f>
        <v>79000</v>
      </c>
      <c r="H5" s="1">
        <f>'База селлеров'!C63</f>
        <v>33000</v>
      </c>
      <c r="I5" s="1">
        <f>'База селлеров'!D67</f>
        <v>1820.0000000000002</v>
      </c>
      <c r="J5" s="1">
        <f>'База селлеров'!E67</f>
        <v>3705</v>
      </c>
      <c r="K5" s="297">
        <f>SUM(G5:J5)</f>
        <v>117525</v>
      </c>
      <c r="L5" s="13"/>
      <c r="M5" s="74">
        <f>F5</f>
        <v>1</v>
      </c>
      <c r="N5" s="1">
        <f>G5</f>
        <v>79000</v>
      </c>
      <c r="O5" s="1">
        <f>H5</f>
        <v>33000</v>
      </c>
      <c r="P5" s="1">
        <f>I5</f>
        <v>1820.0000000000002</v>
      </c>
      <c r="Q5" s="1">
        <f>J5</f>
        <v>3705</v>
      </c>
      <c r="R5" s="297">
        <f>SUM(N5:Q5)</f>
        <v>117525</v>
      </c>
      <c r="S5" s="74">
        <f>M5</f>
        <v>1</v>
      </c>
      <c r="T5" s="1">
        <f>N5</f>
        <v>79000</v>
      </c>
      <c r="U5" s="1">
        <f>O5</f>
        <v>33000</v>
      </c>
      <c r="V5" s="1">
        <f>P5</f>
        <v>1820.0000000000002</v>
      </c>
      <c r="W5" s="1">
        <f>Q5</f>
        <v>3705</v>
      </c>
      <c r="X5" s="297">
        <f>SUM(T5:W5)</f>
        <v>117525</v>
      </c>
      <c r="Y5" s="663"/>
      <c r="Z5" s="663"/>
      <c r="AA5" s="663"/>
      <c r="AB5" s="87"/>
      <c r="AC5" s="154">
        <f>T5*T88</f>
        <v>70079.174723972304</v>
      </c>
      <c r="AD5" s="154">
        <f>U5*U88</f>
        <v>27249.295112781954</v>
      </c>
      <c r="AE5" s="154">
        <f>V5*V88</f>
        <v>1564.9857633945626</v>
      </c>
      <c r="AF5" s="154">
        <f>W5*W88</f>
        <v>3185.8638754817875</v>
      </c>
      <c r="AG5" s="681">
        <f>SUM(AC5:AF5)</f>
        <v>102079.31947563062</v>
      </c>
      <c r="AI5" s="154">
        <f>T5-AC5</f>
        <v>8920.8252760276955</v>
      </c>
      <c r="AJ5" s="154">
        <f>U5-AD5</f>
        <v>5750.7048872180458</v>
      </c>
      <c r="AK5" s="154">
        <f>V5-AE5</f>
        <v>255.01423660543765</v>
      </c>
      <c r="AL5" s="154">
        <f>W5-AF5</f>
        <v>519.13612451821245</v>
      </c>
      <c r="AM5" s="681">
        <f>SUM(AI5:AL5)</f>
        <v>15445.680524369391</v>
      </c>
      <c r="AN5" s="301">
        <f>AG5+AM5</f>
        <v>117525.00000000001</v>
      </c>
      <c r="AT5" s="24"/>
      <c r="AU5" s="28"/>
      <c r="AV5" s="1">
        <f>T5</f>
        <v>79000</v>
      </c>
      <c r="AW5" s="1">
        <f>U5</f>
        <v>33000</v>
      </c>
      <c r="AX5" s="1">
        <f>V5</f>
        <v>1820.0000000000002</v>
      </c>
      <c r="AY5" s="1">
        <f>W5</f>
        <v>3705</v>
      </c>
      <c r="AZ5" s="24">
        <f>X5</f>
        <v>117525</v>
      </c>
      <c r="BG5" s="423"/>
      <c r="BH5" s="423"/>
      <c r="BI5" s="423"/>
      <c r="BJ5" s="423"/>
      <c r="BK5" s="423"/>
      <c r="BL5" s="423"/>
      <c r="BM5" s="423"/>
      <c r="BN5" s="423"/>
      <c r="BO5" s="423"/>
      <c r="BP5" s="423"/>
      <c r="BQ5" s="423"/>
      <c r="BR5" s="423"/>
    </row>
    <row r="6" spans="1:70" s="272" customFormat="1" ht="20" hidden="1" outlineLevel="1">
      <c r="A6" s="349" t="s">
        <v>318</v>
      </c>
      <c r="B6" s="971"/>
      <c r="C6" s="971"/>
      <c r="D6" s="1058"/>
      <c r="E6" s="662"/>
      <c r="F6" s="790"/>
      <c r="G6" s="662"/>
      <c r="H6" s="662"/>
      <c r="I6" s="285">
        <f>'База селлеров'!D69</f>
        <v>130.00000000000023</v>
      </c>
      <c r="J6" s="285">
        <f>'База селлеров'!E69</f>
        <v>1233</v>
      </c>
      <c r="K6" s="350"/>
      <c r="L6" s="663"/>
      <c r="M6" s="1021"/>
      <c r="N6" s="662"/>
      <c r="O6" s="662"/>
      <c r="P6" s="285">
        <f>I6</f>
        <v>130.00000000000023</v>
      </c>
      <c r="Q6" s="285">
        <f>J6</f>
        <v>1233</v>
      </c>
      <c r="R6" s="350"/>
      <c r="S6" s="1021"/>
      <c r="T6" s="662"/>
      <c r="U6" s="662"/>
      <c r="V6" s="285">
        <f>P6</f>
        <v>130.00000000000023</v>
      </c>
      <c r="W6" s="285">
        <f>Q6</f>
        <v>1233</v>
      </c>
      <c r="X6" s="350"/>
      <c r="Y6" s="663"/>
      <c r="Z6" s="663"/>
      <c r="AA6" s="663"/>
      <c r="AB6" s="351"/>
      <c r="AC6" s="662"/>
      <c r="AD6" s="662"/>
      <c r="AE6" s="285">
        <f>V6*V88</f>
        <v>111.78469738532608</v>
      </c>
      <c r="AF6" s="285">
        <f>W6*W88</f>
        <v>1060.234860585437</v>
      </c>
      <c r="AG6" s="352"/>
      <c r="AH6" s="470"/>
      <c r="AI6" s="663"/>
      <c r="AJ6" s="662"/>
      <c r="AK6" s="285">
        <f>V6-AE6</f>
        <v>18.215302614674144</v>
      </c>
      <c r="AL6" s="285">
        <f>W6-AF6</f>
        <v>172.76513941456301</v>
      </c>
      <c r="AM6" s="352"/>
      <c r="AN6" s="637"/>
      <c r="AO6" s="662"/>
      <c r="AP6" s="662"/>
      <c r="AQ6" s="662"/>
      <c r="AR6" s="662"/>
      <c r="AS6" s="662"/>
      <c r="AT6" s="352"/>
      <c r="AU6" s="470"/>
      <c r="AV6" s="662"/>
      <c r="AW6" s="662"/>
      <c r="AX6" s="662"/>
      <c r="AY6" s="662"/>
      <c r="AZ6" s="352"/>
    </row>
    <row r="7" spans="1:70" ht="20" collapsed="1">
      <c r="A7" s="416" t="s">
        <v>325</v>
      </c>
      <c r="B7" s="971"/>
      <c r="C7" s="972">
        <v>1</v>
      </c>
      <c r="D7" s="1059" t="s">
        <v>542</v>
      </c>
      <c r="E7" s="1020"/>
      <c r="F7" s="791">
        <v>0.8</v>
      </c>
      <c r="G7" s="1">
        <f>G5*$F$7</f>
        <v>63200</v>
      </c>
      <c r="H7" s="1">
        <f>H5*$F$7</f>
        <v>26400</v>
      </c>
      <c r="I7" s="1">
        <f>I5*$F$7</f>
        <v>1456.0000000000002</v>
      </c>
      <c r="J7" s="1">
        <f>J5*$F$7</f>
        <v>2964</v>
      </c>
      <c r="K7" s="297">
        <f>SUM(G7:J7)</f>
        <v>94020</v>
      </c>
      <c r="L7" s="13"/>
      <c r="M7" s="791">
        <f>F7</f>
        <v>0.8</v>
      </c>
      <c r="N7" s="1">
        <f>G7</f>
        <v>63200</v>
      </c>
      <c r="O7" s="1">
        <f>H7</f>
        <v>26400</v>
      </c>
      <c r="P7" s="1">
        <f>I7</f>
        <v>1456.0000000000002</v>
      </c>
      <c r="Q7" s="1">
        <f>J7</f>
        <v>2964</v>
      </c>
      <c r="R7" s="297">
        <f>SUM(N7:Q7)</f>
        <v>94020</v>
      </c>
      <c r="S7" s="791">
        <f>M7</f>
        <v>0.8</v>
      </c>
      <c r="T7" s="1">
        <f>N7</f>
        <v>63200</v>
      </c>
      <c r="U7" s="1">
        <f>O7</f>
        <v>26400</v>
      </c>
      <c r="V7" s="1">
        <f>P7</f>
        <v>1456.0000000000002</v>
      </c>
      <c r="W7" s="1">
        <f>Q7</f>
        <v>2964</v>
      </c>
      <c r="X7" s="297">
        <f>SUM(T7:W7)</f>
        <v>94020</v>
      </c>
      <c r="Y7" s="663"/>
      <c r="Z7" s="663"/>
      <c r="AA7" s="663"/>
      <c r="AB7" s="296">
        <f>S7</f>
        <v>0.8</v>
      </c>
      <c r="AC7" s="154">
        <f>$AB$7*AC5</f>
        <v>56063.339779177848</v>
      </c>
      <c r="AD7" s="154">
        <f t="shared" ref="AD7:AF7" si="0">$AB$7*AD5</f>
        <v>21799.436090225565</v>
      </c>
      <c r="AE7" s="154">
        <f t="shared" si="0"/>
        <v>1251.9886107156501</v>
      </c>
      <c r="AF7" s="154">
        <f t="shared" si="0"/>
        <v>2548.6911003854302</v>
      </c>
      <c r="AG7" s="681">
        <f>SUM(AC7:AF7)</f>
        <v>81663.455580504495</v>
      </c>
      <c r="AH7" s="283">
        <f>M7</f>
        <v>0.8</v>
      </c>
      <c r="AI7" s="154">
        <f>$AH$7*AI5</f>
        <v>7136.6602208221566</v>
      </c>
      <c r="AJ7" s="154">
        <f t="shared" ref="AJ7:AL7" si="1">$AH$7*AJ5</f>
        <v>4600.563909774437</v>
      </c>
      <c r="AK7" s="154">
        <f t="shared" si="1"/>
        <v>204.01138928435012</v>
      </c>
      <c r="AL7" s="154">
        <f t="shared" si="1"/>
        <v>415.30889961457001</v>
      </c>
      <c r="AM7" s="681">
        <f>SUM(AI7:AL7)</f>
        <v>12356.544419495516</v>
      </c>
      <c r="AN7" s="301">
        <f>AG7+AM7</f>
        <v>94020.000000000015</v>
      </c>
      <c r="AT7" s="24"/>
      <c r="AU7" s="28"/>
      <c r="AY7" s="1">
        <f>AY5</f>
        <v>3705</v>
      </c>
      <c r="AZ7" s="24">
        <f>AZ5</f>
        <v>117525</v>
      </c>
      <c r="BG7" s="423"/>
      <c r="BH7" s="423"/>
      <c r="BI7" s="423"/>
      <c r="BJ7" s="423"/>
      <c r="BK7" s="423"/>
      <c r="BL7" s="423"/>
      <c r="BM7" s="423"/>
      <c r="BN7" s="423"/>
      <c r="BO7" s="423"/>
      <c r="BP7" s="423"/>
      <c r="BQ7" s="423"/>
      <c r="BR7" s="423"/>
    </row>
    <row r="8" spans="1:70" ht="20" hidden="1" outlineLevel="1">
      <c r="A8" s="87" t="s">
        <v>0</v>
      </c>
      <c r="B8" s="971"/>
      <c r="C8" s="971"/>
      <c r="E8" s="662"/>
      <c r="F8" s="790"/>
      <c r="G8" s="285"/>
      <c r="H8" s="285"/>
      <c r="I8" s="285"/>
      <c r="J8" s="285"/>
      <c r="K8" s="346"/>
      <c r="L8" s="285"/>
      <c r="M8" s="74"/>
      <c r="N8" s="154"/>
      <c r="O8" s="154"/>
      <c r="P8" s="154"/>
      <c r="Q8" s="154"/>
      <c r="R8" s="299"/>
      <c r="Y8" s="662"/>
      <c r="Z8" s="662"/>
      <c r="AA8" s="662"/>
      <c r="AB8" s="87"/>
      <c r="AG8" s="24"/>
      <c r="AT8" s="24"/>
      <c r="AU8" s="28"/>
      <c r="AZ8" s="24"/>
      <c r="BG8" s="423"/>
      <c r="BH8" s="423"/>
      <c r="BI8" s="423"/>
      <c r="BJ8" s="423"/>
      <c r="BK8" s="423"/>
      <c r="BL8" s="423"/>
      <c r="BM8" s="423"/>
      <c r="BN8" s="423"/>
      <c r="BO8" s="423"/>
      <c r="BP8" s="423"/>
      <c r="BQ8" s="423"/>
      <c r="BR8" s="423"/>
    </row>
    <row r="9" spans="1:70" ht="20" hidden="1" outlineLevel="1">
      <c r="A9" s="87" t="s">
        <v>55</v>
      </c>
      <c r="B9" s="971"/>
      <c r="C9" s="971"/>
      <c r="E9" s="662"/>
      <c r="F9" s="789"/>
      <c r="K9" s="297"/>
      <c r="L9" s="13"/>
      <c r="M9" s="74"/>
      <c r="Y9" s="662"/>
      <c r="Z9" s="662"/>
      <c r="AA9" s="662"/>
      <c r="AB9" s="87"/>
      <c r="AG9" s="24"/>
      <c r="AT9" s="24"/>
      <c r="AU9" s="28"/>
      <c r="AZ9" s="24"/>
      <c r="BG9" s="423"/>
      <c r="BH9" s="423"/>
      <c r="BI9" s="423"/>
      <c r="BJ9" s="423"/>
      <c r="BK9" s="423"/>
      <c r="BL9" s="423"/>
      <c r="BM9" s="423"/>
      <c r="BN9" s="423"/>
      <c r="BO9" s="423"/>
      <c r="BP9" s="423"/>
      <c r="BQ9" s="423"/>
      <c r="BR9" s="423"/>
    </row>
    <row r="10" spans="1:70" ht="20" hidden="1" outlineLevel="1">
      <c r="A10" s="87" t="s">
        <v>53</v>
      </c>
      <c r="B10" s="971"/>
      <c r="C10" s="971"/>
      <c r="E10" s="662"/>
      <c r="F10" s="789"/>
      <c r="K10" s="297"/>
      <c r="L10" s="13"/>
      <c r="M10" s="74"/>
      <c r="Y10" s="662"/>
      <c r="Z10" s="662"/>
      <c r="AA10" s="662"/>
      <c r="AB10" s="87"/>
      <c r="AG10" s="24"/>
      <c r="AT10" s="24"/>
      <c r="AU10" s="28"/>
      <c r="AZ10" s="24"/>
      <c r="BG10" s="423"/>
      <c r="BH10" s="423"/>
      <c r="BI10" s="423"/>
      <c r="BJ10" s="423"/>
      <c r="BK10" s="423"/>
      <c r="BL10" s="423"/>
      <c r="BM10" s="423"/>
      <c r="BN10" s="423"/>
      <c r="BO10" s="423"/>
      <c r="BP10" s="423"/>
      <c r="BQ10" s="423"/>
      <c r="BR10" s="423"/>
    </row>
    <row r="11" spans="1:70" ht="20" hidden="1" outlineLevel="1">
      <c r="A11" s="87" t="s">
        <v>38</v>
      </c>
      <c r="B11" s="971"/>
      <c r="C11" s="971"/>
      <c r="E11" s="662"/>
      <c r="F11" s="789"/>
      <c r="K11" s="297"/>
      <c r="L11" s="13"/>
      <c r="M11" s="74"/>
      <c r="Y11" s="662"/>
      <c r="Z11" s="662"/>
      <c r="AA11" s="662"/>
      <c r="AB11" s="87"/>
      <c r="AG11" s="24"/>
      <c r="AT11" s="24"/>
      <c r="AU11" s="28"/>
      <c r="AZ11" s="24"/>
      <c r="BG11" s="423"/>
      <c r="BH11" s="423"/>
      <c r="BI11" s="423"/>
      <c r="BJ11" s="423"/>
      <c r="BK11" s="423"/>
      <c r="BL11" s="423"/>
      <c r="BM11" s="423"/>
      <c r="BN11" s="423"/>
      <c r="BO11" s="423"/>
      <c r="BP11" s="423"/>
      <c r="BQ11" s="423"/>
      <c r="BR11" s="423"/>
    </row>
    <row r="12" spans="1:70" ht="20" hidden="1" outlineLevel="1">
      <c r="A12" s="87" t="s">
        <v>124</v>
      </c>
      <c r="B12" s="971"/>
      <c r="C12" s="971"/>
      <c r="E12" s="662"/>
      <c r="F12" s="790"/>
      <c r="G12" s="285"/>
      <c r="H12" s="285"/>
      <c r="I12" s="285"/>
      <c r="J12" s="285"/>
      <c r="K12" s="346"/>
      <c r="L12" s="285"/>
      <c r="M12" s="74"/>
      <c r="N12" s="154"/>
      <c r="O12" s="154"/>
      <c r="P12" s="154"/>
      <c r="Q12" s="154"/>
      <c r="R12" s="299"/>
      <c r="Y12" s="662"/>
      <c r="Z12" s="662"/>
      <c r="AA12" s="662"/>
      <c r="AB12" s="87"/>
      <c r="AG12" s="24"/>
      <c r="AT12" s="24"/>
      <c r="AU12" s="28"/>
      <c r="AZ12" s="24"/>
      <c r="BG12" s="423"/>
      <c r="BH12" s="423"/>
      <c r="BI12" s="423"/>
      <c r="BJ12" s="423"/>
      <c r="BK12" s="423"/>
      <c r="BL12" s="423"/>
      <c r="BM12" s="423"/>
      <c r="BN12" s="423"/>
      <c r="BO12" s="423"/>
      <c r="BP12" s="423"/>
      <c r="BQ12" s="423"/>
      <c r="BR12" s="423"/>
    </row>
    <row r="13" spans="1:70" ht="40" collapsed="1">
      <c r="A13" s="349" t="s">
        <v>538</v>
      </c>
      <c r="B13" s="971"/>
      <c r="C13" s="971"/>
      <c r="D13" s="1059" t="s">
        <v>539</v>
      </c>
      <c r="E13" s="662"/>
      <c r="F13" s="790">
        <f>G13/G7</f>
        <v>0.25</v>
      </c>
      <c r="G13" s="285">
        <f>G7-G14</f>
        <v>15800</v>
      </c>
      <c r="H13" s="285">
        <f t="shared" ref="H13:J13" si="2">H7-H14</f>
        <v>6600</v>
      </c>
      <c r="I13" s="285">
        <f t="shared" si="2"/>
        <v>364</v>
      </c>
      <c r="J13" s="285">
        <f t="shared" si="2"/>
        <v>741</v>
      </c>
      <c r="K13" s="473">
        <f>SUM(G13:J13)</f>
        <v>23505</v>
      </c>
      <c r="L13" s="950"/>
      <c r="M13" s="790">
        <f>N13/N7</f>
        <v>0.25</v>
      </c>
      <c r="N13" s="285">
        <f>N7-N14</f>
        <v>15800</v>
      </c>
      <c r="O13" s="285">
        <f t="shared" ref="O13:Q13" si="3">O7-O14</f>
        <v>6600</v>
      </c>
      <c r="P13" s="285">
        <f t="shared" si="3"/>
        <v>364</v>
      </c>
      <c r="Q13" s="285">
        <f t="shared" si="3"/>
        <v>741</v>
      </c>
      <c r="R13" s="473">
        <f>SUM(N13:Q13)</f>
        <v>23505</v>
      </c>
      <c r="S13" s="1" t="s">
        <v>1</v>
      </c>
      <c r="T13" s="1" t="s">
        <v>1</v>
      </c>
      <c r="U13" s="1" t="s">
        <v>1</v>
      </c>
      <c r="V13" s="1" t="s">
        <v>1</v>
      </c>
      <c r="W13" s="1" t="s">
        <v>1</v>
      </c>
      <c r="X13" s="295" t="s">
        <v>1</v>
      </c>
      <c r="Y13" s="662"/>
      <c r="Z13" s="662"/>
      <c r="AA13" s="662"/>
      <c r="AB13" s="87"/>
      <c r="AG13" s="24"/>
      <c r="AH13" s="156">
        <f t="shared" ref="AH13:AH20" si="4">M13</f>
        <v>0.25</v>
      </c>
      <c r="AI13" s="285">
        <f>AI7-AI14</f>
        <v>1784.1650552055389</v>
      </c>
      <c r="AJ13" s="285">
        <f t="shared" ref="AJ13:AL13" si="5">AJ7-AJ14</f>
        <v>1150.1409774436092</v>
      </c>
      <c r="AK13" s="285">
        <f t="shared" si="5"/>
        <v>51.002847321087529</v>
      </c>
      <c r="AL13" s="285">
        <f t="shared" si="5"/>
        <v>103.8272249036425</v>
      </c>
      <c r="AM13" s="682">
        <f>SUM(AI13:AL13)</f>
        <v>3089.1361048738781</v>
      </c>
      <c r="AN13" s="346">
        <f>AG13+AM13</f>
        <v>3089.1361048738781</v>
      </c>
      <c r="AT13" s="24"/>
      <c r="AU13" s="28"/>
      <c r="AZ13" s="24"/>
      <c r="BG13" s="423"/>
      <c r="BH13" s="423"/>
      <c r="BI13" s="423"/>
      <c r="BJ13" s="423"/>
      <c r="BK13" s="423"/>
      <c r="BL13" s="423"/>
      <c r="BM13" s="423"/>
      <c r="BN13" s="423"/>
      <c r="BO13" s="423"/>
      <c r="BP13" s="423"/>
      <c r="BQ13" s="423"/>
      <c r="BR13" s="423"/>
    </row>
    <row r="14" spans="1:70" ht="20">
      <c r="A14" s="128" t="s">
        <v>600</v>
      </c>
      <c r="B14" s="971" t="s">
        <v>539</v>
      </c>
      <c r="C14" s="972">
        <v>0.13</v>
      </c>
      <c r="D14" s="1059" t="s">
        <v>539</v>
      </c>
      <c r="E14" s="1020"/>
      <c r="F14" s="1023">
        <v>0.75</v>
      </c>
      <c r="G14" s="154">
        <f>$G$7*F14</f>
        <v>47400</v>
      </c>
      <c r="H14" s="154">
        <f>$H$7*F14</f>
        <v>19800</v>
      </c>
      <c r="I14" s="154">
        <f>$I$7*F14</f>
        <v>1092.0000000000002</v>
      </c>
      <c r="J14" s="154">
        <f>$J$7*F14</f>
        <v>2223</v>
      </c>
      <c r="K14" s="301">
        <f>SUM(G14:J14)</f>
        <v>70515</v>
      </c>
      <c r="L14" s="279"/>
      <c r="M14" s="1023">
        <f>F14</f>
        <v>0.75</v>
      </c>
      <c r="N14" s="154">
        <f>$N$7*M14</f>
        <v>47400</v>
      </c>
      <c r="O14" s="154">
        <f>$O$7*M14</f>
        <v>19800</v>
      </c>
      <c r="P14" s="154">
        <f>$P$7*M14</f>
        <v>1092.0000000000002</v>
      </c>
      <c r="Q14" s="154">
        <f>$Q$7*M14</f>
        <v>2223</v>
      </c>
      <c r="R14" s="301">
        <f>SUM(N14:Q14)</f>
        <v>70515</v>
      </c>
      <c r="S14" s="1" t="s">
        <v>1</v>
      </c>
      <c r="T14" s="1" t="s">
        <v>1</v>
      </c>
      <c r="U14" s="1" t="s">
        <v>1</v>
      </c>
      <c r="V14" s="1" t="s">
        <v>1</v>
      </c>
      <c r="W14" s="1" t="s">
        <v>1</v>
      </c>
      <c r="X14" s="295" t="s">
        <v>1</v>
      </c>
      <c r="Y14" s="662"/>
      <c r="Z14" s="662"/>
      <c r="AA14" s="662"/>
      <c r="AB14" s="342"/>
      <c r="AC14" s="154"/>
      <c r="AD14" s="154"/>
      <c r="AE14" s="154"/>
      <c r="AF14" s="154"/>
      <c r="AG14" s="684"/>
      <c r="AH14" s="156">
        <f t="shared" si="4"/>
        <v>0.75</v>
      </c>
      <c r="AI14" s="154">
        <f>$AI$7*AH14</f>
        <v>5352.4951656166177</v>
      </c>
      <c r="AJ14" s="154">
        <f>$AJ$7*AH14</f>
        <v>3450.4229323308277</v>
      </c>
      <c r="AK14" s="154">
        <f>$AK$7*AH14</f>
        <v>153.00854196326259</v>
      </c>
      <c r="AL14" s="154">
        <f>$AL$7*AH14</f>
        <v>311.48167471092751</v>
      </c>
      <c r="AM14" s="681">
        <f>SUM(AI14:AL14)</f>
        <v>9267.4083146216362</v>
      </c>
      <c r="AN14" s="301">
        <f t="shared" ref="AN14:AN26" si="6">AG14+AM14</f>
        <v>9267.4083146216362</v>
      </c>
      <c r="AT14" s="24"/>
      <c r="AU14" s="28"/>
      <c r="AZ14" s="24"/>
      <c r="BG14" s="423"/>
      <c r="BH14" s="423"/>
      <c r="BI14" s="423"/>
      <c r="BJ14" s="423"/>
      <c r="BK14" s="423"/>
      <c r="BL14" s="423"/>
      <c r="BM14" s="423"/>
      <c r="BN14" s="423"/>
      <c r="BO14" s="423"/>
      <c r="BP14" s="423"/>
      <c r="BQ14" s="423"/>
      <c r="BR14" s="423"/>
    </row>
    <row r="15" spans="1:70" ht="20">
      <c r="A15" s="128" t="s">
        <v>171</v>
      </c>
      <c r="B15" s="971" t="s">
        <v>540</v>
      </c>
      <c r="C15" s="972">
        <v>1</v>
      </c>
      <c r="D15" s="1059" t="s">
        <v>543</v>
      </c>
      <c r="E15" s="1020"/>
      <c r="F15" s="74">
        <v>1</v>
      </c>
      <c r="G15" s="154">
        <f>$G$14*F15</f>
        <v>47400</v>
      </c>
      <c r="H15" s="154">
        <f>$H$14*F15</f>
        <v>19800</v>
      </c>
      <c r="I15" s="154">
        <f>$I$14*F15</f>
        <v>1092.0000000000002</v>
      </c>
      <c r="J15" s="154">
        <f>$J$14*F15</f>
        <v>2223</v>
      </c>
      <c r="K15" s="301">
        <f t="shared" ref="K15:K51" si="7">SUM(G15:J15)</f>
        <v>70515</v>
      </c>
      <c r="L15" s="279"/>
      <c r="M15" s="74">
        <f t="shared" ref="M15:M18" si="8">F15</f>
        <v>1</v>
      </c>
      <c r="N15" s="154">
        <f t="shared" ref="N15:N18" si="9">$N$7*M15</f>
        <v>63200</v>
      </c>
      <c r="O15" s="154">
        <f t="shared" ref="O15:O18" si="10">$O$7*M15</f>
        <v>26400</v>
      </c>
      <c r="P15" s="154">
        <f t="shared" ref="P15:P18" si="11">$P$7*M15</f>
        <v>1456.0000000000002</v>
      </c>
      <c r="Q15" s="154">
        <f t="shared" ref="Q15:Q18" si="12">$Q$7*M15</f>
        <v>2964</v>
      </c>
      <c r="R15" s="301">
        <f t="shared" ref="R15:R26" si="13">SUM(N15:Q15)</f>
        <v>94020</v>
      </c>
      <c r="S15" s="1" t="s">
        <v>1</v>
      </c>
      <c r="T15" s="1" t="s">
        <v>1</v>
      </c>
      <c r="U15" s="1" t="s">
        <v>1</v>
      </c>
      <c r="V15" s="1" t="s">
        <v>1</v>
      </c>
      <c r="W15" s="1" t="s">
        <v>1</v>
      </c>
      <c r="X15" s="295" t="s">
        <v>1</v>
      </c>
      <c r="Y15" s="662"/>
      <c r="Z15" s="662"/>
      <c r="AA15" s="662"/>
      <c r="AB15" s="342"/>
      <c r="AC15" s="154"/>
      <c r="AD15" s="154"/>
      <c r="AE15" s="154"/>
      <c r="AF15" s="154"/>
      <c r="AG15" s="684"/>
      <c r="AH15" s="156">
        <f t="shared" si="4"/>
        <v>1</v>
      </c>
      <c r="AI15" s="154">
        <f>$AI$7*AH15</f>
        <v>7136.6602208221566</v>
      </c>
      <c r="AJ15" s="154">
        <f>$AJ$7*AH15</f>
        <v>4600.563909774437</v>
      </c>
      <c r="AK15" s="154">
        <f>$AK$7*AH15</f>
        <v>204.01138928435012</v>
      </c>
      <c r="AL15" s="154">
        <f>$AL$7*AH15</f>
        <v>415.30889961457001</v>
      </c>
      <c r="AM15" s="681">
        <f t="shared" ref="AM15:AM26" si="14">SUM(AI15:AL15)</f>
        <v>12356.544419495516</v>
      </c>
      <c r="AN15" s="301">
        <f t="shared" si="6"/>
        <v>12356.544419495516</v>
      </c>
      <c r="AT15" s="24"/>
      <c r="AU15" s="28"/>
      <c r="AZ15" s="24"/>
      <c r="BG15" s="423"/>
      <c r="BH15" s="423"/>
      <c r="BI15" s="423"/>
      <c r="BJ15" s="423"/>
      <c r="BK15" s="423"/>
      <c r="BL15" s="423"/>
      <c r="BM15" s="423"/>
      <c r="BN15" s="423"/>
      <c r="BO15" s="423"/>
      <c r="BP15" s="423"/>
      <c r="BQ15" s="423"/>
      <c r="BR15" s="423"/>
    </row>
    <row r="16" spans="1:70" ht="20">
      <c r="A16" s="128" t="s">
        <v>211</v>
      </c>
      <c r="B16" s="971" t="s">
        <v>540</v>
      </c>
      <c r="C16" s="973">
        <v>0.4</v>
      </c>
      <c r="D16" s="1059" t="s">
        <v>543</v>
      </c>
      <c r="E16" s="1021"/>
      <c r="F16" s="74">
        <f>'Воронка MPS_обработано'!N10</f>
        <v>0.4</v>
      </c>
      <c r="G16" s="154">
        <f t="shared" ref="G16:G18" si="15">$G$14*F16</f>
        <v>18960</v>
      </c>
      <c r="H16" s="154">
        <f t="shared" ref="H16:H18" si="16">$H$14*F16</f>
        <v>7920</v>
      </c>
      <c r="I16" s="154">
        <f t="shared" ref="I16:I18" si="17">$I$14*F16</f>
        <v>436.80000000000013</v>
      </c>
      <c r="J16" s="154">
        <f t="shared" ref="J16:J18" si="18">$J$14*F16</f>
        <v>889.2</v>
      </c>
      <c r="K16" s="301">
        <f t="shared" si="7"/>
        <v>28206</v>
      </c>
      <c r="L16" s="279"/>
      <c r="M16" s="74">
        <f t="shared" si="8"/>
        <v>0.4</v>
      </c>
      <c r="N16" s="154">
        <f t="shared" si="9"/>
        <v>25280</v>
      </c>
      <c r="O16" s="154">
        <f t="shared" si="10"/>
        <v>10560</v>
      </c>
      <c r="P16" s="154">
        <f t="shared" si="11"/>
        <v>582.40000000000009</v>
      </c>
      <c r="Q16" s="154">
        <f t="shared" si="12"/>
        <v>1185.6000000000001</v>
      </c>
      <c r="R16" s="301">
        <f t="shared" si="13"/>
        <v>37608</v>
      </c>
      <c r="S16" s="1" t="s">
        <v>1</v>
      </c>
      <c r="T16" s="1" t="s">
        <v>1</v>
      </c>
      <c r="U16" s="1" t="s">
        <v>1</v>
      </c>
      <c r="V16" s="1" t="s">
        <v>1</v>
      </c>
      <c r="W16" s="1" t="s">
        <v>1</v>
      </c>
      <c r="X16" s="295" t="s">
        <v>1</v>
      </c>
      <c r="Y16" s="662"/>
      <c r="Z16" s="662"/>
      <c r="AA16" s="662"/>
      <c r="AB16" s="342"/>
      <c r="AC16" s="154"/>
      <c r="AD16" s="154"/>
      <c r="AE16" s="154"/>
      <c r="AF16" s="154"/>
      <c r="AG16" s="684"/>
      <c r="AH16" s="156">
        <f t="shared" si="4"/>
        <v>0.4</v>
      </c>
      <c r="AI16" s="154">
        <f>$AI$7*AH16</f>
        <v>2854.6640883288628</v>
      </c>
      <c r="AJ16" s="154">
        <f>$AJ$7*AH16</f>
        <v>1840.2255639097748</v>
      </c>
      <c r="AK16" s="154">
        <f>$AK$7*AH16</f>
        <v>81.604555713740055</v>
      </c>
      <c r="AL16" s="154">
        <f>$AL$7*AH16</f>
        <v>166.12355984582803</v>
      </c>
      <c r="AM16" s="681">
        <f t="shared" si="14"/>
        <v>4942.6177677982059</v>
      </c>
      <c r="AN16" s="301">
        <f t="shared" si="6"/>
        <v>4942.6177677982059</v>
      </c>
      <c r="AT16" s="24"/>
      <c r="AU16" s="28"/>
      <c r="AZ16" s="24"/>
      <c r="BG16" s="423"/>
      <c r="BH16" s="423"/>
      <c r="BI16" s="423"/>
      <c r="BJ16" s="423"/>
      <c r="BK16" s="423"/>
      <c r="BL16" s="423"/>
      <c r="BM16" s="423"/>
      <c r="BN16" s="423"/>
      <c r="BO16" s="423"/>
      <c r="BP16" s="423"/>
      <c r="BQ16" s="423"/>
      <c r="BR16" s="423"/>
    </row>
    <row r="17" spans="1:70" ht="20">
      <c r="A17" s="128" t="s">
        <v>212</v>
      </c>
      <c r="B17" s="971" t="s">
        <v>540</v>
      </c>
      <c r="C17" s="973">
        <v>0.29799999999999999</v>
      </c>
      <c r="D17" s="1059" t="s">
        <v>543</v>
      </c>
      <c r="E17" s="1021"/>
      <c r="F17" s="326">
        <f>'Воронка MPS_обработано'!N11</f>
        <v>0.29799999999999999</v>
      </c>
      <c r="G17" s="154">
        <f t="shared" si="15"/>
        <v>14125.199999999999</v>
      </c>
      <c r="H17" s="154">
        <f t="shared" si="16"/>
        <v>5900.4</v>
      </c>
      <c r="I17" s="154">
        <f t="shared" si="17"/>
        <v>325.41600000000005</v>
      </c>
      <c r="J17" s="154">
        <f t="shared" si="18"/>
        <v>662.45399999999995</v>
      </c>
      <c r="K17" s="301">
        <f t="shared" si="7"/>
        <v>21013.47</v>
      </c>
      <c r="L17" s="279"/>
      <c r="M17" s="74">
        <f t="shared" si="8"/>
        <v>0.29799999999999999</v>
      </c>
      <c r="N17" s="154">
        <f t="shared" si="9"/>
        <v>18833.599999999999</v>
      </c>
      <c r="O17" s="154">
        <f t="shared" si="10"/>
        <v>7867.2</v>
      </c>
      <c r="P17" s="154">
        <f t="shared" si="11"/>
        <v>433.88800000000003</v>
      </c>
      <c r="Q17" s="154">
        <f t="shared" si="12"/>
        <v>883.27199999999993</v>
      </c>
      <c r="R17" s="301">
        <f t="shared" si="13"/>
        <v>28017.96</v>
      </c>
      <c r="S17" s="1" t="s">
        <v>1</v>
      </c>
      <c r="T17" s="1" t="s">
        <v>1</v>
      </c>
      <c r="U17" s="1" t="s">
        <v>1</v>
      </c>
      <c r="V17" s="1" t="s">
        <v>1</v>
      </c>
      <c r="W17" s="1" t="s">
        <v>1</v>
      </c>
      <c r="X17" s="295" t="s">
        <v>1</v>
      </c>
      <c r="Y17" s="662"/>
      <c r="Z17" s="662"/>
      <c r="AA17" s="662"/>
      <c r="AB17" s="342"/>
      <c r="AC17" s="154"/>
      <c r="AD17" s="154"/>
      <c r="AE17" s="154"/>
      <c r="AF17" s="154"/>
      <c r="AG17" s="684"/>
      <c r="AH17" s="156">
        <f t="shared" si="4"/>
        <v>0.29799999999999999</v>
      </c>
      <c r="AI17" s="154">
        <f>$AI$7*AH17</f>
        <v>2126.7247458050024</v>
      </c>
      <c r="AJ17" s="154">
        <f>$AJ$7*AH17</f>
        <v>1370.9680451127822</v>
      </c>
      <c r="AK17" s="154">
        <f>$AK$7*AH17</f>
        <v>60.795394006736331</v>
      </c>
      <c r="AL17" s="154">
        <f>$AL$7*AH17</f>
        <v>123.76205208514186</v>
      </c>
      <c r="AM17" s="681">
        <f t="shared" si="14"/>
        <v>3682.2502370096631</v>
      </c>
      <c r="AN17" s="301">
        <f t="shared" si="6"/>
        <v>3682.2502370096631</v>
      </c>
      <c r="AT17" s="24"/>
      <c r="AU17" s="28"/>
      <c r="AZ17" s="24"/>
      <c r="BG17" s="423"/>
      <c r="BH17" s="423"/>
      <c r="BI17" s="423"/>
      <c r="BJ17" s="423"/>
      <c r="BK17" s="423"/>
      <c r="BL17" s="423"/>
      <c r="BM17" s="423"/>
      <c r="BN17" s="423"/>
      <c r="BO17" s="423"/>
      <c r="BP17" s="423"/>
      <c r="BQ17" s="423"/>
      <c r="BR17" s="423"/>
    </row>
    <row r="18" spans="1:70" ht="20">
      <c r="A18" s="128" t="s">
        <v>213</v>
      </c>
      <c r="B18" s="971" t="s">
        <v>540</v>
      </c>
      <c r="C18" s="973">
        <v>0.45500000000000002</v>
      </c>
      <c r="D18" s="1059" t="s">
        <v>543</v>
      </c>
      <c r="E18" s="1021"/>
      <c r="F18" s="326">
        <f>'Воронка MPS_обработано'!N12</f>
        <v>0.45500000000000002</v>
      </c>
      <c r="G18" s="154">
        <f t="shared" si="15"/>
        <v>21567</v>
      </c>
      <c r="H18" s="154">
        <f t="shared" si="16"/>
        <v>9009</v>
      </c>
      <c r="I18" s="154">
        <f t="shared" si="17"/>
        <v>496.86000000000013</v>
      </c>
      <c r="J18" s="154">
        <f t="shared" si="18"/>
        <v>1011.465</v>
      </c>
      <c r="K18" s="301">
        <f t="shared" si="7"/>
        <v>32084.325000000001</v>
      </c>
      <c r="L18" s="279"/>
      <c r="M18" s="74">
        <f t="shared" si="8"/>
        <v>0.45500000000000002</v>
      </c>
      <c r="N18" s="154">
        <f t="shared" si="9"/>
        <v>28756</v>
      </c>
      <c r="O18" s="154">
        <f t="shared" si="10"/>
        <v>12012</v>
      </c>
      <c r="P18" s="154">
        <f t="shared" si="11"/>
        <v>662.48000000000013</v>
      </c>
      <c r="Q18" s="154">
        <f t="shared" si="12"/>
        <v>1348.6200000000001</v>
      </c>
      <c r="R18" s="301">
        <f t="shared" si="13"/>
        <v>42779.100000000006</v>
      </c>
      <c r="S18" s="1" t="s">
        <v>1</v>
      </c>
      <c r="T18" s="1" t="s">
        <v>1</v>
      </c>
      <c r="U18" s="1" t="s">
        <v>1</v>
      </c>
      <c r="V18" s="1" t="s">
        <v>1</v>
      </c>
      <c r="W18" s="1" t="s">
        <v>1</v>
      </c>
      <c r="X18" s="295" t="s">
        <v>1</v>
      </c>
      <c r="Y18" s="662"/>
      <c r="Z18" s="662"/>
      <c r="AA18" s="662"/>
      <c r="AB18" s="342"/>
      <c r="AC18" s="154"/>
      <c r="AD18" s="154"/>
      <c r="AE18" s="154"/>
      <c r="AF18" s="154"/>
      <c r="AG18" s="684"/>
      <c r="AH18" s="156">
        <f t="shared" si="4"/>
        <v>0.45500000000000002</v>
      </c>
      <c r="AI18" s="154">
        <f>$AI$7*AH18</f>
        <v>3247.1804004740816</v>
      </c>
      <c r="AJ18" s="154">
        <f>$AJ$7*AH18</f>
        <v>2093.2565789473688</v>
      </c>
      <c r="AK18" s="154">
        <f>$AK$7*AH18</f>
        <v>92.82518212437931</v>
      </c>
      <c r="AL18" s="154">
        <f>$AL$7*AH18</f>
        <v>188.96554932462936</v>
      </c>
      <c r="AM18" s="681">
        <f t="shared" si="14"/>
        <v>5622.2277108704593</v>
      </c>
      <c r="AN18" s="301">
        <f t="shared" si="6"/>
        <v>5622.2277108704593</v>
      </c>
      <c r="AT18" s="24"/>
      <c r="AU18" s="28"/>
      <c r="AZ18" s="24"/>
      <c r="BG18" s="423"/>
      <c r="BH18" s="423"/>
      <c r="BI18" s="423"/>
      <c r="BJ18" s="423"/>
      <c r="BK18" s="423"/>
      <c r="BL18" s="423"/>
      <c r="BM18" s="423"/>
      <c r="BN18" s="423"/>
      <c r="BO18" s="423"/>
      <c r="BP18" s="423"/>
      <c r="BQ18" s="423"/>
      <c r="BR18" s="423"/>
    </row>
    <row r="19" spans="1:70" ht="40">
      <c r="A19" s="416" t="s">
        <v>337</v>
      </c>
      <c r="B19" s="971" t="s">
        <v>539</v>
      </c>
      <c r="C19" s="974" t="s">
        <v>541</v>
      </c>
      <c r="D19" s="1059" t="s">
        <v>543</v>
      </c>
      <c r="E19" s="74">
        <f>K19/K7</f>
        <v>6.4038461538461544E-2</v>
      </c>
      <c r="F19" s="723">
        <f>'Воронка MPS_обработано'!N14</f>
        <v>8.5384615384615392E-2</v>
      </c>
      <c r="G19" s="154">
        <f>$G$14*F19</f>
        <v>4047.2307692307695</v>
      </c>
      <c r="H19" s="154">
        <f>$H$14*F19</f>
        <v>1690.6153846153848</v>
      </c>
      <c r="I19" s="154">
        <f>$I$14*F19</f>
        <v>93.240000000000023</v>
      </c>
      <c r="J19" s="154">
        <f>$J$14*F19</f>
        <v>189.81000000000003</v>
      </c>
      <c r="K19" s="301">
        <f t="shared" si="7"/>
        <v>6020.8961538461544</v>
      </c>
      <c r="L19" s="326">
        <f>R19/R7</f>
        <v>9.6057692307692316E-2</v>
      </c>
      <c r="M19" s="1024">
        <f>F19*1.5</f>
        <v>0.12807692307692309</v>
      </c>
      <c r="N19" s="154">
        <f>N14*$M$19</f>
        <v>6070.8461538461543</v>
      </c>
      <c r="O19" s="154">
        <f t="shared" ref="O19:Q19" si="19">O14*$M$19</f>
        <v>2535.9230769230771</v>
      </c>
      <c r="P19" s="154">
        <f t="shared" si="19"/>
        <v>139.86000000000004</v>
      </c>
      <c r="Q19" s="154">
        <f t="shared" si="19"/>
        <v>284.71500000000003</v>
      </c>
      <c r="R19" s="301">
        <f t="shared" si="13"/>
        <v>9031.3442307692312</v>
      </c>
      <c r="S19" s="1228">
        <f>'Воронка Селлер as is'!F12</f>
        <v>1.7475398710553106E-2</v>
      </c>
      <c r="T19" s="154">
        <f>$S$19*T7</f>
        <v>1104.4451985069563</v>
      </c>
      <c r="U19" s="154">
        <f t="shared" ref="U19:W19" si="20">$S$19*U7</f>
        <v>461.35052595860196</v>
      </c>
      <c r="V19" s="154">
        <f t="shared" si="20"/>
        <v>25.444180522565325</v>
      </c>
      <c r="W19" s="154">
        <f t="shared" si="20"/>
        <v>51.797081778079402</v>
      </c>
      <c r="X19" s="301">
        <f>SUM(T19:W19)</f>
        <v>1643.0369867662032</v>
      </c>
      <c r="Y19" s="1034">
        <f>AG19/$AG$7</f>
        <v>1.7475398710553109E-2</v>
      </c>
      <c r="Z19" s="1032">
        <f>AM19/$AM$7</f>
        <v>9.6057692307692316E-2</v>
      </c>
      <c r="AA19" s="1034">
        <f>AN19/AN7</f>
        <v>2.7803048161934608E-2</v>
      </c>
      <c r="AB19" s="927">
        <f>S19</f>
        <v>1.7475398710553106E-2</v>
      </c>
      <c r="AC19" s="154">
        <f>$S$19*AC7</f>
        <v>979.72921568634524</v>
      </c>
      <c r="AD19" s="154">
        <f t="shared" ref="AD19:AF19" si="21">$S$19*AD7</f>
        <v>380.95383734191267</v>
      </c>
      <c r="AE19" s="154">
        <f t="shared" si="21"/>
        <v>21.879000153327446</v>
      </c>
      <c r="AF19" s="154">
        <f t="shared" si="21"/>
        <v>44.539393169273723</v>
      </c>
      <c r="AG19" s="681">
        <f>SUM(AC19:AF19)</f>
        <v>1427.1014463508593</v>
      </c>
      <c r="AH19" s="928">
        <f t="shared" si="4"/>
        <v>0.12807692307692309</v>
      </c>
      <c r="AI19" s="154">
        <f>AI14*$AH$19</f>
        <v>685.53111159628224</v>
      </c>
      <c r="AJ19" s="154">
        <f>AJ14*$AH$19</f>
        <v>441.91955248698684</v>
      </c>
      <c r="AK19" s="154">
        <f t="shared" ref="AK19:AL19" si="22">AK14*$AH$19</f>
        <v>19.596863259140942</v>
      </c>
      <c r="AL19" s="154">
        <f t="shared" si="22"/>
        <v>39.893614491822639</v>
      </c>
      <c r="AM19" s="681">
        <f t="shared" si="14"/>
        <v>1186.9411418342329</v>
      </c>
      <c r="AN19" s="301">
        <f t="shared" si="6"/>
        <v>2614.0425881850924</v>
      </c>
      <c r="AT19" s="24"/>
      <c r="AU19" s="28"/>
      <c r="AZ19" s="24"/>
      <c r="BG19" s="423"/>
      <c r="BH19" s="423"/>
      <c r="BI19" s="423"/>
      <c r="BJ19" s="423"/>
      <c r="BK19" s="423"/>
      <c r="BL19" s="423"/>
      <c r="BM19" s="423"/>
      <c r="BN19" s="423"/>
      <c r="BO19" s="423"/>
      <c r="BP19" s="423"/>
      <c r="BQ19" s="423"/>
      <c r="BR19" s="423"/>
    </row>
    <row r="20" spans="1:70" ht="20">
      <c r="A20" s="416" t="s">
        <v>338</v>
      </c>
      <c r="B20" s="938"/>
      <c r="C20" s="939"/>
      <c r="D20" s="1060" t="s">
        <v>539</v>
      </c>
      <c r="E20" s="160">
        <f>K20/K7</f>
        <v>4.3688496776382773E-3</v>
      </c>
      <c r="F20" s="724">
        <f>S19</f>
        <v>1.7475398710553106E-2</v>
      </c>
      <c r="G20" s="154">
        <f>G13*$F$20</f>
        <v>276.11129962673908</v>
      </c>
      <c r="H20" s="154">
        <f t="shared" ref="H20:J20" si="23">H13*$F$20</f>
        <v>115.33763148965049</v>
      </c>
      <c r="I20" s="154">
        <f t="shared" si="23"/>
        <v>6.3610451306413305</v>
      </c>
      <c r="J20" s="154">
        <f t="shared" si="23"/>
        <v>12.949270444519851</v>
      </c>
      <c r="K20" s="301">
        <f t="shared" si="7"/>
        <v>410.7592466915508</v>
      </c>
      <c r="L20" s="326">
        <f>R20/R7</f>
        <v>4.3688496776382773E-3</v>
      </c>
      <c r="M20" s="724">
        <f>S19</f>
        <v>1.7475398710553106E-2</v>
      </c>
      <c r="N20" s="154">
        <f>N13*$M$20</f>
        <v>276.11129962673908</v>
      </c>
      <c r="O20" s="154">
        <f t="shared" ref="O20:Q20" si="24">O13*$M$20</f>
        <v>115.33763148965049</v>
      </c>
      <c r="P20" s="154">
        <f t="shared" si="24"/>
        <v>6.3610451306413305</v>
      </c>
      <c r="Q20" s="154">
        <f t="shared" si="24"/>
        <v>12.949270444519851</v>
      </c>
      <c r="R20" s="301">
        <f t="shared" si="13"/>
        <v>410.7592466915508</v>
      </c>
      <c r="S20" s="326"/>
      <c r="T20" s="154"/>
      <c r="U20" s="154"/>
      <c r="V20" s="154"/>
      <c r="W20" s="154"/>
      <c r="X20" s="301"/>
      <c r="Y20" s="1034">
        <f t="shared" ref="Y20:Y21" si="25">AG20/$AG$7</f>
        <v>0</v>
      </c>
      <c r="Z20" s="1032">
        <f t="shared" ref="Z20:Z21" si="26">AM20/$AM$7</f>
        <v>4.3688496776382755E-3</v>
      </c>
      <c r="AA20" s="1034">
        <f>AN20/AN7</f>
        <v>5.7417448525671144E-4</v>
      </c>
      <c r="AB20" s="342"/>
      <c r="AC20" s="154"/>
      <c r="AD20" s="154"/>
      <c r="AE20" s="154"/>
      <c r="AF20" s="154"/>
      <c r="AG20" s="684"/>
      <c r="AH20" s="156">
        <f t="shared" si="4"/>
        <v>1.7475398710553106E-2</v>
      </c>
      <c r="AI20" s="154">
        <f>AI13*$AH$20</f>
        <v>31.178995705152786</v>
      </c>
      <c r="AJ20" s="154">
        <f>AJ13*$AH$20</f>
        <v>20.099172154172336</v>
      </c>
      <c r="AK20" s="154">
        <f t="shared" ref="AK20:AL20" si="27">AK13*$AH$20</f>
        <v>0.89129509230946991</v>
      </c>
      <c r="AL20" s="154">
        <f t="shared" si="27"/>
        <v>1.8144221522014214</v>
      </c>
      <c r="AM20" s="681">
        <f t="shared" si="14"/>
        <v>53.983885103836016</v>
      </c>
      <c r="AN20" s="301">
        <f t="shared" si="6"/>
        <v>53.983885103836016</v>
      </c>
      <c r="AP20" s="84"/>
      <c r="AT20" s="24"/>
      <c r="AU20" s="28"/>
      <c r="AZ20" s="24"/>
      <c r="BG20" s="423"/>
      <c r="BH20" s="423"/>
      <c r="BI20" s="423"/>
      <c r="BJ20" s="423"/>
      <c r="BK20" s="423"/>
      <c r="BL20" s="423"/>
      <c r="BM20" s="423"/>
      <c r="BN20" s="423"/>
      <c r="BO20" s="423"/>
      <c r="BP20" s="423"/>
      <c r="BQ20" s="423"/>
      <c r="BR20" s="423"/>
    </row>
    <row r="21" spans="1:70" s="454" customFormat="1" ht="21" thickBot="1">
      <c r="A21" s="453" t="s">
        <v>339</v>
      </c>
      <c r="B21" s="88"/>
      <c r="C21" s="88"/>
      <c r="D21" s="1055"/>
      <c r="E21" s="1220">
        <f>K21/K7</f>
        <v>6.8407311216099817E-2</v>
      </c>
      <c r="F21" s="363"/>
      <c r="G21" s="363">
        <f>SUM(G19:G20)</f>
        <v>4323.3420688575088</v>
      </c>
      <c r="H21" s="363">
        <f t="shared" ref="H21:J21" si="28">SUM(H19:H20)</f>
        <v>1805.9530161050352</v>
      </c>
      <c r="I21" s="363">
        <f t="shared" si="28"/>
        <v>99.601045130641353</v>
      </c>
      <c r="J21" s="363">
        <f t="shared" si="28"/>
        <v>202.75927044451987</v>
      </c>
      <c r="K21" s="364">
        <f t="shared" si="7"/>
        <v>6431.6554005377047</v>
      </c>
      <c r="L21" s="1219">
        <f>R21/R7</f>
        <v>0.1004265419853306</v>
      </c>
      <c r="M21" s="363"/>
      <c r="N21" s="363">
        <f>SUM(N19:N20)</f>
        <v>6346.9574534728936</v>
      </c>
      <c r="O21" s="363">
        <f t="shared" ref="O21:Q21" si="29">SUM(O19:O20)</f>
        <v>2651.2607084127276</v>
      </c>
      <c r="P21" s="363">
        <f t="shared" si="29"/>
        <v>146.22104513064139</v>
      </c>
      <c r="Q21" s="363">
        <f t="shared" si="29"/>
        <v>297.6642704445199</v>
      </c>
      <c r="R21" s="364">
        <f t="shared" si="13"/>
        <v>9442.1034774607833</v>
      </c>
      <c r="S21" s="951"/>
      <c r="T21" s="363">
        <f>T19</f>
        <v>1104.4451985069563</v>
      </c>
      <c r="U21" s="363">
        <f t="shared" ref="U21:W21" si="30">U19</f>
        <v>461.35052595860196</v>
      </c>
      <c r="V21" s="363">
        <f t="shared" si="30"/>
        <v>25.444180522565325</v>
      </c>
      <c r="W21" s="363">
        <f t="shared" si="30"/>
        <v>51.797081778079402</v>
      </c>
      <c r="X21" s="364">
        <f>SUM(T21:W21)</f>
        <v>1643.0369867662032</v>
      </c>
      <c r="Y21" s="1033">
        <f t="shared" si="25"/>
        <v>1.7475398710553109E-2</v>
      </c>
      <c r="Z21" s="1033">
        <f t="shared" si="26"/>
        <v>0.10042654198533059</v>
      </c>
      <c r="AA21" s="1219">
        <f>AN21/AN7</f>
        <v>2.8377222647191318E-2</v>
      </c>
      <c r="AB21" s="474"/>
      <c r="AC21" s="363">
        <f>AC19</f>
        <v>979.72921568634524</v>
      </c>
      <c r="AD21" s="363">
        <f t="shared" ref="AD21:AF21" si="31">AD19</f>
        <v>380.95383734191267</v>
      </c>
      <c r="AE21" s="363">
        <f t="shared" si="31"/>
        <v>21.879000153327446</v>
      </c>
      <c r="AF21" s="363">
        <f t="shared" si="31"/>
        <v>44.539393169273723</v>
      </c>
      <c r="AG21" s="683">
        <f>SUM(AC21:AF21)</f>
        <v>1427.1014463508593</v>
      </c>
      <c r="AH21" s="664"/>
      <c r="AI21" s="363">
        <f>SUM(AI19:AI20)</f>
        <v>716.71010730143507</v>
      </c>
      <c r="AJ21" s="363">
        <f t="shared" ref="AJ21:AL21" si="32">SUM(AJ19:AJ20)</f>
        <v>462.01872464115917</v>
      </c>
      <c r="AK21" s="363">
        <f t="shared" si="32"/>
        <v>20.488158351450412</v>
      </c>
      <c r="AL21" s="363">
        <f t="shared" si="32"/>
        <v>41.708036644024062</v>
      </c>
      <c r="AM21" s="683">
        <f t="shared" si="14"/>
        <v>1240.9250269380689</v>
      </c>
      <c r="AN21" s="364">
        <f t="shared" si="6"/>
        <v>2668.0264732889282</v>
      </c>
      <c r="AO21" s="88"/>
      <c r="AP21" s="88"/>
      <c r="AQ21" s="88"/>
      <c r="AR21" s="88"/>
      <c r="AS21" s="88"/>
      <c r="AT21" s="131"/>
      <c r="AU21" s="133"/>
      <c r="AV21" s="88"/>
      <c r="AW21" s="88"/>
      <c r="AX21" s="88"/>
      <c r="AY21" s="88"/>
      <c r="AZ21" s="131"/>
    </row>
    <row r="22" spans="1:70" hidden="1" outlineLevel="1">
      <c r="A22" s="436" t="s">
        <v>327</v>
      </c>
      <c r="B22" s="2"/>
      <c r="C22" s="2"/>
      <c r="D22" s="1061"/>
      <c r="E22" s="2"/>
      <c r="F22" s="811"/>
      <c r="G22" s="154">
        <f t="shared" ref="G22:J26" si="33">G$21*G85</f>
        <v>0.47195113346021089</v>
      </c>
      <c r="H22" s="154">
        <f t="shared" si="33"/>
        <v>3.1117611493037884</v>
      </c>
      <c r="I22" s="154">
        <f t="shared" si="33"/>
        <v>8.213913058969867E-2</v>
      </c>
      <c r="J22" s="154">
        <f t="shared" si="33"/>
        <v>0.16721180155760085</v>
      </c>
      <c r="K22" s="301">
        <f t="shared" si="7"/>
        <v>3.8330632149112986</v>
      </c>
      <c r="L22" s="279"/>
      <c r="M22" s="154"/>
      <c r="N22" s="154">
        <f t="shared" ref="N22:Q26" si="34">N$21*N85</f>
        <v>0.69285606285182233</v>
      </c>
      <c r="O22" s="154">
        <f t="shared" si="34"/>
        <v>4.568275030159775</v>
      </c>
      <c r="P22" s="154">
        <f t="shared" si="34"/>
        <v>0.12058577804273526</v>
      </c>
      <c r="Q22" s="154">
        <f t="shared" si="34"/>
        <v>0.24547819101556817</v>
      </c>
      <c r="R22" s="301">
        <f t="shared" si="13"/>
        <v>5.6271950620699007</v>
      </c>
      <c r="S22" s="326"/>
      <c r="T22" s="154">
        <f t="shared" ref="T22:W26" si="35">T$21*T85</f>
        <v>0.12056509870795169</v>
      </c>
      <c r="U22" s="154">
        <f t="shared" si="35"/>
        <v>0.79493355036726521</v>
      </c>
      <c r="V22" s="154">
        <f t="shared" si="35"/>
        <v>2.0983342734502117E-2</v>
      </c>
      <c r="W22" s="154">
        <f t="shared" si="35"/>
        <v>4.2716090566665019E-2</v>
      </c>
      <c r="X22" s="301">
        <f t="shared" ref="X22:X26" si="36">SUM(T22:W22)</f>
        <v>0.97919808237638406</v>
      </c>
      <c r="Y22" s="279"/>
      <c r="Z22" s="279"/>
      <c r="AA22" s="279"/>
      <c r="AB22" s="154"/>
      <c r="AC22" s="154">
        <f t="shared" ref="AC22:AF26" si="37">AC$21*AC85</f>
        <v>0</v>
      </c>
      <c r="AD22" s="154">
        <f t="shared" si="37"/>
        <v>0</v>
      </c>
      <c r="AE22" s="154">
        <f t="shared" si="37"/>
        <v>0</v>
      </c>
      <c r="AF22" s="154">
        <f t="shared" si="37"/>
        <v>0</v>
      </c>
      <c r="AG22" s="279">
        <f t="shared" ref="AG22:AG26" si="38">SUM(AC22:AF22)</f>
        <v>0</v>
      </c>
      <c r="AH22" s="615"/>
      <c r="AI22" s="154">
        <f t="shared" ref="AI22:AL26" si="39">AI$21*AI85</f>
        <v>0.69285606285182244</v>
      </c>
      <c r="AJ22" s="154">
        <f t="shared" si="39"/>
        <v>4.5682750301597759</v>
      </c>
      <c r="AK22" s="154">
        <f t="shared" si="39"/>
        <v>0.12058577804273521</v>
      </c>
      <c r="AL22" s="154">
        <f t="shared" si="39"/>
        <v>0.24547819101556814</v>
      </c>
      <c r="AM22" s="681">
        <f t="shared" si="14"/>
        <v>5.6271950620699016</v>
      </c>
      <c r="AN22" s="301">
        <f t="shared" si="6"/>
        <v>5.6271950620699016</v>
      </c>
      <c r="BG22" s="423"/>
      <c r="BH22" s="423"/>
      <c r="BI22" s="423"/>
      <c r="BJ22" s="423"/>
      <c r="BK22" s="423"/>
      <c r="BL22" s="423"/>
      <c r="BM22" s="423"/>
      <c r="BN22" s="423"/>
      <c r="BO22" s="423"/>
      <c r="BP22" s="423"/>
      <c r="BQ22" s="423"/>
      <c r="BR22" s="423"/>
    </row>
    <row r="23" spans="1:70" hidden="1" outlineLevel="1">
      <c r="A23" s="436" t="s">
        <v>429</v>
      </c>
      <c r="B23" s="2"/>
      <c r="C23" s="2"/>
      <c r="D23" s="1061"/>
      <c r="E23" s="2"/>
      <c r="F23" s="154"/>
      <c r="G23" s="154">
        <f t="shared" si="33"/>
        <v>32.429785027765917</v>
      </c>
      <c r="H23" s="154">
        <f t="shared" si="33"/>
        <v>37.058246414436027</v>
      </c>
      <c r="I23" s="154">
        <f t="shared" si="33"/>
        <v>1.3220076912805185</v>
      </c>
      <c r="J23" s="154">
        <f t="shared" si="33"/>
        <v>2.6912299429639126</v>
      </c>
      <c r="K23" s="301">
        <f t="shared" si="7"/>
        <v>73.501269076446377</v>
      </c>
      <c r="L23" s="279"/>
      <c r="M23" s="154"/>
      <c r="N23" s="154">
        <f t="shared" si="34"/>
        <v>47.609109461675224</v>
      </c>
      <c r="O23" s="154">
        <f t="shared" si="34"/>
        <v>54.40400263190277</v>
      </c>
      <c r="P23" s="154">
        <f t="shared" si="34"/>
        <v>1.940796364498339</v>
      </c>
      <c r="Q23" s="154">
        <f t="shared" si="34"/>
        <v>3.950906884871618</v>
      </c>
      <c r="R23" s="301">
        <f t="shared" si="13"/>
        <v>107.90481534294796</v>
      </c>
      <c r="S23" s="326"/>
      <c r="T23" s="154">
        <f t="shared" si="35"/>
        <v>8.284544639789253</v>
      </c>
      <c r="U23" s="154">
        <f t="shared" si="35"/>
        <v>9.466935918010158</v>
      </c>
      <c r="V23" s="154">
        <f t="shared" si="35"/>
        <v>0.33772137937951302</v>
      </c>
      <c r="W23" s="154">
        <f t="shared" si="35"/>
        <v>0.6875042365940085</v>
      </c>
      <c r="X23" s="301">
        <f t="shared" si="36"/>
        <v>18.776706173772933</v>
      </c>
      <c r="Y23" s="279"/>
      <c r="Z23" s="279"/>
      <c r="AA23" s="279"/>
      <c r="AB23" s="154"/>
      <c r="AC23" s="154">
        <f t="shared" si="37"/>
        <v>0</v>
      </c>
      <c r="AD23" s="154">
        <f t="shared" si="37"/>
        <v>0</v>
      </c>
      <c r="AE23" s="154">
        <f t="shared" si="37"/>
        <v>0</v>
      </c>
      <c r="AF23" s="154">
        <f t="shared" si="37"/>
        <v>0</v>
      </c>
      <c r="AG23" s="279">
        <f t="shared" si="38"/>
        <v>0</v>
      </c>
      <c r="AH23" s="615"/>
      <c r="AI23" s="154">
        <f t="shared" si="39"/>
        <v>47.609109461675224</v>
      </c>
      <c r="AJ23" s="154">
        <f t="shared" si="39"/>
        <v>54.404002631902777</v>
      </c>
      <c r="AK23" s="154">
        <f t="shared" si="39"/>
        <v>1.9407963644983381</v>
      </c>
      <c r="AL23" s="154">
        <f t="shared" si="39"/>
        <v>3.950906884871618</v>
      </c>
      <c r="AM23" s="681">
        <f t="shared" si="14"/>
        <v>107.90481534294796</v>
      </c>
      <c r="AN23" s="301">
        <f t="shared" si="6"/>
        <v>107.90481534294796</v>
      </c>
      <c r="BG23" s="423"/>
      <c r="BH23" s="423"/>
      <c r="BI23" s="423"/>
      <c r="BJ23" s="423"/>
      <c r="BK23" s="423"/>
      <c r="BL23" s="423"/>
      <c r="BM23" s="423"/>
      <c r="BN23" s="423"/>
      <c r="BO23" s="423"/>
      <c r="BP23" s="423"/>
      <c r="BQ23" s="423"/>
      <c r="BR23" s="423"/>
    </row>
    <row r="24" spans="1:70" hidden="1" outlineLevel="1">
      <c r="A24" s="436" t="s">
        <v>65</v>
      </c>
      <c r="B24" s="2"/>
      <c r="C24" s="2"/>
      <c r="D24" s="1061"/>
      <c r="E24" s="2"/>
      <c r="F24" s="154"/>
      <c r="G24" s="154">
        <f t="shared" si="33"/>
        <v>455.29800060811488</v>
      </c>
      <c r="H24" s="154">
        <f t="shared" si="33"/>
        <v>274.54219958175702</v>
      </c>
      <c r="I24" s="154">
        <f t="shared" si="33"/>
        <v>12.551723776533217</v>
      </c>
      <c r="J24" s="154">
        <f t="shared" si="33"/>
        <v>25.551723402228333</v>
      </c>
      <c r="K24" s="301">
        <f t="shared" si="7"/>
        <v>767.94364736863349</v>
      </c>
      <c r="L24" s="279"/>
      <c r="M24" s="154"/>
      <c r="N24" s="154">
        <f t="shared" si="34"/>
        <v>668.408141776908</v>
      </c>
      <c r="O24" s="154">
        <f t="shared" si="34"/>
        <v>403.04644697909652</v>
      </c>
      <c r="P24" s="154">
        <f t="shared" si="34"/>
        <v>18.426776208909345</v>
      </c>
      <c r="Q24" s="154">
        <f t="shared" si="34"/>
        <v>37.511651568136877</v>
      </c>
      <c r="R24" s="301">
        <f t="shared" si="13"/>
        <v>1127.3930165330507</v>
      </c>
      <c r="S24" s="326"/>
      <c r="T24" s="154">
        <f t="shared" si="35"/>
        <v>116.31087308211397</v>
      </c>
      <c r="U24" s="154">
        <f t="shared" si="35"/>
        <v>70.134819148311905</v>
      </c>
      <c r="V24" s="154">
        <f t="shared" si="35"/>
        <v>3.2064756471238658</v>
      </c>
      <c r="W24" s="154">
        <f t="shared" si="35"/>
        <v>6.5274682816450111</v>
      </c>
      <c r="X24" s="301">
        <f t="shared" si="36"/>
        <v>196.17963615919476</v>
      </c>
      <c r="Y24" s="279"/>
      <c r="Z24" s="279"/>
      <c r="AA24" s="279"/>
      <c r="AB24" s="154"/>
      <c r="AC24" s="154">
        <f t="shared" si="37"/>
        <v>0</v>
      </c>
      <c r="AD24" s="154">
        <f t="shared" si="37"/>
        <v>0</v>
      </c>
      <c r="AE24" s="154">
        <f t="shared" si="37"/>
        <v>0</v>
      </c>
      <c r="AF24" s="154">
        <f t="shared" si="37"/>
        <v>0</v>
      </c>
      <c r="AG24" s="279">
        <f t="shared" si="38"/>
        <v>0</v>
      </c>
      <c r="AH24" s="615"/>
      <c r="AI24" s="154">
        <f t="shared" si="39"/>
        <v>668.40814177690811</v>
      </c>
      <c r="AJ24" s="154">
        <f t="shared" si="39"/>
        <v>403.04644697909657</v>
      </c>
      <c r="AK24" s="154">
        <f t="shared" si="39"/>
        <v>18.426776208909338</v>
      </c>
      <c r="AL24" s="154">
        <f t="shared" si="39"/>
        <v>37.51165156813687</v>
      </c>
      <c r="AM24" s="681">
        <f t="shared" si="14"/>
        <v>1127.393016533051</v>
      </c>
      <c r="AN24" s="301">
        <f t="shared" si="6"/>
        <v>1127.393016533051</v>
      </c>
      <c r="BG24" s="423"/>
      <c r="BH24" s="423"/>
      <c r="BI24" s="423"/>
      <c r="BJ24" s="423"/>
      <c r="BK24" s="423"/>
      <c r="BL24" s="423"/>
      <c r="BM24" s="423"/>
      <c r="BN24" s="423"/>
      <c r="BO24" s="423"/>
      <c r="BP24" s="423"/>
      <c r="BQ24" s="423"/>
      <c r="BR24" s="423"/>
    </row>
    <row r="25" spans="1:70" hidden="1" outlineLevel="1">
      <c r="A25" s="436" t="s">
        <v>66</v>
      </c>
      <c r="B25" s="2"/>
      <c r="C25" s="2"/>
      <c r="D25" s="1061"/>
      <c r="E25" s="2"/>
      <c r="F25" s="811"/>
      <c r="G25" s="154">
        <f t="shared" si="33"/>
        <v>3835.1423320881681</v>
      </c>
      <c r="H25" s="154">
        <f t="shared" si="33"/>
        <v>1491.2408089595383</v>
      </c>
      <c r="I25" s="154">
        <f t="shared" si="33"/>
        <v>85.645174532237917</v>
      </c>
      <c r="J25" s="154">
        <f t="shared" si="33"/>
        <v>174.34910529777002</v>
      </c>
      <c r="K25" s="301">
        <f t="shared" si="7"/>
        <v>5586.3774208777149</v>
      </c>
      <c r="L25" s="279"/>
      <c r="M25" s="154"/>
      <c r="N25" s="154">
        <f t="shared" si="34"/>
        <v>5630.247346171459</v>
      </c>
      <c r="O25" s="154">
        <f t="shared" si="34"/>
        <v>2189.2419837715684</v>
      </c>
      <c r="P25" s="154">
        <f t="shared" si="34"/>
        <v>125.73288677919096</v>
      </c>
      <c r="Q25" s="154">
        <f t="shared" si="34"/>
        <v>255.95623380049585</v>
      </c>
      <c r="R25" s="301">
        <f t="shared" si="13"/>
        <v>8201.1784505227151</v>
      </c>
      <c r="S25" s="326"/>
      <c r="T25" s="154">
        <f t="shared" si="35"/>
        <v>979.72921568634513</v>
      </c>
      <c r="U25" s="154">
        <f t="shared" si="35"/>
        <v>380.95383734191262</v>
      </c>
      <c r="V25" s="154">
        <f t="shared" si="35"/>
        <v>21.879000153327446</v>
      </c>
      <c r="W25" s="154">
        <f t="shared" si="35"/>
        <v>44.539393169273716</v>
      </c>
      <c r="X25" s="301">
        <f t="shared" si="36"/>
        <v>1427.1014463508591</v>
      </c>
      <c r="Y25" s="279"/>
      <c r="Z25" s="279"/>
      <c r="AA25" s="279"/>
      <c r="AB25" s="154"/>
      <c r="AC25" s="154">
        <f t="shared" si="37"/>
        <v>979.72921568634524</v>
      </c>
      <c r="AD25" s="154">
        <f t="shared" si="37"/>
        <v>380.95383734191267</v>
      </c>
      <c r="AE25" s="154">
        <f t="shared" si="37"/>
        <v>21.879000153327446</v>
      </c>
      <c r="AF25" s="154">
        <f t="shared" si="37"/>
        <v>44.539393169273723</v>
      </c>
      <c r="AG25" s="279">
        <f t="shared" si="38"/>
        <v>1427.1014463508593</v>
      </c>
      <c r="AH25" s="615"/>
      <c r="AI25" s="154">
        <f t="shared" si="39"/>
        <v>0</v>
      </c>
      <c r="AJ25" s="154">
        <f t="shared" si="39"/>
        <v>0</v>
      </c>
      <c r="AK25" s="154">
        <f t="shared" si="39"/>
        <v>0</v>
      </c>
      <c r="AL25" s="154">
        <f t="shared" si="39"/>
        <v>0</v>
      </c>
      <c r="AM25" s="681">
        <f t="shared" si="14"/>
        <v>0</v>
      </c>
      <c r="AN25" s="301">
        <f t="shared" si="6"/>
        <v>1427.1014463508593</v>
      </c>
      <c r="BG25" s="423"/>
      <c r="BH25" s="423"/>
      <c r="BI25" s="423"/>
      <c r="BJ25" s="423"/>
      <c r="BK25" s="423"/>
      <c r="BL25" s="423"/>
      <c r="BM25" s="423"/>
      <c r="BN25" s="423"/>
      <c r="BO25" s="423"/>
      <c r="BP25" s="423"/>
      <c r="BQ25" s="423"/>
      <c r="BR25" s="423"/>
    </row>
    <row r="26" spans="1:70" s="454" customFormat="1" ht="20" hidden="1" outlineLevel="1" thickBot="1">
      <c r="A26" s="1038" t="s">
        <v>328</v>
      </c>
      <c r="B26" s="930"/>
      <c r="C26" s="930"/>
      <c r="D26" s="1062"/>
      <c r="E26" s="930"/>
      <c r="F26" s="363"/>
      <c r="G26" s="363">
        <f t="shared" si="33"/>
        <v>0</v>
      </c>
      <c r="H26" s="363">
        <f t="shared" si="33"/>
        <v>0</v>
      </c>
      <c r="I26" s="363">
        <f t="shared" si="33"/>
        <v>0</v>
      </c>
      <c r="J26" s="363">
        <f t="shared" si="33"/>
        <v>0</v>
      </c>
      <c r="K26" s="364">
        <f t="shared" si="7"/>
        <v>0</v>
      </c>
      <c r="L26" s="626"/>
      <c r="M26" s="363"/>
      <c r="N26" s="363">
        <f t="shared" si="34"/>
        <v>0</v>
      </c>
      <c r="O26" s="363">
        <f t="shared" si="34"/>
        <v>0</v>
      </c>
      <c r="P26" s="363">
        <f t="shared" si="34"/>
        <v>0</v>
      </c>
      <c r="Q26" s="363">
        <f t="shared" si="34"/>
        <v>0</v>
      </c>
      <c r="R26" s="364">
        <f t="shared" si="13"/>
        <v>0</v>
      </c>
      <c r="S26" s="949"/>
      <c r="T26" s="363">
        <f t="shared" si="35"/>
        <v>0</v>
      </c>
      <c r="U26" s="363">
        <f t="shared" si="35"/>
        <v>0</v>
      </c>
      <c r="V26" s="363">
        <f t="shared" si="35"/>
        <v>0</v>
      </c>
      <c r="W26" s="363">
        <f t="shared" si="35"/>
        <v>0</v>
      </c>
      <c r="X26" s="364">
        <f t="shared" si="36"/>
        <v>0</v>
      </c>
      <c r="Y26" s="626"/>
      <c r="Z26" s="626"/>
      <c r="AA26" s="626"/>
      <c r="AB26" s="363"/>
      <c r="AC26" s="363">
        <f t="shared" si="37"/>
        <v>0</v>
      </c>
      <c r="AD26" s="363">
        <f t="shared" si="37"/>
        <v>0</v>
      </c>
      <c r="AE26" s="363">
        <f t="shared" si="37"/>
        <v>0</v>
      </c>
      <c r="AF26" s="363">
        <f t="shared" si="37"/>
        <v>0</v>
      </c>
      <c r="AG26" s="626">
        <f t="shared" si="38"/>
        <v>0</v>
      </c>
      <c r="AH26" s="664"/>
      <c r="AI26" s="363">
        <f t="shared" si="39"/>
        <v>0</v>
      </c>
      <c r="AJ26" s="363">
        <f t="shared" si="39"/>
        <v>0</v>
      </c>
      <c r="AK26" s="363">
        <f t="shared" si="39"/>
        <v>0</v>
      </c>
      <c r="AL26" s="363">
        <f t="shared" si="39"/>
        <v>0</v>
      </c>
      <c r="AM26" s="683">
        <f t="shared" si="14"/>
        <v>0</v>
      </c>
      <c r="AN26" s="364">
        <f t="shared" si="6"/>
        <v>0</v>
      </c>
      <c r="AO26" s="88"/>
      <c r="AP26" s="88"/>
      <c r="AQ26" s="88"/>
      <c r="AR26" s="88"/>
      <c r="AS26" s="88"/>
      <c r="AT26" s="88"/>
      <c r="AU26" s="88"/>
      <c r="AV26" s="88"/>
      <c r="AW26" s="88"/>
      <c r="AX26" s="88"/>
      <c r="AY26" s="88"/>
      <c r="AZ26" s="88"/>
    </row>
    <row r="27" spans="1:70" collapsed="1">
      <c r="A27" s="436"/>
      <c r="B27" s="2"/>
      <c r="C27" s="2"/>
      <c r="D27" s="1061"/>
      <c r="E27" s="2"/>
      <c r="F27" s="154"/>
      <c r="G27" s="154"/>
      <c r="H27" s="154"/>
      <c r="I27" s="154"/>
      <c r="J27" s="154"/>
      <c r="K27" s="301"/>
      <c r="L27" s="279"/>
      <c r="M27" s="1217">
        <f>M19/F19</f>
        <v>1.5</v>
      </c>
      <c r="N27" s="154"/>
      <c r="O27" s="154"/>
      <c r="P27" s="154"/>
      <c r="Q27" s="154"/>
      <c r="R27" s="1218"/>
      <c r="S27" s="326"/>
      <c r="T27" s="154"/>
      <c r="U27" s="154"/>
      <c r="V27" s="154"/>
      <c r="W27" s="154"/>
      <c r="X27" s="301"/>
      <c r="Y27" s="279"/>
      <c r="Z27" s="279"/>
      <c r="AA27" s="279"/>
      <c r="AB27" s="154"/>
      <c r="AC27" s="154"/>
      <c r="AD27" s="154"/>
      <c r="AE27" s="154"/>
      <c r="AF27" s="154"/>
      <c r="AG27" s="279"/>
      <c r="AH27" s="615"/>
      <c r="AI27" s="154"/>
      <c r="AJ27" s="154"/>
      <c r="AK27" s="154"/>
      <c r="AL27" s="154"/>
      <c r="AM27" s="681"/>
      <c r="AN27" s="301"/>
      <c r="BG27" s="423"/>
      <c r="BH27" s="423"/>
      <c r="BI27" s="423"/>
      <c r="BJ27" s="423"/>
      <c r="BK27" s="423"/>
      <c r="BL27" s="423"/>
      <c r="BM27" s="423"/>
      <c r="BN27" s="423"/>
      <c r="BO27" s="423"/>
      <c r="BP27" s="423"/>
      <c r="BQ27" s="423"/>
      <c r="BR27" s="423"/>
    </row>
    <row r="28" spans="1:70">
      <c r="A28" s="436"/>
      <c r="B28" s="2"/>
      <c r="C28" s="2"/>
      <c r="D28" s="1061"/>
      <c r="E28" s="2"/>
      <c r="F28" s="154"/>
      <c r="G28" s="154"/>
      <c r="H28" s="154"/>
      <c r="I28" s="154"/>
      <c r="J28" s="154"/>
      <c r="K28" s="301"/>
      <c r="L28" s="279"/>
      <c r="M28" s="1245">
        <f>(M19-F19)/F19</f>
        <v>0.5</v>
      </c>
      <c r="N28" s="154"/>
      <c r="O28" s="154"/>
      <c r="P28" s="154"/>
      <c r="Q28" s="154"/>
      <c r="R28" s="301"/>
      <c r="S28" s="326"/>
      <c r="T28" s="154"/>
      <c r="U28" s="154"/>
      <c r="V28" s="154"/>
      <c r="W28" s="154"/>
      <c r="X28" s="301"/>
      <c r="Y28" s="279"/>
      <c r="Z28" s="279"/>
      <c r="AA28" s="279"/>
      <c r="AB28" s="154"/>
      <c r="AC28" s="154"/>
      <c r="AD28" s="154"/>
      <c r="AE28" s="154"/>
      <c r="AF28" s="154"/>
      <c r="AG28" s="279"/>
      <c r="AH28" s="615"/>
      <c r="AI28" s="154"/>
      <c r="AJ28" s="154"/>
      <c r="AK28" s="154"/>
      <c r="AL28" s="154"/>
      <c r="AM28" s="681"/>
      <c r="AN28" s="301"/>
      <c r="BG28" s="423"/>
      <c r="BH28" s="423"/>
      <c r="BI28" s="423"/>
      <c r="BJ28" s="423"/>
      <c r="BK28" s="423"/>
      <c r="BL28" s="423"/>
      <c r="BM28" s="423"/>
      <c r="BN28" s="423"/>
      <c r="BO28" s="423"/>
      <c r="BP28" s="423"/>
      <c r="BQ28" s="423"/>
      <c r="BR28" s="423"/>
    </row>
    <row r="29" spans="1:70" s="969" customFormat="1" ht="20">
      <c r="A29" s="416" t="s">
        <v>63</v>
      </c>
      <c r="B29" s="962"/>
      <c r="C29" s="962"/>
      <c r="D29" s="1063"/>
      <c r="E29" s="962"/>
      <c r="F29" s="963"/>
      <c r="G29" s="964">
        <f t="shared" ref="G29:K33" si="40">G44/G21</f>
        <v>20930.298172291186</v>
      </c>
      <c r="H29" s="964">
        <f t="shared" si="40"/>
        <v>21327.658677944863</v>
      </c>
      <c r="I29" s="964">
        <f t="shared" si="40"/>
        <v>21106.467446786348</v>
      </c>
      <c r="J29" s="964">
        <f t="shared" si="40"/>
        <v>21106.467446786348</v>
      </c>
      <c r="K29" s="1215">
        <f t="shared" si="40"/>
        <v>21050.155495653511</v>
      </c>
      <c r="L29" s="966"/>
      <c r="M29" s="963"/>
      <c r="N29" s="964">
        <f t="shared" ref="N29:R33" si="41">N44/N21</f>
        <v>23817.575828985242</v>
      </c>
      <c r="O29" s="964">
        <f t="shared" si="41"/>
        <v>24219.664902178411</v>
      </c>
      <c r="P29" s="964">
        <f t="shared" si="41"/>
        <v>23995.8415078814</v>
      </c>
      <c r="Q29" s="964">
        <f t="shared" si="41"/>
        <v>23995.8415078814</v>
      </c>
      <c r="R29" s="1215">
        <f t="shared" si="41"/>
        <v>23938.859447715513</v>
      </c>
      <c r="S29" s="1027"/>
      <c r="T29" s="964">
        <f t="shared" ref="T29:X33" si="42">T44/T21</f>
        <v>23817.575828985242</v>
      </c>
      <c r="U29" s="964">
        <f t="shared" si="42"/>
        <v>24219.664902178414</v>
      </c>
      <c r="V29" s="964">
        <f t="shared" si="42"/>
        <v>23995.8415078814</v>
      </c>
      <c r="W29" s="964">
        <f t="shared" si="42"/>
        <v>23995.841507881396</v>
      </c>
      <c r="X29" s="1215">
        <f t="shared" si="42"/>
        <v>23938.85944771552</v>
      </c>
      <c r="Y29" s="966"/>
      <c r="Z29" s="966"/>
      <c r="AA29" s="966"/>
      <c r="AB29" s="963"/>
      <c r="AC29" s="964">
        <f t="shared" ref="AC29:AG33" si="43">AC44/AC21</f>
        <v>23361.308724832215</v>
      </c>
      <c r="AD29" s="964">
        <f t="shared" si="43"/>
        <v>23361.308724832215</v>
      </c>
      <c r="AE29" s="964">
        <f t="shared" si="43"/>
        <v>23361.308724832215</v>
      </c>
      <c r="AF29" s="964">
        <f t="shared" si="43"/>
        <v>23361.308724832215</v>
      </c>
      <c r="AG29" s="965">
        <f t="shared" si="43"/>
        <v>23361.308724832212</v>
      </c>
      <c r="AH29" s="967"/>
      <c r="AI29" s="964">
        <f t="shared" ref="AI29:AN33" si="44">AI44/AI21</f>
        <v>27401.865524543398</v>
      </c>
      <c r="AJ29" s="964">
        <f t="shared" si="44"/>
        <v>28286.922959599062</v>
      </c>
      <c r="AK29" s="964">
        <f t="shared" si="44"/>
        <v>27889.878111867318</v>
      </c>
      <c r="AL29" s="964">
        <f t="shared" si="44"/>
        <v>27889.878111867311</v>
      </c>
      <c r="AM29" s="965">
        <f t="shared" si="44"/>
        <v>27755.847935957816</v>
      </c>
      <c r="AN29" s="1215">
        <f t="shared" si="44"/>
        <v>25405.251595542959</v>
      </c>
      <c r="AO29" s="968"/>
      <c r="AP29" s="968"/>
      <c r="AQ29" s="968"/>
      <c r="AR29" s="968"/>
      <c r="AS29" s="968"/>
      <c r="AT29" s="968"/>
      <c r="AU29" s="968"/>
      <c r="AV29" s="968"/>
      <c r="AW29" s="968"/>
      <c r="AX29" s="968"/>
      <c r="AY29" s="968"/>
      <c r="AZ29" s="968"/>
    </row>
    <row r="30" spans="1:70" hidden="1" outlineLevel="1">
      <c r="A30" s="1037" t="s">
        <v>327</v>
      </c>
      <c r="B30" s="2"/>
      <c r="C30" s="2"/>
      <c r="D30" s="1061"/>
      <c r="E30" s="2"/>
      <c r="F30" s="154"/>
      <c r="G30" s="169">
        <f t="shared" si="40"/>
        <v>55362.5</v>
      </c>
      <c r="H30" s="169">
        <f t="shared" si="40"/>
        <v>55362.5</v>
      </c>
      <c r="I30" s="169">
        <f t="shared" si="40"/>
        <v>55362.500000000007</v>
      </c>
      <c r="J30" s="169">
        <f t="shared" si="40"/>
        <v>55362.499999999993</v>
      </c>
      <c r="K30" s="407">
        <f t="shared" si="40"/>
        <v>55362.5</v>
      </c>
      <c r="L30" s="279"/>
      <c r="M30" s="154"/>
      <c r="N30" s="169">
        <f t="shared" si="41"/>
        <v>59174.344262295082</v>
      </c>
      <c r="O30" s="169">
        <f t="shared" si="41"/>
        <v>59174.344262295075</v>
      </c>
      <c r="P30" s="169">
        <f t="shared" si="41"/>
        <v>59174.344262295082</v>
      </c>
      <c r="Q30" s="169">
        <f t="shared" si="41"/>
        <v>59174.344262295082</v>
      </c>
      <c r="R30" s="407">
        <f t="shared" si="41"/>
        <v>59174.344262295082</v>
      </c>
      <c r="S30" s="326"/>
      <c r="T30" s="169">
        <f t="shared" si="42"/>
        <v>59174.344262295082</v>
      </c>
      <c r="U30" s="169">
        <f t="shared" si="42"/>
        <v>59174.344262295082</v>
      </c>
      <c r="V30" s="169">
        <f t="shared" si="42"/>
        <v>59174.34426229509</v>
      </c>
      <c r="W30" s="169">
        <f t="shared" si="42"/>
        <v>59174.344262295082</v>
      </c>
      <c r="X30" s="407">
        <f t="shared" si="42"/>
        <v>59174.344262295082</v>
      </c>
      <c r="Y30" s="279"/>
      <c r="Z30" s="279"/>
      <c r="AA30" s="279"/>
      <c r="AB30" s="154"/>
      <c r="AC30" s="169" t="e">
        <f t="shared" si="43"/>
        <v>#DIV/0!</v>
      </c>
      <c r="AD30" s="169" t="e">
        <f t="shared" si="43"/>
        <v>#DIV/0!</v>
      </c>
      <c r="AE30" s="169" t="e">
        <f t="shared" si="43"/>
        <v>#DIV/0!</v>
      </c>
      <c r="AF30" s="169" t="e">
        <f t="shared" si="43"/>
        <v>#DIV/0!</v>
      </c>
      <c r="AG30" s="169" t="e">
        <f t="shared" si="43"/>
        <v>#DIV/0!</v>
      </c>
      <c r="AH30" s="615"/>
      <c r="AI30" s="169">
        <f t="shared" si="44"/>
        <v>59174.344262295082</v>
      </c>
      <c r="AJ30" s="169">
        <f t="shared" si="44"/>
        <v>59174.344262295075</v>
      </c>
      <c r="AK30" s="169">
        <f t="shared" si="44"/>
        <v>59174.344262295082</v>
      </c>
      <c r="AL30" s="169">
        <f t="shared" si="44"/>
        <v>59174.344262295082</v>
      </c>
      <c r="AM30" s="169">
        <f t="shared" si="44"/>
        <v>59174.344262295082</v>
      </c>
      <c r="AN30" s="407">
        <f t="shared" si="44"/>
        <v>59174.344262295082</v>
      </c>
      <c r="BG30" s="423"/>
      <c r="BH30" s="423"/>
      <c r="BI30" s="423"/>
      <c r="BJ30" s="423"/>
      <c r="BK30" s="423"/>
      <c r="BL30" s="423"/>
      <c r="BM30" s="423"/>
      <c r="BN30" s="423"/>
      <c r="BO30" s="423"/>
      <c r="BP30" s="423"/>
      <c r="BQ30" s="423"/>
      <c r="BR30" s="423"/>
    </row>
    <row r="31" spans="1:70" hidden="1" outlineLevel="1">
      <c r="A31" s="436" t="s">
        <v>429</v>
      </c>
      <c r="B31" s="2"/>
      <c r="C31" s="2"/>
      <c r="D31" s="1061"/>
      <c r="E31" s="2"/>
      <c r="F31" s="154"/>
      <c r="G31" s="169">
        <f t="shared" si="40"/>
        <v>35026.5</v>
      </c>
      <c r="H31" s="169">
        <f t="shared" si="40"/>
        <v>35026.5</v>
      </c>
      <c r="I31" s="169">
        <f t="shared" si="40"/>
        <v>35026.5</v>
      </c>
      <c r="J31" s="169">
        <f t="shared" si="40"/>
        <v>35026.5</v>
      </c>
      <c r="K31" s="407">
        <f t="shared" si="40"/>
        <v>35026.499999999993</v>
      </c>
      <c r="L31" s="279"/>
      <c r="M31" s="154"/>
      <c r="N31" s="169">
        <f t="shared" si="41"/>
        <v>38183.394849785407</v>
      </c>
      <c r="O31" s="169">
        <f t="shared" si="41"/>
        <v>38183.394849785407</v>
      </c>
      <c r="P31" s="169">
        <f t="shared" si="41"/>
        <v>38183.394849785407</v>
      </c>
      <c r="Q31" s="169">
        <f t="shared" si="41"/>
        <v>38183.394849785407</v>
      </c>
      <c r="R31" s="407">
        <f t="shared" si="41"/>
        <v>38183.3948497854</v>
      </c>
      <c r="S31" s="326"/>
      <c r="T31" s="169">
        <f t="shared" si="42"/>
        <v>38183.394849785407</v>
      </c>
      <c r="U31" s="169">
        <f t="shared" si="42"/>
        <v>38183.394849785407</v>
      </c>
      <c r="V31" s="169">
        <f t="shared" si="42"/>
        <v>38183.394849785407</v>
      </c>
      <c r="W31" s="169">
        <f t="shared" si="42"/>
        <v>38183.394849785407</v>
      </c>
      <c r="X31" s="407">
        <f t="shared" si="42"/>
        <v>38183.394849785414</v>
      </c>
      <c r="Y31" s="279"/>
      <c r="Z31" s="279"/>
      <c r="AA31" s="279"/>
      <c r="AB31" s="154"/>
      <c r="AC31" s="169" t="e">
        <f t="shared" si="43"/>
        <v>#DIV/0!</v>
      </c>
      <c r="AD31" s="169" t="e">
        <f t="shared" si="43"/>
        <v>#DIV/0!</v>
      </c>
      <c r="AE31" s="169" t="e">
        <f t="shared" si="43"/>
        <v>#DIV/0!</v>
      </c>
      <c r="AF31" s="169" t="e">
        <f t="shared" si="43"/>
        <v>#DIV/0!</v>
      </c>
      <c r="AG31" s="169" t="e">
        <f t="shared" si="43"/>
        <v>#DIV/0!</v>
      </c>
      <c r="AH31" s="615"/>
      <c r="AI31" s="169">
        <f t="shared" si="44"/>
        <v>38183.394849785407</v>
      </c>
      <c r="AJ31" s="169">
        <f t="shared" si="44"/>
        <v>38183.394849785407</v>
      </c>
      <c r="AK31" s="169">
        <f t="shared" si="44"/>
        <v>38183.394849785407</v>
      </c>
      <c r="AL31" s="169">
        <f t="shared" si="44"/>
        <v>38183.394849785407</v>
      </c>
      <c r="AM31" s="169">
        <f t="shared" si="44"/>
        <v>38183.394849785407</v>
      </c>
      <c r="AN31" s="407">
        <f t="shared" si="44"/>
        <v>38183.394849785407</v>
      </c>
      <c r="BG31" s="423"/>
      <c r="BH31" s="423"/>
      <c r="BI31" s="423"/>
      <c r="BJ31" s="423"/>
      <c r="BK31" s="423"/>
      <c r="BL31" s="423"/>
      <c r="BM31" s="423"/>
      <c r="BN31" s="423"/>
      <c r="BO31" s="423"/>
      <c r="BP31" s="423"/>
      <c r="BQ31" s="423"/>
      <c r="BR31" s="423"/>
    </row>
    <row r="32" spans="1:70" hidden="1" outlineLevel="1">
      <c r="A32" s="436" t="s">
        <v>65</v>
      </c>
      <c r="B32" s="2"/>
      <c r="C32" s="2"/>
      <c r="D32" s="1061"/>
      <c r="E32" s="2"/>
      <c r="F32" s="154"/>
      <c r="G32" s="169">
        <f t="shared" si="40"/>
        <v>23721.5</v>
      </c>
      <c r="H32" s="169">
        <f t="shared" si="40"/>
        <v>23721.5</v>
      </c>
      <c r="I32" s="169">
        <f t="shared" si="40"/>
        <v>23721.5</v>
      </c>
      <c r="J32" s="169">
        <f t="shared" si="40"/>
        <v>23721.5</v>
      </c>
      <c r="K32" s="407">
        <f t="shared" si="40"/>
        <v>23721.5</v>
      </c>
      <c r="L32" s="279"/>
      <c r="M32" s="154"/>
      <c r="N32" s="169">
        <f t="shared" si="41"/>
        <v>26600.988439306362</v>
      </c>
      <c r="O32" s="169">
        <f t="shared" si="41"/>
        <v>26600.988439306362</v>
      </c>
      <c r="P32" s="169">
        <f t="shared" si="41"/>
        <v>26600.988439306362</v>
      </c>
      <c r="Q32" s="169">
        <f t="shared" si="41"/>
        <v>26600.988439306362</v>
      </c>
      <c r="R32" s="407">
        <f t="shared" si="41"/>
        <v>26600.988439306362</v>
      </c>
      <c r="S32" s="326"/>
      <c r="T32" s="169">
        <f t="shared" si="42"/>
        <v>26600.988439306362</v>
      </c>
      <c r="U32" s="169">
        <f t="shared" si="42"/>
        <v>26600.988439306362</v>
      </c>
      <c r="V32" s="169">
        <f t="shared" si="42"/>
        <v>26600.988439306362</v>
      </c>
      <c r="W32" s="169">
        <f t="shared" si="42"/>
        <v>26600.988439306362</v>
      </c>
      <c r="X32" s="407">
        <f t="shared" si="42"/>
        <v>26600.988439306366</v>
      </c>
      <c r="Y32" s="279"/>
      <c r="Z32" s="279"/>
      <c r="AA32" s="279"/>
      <c r="AB32" s="154"/>
      <c r="AC32" s="169" t="e">
        <f t="shared" si="43"/>
        <v>#DIV/0!</v>
      </c>
      <c r="AD32" s="169" t="e">
        <f t="shared" si="43"/>
        <v>#DIV/0!</v>
      </c>
      <c r="AE32" s="169" t="e">
        <f t="shared" si="43"/>
        <v>#DIV/0!</v>
      </c>
      <c r="AF32" s="169" t="e">
        <f t="shared" si="43"/>
        <v>#DIV/0!</v>
      </c>
      <c r="AG32" s="169" t="e">
        <f t="shared" si="43"/>
        <v>#DIV/0!</v>
      </c>
      <c r="AH32" s="615"/>
      <c r="AI32" s="169">
        <f t="shared" si="44"/>
        <v>26600.988439306366</v>
      </c>
      <c r="AJ32" s="169">
        <f t="shared" si="44"/>
        <v>26600.988439306362</v>
      </c>
      <c r="AK32" s="169">
        <f t="shared" si="44"/>
        <v>26600.988439306362</v>
      </c>
      <c r="AL32" s="169">
        <f t="shared" si="44"/>
        <v>26600.988439306362</v>
      </c>
      <c r="AM32" s="169">
        <f t="shared" si="44"/>
        <v>26600.988439306362</v>
      </c>
      <c r="AN32" s="407">
        <f t="shared" si="44"/>
        <v>26600.988439306362</v>
      </c>
      <c r="BG32" s="423"/>
      <c r="BH32" s="423"/>
      <c r="BI32" s="423"/>
      <c r="BJ32" s="423"/>
      <c r="BK32" s="423"/>
      <c r="BL32" s="423"/>
      <c r="BM32" s="423"/>
      <c r="BN32" s="423"/>
      <c r="BO32" s="423"/>
      <c r="BP32" s="423"/>
      <c r="BQ32" s="423"/>
      <c r="BR32" s="423"/>
    </row>
    <row r="33" spans="1:70" hidden="1" outlineLevel="1">
      <c r="A33" s="436" t="s">
        <v>66</v>
      </c>
      <c r="B33" s="2"/>
      <c r="C33" s="2"/>
      <c r="D33" s="1061"/>
      <c r="E33" s="2"/>
      <c r="F33" s="154"/>
      <c r="G33" s="169">
        <f t="shared" si="40"/>
        <v>20475.5</v>
      </c>
      <c r="H33" s="169">
        <f t="shared" si="40"/>
        <v>20475.5</v>
      </c>
      <c r="I33" s="169">
        <f t="shared" si="40"/>
        <v>20475.5</v>
      </c>
      <c r="J33" s="169">
        <f t="shared" si="40"/>
        <v>20475.5</v>
      </c>
      <c r="K33" s="407">
        <f t="shared" si="40"/>
        <v>20475.5</v>
      </c>
      <c r="L33" s="279"/>
      <c r="M33" s="154"/>
      <c r="N33" s="169">
        <f t="shared" si="41"/>
        <v>23361.308724832215</v>
      </c>
      <c r="O33" s="169">
        <f t="shared" si="41"/>
        <v>23361.308724832215</v>
      </c>
      <c r="P33" s="169">
        <f t="shared" si="41"/>
        <v>23361.308724832215</v>
      </c>
      <c r="Q33" s="169">
        <f t="shared" si="41"/>
        <v>23361.308724832215</v>
      </c>
      <c r="R33" s="407">
        <f t="shared" si="41"/>
        <v>23361.308724832215</v>
      </c>
      <c r="S33" s="326"/>
      <c r="T33" s="169">
        <f t="shared" si="42"/>
        <v>23361.308724832215</v>
      </c>
      <c r="U33" s="169">
        <f t="shared" si="42"/>
        <v>23361.308724832215</v>
      </c>
      <c r="V33" s="169">
        <f t="shared" si="42"/>
        <v>23361.308724832215</v>
      </c>
      <c r="W33" s="169">
        <f t="shared" si="42"/>
        <v>23361.308724832215</v>
      </c>
      <c r="X33" s="407">
        <f t="shared" si="42"/>
        <v>23361.308724832212</v>
      </c>
      <c r="Y33" s="279"/>
      <c r="Z33" s="279"/>
      <c r="AA33" s="279"/>
      <c r="AB33" s="154"/>
      <c r="AC33" s="169">
        <f t="shared" si="43"/>
        <v>23361.308724832215</v>
      </c>
      <c r="AD33" s="169">
        <f t="shared" si="43"/>
        <v>23361.308724832215</v>
      </c>
      <c r="AE33" s="169">
        <f t="shared" si="43"/>
        <v>23361.308724832215</v>
      </c>
      <c r="AF33" s="169">
        <f t="shared" si="43"/>
        <v>23361.308724832215</v>
      </c>
      <c r="AG33" s="169">
        <f t="shared" si="43"/>
        <v>23361.308724832212</v>
      </c>
      <c r="AH33" s="615"/>
      <c r="AI33" s="169" t="e">
        <f t="shared" si="44"/>
        <v>#DIV/0!</v>
      </c>
      <c r="AJ33" s="169" t="e">
        <f t="shared" si="44"/>
        <v>#DIV/0!</v>
      </c>
      <c r="AK33" s="169" t="e">
        <f t="shared" si="44"/>
        <v>#DIV/0!</v>
      </c>
      <c r="AL33" s="169" t="e">
        <f t="shared" si="44"/>
        <v>#DIV/0!</v>
      </c>
      <c r="AM33" s="169" t="e">
        <f t="shared" si="44"/>
        <v>#DIV/0!</v>
      </c>
      <c r="AN33" s="407">
        <f t="shared" si="44"/>
        <v>23361.308724832212</v>
      </c>
      <c r="BG33" s="423"/>
      <c r="BH33" s="423"/>
      <c r="BI33" s="423"/>
      <c r="BJ33" s="423"/>
      <c r="BK33" s="423"/>
      <c r="BL33" s="423"/>
      <c r="BM33" s="423"/>
      <c r="BN33" s="423"/>
      <c r="BO33" s="423"/>
      <c r="BP33" s="423"/>
      <c r="BQ33" s="423"/>
      <c r="BR33" s="423"/>
    </row>
    <row r="34" spans="1:70" ht="20" hidden="1" outlineLevel="1" thickBot="1">
      <c r="A34" s="1038" t="s">
        <v>328</v>
      </c>
      <c r="B34" s="2"/>
      <c r="C34" s="2"/>
      <c r="D34" s="1061"/>
      <c r="E34" s="2"/>
      <c r="F34" s="154"/>
      <c r="G34" s="169"/>
      <c r="H34" s="154"/>
      <c r="I34" s="154"/>
      <c r="J34" s="154"/>
      <c r="K34" s="301"/>
      <c r="L34" s="279"/>
      <c r="M34" s="154"/>
      <c r="N34" s="154"/>
      <c r="O34" s="154"/>
      <c r="P34" s="154"/>
      <c r="Q34" s="154"/>
      <c r="R34" s="301"/>
      <c r="S34" s="326"/>
      <c r="T34" s="154"/>
      <c r="U34" s="154"/>
      <c r="V34" s="154"/>
      <c r="W34" s="154"/>
      <c r="X34" s="301"/>
      <c r="Y34" s="279"/>
      <c r="Z34" s="279"/>
      <c r="AA34" s="279"/>
      <c r="AB34" s="154"/>
      <c r="AC34" s="154"/>
      <c r="AD34" s="154"/>
      <c r="AE34" s="154"/>
      <c r="AF34" s="154"/>
      <c r="AG34" s="279"/>
      <c r="AH34" s="615"/>
      <c r="AI34" s="154"/>
      <c r="AJ34" s="154"/>
      <c r="AK34" s="154"/>
      <c r="AL34" s="154"/>
      <c r="AM34" s="681"/>
      <c r="AN34" s="301"/>
      <c r="BG34" s="423"/>
      <c r="BH34" s="423"/>
      <c r="BI34" s="423"/>
      <c r="BJ34" s="423"/>
      <c r="BK34" s="423"/>
      <c r="BL34" s="423"/>
      <c r="BM34" s="423"/>
      <c r="BN34" s="423"/>
      <c r="BO34" s="423"/>
      <c r="BP34" s="423"/>
      <c r="BQ34" s="423"/>
      <c r="BR34" s="423"/>
    </row>
    <row r="35" spans="1:70" s="969" customFormat="1" collapsed="1">
      <c r="A35" s="1039" t="s">
        <v>621</v>
      </c>
      <c r="B35" s="962"/>
      <c r="C35" s="962"/>
      <c r="D35" s="1063"/>
      <c r="E35" s="962"/>
      <c r="F35" s="963"/>
      <c r="G35" s="964">
        <f>G36+G40+G41</f>
        <v>16968.268505801727</v>
      </c>
      <c r="H35" s="964">
        <f t="shared" ref="H35:K35" si="45">H36+H40+H41</f>
        <v>17023.900596017083</v>
      </c>
      <c r="I35" s="964">
        <f t="shared" si="45"/>
        <v>18076.804682613893</v>
      </c>
      <c r="J35" s="964">
        <f t="shared" si="45"/>
        <v>17504.009961819713</v>
      </c>
      <c r="K35" s="1215">
        <f t="shared" si="45"/>
        <v>17017.945739696228</v>
      </c>
      <c r="L35" s="966"/>
      <c r="M35" s="963"/>
      <c r="N35" s="964">
        <f>N50/N21</f>
        <v>10434.425996930535</v>
      </c>
      <c r="O35" s="964">
        <f>O50/O21</f>
        <v>10478.530817870918</v>
      </c>
      <c r="P35" s="964">
        <f>P50/P21</f>
        <v>11192.27818894572</v>
      </c>
      <c r="Q35" s="964">
        <f>Q50/Q21</f>
        <v>10802.108957249678</v>
      </c>
      <c r="R35" s="1215">
        <f>R50/R21</f>
        <v>10470.137679112899</v>
      </c>
      <c r="S35" s="1027"/>
      <c r="T35" s="964">
        <f>T50/T21</f>
        <v>4368.1180563890457</v>
      </c>
      <c r="U35" s="964">
        <f>U50/U21</f>
        <v>4529.1225641278124</v>
      </c>
      <c r="V35" s="964">
        <f>V50/V21</f>
        <v>8682.3067067687352</v>
      </c>
      <c r="W35" s="964">
        <f>W50/W21</f>
        <v>6440.1062638887506</v>
      </c>
      <c r="X35" s="1215">
        <f>X50/X21</f>
        <v>4545.4563963835717</v>
      </c>
      <c r="Y35" s="966"/>
      <c r="Z35" s="966"/>
      <c r="AA35" s="966"/>
      <c r="AB35" s="963"/>
      <c r="AC35" s="964">
        <f>AC50/AC21</f>
        <v>4340.9299212037877</v>
      </c>
      <c r="AD35" s="964">
        <f>AD50/AD21</f>
        <v>4497.1845129435251</v>
      </c>
      <c r="AE35" s="964">
        <f>AE50/AE21</f>
        <v>8693.1549002494885</v>
      </c>
      <c r="AF35" s="964">
        <f>AF50/AF21</f>
        <v>6428.2866844931359</v>
      </c>
      <c r="AG35" s="965">
        <f>AG50/AG21</f>
        <v>4514.5109385221513</v>
      </c>
      <c r="AH35" s="967"/>
      <c r="AI35" s="964">
        <f t="shared" ref="AI35:AN35" si="46">AI50/AI21</f>
        <v>10634.266030804722</v>
      </c>
      <c r="AJ35" s="964">
        <f t="shared" si="46"/>
        <v>10679.220250286317</v>
      </c>
      <c r="AK35" s="964">
        <f t="shared" si="46"/>
        <v>11351.546815036403</v>
      </c>
      <c r="AL35" s="964">
        <f t="shared" si="46"/>
        <v>10985.584161488106</v>
      </c>
      <c r="AM35" s="965">
        <f t="shared" si="46"/>
        <v>10674.653839755461</v>
      </c>
      <c r="AN35" s="1215">
        <f t="shared" si="46"/>
        <v>7379.6532345924197</v>
      </c>
      <c r="AO35" s="968"/>
      <c r="AP35" s="968"/>
      <c r="AQ35" s="968"/>
      <c r="AR35" s="968"/>
      <c r="AS35" s="968"/>
      <c r="AT35" s="968"/>
      <c r="AU35" s="968"/>
      <c r="AV35" s="968"/>
      <c r="AW35" s="968"/>
      <c r="AX35" s="968"/>
      <c r="AY35" s="968"/>
      <c r="AZ35" s="968"/>
    </row>
    <row r="36" spans="1:70" s="961" customFormat="1">
      <c r="A36" s="1040" t="s">
        <v>564</v>
      </c>
      <c r="B36" s="955"/>
      <c r="C36" s="955"/>
      <c r="D36" s="1064"/>
      <c r="E36" s="955"/>
      <c r="F36" s="956"/>
      <c r="G36" s="957">
        <f>SUM(G37:G39)</f>
        <v>14126.76595198325</v>
      </c>
      <c r="H36" s="957">
        <f t="shared" ref="H36:J36" si="47">SUM(H37:H39)</f>
        <v>14126.76595198325</v>
      </c>
      <c r="I36" s="957">
        <f t="shared" si="47"/>
        <v>14126.76595198325</v>
      </c>
      <c r="J36" s="957">
        <f t="shared" si="47"/>
        <v>14126.76595198325</v>
      </c>
      <c r="K36" s="1216">
        <f>SUM(K37:K39)</f>
        <v>14126.765951983249</v>
      </c>
      <c r="L36" s="958"/>
      <c r="M36" s="956"/>
      <c r="N36" s="957">
        <f>SUM(N37:N39)</f>
        <v>9428.3827861547325</v>
      </c>
      <c r="O36" s="957">
        <f t="shared" ref="O36:Q36" si="48">SUM(O37:O39)</f>
        <v>9428.3827861547325</v>
      </c>
      <c r="P36" s="957">
        <f t="shared" si="48"/>
        <v>9428.3827861547325</v>
      </c>
      <c r="Q36" s="957">
        <f t="shared" si="48"/>
        <v>9428.3827861547325</v>
      </c>
      <c r="R36" s="1216">
        <f>SUM(R37:R39)</f>
        <v>9428.3827861547343</v>
      </c>
      <c r="S36" s="1028"/>
      <c r="T36" s="957">
        <f>SUM(T37:T39)</f>
        <v>2844.9196199775706</v>
      </c>
      <c r="U36" s="957">
        <f t="shared" ref="U36:W36" si="49">SUM(U37:U39)</f>
        <v>2844.9196199775711</v>
      </c>
      <c r="V36" s="957">
        <f t="shared" si="49"/>
        <v>2844.9196199775711</v>
      </c>
      <c r="W36" s="957">
        <f t="shared" si="49"/>
        <v>2844.9196199775706</v>
      </c>
      <c r="X36" s="1216">
        <f>SUM(X37:X39)</f>
        <v>2844.9196199775706</v>
      </c>
      <c r="Y36" s="958"/>
      <c r="Z36" s="958"/>
      <c r="AA36" s="958"/>
      <c r="AB36" s="956"/>
      <c r="AC36" s="957">
        <f>SUM(AC37:AC39)</f>
        <v>2844.9196199775706</v>
      </c>
      <c r="AD36" s="957">
        <f t="shared" ref="AD36:AF36" si="50">SUM(AD37:AD39)</f>
        <v>2844.9196199775706</v>
      </c>
      <c r="AE36" s="957">
        <f t="shared" si="50"/>
        <v>2844.9196199775706</v>
      </c>
      <c r="AF36" s="957">
        <f t="shared" si="50"/>
        <v>2844.9196199775706</v>
      </c>
      <c r="AG36" s="957">
        <f>SUM(AG37:AG39)</f>
        <v>2844.9196199775706</v>
      </c>
      <c r="AH36" s="959"/>
      <c r="AI36" s="957">
        <f>SUM(AI37:AI39)</f>
        <v>9428.3827861547325</v>
      </c>
      <c r="AJ36" s="957">
        <f t="shared" ref="AJ36:AL36" si="51">SUM(AJ37:AJ39)</f>
        <v>9428.3827861547325</v>
      </c>
      <c r="AK36" s="957">
        <f t="shared" si="51"/>
        <v>9428.3827861547325</v>
      </c>
      <c r="AL36" s="957">
        <f t="shared" si="51"/>
        <v>9428.3827861547325</v>
      </c>
      <c r="AM36" s="957">
        <f>SUM(AM37:AM39)</f>
        <v>9428.3827861547325</v>
      </c>
      <c r="AN36" s="1216">
        <f t="shared" ref="AN36" si="52">AN51/AN21</f>
        <v>5726.1984391854339</v>
      </c>
      <c r="AO36" s="960"/>
      <c r="AP36" s="960"/>
      <c r="AQ36" s="960"/>
      <c r="AR36" s="960"/>
      <c r="AS36" s="960"/>
      <c r="AT36" s="960"/>
      <c r="AU36" s="960"/>
      <c r="AV36" s="960"/>
      <c r="AW36" s="960"/>
      <c r="AX36" s="960"/>
      <c r="AY36" s="960"/>
      <c r="AZ36" s="960"/>
    </row>
    <row r="37" spans="1:70" hidden="1" outlineLevel="1">
      <c r="A37" s="436" t="s">
        <v>609</v>
      </c>
      <c r="B37" s="2"/>
      <c r="C37" s="2"/>
      <c r="D37" s="1061"/>
      <c r="E37" s="2"/>
      <c r="F37" s="154"/>
      <c r="G37" s="169">
        <f>G52/G19</f>
        <v>13400</v>
      </c>
      <c r="H37" s="169">
        <f t="shared" ref="H37:K37" si="53">H52/H19</f>
        <v>13400</v>
      </c>
      <c r="I37" s="169">
        <f t="shared" si="53"/>
        <v>13400</v>
      </c>
      <c r="J37" s="169">
        <f t="shared" si="53"/>
        <v>13400</v>
      </c>
      <c r="K37" s="407">
        <f t="shared" si="53"/>
        <v>13399.999999999998</v>
      </c>
      <c r="L37" s="279"/>
      <c r="M37" s="154"/>
      <c r="N37" s="169">
        <f>N52/N19</f>
        <v>8933.3333333333321</v>
      </c>
      <c r="O37" s="169">
        <f t="shared" ref="O37:R37" si="54">O52/O19</f>
        <v>8933.3333333333321</v>
      </c>
      <c r="P37" s="169">
        <f t="shared" si="54"/>
        <v>8933.3333333333321</v>
      </c>
      <c r="Q37" s="169">
        <f t="shared" si="54"/>
        <v>8933.3333333333321</v>
      </c>
      <c r="R37" s="407">
        <f t="shared" si="54"/>
        <v>8933.3333333333339</v>
      </c>
      <c r="S37" s="362"/>
      <c r="T37" s="169">
        <f>T52/T19</f>
        <v>0</v>
      </c>
      <c r="U37" s="169">
        <f t="shared" ref="U37:X37" si="55">U52/U19</f>
        <v>0</v>
      </c>
      <c r="V37" s="169">
        <f t="shared" si="55"/>
        <v>0</v>
      </c>
      <c r="W37" s="169">
        <f t="shared" si="55"/>
        <v>0</v>
      </c>
      <c r="X37" s="407">
        <f t="shared" si="55"/>
        <v>0</v>
      </c>
      <c r="Y37" s="279"/>
      <c r="Z37" s="279"/>
      <c r="AA37" s="279"/>
      <c r="AB37" s="154"/>
      <c r="AC37" s="169">
        <f>AC52/AC19</f>
        <v>0</v>
      </c>
      <c r="AD37" s="169">
        <f t="shared" ref="AD37:AG37" si="56">AD52/AD19</f>
        <v>0</v>
      </c>
      <c r="AE37" s="169">
        <f t="shared" si="56"/>
        <v>0</v>
      </c>
      <c r="AF37" s="169">
        <f t="shared" si="56"/>
        <v>0</v>
      </c>
      <c r="AG37" s="169">
        <f t="shared" si="56"/>
        <v>0</v>
      </c>
      <c r="AH37" s="615"/>
      <c r="AI37" s="169">
        <f>AI52/AI19</f>
        <v>8933.3333333333321</v>
      </c>
      <c r="AJ37" s="169">
        <f t="shared" ref="AJ37:AM37" si="57">AJ52/AJ19</f>
        <v>8933.3333333333321</v>
      </c>
      <c r="AK37" s="169">
        <f t="shared" si="57"/>
        <v>8933.3333333333321</v>
      </c>
      <c r="AL37" s="169">
        <f t="shared" si="57"/>
        <v>8933.3333333333321</v>
      </c>
      <c r="AM37" s="169">
        <f t="shared" si="57"/>
        <v>8933.3333333333321</v>
      </c>
      <c r="AN37" s="407"/>
      <c r="BG37" s="423"/>
      <c r="BH37" s="423"/>
      <c r="BI37" s="423"/>
      <c r="BJ37" s="423"/>
      <c r="BK37" s="423"/>
      <c r="BL37" s="423"/>
      <c r="BM37" s="423"/>
      <c r="BN37" s="423"/>
      <c r="BO37" s="423"/>
      <c r="BP37" s="423"/>
      <c r="BQ37" s="423"/>
      <c r="BR37" s="423"/>
    </row>
    <row r="38" spans="1:70" hidden="1" outlineLevel="1">
      <c r="A38" s="436" t="s">
        <v>611</v>
      </c>
      <c r="B38" s="2"/>
      <c r="C38" s="2"/>
      <c r="D38" s="1061"/>
      <c r="E38" s="2"/>
      <c r="F38" s="154"/>
      <c r="G38" s="169">
        <f>G54/G21</f>
        <v>466.44290049326827</v>
      </c>
      <c r="H38" s="169">
        <f t="shared" ref="H38:K38" si="58">H54/H21</f>
        <v>466.44290049326827</v>
      </c>
      <c r="I38" s="169">
        <f t="shared" si="58"/>
        <v>466.44290049326827</v>
      </c>
      <c r="J38" s="169">
        <f t="shared" si="58"/>
        <v>466.44290049326827</v>
      </c>
      <c r="K38" s="407">
        <f t="shared" si="58"/>
        <v>466.44290049326827</v>
      </c>
      <c r="L38" s="279"/>
      <c r="M38" s="154"/>
      <c r="N38" s="169">
        <f>N54/N21</f>
        <v>317.72581259687428</v>
      </c>
      <c r="O38" s="169">
        <f t="shared" ref="O38:R38" si="59">O54/O21</f>
        <v>317.72581259687428</v>
      </c>
      <c r="P38" s="169">
        <f t="shared" si="59"/>
        <v>317.72581259687428</v>
      </c>
      <c r="Q38" s="169">
        <f t="shared" si="59"/>
        <v>317.72581259687428</v>
      </c>
      <c r="R38" s="407">
        <f t="shared" si="59"/>
        <v>317.72581259687422</v>
      </c>
      <c r="S38" s="362"/>
      <c r="T38" s="169">
        <f>T54/T21</f>
        <v>1825.8870762882507</v>
      </c>
      <c r="U38" s="169">
        <f t="shared" ref="U38:X38" si="60">U54/U21</f>
        <v>1825.8870762882507</v>
      </c>
      <c r="V38" s="169">
        <f t="shared" si="60"/>
        <v>1825.8870762882507</v>
      </c>
      <c r="W38" s="169">
        <f t="shared" si="60"/>
        <v>1825.8870762882505</v>
      </c>
      <c r="X38" s="407">
        <f t="shared" si="60"/>
        <v>1825.8870762882505</v>
      </c>
      <c r="Y38" s="279"/>
      <c r="Z38" s="279"/>
      <c r="AA38" s="279"/>
      <c r="AB38" s="154"/>
      <c r="AC38" s="169">
        <f>AC54/AC21</f>
        <v>1825.8870762882505</v>
      </c>
      <c r="AD38" s="169">
        <f t="shared" ref="AD38:AG38" si="61">AD54/AD21</f>
        <v>1825.8870762882505</v>
      </c>
      <c r="AE38" s="169">
        <f t="shared" si="61"/>
        <v>1825.8870762882505</v>
      </c>
      <c r="AF38" s="169">
        <f t="shared" si="61"/>
        <v>1825.8870762882505</v>
      </c>
      <c r="AG38" s="169">
        <f t="shared" si="61"/>
        <v>1825.8870762882502</v>
      </c>
      <c r="AH38" s="615"/>
      <c r="AI38" s="169">
        <f>AI54/AI21</f>
        <v>317.72581259687433</v>
      </c>
      <c r="AJ38" s="169">
        <f t="shared" ref="AJ38:AM38" si="62">AJ54/AJ21</f>
        <v>317.72581259687433</v>
      </c>
      <c r="AK38" s="169">
        <f t="shared" si="62"/>
        <v>317.72581259687433</v>
      </c>
      <c r="AL38" s="169">
        <f t="shared" si="62"/>
        <v>317.72581259687433</v>
      </c>
      <c r="AM38" s="169">
        <f t="shared" si="62"/>
        <v>317.72581259687433</v>
      </c>
      <c r="AN38" s="407"/>
      <c r="BG38" s="423"/>
      <c r="BH38" s="423"/>
      <c r="BI38" s="423"/>
      <c r="BJ38" s="423"/>
      <c r="BK38" s="423"/>
      <c r="BL38" s="423"/>
      <c r="BM38" s="423"/>
      <c r="BN38" s="423"/>
      <c r="BO38" s="423"/>
      <c r="BP38" s="423"/>
      <c r="BQ38" s="423"/>
      <c r="BR38" s="423"/>
    </row>
    <row r="39" spans="1:70" hidden="1" outlineLevel="1">
      <c r="A39" s="436" t="s">
        <v>610</v>
      </c>
      <c r="B39" s="2"/>
      <c r="C39" s="2"/>
      <c r="D39" s="1061"/>
      <c r="E39" s="2"/>
      <c r="F39" s="154"/>
      <c r="G39" s="169">
        <f>G53/G21</f>
        <v>260.32305148998228</v>
      </c>
      <c r="H39" s="169">
        <f t="shared" ref="H39:K39" si="63">H53/H21</f>
        <v>260.32305148998233</v>
      </c>
      <c r="I39" s="169">
        <f t="shared" si="63"/>
        <v>260.32305148998233</v>
      </c>
      <c r="J39" s="169">
        <f t="shared" si="63"/>
        <v>260.32305148998233</v>
      </c>
      <c r="K39" s="407">
        <f t="shared" si="63"/>
        <v>260.32305148998233</v>
      </c>
      <c r="L39" s="279"/>
      <c r="M39" s="154"/>
      <c r="N39" s="169">
        <f>N53/N21</f>
        <v>177.3236402245258</v>
      </c>
      <c r="O39" s="169">
        <f t="shared" ref="O39:R39" si="64">O53/O21</f>
        <v>177.32364022452583</v>
      </c>
      <c r="P39" s="169">
        <f t="shared" si="64"/>
        <v>177.3236402245258</v>
      </c>
      <c r="Q39" s="169">
        <f t="shared" si="64"/>
        <v>177.3236402245258</v>
      </c>
      <c r="R39" s="407">
        <f t="shared" si="64"/>
        <v>177.3236402245258</v>
      </c>
      <c r="S39" s="362"/>
      <c r="T39" s="169">
        <f>T53/T21</f>
        <v>1019.0325436893202</v>
      </c>
      <c r="U39" s="169">
        <f t="shared" ref="U39:X39" si="65">U53/U21</f>
        <v>1019.0325436893204</v>
      </c>
      <c r="V39" s="169">
        <f t="shared" si="65"/>
        <v>1019.0325436893204</v>
      </c>
      <c r="W39" s="169">
        <f t="shared" si="65"/>
        <v>1019.0325436893204</v>
      </c>
      <c r="X39" s="407">
        <f t="shared" si="65"/>
        <v>1019.0325436893202</v>
      </c>
      <c r="Y39" s="279"/>
      <c r="Z39" s="279"/>
      <c r="AA39" s="279"/>
      <c r="AB39" s="154"/>
      <c r="AC39" s="169">
        <f>AC53/AC21</f>
        <v>1019.0325436893204</v>
      </c>
      <c r="AD39" s="169">
        <f t="shared" ref="AD39:AG39" si="66">AD53/AD21</f>
        <v>1019.0325436893202</v>
      </c>
      <c r="AE39" s="169">
        <f t="shared" si="66"/>
        <v>1019.0325436893202</v>
      </c>
      <c r="AF39" s="169">
        <f t="shared" si="66"/>
        <v>1019.0325436893203</v>
      </c>
      <c r="AG39" s="169">
        <f t="shared" si="66"/>
        <v>1019.0325436893202</v>
      </c>
      <c r="AH39" s="615"/>
      <c r="AI39" s="169">
        <f>AI53/AI21</f>
        <v>177.3236402245258</v>
      </c>
      <c r="AJ39" s="169">
        <f t="shared" ref="AJ39:AM39" si="67">AJ53/AJ21</f>
        <v>177.3236402245258</v>
      </c>
      <c r="AK39" s="169">
        <f t="shared" si="67"/>
        <v>177.3236402245258</v>
      </c>
      <c r="AL39" s="169">
        <f t="shared" si="67"/>
        <v>177.3236402245258</v>
      </c>
      <c r="AM39" s="169">
        <f t="shared" si="67"/>
        <v>177.32364022452578</v>
      </c>
      <c r="AN39" s="407"/>
      <c r="BG39" s="423"/>
      <c r="BH39" s="423"/>
      <c r="BI39" s="423"/>
      <c r="BJ39" s="423"/>
      <c r="BK39" s="423"/>
      <c r="BL39" s="423"/>
      <c r="BM39" s="423"/>
      <c r="BN39" s="423"/>
      <c r="BO39" s="423"/>
      <c r="BP39" s="423"/>
      <c r="BQ39" s="423"/>
      <c r="BR39" s="423"/>
    </row>
    <row r="40" spans="1:70" s="961" customFormat="1" collapsed="1">
      <c r="A40" s="1040" t="s">
        <v>566</v>
      </c>
      <c r="B40" s="955"/>
      <c r="C40" s="955"/>
      <c r="D40" s="1064"/>
      <c r="E40" s="955"/>
      <c r="F40" s="956"/>
      <c r="G40" s="957">
        <f>G55/G21</f>
        <v>1241.5025538184755</v>
      </c>
      <c r="H40" s="957">
        <f>H55/H21</f>
        <v>1297.1346440338323</v>
      </c>
      <c r="I40" s="957">
        <f>I55/I21</f>
        <v>2350.038730630642</v>
      </c>
      <c r="J40" s="957">
        <f>J55/J21</f>
        <v>1777.2440098364623</v>
      </c>
      <c r="K40" s="1216">
        <f>K55/K21</f>
        <v>1291.1797877129793</v>
      </c>
      <c r="L40" s="958"/>
      <c r="M40" s="956"/>
      <c r="N40" s="957">
        <f>N55/N21</f>
        <v>1394.669461187467</v>
      </c>
      <c r="O40" s="957">
        <f>O55/O21</f>
        <v>1438.7742821278493</v>
      </c>
      <c r="P40" s="957">
        <f>P55/P21</f>
        <v>2152.5216532026516</v>
      </c>
      <c r="Q40" s="957">
        <f>Q55/Q21</f>
        <v>1762.352421506612</v>
      </c>
      <c r="R40" s="1216">
        <f>R55/R21</f>
        <v>1430.3811433698338</v>
      </c>
      <c r="S40" s="1028"/>
      <c r="T40" s="957">
        <f>T55/T21</f>
        <v>1523.1984364114751</v>
      </c>
      <c r="U40" s="957">
        <f>U55/U21</f>
        <v>1684.2029441502416</v>
      </c>
      <c r="V40" s="957">
        <f>V55/V21</f>
        <v>5837.3870867911637</v>
      </c>
      <c r="W40" s="957">
        <f>W55/W21</f>
        <v>3595.1866439111805</v>
      </c>
      <c r="X40" s="1216">
        <f>X55/X21</f>
        <v>1700.5367764060015</v>
      </c>
      <c r="Y40" s="958"/>
      <c r="Z40" s="958"/>
      <c r="AA40" s="958"/>
      <c r="AB40" s="956"/>
      <c r="AC40" s="957">
        <f>AC55/AC21</f>
        <v>1496.0103012262175</v>
      </c>
      <c r="AD40" s="957">
        <f>AD55/AD21</f>
        <v>1652.2648929659549</v>
      </c>
      <c r="AE40" s="957">
        <f>AE55/AE21</f>
        <v>5848.235280271917</v>
      </c>
      <c r="AF40" s="957">
        <f>AF55/AF21</f>
        <v>3583.3670645155648</v>
      </c>
      <c r="AG40" s="957">
        <f>AG55/AG21</f>
        <v>1669.5913185445806</v>
      </c>
      <c r="AH40" s="959"/>
      <c r="AI40" s="957">
        <f t="shared" ref="AI40:AN40" si="68">AI55/AI21</f>
        <v>1594.5094950616535</v>
      </c>
      <c r="AJ40" s="957">
        <f t="shared" si="68"/>
        <v>1639.4637145432471</v>
      </c>
      <c r="AK40" s="957">
        <f t="shared" si="68"/>
        <v>2311.7902792933355</v>
      </c>
      <c r="AL40" s="957">
        <f t="shared" si="68"/>
        <v>1945.8276257450373</v>
      </c>
      <c r="AM40" s="957">
        <f t="shared" si="68"/>
        <v>1634.8973040123947</v>
      </c>
      <c r="AN40" s="1216">
        <f t="shared" si="68"/>
        <v>1653.4547954069858</v>
      </c>
      <c r="AO40" s="960"/>
      <c r="AP40" s="960"/>
      <c r="AQ40" s="960"/>
      <c r="AR40" s="960"/>
      <c r="AS40" s="960"/>
      <c r="AT40" s="960"/>
      <c r="AU40" s="960"/>
      <c r="AV40" s="960"/>
      <c r="AW40" s="960"/>
      <c r="AX40" s="960"/>
      <c r="AY40" s="960"/>
      <c r="AZ40" s="960"/>
    </row>
    <row r="41" spans="1:70" s="961" customFormat="1">
      <c r="A41" s="1040" t="s">
        <v>501</v>
      </c>
      <c r="B41" s="955"/>
      <c r="C41" s="955"/>
      <c r="D41" s="1064"/>
      <c r="E41" s="955"/>
      <c r="F41" s="956"/>
      <c r="G41" s="957">
        <f>G71/G21</f>
        <v>1600</v>
      </c>
      <c r="H41" s="957">
        <f>H71/H21</f>
        <v>1600</v>
      </c>
      <c r="I41" s="957">
        <f>I71/I21</f>
        <v>1600</v>
      </c>
      <c r="J41" s="957">
        <f>J71/J21</f>
        <v>1600</v>
      </c>
      <c r="K41" s="1216">
        <f>K71/K21</f>
        <v>1600.0000000000002</v>
      </c>
      <c r="L41" s="958"/>
      <c r="M41" s="956"/>
      <c r="N41" s="957">
        <f>N71/N21</f>
        <v>0</v>
      </c>
      <c r="O41" s="957">
        <f>O71/O21</f>
        <v>0</v>
      </c>
      <c r="P41" s="957">
        <f>P71/P21</f>
        <v>0</v>
      </c>
      <c r="Q41" s="957">
        <f>Q71/Q21</f>
        <v>0</v>
      </c>
      <c r="R41" s="1216">
        <f>R71/R21</f>
        <v>0</v>
      </c>
      <c r="S41" s="1028"/>
      <c r="T41" s="957">
        <f>T71/T21</f>
        <v>0</v>
      </c>
      <c r="U41" s="957">
        <f>U71/U21</f>
        <v>0</v>
      </c>
      <c r="V41" s="957">
        <f>V71/V21</f>
        <v>0</v>
      </c>
      <c r="W41" s="957">
        <f>W71/W21</f>
        <v>0</v>
      </c>
      <c r="X41" s="1216">
        <f>X71/X21</f>
        <v>0</v>
      </c>
      <c r="Y41" s="958"/>
      <c r="Z41" s="958"/>
      <c r="AA41" s="958"/>
      <c r="AB41" s="956"/>
      <c r="AC41" s="957">
        <f>AC71/AC21</f>
        <v>0</v>
      </c>
      <c r="AD41" s="957">
        <f>AD71/AD21</f>
        <v>0</v>
      </c>
      <c r="AE41" s="957">
        <f>AE71/AE21</f>
        <v>0</v>
      </c>
      <c r="AF41" s="957">
        <f>AF71/AF21</f>
        <v>0</v>
      </c>
      <c r="AG41" s="957">
        <f>AG71/AG21</f>
        <v>0</v>
      </c>
      <c r="AH41" s="959"/>
      <c r="AI41" s="957">
        <f t="shared" ref="AI41:AN41" si="69">AI71/AI21</f>
        <v>0</v>
      </c>
      <c r="AJ41" s="957">
        <f t="shared" si="69"/>
        <v>0</v>
      </c>
      <c r="AK41" s="957">
        <f t="shared" si="69"/>
        <v>0</v>
      </c>
      <c r="AL41" s="957">
        <f t="shared" si="69"/>
        <v>0</v>
      </c>
      <c r="AM41" s="957">
        <f t="shared" si="69"/>
        <v>0</v>
      </c>
      <c r="AN41" s="1216">
        <f t="shared" si="69"/>
        <v>0</v>
      </c>
      <c r="AO41" s="960"/>
      <c r="AP41" s="960"/>
      <c r="AQ41" s="960"/>
      <c r="AR41" s="960"/>
      <c r="AS41" s="960"/>
      <c r="AT41" s="960"/>
      <c r="AU41" s="960"/>
      <c r="AV41" s="960"/>
      <c r="AW41" s="960"/>
      <c r="AX41" s="960"/>
      <c r="AY41" s="960"/>
      <c r="AZ41" s="960"/>
    </row>
    <row r="42" spans="1:70">
      <c r="A42" s="436"/>
      <c r="B42" s="2"/>
      <c r="C42" s="2"/>
      <c r="D42" s="1061"/>
      <c r="E42" s="2"/>
      <c r="F42" s="154"/>
      <c r="G42" s="169"/>
      <c r="H42" s="154"/>
      <c r="I42" s="154"/>
      <c r="J42" s="154"/>
      <c r="K42" s="301"/>
      <c r="L42" s="279"/>
      <c r="M42" s="154"/>
      <c r="N42" s="154"/>
      <c r="O42" s="154"/>
      <c r="P42" s="154"/>
      <c r="Q42" s="154"/>
      <c r="R42" s="301"/>
      <c r="S42" s="326"/>
      <c r="T42" s="154"/>
      <c r="U42" s="154"/>
      <c r="V42" s="154"/>
      <c r="W42" s="154"/>
      <c r="X42" s="301"/>
      <c r="Y42" s="279"/>
      <c r="Z42" s="279"/>
      <c r="AA42" s="279"/>
      <c r="AB42" s="154"/>
      <c r="AC42" s="154"/>
      <c r="AD42" s="154"/>
      <c r="AE42" s="154"/>
      <c r="AF42" s="154"/>
      <c r="AG42" s="279"/>
      <c r="AH42" s="615"/>
      <c r="AI42" s="154"/>
      <c r="AJ42" s="154"/>
      <c r="AK42" s="154"/>
      <c r="AL42" s="154"/>
      <c r="AM42" s="681"/>
      <c r="AN42" s="301"/>
      <c r="BG42" s="423"/>
      <c r="BH42" s="423"/>
      <c r="BI42" s="423"/>
      <c r="BJ42" s="423"/>
      <c r="BK42" s="423"/>
      <c r="BL42" s="423"/>
      <c r="BM42" s="423"/>
      <c r="BN42" s="423"/>
      <c r="BO42" s="423"/>
      <c r="BP42" s="423"/>
      <c r="BQ42" s="423"/>
      <c r="BR42" s="423"/>
    </row>
    <row r="43" spans="1:70">
      <c r="A43" s="1036"/>
      <c r="F43" s="898"/>
      <c r="G43" s="784"/>
      <c r="H43" s="784"/>
      <c r="I43" s="784"/>
      <c r="J43" s="784"/>
      <c r="K43" s="301"/>
      <c r="L43" s="279"/>
      <c r="M43" s="940"/>
      <c r="N43" s="154"/>
      <c r="O43" s="154"/>
      <c r="P43" s="154"/>
      <c r="Q43" s="154"/>
      <c r="R43" s="903"/>
      <c r="S43" s="1029"/>
      <c r="T43" s="154"/>
      <c r="U43" s="154"/>
      <c r="V43" s="154"/>
      <c r="W43" s="154"/>
      <c r="X43" s="301"/>
      <c r="Y43" s="279"/>
      <c r="Z43" s="279"/>
      <c r="AA43" s="279"/>
      <c r="AB43" s="1229"/>
      <c r="AC43" s="154"/>
      <c r="AD43" s="154"/>
      <c r="AE43" s="154"/>
      <c r="AF43" s="154"/>
      <c r="AG43" s="154"/>
      <c r="AH43" s="615"/>
      <c r="AI43" s="154"/>
      <c r="AJ43" s="154"/>
      <c r="AK43" s="154"/>
      <c r="AL43" s="154"/>
      <c r="AM43" s="684"/>
      <c r="AN43" s="299"/>
      <c r="BG43" s="423"/>
      <c r="BH43" s="423"/>
      <c r="BI43" s="423"/>
      <c r="BJ43" s="423"/>
      <c r="BK43" s="423"/>
      <c r="BL43" s="423"/>
      <c r="BM43" s="423"/>
      <c r="BN43" s="423"/>
      <c r="BO43" s="423"/>
      <c r="BP43" s="423"/>
      <c r="BQ43" s="423"/>
      <c r="BR43" s="423"/>
    </row>
    <row r="44" spans="1:70" s="495" customFormat="1" ht="20">
      <c r="A44" s="1086" t="s">
        <v>342</v>
      </c>
      <c r="B44" s="932"/>
      <c r="C44" s="932"/>
      <c r="D44" s="1065"/>
      <c r="E44" s="932"/>
      <c r="F44" s="726"/>
      <c r="G44" s="1087">
        <f>SUM(G45:G49)</f>
        <v>90488838.601997912</v>
      </c>
      <c r="H44" s="1087">
        <f t="shared" ref="H44:J44" si="70">SUM(H45:H49)</f>
        <v>38516749.515893251</v>
      </c>
      <c r="I44" s="1087">
        <f t="shared" si="70"/>
        <v>2102226.2167157796</v>
      </c>
      <c r="J44" s="1087">
        <f t="shared" si="70"/>
        <v>4279531.9411714077</v>
      </c>
      <c r="K44" s="674">
        <f t="shared" si="7"/>
        <v>135387346.27577835</v>
      </c>
      <c r="L44" s="677"/>
      <c r="M44" s="1025"/>
      <c r="N44" s="1087">
        <f>SUM(N45:N49)</f>
        <v>151169140.43143371</v>
      </c>
      <c r="O44" s="1087">
        <f t="shared" ref="O44:Q44" si="71">SUM(O45:O49)</f>
        <v>64212645.926068403</v>
      </c>
      <c r="P44" s="1087">
        <f t="shared" si="71"/>
        <v>3508697.0240716441</v>
      </c>
      <c r="Q44" s="1087">
        <f t="shared" si="71"/>
        <v>7142704.6561458455</v>
      </c>
      <c r="R44" s="1683">
        <f t="shared" ref="R44:R52" si="72">SUM(N44:Q44)</f>
        <v>226033188.03771958</v>
      </c>
      <c r="S44" s="1030"/>
      <c r="T44" s="1087">
        <f>SUM(T45:T49)</f>
        <v>26305207.264398091</v>
      </c>
      <c r="U44" s="1087">
        <f t="shared" ref="U44:W44" si="73">SUM(U45:U49)</f>
        <v>11173755.141161103</v>
      </c>
      <c r="V44" s="1087">
        <f t="shared" si="73"/>
        <v>610554.52311740047</v>
      </c>
      <c r="W44" s="1087">
        <f t="shared" si="73"/>
        <v>1242914.5649175649</v>
      </c>
      <c r="X44" s="674">
        <f t="shared" ref="X44:X52" si="74">SUM(T44:W44)</f>
        <v>39332431.493594162</v>
      </c>
      <c r="Y44" s="677"/>
      <c r="Z44" s="677"/>
      <c r="AA44" s="677"/>
      <c r="AB44" s="1230"/>
      <c r="AC44" s="1087">
        <f>SUM(AC45:AC49)</f>
        <v>22887756.674386442</v>
      </c>
      <c r="AD44" s="1087">
        <f t="shared" ref="AD44:AF44" si="75">SUM(AD45:AD49)</f>
        <v>8899580.2040539365</v>
      </c>
      <c r="AE44" s="1087">
        <f t="shared" si="75"/>
        <v>511122.07717253384</v>
      </c>
      <c r="AF44" s="1087">
        <f t="shared" si="75"/>
        <v>1040498.5142440866</v>
      </c>
      <c r="AG44" s="677">
        <f t="shared" ref="AG44:AG74" si="76">SUM(AC44:AF44)</f>
        <v>33338957.469857</v>
      </c>
      <c r="AH44" s="688"/>
      <c r="AI44" s="1087">
        <f>SUM(AI45:AI49)</f>
        <v>19639193.980354995</v>
      </c>
      <c r="AJ44" s="1087">
        <f t="shared" ref="AJ44:AL44" si="77">SUM(AJ45:AJ49)</f>
        <v>13069088.069816682</v>
      </c>
      <c r="AK44" s="1087">
        <f t="shared" si="77"/>
        <v>571412.23915858846</v>
      </c>
      <c r="AL44" s="1087">
        <f t="shared" si="77"/>
        <v>1163232.0582871265</v>
      </c>
      <c r="AM44" s="689">
        <f t="shared" ref="AM44:AM52" si="78">SUM(AI44:AL44)</f>
        <v>34442926.347617395</v>
      </c>
      <c r="AN44" s="674">
        <f>AM44+AG44</f>
        <v>67781883.817474395</v>
      </c>
      <c r="AO44" s="493"/>
      <c r="AP44" s="493"/>
      <c r="AQ44" s="493"/>
      <c r="AR44" s="493"/>
      <c r="AS44" s="493"/>
      <c r="AT44" s="493"/>
      <c r="AU44" s="493"/>
      <c r="AV44" s="493"/>
      <c r="AW44" s="493"/>
      <c r="AX44" s="493"/>
      <c r="AY44" s="493"/>
      <c r="AZ44" s="493"/>
    </row>
    <row r="45" spans="1:70" hidden="1" outlineLevel="1">
      <c r="A45" s="436" t="s">
        <v>327</v>
      </c>
      <c r="B45" s="2"/>
      <c r="C45" s="2"/>
      <c r="D45" s="1061"/>
      <c r="E45" s="2"/>
      <c r="F45" s="724"/>
      <c r="G45" s="169">
        <f t="shared" ref="G45:J49" si="79">G$21*G85*G95</f>
        <v>26128.394626190926</v>
      </c>
      <c r="H45" s="169">
        <f t="shared" si="79"/>
        <v>172274.876628331</v>
      </c>
      <c r="I45" s="169">
        <f t="shared" si="79"/>
        <v>4547.4276172721929</v>
      </c>
      <c r="J45" s="169">
        <f t="shared" si="79"/>
        <v>9257.2633637326762</v>
      </c>
      <c r="K45" s="406">
        <f t="shared" si="7"/>
        <v>212207.96223552676</v>
      </c>
      <c r="L45" s="671"/>
      <c r="M45" s="74"/>
      <c r="N45" s="169">
        <f t="shared" ref="N45:Q49" si="80">N$21*N85*N95</f>
        <v>40999.303187412093</v>
      </c>
      <c r="O45" s="169">
        <f t="shared" si="80"/>
        <v>270324.67931952095</v>
      </c>
      <c r="P45" s="169">
        <f t="shared" si="80"/>
        <v>7135.5843430375198</v>
      </c>
      <c r="Q45" s="169">
        <f t="shared" si="80"/>
        <v>14526.010984040662</v>
      </c>
      <c r="R45" s="406">
        <f t="shared" si="72"/>
        <v>332985.57783401123</v>
      </c>
      <c r="S45" s="362"/>
      <c r="T45" s="169">
        <f t="shared" ref="T45:W49" si="81">T$21*T85*T95</f>
        <v>7134.3606569619214</v>
      </c>
      <c r="U45" s="169">
        <f t="shared" si="81"/>
        <v>47039.67157508104</v>
      </c>
      <c r="V45" s="169">
        <f t="shared" si="81"/>
        <v>1241.6755467451567</v>
      </c>
      <c r="W45" s="169">
        <f t="shared" si="81"/>
        <v>2527.6966487312111</v>
      </c>
      <c r="X45" s="406">
        <f t="shared" si="74"/>
        <v>57943.40442751933</v>
      </c>
      <c r="Y45" s="671"/>
      <c r="Z45" s="671"/>
      <c r="AA45" s="671"/>
      <c r="AB45" s="154"/>
      <c r="AC45" s="169">
        <f t="shared" ref="AC45:AF49" si="82">AC$21*AC85*AC95</f>
        <v>0</v>
      </c>
      <c r="AD45" s="169">
        <f t="shared" si="82"/>
        <v>0</v>
      </c>
      <c r="AE45" s="169">
        <f t="shared" si="82"/>
        <v>0</v>
      </c>
      <c r="AF45" s="169">
        <f t="shared" si="82"/>
        <v>0</v>
      </c>
      <c r="AG45" s="671">
        <f t="shared" si="76"/>
        <v>0</v>
      </c>
      <c r="AH45" s="615"/>
      <c r="AI45" s="169">
        <f t="shared" ref="AI45:AL49" si="83">AI$21*AI85*AI95</f>
        <v>40999.303187412101</v>
      </c>
      <c r="AJ45" s="169">
        <f t="shared" si="83"/>
        <v>270324.679319521</v>
      </c>
      <c r="AK45" s="169">
        <f t="shared" si="83"/>
        <v>7135.5843430375162</v>
      </c>
      <c r="AL45" s="169">
        <f t="shared" si="83"/>
        <v>14526.01098404066</v>
      </c>
      <c r="AM45" s="687">
        <f t="shared" si="78"/>
        <v>332985.57783401129</v>
      </c>
      <c r="AN45" s="406">
        <f>AM45+AG45</f>
        <v>332985.57783401129</v>
      </c>
      <c r="BG45" s="423"/>
      <c r="BH45" s="423"/>
      <c r="BI45" s="423"/>
      <c r="BJ45" s="423"/>
      <c r="BK45" s="423"/>
      <c r="BL45" s="423"/>
      <c r="BM45" s="423"/>
      <c r="BN45" s="423"/>
      <c r="BO45" s="423"/>
      <c r="BP45" s="423"/>
      <c r="BQ45" s="423"/>
      <c r="BR45" s="423"/>
    </row>
    <row r="46" spans="1:70" hidden="1" outlineLevel="1">
      <c r="A46" s="436" t="s">
        <v>429</v>
      </c>
      <c r="B46" s="2"/>
      <c r="C46" s="2"/>
      <c r="D46" s="1061"/>
      <c r="E46" s="2"/>
      <c r="F46" s="724"/>
      <c r="G46" s="169">
        <f t="shared" si="79"/>
        <v>1135901.8652750428</v>
      </c>
      <c r="H46" s="169">
        <f t="shared" si="79"/>
        <v>1298020.6680352434</v>
      </c>
      <c r="I46" s="169">
        <f t="shared" si="79"/>
        <v>46305.302398637083</v>
      </c>
      <c r="J46" s="169">
        <f t="shared" si="79"/>
        <v>94264.365597225478</v>
      </c>
      <c r="K46" s="406">
        <f t="shared" si="7"/>
        <v>2574492.2013061484</v>
      </c>
      <c r="L46" s="671"/>
      <c r="M46" s="74"/>
      <c r="N46" s="169">
        <f t="shared" si="80"/>
        <v>1817877.4250217995</v>
      </c>
      <c r="O46" s="169">
        <f t="shared" si="80"/>
        <v>2077329.513902708</v>
      </c>
      <c r="P46" s="169">
        <f t="shared" si="80"/>
        <v>74106.193908668123</v>
      </c>
      <c r="Q46" s="169">
        <f t="shared" si="80"/>
        <v>150859.03759978866</v>
      </c>
      <c r="R46" s="406">
        <f t="shared" si="72"/>
        <v>4120172.1704329639</v>
      </c>
      <c r="S46" s="362"/>
      <c r="T46" s="169">
        <f t="shared" si="81"/>
        <v>316332.03913174628</v>
      </c>
      <c r="U46" s="169">
        <f t="shared" si="81"/>
        <v>361479.75217499753</v>
      </c>
      <c r="V46" s="169">
        <f t="shared" si="81"/>
        <v>12895.348778062122</v>
      </c>
      <c r="W46" s="169">
        <f t="shared" si="81"/>
        <v>26251.245726769313</v>
      </c>
      <c r="X46" s="406">
        <f t="shared" si="74"/>
        <v>716958.38581157534</v>
      </c>
      <c r="Y46" s="671"/>
      <c r="Z46" s="671"/>
      <c r="AA46" s="671"/>
      <c r="AB46" s="154"/>
      <c r="AC46" s="169">
        <f t="shared" si="82"/>
        <v>0</v>
      </c>
      <c r="AD46" s="169">
        <f t="shared" si="82"/>
        <v>0</v>
      </c>
      <c r="AE46" s="169">
        <f t="shared" si="82"/>
        <v>0</v>
      </c>
      <c r="AF46" s="169">
        <f t="shared" si="82"/>
        <v>0</v>
      </c>
      <c r="AG46" s="671">
        <f t="shared" si="76"/>
        <v>0</v>
      </c>
      <c r="AH46" s="615"/>
      <c r="AI46" s="169">
        <f t="shared" si="83"/>
        <v>1817877.4250217995</v>
      </c>
      <c r="AJ46" s="169">
        <f t="shared" si="83"/>
        <v>2077329.5139027082</v>
      </c>
      <c r="AK46" s="169">
        <f t="shared" si="83"/>
        <v>74106.19390866808</v>
      </c>
      <c r="AL46" s="169">
        <f t="shared" si="83"/>
        <v>150859.03759978866</v>
      </c>
      <c r="AM46" s="687">
        <f t="shared" si="78"/>
        <v>4120172.1704329643</v>
      </c>
      <c r="AN46" s="406">
        <f t="shared" ref="AN46:AN71" si="84">AM46+AG46</f>
        <v>4120172.1704329643</v>
      </c>
      <c r="BG46" s="423"/>
      <c r="BH46" s="423"/>
      <c r="BI46" s="423"/>
      <c r="BJ46" s="423"/>
      <c r="BK46" s="423"/>
      <c r="BL46" s="423"/>
      <c r="BM46" s="423"/>
      <c r="BN46" s="423"/>
      <c r="BO46" s="423"/>
      <c r="BP46" s="423"/>
      <c r="BQ46" s="423"/>
      <c r="BR46" s="423"/>
    </row>
    <row r="47" spans="1:70" hidden="1" outlineLevel="1">
      <c r="A47" s="436" t="s">
        <v>65</v>
      </c>
      <c r="B47" s="2"/>
      <c r="C47" s="2"/>
      <c r="D47" s="1061"/>
      <c r="E47" s="2"/>
      <c r="F47" s="724"/>
      <c r="G47" s="169">
        <f t="shared" si="79"/>
        <v>10800351.521425396</v>
      </c>
      <c r="H47" s="169">
        <f t="shared" si="79"/>
        <v>6512552.7873786492</v>
      </c>
      <c r="I47" s="169">
        <f t="shared" si="79"/>
        <v>297745.71556503273</v>
      </c>
      <c r="J47" s="169">
        <f t="shared" si="79"/>
        <v>606125.20668595936</v>
      </c>
      <c r="K47" s="406">
        <f t="shared" si="7"/>
        <v>18216775.23105504</v>
      </c>
      <c r="L47" s="671"/>
      <c r="M47" s="74"/>
      <c r="N47" s="169">
        <f t="shared" si="80"/>
        <v>17780317.252145778</v>
      </c>
      <c r="O47" s="169">
        <f t="shared" si="80"/>
        <v>10721433.87659445</v>
      </c>
      <c r="P47" s="169">
        <f t="shared" si="80"/>
        <v>490170.460906883</v>
      </c>
      <c r="Q47" s="169">
        <f t="shared" si="80"/>
        <v>997847.0097032974</v>
      </c>
      <c r="R47" s="406">
        <f t="shared" si="72"/>
        <v>29989768.599350408</v>
      </c>
      <c r="S47" s="362"/>
      <c r="T47" s="169">
        <f t="shared" si="81"/>
        <v>3093984.1902229432</v>
      </c>
      <c r="U47" s="169">
        <f t="shared" si="81"/>
        <v>1865655.5133570875</v>
      </c>
      <c r="V47" s="169">
        <f t="shared" si="81"/>
        <v>85295.421620059336</v>
      </c>
      <c r="W47" s="169">
        <f t="shared" si="81"/>
        <v>173637.10829797792</v>
      </c>
      <c r="X47" s="406">
        <f t="shared" si="74"/>
        <v>5218572.2334980685</v>
      </c>
      <c r="Y47" s="671"/>
      <c r="Z47" s="671"/>
      <c r="AA47" s="671"/>
      <c r="AB47" s="154"/>
      <c r="AC47" s="169">
        <f t="shared" si="82"/>
        <v>0</v>
      </c>
      <c r="AD47" s="169">
        <f t="shared" si="82"/>
        <v>0</v>
      </c>
      <c r="AE47" s="169">
        <f t="shared" si="82"/>
        <v>0</v>
      </c>
      <c r="AF47" s="169">
        <f t="shared" si="82"/>
        <v>0</v>
      </c>
      <c r="AG47" s="671">
        <f t="shared" si="76"/>
        <v>0</v>
      </c>
      <c r="AH47" s="615"/>
      <c r="AI47" s="169">
        <f t="shared" si="83"/>
        <v>17780317.252145782</v>
      </c>
      <c r="AJ47" s="169">
        <f t="shared" si="83"/>
        <v>10721433.876594452</v>
      </c>
      <c r="AK47" s="169">
        <f t="shared" si="83"/>
        <v>490170.46090688283</v>
      </c>
      <c r="AL47" s="169">
        <f t="shared" si="83"/>
        <v>997847.00970329728</v>
      </c>
      <c r="AM47" s="687">
        <f t="shared" si="78"/>
        <v>29989768.599350415</v>
      </c>
      <c r="AN47" s="406">
        <f t="shared" si="84"/>
        <v>29989768.599350415</v>
      </c>
      <c r="BG47" s="423"/>
      <c r="BH47" s="423"/>
      <c r="BI47" s="423"/>
      <c r="BJ47" s="423"/>
      <c r="BK47" s="423"/>
      <c r="BL47" s="423"/>
      <c r="BM47" s="423"/>
      <c r="BN47" s="423"/>
      <c r="BO47" s="423"/>
      <c r="BP47" s="423"/>
      <c r="BQ47" s="423"/>
      <c r="BR47" s="423"/>
    </row>
    <row r="48" spans="1:70" hidden="1" outlineLevel="1">
      <c r="A48" s="436" t="s">
        <v>66</v>
      </c>
      <c r="B48" s="2"/>
      <c r="C48" s="2"/>
      <c r="D48" s="1061"/>
      <c r="E48" s="2"/>
      <c r="F48" s="724"/>
      <c r="G48" s="169">
        <f t="shared" si="79"/>
        <v>78526456.82067129</v>
      </c>
      <c r="H48" s="169">
        <f t="shared" si="79"/>
        <v>30533901.183851026</v>
      </c>
      <c r="I48" s="169">
        <f t="shared" si="79"/>
        <v>1753627.7711348375</v>
      </c>
      <c r="J48" s="169">
        <f t="shared" si="79"/>
        <v>3569885.1055244901</v>
      </c>
      <c r="K48" s="406">
        <f t="shared" si="7"/>
        <v>114383870.88118166</v>
      </c>
      <c r="L48" s="671"/>
      <c r="M48" s="74"/>
      <c r="N48" s="169">
        <f t="shared" si="80"/>
        <v>131529946.45107873</v>
      </c>
      <c r="O48" s="169">
        <f t="shared" si="80"/>
        <v>51143557.856251724</v>
      </c>
      <c r="P48" s="169">
        <f t="shared" si="80"/>
        <v>2937284.7849130551</v>
      </c>
      <c r="Q48" s="169">
        <f t="shared" si="80"/>
        <v>5979472.5978587186</v>
      </c>
      <c r="R48" s="406">
        <f t="shared" si="72"/>
        <v>191590261.69010225</v>
      </c>
      <c r="S48" s="362"/>
      <c r="T48" s="169">
        <f t="shared" si="81"/>
        <v>22887756.674386438</v>
      </c>
      <c r="U48" s="169">
        <f t="shared" si="81"/>
        <v>8899580.2040539365</v>
      </c>
      <c r="V48" s="169">
        <f t="shared" si="81"/>
        <v>511122.07717253384</v>
      </c>
      <c r="W48" s="169">
        <f t="shared" si="81"/>
        <v>1040498.5142440865</v>
      </c>
      <c r="X48" s="406">
        <f t="shared" si="74"/>
        <v>33338957.469856992</v>
      </c>
      <c r="Y48" s="671"/>
      <c r="Z48" s="671"/>
      <c r="AA48" s="671"/>
      <c r="AB48" s="154"/>
      <c r="AC48" s="169">
        <f t="shared" si="82"/>
        <v>22887756.674386442</v>
      </c>
      <c r="AD48" s="169">
        <f t="shared" si="82"/>
        <v>8899580.2040539365</v>
      </c>
      <c r="AE48" s="169">
        <f t="shared" si="82"/>
        <v>511122.07717253384</v>
      </c>
      <c r="AF48" s="169">
        <f t="shared" si="82"/>
        <v>1040498.5142440866</v>
      </c>
      <c r="AG48" s="671">
        <f t="shared" si="76"/>
        <v>33338957.469857</v>
      </c>
      <c r="AH48" s="615"/>
      <c r="AI48" s="169">
        <f t="shared" si="83"/>
        <v>0</v>
      </c>
      <c r="AJ48" s="169">
        <f t="shared" si="83"/>
        <v>0</v>
      </c>
      <c r="AK48" s="169">
        <f t="shared" si="83"/>
        <v>0</v>
      </c>
      <c r="AL48" s="169">
        <f t="shared" si="83"/>
        <v>0</v>
      </c>
      <c r="AM48" s="687">
        <f t="shared" si="78"/>
        <v>0</v>
      </c>
      <c r="AN48" s="406">
        <f t="shared" si="84"/>
        <v>33338957.469857</v>
      </c>
      <c r="BG48" s="423"/>
      <c r="BH48" s="423"/>
      <c r="BI48" s="423"/>
      <c r="BJ48" s="423"/>
      <c r="BK48" s="423"/>
      <c r="BL48" s="423"/>
      <c r="BM48" s="423"/>
      <c r="BN48" s="423"/>
      <c r="BO48" s="423"/>
      <c r="BP48" s="423"/>
      <c r="BQ48" s="423"/>
      <c r="BR48" s="423"/>
    </row>
    <row r="49" spans="1:70" hidden="1" outlineLevel="1">
      <c r="A49" s="436" t="s">
        <v>328</v>
      </c>
      <c r="B49" s="2"/>
      <c r="C49" s="2"/>
      <c r="D49" s="1061"/>
      <c r="E49" s="2"/>
      <c r="F49" s="724"/>
      <c r="G49" s="169">
        <f t="shared" si="79"/>
        <v>0</v>
      </c>
      <c r="H49" s="169">
        <f t="shared" si="79"/>
        <v>0</v>
      </c>
      <c r="I49" s="169">
        <f t="shared" si="79"/>
        <v>0</v>
      </c>
      <c r="J49" s="169">
        <f t="shared" si="79"/>
        <v>0</v>
      </c>
      <c r="K49" s="406">
        <f t="shared" si="7"/>
        <v>0</v>
      </c>
      <c r="L49" s="671"/>
      <c r="M49" s="74"/>
      <c r="N49" s="169">
        <f t="shared" si="80"/>
        <v>0</v>
      </c>
      <c r="O49" s="169">
        <f t="shared" si="80"/>
        <v>0</v>
      </c>
      <c r="P49" s="169">
        <f t="shared" si="80"/>
        <v>0</v>
      </c>
      <c r="Q49" s="169">
        <f t="shared" si="80"/>
        <v>0</v>
      </c>
      <c r="R49" s="406">
        <f t="shared" si="72"/>
        <v>0</v>
      </c>
      <c r="S49" s="362"/>
      <c r="T49" s="169">
        <f t="shared" si="81"/>
        <v>0</v>
      </c>
      <c r="U49" s="169">
        <f t="shared" si="81"/>
        <v>0</v>
      </c>
      <c r="V49" s="169">
        <f t="shared" si="81"/>
        <v>0</v>
      </c>
      <c r="W49" s="169">
        <f t="shared" si="81"/>
        <v>0</v>
      </c>
      <c r="X49" s="406">
        <f t="shared" si="74"/>
        <v>0</v>
      </c>
      <c r="Y49" s="671"/>
      <c r="Z49" s="671"/>
      <c r="AA49" s="671"/>
      <c r="AB49" s="154"/>
      <c r="AC49" s="169">
        <f t="shared" si="82"/>
        <v>0</v>
      </c>
      <c r="AD49" s="169">
        <f t="shared" si="82"/>
        <v>0</v>
      </c>
      <c r="AE49" s="169">
        <f t="shared" si="82"/>
        <v>0</v>
      </c>
      <c r="AF49" s="169">
        <f t="shared" si="82"/>
        <v>0</v>
      </c>
      <c r="AG49" s="671">
        <f t="shared" si="76"/>
        <v>0</v>
      </c>
      <c r="AH49" s="615"/>
      <c r="AI49" s="169">
        <f t="shared" si="83"/>
        <v>0</v>
      </c>
      <c r="AJ49" s="169">
        <f t="shared" si="83"/>
        <v>0</v>
      </c>
      <c r="AK49" s="169">
        <f t="shared" si="83"/>
        <v>0</v>
      </c>
      <c r="AL49" s="169">
        <f t="shared" si="83"/>
        <v>0</v>
      </c>
      <c r="AM49" s="687">
        <f t="shared" si="78"/>
        <v>0</v>
      </c>
      <c r="AN49" s="406">
        <f t="shared" si="84"/>
        <v>0</v>
      </c>
      <c r="BG49" s="423"/>
      <c r="BH49" s="423"/>
      <c r="BI49" s="423"/>
      <c r="BJ49" s="423"/>
      <c r="BK49" s="423"/>
      <c r="BL49" s="423"/>
      <c r="BM49" s="423"/>
      <c r="BN49" s="423"/>
      <c r="BO49" s="423"/>
      <c r="BP49" s="423"/>
      <c r="BQ49" s="423"/>
      <c r="BR49" s="423"/>
    </row>
    <row r="50" spans="1:70" s="1101" customFormat="1" ht="20" collapsed="1">
      <c r="A50" s="1092" t="s">
        <v>343</v>
      </c>
      <c r="B50" s="1093"/>
      <c r="C50" s="1093"/>
      <c r="D50" s="1094"/>
      <c r="E50" s="1093"/>
      <c r="F50" s="1095"/>
      <c r="G50" s="1096">
        <f>G51+G55+G71</f>
        <v>69659737.651804239</v>
      </c>
      <c r="H50" s="1096">
        <f t="shared" ref="H50:J50" si="85">H51+H55+H71</f>
        <v>29198840.365288042</v>
      </c>
      <c r="I50" s="1096">
        <f t="shared" si="85"/>
        <v>1715230.6342602214</v>
      </c>
      <c r="J50" s="1096">
        <f t="shared" si="85"/>
        <v>3375580.0657556071</v>
      </c>
      <c r="K50" s="1088">
        <f t="shared" si="7"/>
        <v>103949388.71710812</v>
      </c>
      <c r="L50" s="1089"/>
      <c r="M50" s="1097"/>
      <c r="N50" s="1096">
        <f>N51+N55+N71</f>
        <v>66226857.853929587</v>
      </c>
      <c r="O50" s="1096">
        <f t="shared" ref="O50:Q50" si="86">O51+O55+O71</f>
        <v>27781317.039313048</v>
      </c>
      <c r="P50" s="1096">
        <f t="shared" si="86"/>
        <v>1636546.6141805253</v>
      </c>
      <c r="Q50" s="1096">
        <f t="shared" si="86"/>
        <v>3215401.8820219394</v>
      </c>
      <c r="R50" s="1088">
        <f t="shared" si="72"/>
        <v>98860123.389445081</v>
      </c>
      <c r="S50" s="1098"/>
      <c r="T50" s="1096">
        <f>T51+T55+T71</f>
        <v>4824347.0138904201</v>
      </c>
      <c r="U50" s="1096">
        <f t="shared" ref="U50:W50" si="87">U51+U55+U71</f>
        <v>2089513.0770913383</v>
      </c>
      <c r="V50" s="1096">
        <f t="shared" si="87"/>
        <v>220914.17919930333</v>
      </c>
      <c r="W50" s="1096">
        <f t="shared" si="87"/>
        <v>333578.71081016702</v>
      </c>
      <c r="X50" s="1088">
        <f t="shared" si="74"/>
        <v>7468352.9809912285</v>
      </c>
      <c r="Y50" s="1089"/>
      <c r="Z50" s="1089"/>
      <c r="AA50" s="1089"/>
      <c r="AB50" s="1231"/>
      <c r="AC50" s="1096">
        <f>AC51+AC55+AC71</f>
        <v>4252935.8670503758</v>
      </c>
      <c r="AD50" s="1096">
        <f t="shared" ref="AD50:AF50" si="88">AD51+AD55+AD71</f>
        <v>1713219.6974404566</v>
      </c>
      <c r="AE50" s="1096">
        <f t="shared" si="88"/>
        <v>190197.5373954578</v>
      </c>
      <c r="AF50" s="1096">
        <f t="shared" si="88"/>
        <v>286311.98804544681</v>
      </c>
      <c r="AG50" s="1088">
        <f t="shared" si="76"/>
        <v>6442665.0899317367</v>
      </c>
      <c r="AH50" s="1099"/>
      <c r="AI50" s="1096">
        <f>AI51+AI55+AI71</f>
        <v>7621685.9480100581</v>
      </c>
      <c r="AJ50" s="1096">
        <f t="shared" ref="AJ50:AL50" si="89">AJ51+AJ55+AJ71</f>
        <v>4933999.7201993242</v>
      </c>
      <c r="AK50" s="1096">
        <f t="shared" si="89"/>
        <v>232572.28868036839</v>
      </c>
      <c r="AL50" s="1096">
        <f t="shared" si="89"/>
        <v>458187.14676335629</v>
      </c>
      <c r="AM50" s="1088">
        <f t="shared" si="78"/>
        <v>13246445.103653107</v>
      </c>
      <c r="AN50" s="1088">
        <f>AM50+AG50</f>
        <v>19689110.193584844</v>
      </c>
      <c r="AO50" s="1100"/>
      <c r="AP50" s="1100"/>
      <c r="AQ50" s="1100"/>
      <c r="AR50" s="1100"/>
      <c r="AS50" s="1100"/>
      <c r="AT50" s="1100"/>
      <c r="AU50" s="1100"/>
      <c r="AV50" s="1100"/>
      <c r="AW50" s="1100"/>
      <c r="AX50" s="1100"/>
      <c r="AY50" s="1100"/>
      <c r="AZ50" s="1100"/>
    </row>
    <row r="51" spans="1:70" s="1114" customFormat="1" ht="20">
      <c r="A51" s="1102" t="s">
        <v>565</v>
      </c>
      <c r="B51" s="1103"/>
      <c r="C51" s="1103"/>
      <c r="D51" s="1104"/>
      <c r="E51" s="1103"/>
      <c r="F51" s="1105"/>
      <c r="G51" s="1106">
        <f>G52+G53+G54</f>
        <v>57374950.122114778</v>
      </c>
      <c r="H51" s="1106">
        <f t="shared" ref="H51:J51" si="90">H52+H53+H54</f>
        <v>23966751.316832755</v>
      </c>
      <c r="I51" s="1106">
        <f t="shared" si="90"/>
        <v>1321802.6483828975</v>
      </c>
      <c r="J51" s="1106">
        <f t="shared" si="90"/>
        <v>2690812.5342080412</v>
      </c>
      <c r="K51" s="1107">
        <f t="shared" si="7"/>
        <v>85354316.621538475</v>
      </c>
      <c r="L51" s="1108"/>
      <c r="M51" s="1109"/>
      <c r="N51" s="1106">
        <f>N52+N53+N54</f>
        <v>57374950.12211477</v>
      </c>
      <c r="O51" s="1106">
        <f t="shared" ref="O51:Q51" si="91">O52+O53+O54</f>
        <v>23966751.316832751</v>
      </c>
      <c r="P51" s="1106">
        <f t="shared" si="91"/>
        <v>1321802.6483828975</v>
      </c>
      <c r="Q51" s="1106">
        <f t="shared" si="91"/>
        <v>2690812.5342080407</v>
      </c>
      <c r="R51" s="1107">
        <f t="shared" si="72"/>
        <v>85354316.621538475</v>
      </c>
      <c r="S51" s="1110"/>
      <c r="T51" s="1106">
        <f>T52+T53+T54</f>
        <v>3142057.8144224631</v>
      </c>
      <c r="U51" s="1106">
        <f t="shared" ref="U51:W51" si="92">U52+U53+U54</f>
        <v>1312505.1629865984</v>
      </c>
      <c r="V51" s="1106">
        <f t="shared" si="92"/>
        <v>72386.648382897256</v>
      </c>
      <c r="W51" s="1106">
        <f t="shared" si="92"/>
        <v>147358.5342080408</v>
      </c>
      <c r="X51" s="1107">
        <f t="shared" si="74"/>
        <v>4674308.1599999992</v>
      </c>
      <c r="Y51" s="1108"/>
      <c r="Z51" s="1108"/>
      <c r="AA51" s="1108"/>
      <c r="AB51" s="1232"/>
      <c r="AC51" s="1106">
        <f>AC52+AC53+AC54</f>
        <v>2787250.8679713206</v>
      </c>
      <c r="AD51" s="1106">
        <f t="shared" ref="AD51:AF51" si="93">AD52+AD53+AD54</f>
        <v>1083783.0461597515</v>
      </c>
      <c r="AE51" s="1106">
        <f t="shared" si="93"/>
        <v>62243.996801693531</v>
      </c>
      <c r="AF51" s="1106">
        <f t="shared" si="93"/>
        <v>126710.9934891618</v>
      </c>
      <c r="AG51" s="1107">
        <f t="shared" si="76"/>
        <v>4059988.9044219274</v>
      </c>
      <c r="AH51" s="1111"/>
      <c r="AI51" s="1106">
        <f>AI52+AI53+AI54</f>
        <v>6478884.8767112633</v>
      </c>
      <c r="AJ51" s="1106">
        <f t="shared" ref="AJ51:AL51" si="94">AJ52+AJ53+AJ54</f>
        <v>4176536.785710596</v>
      </c>
      <c r="AK51" s="1106">
        <f t="shared" si="94"/>
        <v>185207.96336286276</v>
      </c>
      <c r="AL51" s="1106">
        <f t="shared" si="94"/>
        <v>377030.4968458279</v>
      </c>
      <c r="AM51" s="1107">
        <f t="shared" si="78"/>
        <v>11217660.122630551</v>
      </c>
      <c r="AN51" s="1112">
        <f t="shared" si="84"/>
        <v>15277649.027052479</v>
      </c>
      <c r="AO51" s="1113"/>
      <c r="AP51" s="1113"/>
      <c r="AQ51" s="1113"/>
      <c r="AR51" s="1113"/>
      <c r="AS51" s="1113"/>
      <c r="AT51" s="1113"/>
      <c r="AU51" s="1113"/>
      <c r="AV51" s="1113"/>
      <c r="AW51" s="1113"/>
      <c r="AX51" s="1113"/>
      <c r="AY51" s="1113"/>
      <c r="AZ51" s="1113"/>
    </row>
    <row r="52" spans="1:70" ht="20">
      <c r="A52" s="826" t="s">
        <v>499</v>
      </c>
      <c r="B52" s="13"/>
      <c r="C52" s="13"/>
      <c r="D52" s="1066"/>
      <c r="E52" s="13"/>
      <c r="G52" s="169">
        <f>G19*G146</f>
        <v>54232892.307692312</v>
      </c>
      <c r="H52" s="169">
        <f>H19*H146</f>
        <v>22654246.153846156</v>
      </c>
      <c r="I52" s="169">
        <f>I19*I146</f>
        <v>1249416.0000000002</v>
      </c>
      <c r="J52" s="169">
        <f>J19*J146</f>
        <v>2543454.0000000005</v>
      </c>
      <c r="K52" s="406">
        <f t="shared" ref="K52:K74" si="95">SUM(G52:J52)</f>
        <v>80680008.461538464</v>
      </c>
      <c r="L52" s="671"/>
      <c r="N52" s="169">
        <f>N19*N146</f>
        <v>54232892.307692304</v>
      </c>
      <c r="O52" s="169">
        <f>O19*O146</f>
        <v>22654246.153846152</v>
      </c>
      <c r="P52" s="169">
        <f>P19*P146</f>
        <v>1249416.0000000002</v>
      </c>
      <c r="Q52" s="169">
        <f>Q19*Q146</f>
        <v>2543454</v>
      </c>
      <c r="R52" s="406">
        <f t="shared" si="72"/>
        <v>80680008.461538464</v>
      </c>
      <c r="S52" s="80"/>
      <c r="T52" s="169">
        <f>T19*T146</f>
        <v>0</v>
      </c>
      <c r="U52" s="169">
        <f>U19*U146</f>
        <v>0</v>
      </c>
      <c r="V52" s="169">
        <f>V19*V146</f>
        <v>0</v>
      </c>
      <c r="W52" s="169">
        <f>W19*W146</f>
        <v>0</v>
      </c>
      <c r="X52" s="406">
        <f t="shared" si="74"/>
        <v>0</v>
      </c>
      <c r="Y52" s="671"/>
      <c r="Z52" s="671"/>
      <c r="AA52" s="671"/>
      <c r="AC52" s="169">
        <f>AC19*AC146</f>
        <v>0</v>
      </c>
      <c r="AD52" s="169">
        <f>AD19*AD146</f>
        <v>0</v>
      </c>
      <c r="AE52" s="169">
        <f>AE19*AE146</f>
        <v>0</v>
      </c>
      <c r="AF52" s="169">
        <f>AF19*AF146</f>
        <v>0</v>
      </c>
      <c r="AG52" s="406">
        <f t="shared" si="76"/>
        <v>0</v>
      </c>
      <c r="AI52" s="169">
        <f>AI19*AI146</f>
        <v>6124077.9302601209</v>
      </c>
      <c r="AJ52" s="169">
        <f>AJ19*AJ146</f>
        <v>3947814.6688837488</v>
      </c>
      <c r="AK52" s="169">
        <f>AK19*AK146</f>
        <v>175065.31178165905</v>
      </c>
      <c r="AL52" s="169">
        <f>AL19*AL146</f>
        <v>356382.95612694888</v>
      </c>
      <c r="AM52" s="406">
        <f t="shared" si="78"/>
        <v>10603340.867052479</v>
      </c>
      <c r="AN52" s="406">
        <f t="shared" si="84"/>
        <v>10603340.867052479</v>
      </c>
      <c r="AU52" s="80"/>
    </row>
    <row r="53" spans="1:70" ht="20">
      <c r="A53" s="826" t="s">
        <v>500</v>
      </c>
      <c r="B53" s="13"/>
      <c r="C53" s="13"/>
      <c r="D53" s="1066"/>
      <c r="E53" s="13"/>
      <c r="G53" s="169">
        <f>G7*G157*G149</f>
        <v>1125465.5999999999</v>
      </c>
      <c r="H53" s="169">
        <f>H7*H157*H149</f>
        <v>470131.20000000001</v>
      </c>
      <c r="I53" s="169">
        <f>I7*I157*I149</f>
        <v>25928.448000000004</v>
      </c>
      <c r="J53" s="169">
        <f>J7*J157*J149</f>
        <v>52782.911999999997</v>
      </c>
      <c r="K53" s="406">
        <f>SUM(G53:J53)</f>
        <v>1674308.16</v>
      </c>
      <c r="L53" s="671"/>
      <c r="N53" s="169">
        <f>N7*N157*N149</f>
        <v>1125465.5999999999</v>
      </c>
      <c r="O53" s="169">
        <f>O7*O157*O149</f>
        <v>470131.20000000001</v>
      </c>
      <c r="P53" s="169">
        <f>P7*P157*P149</f>
        <v>25928.448000000004</v>
      </c>
      <c r="Q53" s="169">
        <f>Q7*Q157*Q149</f>
        <v>52782.911999999997</v>
      </c>
      <c r="R53" s="406">
        <f>SUM(N53:Q53)</f>
        <v>1674308.16</v>
      </c>
      <c r="S53" s="80"/>
      <c r="T53" s="169">
        <f>T7*T157*T149</f>
        <v>1125465.5999999999</v>
      </c>
      <c r="U53" s="169">
        <f>U7*U157*U149</f>
        <v>470131.20000000001</v>
      </c>
      <c r="V53" s="169">
        <f>V7*V157*V149</f>
        <v>25928.448000000004</v>
      </c>
      <c r="W53" s="169">
        <f>W7*W157*W149</f>
        <v>52782.911999999997</v>
      </c>
      <c r="X53" s="406">
        <f>SUM(T53:W53)</f>
        <v>1674308.16</v>
      </c>
      <c r="Y53" s="671"/>
      <c r="Z53" s="671"/>
      <c r="AA53" s="671"/>
      <c r="AC53" s="169">
        <f>AC7*AC157*AC149</f>
        <v>998375.95478759916</v>
      </c>
      <c r="AD53" s="169">
        <f>AD7*AD157*AD149</f>
        <v>388204.35789473681</v>
      </c>
      <c r="AE53" s="169">
        <f>AE7*AE157*AE149</f>
        <v>22295.413179624295</v>
      </c>
      <c r="AF53" s="169">
        <f>AF7*AF157*AF149</f>
        <v>45387.091115663738</v>
      </c>
      <c r="AG53" s="406">
        <f>SUM(AC53:AF53)</f>
        <v>1454262.8169776241</v>
      </c>
      <c r="AI53" s="169">
        <f>AI7*AI157*AI149</f>
        <v>127089.64521240095</v>
      </c>
      <c r="AJ53" s="169">
        <f>AJ7*AJ157*AJ149</f>
        <v>81926.84210526316</v>
      </c>
      <c r="AK53" s="169">
        <f>AK7*AK157*AK149</f>
        <v>3633.0348203757067</v>
      </c>
      <c r="AL53" s="169">
        <f>AL7*AL157*AL149</f>
        <v>7395.8208843362618</v>
      </c>
      <c r="AM53" s="406">
        <f>SUM(AI53:AL53)</f>
        <v>220045.34302237607</v>
      </c>
      <c r="AN53" s="406">
        <f t="shared" si="84"/>
        <v>1674308.1600000001</v>
      </c>
      <c r="AU53" s="80"/>
    </row>
    <row r="54" spans="1:70" s="424" customFormat="1" ht="20">
      <c r="A54" s="1115" t="s">
        <v>496</v>
      </c>
      <c r="B54" s="305"/>
      <c r="C54" s="305"/>
      <c r="D54" s="1116"/>
      <c r="E54" s="305"/>
      <c r="F54" s="1117"/>
      <c r="G54" s="373">
        <f>G147*G21</f>
        <v>2016592.2144224637</v>
      </c>
      <c r="H54" s="373">
        <f>H147*H21</f>
        <v>842373.96298659861</v>
      </c>
      <c r="I54" s="373">
        <f>I147*I21</f>
        <v>46458.200382897267</v>
      </c>
      <c r="J54" s="373">
        <f>J147*J21</f>
        <v>94575.622208040848</v>
      </c>
      <c r="K54" s="1091">
        <f>SUM(G54:J54)</f>
        <v>3000000</v>
      </c>
      <c r="L54" s="1118"/>
      <c r="M54" s="287"/>
      <c r="N54" s="373">
        <f>N147*N21</f>
        <v>2016592.214422463</v>
      </c>
      <c r="O54" s="373">
        <f>O147*O21</f>
        <v>842373.96298659837</v>
      </c>
      <c r="P54" s="373">
        <f>P147*P21</f>
        <v>46458.200382897259</v>
      </c>
      <c r="Q54" s="373">
        <f>Q147*Q21</f>
        <v>94575.622208040833</v>
      </c>
      <c r="R54" s="1091">
        <f>SUM(N54:Q54)</f>
        <v>2999999.9999999991</v>
      </c>
      <c r="S54" s="1119"/>
      <c r="T54" s="373">
        <f>T147*T21</f>
        <v>2016592.2144224632</v>
      </c>
      <c r="U54" s="373">
        <f>U147*U21</f>
        <v>842373.96298659849</v>
      </c>
      <c r="V54" s="373">
        <f>V147*V21</f>
        <v>46458.200382897259</v>
      </c>
      <c r="W54" s="373">
        <f>W147*W21</f>
        <v>94575.622208040819</v>
      </c>
      <c r="X54" s="1091">
        <f>SUM(T54:W54)</f>
        <v>2999999.9999999995</v>
      </c>
      <c r="Y54" s="1118"/>
      <c r="Z54" s="1118"/>
      <c r="AA54" s="1118"/>
      <c r="AB54" s="287"/>
      <c r="AC54" s="373">
        <f>AC147*AC21</f>
        <v>1788874.9131837217</v>
      </c>
      <c r="AD54" s="373">
        <f>AD147*AD21</f>
        <v>695578.68826501467</v>
      </c>
      <c r="AE54" s="373">
        <f>AE147*AE21</f>
        <v>39948.583622069236</v>
      </c>
      <c r="AF54" s="373">
        <f>AF147*AF21</f>
        <v>81323.902373498073</v>
      </c>
      <c r="AG54" s="1118">
        <f>SUM(AC54:AF54)</f>
        <v>2605726.0874443036</v>
      </c>
      <c r="AH54" s="286"/>
      <c r="AI54" s="373">
        <f>AI147*AI21</f>
        <v>227717.30123874146</v>
      </c>
      <c r="AJ54" s="373">
        <f>AJ147*AJ21</f>
        <v>146795.27472158382</v>
      </c>
      <c r="AK54" s="373">
        <f>AK147*AK21</f>
        <v>6509.6167608280193</v>
      </c>
      <c r="AL54" s="373">
        <f>AL147*AL21</f>
        <v>13251.719834542757</v>
      </c>
      <c r="AM54" s="1120">
        <f>SUM(AI54:AL54)</f>
        <v>394273.91255569609</v>
      </c>
      <c r="AN54" s="1091">
        <f t="shared" si="84"/>
        <v>2999999.9999999995</v>
      </c>
      <c r="AO54" s="287"/>
      <c r="AP54" s="287"/>
      <c r="AQ54" s="287"/>
      <c r="AR54" s="287"/>
      <c r="AS54" s="287"/>
      <c r="AT54" s="287"/>
      <c r="AU54" s="1119"/>
      <c r="AV54" s="287"/>
      <c r="AW54" s="287"/>
      <c r="AX54" s="287"/>
      <c r="AY54" s="287"/>
      <c r="AZ54" s="287"/>
      <c r="BG54" s="287"/>
      <c r="BH54" s="287"/>
      <c r="BI54" s="287"/>
      <c r="BJ54" s="287"/>
      <c r="BK54" s="287"/>
      <c r="BL54" s="287"/>
      <c r="BM54" s="287"/>
      <c r="BN54" s="287"/>
      <c r="BO54" s="287"/>
      <c r="BP54" s="287"/>
      <c r="BQ54" s="287"/>
      <c r="BR54" s="287"/>
    </row>
    <row r="55" spans="1:70" s="1114" customFormat="1" ht="20">
      <c r="A55" s="1102" t="s">
        <v>119</v>
      </c>
      <c r="B55" s="1103"/>
      <c r="C55" s="1103"/>
      <c r="D55" s="1104"/>
      <c r="E55" s="1103"/>
      <c r="F55" s="1121"/>
      <c r="G55" s="1106">
        <f>G56+G65</f>
        <v>5367440.219517448</v>
      </c>
      <c r="H55" s="1106">
        <f t="shared" ref="H55:J55" si="96">H56+H65</f>
        <v>2342564.2226872304</v>
      </c>
      <c r="I55" s="1106">
        <f t="shared" si="96"/>
        <v>234066.31366829769</v>
      </c>
      <c r="J55" s="1106">
        <f t="shared" si="96"/>
        <v>360352.69883633417</v>
      </c>
      <c r="K55" s="1107">
        <f t="shared" ref="K55" si="97">SUM(G55:J55)</f>
        <v>8304423.4547093101</v>
      </c>
      <c r="L55" s="1108"/>
      <c r="M55" s="1113"/>
      <c r="N55" s="1106">
        <f>N56+N65</f>
        <v>8851907.7318148185</v>
      </c>
      <c r="O55" s="1106">
        <f t="shared" ref="O55:Q55" si="98">O56+O65</f>
        <v>3814565.7224802952</v>
      </c>
      <c r="P55" s="1106">
        <f t="shared" si="98"/>
        <v>314743.96579762769</v>
      </c>
      <c r="Q55" s="1106">
        <f t="shared" si="98"/>
        <v>524589.3478138987</v>
      </c>
      <c r="R55" s="1107">
        <f t="shared" ref="R55" si="99">SUM(N55:Q55)</f>
        <v>13505806.76790664</v>
      </c>
      <c r="S55" s="1122"/>
      <c r="T55" s="1106">
        <f>T56+T65</f>
        <v>1682289.199467957</v>
      </c>
      <c r="U55" s="1106">
        <f t="shared" ref="U55:W55" si="100">U56+U65</f>
        <v>777007.9141047399</v>
      </c>
      <c r="V55" s="1106">
        <f t="shared" si="100"/>
        <v>148527.53081640607</v>
      </c>
      <c r="W55" s="1106">
        <f t="shared" si="100"/>
        <v>186220.17660212624</v>
      </c>
      <c r="X55" s="1107">
        <f t="shared" ref="X55" si="101">SUM(T55:W55)</f>
        <v>2794044.8209912293</v>
      </c>
      <c r="Y55" s="1108"/>
      <c r="Z55" s="1108"/>
      <c r="AA55" s="1108"/>
      <c r="AB55" s="1113"/>
      <c r="AC55" s="1106">
        <f>AC56+AC65</f>
        <v>1465684.9990790552</v>
      </c>
      <c r="AD55" s="1106">
        <f t="shared" ref="AD55:AF55" si="102">AD56+AD65</f>
        <v>629436.65128070512</v>
      </c>
      <c r="AE55" s="1106">
        <f t="shared" si="102"/>
        <v>127953.54059376425</v>
      </c>
      <c r="AF55" s="1106">
        <f t="shared" si="102"/>
        <v>159600.99455628498</v>
      </c>
      <c r="AG55" s="1107">
        <f t="shared" ref="AG55" si="103">SUM(AC55:AF55)</f>
        <v>2382676.1855098093</v>
      </c>
      <c r="AH55" s="1123"/>
      <c r="AI55" s="1106">
        <f>AI56+AI65</f>
        <v>1142801.0712987948</v>
      </c>
      <c r="AJ55" s="1106">
        <f t="shared" ref="AJ55:AL55" si="104">AJ56+AJ65</f>
        <v>757462.93448872841</v>
      </c>
      <c r="AK55" s="1106">
        <f t="shared" si="104"/>
        <v>47364.325317505631</v>
      </c>
      <c r="AL55" s="1106">
        <f t="shared" si="104"/>
        <v>81156.649917528353</v>
      </c>
      <c r="AM55" s="1107">
        <f t="shared" ref="AM55" si="105">SUM(AI55:AL55)</f>
        <v>2028784.981022557</v>
      </c>
      <c r="AN55" s="1107">
        <f t="shared" si="84"/>
        <v>4411461.1665323665</v>
      </c>
      <c r="AO55" s="1113"/>
      <c r="AP55" s="1113"/>
      <c r="AQ55" s="1113"/>
      <c r="AR55" s="1113"/>
      <c r="AS55" s="1113"/>
      <c r="AT55" s="1113"/>
      <c r="AU55" s="1122"/>
      <c r="AV55" s="1113"/>
      <c r="AW55" s="1113"/>
      <c r="AX55" s="1113"/>
      <c r="AY55" s="1113"/>
      <c r="AZ55" s="1113"/>
      <c r="BG55" s="1113"/>
      <c r="BH55" s="1113"/>
      <c r="BI55" s="1113"/>
      <c r="BJ55" s="1113"/>
      <c r="BK55" s="1113"/>
      <c r="BL55" s="1113"/>
      <c r="BM55" s="1113"/>
      <c r="BN55" s="1113"/>
      <c r="BO55" s="1113"/>
      <c r="BP55" s="1113"/>
      <c r="BQ55" s="1113"/>
      <c r="BR55" s="1113"/>
    </row>
    <row r="56" spans="1:70" ht="20">
      <c r="A56" s="826" t="s">
        <v>506</v>
      </c>
      <c r="B56" s="13"/>
      <c r="C56" s="13"/>
      <c r="D56" s="1066"/>
      <c r="E56" s="13"/>
      <c r="G56" s="169">
        <f>G57+G64+G63</f>
        <v>718260.10358993686</v>
      </c>
      <c r="H56" s="169">
        <f t="shared" ref="H56:J56" si="106">H57+H64+H63</f>
        <v>369025.55598470115</v>
      </c>
      <c r="I56" s="169">
        <f t="shared" si="106"/>
        <v>126188.98691980149</v>
      </c>
      <c r="J56" s="169">
        <f t="shared" si="106"/>
        <v>140745.28366975265</v>
      </c>
      <c r="K56" s="406">
        <f>SUM(G56:J56)</f>
        <v>1354219.9301641923</v>
      </c>
      <c r="L56" s="671"/>
      <c r="N56" s="169">
        <f>N57+N64+N63</f>
        <v>1084709.5849638791</v>
      </c>
      <c r="O56" s="169">
        <f t="shared" ref="O56:Q56" si="107">O57+O64+O63</f>
        <v>523830.89834393829</v>
      </c>
      <c r="P56" s="169">
        <f t="shared" si="107"/>
        <v>134673.57851863894</v>
      </c>
      <c r="Q56" s="169">
        <f t="shared" si="107"/>
        <v>158017.48799595749</v>
      </c>
      <c r="R56" s="406">
        <f>SUM(N56:Q56)</f>
        <v>1901231.5498224138</v>
      </c>
      <c r="S56" s="80"/>
      <c r="T56" s="169">
        <f>T57+T64+T63</f>
        <v>330705.42692387884</v>
      </c>
      <c r="U56" s="169">
        <f t="shared" ref="U56:W56" si="108">U57+U64+U63</f>
        <v>204381.37568539658</v>
      </c>
      <c r="V56" s="169">
        <f t="shared" si="108"/>
        <v>117193.16689771519</v>
      </c>
      <c r="W56" s="169">
        <f t="shared" si="108"/>
        <v>122432.36433907696</v>
      </c>
      <c r="X56" s="406">
        <f>SUM(T56:W56)</f>
        <v>774712.33384606754</v>
      </c>
      <c r="Y56" s="671"/>
      <c r="Z56" s="671"/>
      <c r="AA56" s="671"/>
      <c r="AC56" s="169">
        <f>AC57+AC64+AC63</f>
        <v>288703.63463452563</v>
      </c>
      <c r="AD56" s="169">
        <f t="shared" ref="AD56:AF56" si="109">AD57+AD64+AD63</f>
        <v>171784.1080206206</v>
      </c>
      <c r="AE56" s="169">
        <f t="shared" si="109"/>
        <v>101669.56840956688</v>
      </c>
      <c r="AF56" s="169">
        <f t="shared" si="109"/>
        <v>106094.33689559746</v>
      </c>
      <c r="AG56" s="406">
        <f>SUM(AC56:AF56)</f>
        <v>668251.64796031057</v>
      </c>
      <c r="AI56" s="169">
        <f>AI57+AI64+AI63</f>
        <v>139406.73631516894</v>
      </c>
      <c r="AJ56" s="169">
        <f t="shared" ref="AJ56:AL56" si="110">AJ57+AJ64+AJ63</f>
        <v>96737.480189948823</v>
      </c>
      <c r="AK56" s="169">
        <f t="shared" si="110"/>
        <v>18341.046022584989</v>
      </c>
      <c r="AL56" s="169">
        <f t="shared" si="110"/>
        <v>22073.545638582764</v>
      </c>
      <c r="AM56" s="406">
        <f>SUM(AI56:AL56)</f>
        <v>276558.80816628551</v>
      </c>
      <c r="AN56" s="406">
        <f t="shared" si="84"/>
        <v>944810.45612659608</v>
      </c>
      <c r="AU56" s="80"/>
    </row>
    <row r="57" spans="1:70" ht="40" hidden="1" outlineLevel="1">
      <c r="A57" s="1167" t="s">
        <v>510</v>
      </c>
      <c r="G57" s="169">
        <f>SUM(G58:G62)</f>
        <v>546401.47215284687</v>
      </c>
      <c r="H57" s="169">
        <f t="shared" ref="H57:J57" si="111">SUM(H58:H62)</f>
        <v>231942.9245476111</v>
      </c>
      <c r="I57" s="169">
        <f t="shared" si="111"/>
        <v>12678.435482711475</v>
      </c>
      <c r="J57" s="169">
        <f t="shared" si="111"/>
        <v>25809.67223266264</v>
      </c>
      <c r="K57" s="407">
        <f>SUM(G57:J57)</f>
        <v>816832.50441583211</v>
      </c>
      <c r="L57" s="169"/>
      <c r="N57" s="169">
        <f>SUM(N58:N62)</f>
        <v>912850.95352678909</v>
      </c>
      <c r="O57" s="169">
        <f t="shared" ref="O57:Q57" si="112">SUM(O58:O62)</f>
        <v>386748.26690684824</v>
      </c>
      <c r="P57" s="169">
        <f t="shared" si="112"/>
        <v>21163.027081548928</v>
      </c>
      <c r="Q57" s="169">
        <f t="shared" si="112"/>
        <v>43081.876558867451</v>
      </c>
      <c r="R57" s="407">
        <f>SUM(N57:Q57)</f>
        <v>1363844.1240740537</v>
      </c>
      <c r="S57" s="80"/>
      <c r="T57" s="169">
        <f>SUM(T58:T62)</f>
        <v>158846.79548678885</v>
      </c>
      <c r="U57" s="169">
        <f t="shared" ref="U57:W57" si="113">SUM(U58:U62)</f>
        <v>67298.744248306553</v>
      </c>
      <c r="V57" s="169">
        <f t="shared" si="113"/>
        <v>3682.6154606251635</v>
      </c>
      <c r="W57" s="169">
        <f t="shared" si="113"/>
        <v>7496.752901986938</v>
      </c>
      <c r="X57" s="407">
        <f>SUM(T57:W57)</f>
        <v>237324.90809770749</v>
      </c>
      <c r="Y57" s="169"/>
      <c r="Z57" s="169"/>
      <c r="AA57" s="169"/>
      <c r="AC57" s="169">
        <f>SUM(AC58:AC62)</f>
        <v>138326.40039601002</v>
      </c>
      <c r="AD57" s="169">
        <f t="shared" ref="AD57:AF57" si="114">SUM(AD58:AD62)</f>
        <v>53786.262768164917</v>
      </c>
      <c r="AE57" s="169">
        <f t="shared" si="114"/>
        <v>3089.0610252480574</v>
      </c>
      <c r="AF57" s="169">
        <f t="shared" si="114"/>
        <v>6288.445658540687</v>
      </c>
      <c r="AG57" s="407">
        <f>SUM(AC57:AF57)</f>
        <v>201490.16984796367</v>
      </c>
      <c r="AI57" s="169">
        <f>SUM(AI58:AI62)</f>
        <v>117925.33911659451</v>
      </c>
      <c r="AJ57" s="169">
        <f t="shared" ref="AJ57:AL57" si="115">SUM(AJ58:AJ62)</f>
        <v>77652.694005314508</v>
      </c>
      <c r="AK57" s="169">
        <f t="shared" si="115"/>
        <v>3411.0019698137967</v>
      </c>
      <c r="AL57" s="169">
        <f t="shared" si="115"/>
        <v>6943.8254385495147</v>
      </c>
      <c r="AM57" s="407">
        <f>SUM(AI57:AL57)</f>
        <v>205932.86053027233</v>
      </c>
      <c r="AN57" s="1168">
        <f t="shared" si="84"/>
        <v>407423.03037823597</v>
      </c>
      <c r="AU57" s="80"/>
    </row>
    <row r="58" spans="1:70" hidden="1" outlineLevel="1">
      <c r="A58" s="39" t="s">
        <v>327</v>
      </c>
      <c r="B58" s="2"/>
      <c r="C58" s="2"/>
      <c r="D58" s="1061"/>
      <c r="E58" s="2"/>
      <c r="G58" s="169">
        <f t="shared" ref="G58:J62" si="116">(G22*G$153*G120)</f>
        <v>119.54928088521919</v>
      </c>
      <c r="H58" s="169">
        <f t="shared" si="116"/>
        <v>788.23586026453381</v>
      </c>
      <c r="I58" s="169">
        <f t="shared" si="116"/>
        <v>20.806548174893749</v>
      </c>
      <c r="J58" s="169">
        <f t="shared" si="116"/>
        <v>42.356187356033693</v>
      </c>
      <c r="K58" s="407">
        <f>SUM(G58:J58)</f>
        <v>970.94787668068045</v>
      </c>
      <c r="L58" s="169"/>
      <c r="N58" s="169">
        <f t="shared" ref="N58:Q62" si="117">(N22*N$153*N120)</f>
        <v>187.59044644622074</v>
      </c>
      <c r="O58" s="169">
        <f t="shared" si="117"/>
        <v>1236.8582716437447</v>
      </c>
      <c r="P58" s="169">
        <f t="shared" si="117"/>
        <v>32.648541523897116</v>
      </c>
      <c r="Q58" s="169">
        <f t="shared" si="117"/>
        <v>66.463102387933404</v>
      </c>
      <c r="R58" s="407">
        <f>SUM(N58:Q58)</f>
        <v>1523.560362001796</v>
      </c>
      <c r="S58" s="80"/>
      <c r="T58" s="169">
        <f t="shared" ref="T58:W62" si="118">(T22*T$153*T120)</f>
        <v>32.642942603930543</v>
      </c>
      <c r="U58" s="169">
        <f t="shared" si="118"/>
        <v>215.22787719383288</v>
      </c>
      <c r="V58" s="169">
        <f t="shared" si="118"/>
        <v>5.6812299733619369</v>
      </c>
      <c r="W58" s="169">
        <f t="shared" si="118"/>
        <v>11.565361017201083</v>
      </c>
      <c r="X58" s="407">
        <f>SUM(T58:W58)</f>
        <v>265.11741078832648</v>
      </c>
      <c r="Y58" s="169"/>
      <c r="Z58" s="169"/>
      <c r="AA58" s="169"/>
      <c r="AC58" s="169">
        <f t="shared" ref="AC58:AF62" si="119">(AC22*AC$153*AC120)</f>
        <v>0</v>
      </c>
      <c r="AD58" s="169">
        <f t="shared" si="119"/>
        <v>0</v>
      </c>
      <c r="AE58" s="169">
        <f t="shared" si="119"/>
        <v>0</v>
      </c>
      <c r="AF58" s="169">
        <f t="shared" si="119"/>
        <v>0</v>
      </c>
      <c r="AG58" s="407">
        <f>SUM(AC58:AF58)</f>
        <v>0</v>
      </c>
      <c r="AI58" s="169">
        <f t="shared" ref="AI58:AL62" si="120">(AI22*AI$153*AI120)</f>
        <v>187.5904464462208</v>
      </c>
      <c r="AJ58" s="169">
        <f t="shared" si="120"/>
        <v>1236.858271643745</v>
      </c>
      <c r="AK58" s="169">
        <f t="shared" si="120"/>
        <v>32.648541523897102</v>
      </c>
      <c r="AL58" s="169">
        <f t="shared" si="120"/>
        <v>66.46310238793339</v>
      </c>
      <c r="AM58" s="407">
        <f>SUM(AI58:AL58)</f>
        <v>1523.5603620017962</v>
      </c>
      <c r="AN58" s="407">
        <f t="shared" si="84"/>
        <v>1523.5603620017962</v>
      </c>
      <c r="AU58" s="80"/>
    </row>
    <row r="59" spans="1:70" hidden="1" outlineLevel="1">
      <c r="A59" s="39" t="s">
        <v>429</v>
      </c>
      <c r="B59" s="2"/>
      <c r="C59" s="2"/>
      <c r="D59" s="1061"/>
      <c r="E59" s="2"/>
      <c r="G59" s="169">
        <f t="shared" si="116"/>
        <v>6275.5253192736154</v>
      </c>
      <c r="H59" s="169">
        <f t="shared" si="116"/>
        <v>7171.184251223357</v>
      </c>
      <c r="I59" s="169">
        <f t="shared" si="116"/>
        <v>255.82324186861507</v>
      </c>
      <c r="J59" s="169">
        <f t="shared" si="116"/>
        <v>520.78302808968067</v>
      </c>
      <c r="K59" s="407">
        <f t="shared" ref="K59:K64" si="121">SUM(G59:J59)</f>
        <v>14223.315840455269</v>
      </c>
      <c r="L59" s="169"/>
      <c r="N59" s="169">
        <f t="shared" si="117"/>
        <v>10043.240667888071</v>
      </c>
      <c r="O59" s="169">
        <f t="shared" si="117"/>
        <v>11476.637515525365</v>
      </c>
      <c r="P59" s="169">
        <f t="shared" si="117"/>
        <v>409.41502994736288</v>
      </c>
      <c r="Q59" s="169">
        <f t="shared" si="117"/>
        <v>833.45202524998842</v>
      </c>
      <c r="R59" s="407">
        <f t="shared" ref="R59:R65" si="122">SUM(N59:Q59)</f>
        <v>22762.745238610787</v>
      </c>
      <c r="S59" s="80"/>
      <c r="T59" s="169">
        <f t="shared" si="118"/>
        <v>1747.641923616394</v>
      </c>
      <c r="U59" s="169">
        <f t="shared" si="118"/>
        <v>1997.0698231309527</v>
      </c>
      <c r="V59" s="169">
        <f t="shared" si="118"/>
        <v>71.243027440577393</v>
      </c>
      <c r="W59" s="169">
        <f t="shared" si="118"/>
        <v>145.03044871831824</v>
      </c>
      <c r="X59" s="407">
        <f t="shared" ref="X59:X65" si="123">SUM(T59:W59)</f>
        <v>3960.9852229062426</v>
      </c>
      <c r="Y59" s="169"/>
      <c r="Z59" s="169"/>
      <c r="AA59" s="169"/>
      <c r="AC59" s="169">
        <f t="shared" si="119"/>
        <v>0</v>
      </c>
      <c r="AD59" s="169">
        <f t="shared" si="119"/>
        <v>0</v>
      </c>
      <c r="AE59" s="169">
        <f t="shared" si="119"/>
        <v>0</v>
      </c>
      <c r="AF59" s="169">
        <f t="shared" si="119"/>
        <v>0</v>
      </c>
      <c r="AG59" s="407">
        <f t="shared" ref="AG59:AG65" si="124">SUM(AC59:AF59)</f>
        <v>0</v>
      </c>
      <c r="AI59" s="169">
        <f t="shared" si="120"/>
        <v>10043.240667888071</v>
      </c>
      <c r="AJ59" s="169">
        <f t="shared" si="120"/>
        <v>11476.637515525368</v>
      </c>
      <c r="AK59" s="169">
        <f t="shared" si="120"/>
        <v>409.41502994736265</v>
      </c>
      <c r="AL59" s="169">
        <f t="shared" si="120"/>
        <v>833.45202524998842</v>
      </c>
      <c r="AM59" s="407">
        <f t="shared" ref="AM59:AM65" si="125">SUM(AI59:AL59)</f>
        <v>22762.745238610791</v>
      </c>
      <c r="AN59" s="407">
        <f>AM59+AG59</f>
        <v>22762.745238610791</v>
      </c>
      <c r="AU59" s="80"/>
    </row>
    <row r="60" spans="1:70" hidden="1" outlineLevel="1">
      <c r="A60" s="39" t="s">
        <v>65</v>
      </c>
      <c r="B60" s="2"/>
      <c r="C60" s="2"/>
      <c r="D60" s="1061"/>
      <c r="E60" s="2"/>
      <c r="G60" s="169">
        <f t="shared" si="116"/>
        <v>65417.198515453936</v>
      </c>
      <c r="H60" s="169">
        <f t="shared" si="116"/>
        <v>39446.212254218874</v>
      </c>
      <c r="I60" s="169">
        <f t="shared" si="116"/>
        <v>1803.4311701433419</v>
      </c>
      <c r="J60" s="169">
        <f t="shared" si="116"/>
        <v>3671.2705963632316</v>
      </c>
      <c r="K60" s="407">
        <f t="shared" si="121"/>
        <v>110338.11253617938</v>
      </c>
      <c r="L60" s="169"/>
      <c r="N60" s="169">
        <f t="shared" si="117"/>
        <v>107694.50800226019</v>
      </c>
      <c r="O60" s="169">
        <f t="shared" si="117"/>
        <v>64939.198218145386</v>
      </c>
      <c r="P60" s="169">
        <f t="shared" si="117"/>
        <v>2968.9383983425382</v>
      </c>
      <c r="Q60" s="169">
        <f t="shared" si="117"/>
        <v>6043.9103109115949</v>
      </c>
      <c r="R60" s="407">
        <f t="shared" si="122"/>
        <v>181646.55492965973</v>
      </c>
      <c r="S60" s="80"/>
      <c r="T60" s="169">
        <f t="shared" si="118"/>
        <v>18740.110224558521</v>
      </c>
      <c r="U60" s="169">
        <f t="shared" si="118"/>
        <v>11300.183779816867</v>
      </c>
      <c r="V60" s="169">
        <f t="shared" si="118"/>
        <v>516.63017796316683</v>
      </c>
      <c r="W60" s="169">
        <f t="shared" si="118"/>
        <v>1051.7114337107321</v>
      </c>
      <c r="X60" s="407">
        <f t="shared" si="123"/>
        <v>31608.635616049287</v>
      </c>
      <c r="Y60" s="169"/>
      <c r="Z60" s="169"/>
      <c r="AA60" s="169"/>
      <c r="AC60" s="169">
        <f t="shared" si="119"/>
        <v>0</v>
      </c>
      <c r="AD60" s="169">
        <f t="shared" si="119"/>
        <v>0</v>
      </c>
      <c r="AE60" s="169">
        <f t="shared" si="119"/>
        <v>0</v>
      </c>
      <c r="AF60" s="169">
        <f t="shared" si="119"/>
        <v>0</v>
      </c>
      <c r="AG60" s="407">
        <f t="shared" si="124"/>
        <v>0</v>
      </c>
      <c r="AI60" s="169">
        <f t="shared" si="120"/>
        <v>107694.50800226022</v>
      </c>
      <c r="AJ60" s="169">
        <f t="shared" si="120"/>
        <v>64939.198218145393</v>
      </c>
      <c r="AK60" s="169">
        <f t="shared" si="120"/>
        <v>2968.9383983425369</v>
      </c>
      <c r="AL60" s="169">
        <f t="shared" si="120"/>
        <v>6043.9103109115931</v>
      </c>
      <c r="AM60" s="407">
        <f t="shared" si="125"/>
        <v>181646.55492965976</v>
      </c>
      <c r="AN60" s="407">
        <f t="shared" si="84"/>
        <v>181646.55492965976</v>
      </c>
      <c r="AU60" s="80"/>
    </row>
    <row r="61" spans="1:70" hidden="1" outlineLevel="1">
      <c r="A61" s="39" t="s">
        <v>66</v>
      </c>
      <c r="B61" s="2"/>
      <c r="C61" s="2"/>
      <c r="D61" s="1061"/>
      <c r="E61" s="2"/>
      <c r="G61" s="169">
        <f t="shared" si="116"/>
        <v>474589.19903723407</v>
      </c>
      <c r="H61" s="169">
        <f t="shared" si="116"/>
        <v>184537.29218190434</v>
      </c>
      <c r="I61" s="169">
        <f t="shared" si="116"/>
        <v>10598.374522524624</v>
      </c>
      <c r="J61" s="169">
        <f t="shared" si="116"/>
        <v>21575.262420853694</v>
      </c>
      <c r="K61" s="407">
        <f t="shared" si="121"/>
        <v>691300.12816251675</v>
      </c>
      <c r="L61" s="169"/>
      <c r="N61" s="169">
        <f t="shared" si="117"/>
        <v>794925.61441019457</v>
      </c>
      <c r="O61" s="169">
        <f t="shared" si="117"/>
        <v>309095.57290153374</v>
      </c>
      <c r="P61" s="169">
        <f t="shared" si="117"/>
        <v>17752.025111735129</v>
      </c>
      <c r="Q61" s="169">
        <f t="shared" si="117"/>
        <v>36138.051120317934</v>
      </c>
      <c r="R61" s="407">
        <f t="shared" si="122"/>
        <v>1157911.2635437814</v>
      </c>
      <c r="S61" s="80"/>
      <c r="T61" s="169">
        <f t="shared" si="118"/>
        <v>138326.40039600999</v>
      </c>
      <c r="U61" s="169">
        <f t="shared" si="118"/>
        <v>53786.262768164903</v>
      </c>
      <c r="V61" s="169">
        <f t="shared" si="118"/>
        <v>3089.0610252480574</v>
      </c>
      <c r="W61" s="169">
        <f t="shared" si="118"/>
        <v>6288.445658540687</v>
      </c>
      <c r="X61" s="407">
        <f t="shared" si="123"/>
        <v>201490.16984796361</v>
      </c>
      <c r="Y61" s="169"/>
      <c r="Z61" s="169"/>
      <c r="AA61" s="169"/>
      <c r="AC61" s="169">
        <f t="shared" si="119"/>
        <v>138326.40039601002</v>
      </c>
      <c r="AD61" s="169">
        <f t="shared" si="119"/>
        <v>53786.262768164917</v>
      </c>
      <c r="AE61" s="169">
        <f t="shared" si="119"/>
        <v>3089.0610252480574</v>
      </c>
      <c r="AF61" s="169">
        <f t="shared" si="119"/>
        <v>6288.445658540687</v>
      </c>
      <c r="AG61" s="407">
        <f t="shared" si="124"/>
        <v>201490.16984796367</v>
      </c>
      <c r="AI61" s="169">
        <f t="shared" si="120"/>
        <v>0</v>
      </c>
      <c r="AJ61" s="169">
        <f t="shared" si="120"/>
        <v>0</v>
      </c>
      <c r="AK61" s="169">
        <f t="shared" si="120"/>
        <v>0</v>
      </c>
      <c r="AL61" s="169">
        <f t="shared" si="120"/>
        <v>0</v>
      </c>
      <c r="AM61" s="407">
        <f t="shared" si="125"/>
        <v>0</v>
      </c>
      <c r="AN61" s="407">
        <f t="shared" si="84"/>
        <v>201490.16984796367</v>
      </c>
      <c r="AU61" s="80"/>
    </row>
    <row r="62" spans="1:70" hidden="1" outlineLevel="1">
      <c r="A62" s="39" t="s">
        <v>328</v>
      </c>
      <c r="B62" s="2"/>
      <c r="C62" s="2"/>
      <c r="D62" s="1061"/>
      <c r="E62" s="2"/>
      <c r="G62" s="169">
        <f t="shared" si="116"/>
        <v>0</v>
      </c>
      <c r="H62" s="169">
        <f t="shared" si="116"/>
        <v>0</v>
      </c>
      <c r="I62" s="169">
        <f t="shared" si="116"/>
        <v>0</v>
      </c>
      <c r="J62" s="169">
        <f t="shared" si="116"/>
        <v>0</v>
      </c>
      <c r="K62" s="407">
        <f t="shared" si="121"/>
        <v>0</v>
      </c>
      <c r="L62" s="169"/>
      <c r="N62" s="169">
        <f t="shared" si="117"/>
        <v>0</v>
      </c>
      <c r="O62" s="169">
        <f t="shared" si="117"/>
        <v>0</v>
      </c>
      <c r="P62" s="169">
        <f t="shared" si="117"/>
        <v>0</v>
      </c>
      <c r="Q62" s="169">
        <f t="shared" si="117"/>
        <v>0</v>
      </c>
      <c r="R62" s="407">
        <f t="shared" si="122"/>
        <v>0</v>
      </c>
      <c r="S62" s="80"/>
      <c r="T62" s="169">
        <f t="shared" si="118"/>
        <v>0</v>
      </c>
      <c r="U62" s="169">
        <f t="shared" si="118"/>
        <v>0</v>
      </c>
      <c r="V62" s="169">
        <f t="shared" si="118"/>
        <v>0</v>
      </c>
      <c r="W62" s="169">
        <f t="shared" si="118"/>
        <v>0</v>
      </c>
      <c r="X62" s="407">
        <f t="shared" si="123"/>
        <v>0</v>
      </c>
      <c r="Y62" s="169"/>
      <c r="Z62" s="169"/>
      <c r="AA62" s="169"/>
      <c r="AC62" s="169">
        <f t="shared" si="119"/>
        <v>0</v>
      </c>
      <c r="AD62" s="169">
        <f t="shared" si="119"/>
        <v>0</v>
      </c>
      <c r="AE62" s="169">
        <f t="shared" si="119"/>
        <v>0</v>
      </c>
      <c r="AF62" s="169">
        <f t="shared" si="119"/>
        <v>0</v>
      </c>
      <c r="AG62" s="407">
        <f t="shared" si="124"/>
        <v>0</v>
      </c>
      <c r="AI62" s="169">
        <f t="shared" si="120"/>
        <v>0</v>
      </c>
      <c r="AJ62" s="169">
        <f t="shared" si="120"/>
        <v>0</v>
      </c>
      <c r="AK62" s="169">
        <f t="shared" si="120"/>
        <v>0</v>
      </c>
      <c r="AL62" s="169">
        <f t="shared" si="120"/>
        <v>0</v>
      </c>
      <c r="AM62" s="407">
        <f t="shared" si="125"/>
        <v>0</v>
      </c>
      <c r="AN62" s="407">
        <f t="shared" si="84"/>
        <v>0</v>
      </c>
      <c r="AU62" s="80"/>
    </row>
    <row r="63" spans="1:70" ht="40" hidden="1" outlineLevel="1">
      <c r="A63" s="1318" t="s">
        <v>567</v>
      </c>
      <c r="B63" s="2"/>
      <c r="C63" s="2"/>
      <c r="D63" s="1061"/>
      <c r="E63" s="2"/>
      <c r="G63" s="169">
        <f>G164*G158*G154*G162</f>
        <v>112134.63143709002</v>
      </c>
      <c r="H63" s="169">
        <f t="shared" ref="H63:J63" si="126">H164*H158*H154*H162</f>
        <v>112134.63143709002</v>
      </c>
      <c r="I63" s="169">
        <f t="shared" si="126"/>
        <v>112134.63143709002</v>
      </c>
      <c r="J63" s="169">
        <f t="shared" si="126"/>
        <v>112134.63143709002</v>
      </c>
      <c r="K63" s="407">
        <f t="shared" si="121"/>
        <v>448538.52574836009</v>
      </c>
      <c r="L63" s="169"/>
      <c r="N63" s="169">
        <f>N164*N158*N154*N162</f>
        <v>112134.63143709002</v>
      </c>
      <c r="O63" s="169">
        <f t="shared" ref="O63:Q63" si="127">O164*O158*O154*O162</f>
        <v>112134.63143709002</v>
      </c>
      <c r="P63" s="169">
        <f t="shared" si="127"/>
        <v>112134.63143709002</v>
      </c>
      <c r="Q63" s="169">
        <f t="shared" si="127"/>
        <v>112134.63143709002</v>
      </c>
      <c r="R63" s="407">
        <f t="shared" si="122"/>
        <v>448538.52574836009</v>
      </c>
      <c r="S63" s="80"/>
      <c r="T63" s="169">
        <f>T164*T158*T154*T162</f>
        <v>112134.63143709002</v>
      </c>
      <c r="U63" s="169">
        <f t="shared" ref="U63:W63" si="128">U164*U158*U154*U162</f>
        <v>112134.63143709002</v>
      </c>
      <c r="V63" s="169">
        <f t="shared" si="128"/>
        <v>112134.63143709002</v>
      </c>
      <c r="W63" s="169">
        <f t="shared" si="128"/>
        <v>112134.63143709002</v>
      </c>
      <c r="X63" s="407">
        <f t="shared" si="123"/>
        <v>448538.52574836009</v>
      </c>
      <c r="Y63" s="169"/>
      <c r="Z63" s="169"/>
      <c r="AA63" s="169"/>
      <c r="AC63" s="169">
        <f>AC164*AC158*AC154*AC162</f>
        <v>97397.378147192532</v>
      </c>
      <c r="AD63" s="169">
        <f t="shared" ref="AD63:AF63" si="129">AD164*AD158*AD154*AD162</f>
        <v>97397.378147192532</v>
      </c>
      <c r="AE63" s="169">
        <f t="shared" si="129"/>
        <v>97397.378147192532</v>
      </c>
      <c r="AF63" s="169">
        <f t="shared" si="129"/>
        <v>97397.378147192532</v>
      </c>
      <c r="AG63" s="407">
        <f t="shared" si="124"/>
        <v>389589.51258877013</v>
      </c>
      <c r="AI63" s="169">
        <f>AI164*AI158*AI154*AI162</f>
        <v>14737.25328989748</v>
      </c>
      <c r="AJ63" s="169">
        <f t="shared" ref="AJ63:AL63" si="130">AJ164*AJ158*AJ154*AJ162</f>
        <v>14737.25328989748</v>
      </c>
      <c r="AK63" s="169">
        <f t="shared" si="130"/>
        <v>14737.25328989748</v>
      </c>
      <c r="AL63" s="169">
        <f t="shared" si="130"/>
        <v>14737.25328989748</v>
      </c>
      <c r="AM63" s="407">
        <f t="shared" si="125"/>
        <v>58949.013159589922</v>
      </c>
      <c r="AN63" s="1168">
        <f t="shared" si="84"/>
        <v>448538.52574836003</v>
      </c>
      <c r="AU63" s="80"/>
    </row>
    <row r="64" spans="1:70" ht="40" hidden="1" outlineLevel="1">
      <c r="A64" s="1167" t="s">
        <v>511</v>
      </c>
      <c r="G64" s="169">
        <f>G7*G156*G155</f>
        <v>59724.000000000007</v>
      </c>
      <c r="H64" s="169">
        <f>H7*H156*H155</f>
        <v>24948</v>
      </c>
      <c r="I64" s="169">
        <f>I7*I156*I155</f>
        <v>1375.92</v>
      </c>
      <c r="J64" s="169">
        <f>J7*J156*J155</f>
        <v>2800.98</v>
      </c>
      <c r="K64" s="407">
        <f t="shared" si="121"/>
        <v>88848.9</v>
      </c>
      <c r="L64" s="169"/>
      <c r="N64" s="169">
        <f>N7*N156*N155</f>
        <v>59724.000000000007</v>
      </c>
      <c r="O64" s="169">
        <f>O7*O156*O155</f>
        <v>24948</v>
      </c>
      <c r="P64" s="169">
        <f>P7*P156*P155</f>
        <v>1375.92</v>
      </c>
      <c r="Q64" s="169">
        <f>Q7*Q156*Q155</f>
        <v>2800.98</v>
      </c>
      <c r="R64" s="407">
        <f t="shared" si="122"/>
        <v>88848.9</v>
      </c>
      <c r="S64" s="80"/>
      <c r="T64" s="169">
        <f>T7*T156*T155</f>
        <v>59724.000000000007</v>
      </c>
      <c r="U64" s="169">
        <f>U7*U156*U155</f>
        <v>24948</v>
      </c>
      <c r="V64" s="169">
        <f>V7*V156*V155</f>
        <v>1375.92</v>
      </c>
      <c r="W64" s="169">
        <f>W7*W156*W155</f>
        <v>2800.98</v>
      </c>
      <c r="X64" s="407">
        <f t="shared" si="123"/>
        <v>88848.9</v>
      </c>
      <c r="Y64" s="169"/>
      <c r="Z64" s="169"/>
      <c r="AA64" s="169"/>
      <c r="AC64" s="169">
        <f>AC7*AC156*AC155</f>
        <v>52979.856091323061</v>
      </c>
      <c r="AD64" s="169">
        <f>AD7*AD156*AD155</f>
        <v>20600.46710526316</v>
      </c>
      <c r="AE64" s="169">
        <f>AE7*AE156*AE155</f>
        <v>1183.1292371262894</v>
      </c>
      <c r="AF64" s="169">
        <f>AF7*AF156*AF155</f>
        <v>2408.5130898642315</v>
      </c>
      <c r="AG64" s="407">
        <f t="shared" si="124"/>
        <v>77171.965523576742</v>
      </c>
      <c r="AI64" s="169">
        <f>AI7*AI156*AI155</f>
        <v>6744.1439086769387</v>
      </c>
      <c r="AJ64" s="169">
        <f>AJ7*AJ156*AJ155</f>
        <v>4347.5328947368434</v>
      </c>
      <c r="AK64" s="169">
        <f>AK7*AK156*AK155</f>
        <v>192.79076287371086</v>
      </c>
      <c r="AL64" s="169">
        <f>AL7*AL156*AL155</f>
        <v>392.46691013576861</v>
      </c>
      <c r="AM64" s="407">
        <f t="shared" si="125"/>
        <v>11676.934476423261</v>
      </c>
      <c r="AN64" s="1168">
        <f t="shared" si="84"/>
        <v>88848.900000000009</v>
      </c>
      <c r="AU64" s="80"/>
    </row>
    <row r="65" spans="1:70" s="424" customFormat="1" ht="20" collapsed="1">
      <c r="A65" s="1115" t="s">
        <v>508</v>
      </c>
      <c r="B65" s="305"/>
      <c r="C65" s="305"/>
      <c r="D65" s="1116"/>
      <c r="E65" s="305"/>
      <c r="F65" s="1117"/>
      <c r="G65" s="373">
        <f>SUM(G66:G70)</f>
        <v>4649180.1159275109</v>
      </c>
      <c r="H65" s="373">
        <f t="shared" ref="H65:J65" si="131">SUM(H66:H70)</f>
        <v>1973538.6667025294</v>
      </c>
      <c r="I65" s="373">
        <f t="shared" si="131"/>
        <v>107877.3267484962</v>
      </c>
      <c r="J65" s="373">
        <f t="shared" si="131"/>
        <v>219607.41516658154</v>
      </c>
      <c r="K65" s="1091">
        <f t="shared" si="95"/>
        <v>6950203.5245451182</v>
      </c>
      <c r="L65" s="1118"/>
      <c r="M65" s="287"/>
      <c r="N65" s="373">
        <f>SUM(N66:N70)</f>
        <v>7767198.1468509389</v>
      </c>
      <c r="O65" s="373">
        <f t="shared" ref="O65:Q65" si="132">SUM(O66:O70)</f>
        <v>3290734.8241363568</v>
      </c>
      <c r="P65" s="373">
        <f t="shared" si="132"/>
        <v>180070.38727898872</v>
      </c>
      <c r="Q65" s="373">
        <f t="shared" si="132"/>
        <v>366571.85981794127</v>
      </c>
      <c r="R65" s="1091">
        <f t="shared" si="122"/>
        <v>11604575.218084225</v>
      </c>
      <c r="S65" s="1119"/>
      <c r="T65" s="373">
        <f>SUM(T66:T70)</f>
        <v>1351583.7725440781</v>
      </c>
      <c r="U65" s="373">
        <f t="shared" ref="U65:W65" si="133">SUM(U66:U70)</f>
        <v>572626.5384193433</v>
      </c>
      <c r="V65" s="373">
        <f t="shared" si="133"/>
        <v>31334.363918690884</v>
      </c>
      <c r="W65" s="373">
        <f t="shared" si="133"/>
        <v>63787.81226304928</v>
      </c>
      <c r="X65" s="1091">
        <f t="shared" si="123"/>
        <v>2019332.4871451615</v>
      </c>
      <c r="Y65" s="1118"/>
      <c r="Z65" s="1118"/>
      <c r="AA65" s="1118"/>
      <c r="AB65" s="287"/>
      <c r="AC65" s="373">
        <f>SUM(AC66:AC70)</f>
        <v>1176981.3644445294</v>
      </c>
      <c r="AD65" s="373">
        <f t="shared" ref="AD65:AF65" si="134">SUM(AD66:AD70)</f>
        <v>457652.54326008447</v>
      </c>
      <c r="AE65" s="373">
        <f t="shared" si="134"/>
        <v>26283.972184197373</v>
      </c>
      <c r="AF65" s="373">
        <f t="shared" si="134"/>
        <v>53506.657660687502</v>
      </c>
      <c r="AG65" s="1091">
        <f t="shared" si="124"/>
        <v>1714424.5375494987</v>
      </c>
      <c r="AH65" s="286"/>
      <c r="AI65" s="373">
        <f>SUM(AI66:AI70)</f>
        <v>1003394.3349836259</v>
      </c>
      <c r="AJ65" s="373">
        <f t="shared" ref="AJ65:AL65" si="135">SUM(AJ66:AJ70)</f>
        <v>660725.4542987796</v>
      </c>
      <c r="AK65" s="373">
        <f t="shared" si="135"/>
        <v>29023.279294920641</v>
      </c>
      <c r="AL65" s="373">
        <f t="shared" si="135"/>
        <v>59083.104278945597</v>
      </c>
      <c r="AM65" s="1091">
        <f t="shared" si="125"/>
        <v>1752226.1728562717</v>
      </c>
      <c r="AN65" s="1091">
        <f>AM65+AG65</f>
        <v>3466650.7104057707</v>
      </c>
      <c r="AO65" s="287"/>
      <c r="AP65" s="287"/>
      <c r="AQ65" s="287"/>
      <c r="AR65" s="287"/>
      <c r="AS65" s="287"/>
      <c r="AT65" s="287"/>
      <c r="AU65" s="1119"/>
      <c r="AV65" s="287"/>
      <c r="AW65" s="287"/>
      <c r="AX65" s="287"/>
      <c r="AY65" s="287"/>
      <c r="AZ65" s="287"/>
      <c r="BG65" s="287"/>
      <c r="BH65" s="287"/>
      <c r="BI65" s="287"/>
      <c r="BJ65" s="287"/>
      <c r="BK65" s="287"/>
      <c r="BL65" s="287"/>
      <c r="BM65" s="287"/>
      <c r="BN65" s="287"/>
      <c r="BO65" s="287"/>
      <c r="BP65" s="287"/>
      <c r="BQ65" s="287"/>
      <c r="BR65" s="287"/>
    </row>
    <row r="66" spans="1:70" hidden="1" outlineLevel="1">
      <c r="A66" s="39" t="s">
        <v>327</v>
      </c>
      <c r="B66" s="2"/>
      <c r="C66" s="2"/>
      <c r="D66" s="1061"/>
      <c r="E66" s="2"/>
      <c r="G66" s="169">
        <f t="shared" ref="G66:J70" si="136">G22*G120*G$152</f>
        <v>1017.2120096512411</v>
      </c>
      <c r="H66" s="169">
        <f t="shared" si="136"/>
        <v>6706.8825304660986</v>
      </c>
      <c r="I66" s="169">
        <f t="shared" si="136"/>
        <v>177.03720613099719</v>
      </c>
      <c r="J66" s="169">
        <f t="shared" si="136"/>
        <v>360.39716962381567</v>
      </c>
      <c r="K66" s="407">
        <f>SUM(G66:J66)</f>
        <v>8261.5289158721516</v>
      </c>
      <c r="L66" s="169"/>
      <c r="N66" s="169">
        <f t="shared" ref="N66:Q70" si="137">N22*N120*N$152</f>
        <v>1596.155607193838</v>
      </c>
      <c r="O66" s="169">
        <f t="shared" si="137"/>
        <v>10524.087462813412</v>
      </c>
      <c r="P66" s="169">
        <f t="shared" si="137"/>
        <v>277.79747640298393</v>
      </c>
      <c r="Q66" s="169">
        <f t="shared" si="137"/>
        <v>565.51629124893157</v>
      </c>
      <c r="R66" s="407">
        <f>SUM(N66:Q66)</f>
        <v>12963.556837659165</v>
      </c>
      <c r="S66" s="80"/>
      <c r="T66" s="169">
        <f t="shared" ref="T66:W70" si="138">T22*T120*T$152</f>
        <v>277.74983673013185</v>
      </c>
      <c r="U66" s="169">
        <f t="shared" si="138"/>
        <v>1831.3149177660807</v>
      </c>
      <c r="V66" s="169">
        <f t="shared" si="138"/>
        <v>48.34002610223034</v>
      </c>
      <c r="W66" s="169">
        <f t="shared" si="138"/>
        <v>98.406481708111755</v>
      </c>
      <c r="X66" s="407">
        <f>SUM(T66:W66)</f>
        <v>2255.8112623065545</v>
      </c>
      <c r="Y66" s="169"/>
      <c r="Z66" s="169"/>
      <c r="AA66" s="169"/>
      <c r="AC66" s="169">
        <f t="shared" ref="AC66:AF70" si="139">AC22*AC120*AC$152</f>
        <v>0</v>
      </c>
      <c r="AD66" s="169">
        <f t="shared" si="139"/>
        <v>0</v>
      </c>
      <c r="AE66" s="169">
        <f t="shared" si="139"/>
        <v>0</v>
      </c>
      <c r="AF66" s="169">
        <f t="shared" si="139"/>
        <v>0</v>
      </c>
      <c r="AG66" s="169">
        <f>SUM(AC66:AF66)</f>
        <v>0</v>
      </c>
      <c r="AI66" s="169">
        <f t="shared" ref="AI66:AL70" si="140">AI22*AI120*AI$152</f>
        <v>1596.155607193838</v>
      </c>
      <c r="AJ66" s="169">
        <f t="shared" si="140"/>
        <v>10524.087462813413</v>
      </c>
      <c r="AK66" s="169">
        <f t="shared" si="140"/>
        <v>277.79747640298382</v>
      </c>
      <c r="AL66" s="169">
        <f t="shared" si="140"/>
        <v>565.51629124893145</v>
      </c>
      <c r="AM66" s="371">
        <f>SUM(AI66:AL66)</f>
        <v>12963.556837659167</v>
      </c>
      <c r="AN66" s="406">
        <f t="shared" si="84"/>
        <v>12963.556837659167</v>
      </c>
      <c r="AU66" s="80"/>
    </row>
    <row r="67" spans="1:70" hidden="1" outlineLevel="1">
      <c r="A67" s="39" t="s">
        <v>429</v>
      </c>
      <c r="B67" s="2"/>
      <c r="C67" s="2"/>
      <c r="D67" s="1061"/>
      <c r="E67" s="2"/>
      <c r="G67" s="169">
        <f t="shared" si="136"/>
        <v>53396.722041050838</v>
      </c>
      <c r="H67" s="169">
        <f t="shared" si="136"/>
        <v>61017.637996249403</v>
      </c>
      <c r="I67" s="169">
        <f t="shared" si="136"/>
        <v>2176.7297306164164</v>
      </c>
      <c r="J67" s="169">
        <f t="shared" si="136"/>
        <v>4431.1998087548473</v>
      </c>
      <c r="K67" s="407">
        <f t="shared" ref="K67:K70" si="141">SUM(G67:J67)</f>
        <v>121022.28957667149</v>
      </c>
      <c r="L67" s="169"/>
      <c r="N67" s="169">
        <f t="shared" si="137"/>
        <v>85455.17754307625</v>
      </c>
      <c r="O67" s="169">
        <f t="shared" si="137"/>
        <v>97651.557790756691</v>
      </c>
      <c r="P67" s="169">
        <f t="shared" si="137"/>
        <v>3483.6000878502186</v>
      </c>
      <c r="Q67" s="169">
        <f t="shared" si="137"/>
        <v>7091.6144645522299</v>
      </c>
      <c r="R67" s="407">
        <f t="shared" ref="R67:R70" si="142">SUM(N67:Q67)</f>
        <v>193681.94988623538</v>
      </c>
      <c r="S67" s="80"/>
      <c r="T67" s="169">
        <f t="shared" si="138"/>
        <v>14870.205325445724</v>
      </c>
      <c r="U67" s="169">
        <f t="shared" si="138"/>
        <v>16992.518843767033</v>
      </c>
      <c r="V67" s="169">
        <f t="shared" si="138"/>
        <v>606.1873612276006</v>
      </c>
      <c r="W67" s="169">
        <f t="shared" si="138"/>
        <v>1234.0242710704722</v>
      </c>
      <c r="X67" s="407">
        <f t="shared" ref="X67:X70" si="143">SUM(T67:W67)</f>
        <v>33702.93580151083</v>
      </c>
      <c r="Y67" s="169"/>
      <c r="Z67" s="169"/>
      <c r="AA67" s="169"/>
      <c r="AC67" s="169">
        <f t="shared" si="139"/>
        <v>0</v>
      </c>
      <c r="AD67" s="169">
        <f t="shared" si="139"/>
        <v>0</v>
      </c>
      <c r="AE67" s="169">
        <f t="shared" si="139"/>
        <v>0</v>
      </c>
      <c r="AF67" s="169">
        <f t="shared" si="139"/>
        <v>0</v>
      </c>
      <c r="AG67" s="169">
        <f t="shared" ref="AG67:AG70" si="144">SUM(AC67:AF67)</f>
        <v>0</v>
      </c>
      <c r="AI67" s="169">
        <f t="shared" si="140"/>
        <v>85455.17754307625</v>
      </c>
      <c r="AJ67" s="169">
        <f t="shared" si="140"/>
        <v>97651.557790756691</v>
      </c>
      <c r="AK67" s="169">
        <f t="shared" si="140"/>
        <v>3483.6000878502168</v>
      </c>
      <c r="AL67" s="169">
        <f t="shared" si="140"/>
        <v>7091.6144645522299</v>
      </c>
      <c r="AM67" s="371">
        <f t="shared" ref="AM67:AM70" si="145">SUM(AI67:AL67)</f>
        <v>193681.94988623538</v>
      </c>
      <c r="AN67" s="406">
        <f t="shared" si="84"/>
        <v>193681.94988623538</v>
      </c>
      <c r="AU67" s="80"/>
    </row>
    <row r="68" spans="1:70" hidden="1" outlineLevel="1">
      <c r="A68" s="39" t="s">
        <v>65</v>
      </c>
      <c r="B68" s="2"/>
      <c r="C68" s="2"/>
      <c r="D68" s="1061"/>
      <c r="E68" s="2"/>
      <c r="G68" s="169">
        <f t="shared" si="136"/>
        <v>556616.98234344064</v>
      </c>
      <c r="H68" s="169">
        <f t="shared" si="136"/>
        <v>335636.99039535067</v>
      </c>
      <c r="I68" s="169">
        <f t="shared" si="136"/>
        <v>15344.900707604409</v>
      </c>
      <c r="J68" s="169">
        <f t="shared" si="136"/>
        <v>31237.833583337542</v>
      </c>
      <c r="K68" s="407">
        <f t="shared" si="141"/>
        <v>938836.70702973311</v>
      </c>
      <c r="L68" s="169"/>
      <c r="N68" s="169">
        <f t="shared" si="137"/>
        <v>916343.00183335575</v>
      </c>
      <c r="O68" s="169">
        <f t="shared" si="137"/>
        <v>552549.80904520932</v>
      </c>
      <c r="P68" s="169">
        <f t="shared" si="137"/>
        <v>25261.881730667454</v>
      </c>
      <c r="Q68" s="169">
        <f t="shared" si="137"/>
        <v>51425.97352314445</v>
      </c>
      <c r="R68" s="407">
        <f t="shared" si="142"/>
        <v>1545580.666132377</v>
      </c>
      <c r="S68" s="80"/>
      <c r="T68" s="169">
        <f t="shared" si="138"/>
        <v>159454.45293737279</v>
      </c>
      <c r="U68" s="169">
        <f t="shared" si="138"/>
        <v>96150.161397725737</v>
      </c>
      <c r="V68" s="169">
        <f t="shared" si="138"/>
        <v>4395.8643471636788</v>
      </c>
      <c r="W68" s="169">
        <f t="shared" si="138"/>
        <v>8948.7238495832007</v>
      </c>
      <c r="X68" s="407">
        <f t="shared" si="143"/>
        <v>268949.20253184543</v>
      </c>
      <c r="Y68" s="169"/>
      <c r="Z68" s="169"/>
      <c r="AA68" s="169"/>
      <c r="AC68" s="169">
        <f t="shared" si="139"/>
        <v>0</v>
      </c>
      <c r="AD68" s="169">
        <f t="shared" si="139"/>
        <v>0</v>
      </c>
      <c r="AE68" s="169">
        <f t="shared" si="139"/>
        <v>0</v>
      </c>
      <c r="AF68" s="169">
        <f t="shared" si="139"/>
        <v>0</v>
      </c>
      <c r="AG68" s="169">
        <f t="shared" si="144"/>
        <v>0</v>
      </c>
      <c r="AI68" s="169">
        <f t="shared" si="140"/>
        <v>916343.00183335587</v>
      </c>
      <c r="AJ68" s="169">
        <f t="shared" si="140"/>
        <v>552549.80904520943</v>
      </c>
      <c r="AK68" s="169">
        <f t="shared" si="140"/>
        <v>25261.881730667443</v>
      </c>
      <c r="AL68" s="169">
        <f t="shared" si="140"/>
        <v>51425.973523144436</v>
      </c>
      <c r="AM68" s="371">
        <f t="shared" si="145"/>
        <v>1545580.6661323772</v>
      </c>
      <c r="AN68" s="406">
        <f t="shared" si="84"/>
        <v>1545580.6661323772</v>
      </c>
      <c r="AU68" s="80"/>
    </row>
    <row r="69" spans="1:70" hidden="1" outlineLevel="1">
      <c r="A69" s="39" t="s">
        <v>66</v>
      </c>
      <c r="B69" s="2"/>
      <c r="C69" s="2"/>
      <c r="D69" s="1061"/>
      <c r="E69" s="2"/>
      <c r="G69" s="169">
        <f t="shared" si="136"/>
        <v>4038149.1995333685</v>
      </c>
      <c r="H69" s="169">
        <f t="shared" si="136"/>
        <v>1570177.1557804632</v>
      </c>
      <c r="I69" s="169">
        <f t="shared" si="136"/>
        <v>90178.659104144375</v>
      </c>
      <c r="J69" s="169">
        <f t="shared" si="136"/>
        <v>183577.98460486534</v>
      </c>
      <c r="K69" s="407">
        <f t="shared" si="141"/>
        <v>5882082.9990228415</v>
      </c>
      <c r="L69" s="169"/>
      <c r="N69" s="169">
        <f t="shared" si="137"/>
        <v>6763803.8118673135</v>
      </c>
      <c r="O69" s="169">
        <f t="shared" si="137"/>
        <v>2630009.3698375775</v>
      </c>
      <c r="P69" s="169">
        <f t="shared" si="137"/>
        <v>151047.10798406808</v>
      </c>
      <c r="Q69" s="169">
        <f t="shared" si="137"/>
        <v>307488.75553899567</v>
      </c>
      <c r="R69" s="407">
        <f t="shared" si="142"/>
        <v>9852349.0452279542</v>
      </c>
      <c r="S69" s="80"/>
      <c r="T69" s="169">
        <f t="shared" si="138"/>
        <v>1176981.3644445294</v>
      </c>
      <c r="U69" s="169">
        <f t="shared" si="138"/>
        <v>457652.54326008441</v>
      </c>
      <c r="V69" s="169">
        <f t="shared" si="138"/>
        <v>26283.972184197373</v>
      </c>
      <c r="W69" s="169">
        <f t="shared" si="138"/>
        <v>53506.657660687495</v>
      </c>
      <c r="X69" s="407">
        <f t="shared" si="143"/>
        <v>1714424.5375494987</v>
      </c>
      <c r="Y69" s="169"/>
      <c r="Z69" s="169"/>
      <c r="AA69" s="169"/>
      <c r="AC69" s="169">
        <f t="shared" si="139"/>
        <v>1176981.3644445294</v>
      </c>
      <c r="AD69" s="169">
        <f t="shared" si="139"/>
        <v>457652.54326008447</v>
      </c>
      <c r="AE69" s="169">
        <f t="shared" si="139"/>
        <v>26283.972184197373</v>
      </c>
      <c r="AF69" s="169">
        <f t="shared" si="139"/>
        <v>53506.657660687502</v>
      </c>
      <c r="AG69" s="169">
        <f t="shared" si="144"/>
        <v>1714424.5375494987</v>
      </c>
      <c r="AI69" s="169">
        <f t="shared" si="140"/>
        <v>0</v>
      </c>
      <c r="AJ69" s="169">
        <f t="shared" si="140"/>
        <v>0</v>
      </c>
      <c r="AK69" s="169">
        <f t="shared" si="140"/>
        <v>0</v>
      </c>
      <c r="AL69" s="169">
        <f t="shared" si="140"/>
        <v>0</v>
      </c>
      <c r="AM69" s="371">
        <f t="shared" si="145"/>
        <v>0</v>
      </c>
      <c r="AN69" s="406">
        <f t="shared" si="84"/>
        <v>1714424.5375494987</v>
      </c>
      <c r="AU69" s="80"/>
    </row>
    <row r="70" spans="1:70" hidden="1" outlineLevel="1">
      <c r="A70" s="39" t="s">
        <v>328</v>
      </c>
      <c r="B70" s="2"/>
      <c r="C70" s="2"/>
      <c r="D70" s="1061"/>
      <c r="E70" s="2"/>
      <c r="G70" s="169">
        <f t="shared" si="136"/>
        <v>0</v>
      </c>
      <c r="H70" s="169">
        <f t="shared" si="136"/>
        <v>0</v>
      </c>
      <c r="I70" s="169">
        <f t="shared" si="136"/>
        <v>0</v>
      </c>
      <c r="J70" s="169">
        <f t="shared" si="136"/>
        <v>0</v>
      </c>
      <c r="K70" s="407">
        <f t="shared" si="141"/>
        <v>0</v>
      </c>
      <c r="L70" s="169"/>
      <c r="N70" s="169">
        <f t="shared" si="137"/>
        <v>0</v>
      </c>
      <c r="O70" s="169">
        <f t="shared" si="137"/>
        <v>0</v>
      </c>
      <c r="P70" s="169">
        <f t="shared" si="137"/>
        <v>0</v>
      </c>
      <c r="Q70" s="169">
        <f t="shared" si="137"/>
        <v>0</v>
      </c>
      <c r="R70" s="407">
        <f t="shared" si="142"/>
        <v>0</v>
      </c>
      <c r="S70" s="80"/>
      <c r="T70" s="169">
        <f t="shared" si="138"/>
        <v>0</v>
      </c>
      <c r="U70" s="169">
        <f t="shared" si="138"/>
        <v>0</v>
      </c>
      <c r="V70" s="169">
        <f t="shared" si="138"/>
        <v>0</v>
      </c>
      <c r="W70" s="169">
        <f t="shared" si="138"/>
        <v>0</v>
      </c>
      <c r="X70" s="407">
        <f t="shared" si="143"/>
        <v>0</v>
      </c>
      <c r="Y70" s="169"/>
      <c r="Z70" s="169"/>
      <c r="AA70" s="169"/>
      <c r="AC70" s="169">
        <f t="shared" si="139"/>
        <v>0</v>
      </c>
      <c r="AD70" s="169">
        <f t="shared" si="139"/>
        <v>0</v>
      </c>
      <c r="AE70" s="169">
        <f t="shared" si="139"/>
        <v>0</v>
      </c>
      <c r="AF70" s="169">
        <f t="shared" si="139"/>
        <v>0</v>
      </c>
      <c r="AG70" s="169">
        <f t="shared" si="144"/>
        <v>0</v>
      </c>
      <c r="AI70" s="169">
        <f t="shared" si="140"/>
        <v>0</v>
      </c>
      <c r="AJ70" s="169">
        <f t="shared" si="140"/>
        <v>0</v>
      </c>
      <c r="AK70" s="169">
        <f t="shared" si="140"/>
        <v>0</v>
      </c>
      <c r="AL70" s="169">
        <f t="shared" si="140"/>
        <v>0</v>
      </c>
      <c r="AM70" s="371">
        <f t="shared" si="145"/>
        <v>0</v>
      </c>
      <c r="AN70" s="406">
        <f t="shared" si="84"/>
        <v>0</v>
      </c>
      <c r="AU70" s="80"/>
    </row>
    <row r="71" spans="1:70" s="1181" customFormat="1" ht="20" collapsed="1">
      <c r="A71" s="1176" t="s">
        <v>501</v>
      </c>
      <c r="B71" s="103"/>
      <c r="C71" s="103"/>
      <c r="D71" s="1177"/>
      <c r="E71" s="103"/>
      <c r="F71" s="257"/>
      <c r="G71" s="275">
        <f>G21*G167</f>
        <v>6917347.3101720139</v>
      </c>
      <c r="H71" s="275">
        <f>H21*H167</f>
        <v>2889524.8257680563</v>
      </c>
      <c r="I71" s="275">
        <f>I21*I167</f>
        <v>159361.67220902618</v>
      </c>
      <c r="J71" s="275">
        <f>J21*J167</f>
        <v>324414.83271123178</v>
      </c>
      <c r="K71" s="1178">
        <f>SUM(G71:J71)</f>
        <v>10290648.640860328</v>
      </c>
      <c r="L71" s="276"/>
      <c r="M71" s="25"/>
      <c r="N71" s="275">
        <f>N21*N167</f>
        <v>0</v>
      </c>
      <c r="O71" s="275">
        <f>O21*O167</f>
        <v>0</v>
      </c>
      <c r="P71" s="275">
        <f>P21*P167</f>
        <v>0</v>
      </c>
      <c r="Q71" s="275">
        <f>Q21*Q167</f>
        <v>0</v>
      </c>
      <c r="R71" s="1178">
        <f>SUM(N71:Q71)</f>
        <v>0</v>
      </c>
      <c r="S71" s="277"/>
      <c r="T71" s="275">
        <f>T19*T167</f>
        <v>0</v>
      </c>
      <c r="U71" s="275">
        <f>U19*U167</f>
        <v>0</v>
      </c>
      <c r="V71" s="275">
        <f>V19*V167</f>
        <v>0</v>
      </c>
      <c r="W71" s="275">
        <f>W19*W167</f>
        <v>0</v>
      </c>
      <c r="X71" s="1312">
        <f>SUM(T71:W71)</f>
        <v>0</v>
      </c>
      <c r="Y71" s="275"/>
      <c r="Z71" s="275"/>
      <c r="AA71" s="275"/>
      <c r="AB71" s="25"/>
      <c r="AC71" s="275">
        <f>AC19*AC167</f>
        <v>0</v>
      </c>
      <c r="AD71" s="275">
        <f>AD19*AD167</f>
        <v>0</v>
      </c>
      <c r="AE71" s="275">
        <f>AE19*AE167</f>
        <v>0</v>
      </c>
      <c r="AF71" s="275">
        <f>AF19*AF167</f>
        <v>0</v>
      </c>
      <c r="AG71" s="275">
        <f>SUM(AC71:AF71)</f>
        <v>0</v>
      </c>
      <c r="AH71" s="1179"/>
      <c r="AI71" s="275">
        <f>AI21*AI167</f>
        <v>0</v>
      </c>
      <c r="AJ71" s="275">
        <f>AJ21*AJ167</f>
        <v>0</v>
      </c>
      <c r="AK71" s="275">
        <f>AK21*AK167</f>
        <v>0</v>
      </c>
      <c r="AL71" s="275">
        <f>AL21*AL167</f>
        <v>0</v>
      </c>
      <c r="AM71" s="1180">
        <f>SUM(AI71:AL71)</f>
        <v>0</v>
      </c>
      <c r="AN71" s="406">
        <f t="shared" si="84"/>
        <v>0</v>
      </c>
      <c r="AO71" s="25"/>
      <c r="AP71" s="25"/>
      <c r="AQ71" s="25"/>
      <c r="AR71" s="25"/>
      <c r="AS71" s="25"/>
      <c r="AT71" s="25"/>
      <c r="AU71" s="277"/>
      <c r="AV71" s="25"/>
      <c r="AW71" s="25"/>
      <c r="AX71" s="25"/>
      <c r="AY71" s="25"/>
      <c r="AZ71" s="25"/>
      <c r="BG71" s="25"/>
      <c r="BH71" s="25"/>
      <c r="BI71" s="25"/>
      <c r="BJ71" s="25"/>
      <c r="BK71" s="25"/>
      <c r="BL71" s="25"/>
      <c r="BM71" s="25"/>
      <c r="BN71" s="25"/>
      <c r="BO71" s="25"/>
      <c r="BP71" s="25"/>
      <c r="BQ71" s="25"/>
      <c r="BR71" s="25"/>
    </row>
    <row r="72" spans="1:70">
      <c r="A72" s="13"/>
      <c r="B72" s="13"/>
      <c r="C72" s="13"/>
      <c r="D72" s="13"/>
      <c r="E72" s="13"/>
      <c r="G72" s="169"/>
      <c r="H72" s="169"/>
      <c r="I72" s="169"/>
      <c r="J72" s="169"/>
      <c r="K72" s="406"/>
      <c r="L72" s="671"/>
      <c r="N72" s="169"/>
      <c r="O72" s="169"/>
      <c r="P72" s="169"/>
      <c r="Q72" s="169"/>
      <c r="R72" s="406"/>
      <c r="S72" s="80"/>
      <c r="T72" s="169"/>
      <c r="U72" s="169"/>
      <c r="V72" s="169"/>
      <c r="W72" s="169"/>
      <c r="X72" s="407"/>
      <c r="Y72" s="169"/>
      <c r="Z72" s="169"/>
      <c r="AA72" s="169"/>
      <c r="AC72" s="169"/>
      <c r="AD72" s="169"/>
      <c r="AE72" s="169"/>
      <c r="AF72" s="169"/>
      <c r="AG72" s="169"/>
      <c r="AH72" s="1"/>
      <c r="AI72" s="169"/>
      <c r="AJ72" s="169"/>
      <c r="AK72" s="169"/>
      <c r="AL72" s="169"/>
      <c r="AM72" s="671"/>
      <c r="AN72" s="406"/>
      <c r="AU72" s="80"/>
    </row>
    <row r="73" spans="1:70">
      <c r="A73" s="13"/>
      <c r="B73" s="13"/>
      <c r="C73" s="13"/>
      <c r="D73" s="13"/>
      <c r="E73" s="13"/>
      <c r="G73" s="169"/>
      <c r="H73" s="169"/>
      <c r="I73" s="169"/>
      <c r="J73" s="169"/>
      <c r="K73" s="406"/>
      <c r="L73" s="671"/>
      <c r="N73" s="169"/>
      <c r="O73" s="169"/>
      <c r="P73" s="169"/>
      <c r="Q73" s="169"/>
      <c r="R73" s="406"/>
      <c r="S73" s="80"/>
      <c r="T73" s="169"/>
      <c r="U73" s="169"/>
      <c r="V73" s="169"/>
      <c r="W73" s="169"/>
      <c r="X73" s="407"/>
      <c r="Y73" s="169"/>
      <c r="Z73" s="169"/>
      <c r="AA73" s="169"/>
      <c r="AC73" s="169"/>
      <c r="AD73" s="169"/>
      <c r="AE73" s="169"/>
      <c r="AF73" s="169"/>
      <c r="AG73" s="169"/>
      <c r="AH73" s="1"/>
      <c r="AI73" s="169"/>
      <c r="AJ73" s="169"/>
      <c r="AK73" s="169"/>
      <c r="AL73" s="169"/>
      <c r="AM73" s="671"/>
      <c r="AN73" s="406"/>
      <c r="AU73" s="80"/>
    </row>
    <row r="74" spans="1:70" s="1185" customFormat="1" ht="60">
      <c r="A74" s="1182" t="s">
        <v>614</v>
      </c>
      <c r="B74" s="1183"/>
      <c r="C74" s="1183"/>
      <c r="D74" s="1184"/>
      <c r="E74" s="1183"/>
      <c r="G74" s="1186">
        <f>G44-G50</f>
        <v>20829100.950193673</v>
      </c>
      <c r="H74" s="1186">
        <f>H44-H50</f>
        <v>9317909.1506052092</v>
      </c>
      <c r="I74" s="1186">
        <f>I44-I50</f>
        <v>386995.58245555824</v>
      </c>
      <c r="J74" s="1186">
        <f>J44-J50</f>
        <v>903951.8754158006</v>
      </c>
      <c r="K74" s="1187">
        <f t="shared" si="95"/>
        <v>31437957.558670241</v>
      </c>
      <c r="L74" s="1188"/>
      <c r="M74" s="1188"/>
      <c r="N74" s="1186">
        <f>N44-N50</f>
        <v>84942282.577504128</v>
      </c>
      <c r="O74" s="1186">
        <f>O44-O50</f>
        <v>36431328.886755355</v>
      </c>
      <c r="P74" s="1186">
        <f>P44-P50</f>
        <v>1872150.4098911188</v>
      </c>
      <c r="Q74" s="1186">
        <f>Q44-Q50</f>
        <v>3927302.7741239062</v>
      </c>
      <c r="R74" s="1684">
        <f t="shared" ref="R74" si="146">SUM(N74:Q74)</f>
        <v>127173064.6482745</v>
      </c>
      <c r="S74" s="1188"/>
      <c r="T74" s="1186">
        <f>T44-T50</f>
        <v>21480860.250507671</v>
      </c>
      <c r="U74" s="1186">
        <f>U44-U50</f>
        <v>9084242.0640697647</v>
      </c>
      <c r="V74" s="1186">
        <f>V44-V50</f>
        <v>389640.34391809715</v>
      </c>
      <c r="W74" s="1186">
        <f>W44-W50</f>
        <v>909335.85410739784</v>
      </c>
      <c r="X74" s="1187">
        <f t="shared" ref="X74" si="147">SUM(T74:W74)</f>
        <v>31864078.512602933</v>
      </c>
      <c r="Y74" s="1189"/>
      <c r="Z74" s="1189"/>
      <c r="AA74" s="1189"/>
      <c r="AB74" s="1188"/>
      <c r="AC74" s="1186">
        <f>AC44-AC50</f>
        <v>18634820.807336066</v>
      </c>
      <c r="AD74" s="1186">
        <f>AD44-AD50</f>
        <v>7186360.5066134799</v>
      </c>
      <c r="AE74" s="1186">
        <f>AE44-AE50</f>
        <v>320924.53977707605</v>
      </c>
      <c r="AF74" s="1186">
        <f>AF44-AF50</f>
        <v>754186.52619863977</v>
      </c>
      <c r="AG74" s="1190">
        <f t="shared" si="76"/>
        <v>26896292.379925266</v>
      </c>
      <c r="AH74" s="1191"/>
      <c r="AI74" s="1186">
        <f>AI44-AI50</f>
        <v>12017508.032344937</v>
      </c>
      <c r="AJ74" s="1186">
        <f>AJ44-AJ50</f>
        <v>8135088.3496173583</v>
      </c>
      <c r="AK74" s="1186">
        <f>AK44-AK50</f>
        <v>338839.95047822007</v>
      </c>
      <c r="AL74" s="1186">
        <f>AL44-AL50</f>
        <v>705044.91152377019</v>
      </c>
      <c r="AM74" s="1192">
        <f t="shared" ref="AM74" si="148">SUM(AI74:AL74)</f>
        <v>21196481.243964285</v>
      </c>
      <c r="AN74" s="1187">
        <f>AM74+AG74</f>
        <v>48092773.623889551</v>
      </c>
      <c r="AO74" s="1188"/>
      <c r="AP74" s="1188"/>
      <c r="AQ74" s="1188"/>
      <c r="AR74" s="1188"/>
      <c r="AS74" s="1188"/>
      <c r="AT74" s="1188"/>
      <c r="AU74" s="1188"/>
      <c r="AV74" s="1188"/>
      <c r="AW74" s="1188"/>
      <c r="AX74" s="1188"/>
      <c r="AY74" s="1188"/>
      <c r="AZ74" s="1188"/>
      <c r="BG74" s="1188"/>
      <c r="BH74" s="1188"/>
      <c r="BI74" s="1188"/>
      <c r="BJ74" s="1188"/>
      <c r="BK74" s="1188"/>
      <c r="BL74" s="1188"/>
      <c r="BM74" s="1188"/>
      <c r="BN74" s="1188"/>
      <c r="BO74" s="1188"/>
      <c r="BP74" s="1188"/>
      <c r="BQ74" s="1188"/>
      <c r="BR74" s="1188"/>
    </row>
    <row r="75" spans="1:70">
      <c r="G75" s="139"/>
      <c r="R75" s="1385">
        <f>R74/K74</f>
        <v>4.0452075937484553</v>
      </c>
      <c r="AN75" s="406"/>
    </row>
    <row r="76" spans="1:70" s="679" customFormat="1" ht="60">
      <c r="A76" s="568" t="s">
        <v>613</v>
      </c>
      <c r="B76" s="932"/>
      <c r="C76" s="932"/>
      <c r="D76" s="1065"/>
      <c r="E76" s="932"/>
      <c r="G76" s="492">
        <f>G19*G139</f>
        <v>0</v>
      </c>
      <c r="H76" s="492">
        <f>H19*H139</f>
        <v>0</v>
      </c>
      <c r="I76" s="492">
        <f>I6*I139</f>
        <v>5200000.0000000093</v>
      </c>
      <c r="J76" s="492">
        <f>J6*J139</f>
        <v>49320000</v>
      </c>
      <c r="K76" s="674">
        <f>SUM(G76:J76)</f>
        <v>54520000.000000007</v>
      </c>
      <c r="L76" s="677"/>
      <c r="M76" s="493"/>
      <c r="N76" s="492">
        <f>N21*N140</f>
        <v>50775659.627783149</v>
      </c>
      <c r="O76" s="492">
        <f>O21*O140</f>
        <v>21210085.667301822</v>
      </c>
      <c r="P76" s="492">
        <f>P6*P139</f>
        <v>6240000.0000000112</v>
      </c>
      <c r="Q76" s="492">
        <f>Q6*Q139</f>
        <v>59184000</v>
      </c>
      <c r="R76" s="674">
        <f>SUM(N76:Q76)</f>
        <v>137409745.29508498</v>
      </c>
      <c r="S76" s="494"/>
      <c r="T76" s="492">
        <f>T21*T140</f>
        <v>8835561.5880556498</v>
      </c>
      <c r="U76" s="492">
        <f>U21*U140</f>
        <v>3690804.2076688157</v>
      </c>
      <c r="V76" s="492">
        <f>V6*V139</f>
        <v>6240000.0000000112</v>
      </c>
      <c r="W76" s="492">
        <f>W6*W139</f>
        <v>59184000</v>
      </c>
      <c r="X76" s="674">
        <f>SUM(T76:W76)</f>
        <v>77950365.795724481</v>
      </c>
      <c r="Y76" s="677"/>
      <c r="Z76" s="677"/>
      <c r="AA76" s="677"/>
      <c r="AB76" s="493"/>
      <c r="AC76" s="492">
        <f>AC21*AC140</f>
        <v>7837833.7254907619</v>
      </c>
      <c r="AD76" s="492">
        <f>AD21*AD140</f>
        <v>3047630.6987353014</v>
      </c>
      <c r="AE76" s="492">
        <f>AE6*AE139</f>
        <v>5365665.4744956521</v>
      </c>
      <c r="AF76" s="492">
        <f>AF6*AF139</f>
        <v>50891273.308100976</v>
      </c>
      <c r="AG76" s="677">
        <f>SUM(AC76:AF76)</f>
        <v>67142403.206822693</v>
      </c>
      <c r="AH76" s="691"/>
      <c r="AI76" s="492">
        <f>AI21*AI140</f>
        <v>5733680.8584114807</v>
      </c>
      <c r="AJ76" s="492">
        <f>AJ21*AJ140</f>
        <v>3696149.7971292734</v>
      </c>
      <c r="AK76" s="492">
        <f>AK6*AK139</f>
        <v>874334.52550435893</v>
      </c>
      <c r="AL76" s="492">
        <f>AL6*AL139</f>
        <v>8292726.6918990249</v>
      </c>
      <c r="AM76" s="689">
        <f>SUM(AI76:AL76)</f>
        <v>18596891.872944135</v>
      </c>
      <c r="AN76" s="674">
        <f>AM76+AG76</f>
        <v>85739295.079766825</v>
      </c>
      <c r="AO76" s="493"/>
      <c r="AP76" s="493"/>
      <c r="AQ76" s="493"/>
      <c r="AR76" s="493"/>
      <c r="AS76" s="493"/>
      <c r="AT76" s="493"/>
      <c r="AU76" s="494"/>
      <c r="AV76" s="493"/>
      <c r="AW76" s="493"/>
      <c r="AX76" s="493"/>
      <c r="AY76" s="493"/>
      <c r="AZ76" s="493"/>
      <c r="BG76" s="493"/>
      <c r="BH76" s="493"/>
      <c r="BI76" s="493"/>
      <c r="BJ76" s="493"/>
      <c r="BK76" s="493"/>
      <c r="BL76" s="493"/>
      <c r="BM76" s="493"/>
      <c r="BN76" s="493"/>
      <c r="BO76" s="493"/>
      <c r="BP76" s="493"/>
      <c r="BQ76" s="493"/>
      <c r="BR76" s="493"/>
    </row>
    <row r="77" spans="1:70">
      <c r="G77" s="139"/>
      <c r="AN77" s="406"/>
    </row>
    <row r="78" spans="1:70" s="727" customFormat="1" ht="21" thickBot="1">
      <c r="A78" s="569" t="s">
        <v>612</v>
      </c>
      <c r="B78" s="933"/>
      <c r="C78" s="933"/>
      <c r="D78" s="1067"/>
      <c r="E78" s="933"/>
      <c r="G78" s="571">
        <f>G74+G76</f>
        <v>20829100.950193673</v>
      </c>
      <c r="H78" s="571">
        <f>H74+H76</f>
        <v>9317909.1506052092</v>
      </c>
      <c r="I78" s="571">
        <f>I74+I76</f>
        <v>5586995.582455568</v>
      </c>
      <c r="J78" s="571">
        <f>J74+J76</f>
        <v>50223951.875415802</v>
      </c>
      <c r="K78" s="874">
        <f>SUM(G78:J78)</f>
        <v>85957957.558670253</v>
      </c>
      <c r="L78" s="574"/>
      <c r="M78" s="574"/>
      <c r="N78" s="571">
        <f>N74+N76</f>
        <v>135717942.20528728</v>
      </c>
      <c r="O78" s="571">
        <f>O74+O76</f>
        <v>57641414.554057181</v>
      </c>
      <c r="P78" s="571">
        <f>P74+P76</f>
        <v>8112150.4098911304</v>
      </c>
      <c r="Q78" s="571">
        <f>Q74+Q76</f>
        <v>63111302.774123907</v>
      </c>
      <c r="R78" s="874">
        <f>SUM(N78:Q78)</f>
        <v>264582809.94335949</v>
      </c>
      <c r="S78" s="575"/>
      <c r="T78" s="571">
        <f>T74+T76</f>
        <v>30316421.838563323</v>
      </c>
      <c r="U78" s="571">
        <f>U74+U76</f>
        <v>12775046.271738581</v>
      </c>
      <c r="V78" s="571">
        <f>V74+V76</f>
        <v>6629640.3439181084</v>
      </c>
      <c r="W78" s="571">
        <f>W74+W76</f>
        <v>60093335.854107395</v>
      </c>
      <c r="X78" s="874">
        <f>SUM(T78:W78)</f>
        <v>109814444.30832741</v>
      </c>
      <c r="Y78" s="872"/>
      <c r="Z78" s="872"/>
      <c r="AA78" s="872"/>
      <c r="AB78" s="574"/>
      <c r="AC78" s="571">
        <f>AC74+AC76</f>
        <v>26472654.532826826</v>
      </c>
      <c r="AD78" s="571">
        <f>AD74+AD76</f>
        <v>10233991.205348782</v>
      </c>
      <c r="AE78" s="571">
        <f>AE74+AE76</f>
        <v>5686590.014272728</v>
      </c>
      <c r="AF78" s="571">
        <f>AF74+AF76</f>
        <v>51645459.834299617</v>
      </c>
      <c r="AG78" s="869">
        <f>SUM(AC78:AF78)</f>
        <v>94038695.586747944</v>
      </c>
      <c r="AH78" s="692"/>
      <c r="AI78" s="571">
        <f>AI74+AI76</f>
        <v>17751188.890756417</v>
      </c>
      <c r="AJ78" s="571">
        <f>AJ74+AJ76</f>
        <v>11831238.146746632</v>
      </c>
      <c r="AK78" s="571">
        <f>AK74+AK76</f>
        <v>1213174.4759825789</v>
      </c>
      <c r="AL78" s="571">
        <f>AL74+AL76</f>
        <v>8997771.6034227945</v>
      </c>
      <c r="AM78" s="870">
        <f>SUM(AI78:AL78)</f>
        <v>39793373.116908424</v>
      </c>
      <c r="AN78" s="874">
        <f>AM78+AG78</f>
        <v>133832068.70365638</v>
      </c>
      <c r="AO78" s="574"/>
      <c r="AP78" s="574"/>
      <c r="AQ78" s="574"/>
      <c r="AR78" s="574"/>
      <c r="AS78" s="574"/>
      <c r="AT78" s="574"/>
      <c r="AU78" s="575"/>
      <c r="AV78" s="574"/>
      <c r="AW78" s="574"/>
      <c r="AX78" s="574"/>
      <c r="AY78" s="574"/>
      <c r="AZ78" s="574"/>
      <c r="BG78" s="574"/>
      <c r="BH78" s="574"/>
      <c r="BI78" s="574"/>
      <c r="BJ78" s="574"/>
      <c r="BK78" s="574"/>
      <c r="BL78" s="574"/>
      <c r="BM78" s="574"/>
      <c r="BN78" s="574"/>
      <c r="BO78" s="574"/>
      <c r="BP78" s="574"/>
      <c r="BQ78" s="574"/>
      <c r="BR78" s="574"/>
    </row>
    <row r="79" spans="1:70">
      <c r="R79" s="1385">
        <f>R78/K78</f>
        <v>3.0780490539548895</v>
      </c>
    </row>
    <row r="80" spans="1:70">
      <c r="K80" s="407"/>
      <c r="L80" s="169"/>
      <c r="R80" s="1246">
        <f>(R78-K78)/K78</f>
        <v>2.0780490539548895</v>
      </c>
      <c r="S80" s="939"/>
    </row>
    <row r="81" spans="1:70" s="425" customFormat="1" ht="20">
      <c r="A81" s="558" t="s">
        <v>295</v>
      </c>
      <c r="B81" s="355"/>
      <c r="C81" s="355"/>
      <c r="D81" s="1068"/>
      <c r="E81" s="355"/>
      <c r="F81" s="452"/>
      <c r="G81" s="355"/>
      <c r="H81" s="355"/>
      <c r="I81" s="355"/>
      <c r="J81" s="355"/>
      <c r="K81" s="498"/>
      <c r="L81" s="355"/>
      <c r="M81" s="43"/>
      <c r="N81" s="43"/>
      <c r="O81" s="43"/>
      <c r="P81" s="43"/>
      <c r="Q81" s="43"/>
      <c r="R81" s="503"/>
      <c r="S81" s="43"/>
      <c r="T81" s="43"/>
      <c r="U81" s="43"/>
      <c r="V81" s="43"/>
      <c r="W81" s="43"/>
      <c r="X81" s="503"/>
      <c r="Y81" s="43"/>
      <c r="Z81" s="43"/>
      <c r="AA81" s="43"/>
      <c r="AB81" s="355"/>
      <c r="AC81" s="355"/>
      <c r="AD81" s="355"/>
      <c r="AE81" s="355"/>
      <c r="AF81" s="355"/>
      <c r="AG81" s="355"/>
      <c r="AH81" s="820"/>
      <c r="AI81" s="355"/>
      <c r="AJ81" s="355"/>
      <c r="AK81" s="355"/>
      <c r="AL81" s="355"/>
      <c r="AM81" s="821"/>
      <c r="AN81" s="498"/>
      <c r="AO81" s="355"/>
      <c r="AP81" s="355"/>
      <c r="AQ81" s="355"/>
      <c r="AR81" s="355"/>
      <c r="AS81" s="355"/>
      <c r="AT81" s="355"/>
      <c r="AU81" s="43"/>
      <c r="AV81" s="43"/>
      <c r="AW81" s="43"/>
      <c r="AX81" s="43"/>
      <c r="AY81" s="43"/>
      <c r="AZ81" s="43"/>
      <c r="BG81" s="43"/>
      <c r="BH81" s="43"/>
      <c r="BI81" s="43"/>
      <c r="BJ81" s="43"/>
      <c r="BK81" s="43"/>
      <c r="BL81" s="43"/>
      <c r="BM81" s="43"/>
      <c r="BN81" s="43"/>
      <c r="BO81" s="43"/>
      <c r="BP81" s="43"/>
      <c r="BQ81" s="43"/>
      <c r="BR81" s="43"/>
    </row>
    <row r="82" spans="1:70" s="418" customFormat="1" ht="20" hidden="1" outlineLevel="1">
      <c r="A82" s="1041" t="s">
        <v>332</v>
      </c>
      <c r="B82" s="417"/>
      <c r="C82" s="417"/>
      <c r="D82" s="1069"/>
      <c r="E82" s="417"/>
      <c r="G82" s="419"/>
      <c r="H82" s="420"/>
      <c r="I82" s="420"/>
      <c r="J82" s="420"/>
      <c r="K82" s="500"/>
      <c r="L82" s="420"/>
      <c r="M82" s="421"/>
      <c r="N82" s="421"/>
      <c r="O82" s="421"/>
      <c r="P82" s="421"/>
      <c r="Q82" s="421"/>
      <c r="R82" s="531"/>
      <c r="S82" s="421"/>
      <c r="T82" s="420"/>
      <c r="U82" s="420"/>
      <c r="V82" s="420"/>
      <c r="W82" s="420"/>
      <c r="X82" s="500"/>
      <c r="Y82" s="420"/>
      <c r="Z82" s="420"/>
      <c r="AA82" s="420"/>
      <c r="AB82" s="420"/>
      <c r="AC82" s="420"/>
      <c r="AD82" s="420"/>
      <c r="AE82" s="420"/>
      <c r="AF82" s="420"/>
      <c r="AG82" s="420"/>
      <c r="AH82" s="822"/>
      <c r="AI82" s="420"/>
      <c r="AJ82" s="420"/>
      <c r="AK82" s="420"/>
      <c r="AL82" s="420"/>
      <c r="AM82" s="823"/>
      <c r="AN82" s="500"/>
      <c r="AO82" s="417"/>
      <c r="AP82" s="417"/>
      <c r="AQ82" s="417"/>
      <c r="AR82" s="417"/>
      <c r="AS82" s="417"/>
      <c r="AT82" s="417"/>
      <c r="AU82" s="421"/>
      <c r="AV82" s="421"/>
      <c r="AW82" s="421"/>
      <c r="AX82" s="421"/>
      <c r="AY82" s="421"/>
      <c r="AZ82" s="421"/>
      <c r="BG82" s="421"/>
      <c r="BH82" s="421"/>
      <c r="BI82" s="421"/>
      <c r="BJ82" s="421"/>
      <c r="BK82" s="421"/>
      <c r="BL82" s="421"/>
      <c r="BM82" s="421"/>
      <c r="BN82" s="421"/>
      <c r="BO82" s="421"/>
      <c r="BP82" s="421"/>
      <c r="BQ82" s="421"/>
      <c r="BR82" s="421"/>
    </row>
    <row r="83" spans="1:70" s="801" customFormat="1" hidden="1" outlineLevel="1">
      <c r="A83" s="1042" t="s">
        <v>507</v>
      </c>
      <c r="B83" s="934"/>
      <c r="C83" s="934"/>
      <c r="D83" s="1070"/>
      <c r="E83" s="934"/>
      <c r="G83" s="802"/>
      <c r="H83" s="803"/>
      <c r="I83" s="803"/>
      <c r="J83" s="803"/>
      <c r="K83" s="804"/>
      <c r="L83" s="803"/>
      <c r="M83" s="806"/>
      <c r="N83" s="806"/>
      <c r="O83" s="806"/>
      <c r="P83" s="806"/>
      <c r="Q83" s="806"/>
      <c r="R83" s="807"/>
      <c r="S83" s="806"/>
      <c r="T83" s="803"/>
      <c r="U83" s="803"/>
      <c r="V83" s="803"/>
      <c r="W83" s="803"/>
      <c r="X83" s="804"/>
      <c r="Y83" s="803"/>
      <c r="Z83" s="803"/>
      <c r="AA83" s="803"/>
      <c r="AB83" s="803"/>
      <c r="AC83" s="803"/>
      <c r="AD83" s="803"/>
      <c r="AE83" s="803"/>
      <c r="AF83" s="803"/>
      <c r="AG83" s="803"/>
      <c r="AH83" s="824"/>
      <c r="AI83" s="803"/>
      <c r="AJ83" s="803"/>
      <c r="AK83" s="803"/>
      <c r="AL83" s="803"/>
      <c r="AM83" s="825"/>
      <c r="AN83" s="804"/>
      <c r="AO83" s="809"/>
      <c r="AP83" s="809"/>
      <c r="AQ83" s="809"/>
      <c r="AR83" s="809"/>
      <c r="AS83" s="809"/>
      <c r="AT83" s="809"/>
      <c r="AU83" s="806"/>
      <c r="AV83" s="806"/>
      <c r="AW83" s="806"/>
      <c r="AX83" s="806"/>
      <c r="AY83" s="806"/>
      <c r="AZ83" s="806"/>
      <c r="BG83" s="806"/>
      <c r="BH83" s="806"/>
      <c r="BI83" s="806"/>
      <c r="BJ83" s="806"/>
      <c r="BK83" s="806"/>
      <c r="BL83" s="806"/>
      <c r="BM83" s="806"/>
      <c r="BN83" s="806"/>
      <c r="BO83" s="806"/>
      <c r="BP83" s="806"/>
      <c r="BQ83" s="806"/>
      <c r="BR83" s="806"/>
    </row>
    <row r="84" spans="1:70" ht="60" hidden="1" outlineLevel="1">
      <c r="A84" s="161" t="s">
        <v>422</v>
      </c>
      <c r="B84" s="13"/>
      <c r="C84" s="13"/>
      <c r="D84" s="1066"/>
      <c r="E84" s="13"/>
      <c r="F84" s="61"/>
      <c r="G84" s="344" t="s">
        <v>403</v>
      </c>
      <c r="H84" s="13"/>
      <c r="I84" s="13"/>
      <c r="J84" s="13"/>
      <c r="K84" s="297"/>
      <c r="L84" s="13"/>
      <c r="N84" s="344" t="s">
        <v>403</v>
      </c>
      <c r="T84" s="344" t="s">
        <v>403</v>
      </c>
      <c r="AB84" s="13"/>
      <c r="AC84" s="13"/>
      <c r="AD84" s="13"/>
      <c r="AE84" s="13"/>
      <c r="AF84" s="13"/>
      <c r="AG84" s="13"/>
      <c r="AH84" s="826"/>
      <c r="AI84" s="13"/>
      <c r="AJ84" s="13"/>
      <c r="AK84" s="13"/>
      <c r="AL84" s="13"/>
      <c r="AM84" s="614"/>
      <c r="AN84" s="297"/>
      <c r="AO84" s="13"/>
      <c r="AP84" s="13"/>
      <c r="AQ84" s="13"/>
      <c r="AR84" s="13"/>
      <c r="AS84" s="13"/>
      <c r="AT84" s="13"/>
    </row>
    <row r="85" spans="1:70" hidden="1" outlineLevel="1">
      <c r="A85" s="1043" t="s">
        <v>327</v>
      </c>
      <c r="B85" s="2"/>
      <c r="C85" s="2"/>
      <c r="D85" s="1061"/>
      <c r="E85" s="2"/>
      <c r="F85" s="61"/>
      <c r="G85" s="764">
        <f>'База селлеров'!B38</f>
        <v>1.0916349572702888E-4</v>
      </c>
      <c r="H85" s="408">
        <f>'База селлеров'!C38</f>
        <v>1.7230576441102756E-3</v>
      </c>
      <c r="I85" s="408">
        <f>'База селлеров'!D38</f>
        <v>8.2468141254904686E-4</v>
      </c>
      <c r="J85" s="408">
        <f>'База селлеров'!E38</f>
        <v>8.2468141254904686E-4</v>
      </c>
      <c r="K85" s="468"/>
      <c r="L85" s="13"/>
      <c r="N85" s="408">
        <f t="shared" ref="N85:Q89" si="149">G85</f>
        <v>1.0916349572702888E-4</v>
      </c>
      <c r="O85" s="409">
        <f t="shared" si="149"/>
        <v>1.7230576441102756E-3</v>
      </c>
      <c r="P85" s="409">
        <f t="shared" si="149"/>
        <v>8.2468141254904686E-4</v>
      </c>
      <c r="Q85" s="410">
        <f t="shared" si="149"/>
        <v>8.2468141254904686E-4</v>
      </c>
      <c r="T85" s="408">
        <f t="shared" ref="T85:W89" si="150">N85</f>
        <v>1.0916349572702888E-4</v>
      </c>
      <c r="U85" s="409">
        <f t="shared" si="150"/>
        <v>1.7230576441102756E-3</v>
      </c>
      <c r="V85" s="409">
        <f t="shared" si="150"/>
        <v>8.2468141254904686E-4</v>
      </c>
      <c r="W85" s="410">
        <f t="shared" si="150"/>
        <v>8.2468141254904686E-4</v>
      </c>
      <c r="AB85" s="13"/>
      <c r="AC85" s="408">
        <v>0</v>
      </c>
      <c r="AD85" s="409">
        <v>0</v>
      </c>
      <c r="AE85" s="409">
        <v>0</v>
      </c>
      <c r="AF85" s="410">
        <v>0</v>
      </c>
      <c r="AG85" s="13"/>
      <c r="AH85" s="826"/>
      <c r="AI85" s="1160">
        <f>T85/(T85+T86+T87)</f>
        <v>9.6671730423974599E-4</v>
      </c>
      <c r="AJ85" s="1161">
        <f>U85/(U85+U86+U87)</f>
        <v>9.8876404494382016E-3</v>
      </c>
      <c r="AK85" s="1161">
        <f>V85/(V85+V86+V87)</f>
        <v>5.8856328604175697E-3</v>
      </c>
      <c r="AL85" s="1162">
        <f>W85/(W85+W86+W87)</f>
        <v>5.8856328604175697E-3</v>
      </c>
      <c r="AM85" s="614"/>
      <c r="AN85" s="297"/>
      <c r="AO85" s="13"/>
      <c r="AP85" s="13"/>
      <c r="AQ85" s="13"/>
      <c r="AR85" s="13"/>
      <c r="AS85" s="13"/>
      <c r="AT85" s="13"/>
    </row>
    <row r="86" spans="1:70" hidden="1" outlineLevel="1">
      <c r="A86" s="436" t="s">
        <v>429</v>
      </c>
      <c r="B86" s="2"/>
      <c r="C86" s="2"/>
      <c r="D86" s="1061"/>
      <c r="E86" s="2"/>
      <c r="G86" s="402">
        <f>'База селлеров'!B39</f>
        <v>7.5010916349572705E-3</v>
      </c>
      <c r="H86" s="362">
        <f>'База селлеров'!C39</f>
        <v>2.0520050125313282E-2</v>
      </c>
      <c r="I86" s="362">
        <f>'База селлеров'!D39</f>
        <v>1.3273030313552554E-2</v>
      </c>
      <c r="J86" s="362">
        <f>I86</f>
        <v>1.3273030313552554E-2</v>
      </c>
      <c r="K86" s="297"/>
      <c r="L86" s="13"/>
      <c r="N86" s="283">
        <f t="shared" si="149"/>
        <v>7.5010916349572705E-3</v>
      </c>
      <c r="O86" s="74">
        <f t="shared" si="149"/>
        <v>2.0520050125313282E-2</v>
      </c>
      <c r="P86" s="74">
        <f t="shared" si="149"/>
        <v>1.3273030313552554E-2</v>
      </c>
      <c r="Q86" s="289">
        <f t="shared" si="149"/>
        <v>1.3273030313552554E-2</v>
      </c>
      <c r="R86" s="532"/>
      <c r="S86" s="2"/>
      <c r="T86" s="283">
        <f t="shared" si="150"/>
        <v>7.5010916349572705E-3</v>
      </c>
      <c r="U86" s="74">
        <f t="shared" si="150"/>
        <v>2.0520050125313282E-2</v>
      </c>
      <c r="V86" s="74">
        <f t="shared" si="150"/>
        <v>1.3273030313552554E-2</v>
      </c>
      <c r="W86" s="289">
        <f t="shared" si="150"/>
        <v>1.3273030313552554E-2</v>
      </c>
      <c r="AC86" s="283">
        <v>0</v>
      </c>
      <c r="AD86" s="74">
        <v>0</v>
      </c>
      <c r="AE86" s="74">
        <v>0</v>
      </c>
      <c r="AF86" s="289">
        <v>0</v>
      </c>
      <c r="AI86" s="1163">
        <f>T86/(T85+T86+T87)</f>
        <v>6.6427289048473975E-2</v>
      </c>
      <c r="AJ86" s="1164">
        <f>U86/(U85+U86+U87)</f>
        <v>0.11775280898876403</v>
      </c>
      <c r="AK86" s="1164">
        <f>V86/(V85+V86+V87)</f>
        <v>9.4727712037668041E-2</v>
      </c>
      <c r="AL86" s="1165">
        <f>W86/(W85+W86+W87)</f>
        <v>9.4727712037668041E-2</v>
      </c>
      <c r="AO86" s="2"/>
      <c r="AP86" s="2"/>
      <c r="AQ86" s="2"/>
      <c r="AR86" s="2"/>
      <c r="AS86" s="2"/>
      <c r="AT86" s="2"/>
    </row>
    <row r="87" spans="1:70" hidden="1" outlineLevel="1">
      <c r="A87" s="436" t="s">
        <v>65</v>
      </c>
      <c r="B87" s="2"/>
      <c r="C87" s="2"/>
      <c r="D87" s="1061"/>
      <c r="E87" s="2"/>
      <c r="G87" s="402">
        <f>'База селлеров'!B40</f>
        <v>0.10531158380637515</v>
      </c>
      <c r="H87" s="362">
        <f>'База селлеров'!C40</f>
        <v>0.15202067669172933</v>
      </c>
      <c r="I87" s="362">
        <f>'База селлеров'!D40</f>
        <v>0.12602000069446856</v>
      </c>
      <c r="J87" s="362">
        <f>'База селлеров'!E40</f>
        <v>0.12602000069446856</v>
      </c>
      <c r="K87" s="297"/>
      <c r="L87" s="13"/>
      <c r="N87" s="283">
        <f t="shared" si="149"/>
        <v>0.10531158380637515</v>
      </c>
      <c r="O87" s="74">
        <f t="shared" si="149"/>
        <v>0.15202067669172933</v>
      </c>
      <c r="P87" s="74">
        <f t="shared" si="149"/>
        <v>0.12602000069446856</v>
      </c>
      <c r="Q87" s="289">
        <f t="shared" si="149"/>
        <v>0.12602000069446856</v>
      </c>
      <c r="R87" s="532"/>
      <c r="S87" s="2"/>
      <c r="T87" s="283">
        <f t="shared" si="150"/>
        <v>0.10531158380637515</v>
      </c>
      <c r="U87" s="74">
        <f t="shared" si="150"/>
        <v>0.15202067669172933</v>
      </c>
      <c r="V87" s="74">
        <f t="shared" si="150"/>
        <v>0.12602000069446856</v>
      </c>
      <c r="W87" s="289">
        <f t="shared" si="150"/>
        <v>0.12602000069446856</v>
      </c>
      <c r="AC87" s="283">
        <v>0</v>
      </c>
      <c r="AD87" s="74">
        <v>0</v>
      </c>
      <c r="AE87" s="74">
        <v>0</v>
      </c>
      <c r="AF87" s="289">
        <v>0</v>
      </c>
      <c r="AI87" s="1163">
        <f>T87/(T85+T86+T87)</f>
        <v>0.93260599364728636</v>
      </c>
      <c r="AJ87" s="1164">
        <f>U87/(U85+U86+U87)</f>
        <v>0.8723595505617977</v>
      </c>
      <c r="AK87" s="1164">
        <f>V87/(V85+V86+V87)</f>
        <v>0.89938665510191429</v>
      </c>
      <c r="AL87" s="1165">
        <f>W87/(W85+W86+W87)</f>
        <v>0.89938665510191429</v>
      </c>
      <c r="AO87" s="2"/>
      <c r="AP87" s="2"/>
      <c r="AQ87" s="2"/>
      <c r="AR87" s="2"/>
      <c r="AS87" s="2"/>
      <c r="AT87" s="2"/>
    </row>
    <row r="88" spans="1:70" hidden="1" outlineLevel="1">
      <c r="A88" s="436" t="s">
        <v>66</v>
      </c>
      <c r="B88" s="2"/>
      <c r="C88" s="2"/>
      <c r="D88" s="1061"/>
      <c r="E88" s="2"/>
      <c r="G88" s="402">
        <f>'База селлеров'!B41</f>
        <v>0.88707816106294057</v>
      </c>
      <c r="H88" s="362">
        <f>'База селлеров'!C41</f>
        <v>0.82573621553884713</v>
      </c>
      <c r="I88" s="362">
        <f>'База селлеров'!D41</f>
        <v>0.85988228757942986</v>
      </c>
      <c r="J88" s="362">
        <f>'База селлеров'!E41</f>
        <v>0.85988228757942986</v>
      </c>
      <c r="K88" s="297"/>
      <c r="L88" s="13"/>
      <c r="N88" s="283">
        <f t="shared" si="149"/>
        <v>0.88707816106294057</v>
      </c>
      <c r="O88" s="74">
        <f t="shared" si="149"/>
        <v>0.82573621553884713</v>
      </c>
      <c r="P88" s="74">
        <f t="shared" si="149"/>
        <v>0.85988228757942986</v>
      </c>
      <c r="Q88" s="289">
        <f t="shared" si="149"/>
        <v>0.85988228757942986</v>
      </c>
      <c r="R88" s="532"/>
      <c r="S88" s="2"/>
      <c r="T88" s="283">
        <f t="shared" si="150"/>
        <v>0.88707816106294057</v>
      </c>
      <c r="U88" s="74">
        <f t="shared" si="150"/>
        <v>0.82573621553884713</v>
      </c>
      <c r="V88" s="74">
        <f t="shared" si="150"/>
        <v>0.85988228757942986</v>
      </c>
      <c r="W88" s="289">
        <f t="shared" si="150"/>
        <v>0.85988228757942986</v>
      </c>
      <c r="AC88" s="283">
        <v>1</v>
      </c>
      <c r="AD88" s="74">
        <v>1</v>
      </c>
      <c r="AE88" s="74">
        <v>1</v>
      </c>
      <c r="AF88" s="289">
        <v>1</v>
      </c>
      <c r="AI88" s="283">
        <v>0</v>
      </c>
      <c r="AJ88" s="74">
        <v>0</v>
      </c>
      <c r="AK88" s="74">
        <v>0</v>
      </c>
      <c r="AL88" s="289">
        <v>0</v>
      </c>
      <c r="AO88" s="2"/>
      <c r="AP88" s="2"/>
      <c r="AQ88" s="2"/>
      <c r="AR88" s="2"/>
      <c r="AS88" s="2"/>
      <c r="AT88" s="2"/>
    </row>
    <row r="89" spans="1:70" hidden="1" outlineLevel="1">
      <c r="A89" s="436" t="s">
        <v>328</v>
      </c>
      <c r="B89" s="2"/>
      <c r="C89" s="2"/>
      <c r="D89" s="1061"/>
      <c r="E89" s="2"/>
      <c r="G89" s="643">
        <v>0</v>
      </c>
      <c r="H89" s="644">
        <v>0</v>
      </c>
      <c r="I89" s="644">
        <v>0</v>
      </c>
      <c r="J89" s="644">
        <v>0</v>
      </c>
      <c r="K89" s="297"/>
      <c r="L89" s="13"/>
      <c r="N89" s="283">
        <f t="shared" si="149"/>
        <v>0</v>
      </c>
      <c r="O89" s="74">
        <f t="shared" si="149"/>
        <v>0</v>
      </c>
      <c r="P89" s="74">
        <f t="shared" si="149"/>
        <v>0</v>
      </c>
      <c r="Q89" s="289">
        <f t="shared" si="149"/>
        <v>0</v>
      </c>
      <c r="R89" s="532"/>
      <c r="S89" s="2"/>
      <c r="T89" s="283">
        <f t="shared" si="150"/>
        <v>0</v>
      </c>
      <c r="U89" s="74">
        <f t="shared" si="150"/>
        <v>0</v>
      </c>
      <c r="V89" s="74">
        <f t="shared" si="150"/>
        <v>0</v>
      </c>
      <c r="W89" s="289">
        <f t="shared" si="150"/>
        <v>0</v>
      </c>
      <c r="AC89" s="283">
        <v>0</v>
      </c>
      <c r="AD89" s="74">
        <v>0</v>
      </c>
      <c r="AE89" s="74">
        <v>0</v>
      </c>
      <c r="AF89" s="289">
        <v>0</v>
      </c>
      <c r="AI89" s="283">
        <f t="shared" ref="AI89" si="151">AC89</f>
        <v>0</v>
      </c>
      <c r="AJ89" s="74">
        <f>AD89</f>
        <v>0</v>
      </c>
      <c r="AK89" s="74">
        <f t="shared" ref="AK89:AL89" si="152">AE89</f>
        <v>0</v>
      </c>
      <c r="AL89" s="289">
        <f t="shared" si="152"/>
        <v>0</v>
      </c>
      <c r="AO89" s="2"/>
      <c r="AP89" s="2"/>
      <c r="AQ89" s="2"/>
      <c r="AR89" s="2"/>
      <c r="AS89" s="2"/>
      <c r="AT89" s="2"/>
    </row>
    <row r="90" spans="1:70" hidden="1" outlineLevel="1">
      <c r="A90" s="1044"/>
      <c r="B90" s="2"/>
      <c r="C90" s="2"/>
      <c r="D90" s="1061"/>
      <c r="E90" s="2"/>
      <c r="G90" s="403"/>
      <c r="H90" s="404"/>
      <c r="I90" s="424"/>
      <c r="J90" s="404"/>
      <c r="K90" s="501"/>
      <c r="L90" s="362"/>
      <c r="N90" s="286"/>
      <c r="O90" s="287"/>
      <c r="P90" s="287"/>
      <c r="Q90" s="288"/>
      <c r="S90" s="2"/>
      <c r="T90" s="286"/>
      <c r="U90" s="287"/>
      <c r="V90" s="287"/>
      <c r="W90" s="288"/>
      <c r="AC90" s="286"/>
      <c r="AD90" s="287"/>
      <c r="AE90" s="287"/>
      <c r="AF90" s="288"/>
      <c r="AI90" s="286"/>
      <c r="AJ90" s="287"/>
      <c r="AK90" s="287"/>
      <c r="AL90" s="288"/>
      <c r="AO90" s="2"/>
      <c r="AP90" s="2"/>
      <c r="AQ90" s="2"/>
      <c r="AR90" s="2"/>
      <c r="AS90" s="2"/>
      <c r="AT90" s="2"/>
    </row>
    <row r="91" spans="1:70" hidden="1" outlineLevel="1">
      <c r="A91" s="161"/>
      <c r="B91" s="13"/>
      <c r="C91" s="13"/>
      <c r="D91" s="1066"/>
      <c r="E91" s="13"/>
      <c r="G91" s="400"/>
      <c r="H91" s="154"/>
      <c r="I91" s="401"/>
      <c r="J91" s="154"/>
      <c r="K91" s="299"/>
      <c r="L91" s="154"/>
      <c r="T91" s="154"/>
      <c r="U91" s="154"/>
      <c r="V91" s="154"/>
      <c r="W91" s="154"/>
      <c r="X91" s="299"/>
      <c r="Y91" s="154"/>
      <c r="Z91" s="154"/>
      <c r="AA91" s="154"/>
      <c r="AB91" s="154"/>
      <c r="AC91" s="154"/>
      <c r="AD91" s="154"/>
      <c r="AE91" s="154"/>
      <c r="AF91" s="154"/>
      <c r="AG91" s="154"/>
      <c r="AH91" s="615"/>
      <c r="AI91" s="154"/>
      <c r="AJ91" s="154"/>
      <c r="AK91" s="154"/>
      <c r="AL91" s="154"/>
      <c r="AM91" s="684"/>
      <c r="AN91" s="299"/>
      <c r="AO91" s="13"/>
      <c r="AP91" s="13"/>
      <c r="AQ91" s="13"/>
      <c r="AR91" s="13"/>
      <c r="AS91" s="13"/>
      <c r="AT91" s="13"/>
    </row>
    <row r="92" spans="1:70" hidden="1" outlineLevel="1">
      <c r="A92" s="161"/>
      <c r="B92" s="13"/>
      <c r="C92" s="13"/>
      <c r="D92" s="1066"/>
      <c r="E92" s="13"/>
      <c r="G92" s="400"/>
      <c r="H92" s="154"/>
      <c r="I92" s="154"/>
      <c r="J92" s="154"/>
      <c r="K92" s="299"/>
      <c r="L92" s="154"/>
      <c r="T92" s="154"/>
      <c r="U92" s="154"/>
      <c r="V92" s="154"/>
      <c r="W92" s="154"/>
      <c r="X92" s="299"/>
      <c r="Y92" s="154"/>
      <c r="Z92" s="154"/>
      <c r="AA92" s="154"/>
      <c r="AB92" s="154"/>
      <c r="AC92" s="154"/>
      <c r="AD92" s="154"/>
      <c r="AE92" s="154"/>
      <c r="AF92" s="154"/>
      <c r="AG92" s="154"/>
      <c r="AH92" s="615"/>
      <c r="AI92" s="154"/>
      <c r="AJ92" s="154"/>
      <c r="AK92" s="154"/>
      <c r="AL92" s="154"/>
      <c r="AM92" s="684"/>
      <c r="AN92" s="299"/>
      <c r="AO92" s="13"/>
      <c r="AP92" s="13"/>
      <c r="AQ92" s="13"/>
      <c r="AR92" s="13"/>
      <c r="AS92" s="13"/>
      <c r="AT92" s="13"/>
    </row>
    <row r="93" spans="1:70" s="425" customFormat="1" ht="80" hidden="1" outlineLevel="1">
      <c r="A93" s="382" t="s">
        <v>348</v>
      </c>
      <c r="B93" s="452"/>
      <c r="C93" s="452"/>
      <c r="D93" s="1071"/>
      <c r="E93" s="452"/>
      <c r="F93" s="356"/>
      <c r="G93" s="399" t="s">
        <v>404</v>
      </c>
      <c r="H93" s="43"/>
      <c r="I93" s="43"/>
      <c r="J93" s="43"/>
      <c r="K93" s="503"/>
      <c r="L93" s="43"/>
      <c r="M93" s="71" t="s">
        <v>363</v>
      </c>
      <c r="N93" s="399" t="s">
        <v>334</v>
      </c>
      <c r="O93" s="43"/>
      <c r="P93" s="43"/>
      <c r="Q93" s="43"/>
      <c r="R93" s="503"/>
      <c r="S93" s="43"/>
      <c r="T93" s="399" t="s">
        <v>334</v>
      </c>
      <c r="U93" s="43"/>
      <c r="V93" s="43"/>
      <c r="W93" s="43"/>
      <c r="X93" s="503"/>
      <c r="Y93" s="43"/>
      <c r="Z93" s="43"/>
      <c r="AA93" s="43"/>
      <c r="AB93" s="43"/>
      <c r="AC93" s="43"/>
      <c r="AD93" s="43"/>
      <c r="AE93" s="43"/>
      <c r="AF93" s="43"/>
      <c r="AG93" s="43"/>
      <c r="AH93" s="827"/>
      <c r="AI93" s="43"/>
      <c r="AJ93" s="43"/>
      <c r="AK93" s="43"/>
      <c r="AL93" s="43"/>
      <c r="AM93" s="828"/>
      <c r="AN93" s="503"/>
      <c r="AO93" s="43"/>
      <c r="AP93" s="43"/>
      <c r="AQ93" s="43"/>
      <c r="AR93" s="43"/>
      <c r="AS93" s="43"/>
      <c r="AT93" s="43"/>
      <c r="AU93" s="43"/>
      <c r="AV93" s="43"/>
      <c r="AW93" s="43"/>
      <c r="AX93" s="43"/>
      <c r="AY93" s="43"/>
      <c r="AZ93" s="43"/>
      <c r="BG93" s="43"/>
      <c r="BH93" s="43"/>
      <c r="BI93" s="43"/>
      <c r="BJ93" s="43"/>
      <c r="BK93" s="43"/>
      <c r="BL93" s="43"/>
      <c r="BM93" s="43"/>
      <c r="BN93" s="43"/>
      <c r="BO93" s="43"/>
      <c r="BP93" s="43"/>
      <c r="BQ93" s="43"/>
      <c r="BR93" s="43"/>
    </row>
    <row r="94" spans="1:70" hidden="1" outlineLevel="1">
      <c r="A94" s="436" t="s">
        <v>64</v>
      </c>
      <c r="B94" s="2"/>
      <c r="C94" s="2"/>
      <c r="D94" s="1061"/>
      <c r="E94" s="2"/>
      <c r="G94" s="423"/>
      <c r="K94" s="504"/>
      <c r="L94" s="423"/>
      <c r="T94" s="423"/>
    </row>
    <row r="95" spans="1:70" hidden="1" outlineLevel="1">
      <c r="A95" s="1043" t="s">
        <v>327</v>
      </c>
      <c r="B95" s="2"/>
      <c r="C95" s="2"/>
      <c r="D95" s="1061"/>
      <c r="E95" s="2"/>
      <c r="G95" s="367">
        <f t="shared" ref="G95:J100" si="153">G104/2</f>
        <v>55362.5</v>
      </c>
      <c r="H95" s="368">
        <f t="shared" si="153"/>
        <v>55362.5</v>
      </c>
      <c r="I95" s="368">
        <f t="shared" si="153"/>
        <v>55362.5</v>
      </c>
      <c r="J95" s="369">
        <f t="shared" si="153"/>
        <v>55362.5</v>
      </c>
      <c r="K95" s="504"/>
      <c r="L95" s="423"/>
      <c r="M95" s="423"/>
      <c r="N95" s="367">
        <f>N112/2*N120</f>
        <v>59174.344262295082</v>
      </c>
      <c r="O95" s="368">
        <f>N95</f>
        <v>59174.344262295082</v>
      </c>
      <c r="P95" s="368">
        <f>O95</f>
        <v>59174.344262295082</v>
      </c>
      <c r="Q95" s="369">
        <f>P95</f>
        <v>59174.344262295082</v>
      </c>
      <c r="T95" s="413">
        <f t="shared" ref="T95:T100" si="154">N95</f>
        <v>59174.344262295082</v>
      </c>
      <c r="U95" s="368">
        <f>T95</f>
        <v>59174.344262295082</v>
      </c>
      <c r="V95" s="368">
        <f t="shared" ref="V95:W95" si="155">U95</f>
        <v>59174.344262295082</v>
      </c>
      <c r="W95" s="369">
        <f t="shared" si="155"/>
        <v>59174.344262295082</v>
      </c>
      <c r="AC95" s="413">
        <f>T95</f>
        <v>59174.344262295082</v>
      </c>
      <c r="AD95" s="368">
        <f>AC95</f>
        <v>59174.344262295082</v>
      </c>
      <c r="AE95" s="368">
        <f t="shared" ref="AE95:AF100" si="156">AD95</f>
        <v>59174.344262295082</v>
      </c>
      <c r="AF95" s="369">
        <f t="shared" si="156"/>
        <v>59174.344262295082</v>
      </c>
      <c r="AI95" s="413">
        <f>AC95</f>
        <v>59174.344262295082</v>
      </c>
      <c r="AJ95" s="368">
        <f>AI95</f>
        <v>59174.344262295082</v>
      </c>
      <c r="AK95" s="368">
        <f t="shared" ref="AK95:AL100" si="157">AJ95</f>
        <v>59174.344262295082</v>
      </c>
      <c r="AL95" s="369">
        <f t="shared" si="157"/>
        <v>59174.344262295082</v>
      </c>
    </row>
    <row r="96" spans="1:70" hidden="1" outlineLevel="1">
      <c r="A96" s="436" t="s">
        <v>62</v>
      </c>
      <c r="B96" s="2"/>
      <c r="C96" s="2"/>
      <c r="D96" s="1061"/>
      <c r="E96" s="2"/>
      <c r="G96" s="370">
        <f t="shared" si="153"/>
        <v>35026.5</v>
      </c>
      <c r="H96" s="169">
        <f t="shared" si="153"/>
        <v>35026.5</v>
      </c>
      <c r="I96" s="169">
        <f t="shared" si="153"/>
        <v>35026.5</v>
      </c>
      <c r="J96" s="371">
        <f t="shared" si="153"/>
        <v>35026.5</v>
      </c>
      <c r="K96" s="504"/>
      <c r="L96" s="423"/>
      <c r="M96" s="423"/>
      <c r="N96" s="370">
        <f t="shared" ref="N96:N100" si="158">N113/2*N121</f>
        <v>38183.394849785407</v>
      </c>
      <c r="O96" s="169">
        <f t="shared" ref="O96:Q100" si="159">N96</f>
        <v>38183.394849785407</v>
      </c>
      <c r="P96" s="169">
        <f t="shared" si="159"/>
        <v>38183.394849785407</v>
      </c>
      <c r="Q96" s="371">
        <f t="shared" si="159"/>
        <v>38183.394849785407</v>
      </c>
      <c r="T96" s="414">
        <f t="shared" si="154"/>
        <v>38183.394849785407</v>
      </c>
      <c r="U96" s="169">
        <f t="shared" ref="U96:W100" si="160">T96</f>
        <v>38183.394849785407</v>
      </c>
      <c r="V96" s="169">
        <f t="shared" si="160"/>
        <v>38183.394849785407</v>
      </c>
      <c r="W96" s="371">
        <f t="shared" si="160"/>
        <v>38183.394849785407</v>
      </c>
      <c r="AB96" s="154"/>
      <c r="AC96" s="414">
        <f t="shared" ref="AC96:AC100" si="161">T96</f>
        <v>38183.394849785407</v>
      </c>
      <c r="AD96" s="169">
        <f t="shared" ref="AD96:AD100" si="162">AC96</f>
        <v>38183.394849785407</v>
      </c>
      <c r="AE96" s="169">
        <f t="shared" si="156"/>
        <v>38183.394849785407</v>
      </c>
      <c r="AF96" s="371">
        <f t="shared" si="156"/>
        <v>38183.394849785407</v>
      </c>
      <c r="AG96" s="154"/>
      <c r="AH96" s="615"/>
      <c r="AI96" s="414">
        <f t="shared" ref="AI96:AI100" si="163">AC96</f>
        <v>38183.394849785407</v>
      </c>
      <c r="AJ96" s="169">
        <f t="shared" ref="AJ96:AJ100" si="164">AI96</f>
        <v>38183.394849785407</v>
      </c>
      <c r="AK96" s="169">
        <f t="shared" si="157"/>
        <v>38183.394849785407</v>
      </c>
      <c r="AL96" s="371">
        <f t="shared" si="157"/>
        <v>38183.394849785407</v>
      </c>
      <c r="AM96" s="684"/>
      <c r="AN96" s="299"/>
      <c r="AO96" s="2"/>
      <c r="AP96" s="2"/>
      <c r="AQ96" s="2"/>
      <c r="AR96" s="2"/>
      <c r="AS96" s="2"/>
      <c r="AT96" s="2"/>
    </row>
    <row r="97" spans="1:70" hidden="1" outlineLevel="1">
      <c r="A97" s="436" t="s">
        <v>65</v>
      </c>
      <c r="B97" s="2"/>
      <c r="C97" s="2"/>
      <c r="D97" s="1061"/>
      <c r="E97" s="2"/>
      <c r="G97" s="370">
        <f t="shared" si="153"/>
        <v>23721.5</v>
      </c>
      <c r="H97" s="169">
        <f t="shared" si="153"/>
        <v>23721.5</v>
      </c>
      <c r="I97" s="169">
        <f t="shared" si="153"/>
        <v>23721.5</v>
      </c>
      <c r="J97" s="371">
        <f t="shared" si="153"/>
        <v>23721.5</v>
      </c>
      <c r="K97" s="504"/>
      <c r="L97" s="423"/>
      <c r="M97" s="423"/>
      <c r="N97" s="370">
        <f t="shared" si="158"/>
        <v>26600.988439306362</v>
      </c>
      <c r="O97" s="169">
        <f t="shared" si="159"/>
        <v>26600.988439306362</v>
      </c>
      <c r="P97" s="169">
        <f t="shared" si="159"/>
        <v>26600.988439306362</v>
      </c>
      <c r="Q97" s="371">
        <f t="shared" si="159"/>
        <v>26600.988439306362</v>
      </c>
      <c r="T97" s="414">
        <f t="shared" si="154"/>
        <v>26600.988439306362</v>
      </c>
      <c r="U97" s="169">
        <f t="shared" si="160"/>
        <v>26600.988439306362</v>
      </c>
      <c r="V97" s="169">
        <f t="shared" si="160"/>
        <v>26600.988439306362</v>
      </c>
      <c r="W97" s="371">
        <f t="shared" si="160"/>
        <v>26600.988439306362</v>
      </c>
      <c r="AB97" s="154"/>
      <c r="AC97" s="414">
        <f t="shared" si="161"/>
        <v>26600.988439306362</v>
      </c>
      <c r="AD97" s="169">
        <f t="shared" si="162"/>
        <v>26600.988439306362</v>
      </c>
      <c r="AE97" s="169">
        <f t="shared" si="156"/>
        <v>26600.988439306362</v>
      </c>
      <c r="AF97" s="371">
        <f t="shared" si="156"/>
        <v>26600.988439306362</v>
      </c>
      <c r="AG97" s="154"/>
      <c r="AH97" s="615"/>
      <c r="AI97" s="414">
        <f t="shared" si="163"/>
        <v>26600.988439306362</v>
      </c>
      <c r="AJ97" s="169">
        <f t="shared" si="164"/>
        <v>26600.988439306362</v>
      </c>
      <c r="AK97" s="169">
        <f t="shared" si="157"/>
        <v>26600.988439306362</v>
      </c>
      <c r="AL97" s="371">
        <f t="shared" si="157"/>
        <v>26600.988439306362</v>
      </c>
      <c r="AM97" s="684"/>
      <c r="AN97" s="299"/>
      <c r="AO97" s="2"/>
      <c r="AP97" s="2"/>
      <c r="AQ97" s="2"/>
      <c r="AR97" s="2"/>
      <c r="AS97" s="2"/>
      <c r="AT97" s="2"/>
    </row>
    <row r="98" spans="1:70" hidden="1" outlineLevel="1">
      <c r="A98" s="436" t="s">
        <v>66</v>
      </c>
      <c r="B98" s="2"/>
      <c r="C98" s="2"/>
      <c r="D98" s="1061"/>
      <c r="E98" s="2"/>
      <c r="G98" s="370">
        <f t="shared" si="153"/>
        <v>20475.5</v>
      </c>
      <c r="H98" s="169">
        <f t="shared" si="153"/>
        <v>20475.5</v>
      </c>
      <c r="I98" s="169">
        <f t="shared" si="153"/>
        <v>20475.5</v>
      </c>
      <c r="J98" s="371">
        <f t="shared" si="153"/>
        <v>20475.5</v>
      </c>
      <c r="K98" s="504"/>
      <c r="L98" s="423"/>
      <c r="M98" s="423"/>
      <c r="N98" s="370">
        <f t="shared" si="158"/>
        <v>23361.308724832215</v>
      </c>
      <c r="O98" s="169">
        <f t="shared" si="159"/>
        <v>23361.308724832215</v>
      </c>
      <c r="P98" s="169">
        <f t="shared" si="159"/>
        <v>23361.308724832215</v>
      </c>
      <c r="Q98" s="371">
        <f t="shared" si="159"/>
        <v>23361.308724832215</v>
      </c>
      <c r="T98" s="414">
        <f t="shared" si="154"/>
        <v>23361.308724832215</v>
      </c>
      <c r="U98" s="169">
        <f t="shared" si="160"/>
        <v>23361.308724832215</v>
      </c>
      <c r="V98" s="169">
        <f t="shared" si="160"/>
        <v>23361.308724832215</v>
      </c>
      <c r="W98" s="371">
        <f t="shared" si="160"/>
        <v>23361.308724832215</v>
      </c>
      <c r="AB98" s="154"/>
      <c r="AC98" s="414">
        <f t="shared" si="161"/>
        <v>23361.308724832215</v>
      </c>
      <c r="AD98" s="169">
        <f t="shared" si="162"/>
        <v>23361.308724832215</v>
      </c>
      <c r="AE98" s="169">
        <f t="shared" si="156"/>
        <v>23361.308724832215</v>
      </c>
      <c r="AF98" s="371">
        <f t="shared" si="156"/>
        <v>23361.308724832215</v>
      </c>
      <c r="AG98" s="154"/>
      <c r="AH98" s="615"/>
      <c r="AI98" s="414">
        <f t="shared" si="163"/>
        <v>23361.308724832215</v>
      </c>
      <c r="AJ98" s="169">
        <f t="shared" si="164"/>
        <v>23361.308724832215</v>
      </c>
      <c r="AK98" s="169">
        <f t="shared" si="157"/>
        <v>23361.308724832215</v>
      </c>
      <c r="AL98" s="371">
        <f t="shared" si="157"/>
        <v>23361.308724832215</v>
      </c>
      <c r="AM98" s="684"/>
      <c r="AN98" s="299"/>
      <c r="AO98" s="2"/>
      <c r="AP98" s="2"/>
      <c r="AQ98" s="2"/>
      <c r="AR98" s="2"/>
      <c r="AS98" s="2"/>
      <c r="AT98" s="2"/>
    </row>
    <row r="99" spans="1:70" hidden="1" outlineLevel="1">
      <c r="A99" s="436" t="s">
        <v>328</v>
      </c>
      <c r="B99" s="2"/>
      <c r="C99" s="2"/>
      <c r="D99" s="1061"/>
      <c r="E99" s="2"/>
      <c r="G99" s="370">
        <f t="shared" si="153"/>
        <v>16914</v>
      </c>
      <c r="H99" s="169">
        <f t="shared" si="153"/>
        <v>16914</v>
      </c>
      <c r="I99" s="169">
        <f t="shared" si="153"/>
        <v>16914</v>
      </c>
      <c r="J99" s="371">
        <f t="shared" si="153"/>
        <v>16914</v>
      </c>
      <c r="K99" s="504"/>
      <c r="L99" s="423"/>
      <c r="M99" s="423"/>
      <c r="N99" s="370">
        <f t="shared" si="158"/>
        <v>19667.441860465118</v>
      </c>
      <c r="O99" s="169">
        <f t="shared" si="159"/>
        <v>19667.441860465118</v>
      </c>
      <c r="P99" s="169">
        <f t="shared" si="159"/>
        <v>19667.441860465118</v>
      </c>
      <c r="Q99" s="371">
        <f t="shared" si="159"/>
        <v>19667.441860465118</v>
      </c>
      <c r="T99" s="414">
        <f t="shared" si="154"/>
        <v>19667.441860465118</v>
      </c>
      <c r="U99" s="169">
        <f t="shared" si="160"/>
        <v>19667.441860465118</v>
      </c>
      <c r="V99" s="169">
        <f t="shared" si="160"/>
        <v>19667.441860465118</v>
      </c>
      <c r="W99" s="371">
        <f t="shared" si="160"/>
        <v>19667.441860465118</v>
      </c>
      <c r="AB99" s="154"/>
      <c r="AC99" s="414">
        <f t="shared" si="161"/>
        <v>19667.441860465118</v>
      </c>
      <c r="AD99" s="169">
        <f t="shared" si="162"/>
        <v>19667.441860465118</v>
      </c>
      <c r="AE99" s="169">
        <f t="shared" si="156"/>
        <v>19667.441860465118</v>
      </c>
      <c r="AF99" s="371">
        <f t="shared" si="156"/>
        <v>19667.441860465118</v>
      </c>
      <c r="AG99" s="154"/>
      <c r="AH99" s="615"/>
      <c r="AI99" s="414">
        <f t="shared" si="163"/>
        <v>19667.441860465118</v>
      </c>
      <c r="AJ99" s="169">
        <f t="shared" si="164"/>
        <v>19667.441860465118</v>
      </c>
      <c r="AK99" s="169">
        <f t="shared" si="157"/>
        <v>19667.441860465118</v>
      </c>
      <c r="AL99" s="371">
        <f t="shared" si="157"/>
        <v>19667.441860465118</v>
      </c>
      <c r="AM99" s="684"/>
      <c r="AN99" s="299"/>
      <c r="AO99" s="2"/>
      <c r="AP99" s="2"/>
      <c r="AQ99" s="2"/>
      <c r="AR99" s="2"/>
      <c r="AS99" s="2"/>
      <c r="AT99" s="2"/>
    </row>
    <row r="100" spans="1:70" hidden="1" outlineLevel="1">
      <c r="A100" s="1044" t="s">
        <v>329</v>
      </c>
      <c r="B100" s="2"/>
      <c r="C100" s="2"/>
      <c r="D100" s="1061"/>
      <c r="E100" s="2"/>
      <c r="G100" s="372">
        <f t="shared" si="153"/>
        <v>10790.5</v>
      </c>
      <c r="H100" s="373">
        <f t="shared" si="153"/>
        <v>10790.5</v>
      </c>
      <c r="I100" s="373">
        <f t="shared" si="153"/>
        <v>10790.5</v>
      </c>
      <c r="J100" s="374">
        <f t="shared" si="153"/>
        <v>10790.5</v>
      </c>
      <c r="K100" s="504"/>
      <c r="L100" s="423"/>
      <c r="M100" s="423"/>
      <c r="N100" s="372">
        <f t="shared" si="158"/>
        <v>13126.58762886598</v>
      </c>
      <c r="O100" s="373">
        <f t="shared" si="159"/>
        <v>13126.58762886598</v>
      </c>
      <c r="P100" s="373">
        <f t="shared" si="159"/>
        <v>13126.58762886598</v>
      </c>
      <c r="Q100" s="374">
        <f t="shared" si="159"/>
        <v>13126.58762886598</v>
      </c>
      <c r="T100" s="415">
        <f t="shared" si="154"/>
        <v>13126.58762886598</v>
      </c>
      <c r="U100" s="373">
        <f t="shared" si="160"/>
        <v>13126.58762886598</v>
      </c>
      <c r="V100" s="373">
        <f t="shared" si="160"/>
        <v>13126.58762886598</v>
      </c>
      <c r="W100" s="374">
        <f t="shared" si="160"/>
        <v>13126.58762886598</v>
      </c>
      <c r="AB100" s="154"/>
      <c r="AC100" s="415">
        <f t="shared" si="161"/>
        <v>13126.58762886598</v>
      </c>
      <c r="AD100" s="373">
        <f t="shared" si="162"/>
        <v>13126.58762886598</v>
      </c>
      <c r="AE100" s="373">
        <f t="shared" si="156"/>
        <v>13126.58762886598</v>
      </c>
      <c r="AF100" s="374">
        <f t="shared" si="156"/>
        <v>13126.58762886598</v>
      </c>
      <c r="AG100" s="154"/>
      <c r="AH100" s="615"/>
      <c r="AI100" s="415">
        <f t="shared" si="163"/>
        <v>13126.58762886598</v>
      </c>
      <c r="AJ100" s="373">
        <f t="shared" si="164"/>
        <v>13126.58762886598</v>
      </c>
      <c r="AK100" s="373">
        <f t="shared" si="157"/>
        <v>13126.58762886598</v>
      </c>
      <c r="AL100" s="374">
        <f t="shared" si="157"/>
        <v>13126.58762886598</v>
      </c>
      <c r="AM100" s="684"/>
      <c r="AN100" s="299"/>
      <c r="AO100" s="2"/>
      <c r="AP100" s="2"/>
      <c r="AQ100" s="2"/>
      <c r="AR100" s="2"/>
      <c r="AS100" s="2"/>
      <c r="AT100" s="2"/>
    </row>
    <row r="101" spans="1:70" hidden="1" outlineLevel="1">
      <c r="A101" s="436"/>
      <c r="B101" s="2"/>
      <c r="C101" s="2"/>
      <c r="D101" s="1061"/>
      <c r="E101" s="2"/>
      <c r="G101" s="169"/>
      <c r="H101" s="169"/>
      <c r="I101" s="169"/>
      <c r="J101" s="169"/>
      <c r="K101" s="407"/>
      <c r="L101" s="169"/>
      <c r="M101" s="423"/>
      <c r="N101" s="169"/>
      <c r="O101" s="169"/>
      <c r="P101" s="169"/>
      <c r="Q101" s="169"/>
      <c r="T101" s="169"/>
      <c r="U101" s="169"/>
      <c r="V101" s="169"/>
      <c r="W101" s="169"/>
      <c r="AB101" s="154"/>
      <c r="AC101" s="154"/>
      <c r="AD101" s="154"/>
      <c r="AE101" s="154"/>
      <c r="AF101" s="154"/>
      <c r="AG101" s="154"/>
      <c r="AH101" s="615"/>
      <c r="AI101" s="154"/>
      <c r="AJ101" s="154"/>
      <c r="AK101" s="154"/>
      <c r="AL101" s="154"/>
      <c r="AM101" s="684"/>
      <c r="AN101" s="299"/>
      <c r="AO101" s="2"/>
      <c r="AP101" s="2"/>
      <c r="AQ101" s="2"/>
      <c r="AR101" s="2"/>
      <c r="AS101" s="2"/>
      <c r="AT101" s="2"/>
    </row>
    <row r="102" spans="1:70" s="489" customFormat="1" hidden="1" outlineLevel="1">
      <c r="A102" s="551" t="s">
        <v>347</v>
      </c>
      <c r="B102" s="148"/>
      <c r="C102" s="148"/>
      <c r="D102" s="1072"/>
      <c r="E102" s="148"/>
      <c r="F102" s="728"/>
      <c r="G102" s="506"/>
      <c r="H102" s="148"/>
      <c r="I102" s="148"/>
      <c r="J102" s="148"/>
      <c r="K102" s="507"/>
      <c r="L102" s="148"/>
      <c r="M102" s="21"/>
      <c r="N102" s="534"/>
      <c r="O102" s="21"/>
      <c r="P102" s="21"/>
      <c r="Q102" s="21"/>
      <c r="R102" s="535"/>
      <c r="S102" s="148"/>
      <c r="T102" s="405"/>
      <c r="U102" s="405"/>
      <c r="V102" s="405"/>
      <c r="W102" s="405"/>
      <c r="X102" s="1313"/>
      <c r="Y102" s="405"/>
      <c r="Z102" s="405"/>
      <c r="AA102" s="405"/>
      <c r="AB102" s="148"/>
      <c r="AC102" s="148"/>
      <c r="AD102" s="148"/>
      <c r="AE102" s="148"/>
      <c r="AF102" s="148"/>
      <c r="AG102" s="148"/>
      <c r="AH102" s="829"/>
      <c r="AI102" s="148"/>
      <c r="AJ102" s="148"/>
      <c r="AK102" s="148"/>
      <c r="AL102" s="148"/>
      <c r="AM102" s="830"/>
      <c r="AN102" s="507"/>
      <c r="AO102" s="148"/>
      <c r="AP102" s="148"/>
      <c r="AQ102" s="148"/>
      <c r="AR102" s="148"/>
      <c r="AS102" s="148"/>
      <c r="AT102" s="148"/>
      <c r="AU102" s="21"/>
      <c r="AV102" s="21"/>
      <c r="AW102" s="21"/>
      <c r="AX102" s="21"/>
      <c r="AY102" s="21"/>
      <c r="AZ102" s="21"/>
      <c r="BG102" s="21"/>
      <c r="BH102" s="21"/>
      <c r="BI102" s="21"/>
      <c r="BJ102" s="21"/>
      <c r="BK102" s="21"/>
      <c r="BL102" s="21"/>
      <c r="BM102" s="21"/>
      <c r="BN102" s="21"/>
      <c r="BO102" s="21"/>
      <c r="BP102" s="21"/>
      <c r="BQ102" s="21"/>
      <c r="BR102" s="21"/>
    </row>
    <row r="103" spans="1:70" hidden="1" outlineLevel="1">
      <c r="A103" s="436" t="s">
        <v>64</v>
      </c>
      <c r="B103" s="2"/>
      <c r="C103" s="2"/>
      <c r="D103" s="1061"/>
      <c r="E103" s="2"/>
      <c r="H103" s="2"/>
      <c r="I103" s="2"/>
      <c r="J103" s="2"/>
      <c r="K103" s="508"/>
      <c r="L103" s="2"/>
      <c r="S103" s="61"/>
      <c r="T103" s="326"/>
      <c r="U103" s="326"/>
      <c r="V103" s="326"/>
      <c r="W103" s="326"/>
      <c r="X103" s="1314"/>
      <c r="Y103" s="326"/>
      <c r="Z103" s="326"/>
      <c r="AA103" s="326"/>
      <c r="AB103" s="61"/>
      <c r="AC103" s="61"/>
      <c r="AD103" s="61"/>
      <c r="AE103" s="61"/>
      <c r="AF103" s="61"/>
      <c r="AG103" s="61"/>
      <c r="AH103" s="831"/>
      <c r="AI103" s="61"/>
      <c r="AJ103" s="61"/>
      <c r="AK103" s="61"/>
      <c r="AL103" s="61"/>
      <c r="AM103" s="832"/>
      <c r="AN103" s="560"/>
      <c r="AO103" s="2"/>
      <c r="AP103" s="2"/>
      <c r="AQ103" s="2"/>
      <c r="AR103" s="2"/>
      <c r="AS103" s="2"/>
      <c r="AT103" s="2"/>
    </row>
    <row r="104" spans="1:70" hidden="1" outlineLevel="1">
      <c r="A104" s="1043" t="s">
        <v>327</v>
      </c>
      <c r="B104" s="2"/>
      <c r="C104" s="2"/>
      <c r="D104" s="1061"/>
      <c r="E104" s="2"/>
      <c r="G104" s="386">
        <f>'MPS др метрики'!C110</f>
        <v>110725</v>
      </c>
      <c r="H104" s="426">
        <f t="shared" ref="H104:J109" si="165">G104</f>
        <v>110725</v>
      </c>
      <c r="I104" s="426">
        <f t="shared" si="165"/>
        <v>110725</v>
      </c>
      <c r="J104" s="486">
        <f t="shared" si="165"/>
        <v>110725</v>
      </c>
      <c r="K104" s="508"/>
      <c r="L104" s="2"/>
      <c r="N104" s="386">
        <f t="shared" ref="N104:N109" si="166">G104</f>
        <v>110725</v>
      </c>
      <c r="O104" s="387">
        <f>N104</f>
        <v>110725</v>
      </c>
      <c r="P104" s="387">
        <f t="shared" ref="P104:Q104" si="167">O104</f>
        <v>110725</v>
      </c>
      <c r="Q104" s="388">
        <f t="shared" si="167"/>
        <v>110725</v>
      </c>
      <c r="S104" s="61"/>
      <c r="T104" s="386">
        <f t="shared" ref="T104:W109" si="168">N104</f>
        <v>110725</v>
      </c>
      <c r="U104" s="387">
        <f t="shared" si="168"/>
        <v>110725</v>
      </c>
      <c r="V104" s="387">
        <f t="shared" si="168"/>
        <v>110725</v>
      </c>
      <c r="W104" s="388">
        <f t="shared" si="168"/>
        <v>110725</v>
      </c>
      <c r="X104" s="1314"/>
      <c r="Y104" s="326"/>
      <c r="Z104" s="326"/>
      <c r="AA104" s="326"/>
      <c r="AB104" s="61"/>
      <c r="AC104" s="386">
        <f t="shared" ref="AC104:AF109" si="169">T104</f>
        <v>110725</v>
      </c>
      <c r="AD104" s="387">
        <f t="shared" si="169"/>
        <v>110725</v>
      </c>
      <c r="AE104" s="387">
        <f t="shared" si="169"/>
        <v>110725</v>
      </c>
      <c r="AF104" s="388">
        <f t="shared" si="169"/>
        <v>110725</v>
      </c>
      <c r="AG104" s="61"/>
      <c r="AH104" s="831"/>
      <c r="AI104" s="386">
        <f t="shared" ref="AI104:AL109" si="170">AC104</f>
        <v>110725</v>
      </c>
      <c r="AJ104" s="387">
        <f t="shared" si="170"/>
        <v>110725</v>
      </c>
      <c r="AK104" s="387">
        <f t="shared" si="170"/>
        <v>110725</v>
      </c>
      <c r="AL104" s="388">
        <f t="shared" si="170"/>
        <v>110725</v>
      </c>
      <c r="AM104" s="832"/>
      <c r="AN104" s="560"/>
      <c r="AO104" s="2"/>
      <c r="AP104" s="2"/>
      <c r="AQ104" s="2"/>
      <c r="AR104" s="2"/>
      <c r="AS104" s="2"/>
      <c r="AT104" s="2"/>
    </row>
    <row r="105" spans="1:70" s="2" customFormat="1" hidden="1" outlineLevel="1">
      <c r="A105" s="436" t="s">
        <v>62</v>
      </c>
      <c r="D105" s="1061"/>
      <c r="G105" s="389">
        <f>'MPS др метрики'!C111</f>
        <v>70053</v>
      </c>
      <c r="H105" s="427">
        <f t="shared" si="165"/>
        <v>70053</v>
      </c>
      <c r="I105" s="427">
        <f t="shared" si="165"/>
        <v>70053</v>
      </c>
      <c r="J105" s="487">
        <f t="shared" si="165"/>
        <v>70053</v>
      </c>
      <c r="K105" s="508"/>
      <c r="M105" s="1"/>
      <c r="N105" s="389">
        <f t="shared" si="166"/>
        <v>70053</v>
      </c>
      <c r="O105" s="291">
        <f t="shared" ref="O105:Q109" si="171">N105</f>
        <v>70053</v>
      </c>
      <c r="P105" s="291">
        <f t="shared" si="171"/>
        <v>70053</v>
      </c>
      <c r="Q105" s="390">
        <f t="shared" si="171"/>
        <v>70053</v>
      </c>
      <c r="R105" s="295"/>
      <c r="S105" s="61"/>
      <c r="T105" s="389">
        <f t="shared" si="168"/>
        <v>70053</v>
      </c>
      <c r="U105" s="291">
        <f t="shared" si="168"/>
        <v>70053</v>
      </c>
      <c r="V105" s="291">
        <f t="shared" si="168"/>
        <v>70053</v>
      </c>
      <c r="W105" s="390">
        <f t="shared" si="168"/>
        <v>70053</v>
      </c>
      <c r="X105" s="1314"/>
      <c r="Y105" s="326"/>
      <c r="Z105" s="326"/>
      <c r="AA105" s="326"/>
      <c r="AB105" s="61"/>
      <c r="AC105" s="389">
        <f t="shared" si="169"/>
        <v>70053</v>
      </c>
      <c r="AD105" s="291">
        <f t="shared" si="169"/>
        <v>70053</v>
      </c>
      <c r="AE105" s="291">
        <f t="shared" si="169"/>
        <v>70053</v>
      </c>
      <c r="AF105" s="390">
        <f t="shared" si="169"/>
        <v>70053</v>
      </c>
      <c r="AG105" s="61"/>
      <c r="AH105" s="831"/>
      <c r="AI105" s="389">
        <f t="shared" si="170"/>
        <v>70053</v>
      </c>
      <c r="AJ105" s="291">
        <f t="shared" si="170"/>
        <v>70053</v>
      </c>
      <c r="AK105" s="291">
        <f t="shared" si="170"/>
        <v>70053</v>
      </c>
      <c r="AL105" s="390">
        <f t="shared" si="170"/>
        <v>70053</v>
      </c>
      <c r="AM105" s="832"/>
      <c r="AN105" s="560"/>
      <c r="AU105" s="1"/>
      <c r="AV105" s="1"/>
      <c r="AW105" s="1"/>
      <c r="AX105" s="1"/>
      <c r="AY105" s="1"/>
      <c r="AZ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</row>
    <row r="106" spans="1:70" s="2" customFormat="1" hidden="1" outlineLevel="1">
      <c r="A106" s="436" t="s">
        <v>65</v>
      </c>
      <c r="D106" s="1061"/>
      <c r="G106" s="389">
        <f>'MPS др метрики'!C112</f>
        <v>47443</v>
      </c>
      <c r="H106" s="427">
        <f t="shared" si="165"/>
        <v>47443</v>
      </c>
      <c r="I106" s="427">
        <f t="shared" si="165"/>
        <v>47443</v>
      </c>
      <c r="J106" s="487">
        <f t="shared" si="165"/>
        <v>47443</v>
      </c>
      <c r="K106" s="508"/>
      <c r="M106" s="1"/>
      <c r="N106" s="389">
        <f t="shared" si="166"/>
        <v>47443</v>
      </c>
      <c r="O106" s="291">
        <f t="shared" si="171"/>
        <v>47443</v>
      </c>
      <c r="P106" s="291">
        <f t="shared" si="171"/>
        <v>47443</v>
      </c>
      <c r="Q106" s="390">
        <f t="shared" si="171"/>
        <v>47443</v>
      </c>
      <c r="R106" s="295"/>
      <c r="S106" s="61"/>
      <c r="T106" s="389">
        <f t="shared" si="168"/>
        <v>47443</v>
      </c>
      <c r="U106" s="291">
        <f t="shared" si="168"/>
        <v>47443</v>
      </c>
      <c r="V106" s="291">
        <f t="shared" si="168"/>
        <v>47443</v>
      </c>
      <c r="W106" s="390">
        <f t="shared" si="168"/>
        <v>47443</v>
      </c>
      <c r="X106" s="1314"/>
      <c r="Y106" s="326"/>
      <c r="Z106" s="326"/>
      <c r="AA106" s="326"/>
      <c r="AB106" s="61"/>
      <c r="AC106" s="389">
        <f t="shared" si="169"/>
        <v>47443</v>
      </c>
      <c r="AD106" s="291">
        <f t="shared" si="169"/>
        <v>47443</v>
      </c>
      <c r="AE106" s="291">
        <f t="shared" si="169"/>
        <v>47443</v>
      </c>
      <c r="AF106" s="390">
        <f t="shared" si="169"/>
        <v>47443</v>
      </c>
      <c r="AG106" s="61"/>
      <c r="AH106" s="831"/>
      <c r="AI106" s="389">
        <f t="shared" si="170"/>
        <v>47443</v>
      </c>
      <c r="AJ106" s="291">
        <f t="shared" si="170"/>
        <v>47443</v>
      </c>
      <c r="AK106" s="291">
        <f t="shared" si="170"/>
        <v>47443</v>
      </c>
      <c r="AL106" s="390">
        <f t="shared" si="170"/>
        <v>47443</v>
      </c>
      <c r="AM106" s="832"/>
      <c r="AN106" s="560"/>
      <c r="AU106" s="1"/>
      <c r="AV106" s="1"/>
      <c r="AW106" s="1"/>
      <c r="AX106" s="1"/>
      <c r="AY106" s="1"/>
      <c r="AZ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</row>
    <row r="107" spans="1:70" s="2" customFormat="1" hidden="1" outlineLevel="1">
      <c r="A107" s="436" t="s">
        <v>66</v>
      </c>
      <c r="D107" s="1061"/>
      <c r="G107" s="389">
        <f>'MPS др метрики'!C113</f>
        <v>40951</v>
      </c>
      <c r="H107" s="427">
        <f t="shared" si="165"/>
        <v>40951</v>
      </c>
      <c r="I107" s="427">
        <f t="shared" si="165"/>
        <v>40951</v>
      </c>
      <c r="J107" s="487">
        <f t="shared" si="165"/>
        <v>40951</v>
      </c>
      <c r="K107" s="508"/>
      <c r="M107" s="1"/>
      <c r="N107" s="389">
        <f t="shared" si="166"/>
        <v>40951</v>
      </c>
      <c r="O107" s="291">
        <f t="shared" si="171"/>
        <v>40951</v>
      </c>
      <c r="P107" s="291">
        <f t="shared" si="171"/>
        <v>40951</v>
      </c>
      <c r="Q107" s="390">
        <f t="shared" si="171"/>
        <v>40951</v>
      </c>
      <c r="R107" s="295"/>
      <c r="S107" s="61"/>
      <c r="T107" s="389">
        <f t="shared" si="168"/>
        <v>40951</v>
      </c>
      <c r="U107" s="291">
        <f t="shared" si="168"/>
        <v>40951</v>
      </c>
      <c r="V107" s="291">
        <f t="shared" si="168"/>
        <v>40951</v>
      </c>
      <c r="W107" s="390">
        <f t="shared" si="168"/>
        <v>40951</v>
      </c>
      <c r="X107" s="1314"/>
      <c r="Y107" s="326"/>
      <c r="Z107" s="326"/>
      <c r="AA107" s="326"/>
      <c r="AB107" s="61"/>
      <c r="AC107" s="389">
        <f t="shared" si="169"/>
        <v>40951</v>
      </c>
      <c r="AD107" s="291">
        <f t="shared" si="169"/>
        <v>40951</v>
      </c>
      <c r="AE107" s="291">
        <f t="shared" si="169"/>
        <v>40951</v>
      </c>
      <c r="AF107" s="390">
        <f t="shared" si="169"/>
        <v>40951</v>
      </c>
      <c r="AG107" s="61"/>
      <c r="AH107" s="831"/>
      <c r="AI107" s="389">
        <f t="shared" si="170"/>
        <v>40951</v>
      </c>
      <c r="AJ107" s="291">
        <f t="shared" si="170"/>
        <v>40951</v>
      </c>
      <c r="AK107" s="291">
        <f t="shared" si="170"/>
        <v>40951</v>
      </c>
      <c r="AL107" s="390">
        <f t="shared" si="170"/>
        <v>40951</v>
      </c>
      <c r="AM107" s="832"/>
      <c r="AN107" s="560"/>
      <c r="AU107" s="1"/>
      <c r="AV107" s="1"/>
      <c r="AW107" s="1"/>
      <c r="AX107" s="1"/>
      <c r="AY107" s="1"/>
      <c r="AZ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</row>
    <row r="108" spans="1:70" s="2" customFormat="1" hidden="1" outlineLevel="1">
      <c r="A108" s="436" t="s">
        <v>328</v>
      </c>
      <c r="D108" s="1061"/>
      <c r="G108" s="389">
        <f>'MPS др метрики'!C114</f>
        <v>33828</v>
      </c>
      <c r="H108" s="427">
        <f t="shared" si="165"/>
        <v>33828</v>
      </c>
      <c r="I108" s="427">
        <f t="shared" si="165"/>
        <v>33828</v>
      </c>
      <c r="J108" s="487">
        <f t="shared" si="165"/>
        <v>33828</v>
      </c>
      <c r="K108" s="508"/>
      <c r="M108" s="1"/>
      <c r="N108" s="389">
        <f t="shared" si="166"/>
        <v>33828</v>
      </c>
      <c r="O108" s="291">
        <f t="shared" si="171"/>
        <v>33828</v>
      </c>
      <c r="P108" s="291">
        <f t="shared" si="171"/>
        <v>33828</v>
      </c>
      <c r="Q108" s="390">
        <f t="shared" si="171"/>
        <v>33828</v>
      </c>
      <c r="R108" s="295"/>
      <c r="S108" s="61"/>
      <c r="T108" s="389">
        <f t="shared" si="168"/>
        <v>33828</v>
      </c>
      <c r="U108" s="291">
        <f t="shared" si="168"/>
        <v>33828</v>
      </c>
      <c r="V108" s="291">
        <f t="shared" si="168"/>
        <v>33828</v>
      </c>
      <c r="W108" s="390">
        <f t="shared" si="168"/>
        <v>33828</v>
      </c>
      <c r="X108" s="1314"/>
      <c r="Y108" s="326"/>
      <c r="Z108" s="326"/>
      <c r="AA108" s="326"/>
      <c r="AB108" s="61"/>
      <c r="AC108" s="389">
        <f t="shared" si="169"/>
        <v>33828</v>
      </c>
      <c r="AD108" s="291">
        <f t="shared" si="169"/>
        <v>33828</v>
      </c>
      <c r="AE108" s="291">
        <f t="shared" si="169"/>
        <v>33828</v>
      </c>
      <c r="AF108" s="390">
        <f t="shared" si="169"/>
        <v>33828</v>
      </c>
      <c r="AG108" s="61"/>
      <c r="AH108" s="831"/>
      <c r="AI108" s="389">
        <f t="shared" si="170"/>
        <v>33828</v>
      </c>
      <c r="AJ108" s="291">
        <f t="shared" si="170"/>
        <v>33828</v>
      </c>
      <c r="AK108" s="291">
        <f t="shared" si="170"/>
        <v>33828</v>
      </c>
      <c r="AL108" s="390">
        <f t="shared" si="170"/>
        <v>33828</v>
      </c>
      <c r="AM108" s="832"/>
      <c r="AN108" s="560"/>
      <c r="AU108" s="1"/>
      <c r="AV108" s="1"/>
      <c r="AW108" s="1"/>
      <c r="AX108" s="1"/>
      <c r="AY108" s="1"/>
      <c r="AZ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</row>
    <row r="109" spans="1:70" s="2" customFormat="1" hidden="1" outlineLevel="1">
      <c r="A109" s="1044" t="s">
        <v>329</v>
      </c>
      <c r="D109" s="1061"/>
      <c r="F109" s="139"/>
      <c r="G109" s="391">
        <f>'MPS др метрики'!C115</f>
        <v>21581</v>
      </c>
      <c r="H109" s="428">
        <f t="shared" si="165"/>
        <v>21581</v>
      </c>
      <c r="I109" s="428">
        <f t="shared" si="165"/>
        <v>21581</v>
      </c>
      <c r="J109" s="488">
        <f t="shared" si="165"/>
        <v>21581</v>
      </c>
      <c r="K109" s="508"/>
      <c r="M109" s="1"/>
      <c r="N109" s="391">
        <f t="shared" si="166"/>
        <v>21581</v>
      </c>
      <c r="O109" s="392">
        <f t="shared" si="171"/>
        <v>21581</v>
      </c>
      <c r="P109" s="392">
        <f t="shared" si="171"/>
        <v>21581</v>
      </c>
      <c r="Q109" s="393">
        <f t="shared" si="171"/>
        <v>21581</v>
      </c>
      <c r="R109" s="295"/>
      <c r="S109" s="1"/>
      <c r="T109" s="391">
        <f t="shared" si="168"/>
        <v>21581</v>
      </c>
      <c r="U109" s="392">
        <f t="shared" si="168"/>
        <v>21581</v>
      </c>
      <c r="V109" s="392">
        <f t="shared" si="168"/>
        <v>21581</v>
      </c>
      <c r="W109" s="393">
        <f t="shared" si="168"/>
        <v>21581</v>
      </c>
      <c r="X109" s="1314"/>
      <c r="Y109" s="326"/>
      <c r="Z109" s="326"/>
      <c r="AA109" s="326"/>
      <c r="AB109" s="61"/>
      <c r="AC109" s="391">
        <f t="shared" si="169"/>
        <v>21581</v>
      </c>
      <c r="AD109" s="392">
        <f t="shared" si="169"/>
        <v>21581</v>
      </c>
      <c r="AE109" s="392">
        <f t="shared" si="169"/>
        <v>21581</v>
      </c>
      <c r="AF109" s="393">
        <f t="shared" si="169"/>
        <v>21581</v>
      </c>
      <c r="AG109" s="61"/>
      <c r="AH109" s="831"/>
      <c r="AI109" s="391">
        <f t="shared" si="170"/>
        <v>21581</v>
      </c>
      <c r="AJ109" s="392">
        <f t="shared" si="170"/>
        <v>21581</v>
      </c>
      <c r="AK109" s="392">
        <f t="shared" si="170"/>
        <v>21581</v>
      </c>
      <c r="AL109" s="393">
        <f t="shared" si="170"/>
        <v>21581</v>
      </c>
      <c r="AM109" s="832"/>
      <c r="AN109" s="560"/>
      <c r="AO109" s="84"/>
      <c r="AP109" s="84"/>
      <c r="AQ109" s="84"/>
      <c r="AR109" s="84"/>
      <c r="AS109" s="84"/>
      <c r="AT109" s="84"/>
      <c r="AU109" s="1"/>
      <c r="AV109" s="1"/>
      <c r="AW109" s="1"/>
      <c r="AX109" s="1"/>
      <c r="AY109" s="1"/>
      <c r="AZ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</row>
    <row r="110" spans="1:70" s="2" customFormat="1" hidden="1" outlineLevel="1">
      <c r="A110" s="436"/>
      <c r="D110" s="1061"/>
      <c r="F110" s="139"/>
      <c r="G110" s="1"/>
      <c r="H110" s="427"/>
      <c r="I110" s="427"/>
      <c r="J110" s="427"/>
      <c r="K110" s="510"/>
      <c r="L110" s="427"/>
      <c r="M110" s="1"/>
      <c r="N110" s="291"/>
      <c r="O110" s="291"/>
      <c r="P110" s="291"/>
      <c r="Q110" s="291"/>
      <c r="R110" s="295"/>
      <c r="S110" s="1"/>
      <c r="T110" s="291"/>
      <c r="U110" s="291"/>
      <c r="V110" s="291"/>
      <c r="W110" s="291"/>
      <c r="X110" s="1314"/>
      <c r="Y110" s="326"/>
      <c r="Z110" s="326"/>
      <c r="AA110" s="326"/>
      <c r="AB110" s="61"/>
      <c r="AC110" s="61"/>
      <c r="AD110" s="61"/>
      <c r="AE110" s="61"/>
      <c r="AF110" s="61"/>
      <c r="AG110" s="61"/>
      <c r="AH110" s="831"/>
      <c r="AI110" s="61"/>
      <c r="AJ110" s="61"/>
      <c r="AK110" s="61"/>
      <c r="AL110" s="61"/>
      <c r="AM110" s="832"/>
      <c r="AN110" s="560"/>
      <c r="AO110" s="84"/>
      <c r="AP110" s="84"/>
      <c r="AQ110" s="84"/>
      <c r="AR110" s="84"/>
      <c r="AS110" s="84"/>
      <c r="AT110" s="84"/>
      <c r="AU110" s="1"/>
      <c r="AV110" s="1"/>
      <c r="AW110" s="1"/>
      <c r="AX110" s="1"/>
      <c r="AY110" s="1"/>
      <c r="AZ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</row>
    <row r="111" spans="1:70" s="2" customFormat="1" hidden="1" outlineLevel="1">
      <c r="A111" s="436" t="s">
        <v>333</v>
      </c>
      <c r="D111" s="1061"/>
      <c r="F111" s="139"/>
      <c r="G111" s="1"/>
      <c r="H111" s="427"/>
      <c r="I111" s="427"/>
      <c r="J111" s="427"/>
      <c r="K111" s="510"/>
      <c r="L111" s="427"/>
      <c r="M111" s="1"/>
      <c r="N111" s="291"/>
      <c r="O111" s="291"/>
      <c r="P111" s="291"/>
      <c r="Q111" s="291"/>
      <c r="R111" s="295"/>
      <c r="S111" s="1"/>
      <c r="T111" s="291"/>
      <c r="U111" s="291"/>
      <c r="V111" s="291"/>
      <c r="W111" s="291"/>
      <c r="X111" s="1314"/>
      <c r="Y111" s="326"/>
      <c r="Z111" s="326"/>
      <c r="AA111" s="326"/>
      <c r="AB111" s="61"/>
      <c r="AC111" s="61"/>
      <c r="AD111" s="61"/>
      <c r="AE111" s="61"/>
      <c r="AF111" s="61"/>
      <c r="AG111" s="61"/>
      <c r="AH111" s="831"/>
      <c r="AI111" s="61"/>
      <c r="AJ111" s="61"/>
      <c r="AK111" s="61"/>
      <c r="AL111" s="61"/>
      <c r="AM111" s="832"/>
      <c r="AN111" s="560"/>
      <c r="AO111" s="84"/>
      <c r="AP111" s="84"/>
      <c r="AQ111" s="84"/>
      <c r="AR111" s="84"/>
      <c r="AS111" s="84"/>
      <c r="AT111" s="84"/>
      <c r="AU111" s="1"/>
      <c r="AV111" s="1"/>
      <c r="AW111" s="1"/>
      <c r="AX111" s="1"/>
      <c r="AY111" s="1"/>
      <c r="AZ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</row>
    <row r="112" spans="1:70" s="2" customFormat="1" hidden="1" outlineLevel="1">
      <c r="A112" s="1043" t="s">
        <v>327</v>
      </c>
      <c r="D112" s="1061"/>
      <c r="F112" s="139"/>
      <c r="G112" s="367">
        <f t="shared" ref="G112:J117" si="172">G104/G128</f>
        <v>10890.983606557378</v>
      </c>
      <c r="H112" s="368">
        <f t="shared" si="172"/>
        <v>10890.983606557378</v>
      </c>
      <c r="I112" s="368">
        <f t="shared" si="172"/>
        <v>10890.983606557378</v>
      </c>
      <c r="J112" s="369">
        <f t="shared" si="172"/>
        <v>10890.983606557378</v>
      </c>
      <c r="K112" s="407"/>
      <c r="L112" s="169"/>
      <c r="M112" s="1"/>
      <c r="N112" s="389">
        <f t="shared" ref="N112:N117" si="173">G112</f>
        <v>10890.983606557378</v>
      </c>
      <c r="O112" s="387">
        <f>N112</f>
        <v>10890.983606557378</v>
      </c>
      <c r="P112" s="387">
        <f t="shared" ref="P112:Q112" si="174">O112</f>
        <v>10890.983606557378</v>
      </c>
      <c r="Q112" s="388">
        <f t="shared" si="174"/>
        <v>10890.983606557378</v>
      </c>
      <c r="R112" s="295"/>
      <c r="S112" s="1"/>
      <c r="T112" s="386">
        <f t="shared" ref="T112:T117" si="175">N112</f>
        <v>10890.983606557378</v>
      </c>
      <c r="U112" s="387">
        <f>T112</f>
        <v>10890.983606557378</v>
      </c>
      <c r="V112" s="387">
        <f t="shared" ref="V112:W112" si="176">U112</f>
        <v>10890.983606557378</v>
      </c>
      <c r="W112" s="388">
        <f t="shared" si="176"/>
        <v>10890.983606557378</v>
      </c>
      <c r="X112" s="1314"/>
      <c r="Y112" s="326"/>
      <c r="Z112" s="326"/>
      <c r="AA112" s="326"/>
      <c r="AB112" s="61"/>
      <c r="AC112" s="386">
        <f t="shared" ref="AC112:AC117" si="177">T112</f>
        <v>10890.983606557378</v>
      </c>
      <c r="AD112" s="387">
        <f>AC112</f>
        <v>10890.983606557378</v>
      </c>
      <c r="AE112" s="387">
        <f t="shared" ref="AE112:AF117" si="178">AD112</f>
        <v>10890.983606557378</v>
      </c>
      <c r="AF112" s="388">
        <f t="shared" si="178"/>
        <v>10890.983606557378</v>
      </c>
      <c r="AG112" s="61"/>
      <c r="AH112" s="831"/>
      <c r="AI112" s="386">
        <f t="shared" ref="AI112:AI117" si="179">AC112</f>
        <v>10890.983606557378</v>
      </c>
      <c r="AJ112" s="387">
        <f>AI112</f>
        <v>10890.983606557378</v>
      </c>
      <c r="AK112" s="387">
        <f t="shared" ref="AK112:AL117" si="180">AJ112</f>
        <v>10890.983606557378</v>
      </c>
      <c r="AL112" s="388">
        <f t="shared" si="180"/>
        <v>10890.983606557378</v>
      </c>
      <c r="AM112" s="832"/>
      <c r="AN112" s="560"/>
      <c r="AO112" s="84"/>
      <c r="AP112" s="84"/>
      <c r="AQ112" s="84"/>
      <c r="AR112" s="84"/>
      <c r="AS112" s="84"/>
      <c r="AT112" s="84"/>
      <c r="AU112" s="1"/>
      <c r="AV112" s="1"/>
      <c r="AW112" s="1"/>
      <c r="AX112" s="1"/>
      <c r="AY112" s="1"/>
      <c r="AZ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</row>
    <row r="113" spans="1:70" s="2" customFormat="1" hidden="1" outlineLevel="1">
      <c r="A113" s="436" t="s">
        <v>62</v>
      </c>
      <c r="D113" s="1061"/>
      <c r="F113" s="139"/>
      <c r="G113" s="370">
        <f t="shared" si="172"/>
        <v>9019.69957081545</v>
      </c>
      <c r="H113" s="169">
        <f t="shared" si="172"/>
        <v>9019.69957081545</v>
      </c>
      <c r="I113" s="169">
        <f t="shared" si="172"/>
        <v>9019.69957081545</v>
      </c>
      <c r="J113" s="371">
        <f t="shared" si="172"/>
        <v>9019.69957081545</v>
      </c>
      <c r="K113" s="407"/>
      <c r="L113" s="169"/>
      <c r="M113" s="1"/>
      <c r="N113" s="389">
        <f t="shared" si="173"/>
        <v>9019.69957081545</v>
      </c>
      <c r="O113" s="291">
        <f t="shared" ref="O113:Q117" si="181">N113</f>
        <v>9019.69957081545</v>
      </c>
      <c r="P113" s="291">
        <f t="shared" si="181"/>
        <v>9019.69957081545</v>
      </c>
      <c r="Q113" s="390">
        <f t="shared" si="181"/>
        <v>9019.69957081545</v>
      </c>
      <c r="R113" s="295"/>
      <c r="S113" s="1"/>
      <c r="T113" s="389">
        <f t="shared" si="175"/>
        <v>9019.69957081545</v>
      </c>
      <c r="U113" s="291">
        <f t="shared" ref="U113:W117" si="182">T113</f>
        <v>9019.69957081545</v>
      </c>
      <c r="V113" s="291">
        <f t="shared" si="182"/>
        <v>9019.69957081545</v>
      </c>
      <c r="W113" s="390">
        <f t="shared" si="182"/>
        <v>9019.69957081545</v>
      </c>
      <c r="X113" s="1314"/>
      <c r="Y113" s="326"/>
      <c r="Z113" s="326"/>
      <c r="AA113" s="326"/>
      <c r="AB113" s="61"/>
      <c r="AC113" s="389">
        <f t="shared" si="177"/>
        <v>9019.69957081545</v>
      </c>
      <c r="AD113" s="291">
        <f t="shared" ref="AD113:AD117" si="183">AC113</f>
        <v>9019.69957081545</v>
      </c>
      <c r="AE113" s="291">
        <f t="shared" si="178"/>
        <v>9019.69957081545</v>
      </c>
      <c r="AF113" s="390">
        <f t="shared" si="178"/>
        <v>9019.69957081545</v>
      </c>
      <c r="AG113" s="61"/>
      <c r="AH113" s="831"/>
      <c r="AI113" s="389">
        <f t="shared" si="179"/>
        <v>9019.69957081545</v>
      </c>
      <c r="AJ113" s="291">
        <f t="shared" ref="AJ113:AJ117" si="184">AI113</f>
        <v>9019.69957081545</v>
      </c>
      <c r="AK113" s="291">
        <f t="shared" si="180"/>
        <v>9019.69957081545</v>
      </c>
      <c r="AL113" s="390">
        <f t="shared" si="180"/>
        <v>9019.69957081545</v>
      </c>
      <c r="AM113" s="832"/>
      <c r="AN113" s="560"/>
      <c r="AO113" s="84"/>
      <c r="AP113" s="84"/>
      <c r="AQ113" s="84"/>
      <c r="AR113" s="84"/>
      <c r="AS113" s="84"/>
      <c r="AT113" s="84"/>
      <c r="AU113" s="1"/>
      <c r="AV113" s="1"/>
      <c r="AW113" s="1"/>
      <c r="AX113" s="1"/>
      <c r="AY113" s="1"/>
      <c r="AZ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</row>
    <row r="114" spans="1:70" s="2" customFormat="1" hidden="1" outlineLevel="1">
      <c r="A114" s="436" t="s">
        <v>65</v>
      </c>
      <c r="D114" s="1061"/>
      <c r="F114" s="139"/>
      <c r="G114" s="370">
        <f t="shared" si="172"/>
        <v>8227.1098265895962</v>
      </c>
      <c r="H114" s="169">
        <f t="shared" si="172"/>
        <v>8227.1098265895962</v>
      </c>
      <c r="I114" s="169">
        <f t="shared" si="172"/>
        <v>8227.1098265895962</v>
      </c>
      <c r="J114" s="371">
        <f t="shared" si="172"/>
        <v>8227.1098265895962</v>
      </c>
      <c r="K114" s="407"/>
      <c r="L114" s="169"/>
      <c r="M114" s="1"/>
      <c r="N114" s="389">
        <f t="shared" si="173"/>
        <v>8227.1098265895962</v>
      </c>
      <c r="O114" s="291">
        <f t="shared" si="181"/>
        <v>8227.1098265895962</v>
      </c>
      <c r="P114" s="291">
        <f t="shared" si="181"/>
        <v>8227.1098265895962</v>
      </c>
      <c r="Q114" s="390">
        <f t="shared" si="181"/>
        <v>8227.1098265895962</v>
      </c>
      <c r="R114" s="295"/>
      <c r="S114" s="1"/>
      <c r="T114" s="389">
        <f t="shared" si="175"/>
        <v>8227.1098265895962</v>
      </c>
      <c r="U114" s="291">
        <f t="shared" si="182"/>
        <v>8227.1098265895962</v>
      </c>
      <c r="V114" s="291">
        <f t="shared" si="182"/>
        <v>8227.1098265895962</v>
      </c>
      <c r="W114" s="390">
        <f t="shared" si="182"/>
        <v>8227.1098265895962</v>
      </c>
      <c r="X114" s="1314"/>
      <c r="Y114" s="326"/>
      <c r="Z114" s="326"/>
      <c r="AA114" s="326"/>
      <c r="AB114" s="61"/>
      <c r="AC114" s="389">
        <f t="shared" si="177"/>
        <v>8227.1098265895962</v>
      </c>
      <c r="AD114" s="291">
        <f t="shared" si="183"/>
        <v>8227.1098265895962</v>
      </c>
      <c r="AE114" s="291">
        <f t="shared" si="178"/>
        <v>8227.1098265895962</v>
      </c>
      <c r="AF114" s="390">
        <f t="shared" si="178"/>
        <v>8227.1098265895962</v>
      </c>
      <c r="AG114" s="61"/>
      <c r="AH114" s="831"/>
      <c r="AI114" s="389">
        <f t="shared" si="179"/>
        <v>8227.1098265895962</v>
      </c>
      <c r="AJ114" s="291">
        <f t="shared" si="184"/>
        <v>8227.1098265895962</v>
      </c>
      <c r="AK114" s="291">
        <f t="shared" si="180"/>
        <v>8227.1098265895962</v>
      </c>
      <c r="AL114" s="390">
        <f t="shared" si="180"/>
        <v>8227.1098265895962</v>
      </c>
      <c r="AM114" s="832"/>
      <c r="AN114" s="560"/>
      <c r="AO114" s="84"/>
      <c r="AP114" s="84"/>
      <c r="AQ114" s="84"/>
      <c r="AR114" s="84"/>
      <c r="AS114" s="84"/>
      <c r="AT114" s="84"/>
      <c r="AU114" s="1"/>
      <c r="AV114" s="1"/>
      <c r="AW114" s="1"/>
      <c r="AX114" s="1"/>
      <c r="AY114" s="1"/>
      <c r="AZ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</row>
    <row r="115" spans="1:70" s="2" customFormat="1" hidden="1" outlineLevel="1">
      <c r="A115" s="436" t="s">
        <v>66</v>
      </c>
      <c r="D115" s="1061"/>
      <c r="F115" s="139"/>
      <c r="G115" s="370">
        <f t="shared" si="172"/>
        <v>8245.1677852348985</v>
      </c>
      <c r="H115" s="169">
        <f t="shared" si="172"/>
        <v>8245.1677852348985</v>
      </c>
      <c r="I115" s="169">
        <f t="shared" si="172"/>
        <v>8245.1677852348985</v>
      </c>
      <c r="J115" s="371">
        <f t="shared" si="172"/>
        <v>8245.1677852348985</v>
      </c>
      <c r="K115" s="407"/>
      <c r="L115" s="169"/>
      <c r="M115" s="1"/>
      <c r="N115" s="389">
        <f t="shared" si="173"/>
        <v>8245.1677852348985</v>
      </c>
      <c r="O115" s="291">
        <f t="shared" si="181"/>
        <v>8245.1677852348985</v>
      </c>
      <c r="P115" s="291">
        <f t="shared" si="181"/>
        <v>8245.1677852348985</v>
      </c>
      <c r="Q115" s="390">
        <f t="shared" si="181"/>
        <v>8245.1677852348985</v>
      </c>
      <c r="R115" s="295"/>
      <c r="S115" s="1"/>
      <c r="T115" s="389">
        <f t="shared" si="175"/>
        <v>8245.1677852348985</v>
      </c>
      <c r="U115" s="291">
        <f t="shared" si="182"/>
        <v>8245.1677852348985</v>
      </c>
      <c r="V115" s="291">
        <f t="shared" si="182"/>
        <v>8245.1677852348985</v>
      </c>
      <c r="W115" s="390">
        <f t="shared" si="182"/>
        <v>8245.1677852348985</v>
      </c>
      <c r="X115" s="1314"/>
      <c r="Y115" s="326"/>
      <c r="Z115" s="326"/>
      <c r="AA115" s="326"/>
      <c r="AB115" s="61"/>
      <c r="AC115" s="389">
        <f t="shared" si="177"/>
        <v>8245.1677852348985</v>
      </c>
      <c r="AD115" s="291">
        <f t="shared" si="183"/>
        <v>8245.1677852348985</v>
      </c>
      <c r="AE115" s="291">
        <f t="shared" si="178"/>
        <v>8245.1677852348985</v>
      </c>
      <c r="AF115" s="390">
        <f t="shared" si="178"/>
        <v>8245.1677852348985</v>
      </c>
      <c r="AG115" s="61"/>
      <c r="AH115" s="831"/>
      <c r="AI115" s="389">
        <f t="shared" si="179"/>
        <v>8245.1677852348985</v>
      </c>
      <c r="AJ115" s="291">
        <f t="shared" si="184"/>
        <v>8245.1677852348985</v>
      </c>
      <c r="AK115" s="291">
        <f t="shared" si="180"/>
        <v>8245.1677852348985</v>
      </c>
      <c r="AL115" s="390">
        <f t="shared" si="180"/>
        <v>8245.1677852348985</v>
      </c>
      <c r="AM115" s="832"/>
      <c r="AN115" s="560"/>
      <c r="AO115" s="84"/>
      <c r="AP115" s="84"/>
      <c r="AQ115" s="84"/>
      <c r="AR115" s="84"/>
      <c r="AS115" s="84"/>
      <c r="AT115" s="84"/>
      <c r="AU115" s="1"/>
      <c r="AV115" s="1"/>
      <c r="AW115" s="1"/>
      <c r="AX115" s="1"/>
      <c r="AY115" s="1"/>
      <c r="AZ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</row>
    <row r="116" spans="1:70" s="2" customFormat="1" hidden="1" outlineLevel="1">
      <c r="A116" s="436" t="s">
        <v>328</v>
      </c>
      <c r="D116" s="1061"/>
      <c r="F116" s="139"/>
      <c r="G116" s="370">
        <f t="shared" si="172"/>
        <v>7866.9767441860467</v>
      </c>
      <c r="H116" s="169">
        <f t="shared" si="172"/>
        <v>7866.9767441860467</v>
      </c>
      <c r="I116" s="169">
        <f t="shared" si="172"/>
        <v>7866.9767441860467</v>
      </c>
      <c r="J116" s="371">
        <f t="shared" si="172"/>
        <v>7866.9767441860467</v>
      </c>
      <c r="K116" s="407"/>
      <c r="L116" s="169"/>
      <c r="M116" s="1"/>
      <c r="N116" s="389">
        <f t="shared" si="173"/>
        <v>7866.9767441860467</v>
      </c>
      <c r="O116" s="291">
        <f t="shared" si="181"/>
        <v>7866.9767441860467</v>
      </c>
      <c r="P116" s="291">
        <f t="shared" si="181"/>
        <v>7866.9767441860467</v>
      </c>
      <c r="Q116" s="390">
        <f t="shared" si="181"/>
        <v>7866.9767441860467</v>
      </c>
      <c r="R116" s="295"/>
      <c r="S116" s="1"/>
      <c r="T116" s="389">
        <f t="shared" si="175"/>
        <v>7866.9767441860467</v>
      </c>
      <c r="U116" s="291">
        <f t="shared" si="182"/>
        <v>7866.9767441860467</v>
      </c>
      <c r="V116" s="291">
        <f t="shared" si="182"/>
        <v>7866.9767441860467</v>
      </c>
      <c r="W116" s="390">
        <f t="shared" si="182"/>
        <v>7866.9767441860467</v>
      </c>
      <c r="X116" s="1314"/>
      <c r="Y116" s="326"/>
      <c r="Z116" s="326"/>
      <c r="AA116" s="326"/>
      <c r="AB116" s="61"/>
      <c r="AC116" s="389">
        <f t="shared" si="177"/>
        <v>7866.9767441860467</v>
      </c>
      <c r="AD116" s="291">
        <f t="shared" si="183"/>
        <v>7866.9767441860467</v>
      </c>
      <c r="AE116" s="291">
        <f t="shared" si="178"/>
        <v>7866.9767441860467</v>
      </c>
      <c r="AF116" s="390">
        <f t="shared" si="178"/>
        <v>7866.9767441860467</v>
      </c>
      <c r="AG116" s="61"/>
      <c r="AH116" s="831"/>
      <c r="AI116" s="389">
        <f t="shared" si="179"/>
        <v>7866.9767441860467</v>
      </c>
      <c r="AJ116" s="291">
        <f t="shared" si="184"/>
        <v>7866.9767441860467</v>
      </c>
      <c r="AK116" s="291">
        <f t="shared" si="180"/>
        <v>7866.9767441860467</v>
      </c>
      <c r="AL116" s="390">
        <f t="shared" si="180"/>
        <v>7866.9767441860467</v>
      </c>
      <c r="AM116" s="832"/>
      <c r="AN116" s="560"/>
      <c r="AO116" s="84"/>
      <c r="AP116" s="84"/>
      <c r="AQ116" s="84"/>
      <c r="AR116" s="84"/>
      <c r="AS116" s="84"/>
      <c r="AT116" s="84"/>
      <c r="AU116" s="1"/>
      <c r="AV116" s="1"/>
      <c r="AW116" s="1"/>
      <c r="AX116" s="1"/>
      <c r="AY116" s="1"/>
      <c r="AZ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</row>
    <row r="117" spans="1:70" s="2" customFormat="1" hidden="1" outlineLevel="1">
      <c r="A117" s="1044" t="s">
        <v>329</v>
      </c>
      <c r="D117" s="1061"/>
      <c r="F117" s="139"/>
      <c r="G117" s="372">
        <f t="shared" si="172"/>
        <v>6674.5360824742265</v>
      </c>
      <c r="H117" s="373">
        <f t="shared" si="172"/>
        <v>6674.5360824742265</v>
      </c>
      <c r="I117" s="373">
        <f t="shared" si="172"/>
        <v>6674.5360824742265</v>
      </c>
      <c r="J117" s="374">
        <f t="shared" si="172"/>
        <v>6674.5360824742265</v>
      </c>
      <c r="K117" s="407"/>
      <c r="L117" s="169"/>
      <c r="M117" s="1"/>
      <c r="N117" s="391">
        <f t="shared" si="173"/>
        <v>6674.5360824742265</v>
      </c>
      <c r="O117" s="392">
        <f t="shared" si="181"/>
        <v>6674.5360824742265</v>
      </c>
      <c r="P117" s="392">
        <f t="shared" si="181"/>
        <v>6674.5360824742265</v>
      </c>
      <c r="Q117" s="393">
        <f t="shared" si="181"/>
        <v>6674.5360824742265</v>
      </c>
      <c r="R117" s="295"/>
      <c r="S117" s="1"/>
      <c r="T117" s="391">
        <f t="shared" si="175"/>
        <v>6674.5360824742265</v>
      </c>
      <c r="U117" s="392">
        <f t="shared" si="182"/>
        <v>6674.5360824742265</v>
      </c>
      <c r="V117" s="392">
        <f t="shared" si="182"/>
        <v>6674.5360824742265</v>
      </c>
      <c r="W117" s="393">
        <f t="shared" si="182"/>
        <v>6674.5360824742265</v>
      </c>
      <c r="X117" s="1314"/>
      <c r="Y117" s="326"/>
      <c r="Z117" s="326"/>
      <c r="AA117" s="326"/>
      <c r="AB117" s="61"/>
      <c r="AC117" s="391">
        <f t="shared" si="177"/>
        <v>6674.5360824742265</v>
      </c>
      <c r="AD117" s="392">
        <f t="shared" si="183"/>
        <v>6674.5360824742265</v>
      </c>
      <c r="AE117" s="392">
        <f t="shared" si="178"/>
        <v>6674.5360824742265</v>
      </c>
      <c r="AF117" s="393">
        <f t="shared" si="178"/>
        <v>6674.5360824742265</v>
      </c>
      <c r="AG117" s="61"/>
      <c r="AH117" s="831"/>
      <c r="AI117" s="391">
        <f t="shared" si="179"/>
        <v>6674.5360824742265</v>
      </c>
      <c r="AJ117" s="392">
        <f t="shared" si="184"/>
        <v>6674.5360824742265</v>
      </c>
      <c r="AK117" s="392">
        <f t="shared" si="180"/>
        <v>6674.5360824742265</v>
      </c>
      <c r="AL117" s="393">
        <f t="shared" si="180"/>
        <v>6674.5360824742265</v>
      </c>
      <c r="AM117" s="832"/>
      <c r="AN117" s="560"/>
      <c r="AO117" s="84"/>
      <c r="AP117" s="84"/>
      <c r="AQ117" s="84"/>
      <c r="AR117" s="84"/>
      <c r="AS117" s="84"/>
      <c r="AT117" s="84"/>
      <c r="AU117" s="1"/>
      <c r="AV117" s="1"/>
      <c r="AW117" s="1"/>
      <c r="AX117" s="1"/>
      <c r="AY117" s="1"/>
      <c r="AZ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</row>
    <row r="118" spans="1:70" hidden="1" outlineLevel="1">
      <c r="A118" s="436"/>
      <c r="B118" s="2"/>
      <c r="C118" s="2"/>
      <c r="D118" s="1061"/>
      <c r="E118" s="2"/>
      <c r="G118" s="290"/>
      <c r="H118" s="429"/>
      <c r="I118" s="429"/>
      <c r="J118" s="429"/>
      <c r="K118" s="511"/>
      <c r="L118" s="429"/>
      <c r="M118" s="423"/>
      <c r="N118" s="169"/>
      <c r="O118" s="169"/>
      <c r="P118" s="169"/>
      <c r="Q118" s="169"/>
      <c r="T118" s="169"/>
      <c r="U118" s="169"/>
      <c r="V118" s="169"/>
      <c r="W118" s="169"/>
      <c r="AB118" s="154"/>
      <c r="AC118" s="154"/>
      <c r="AD118" s="154"/>
      <c r="AE118" s="154"/>
      <c r="AF118" s="154"/>
      <c r="AG118" s="154"/>
      <c r="AH118" s="615"/>
      <c r="AI118" s="154"/>
      <c r="AJ118" s="154"/>
      <c r="AK118" s="154"/>
      <c r="AL118" s="154"/>
      <c r="AM118" s="684"/>
      <c r="AN118" s="299"/>
      <c r="AO118" s="2"/>
      <c r="AP118" s="2"/>
      <c r="AQ118" s="2"/>
      <c r="AR118" s="2"/>
      <c r="AS118" s="2"/>
      <c r="AT118" s="2"/>
    </row>
    <row r="119" spans="1:70" s="425" customFormat="1" hidden="1" outlineLevel="1">
      <c r="A119" s="382" t="s">
        <v>345</v>
      </c>
      <c r="B119" s="452"/>
      <c r="C119" s="452"/>
      <c r="D119" s="1071"/>
      <c r="E119" s="452"/>
      <c r="F119" s="356"/>
      <c r="G119" s="343"/>
      <c r="H119" s="430"/>
      <c r="I119" s="430"/>
      <c r="J119" s="430"/>
      <c r="K119" s="512"/>
      <c r="L119" s="430"/>
      <c r="N119" s="399" t="s">
        <v>334</v>
      </c>
      <c r="O119" s="354"/>
      <c r="P119" s="354"/>
      <c r="Q119" s="354"/>
      <c r="R119" s="503"/>
      <c r="S119" s="43"/>
      <c r="T119" s="399" t="s">
        <v>334</v>
      </c>
      <c r="U119" s="354"/>
      <c r="V119" s="354"/>
      <c r="W119" s="354"/>
      <c r="X119" s="503"/>
      <c r="Y119" s="43"/>
      <c r="Z119" s="43"/>
      <c r="AA119" s="43"/>
      <c r="AB119" s="633"/>
      <c r="AC119" s="633"/>
      <c r="AD119" s="633"/>
      <c r="AE119" s="633"/>
      <c r="AF119" s="633"/>
      <c r="AG119" s="633"/>
      <c r="AH119" s="833"/>
      <c r="AI119" s="633"/>
      <c r="AJ119" s="633"/>
      <c r="AK119" s="633"/>
      <c r="AL119" s="633"/>
      <c r="AM119" s="834"/>
      <c r="AN119" s="562"/>
      <c r="AO119" s="356"/>
      <c r="AP119" s="356"/>
      <c r="AQ119" s="356"/>
      <c r="AR119" s="356"/>
      <c r="AS119" s="356"/>
      <c r="AT119" s="356"/>
      <c r="AU119" s="43"/>
      <c r="AV119" s="43"/>
      <c r="AW119" s="43"/>
      <c r="AX119" s="43"/>
      <c r="AY119" s="43"/>
      <c r="AZ119" s="43"/>
      <c r="BG119" s="43"/>
      <c r="BH119" s="43"/>
      <c r="BI119" s="43"/>
      <c r="BJ119" s="43"/>
      <c r="BK119" s="43"/>
      <c r="BL119" s="43"/>
      <c r="BM119" s="43"/>
      <c r="BN119" s="43"/>
      <c r="BO119" s="43"/>
      <c r="BP119" s="43"/>
      <c r="BQ119" s="43"/>
      <c r="BR119" s="43"/>
    </row>
    <row r="120" spans="1:70" hidden="1" outlineLevel="1">
      <c r="A120" s="1043" t="s">
        <v>327</v>
      </c>
      <c r="B120" s="2"/>
      <c r="C120" s="2"/>
      <c r="D120" s="1061"/>
      <c r="E120" s="2"/>
      <c r="G120" s="378">
        <f t="shared" ref="G120:G125" si="185">G128</f>
        <v>10.166666666666666</v>
      </c>
      <c r="H120" s="431">
        <f t="shared" ref="H120:J126" si="186">G120</f>
        <v>10.166666666666666</v>
      </c>
      <c r="I120" s="431">
        <f t="shared" si="186"/>
        <v>10.166666666666666</v>
      </c>
      <c r="J120" s="432">
        <f t="shared" si="186"/>
        <v>10.166666666666666</v>
      </c>
      <c r="K120" s="511"/>
      <c r="L120" s="429"/>
      <c r="M120" s="423"/>
      <c r="N120" s="378">
        <f>G120+0.7</f>
        <v>10.866666666666665</v>
      </c>
      <c r="O120" s="394">
        <f>N120</f>
        <v>10.866666666666665</v>
      </c>
      <c r="P120" s="394">
        <f t="shared" ref="P120:Q120" si="187">O120</f>
        <v>10.866666666666665</v>
      </c>
      <c r="Q120" s="395">
        <f t="shared" si="187"/>
        <v>10.866666666666665</v>
      </c>
      <c r="T120" s="378">
        <f t="shared" ref="T120:T126" si="188">N120</f>
        <v>10.866666666666665</v>
      </c>
      <c r="U120" s="394">
        <f>T120</f>
        <v>10.866666666666665</v>
      </c>
      <c r="V120" s="394">
        <f t="shared" ref="V120:W120" si="189">U120</f>
        <v>10.866666666666665</v>
      </c>
      <c r="W120" s="395">
        <f t="shared" si="189"/>
        <v>10.866666666666665</v>
      </c>
      <c r="AB120" s="154"/>
      <c r="AC120" s="378">
        <f>T120</f>
        <v>10.866666666666665</v>
      </c>
      <c r="AD120" s="394">
        <f>AC120</f>
        <v>10.866666666666665</v>
      </c>
      <c r="AE120" s="394">
        <f t="shared" ref="AE120:AF126" si="190">AD120</f>
        <v>10.866666666666665</v>
      </c>
      <c r="AF120" s="395">
        <f t="shared" si="190"/>
        <v>10.866666666666665</v>
      </c>
      <c r="AG120" s="154"/>
      <c r="AH120" s="615"/>
      <c r="AI120" s="378">
        <f>AC120</f>
        <v>10.866666666666665</v>
      </c>
      <c r="AJ120" s="394">
        <f>AI120</f>
        <v>10.866666666666665</v>
      </c>
      <c r="AK120" s="394">
        <f t="shared" ref="AK120:AL126" si="191">AJ120</f>
        <v>10.866666666666665</v>
      </c>
      <c r="AL120" s="395">
        <f t="shared" si="191"/>
        <v>10.866666666666665</v>
      </c>
      <c r="AM120" s="684"/>
      <c r="AN120" s="299"/>
      <c r="AO120" s="2"/>
      <c r="AP120" s="2"/>
      <c r="AQ120" s="2"/>
      <c r="AR120" s="2"/>
      <c r="AS120" s="2"/>
      <c r="AT120" s="2"/>
    </row>
    <row r="121" spans="1:70" hidden="1" outlineLevel="1">
      <c r="A121" s="436" t="s">
        <v>62</v>
      </c>
      <c r="B121" s="2"/>
      <c r="C121" s="2"/>
      <c r="D121" s="1061"/>
      <c r="E121" s="2"/>
      <c r="G121" s="379">
        <f t="shared" si="185"/>
        <v>7.7666666666666666</v>
      </c>
      <c r="H121" s="429">
        <f t="shared" si="186"/>
        <v>7.7666666666666666</v>
      </c>
      <c r="I121" s="429">
        <f t="shared" si="186"/>
        <v>7.7666666666666666</v>
      </c>
      <c r="J121" s="433">
        <f t="shared" si="186"/>
        <v>7.7666666666666666</v>
      </c>
      <c r="K121" s="511"/>
      <c r="L121" s="429"/>
      <c r="M121" s="423"/>
      <c r="N121" s="379">
        <f t="shared" ref="N121:N125" si="192">G121+0.7</f>
        <v>8.4666666666666668</v>
      </c>
      <c r="O121" s="290">
        <f t="shared" ref="O121:Q126" si="193">N121</f>
        <v>8.4666666666666668</v>
      </c>
      <c r="P121" s="290">
        <f t="shared" si="193"/>
        <v>8.4666666666666668</v>
      </c>
      <c r="Q121" s="396">
        <f t="shared" si="193"/>
        <v>8.4666666666666668</v>
      </c>
      <c r="T121" s="379">
        <f t="shared" si="188"/>
        <v>8.4666666666666668</v>
      </c>
      <c r="U121" s="290">
        <f t="shared" ref="U121:W126" si="194">T121</f>
        <v>8.4666666666666668</v>
      </c>
      <c r="V121" s="290">
        <f t="shared" si="194"/>
        <v>8.4666666666666668</v>
      </c>
      <c r="W121" s="396">
        <f t="shared" si="194"/>
        <v>8.4666666666666668</v>
      </c>
      <c r="AB121" s="154"/>
      <c r="AC121" s="379">
        <f t="shared" ref="AC121:AC126" si="195">T121</f>
        <v>8.4666666666666668</v>
      </c>
      <c r="AD121" s="290">
        <f t="shared" ref="AD121:AD126" si="196">AC121</f>
        <v>8.4666666666666668</v>
      </c>
      <c r="AE121" s="290">
        <f t="shared" si="190"/>
        <v>8.4666666666666668</v>
      </c>
      <c r="AF121" s="396">
        <f t="shared" si="190"/>
        <v>8.4666666666666668</v>
      </c>
      <c r="AG121" s="154"/>
      <c r="AH121" s="615"/>
      <c r="AI121" s="379">
        <f t="shared" ref="AI121:AI126" si="197">AC121</f>
        <v>8.4666666666666668</v>
      </c>
      <c r="AJ121" s="290">
        <f t="shared" ref="AJ121:AJ126" si="198">AI121</f>
        <v>8.4666666666666668</v>
      </c>
      <c r="AK121" s="290">
        <f t="shared" si="191"/>
        <v>8.4666666666666668</v>
      </c>
      <c r="AL121" s="396">
        <f t="shared" si="191"/>
        <v>8.4666666666666668</v>
      </c>
      <c r="AM121" s="684"/>
      <c r="AN121" s="299"/>
      <c r="AO121" s="2"/>
      <c r="AP121" s="2"/>
      <c r="AQ121" s="2"/>
      <c r="AR121" s="2"/>
      <c r="AS121" s="2"/>
      <c r="AT121" s="2"/>
    </row>
    <row r="122" spans="1:70" hidden="1" outlineLevel="1">
      <c r="A122" s="436" t="s">
        <v>65</v>
      </c>
      <c r="B122" s="2"/>
      <c r="C122" s="2"/>
      <c r="D122" s="1061"/>
      <c r="E122" s="2"/>
      <c r="G122" s="379">
        <f t="shared" si="185"/>
        <v>5.7666666666666666</v>
      </c>
      <c r="H122" s="429">
        <f t="shared" si="186"/>
        <v>5.7666666666666666</v>
      </c>
      <c r="I122" s="429">
        <f t="shared" si="186"/>
        <v>5.7666666666666666</v>
      </c>
      <c r="J122" s="433">
        <f t="shared" si="186"/>
        <v>5.7666666666666666</v>
      </c>
      <c r="K122" s="511"/>
      <c r="L122" s="429"/>
      <c r="M122" s="423"/>
      <c r="N122" s="379">
        <f t="shared" si="192"/>
        <v>6.4666666666666668</v>
      </c>
      <c r="O122" s="290">
        <f t="shared" si="193"/>
        <v>6.4666666666666668</v>
      </c>
      <c r="P122" s="290">
        <f t="shared" si="193"/>
        <v>6.4666666666666668</v>
      </c>
      <c r="Q122" s="396">
        <f t="shared" si="193"/>
        <v>6.4666666666666668</v>
      </c>
      <c r="T122" s="379">
        <f t="shared" si="188"/>
        <v>6.4666666666666668</v>
      </c>
      <c r="U122" s="290">
        <f t="shared" si="194"/>
        <v>6.4666666666666668</v>
      </c>
      <c r="V122" s="290">
        <f t="shared" si="194"/>
        <v>6.4666666666666668</v>
      </c>
      <c r="W122" s="396">
        <f t="shared" si="194"/>
        <v>6.4666666666666668</v>
      </c>
      <c r="AB122" s="154"/>
      <c r="AC122" s="379">
        <f t="shared" si="195"/>
        <v>6.4666666666666668</v>
      </c>
      <c r="AD122" s="290">
        <f t="shared" si="196"/>
        <v>6.4666666666666668</v>
      </c>
      <c r="AE122" s="290">
        <f t="shared" si="190"/>
        <v>6.4666666666666668</v>
      </c>
      <c r="AF122" s="396">
        <f t="shared" si="190"/>
        <v>6.4666666666666668</v>
      </c>
      <c r="AG122" s="154"/>
      <c r="AH122" s="615"/>
      <c r="AI122" s="379">
        <f t="shared" si="197"/>
        <v>6.4666666666666668</v>
      </c>
      <c r="AJ122" s="290">
        <f t="shared" si="198"/>
        <v>6.4666666666666668</v>
      </c>
      <c r="AK122" s="290">
        <f t="shared" si="191"/>
        <v>6.4666666666666668</v>
      </c>
      <c r="AL122" s="396">
        <f t="shared" si="191"/>
        <v>6.4666666666666668</v>
      </c>
      <c r="AM122" s="684"/>
      <c r="AN122" s="299"/>
      <c r="AO122" s="2"/>
      <c r="AP122" s="2"/>
      <c r="AQ122" s="2"/>
      <c r="AR122" s="2"/>
      <c r="AS122" s="2"/>
      <c r="AT122" s="2"/>
    </row>
    <row r="123" spans="1:70" hidden="1" outlineLevel="1">
      <c r="A123" s="436" t="s">
        <v>66</v>
      </c>
      <c r="B123" s="2"/>
      <c r="C123" s="2"/>
      <c r="D123" s="1061"/>
      <c r="E123" s="2"/>
      <c r="G123" s="379">
        <f t="shared" si="185"/>
        <v>4.9666666666666668</v>
      </c>
      <c r="H123" s="429">
        <f t="shared" si="186"/>
        <v>4.9666666666666668</v>
      </c>
      <c r="I123" s="429">
        <f t="shared" si="186"/>
        <v>4.9666666666666668</v>
      </c>
      <c r="J123" s="433">
        <f t="shared" si="186"/>
        <v>4.9666666666666668</v>
      </c>
      <c r="K123" s="511"/>
      <c r="L123" s="429"/>
      <c r="M123" s="423"/>
      <c r="N123" s="379">
        <f t="shared" si="192"/>
        <v>5.666666666666667</v>
      </c>
      <c r="O123" s="290">
        <f t="shared" si="193"/>
        <v>5.666666666666667</v>
      </c>
      <c r="P123" s="290">
        <f t="shared" si="193"/>
        <v>5.666666666666667</v>
      </c>
      <c r="Q123" s="396">
        <f t="shared" si="193"/>
        <v>5.666666666666667</v>
      </c>
      <c r="T123" s="379">
        <f t="shared" si="188"/>
        <v>5.666666666666667</v>
      </c>
      <c r="U123" s="290">
        <f t="shared" si="194"/>
        <v>5.666666666666667</v>
      </c>
      <c r="V123" s="290">
        <f t="shared" si="194"/>
        <v>5.666666666666667</v>
      </c>
      <c r="W123" s="396">
        <f t="shared" si="194"/>
        <v>5.666666666666667</v>
      </c>
      <c r="AB123" s="154"/>
      <c r="AC123" s="379">
        <f t="shared" si="195"/>
        <v>5.666666666666667</v>
      </c>
      <c r="AD123" s="290">
        <f t="shared" si="196"/>
        <v>5.666666666666667</v>
      </c>
      <c r="AE123" s="290">
        <f t="shared" si="190"/>
        <v>5.666666666666667</v>
      </c>
      <c r="AF123" s="396">
        <f t="shared" si="190"/>
        <v>5.666666666666667</v>
      </c>
      <c r="AG123" s="154"/>
      <c r="AH123" s="615"/>
      <c r="AI123" s="379">
        <f t="shared" si="197"/>
        <v>5.666666666666667</v>
      </c>
      <c r="AJ123" s="290">
        <f t="shared" si="198"/>
        <v>5.666666666666667</v>
      </c>
      <c r="AK123" s="290">
        <f t="shared" si="191"/>
        <v>5.666666666666667</v>
      </c>
      <c r="AL123" s="396">
        <f t="shared" si="191"/>
        <v>5.666666666666667</v>
      </c>
      <c r="AM123" s="684"/>
      <c r="AN123" s="299"/>
      <c r="AO123" s="2"/>
      <c r="AP123" s="2"/>
      <c r="AQ123" s="2"/>
      <c r="AR123" s="2"/>
      <c r="AS123" s="2"/>
      <c r="AT123" s="2"/>
    </row>
    <row r="124" spans="1:70" hidden="1" outlineLevel="1">
      <c r="A124" s="436" t="s">
        <v>328</v>
      </c>
      <c r="B124" s="2"/>
      <c r="C124" s="2"/>
      <c r="D124" s="1061"/>
      <c r="E124" s="2"/>
      <c r="G124" s="379">
        <f t="shared" si="185"/>
        <v>4.3</v>
      </c>
      <c r="H124" s="429">
        <f t="shared" si="186"/>
        <v>4.3</v>
      </c>
      <c r="I124" s="429">
        <f t="shared" si="186"/>
        <v>4.3</v>
      </c>
      <c r="J124" s="433">
        <f t="shared" si="186"/>
        <v>4.3</v>
      </c>
      <c r="K124" s="511"/>
      <c r="L124" s="429"/>
      <c r="M124" s="423"/>
      <c r="N124" s="379">
        <f t="shared" si="192"/>
        <v>5</v>
      </c>
      <c r="O124" s="290">
        <f t="shared" si="193"/>
        <v>5</v>
      </c>
      <c r="P124" s="290">
        <f t="shared" si="193"/>
        <v>5</v>
      </c>
      <c r="Q124" s="396">
        <f t="shared" si="193"/>
        <v>5</v>
      </c>
      <c r="T124" s="379">
        <f t="shared" si="188"/>
        <v>5</v>
      </c>
      <c r="U124" s="290">
        <f t="shared" si="194"/>
        <v>5</v>
      </c>
      <c r="V124" s="290">
        <f t="shared" si="194"/>
        <v>5</v>
      </c>
      <c r="W124" s="396">
        <f t="shared" si="194"/>
        <v>5</v>
      </c>
      <c r="AB124" s="154"/>
      <c r="AC124" s="379">
        <f t="shared" si="195"/>
        <v>5</v>
      </c>
      <c r="AD124" s="290">
        <f t="shared" si="196"/>
        <v>5</v>
      </c>
      <c r="AE124" s="290">
        <f t="shared" si="190"/>
        <v>5</v>
      </c>
      <c r="AF124" s="396">
        <f t="shared" si="190"/>
        <v>5</v>
      </c>
      <c r="AG124" s="154"/>
      <c r="AH124" s="615"/>
      <c r="AI124" s="379">
        <f t="shared" si="197"/>
        <v>5</v>
      </c>
      <c r="AJ124" s="290">
        <f t="shared" si="198"/>
        <v>5</v>
      </c>
      <c r="AK124" s="290">
        <f t="shared" si="191"/>
        <v>5</v>
      </c>
      <c r="AL124" s="396">
        <f t="shared" si="191"/>
        <v>5</v>
      </c>
      <c r="AM124" s="684"/>
      <c r="AN124" s="299"/>
      <c r="AO124" s="2"/>
      <c r="AP124" s="2"/>
      <c r="AQ124" s="2"/>
      <c r="AR124" s="2"/>
      <c r="AS124" s="2"/>
      <c r="AT124" s="2"/>
    </row>
    <row r="125" spans="1:70" hidden="1" outlineLevel="1">
      <c r="A125" s="1044" t="s">
        <v>329</v>
      </c>
      <c r="B125" s="2"/>
      <c r="C125" s="2"/>
      <c r="D125" s="1061"/>
      <c r="E125" s="2"/>
      <c r="G125" s="380">
        <f t="shared" si="185"/>
        <v>3.2333333333333334</v>
      </c>
      <c r="H125" s="434">
        <f t="shared" si="186"/>
        <v>3.2333333333333334</v>
      </c>
      <c r="I125" s="434">
        <f t="shared" si="186"/>
        <v>3.2333333333333334</v>
      </c>
      <c r="J125" s="435">
        <f t="shared" si="186"/>
        <v>3.2333333333333334</v>
      </c>
      <c r="K125" s="511"/>
      <c r="L125" s="429"/>
      <c r="M125" s="423"/>
      <c r="N125" s="380">
        <f t="shared" si="192"/>
        <v>3.9333333333333336</v>
      </c>
      <c r="O125" s="397">
        <f t="shared" si="193"/>
        <v>3.9333333333333336</v>
      </c>
      <c r="P125" s="397">
        <f t="shared" si="193"/>
        <v>3.9333333333333336</v>
      </c>
      <c r="Q125" s="398">
        <f t="shared" si="193"/>
        <v>3.9333333333333336</v>
      </c>
      <c r="T125" s="380">
        <f t="shared" si="188"/>
        <v>3.9333333333333336</v>
      </c>
      <c r="U125" s="397">
        <f t="shared" si="194"/>
        <v>3.9333333333333336</v>
      </c>
      <c r="V125" s="397">
        <f t="shared" si="194"/>
        <v>3.9333333333333336</v>
      </c>
      <c r="W125" s="398">
        <f t="shared" si="194"/>
        <v>3.9333333333333336</v>
      </c>
      <c r="AB125" s="154"/>
      <c r="AC125" s="380">
        <f t="shared" si="195"/>
        <v>3.9333333333333336</v>
      </c>
      <c r="AD125" s="397">
        <f t="shared" si="196"/>
        <v>3.9333333333333336</v>
      </c>
      <c r="AE125" s="397">
        <f t="shared" si="190"/>
        <v>3.9333333333333336</v>
      </c>
      <c r="AF125" s="398">
        <f t="shared" si="190"/>
        <v>3.9333333333333336</v>
      </c>
      <c r="AG125" s="154"/>
      <c r="AH125" s="615"/>
      <c r="AI125" s="380">
        <f t="shared" si="197"/>
        <v>3.9333333333333336</v>
      </c>
      <c r="AJ125" s="397">
        <f t="shared" si="198"/>
        <v>3.9333333333333336</v>
      </c>
      <c r="AK125" s="397">
        <f t="shared" si="191"/>
        <v>3.9333333333333336</v>
      </c>
      <c r="AL125" s="398">
        <f t="shared" si="191"/>
        <v>3.9333333333333336</v>
      </c>
      <c r="AM125" s="684"/>
      <c r="AN125" s="299"/>
      <c r="AO125" s="2"/>
      <c r="AP125" s="2"/>
      <c r="AQ125" s="2"/>
      <c r="AR125" s="2"/>
      <c r="AS125" s="2"/>
      <c r="AT125" s="2"/>
    </row>
    <row r="126" spans="1:70" s="762" customFormat="1" hidden="1" outlineLevel="1">
      <c r="A126" s="1045"/>
      <c r="B126" s="400"/>
      <c r="C126" s="400"/>
      <c r="D126" s="1073"/>
      <c r="E126" s="400"/>
      <c r="F126" s="400"/>
      <c r="G126" s="154">
        <f>AVERAGE(G120:G125)</f>
        <v>6.0333333333333323</v>
      </c>
      <c r="H126" s="400">
        <f t="shared" si="186"/>
        <v>6.0333333333333323</v>
      </c>
      <c r="I126" s="400">
        <f t="shared" si="186"/>
        <v>6.0333333333333323</v>
      </c>
      <c r="J126" s="400">
        <f t="shared" si="186"/>
        <v>6.0333333333333323</v>
      </c>
      <c r="K126" s="760"/>
      <c r="L126" s="400"/>
      <c r="N126" s="154">
        <f t="shared" ref="N126" si="199">G126+1</f>
        <v>7.0333333333333323</v>
      </c>
      <c r="O126" s="154">
        <f t="shared" si="193"/>
        <v>7.0333333333333323</v>
      </c>
      <c r="P126" s="154">
        <f t="shared" si="193"/>
        <v>7.0333333333333323</v>
      </c>
      <c r="Q126" s="154">
        <f t="shared" si="193"/>
        <v>7.0333333333333323</v>
      </c>
      <c r="R126" s="299"/>
      <c r="S126" s="154"/>
      <c r="T126" s="154">
        <f t="shared" si="188"/>
        <v>7.0333333333333323</v>
      </c>
      <c r="U126" s="154">
        <f t="shared" si="194"/>
        <v>7.0333333333333323</v>
      </c>
      <c r="V126" s="154">
        <f t="shared" si="194"/>
        <v>7.0333333333333323</v>
      </c>
      <c r="W126" s="154">
        <f t="shared" si="194"/>
        <v>7.0333333333333323</v>
      </c>
      <c r="X126" s="299"/>
      <c r="Y126" s="154"/>
      <c r="Z126" s="154"/>
      <c r="AA126" s="154"/>
      <c r="AB126" s="154"/>
      <c r="AC126" s="154">
        <f t="shared" si="195"/>
        <v>7.0333333333333323</v>
      </c>
      <c r="AD126" s="154">
        <f t="shared" si="196"/>
        <v>7.0333333333333323</v>
      </c>
      <c r="AE126" s="154">
        <f t="shared" si="190"/>
        <v>7.0333333333333323</v>
      </c>
      <c r="AF126" s="154">
        <f t="shared" si="190"/>
        <v>7.0333333333333323</v>
      </c>
      <c r="AG126" s="154"/>
      <c r="AH126" s="615"/>
      <c r="AI126" s="154">
        <f t="shared" si="197"/>
        <v>7.0333333333333323</v>
      </c>
      <c r="AJ126" s="154">
        <f t="shared" si="198"/>
        <v>7.0333333333333323</v>
      </c>
      <c r="AK126" s="154">
        <f t="shared" si="191"/>
        <v>7.0333333333333323</v>
      </c>
      <c r="AL126" s="154">
        <f t="shared" si="191"/>
        <v>7.0333333333333323</v>
      </c>
      <c r="AM126" s="684"/>
      <c r="AN126" s="299"/>
      <c r="AO126" s="400"/>
      <c r="AP126" s="400"/>
      <c r="AQ126" s="400"/>
      <c r="AR126" s="400"/>
      <c r="AS126" s="400"/>
      <c r="AT126" s="400"/>
      <c r="AU126" s="154"/>
      <c r="AV126" s="154"/>
      <c r="AW126" s="154"/>
      <c r="AX126" s="154"/>
      <c r="AY126" s="154"/>
      <c r="AZ126" s="154"/>
      <c r="BG126" s="154"/>
      <c r="BH126" s="154"/>
      <c r="BI126" s="154"/>
      <c r="BJ126" s="154"/>
      <c r="BK126" s="154"/>
      <c r="BL126" s="154"/>
      <c r="BM126" s="154"/>
      <c r="BN126" s="154"/>
      <c r="BO126" s="154"/>
      <c r="BP126" s="154"/>
      <c r="BQ126" s="154"/>
      <c r="BR126" s="154"/>
    </row>
    <row r="127" spans="1:70" s="425" customFormat="1" hidden="1" outlineLevel="1">
      <c r="A127" s="382" t="s">
        <v>346</v>
      </c>
      <c r="B127" s="452"/>
      <c r="C127" s="452"/>
      <c r="D127" s="1071"/>
      <c r="E127" s="452"/>
      <c r="F127" s="356"/>
      <c r="G127" s="354"/>
      <c r="H127" s="354"/>
      <c r="I127" s="354"/>
      <c r="J127" s="354"/>
      <c r="K127" s="512"/>
      <c r="L127" s="430"/>
      <c r="N127" s="354"/>
      <c r="O127" s="354"/>
      <c r="P127" s="354"/>
      <c r="Q127" s="354"/>
      <c r="R127" s="503"/>
      <c r="S127" s="43"/>
      <c r="T127" s="354"/>
      <c r="U127" s="354"/>
      <c r="V127" s="354"/>
      <c r="W127" s="354"/>
      <c r="X127" s="503"/>
      <c r="Y127" s="43"/>
      <c r="Z127" s="43"/>
      <c r="AA127" s="43"/>
      <c r="AB127" s="633"/>
      <c r="AC127" s="633"/>
      <c r="AD127" s="633"/>
      <c r="AE127" s="633"/>
      <c r="AF127" s="633"/>
      <c r="AG127" s="633"/>
      <c r="AH127" s="833"/>
      <c r="AI127" s="633"/>
      <c r="AJ127" s="633"/>
      <c r="AK127" s="633"/>
      <c r="AL127" s="633"/>
      <c r="AM127" s="834"/>
      <c r="AN127" s="562"/>
      <c r="AO127" s="356"/>
      <c r="AP127" s="356"/>
      <c r="AQ127" s="356"/>
      <c r="AR127" s="356"/>
      <c r="AS127" s="356"/>
      <c r="AT127" s="356"/>
      <c r="AU127" s="43"/>
      <c r="AV127" s="43"/>
      <c r="AW127" s="43"/>
      <c r="AX127" s="43"/>
      <c r="AY127" s="43"/>
      <c r="AZ127" s="43"/>
      <c r="BG127" s="43"/>
      <c r="BH127" s="43"/>
      <c r="BI127" s="43"/>
      <c r="BJ127" s="43"/>
      <c r="BK127" s="43"/>
      <c r="BL127" s="43"/>
      <c r="BM127" s="43"/>
      <c r="BN127" s="43"/>
      <c r="BO127" s="43"/>
      <c r="BP127" s="43"/>
      <c r="BQ127" s="43"/>
      <c r="BR127" s="43"/>
    </row>
    <row r="128" spans="1:70" hidden="1" outlineLevel="1">
      <c r="A128" s="1043" t="s">
        <v>327</v>
      </c>
      <c r="B128" s="2"/>
      <c r="C128" s="2"/>
      <c r="D128" s="1061"/>
      <c r="E128" s="2"/>
      <c r="G128" s="378">
        <f>'MPS др метрики'!E110</f>
        <v>10.166666666666666</v>
      </c>
      <c r="H128" s="431">
        <f t="shared" ref="H128:J133" si="200">G128</f>
        <v>10.166666666666666</v>
      </c>
      <c r="I128" s="431">
        <f t="shared" si="200"/>
        <v>10.166666666666666</v>
      </c>
      <c r="J128" s="431">
        <f t="shared" si="200"/>
        <v>10.166666666666666</v>
      </c>
      <c r="K128" s="511"/>
      <c r="L128" s="429"/>
      <c r="M128" s="423"/>
      <c r="N128" s="378">
        <f t="shared" ref="N128:Q133" si="201">G128</f>
        <v>10.166666666666666</v>
      </c>
      <c r="O128" s="394">
        <f t="shared" si="201"/>
        <v>10.166666666666666</v>
      </c>
      <c r="P128" s="394">
        <f t="shared" si="201"/>
        <v>10.166666666666666</v>
      </c>
      <c r="Q128" s="395">
        <f t="shared" si="201"/>
        <v>10.166666666666666</v>
      </c>
      <c r="T128" s="378">
        <f t="shared" ref="T128:W133" si="202">N128</f>
        <v>10.166666666666666</v>
      </c>
      <c r="U128" s="394">
        <f t="shared" si="202"/>
        <v>10.166666666666666</v>
      </c>
      <c r="V128" s="394">
        <f t="shared" si="202"/>
        <v>10.166666666666666</v>
      </c>
      <c r="W128" s="395">
        <f t="shared" si="202"/>
        <v>10.166666666666666</v>
      </c>
      <c r="AB128" s="154"/>
      <c r="AC128" s="378">
        <f t="shared" ref="AC128:AF133" si="203">T128</f>
        <v>10.166666666666666</v>
      </c>
      <c r="AD128" s="394">
        <f t="shared" si="203"/>
        <v>10.166666666666666</v>
      </c>
      <c r="AE128" s="394">
        <f t="shared" si="203"/>
        <v>10.166666666666666</v>
      </c>
      <c r="AF128" s="395">
        <f t="shared" si="203"/>
        <v>10.166666666666666</v>
      </c>
      <c r="AG128" s="154"/>
      <c r="AH128" s="615"/>
      <c r="AI128" s="378">
        <f t="shared" ref="AI128:AL133" si="204">AC128</f>
        <v>10.166666666666666</v>
      </c>
      <c r="AJ128" s="394">
        <f t="shared" si="204"/>
        <v>10.166666666666666</v>
      </c>
      <c r="AK128" s="394">
        <f t="shared" si="204"/>
        <v>10.166666666666666</v>
      </c>
      <c r="AL128" s="395">
        <f t="shared" si="204"/>
        <v>10.166666666666666</v>
      </c>
      <c r="AM128" s="684"/>
      <c r="AN128" s="299"/>
      <c r="AO128" s="2"/>
      <c r="AP128" s="2"/>
      <c r="AQ128" s="2"/>
      <c r="AR128" s="2"/>
      <c r="AS128" s="2"/>
      <c r="AT128" s="2"/>
    </row>
    <row r="129" spans="1:70" hidden="1" outlineLevel="1">
      <c r="A129" s="436" t="s">
        <v>62</v>
      </c>
      <c r="B129" s="2"/>
      <c r="C129" s="2"/>
      <c r="D129" s="1061"/>
      <c r="E129" s="2"/>
      <c r="G129" s="379">
        <f>'MPS др метрики'!E111</f>
        <v>7.7666666666666666</v>
      </c>
      <c r="H129" s="429">
        <f t="shared" si="200"/>
        <v>7.7666666666666666</v>
      </c>
      <c r="I129" s="429">
        <f t="shared" si="200"/>
        <v>7.7666666666666666</v>
      </c>
      <c r="J129" s="429">
        <f t="shared" si="200"/>
        <v>7.7666666666666666</v>
      </c>
      <c r="K129" s="511"/>
      <c r="L129" s="429"/>
      <c r="M129" s="423"/>
      <c r="N129" s="379">
        <f t="shared" si="201"/>
        <v>7.7666666666666666</v>
      </c>
      <c r="O129" s="290">
        <f t="shared" si="201"/>
        <v>7.7666666666666666</v>
      </c>
      <c r="P129" s="290">
        <f t="shared" si="201"/>
        <v>7.7666666666666666</v>
      </c>
      <c r="Q129" s="396">
        <f t="shared" si="201"/>
        <v>7.7666666666666666</v>
      </c>
      <c r="T129" s="379">
        <f t="shared" si="202"/>
        <v>7.7666666666666666</v>
      </c>
      <c r="U129" s="290">
        <f t="shared" si="202"/>
        <v>7.7666666666666666</v>
      </c>
      <c r="V129" s="290">
        <f t="shared" si="202"/>
        <v>7.7666666666666666</v>
      </c>
      <c r="W129" s="396">
        <f t="shared" si="202"/>
        <v>7.7666666666666666</v>
      </c>
      <c r="AB129" s="154"/>
      <c r="AC129" s="379">
        <f t="shared" si="203"/>
        <v>7.7666666666666666</v>
      </c>
      <c r="AD129" s="290">
        <f t="shared" si="203"/>
        <v>7.7666666666666666</v>
      </c>
      <c r="AE129" s="290">
        <f t="shared" si="203"/>
        <v>7.7666666666666666</v>
      </c>
      <c r="AF129" s="396">
        <f t="shared" si="203"/>
        <v>7.7666666666666666</v>
      </c>
      <c r="AG129" s="154"/>
      <c r="AH129" s="615"/>
      <c r="AI129" s="379">
        <f t="shared" si="204"/>
        <v>7.7666666666666666</v>
      </c>
      <c r="AJ129" s="290">
        <f t="shared" si="204"/>
        <v>7.7666666666666666</v>
      </c>
      <c r="AK129" s="290">
        <f t="shared" si="204"/>
        <v>7.7666666666666666</v>
      </c>
      <c r="AL129" s="396">
        <f t="shared" si="204"/>
        <v>7.7666666666666666</v>
      </c>
      <c r="AM129" s="684"/>
      <c r="AN129" s="299"/>
      <c r="AO129" s="2"/>
      <c r="AP129" s="2"/>
      <c r="AQ129" s="2"/>
      <c r="AR129" s="2"/>
      <c r="AS129" s="2"/>
      <c r="AT129" s="2"/>
    </row>
    <row r="130" spans="1:70" hidden="1" outlineLevel="1">
      <c r="A130" s="436" t="s">
        <v>65</v>
      </c>
      <c r="B130" s="2"/>
      <c r="C130" s="2"/>
      <c r="D130" s="1061"/>
      <c r="E130" s="2"/>
      <c r="G130" s="379">
        <f>'MPS др метрики'!E112</f>
        <v>5.7666666666666666</v>
      </c>
      <c r="H130" s="429">
        <f t="shared" si="200"/>
        <v>5.7666666666666666</v>
      </c>
      <c r="I130" s="429">
        <f t="shared" si="200"/>
        <v>5.7666666666666666</v>
      </c>
      <c r="J130" s="429">
        <f t="shared" si="200"/>
        <v>5.7666666666666666</v>
      </c>
      <c r="K130" s="511"/>
      <c r="L130" s="429"/>
      <c r="M130" s="423"/>
      <c r="N130" s="379">
        <f t="shared" si="201"/>
        <v>5.7666666666666666</v>
      </c>
      <c r="O130" s="290">
        <f t="shared" si="201"/>
        <v>5.7666666666666666</v>
      </c>
      <c r="P130" s="290">
        <f t="shared" si="201"/>
        <v>5.7666666666666666</v>
      </c>
      <c r="Q130" s="396">
        <f t="shared" si="201"/>
        <v>5.7666666666666666</v>
      </c>
      <c r="T130" s="379">
        <f t="shared" si="202"/>
        <v>5.7666666666666666</v>
      </c>
      <c r="U130" s="290">
        <f t="shared" si="202"/>
        <v>5.7666666666666666</v>
      </c>
      <c r="V130" s="290">
        <f t="shared" si="202"/>
        <v>5.7666666666666666</v>
      </c>
      <c r="W130" s="396">
        <f t="shared" si="202"/>
        <v>5.7666666666666666</v>
      </c>
      <c r="AB130" s="154"/>
      <c r="AC130" s="379">
        <f t="shared" si="203"/>
        <v>5.7666666666666666</v>
      </c>
      <c r="AD130" s="290">
        <f t="shared" si="203"/>
        <v>5.7666666666666666</v>
      </c>
      <c r="AE130" s="290">
        <f t="shared" si="203"/>
        <v>5.7666666666666666</v>
      </c>
      <c r="AF130" s="396">
        <f t="shared" si="203"/>
        <v>5.7666666666666666</v>
      </c>
      <c r="AG130" s="154"/>
      <c r="AH130" s="615"/>
      <c r="AI130" s="379">
        <f t="shared" si="204"/>
        <v>5.7666666666666666</v>
      </c>
      <c r="AJ130" s="290">
        <f t="shared" si="204"/>
        <v>5.7666666666666666</v>
      </c>
      <c r="AK130" s="290">
        <f t="shared" si="204"/>
        <v>5.7666666666666666</v>
      </c>
      <c r="AL130" s="396">
        <f t="shared" si="204"/>
        <v>5.7666666666666666</v>
      </c>
      <c r="AM130" s="684"/>
      <c r="AN130" s="299"/>
      <c r="AO130" s="2"/>
      <c r="AP130" s="2"/>
      <c r="AQ130" s="2"/>
      <c r="AR130" s="2"/>
      <c r="AS130" s="2"/>
      <c r="AT130" s="2"/>
    </row>
    <row r="131" spans="1:70" hidden="1" outlineLevel="1">
      <c r="A131" s="436" t="s">
        <v>66</v>
      </c>
      <c r="B131" s="2"/>
      <c r="C131" s="2"/>
      <c r="D131" s="1061"/>
      <c r="E131" s="2"/>
      <c r="G131" s="379">
        <f>'MPS др метрики'!E113</f>
        <v>4.9666666666666668</v>
      </c>
      <c r="H131" s="429">
        <f t="shared" si="200"/>
        <v>4.9666666666666668</v>
      </c>
      <c r="I131" s="429">
        <f t="shared" si="200"/>
        <v>4.9666666666666668</v>
      </c>
      <c r="J131" s="429">
        <f t="shared" si="200"/>
        <v>4.9666666666666668</v>
      </c>
      <c r="K131" s="511"/>
      <c r="L131" s="429"/>
      <c r="M131" s="423"/>
      <c r="N131" s="379">
        <f t="shared" si="201"/>
        <v>4.9666666666666668</v>
      </c>
      <c r="O131" s="290">
        <f t="shared" si="201"/>
        <v>4.9666666666666668</v>
      </c>
      <c r="P131" s="290">
        <f t="shared" si="201"/>
        <v>4.9666666666666668</v>
      </c>
      <c r="Q131" s="396">
        <f t="shared" si="201"/>
        <v>4.9666666666666668</v>
      </c>
      <c r="T131" s="379">
        <f t="shared" si="202"/>
        <v>4.9666666666666668</v>
      </c>
      <c r="U131" s="290">
        <f t="shared" si="202"/>
        <v>4.9666666666666668</v>
      </c>
      <c r="V131" s="290">
        <f t="shared" si="202"/>
        <v>4.9666666666666668</v>
      </c>
      <c r="W131" s="396">
        <f t="shared" si="202"/>
        <v>4.9666666666666668</v>
      </c>
      <c r="AB131" s="154"/>
      <c r="AC131" s="379">
        <f t="shared" si="203"/>
        <v>4.9666666666666668</v>
      </c>
      <c r="AD131" s="290">
        <f t="shared" si="203"/>
        <v>4.9666666666666668</v>
      </c>
      <c r="AE131" s="290">
        <f t="shared" si="203"/>
        <v>4.9666666666666668</v>
      </c>
      <c r="AF131" s="396">
        <f t="shared" si="203"/>
        <v>4.9666666666666668</v>
      </c>
      <c r="AG131" s="154"/>
      <c r="AH131" s="615"/>
      <c r="AI131" s="379">
        <f t="shared" si="204"/>
        <v>4.9666666666666668</v>
      </c>
      <c r="AJ131" s="290">
        <f t="shared" si="204"/>
        <v>4.9666666666666668</v>
      </c>
      <c r="AK131" s="290">
        <f t="shared" si="204"/>
        <v>4.9666666666666668</v>
      </c>
      <c r="AL131" s="396">
        <f t="shared" si="204"/>
        <v>4.9666666666666668</v>
      </c>
      <c r="AM131" s="684"/>
      <c r="AN131" s="299"/>
      <c r="AO131" s="2"/>
      <c r="AP131" s="2"/>
      <c r="AQ131" s="2"/>
      <c r="AR131" s="2"/>
      <c r="AS131" s="2"/>
      <c r="AT131" s="2"/>
    </row>
    <row r="132" spans="1:70" hidden="1" outlineLevel="1">
      <c r="A132" s="436" t="s">
        <v>328</v>
      </c>
      <c r="B132" s="2"/>
      <c r="C132" s="2"/>
      <c r="D132" s="1061"/>
      <c r="E132" s="2"/>
      <c r="G132" s="379">
        <f>'MPS др метрики'!E114</f>
        <v>4.3</v>
      </c>
      <c r="H132" s="429">
        <f t="shared" si="200"/>
        <v>4.3</v>
      </c>
      <c r="I132" s="429">
        <f t="shared" si="200"/>
        <v>4.3</v>
      </c>
      <c r="J132" s="429">
        <f t="shared" si="200"/>
        <v>4.3</v>
      </c>
      <c r="K132" s="511"/>
      <c r="L132" s="429"/>
      <c r="M132" s="423"/>
      <c r="N132" s="379">
        <f t="shared" si="201"/>
        <v>4.3</v>
      </c>
      <c r="O132" s="290">
        <f t="shared" si="201"/>
        <v>4.3</v>
      </c>
      <c r="P132" s="290">
        <f t="shared" si="201"/>
        <v>4.3</v>
      </c>
      <c r="Q132" s="396">
        <f t="shared" si="201"/>
        <v>4.3</v>
      </c>
      <c r="T132" s="379">
        <f t="shared" si="202"/>
        <v>4.3</v>
      </c>
      <c r="U132" s="290">
        <f t="shared" si="202"/>
        <v>4.3</v>
      </c>
      <c r="V132" s="290">
        <f t="shared" si="202"/>
        <v>4.3</v>
      </c>
      <c r="W132" s="396">
        <f t="shared" si="202"/>
        <v>4.3</v>
      </c>
      <c r="AB132" s="154"/>
      <c r="AC132" s="379">
        <f t="shared" si="203"/>
        <v>4.3</v>
      </c>
      <c r="AD132" s="290">
        <f t="shared" si="203"/>
        <v>4.3</v>
      </c>
      <c r="AE132" s="290">
        <f t="shared" si="203"/>
        <v>4.3</v>
      </c>
      <c r="AF132" s="396">
        <f t="shared" si="203"/>
        <v>4.3</v>
      </c>
      <c r="AG132" s="154"/>
      <c r="AH132" s="615"/>
      <c r="AI132" s="379">
        <f t="shared" si="204"/>
        <v>4.3</v>
      </c>
      <c r="AJ132" s="290">
        <f t="shared" si="204"/>
        <v>4.3</v>
      </c>
      <c r="AK132" s="290">
        <f t="shared" si="204"/>
        <v>4.3</v>
      </c>
      <c r="AL132" s="396">
        <f t="shared" si="204"/>
        <v>4.3</v>
      </c>
      <c r="AM132" s="684"/>
      <c r="AN132" s="299"/>
      <c r="AO132" s="2"/>
      <c r="AP132" s="2"/>
      <c r="AQ132" s="2"/>
      <c r="AR132" s="2"/>
      <c r="AS132" s="2"/>
      <c r="AT132" s="2"/>
    </row>
    <row r="133" spans="1:70" hidden="1" outlineLevel="1">
      <c r="A133" s="1044" t="s">
        <v>329</v>
      </c>
      <c r="B133" s="2"/>
      <c r="C133" s="2"/>
      <c r="D133" s="1061"/>
      <c r="E133" s="2"/>
      <c r="G133" s="380">
        <f>'MPS др метрики'!E115</f>
        <v>3.2333333333333334</v>
      </c>
      <c r="H133" s="434">
        <f t="shared" si="200"/>
        <v>3.2333333333333334</v>
      </c>
      <c r="I133" s="434">
        <f t="shared" si="200"/>
        <v>3.2333333333333334</v>
      </c>
      <c r="J133" s="434">
        <f t="shared" si="200"/>
        <v>3.2333333333333334</v>
      </c>
      <c r="K133" s="511"/>
      <c r="L133" s="429"/>
      <c r="M133" s="423"/>
      <c r="N133" s="380">
        <f t="shared" si="201"/>
        <v>3.2333333333333334</v>
      </c>
      <c r="O133" s="397">
        <f t="shared" si="201"/>
        <v>3.2333333333333334</v>
      </c>
      <c r="P133" s="397">
        <f t="shared" si="201"/>
        <v>3.2333333333333334</v>
      </c>
      <c r="Q133" s="398">
        <f t="shared" si="201"/>
        <v>3.2333333333333334</v>
      </c>
      <c r="T133" s="380">
        <f t="shared" si="202"/>
        <v>3.2333333333333334</v>
      </c>
      <c r="U133" s="397">
        <f t="shared" si="202"/>
        <v>3.2333333333333334</v>
      </c>
      <c r="V133" s="397">
        <f t="shared" si="202"/>
        <v>3.2333333333333334</v>
      </c>
      <c r="W133" s="398">
        <f t="shared" si="202"/>
        <v>3.2333333333333334</v>
      </c>
      <c r="AB133" s="154"/>
      <c r="AC133" s="380">
        <f t="shared" si="203"/>
        <v>3.2333333333333334</v>
      </c>
      <c r="AD133" s="397">
        <f t="shared" si="203"/>
        <v>3.2333333333333334</v>
      </c>
      <c r="AE133" s="397">
        <f t="shared" si="203"/>
        <v>3.2333333333333334</v>
      </c>
      <c r="AF133" s="398">
        <f t="shared" si="203"/>
        <v>3.2333333333333334</v>
      </c>
      <c r="AG133" s="154"/>
      <c r="AH133" s="615"/>
      <c r="AI133" s="380">
        <f t="shared" si="204"/>
        <v>3.2333333333333334</v>
      </c>
      <c r="AJ133" s="397">
        <f t="shared" si="204"/>
        <v>3.2333333333333334</v>
      </c>
      <c r="AK133" s="397">
        <f t="shared" si="204"/>
        <v>3.2333333333333334</v>
      </c>
      <c r="AL133" s="398">
        <f t="shared" si="204"/>
        <v>3.2333333333333334</v>
      </c>
      <c r="AM133" s="684"/>
      <c r="AN133" s="299"/>
      <c r="AO133" s="2"/>
      <c r="AP133" s="2"/>
      <c r="AQ133" s="2"/>
      <c r="AR133" s="2"/>
      <c r="AS133" s="2"/>
      <c r="AT133" s="2"/>
    </row>
    <row r="134" spans="1:70" hidden="1" outlineLevel="1">
      <c r="A134" s="436"/>
      <c r="B134" s="2"/>
      <c r="C134" s="2"/>
      <c r="D134" s="1061"/>
      <c r="E134" s="2"/>
      <c r="G134" s="169"/>
      <c r="H134" s="169"/>
      <c r="I134" s="169"/>
      <c r="J134" s="169"/>
      <c r="K134" s="407"/>
      <c r="L134" s="169"/>
      <c r="M134" s="423"/>
      <c r="N134" s="169"/>
      <c r="O134" s="169"/>
      <c r="P134" s="169"/>
      <c r="Q134" s="169"/>
      <c r="T134" s="169"/>
      <c r="U134" s="169"/>
      <c r="V134" s="169"/>
      <c r="W134" s="169"/>
      <c r="AB134" s="154"/>
      <c r="AC134" s="154"/>
      <c r="AD134" s="154"/>
      <c r="AE134" s="154"/>
      <c r="AF134" s="154"/>
      <c r="AG134" s="154"/>
      <c r="AH134" s="615"/>
      <c r="AI134" s="154"/>
      <c r="AJ134" s="154"/>
      <c r="AK134" s="154"/>
      <c r="AL134" s="154"/>
      <c r="AM134" s="684"/>
      <c r="AN134" s="299"/>
      <c r="AO134" s="2"/>
      <c r="AP134" s="2"/>
      <c r="AQ134" s="2"/>
      <c r="AR134" s="2"/>
      <c r="AS134" s="2"/>
      <c r="AT134" s="2"/>
    </row>
    <row r="135" spans="1:70" hidden="1" outlineLevel="1">
      <c r="A135" s="436"/>
      <c r="B135" s="2"/>
      <c r="C135" s="2"/>
      <c r="D135" s="1061"/>
      <c r="E135" s="2"/>
      <c r="G135" s="169"/>
      <c r="AO135" s="2"/>
      <c r="AP135" s="2"/>
      <c r="AQ135" s="2"/>
      <c r="AR135" s="2"/>
      <c r="AS135" s="2"/>
      <c r="AT135" s="2"/>
    </row>
    <row r="136" spans="1:70" s="418" customFormat="1" ht="20" hidden="1" outlineLevel="1">
      <c r="A136" s="1041" t="s">
        <v>349</v>
      </c>
      <c r="B136" s="417"/>
      <c r="C136" s="417"/>
      <c r="D136" s="1069"/>
      <c r="E136" s="417"/>
      <c r="G136" s="419"/>
      <c r="H136" s="420"/>
      <c r="I136" s="420"/>
      <c r="J136" s="420"/>
      <c r="K136" s="500"/>
      <c r="L136" s="420"/>
      <c r="N136" s="421"/>
      <c r="O136" s="421"/>
      <c r="P136" s="421"/>
      <c r="Q136" s="421"/>
      <c r="R136" s="531"/>
      <c r="S136" s="421"/>
      <c r="T136" s="420"/>
      <c r="U136" s="420"/>
      <c r="V136" s="420"/>
      <c r="W136" s="420"/>
      <c r="X136" s="500"/>
      <c r="Y136" s="420"/>
      <c r="Z136" s="420"/>
      <c r="AA136" s="420"/>
      <c r="AB136" s="420"/>
      <c r="AC136" s="420"/>
      <c r="AD136" s="420"/>
      <c r="AE136" s="420"/>
      <c r="AF136" s="420"/>
      <c r="AG136" s="420"/>
      <c r="AH136" s="822"/>
      <c r="AI136" s="420"/>
      <c r="AJ136" s="420"/>
      <c r="AK136" s="420"/>
      <c r="AL136" s="420"/>
      <c r="AM136" s="823"/>
      <c r="AN136" s="500"/>
      <c r="AO136" s="417"/>
      <c r="AP136" s="417"/>
      <c r="AQ136" s="417"/>
      <c r="AR136" s="417"/>
      <c r="AS136" s="417"/>
      <c r="AT136" s="417"/>
      <c r="AU136" s="421"/>
      <c r="AV136" s="421"/>
      <c r="AW136" s="421"/>
      <c r="AX136" s="421"/>
      <c r="AY136" s="421"/>
      <c r="AZ136" s="421"/>
      <c r="BG136" s="421"/>
      <c r="BH136" s="421"/>
      <c r="BI136" s="421"/>
      <c r="BJ136" s="421"/>
      <c r="BK136" s="421"/>
      <c r="BL136" s="421"/>
      <c r="BM136" s="421"/>
      <c r="BN136" s="421"/>
      <c r="BO136" s="421"/>
      <c r="BP136" s="421"/>
      <c r="BQ136" s="421"/>
      <c r="BR136" s="421"/>
    </row>
    <row r="137" spans="1:70" ht="20" hidden="1" outlineLevel="1">
      <c r="A137" s="87" t="s">
        <v>350</v>
      </c>
      <c r="F137" s="729"/>
      <c r="G137" s="169">
        <v>60000</v>
      </c>
      <c r="H137" s="169">
        <f>G137</f>
        <v>60000</v>
      </c>
      <c r="I137" s="169">
        <f t="shared" ref="I137:J139" si="205">H137</f>
        <v>60000</v>
      </c>
      <c r="J137" s="169">
        <f t="shared" si="205"/>
        <v>60000</v>
      </c>
      <c r="K137" s="407"/>
      <c r="L137" s="169"/>
      <c r="N137" s="169">
        <f t="shared" ref="N137:Q138" si="206">G137</f>
        <v>60000</v>
      </c>
      <c r="O137" s="169">
        <f t="shared" si="206"/>
        <v>60000</v>
      </c>
      <c r="P137" s="169">
        <f t="shared" si="206"/>
        <v>60000</v>
      </c>
      <c r="Q137" s="169">
        <f t="shared" si="206"/>
        <v>60000</v>
      </c>
      <c r="R137" s="407"/>
      <c r="S137" s="788"/>
      <c r="T137" s="169">
        <f t="shared" ref="T137:W138" si="207">N137</f>
        <v>60000</v>
      </c>
      <c r="U137" s="169">
        <f t="shared" si="207"/>
        <v>60000</v>
      </c>
      <c r="V137" s="169">
        <f t="shared" si="207"/>
        <v>60000</v>
      </c>
      <c r="W137" s="169">
        <f t="shared" si="207"/>
        <v>60000</v>
      </c>
      <c r="AB137" s="788"/>
      <c r="AC137" s="169">
        <f t="shared" ref="AC137:AF138" si="208">T137</f>
        <v>60000</v>
      </c>
      <c r="AD137" s="169">
        <f t="shared" si="208"/>
        <v>60000</v>
      </c>
      <c r="AE137" s="169">
        <f t="shared" si="208"/>
        <v>60000</v>
      </c>
      <c r="AF137" s="169">
        <f t="shared" si="208"/>
        <v>60000</v>
      </c>
      <c r="AH137" s="835"/>
      <c r="AI137" s="169">
        <f>AC137</f>
        <v>60000</v>
      </c>
      <c r="AJ137" s="169">
        <f t="shared" ref="AJ137:AL138" si="209">AD137</f>
        <v>60000</v>
      </c>
      <c r="AK137" s="169">
        <f t="shared" si="209"/>
        <v>60000</v>
      </c>
      <c r="AL137" s="169">
        <f t="shared" si="209"/>
        <v>60000</v>
      </c>
      <c r="AO137" s="13"/>
      <c r="AP137" s="13"/>
      <c r="AQ137" s="13"/>
      <c r="AR137" s="13"/>
      <c r="AS137" s="13"/>
      <c r="AT137" s="13"/>
    </row>
    <row r="138" spans="1:70" ht="20" hidden="1" outlineLevel="1">
      <c r="A138" s="87" t="s">
        <v>351</v>
      </c>
      <c r="F138" s="729"/>
      <c r="G138" s="169">
        <v>40000</v>
      </c>
      <c r="H138" s="169">
        <f>G138</f>
        <v>40000</v>
      </c>
      <c r="I138" s="169">
        <f t="shared" si="205"/>
        <v>40000</v>
      </c>
      <c r="J138" s="169">
        <f t="shared" si="205"/>
        <v>40000</v>
      </c>
      <c r="K138" s="407"/>
      <c r="L138" s="169"/>
      <c r="N138" s="169">
        <f t="shared" si="206"/>
        <v>40000</v>
      </c>
      <c r="O138" s="169">
        <f t="shared" si="206"/>
        <v>40000</v>
      </c>
      <c r="P138" s="169">
        <f t="shared" si="206"/>
        <v>40000</v>
      </c>
      <c r="Q138" s="169">
        <f t="shared" si="206"/>
        <v>40000</v>
      </c>
      <c r="R138" s="407"/>
      <c r="S138" s="788"/>
      <c r="T138" s="169">
        <f t="shared" si="207"/>
        <v>40000</v>
      </c>
      <c r="U138" s="169">
        <f t="shared" si="207"/>
        <v>40000</v>
      </c>
      <c r="V138" s="169">
        <f t="shared" si="207"/>
        <v>40000</v>
      </c>
      <c r="W138" s="169">
        <f t="shared" si="207"/>
        <v>40000</v>
      </c>
      <c r="AB138" s="788"/>
      <c r="AC138" s="169">
        <f t="shared" si="208"/>
        <v>40000</v>
      </c>
      <c r="AD138" s="169">
        <f t="shared" si="208"/>
        <v>40000</v>
      </c>
      <c r="AE138" s="169">
        <f t="shared" si="208"/>
        <v>40000</v>
      </c>
      <c r="AF138" s="169">
        <f t="shared" si="208"/>
        <v>40000</v>
      </c>
      <c r="AH138" s="835"/>
      <c r="AI138" s="169">
        <f>AC138</f>
        <v>40000</v>
      </c>
      <c r="AJ138" s="169">
        <f t="shared" si="209"/>
        <v>40000</v>
      </c>
      <c r="AK138" s="169">
        <f t="shared" si="209"/>
        <v>40000</v>
      </c>
      <c r="AL138" s="169">
        <f t="shared" si="209"/>
        <v>40000</v>
      </c>
      <c r="AO138" s="13"/>
      <c r="AP138" s="13"/>
      <c r="AQ138" s="13"/>
      <c r="AR138" s="13"/>
      <c r="AS138" s="13"/>
      <c r="AT138" s="13"/>
    </row>
    <row r="139" spans="1:70" s="425" customFormat="1" ht="40" hidden="1" outlineLevel="1">
      <c r="A139" s="529" t="s">
        <v>352</v>
      </c>
      <c r="B139" s="43"/>
      <c r="C139" s="43"/>
      <c r="D139" s="1074"/>
      <c r="E139" s="43"/>
      <c r="F139" s="730"/>
      <c r="G139" s="354">
        <v>0</v>
      </c>
      <c r="H139" s="354">
        <f>G139</f>
        <v>0</v>
      </c>
      <c r="I139" s="354">
        <f>I138</f>
        <v>40000</v>
      </c>
      <c r="J139" s="354">
        <f t="shared" si="205"/>
        <v>40000</v>
      </c>
      <c r="K139" s="515"/>
      <c r="L139" s="354"/>
      <c r="N139" s="422">
        <f>N138+N140</f>
        <v>48000</v>
      </c>
      <c r="O139" s="422">
        <f t="shared" ref="O139:Q139" si="210">O138+O140</f>
        <v>48000</v>
      </c>
      <c r="P139" s="422">
        <f t="shared" si="210"/>
        <v>48000</v>
      </c>
      <c r="Q139" s="422">
        <f t="shared" si="210"/>
        <v>48000</v>
      </c>
      <c r="R139" s="515"/>
      <c r="S139" s="360"/>
      <c r="T139" s="354">
        <f>N139</f>
        <v>48000</v>
      </c>
      <c r="U139" s="354">
        <f>T139</f>
        <v>48000</v>
      </c>
      <c r="V139" s="354">
        <f t="shared" ref="V139:W140" si="211">U139</f>
        <v>48000</v>
      </c>
      <c r="W139" s="354">
        <f t="shared" si="211"/>
        <v>48000</v>
      </c>
      <c r="X139" s="503"/>
      <c r="Y139" s="43"/>
      <c r="Z139" s="43"/>
      <c r="AA139" s="43"/>
      <c r="AB139" s="360"/>
      <c r="AC139" s="354">
        <f>T139</f>
        <v>48000</v>
      </c>
      <c r="AD139" s="354">
        <f>AC139</f>
        <v>48000</v>
      </c>
      <c r="AE139" s="354">
        <f t="shared" ref="AE139:AF140" si="212">AD139</f>
        <v>48000</v>
      </c>
      <c r="AF139" s="354">
        <f t="shared" si="212"/>
        <v>48000</v>
      </c>
      <c r="AG139" s="43"/>
      <c r="AH139" s="836"/>
      <c r="AI139" s="354">
        <f>AC139</f>
        <v>48000</v>
      </c>
      <c r="AJ139" s="354">
        <f>AI139</f>
        <v>48000</v>
      </c>
      <c r="AK139" s="354">
        <f t="shared" ref="AK139:AL140" si="213">AJ139</f>
        <v>48000</v>
      </c>
      <c r="AL139" s="354">
        <f t="shared" si="213"/>
        <v>48000</v>
      </c>
      <c r="AM139" s="828"/>
      <c r="AN139" s="503"/>
      <c r="AO139" s="355"/>
      <c r="AP139" s="355"/>
      <c r="AQ139" s="355"/>
      <c r="AR139" s="355"/>
      <c r="AS139" s="355"/>
      <c r="AT139" s="355"/>
      <c r="AU139" s="43"/>
      <c r="AV139" s="43"/>
      <c r="AW139" s="43"/>
      <c r="AX139" s="43"/>
      <c r="AY139" s="43"/>
      <c r="AZ139" s="43"/>
      <c r="BG139" s="43"/>
      <c r="BH139" s="43"/>
      <c r="BI139" s="43"/>
      <c r="BJ139" s="43"/>
      <c r="BK139" s="43"/>
      <c r="BL139" s="43"/>
      <c r="BM139" s="43"/>
      <c r="BN139" s="43"/>
      <c r="BO139" s="43"/>
      <c r="BP139" s="43"/>
      <c r="BQ139" s="43"/>
      <c r="BR139" s="43"/>
    </row>
    <row r="140" spans="1:70" ht="60" hidden="1" outlineLevel="1">
      <c r="F140" s="729"/>
      <c r="G140" s="169"/>
      <c r="H140" s="169"/>
      <c r="I140" s="169"/>
      <c r="J140" s="169"/>
      <c r="K140" s="407"/>
      <c r="L140" s="169"/>
      <c r="M140" s="1026" t="s">
        <v>366</v>
      </c>
      <c r="N140" s="345">
        <f>N138*N141-N138</f>
        <v>8000</v>
      </c>
      <c r="O140" s="345">
        <f>N140</f>
        <v>8000</v>
      </c>
      <c r="P140" s="345">
        <f t="shared" ref="P140:Q141" si="214">O140</f>
        <v>8000</v>
      </c>
      <c r="Q140" s="345">
        <f t="shared" si="214"/>
        <v>8000</v>
      </c>
      <c r="R140" s="407"/>
      <c r="S140" s="1031" t="s">
        <v>353</v>
      </c>
      <c r="T140" s="345">
        <f>N140</f>
        <v>8000</v>
      </c>
      <c r="U140" s="345">
        <f>T140</f>
        <v>8000</v>
      </c>
      <c r="V140" s="345">
        <f t="shared" si="211"/>
        <v>8000</v>
      </c>
      <c r="W140" s="345">
        <f t="shared" si="211"/>
        <v>8000</v>
      </c>
      <c r="AB140" s="1031" t="s">
        <v>353</v>
      </c>
      <c r="AC140" s="345">
        <f>T140</f>
        <v>8000</v>
      </c>
      <c r="AD140" s="345">
        <f>AC140</f>
        <v>8000</v>
      </c>
      <c r="AE140" s="345">
        <f t="shared" si="212"/>
        <v>8000</v>
      </c>
      <c r="AF140" s="345">
        <f t="shared" si="212"/>
        <v>8000</v>
      </c>
      <c r="AH140" s="837" t="s">
        <v>353</v>
      </c>
      <c r="AI140" s="345">
        <f>AC140</f>
        <v>8000</v>
      </c>
      <c r="AJ140" s="345">
        <f>AI140</f>
        <v>8000</v>
      </c>
      <c r="AK140" s="345">
        <f t="shared" si="213"/>
        <v>8000</v>
      </c>
      <c r="AL140" s="345">
        <f t="shared" si="213"/>
        <v>8000</v>
      </c>
      <c r="AO140" s="13"/>
      <c r="AP140" s="13"/>
      <c r="AQ140" s="13"/>
      <c r="AR140" s="13"/>
      <c r="AS140" s="13"/>
      <c r="AT140" s="13"/>
    </row>
    <row r="141" spans="1:70" hidden="1" outlineLevel="1">
      <c r="G141" s="2"/>
      <c r="H141" s="2"/>
      <c r="I141" s="2"/>
      <c r="J141" s="2"/>
      <c r="M141" s="450"/>
      <c r="N141" s="490">
        <v>1.2</v>
      </c>
      <c r="O141" s="490">
        <f>N141</f>
        <v>1.2</v>
      </c>
      <c r="P141" s="490">
        <f t="shared" si="214"/>
        <v>1.2</v>
      </c>
      <c r="Q141" s="490">
        <f t="shared" si="214"/>
        <v>1.2</v>
      </c>
      <c r="S141" s="450"/>
      <c r="T141" s="490">
        <f>N141</f>
        <v>1.2</v>
      </c>
      <c r="U141" s="490">
        <f>O141</f>
        <v>1.2</v>
      </c>
      <c r="V141" s="490">
        <f>P141</f>
        <v>1.2</v>
      </c>
      <c r="W141" s="449">
        <f>Q141</f>
        <v>1.2</v>
      </c>
      <c r="AB141" s="450"/>
      <c r="AC141" s="490">
        <f>T141</f>
        <v>1.2</v>
      </c>
      <c r="AD141" s="490">
        <f>U141</f>
        <v>1.2</v>
      </c>
      <c r="AE141" s="490">
        <f>V141</f>
        <v>1.2</v>
      </c>
      <c r="AF141" s="449">
        <f>W141</f>
        <v>1.2</v>
      </c>
      <c r="AH141" s="838"/>
      <c r="AI141" s="490">
        <f>AC141</f>
        <v>1.2</v>
      </c>
      <c r="AJ141" s="490">
        <f t="shared" ref="AJ141:AL141" si="215">AD141</f>
        <v>1.2</v>
      </c>
      <c r="AK141" s="490">
        <f t="shared" si="215"/>
        <v>1.2</v>
      </c>
      <c r="AL141" s="449">
        <f t="shared" si="215"/>
        <v>1.2</v>
      </c>
    </row>
    <row r="142" spans="1:70" hidden="1" outlineLevel="1">
      <c r="G142" s="2"/>
      <c r="N142" s="344" t="s">
        <v>365</v>
      </c>
      <c r="S142" s="450"/>
      <c r="T142" s="451" t="s">
        <v>354</v>
      </c>
      <c r="U142" s="450"/>
      <c r="V142" s="450"/>
      <c r="W142" s="450"/>
      <c r="AB142" s="450"/>
      <c r="AC142" s="451" t="s">
        <v>354</v>
      </c>
      <c r="AD142" s="450"/>
      <c r="AE142" s="450"/>
      <c r="AF142" s="450"/>
      <c r="AH142" s="838"/>
      <c r="AI142" s="451" t="s">
        <v>354</v>
      </c>
      <c r="AJ142" s="450"/>
      <c r="AK142" s="450"/>
      <c r="AL142" s="450"/>
    </row>
    <row r="143" spans="1:70" hidden="1" outlineLevel="1">
      <c r="G143" s="2"/>
      <c r="N143" s="423"/>
      <c r="Q143" s="139"/>
    </row>
    <row r="144" spans="1:70" s="418" customFormat="1" ht="20" hidden="1" outlineLevel="1">
      <c r="A144" s="1041" t="s">
        <v>335</v>
      </c>
      <c r="B144" s="417"/>
      <c r="C144" s="417"/>
      <c r="D144" s="1069"/>
      <c r="E144" s="417"/>
      <c r="G144" s="419"/>
      <c r="H144" s="420"/>
      <c r="I144" s="420"/>
      <c r="J144" s="420"/>
      <c r="K144" s="500"/>
      <c r="L144" s="420"/>
      <c r="M144" s="421"/>
      <c r="N144" s="421"/>
      <c r="O144" s="421"/>
      <c r="P144" s="421"/>
      <c r="Q144" s="421"/>
      <c r="R144" s="531"/>
      <c r="S144" s="421"/>
      <c r="T144" s="465"/>
      <c r="U144" s="420"/>
      <c r="V144" s="420"/>
      <c r="W144" s="420"/>
      <c r="X144" s="500"/>
      <c r="Y144" s="420"/>
      <c r="Z144" s="420"/>
      <c r="AA144" s="420"/>
      <c r="AB144" s="420"/>
      <c r="AC144" s="420"/>
      <c r="AD144" s="420"/>
      <c r="AE144" s="420"/>
      <c r="AF144" s="420"/>
      <c r="AG144" s="420"/>
      <c r="AH144" s="822"/>
      <c r="AI144" s="420"/>
      <c r="AJ144" s="420"/>
      <c r="AK144" s="420"/>
      <c r="AL144" s="420"/>
      <c r="AM144" s="823"/>
      <c r="AN144" s="500"/>
      <c r="AO144" s="417"/>
      <c r="AP144" s="417"/>
      <c r="AQ144" s="417"/>
      <c r="AR144" s="417"/>
      <c r="AS144" s="417"/>
      <c r="AT144" s="417"/>
      <c r="AU144" s="421"/>
      <c r="AV144" s="421"/>
      <c r="AW144" s="421"/>
      <c r="AX144" s="421"/>
      <c r="AY144" s="421"/>
      <c r="AZ144" s="421"/>
      <c r="BG144" s="421"/>
      <c r="BH144" s="421"/>
      <c r="BI144" s="421"/>
      <c r="BJ144" s="421"/>
      <c r="BK144" s="421"/>
      <c r="BL144" s="421"/>
      <c r="BM144" s="421"/>
      <c r="BN144" s="421"/>
      <c r="BO144" s="421"/>
      <c r="BP144" s="421"/>
      <c r="BQ144" s="421"/>
      <c r="BR144" s="421"/>
    </row>
    <row r="145" spans="1:70" s="446" customFormat="1" ht="20" hidden="1" outlineLevel="1">
      <c r="A145" s="565" t="s">
        <v>358</v>
      </c>
      <c r="B145" s="383"/>
      <c r="C145" s="383"/>
      <c r="D145" s="1075"/>
      <c r="E145" s="383"/>
      <c r="G145" s="814"/>
      <c r="H145" s="814"/>
      <c r="I145" s="814"/>
      <c r="J145" s="814"/>
      <c r="K145" s="523"/>
      <c r="L145" s="383"/>
      <c r="M145" s="445"/>
      <c r="N145" s="815">
        <f>G145</f>
        <v>0</v>
      </c>
      <c r="O145" s="815">
        <f>N145</f>
        <v>0</v>
      </c>
      <c r="P145" s="815">
        <f t="shared" ref="P145:Q145" si="216">O145</f>
        <v>0</v>
      </c>
      <c r="Q145" s="815">
        <f t="shared" si="216"/>
        <v>0</v>
      </c>
      <c r="R145" s="547"/>
      <c r="S145" s="385"/>
      <c r="T145" s="816">
        <f>T146+T147</f>
        <v>1825.8870762882507</v>
      </c>
      <c r="U145" s="816">
        <f>U146+U147</f>
        <v>1825.8870762882507</v>
      </c>
      <c r="V145" s="816">
        <f>V146+V147</f>
        <v>1825.8870762882507</v>
      </c>
      <c r="W145" s="816">
        <f>W146+W147</f>
        <v>1825.8870762882507</v>
      </c>
      <c r="X145" s="1315"/>
      <c r="Y145" s="815"/>
      <c r="Z145" s="815"/>
      <c r="AA145" s="815"/>
      <c r="AB145" s="383"/>
      <c r="AC145" s="816"/>
      <c r="AD145" s="816"/>
      <c r="AE145" s="816"/>
      <c r="AF145" s="816"/>
      <c r="AG145" s="815"/>
      <c r="AH145" s="839"/>
      <c r="AI145" s="815"/>
      <c r="AJ145" s="815"/>
      <c r="AK145" s="815"/>
      <c r="AL145" s="815"/>
      <c r="AM145" s="840"/>
      <c r="AN145" s="523"/>
      <c r="AO145" s="383"/>
      <c r="AP145" s="383"/>
      <c r="AQ145" s="383"/>
      <c r="AR145" s="383"/>
      <c r="AS145" s="383"/>
      <c r="AT145" s="383"/>
      <c r="AU145" s="385"/>
      <c r="AV145" s="385"/>
      <c r="AW145" s="385"/>
      <c r="AX145" s="385"/>
      <c r="AY145" s="385"/>
      <c r="AZ145" s="385"/>
      <c r="BG145" s="445" t="s">
        <v>141</v>
      </c>
      <c r="BH145" s="385"/>
      <c r="BI145" s="385"/>
      <c r="BJ145" s="385"/>
      <c r="BK145" s="385"/>
      <c r="BL145" s="385"/>
      <c r="BM145" s="385" t="s">
        <v>33</v>
      </c>
      <c r="BN145" s="385"/>
      <c r="BO145" s="385"/>
      <c r="BP145" s="385"/>
      <c r="BQ145" s="385"/>
      <c r="BR145" s="385"/>
    </row>
    <row r="146" spans="1:70" ht="20" hidden="1" outlineLevel="1">
      <c r="A146" s="1046" t="s">
        <v>479</v>
      </c>
      <c r="B146" s="935"/>
      <c r="C146" s="935"/>
      <c r="D146" s="1076"/>
      <c r="E146" s="935"/>
      <c r="F146" s="423"/>
      <c r="G146" s="169">
        <f>G172</f>
        <v>13400</v>
      </c>
      <c r="H146" s="169">
        <f>G146</f>
        <v>13400</v>
      </c>
      <c r="I146" s="169">
        <f t="shared" ref="I146:J146" si="217">H146</f>
        <v>13400</v>
      </c>
      <c r="J146" s="169">
        <f t="shared" si="217"/>
        <v>13400</v>
      </c>
      <c r="K146" s="297"/>
      <c r="L146" s="13"/>
      <c r="M146" s="788"/>
      <c r="N146" s="275">
        <f>N172</f>
        <v>8933.3333333333321</v>
      </c>
      <c r="O146" s="275">
        <f>N146</f>
        <v>8933.3333333333321</v>
      </c>
      <c r="P146" s="275">
        <f>O146</f>
        <v>8933.3333333333321</v>
      </c>
      <c r="Q146" s="275">
        <f>P146</f>
        <v>8933.3333333333321</v>
      </c>
      <c r="T146" s="169">
        <v>0</v>
      </c>
      <c r="U146" s="169">
        <v>0</v>
      </c>
      <c r="V146" s="169">
        <v>0</v>
      </c>
      <c r="W146" s="169">
        <v>0</v>
      </c>
      <c r="X146" s="407">
        <v>0</v>
      </c>
      <c r="Y146" s="169"/>
      <c r="Z146" s="169"/>
      <c r="AA146" s="169"/>
      <c r="AB146" s="13"/>
      <c r="AC146" s="169">
        <f>T146</f>
        <v>0</v>
      </c>
      <c r="AD146" s="169">
        <f>U146</f>
        <v>0</v>
      </c>
      <c r="AE146" s="169">
        <f>V146</f>
        <v>0</v>
      </c>
      <c r="AF146" s="169">
        <f>W146</f>
        <v>0</v>
      </c>
      <c r="AG146" s="169"/>
      <c r="AH146" s="826"/>
      <c r="AI146" s="275">
        <f>N146</f>
        <v>8933.3333333333321</v>
      </c>
      <c r="AJ146" s="275">
        <f>O146</f>
        <v>8933.3333333333321</v>
      </c>
      <c r="AK146" s="275">
        <f>P146</f>
        <v>8933.3333333333321</v>
      </c>
      <c r="AL146" s="275">
        <f>Q146</f>
        <v>8933.3333333333321</v>
      </c>
      <c r="AM146" s="614"/>
      <c r="AN146" s="297"/>
      <c r="AO146" s="13"/>
      <c r="AP146" s="13"/>
      <c r="AQ146" s="13"/>
      <c r="AR146" s="13"/>
      <c r="AS146" s="13"/>
      <c r="AT146" s="13"/>
      <c r="BG146" s="788"/>
    </row>
    <row r="147" spans="1:70" ht="20" hidden="1" outlineLevel="1">
      <c r="A147" s="1047" t="s">
        <v>505</v>
      </c>
      <c r="B147" s="359"/>
      <c r="C147" s="359"/>
      <c r="D147" s="1077"/>
      <c r="E147" s="359"/>
      <c r="F147" s="423"/>
      <c r="G147" s="427">
        <f>K147</f>
        <v>466.44290049326827</v>
      </c>
      <c r="H147" s="427">
        <f>K147</f>
        <v>466.44290049326827</v>
      </c>
      <c r="I147" s="427">
        <f>K147</f>
        <v>466.44290049326827</v>
      </c>
      <c r="J147" s="427">
        <f>K147</f>
        <v>466.44290049326827</v>
      </c>
      <c r="K147" s="510">
        <f>3000000/K21</f>
        <v>466.44290049326827</v>
      </c>
      <c r="L147" s="427"/>
      <c r="N147" s="427">
        <f>R147</f>
        <v>317.72581259687428</v>
      </c>
      <c r="O147" s="427">
        <f>R147</f>
        <v>317.72581259687428</v>
      </c>
      <c r="P147" s="427">
        <f>R147</f>
        <v>317.72581259687428</v>
      </c>
      <c r="Q147" s="427">
        <f>R147</f>
        <v>317.72581259687428</v>
      </c>
      <c r="R147" s="510">
        <f>3000000/R21</f>
        <v>317.72581259687428</v>
      </c>
      <c r="T147" s="427">
        <f>X147</f>
        <v>1825.8870762882507</v>
      </c>
      <c r="U147" s="427">
        <f>X147</f>
        <v>1825.8870762882507</v>
      </c>
      <c r="V147" s="427">
        <f>X147</f>
        <v>1825.8870762882507</v>
      </c>
      <c r="W147" s="427">
        <f>X147</f>
        <v>1825.8870762882507</v>
      </c>
      <c r="X147" s="510">
        <f>3000000/X21</f>
        <v>1825.8870762882507</v>
      </c>
      <c r="Y147" s="427"/>
      <c r="Z147" s="427"/>
      <c r="AA147" s="427"/>
      <c r="AB147" s="423"/>
      <c r="AC147" s="427">
        <f>AG147</f>
        <v>1825.8870762882505</v>
      </c>
      <c r="AD147" s="427">
        <f>AG147</f>
        <v>1825.8870762882505</v>
      </c>
      <c r="AE147" s="427">
        <f>AG147</f>
        <v>1825.8870762882505</v>
      </c>
      <c r="AF147" s="427">
        <f>AG147</f>
        <v>1825.8870762882505</v>
      </c>
      <c r="AG147" s="427">
        <f>3000000*AG148/AG21</f>
        <v>1825.8870762882505</v>
      </c>
      <c r="AH147" s="841"/>
      <c r="AI147" s="427">
        <f>AM147</f>
        <v>317.72581259687433</v>
      </c>
      <c r="AJ147" s="427">
        <f>AM147</f>
        <v>317.72581259687433</v>
      </c>
      <c r="AK147" s="427">
        <f>AM147</f>
        <v>317.72581259687433</v>
      </c>
      <c r="AL147" s="427">
        <f>AM147</f>
        <v>317.72581259687433</v>
      </c>
      <c r="AM147" s="487">
        <f>3000000*AM148/AM21</f>
        <v>317.72581259687433</v>
      </c>
      <c r="AN147" s="504"/>
      <c r="AO147" s="423"/>
      <c r="AP147" s="423"/>
      <c r="AQ147" s="423"/>
      <c r="AR147" s="423"/>
      <c r="AS147" s="423"/>
      <c r="AT147" s="423"/>
      <c r="AU147" s="423"/>
      <c r="AV147" s="423"/>
      <c r="AW147" s="423"/>
      <c r="AX147" s="423"/>
      <c r="AY147" s="423"/>
      <c r="AZ147" s="423"/>
      <c r="BG147" s="423"/>
    </row>
    <row r="148" spans="1:70" hidden="1" outlineLevel="1">
      <c r="A148" s="1047"/>
      <c r="B148" s="359"/>
      <c r="C148" s="359"/>
      <c r="D148" s="1077"/>
      <c r="E148" s="359"/>
      <c r="F148" s="423"/>
      <c r="G148" s="427"/>
      <c r="H148" s="427"/>
      <c r="I148" s="427"/>
      <c r="J148" s="427"/>
      <c r="K148" s="510"/>
      <c r="L148" s="427"/>
      <c r="N148" s="427"/>
      <c r="O148" s="427"/>
      <c r="P148" s="427"/>
      <c r="Q148" s="427"/>
      <c r="R148" s="510"/>
      <c r="T148" s="427"/>
      <c r="U148" s="427"/>
      <c r="V148" s="427"/>
      <c r="W148" s="427"/>
      <c r="X148" s="510"/>
      <c r="Y148" s="427"/>
      <c r="Z148" s="427"/>
      <c r="AA148" s="427"/>
      <c r="AB148" s="423"/>
      <c r="AC148" s="427"/>
      <c r="AD148" s="427"/>
      <c r="AE148" s="427"/>
      <c r="AF148" s="427"/>
      <c r="AG148" s="817">
        <f>AG7/AN7</f>
        <v>0.86857536248143463</v>
      </c>
      <c r="AH148" s="841"/>
      <c r="AI148" s="427"/>
      <c r="AJ148" s="427"/>
      <c r="AK148" s="427"/>
      <c r="AL148" s="427"/>
      <c r="AM148" s="842">
        <f>100%-AG148</f>
        <v>0.13142463751856537</v>
      </c>
      <c r="AN148" s="504"/>
      <c r="AO148" s="423"/>
      <c r="AP148" s="423"/>
      <c r="AQ148" s="423"/>
      <c r="AR148" s="423"/>
      <c r="AS148" s="423"/>
      <c r="AT148" s="423"/>
      <c r="AU148" s="423"/>
      <c r="AV148" s="423"/>
      <c r="AW148" s="423"/>
      <c r="AX148" s="423"/>
      <c r="AY148" s="423"/>
      <c r="AZ148" s="423"/>
      <c r="BG148" s="423"/>
    </row>
    <row r="149" spans="1:70" ht="40" hidden="1" outlineLevel="1">
      <c r="A149" s="161" t="s">
        <v>504</v>
      </c>
      <c r="B149" s="13"/>
      <c r="C149" s="13"/>
      <c r="D149" s="1066"/>
      <c r="E149" s="13"/>
      <c r="F149" s="423"/>
      <c r="G149" s="255">
        <f>G181*4</f>
        <v>84.8</v>
      </c>
      <c r="H149" s="255">
        <f>G149</f>
        <v>84.8</v>
      </c>
      <c r="I149" s="255">
        <f>H149</f>
        <v>84.8</v>
      </c>
      <c r="J149" s="255">
        <f>I149</f>
        <v>84.8</v>
      </c>
      <c r="K149" s="407"/>
      <c r="L149" s="169"/>
      <c r="N149" s="255">
        <f>G149</f>
        <v>84.8</v>
      </c>
      <c r="O149" s="1166">
        <f>N149</f>
        <v>84.8</v>
      </c>
      <c r="P149" s="1166">
        <f t="shared" ref="P149:Q149" si="218">O149</f>
        <v>84.8</v>
      </c>
      <c r="Q149" s="1166">
        <f t="shared" si="218"/>
        <v>84.8</v>
      </c>
      <c r="T149" s="255">
        <f>N149</f>
        <v>84.8</v>
      </c>
      <c r="U149" s="1166">
        <f>T149</f>
        <v>84.8</v>
      </c>
      <c r="V149" s="1166">
        <f t="shared" ref="V149:W149" si="219">U149</f>
        <v>84.8</v>
      </c>
      <c r="W149" s="1166">
        <f t="shared" si="219"/>
        <v>84.8</v>
      </c>
      <c r="AB149" s="423"/>
      <c r="AC149" s="255">
        <f>T149</f>
        <v>84.8</v>
      </c>
      <c r="AD149" s="1166">
        <f>AC149</f>
        <v>84.8</v>
      </c>
      <c r="AE149" s="1166">
        <f t="shared" ref="AE149:AF149" si="220">AD149</f>
        <v>84.8</v>
      </c>
      <c r="AF149" s="1166">
        <f t="shared" si="220"/>
        <v>84.8</v>
      </c>
      <c r="AG149" s="423"/>
      <c r="AH149" s="841"/>
      <c r="AI149" s="255">
        <f>AC149</f>
        <v>84.8</v>
      </c>
      <c r="AJ149" s="1166">
        <f>AI149</f>
        <v>84.8</v>
      </c>
      <c r="AK149" s="1166">
        <f t="shared" ref="AK149:AL149" si="221">AJ149</f>
        <v>84.8</v>
      </c>
      <c r="AL149" s="1166">
        <f t="shared" si="221"/>
        <v>84.8</v>
      </c>
      <c r="AM149" s="423"/>
      <c r="AN149" s="504"/>
      <c r="AO149" s="423"/>
      <c r="AP149" s="423"/>
      <c r="AQ149" s="423"/>
      <c r="AR149" s="423"/>
      <c r="AS149" s="423"/>
      <c r="AT149" s="423"/>
      <c r="AU149" s="423"/>
      <c r="AV149" s="423"/>
      <c r="AW149" s="423"/>
      <c r="AX149" s="423"/>
      <c r="AY149" s="423"/>
      <c r="AZ149" s="423"/>
      <c r="BG149" s="423"/>
    </row>
    <row r="150" spans="1:70" s="440" customFormat="1" hidden="1" outlineLevel="1">
      <c r="A150" s="1048"/>
      <c r="B150" s="439"/>
      <c r="C150" s="439"/>
      <c r="D150" s="1078"/>
      <c r="E150" s="439"/>
      <c r="G150" s="441"/>
      <c r="H150" s="442"/>
      <c r="I150" s="442"/>
      <c r="J150" s="442"/>
      <c r="K150" s="520"/>
      <c r="L150" s="442"/>
      <c r="M150" s="443"/>
      <c r="N150" s="443"/>
      <c r="O150" s="443"/>
      <c r="P150" s="443"/>
      <c r="Q150" s="443"/>
      <c r="R150" s="543"/>
      <c r="S150" s="443"/>
      <c r="T150" s="442"/>
      <c r="U150" s="442"/>
      <c r="V150" s="442"/>
      <c r="W150" s="442"/>
      <c r="X150" s="520"/>
      <c r="Y150" s="442"/>
      <c r="Z150" s="442"/>
      <c r="AA150" s="442"/>
      <c r="AB150" s="442"/>
      <c r="AC150" s="442"/>
      <c r="AD150" s="442"/>
      <c r="AE150" s="442"/>
      <c r="AF150" s="442"/>
      <c r="AG150" s="442"/>
      <c r="AH150" s="843"/>
      <c r="AI150" s="442"/>
      <c r="AJ150" s="442"/>
      <c r="AK150" s="442"/>
      <c r="AL150" s="442"/>
      <c r="AM150" s="844"/>
      <c r="AN150" s="520"/>
      <c r="AO150" s="439"/>
      <c r="AP150" s="439"/>
      <c r="AQ150" s="439"/>
      <c r="AR150" s="439"/>
      <c r="AS150" s="439"/>
      <c r="AT150" s="439"/>
      <c r="AU150" s="443"/>
      <c r="AV150" s="443"/>
      <c r="AW150" s="443"/>
      <c r="AX150" s="443"/>
      <c r="AY150" s="443"/>
      <c r="AZ150" s="443"/>
      <c r="BG150" s="443"/>
      <c r="BH150" s="443"/>
      <c r="BI150" s="443"/>
      <c r="BJ150" s="443"/>
      <c r="BK150" s="443"/>
      <c r="BL150" s="443"/>
      <c r="BM150" s="443"/>
      <c r="BN150" s="443"/>
      <c r="BO150" s="443"/>
      <c r="BP150" s="443"/>
      <c r="BQ150" s="443"/>
      <c r="BR150" s="443"/>
    </row>
    <row r="151" spans="1:70" s="775" customFormat="1" ht="20" hidden="1" outlineLevel="1">
      <c r="A151" s="558" t="s">
        <v>361</v>
      </c>
      <c r="B151" s="355"/>
      <c r="C151" s="355"/>
      <c r="D151" s="1068"/>
      <c r="E151" s="355"/>
      <c r="G151" s="354">
        <f>G152</f>
        <v>212</v>
      </c>
      <c r="H151" s="354">
        <f t="shared" ref="H151:J156" si="222">G151</f>
        <v>212</v>
      </c>
      <c r="I151" s="354">
        <f t="shared" si="222"/>
        <v>212</v>
      </c>
      <c r="J151" s="354">
        <f t="shared" si="222"/>
        <v>212</v>
      </c>
      <c r="K151" s="776"/>
      <c r="L151" s="780"/>
      <c r="M151" s="43"/>
      <c r="N151" s="777">
        <f>G151</f>
        <v>212</v>
      </c>
      <c r="O151" s="777">
        <f>H151</f>
        <v>212</v>
      </c>
      <c r="P151" s="777">
        <f>I151</f>
        <v>212</v>
      </c>
      <c r="Q151" s="777">
        <f>J151</f>
        <v>212</v>
      </c>
      <c r="R151" s="778"/>
      <c r="S151" s="783"/>
      <c r="T151" s="777">
        <f>N151</f>
        <v>212</v>
      </c>
      <c r="U151" s="777">
        <f>O151</f>
        <v>212</v>
      </c>
      <c r="V151" s="777">
        <f>P151</f>
        <v>212</v>
      </c>
      <c r="W151" s="777">
        <f>Q151</f>
        <v>212</v>
      </c>
      <c r="X151" s="776"/>
      <c r="Y151" s="780"/>
      <c r="Z151" s="780"/>
      <c r="AA151" s="780"/>
      <c r="AB151" s="780"/>
      <c r="AC151" s="777">
        <f t="shared" ref="AC151:AF158" si="223">T151</f>
        <v>212</v>
      </c>
      <c r="AD151" s="777">
        <f t="shared" si="223"/>
        <v>212</v>
      </c>
      <c r="AE151" s="777">
        <f t="shared" si="223"/>
        <v>212</v>
      </c>
      <c r="AF151" s="777">
        <f t="shared" si="223"/>
        <v>212</v>
      </c>
      <c r="AG151" s="780"/>
      <c r="AH151" s="845"/>
      <c r="AI151" s="354">
        <f>N151</f>
        <v>212</v>
      </c>
      <c r="AJ151" s="354">
        <f>O151</f>
        <v>212</v>
      </c>
      <c r="AK151" s="354">
        <f>P151</f>
        <v>212</v>
      </c>
      <c r="AL151" s="354">
        <f>Q151</f>
        <v>212</v>
      </c>
      <c r="AM151" s="846"/>
      <c r="AN151" s="776"/>
      <c r="AO151" s="782"/>
      <c r="AP151" s="782"/>
      <c r="AQ151" s="782"/>
      <c r="AR151" s="782"/>
      <c r="AS151" s="782"/>
      <c r="AT151" s="782"/>
      <c r="AU151" s="783"/>
      <c r="AV151" s="783"/>
      <c r="AW151" s="783"/>
      <c r="AX151" s="783"/>
      <c r="AY151" s="783"/>
      <c r="AZ151" s="783"/>
      <c r="BG151" s="783"/>
      <c r="BH151" s="783"/>
      <c r="BI151" s="783"/>
      <c r="BJ151" s="783"/>
      <c r="BK151" s="783"/>
      <c r="BL151" s="783"/>
      <c r="BM151" s="783"/>
      <c r="BN151" s="783"/>
      <c r="BO151" s="783"/>
      <c r="BP151" s="783"/>
      <c r="BQ151" s="783"/>
      <c r="BR151" s="783"/>
    </row>
    <row r="152" spans="1:70" s="440" customFormat="1" ht="20" hidden="1" outlineLevel="1">
      <c r="A152" s="161" t="s">
        <v>502</v>
      </c>
      <c r="B152" s="13"/>
      <c r="C152" s="13"/>
      <c r="D152" s="1066"/>
      <c r="E152" s="13"/>
      <c r="G152" s="169">
        <f>G182</f>
        <v>212</v>
      </c>
      <c r="H152" s="169">
        <f t="shared" si="222"/>
        <v>212</v>
      </c>
      <c r="I152" s="169">
        <f t="shared" si="222"/>
        <v>212</v>
      </c>
      <c r="J152" s="169">
        <f t="shared" si="222"/>
        <v>212</v>
      </c>
      <c r="K152" s="520"/>
      <c r="L152" s="442"/>
      <c r="M152" s="443"/>
      <c r="N152" s="169">
        <f>N182</f>
        <v>212</v>
      </c>
      <c r="O152" s="169">
        <f>O182</f>
        <v>212</v>
      </c>
      <c r="P152" s="169">
        <f>P182</f>
        <v>212</v>
      </c>
      <c r="Q152" s="169">
        <f>Q182</f>
        <v>212</v>
      </c>
      <c r="R152" s="543"/>
      <c r="S152" s="443"/>
      <c r="T152" s="169">
        <f>T182</f>
        <v>212</v>
      </c>
      <c r="U152" s="169">
        <f>U182</f>
        <v>212</v>
      </c>
      <c r="V152" s="169">
        <f>V182</f>
        <v>212</v>
      </c>
      <c r="W152" s="169">
        <f>W182</f>
        <v>212</v>
      </c>
      <c r="X152" s="520"/>
      <c r="Y152" s="442"/>
      <c r="Z152" s="442"/>
      <c r="AA152" s="442"/>
      <c r="AB152" s="442"/>
      <c r="AC152" s="169">
        <f t="shared" si="223"/>
        <v>212</v>
      </c>
      <c r="AD152" s="169">
        <f t="shared" si="223"/>
        <v>212</v>
      </c>
      <c r="AE152" s="169">
        <f t="shared" si="223"/>
        <v>212</v>
      </c>
      <c r="AF152" s="169">
        <f t="shared" si="223"/>
        <v>212</v>
      </c>
      <c r="AG152" s="442"/>
      <c r="AH152" s="843"/>
      <c r="AI152" s="169">
        <f>AC152</f>
        <v>212</v>
      </c>
      <c r="AJ152" s="169">
        <f t="shared" ref="AJ152:AL152" si="224">AD152</f>
        <v>212</v>
      </c>
      <c r="AK152" s="169">
        <f t="shared" si="224"/>
        <v>212</v>
      </c>
      <c r="AL152" s="169">
        <f t="shared" si="224"/>
        <v>212</v>
      </c>
      <c r="AM152" s="844"/>
      <c r="AN152" s="520"/>
      <c r="AO152" s="439"/>
      <c r="AP152" s="439"/>
      <c r="AQ152" s="439"/>
      <c r="AR152" s="439"/>
      <c r="AS152" s="439"/>
      <c r="AT152" s="439"/>
      <c r="AU152" s="443"/>
      <c r="AV152" s="443"/>
      <c r="AW152" s="443"/>
      <c r="AX152" s="443"/>
      <c r="AY152" s="443"/>
      <c r="AZ152" s="443"/>
      <c r="BG152" s="443"/>
      <c r="BH152" s="443"/>
      <c r="BI152" s="443"/>
      <c r="BJ152" s="443"/>
      <c r="BK152" s="443"/>
      <c r="BL152" s="443"/>
      <c r="BM152" s="443"/>
      <c r="BN152" s="443"/>
      <c r="BO152" s="443"/>
      <c r="BP152" s="443"/>
      <c r="BQ152" s="443"/>
      <c r="BR152" s="443"/>
    </row>
    <row r="153" spans="1:70" s="440" customFormat="1" ht="40" hidden="1" outlineLevel="1">
      <c r="A153" s="161" t="s">
        <v>582</v>
      </c>
      <c r="B153" s="13"/>
      <c r="C153" s="13"/>
      <c r="D153" s="1066"/>
      <c r="E153" s="13"/>
      <c r="G153" s="169">
        <f>2.7*G163</f>
        <v>24.915600000000005</v>
      </c>
      <c r="H153" s="169">
        <f t="shared" si="222"/>
        <v>24.915600000000005</v>
      </c>
      <c r="I153" s="169">
        <f t="shared" si="222"/>
        <v>24.915600000000005</v>
      </c>
      <c r="J153" s="169">
        <f t="shared" si="222"/>
        <v>24.915600000000005</v>
      </c>
      <c r="K153" s="520"/>
      <c r="L153" s="442"/>
      <c r="M153" s="443"/>
      <c r="N153" s="169">
        <f t="shared" ref="N153:N158" si="225">G153</f>
        <v>24.915600000000005</v>
      </c>
      <c r="O153" s="169">
        <f>N153</f>
        <v>24.915600000000005</v>
      </c>
      <c r="P153" s="169">
        <f t="shared" ref="P153:Q155" si="226">O153</f>
        <v>24.915600000000005</v>
      </c>
      <c r="Q153" s="169">
        <f t="shared" si="226"/>
        <v>24.915600000000005</v>
      </c>
      <c r="R153" s="543"/>
      <c r="S153" s="443"/>
      <c r="T153" s="169">
        <f t="shared" ref="T153:T158" si="227">N153</f>
        <v>24.915600000000005</v>
      </c>
      <c r="U153" s="169">
        <f>T153</f>
        <v>24.915600000000005</v>
      </c>
      <c r="V153" s="169">
        <f t="shared" ref="V153:W155" si="228">U153</f>
        <v>24.915600000000005</v>
      </c>
      <c r="W153" s="169">
        <f t="shared" si="228"/>
        <v>24.915600000000005</v>
      </c>
      <c r="X153" s="520"/>
      <c r="Y153" s="442"/>
      <c r="Z153" s="442"/>
      <c r="AA153" s="442"/>
      <c r="AB153" s="442"/>
      <c r="AC153" s="169">
        <f t="shared" si="223"/>
        <v>24.915600000000005</v>
      </c>
      <c r="AD153" s="169">
        <f>AC153</f>
        <v>24.915600000000005</v>
      </c>
      <c r="AE153" s="169">
        <f t="shared" ref="AE153:AF153" si="229">AD153</f>
        <v>24.915600000000005</v>
      </c>
      <c r="AF153" s="169">
        <f t="shared" si="229"/>
        <v>24.915600000000005</v>
      </c>
      <c r="AG153" s="442"/>
      <c r="AH153" s="843"/>
      <c r="AI153" s="169">
        <f>AC153</f>
        <v>24.915600000000005</v>
      </c>
      <c r="AJ153" s="169">
        <f>AI153</f>
        <v>24.915600000000005</v>
      </c>
      <c r="AK153" s="169">
        <f t="shared" ref="AK153:AL153" si="230">AJ153</f>
        <v>24.915600000000005</v>
      </c>
      <c r="AL153" s="169">
        <f t="shared" si="230"/>
        <v>24.915600000000005</v>
      </c>
      <c r="AM153" s="844"/>
      <c r="AN153" s="520"/>
      <c r="AO153" s="439"/>
      <c r="AP153" s="439"/>
      <c r="AQ153" s="439"/>
      <c r="AR153" s="439"/>
      <c r="AS153" s="439"/>
      <c r="AT153" s="439"/>
      <c r="AU153" s="443"/>
      <c r="AV153" s="443"/>
      <c r="AW153" s="443"/>
      <c r="AX153" s="443"/>
      <c r="AY153" s="443"/>
      <c r="AZ153" s="443"/>
      <c r="BG153" s="443"/>
      <c r="BH153" s="443"/>
      <c r="BI153" s="443"/>
      <c r="BJ153" s="443"/>
      <c r="BK153" s="443"/>
      <c r="BL153" s="443"/>
      <c r="BM153" s="443"/>
      <c r="BN153" s="443"/>
      <c r="BO153" s="443"/>
      <c r="BP153" s="443"/>
      <c r="BQ153" s="443"/>
      <c r="BR153" s="443"/>
    </row>
    <row r="154" spans="1:70" s="440" customFormat="1" ht="40" hidden="1" outlineLevel="1">
      <c r="A154" s="161" t="s">
        <v>583</v>
      </c>
      <c r="B154" s="13"/>
      <c r="C154" s="13"/>
      <c r="D154" s="1066"/>
      <c r="E154" s="13"/>
      <c r="G154" s="1317">
        <f>2.7*G162</f>
        <v>5.6052000000000008</v>
      </c>
      <c r="H154" s="1317">
        <f t="shared" si="222"/>
        <v>5.6052000000000008</v>
      </c>
      <c r="I154" s="1317">
        <f t="shared" si="222"/>
        <v>5.6052000000000008</v>
      </c>
      <c r="J154" s="1317">
        <f t="shared" si="222"/>
        <v>5.6052000000000008</v>
      </c>
      <c r="K154" s="520"/>
      <c r="L154" s="442"/>
      <c r="M154" s="443"/>
      <c r="N154" s="169">
        <f t="shared" si="225"/>
        <v>5.6052000000000008</v>
      </c>
      <c r="O154" s="169">
        <f>N154</f>
        <v>5.6052000000000008</v>
      </c>
      <c r="P154" s="169">
        <f t="shared" si="226"/>
        <v>5.6052000000000008</v>
      </c>
      <c r="Q154" s="169">
        <f t="shared" si="226"/>
        <v>5.6052000000000008</v>
      </c>
      <c r="R154" s="543"/>
      <c r="S154" s="443"/>
      <c r="T154" s="169">
        <f t="shared" si="227"/>
        <v>5.6052000000000008</v>
      </c>
      <c r="U154" s="169">
        <f>T154</f>
        <v>5.6052000000000008</v>
      </c>
      <c r="V154" s="169">
        <f t="shared" si="228"/>
        <v>5.6052000000000008</v>
      </c>
      <c r="W154" s="169">
        <f t="shared" si="228"/>
        <v>5.6052000000000008</v>
      </c>
      <c r="X154" s="520"/>
      <c r="Y154" s="442"/>
      <c r="Z154" s="442"/>
      <c r="AA154" s="442"/>
      <c r="AB154" s="442"/>
      <c r="AC154" s="169">
        <f t="shared" si="223"/>
        <v>5.6052000000000008</v>
      </c>
      <c r="AD154" s="169">
        <f t="shared" ref="AD154:AF155" si="231">AC154</f>
        <v>5.6052000000000008</v>
      </c>
      <c r="AE154" s="169">
        <f t="shared" si="231"/>
        <v>5.6052000000000008</v>
      </c>
      <c r="AF154" s="169">
        <f t="shared" si="231"/>
        <v>5.6052000000000008</v>
      </c>
      <c r="AG154" s="442"/>
      <c r="AH154" s="843"/>
      <c r="AI154" s="169">
        <f t="shared" ref="AI154:AI155" si="232">AC154</f>
        <v>5.6052000000000008</v>
      </c>
      <c r="AJ154" s="169">
        <f t="shared" ref="AJ154:AL155" si="233">AI154</f>
        <v>5.6052000000000008</v>
      </c>
      <c r="AK154" s="169">
        <f t="shared" si="233"/>
        <v>5.6052000000000008</v>
      </c>
      <c r="AL154" s="169">
        <f t="shared" si="233"/>
        <v>5.6052000000000008</v>
      </c>
      <c r="AM154" s="844"/>
      <c r="AN154" s="520"/>
      <c r="AO154" s="439"/>
      <c r="AP154" s="439"/>
      <c r="AQ154" s="439"/>
      <c r="AR154" s="439"/>
      <c r="AS154" s="439"/>
      <c r="AT154" s="439"/>
      <c r="AU154" s="443"/>
      <c r="AV154" s="443"/>
      <c r="AW154" s="443"/>
      <c r="AX154" s="443"/>
      <c r="AY154" s="443"/>
      <c r="AZ154" s="443"/>
      <c r="BG154" s="443"/>
      <c r="BH154" s="443"/>
      <c r="BI154" s="443"/>
      <c r="BJ154" s="443"/>
      <c r="BK154" s="443"/>
      <c r="BL154" s="443"/>
      <c r="BM154" s="443"/>
      <c r="BN154" s="443"/>
      <c r="BO154" s="443"/>
      <c r="BP154" s="443"/>
      <c r="BQ154" s="443"/>
      <c r="BR154" s="443"/>
    </row>
    <row r="155" spans="1:70" s="440" customFormat="1" ht="40" hidden="1" outlineLevel="1">
      <c r="A155" s="161" t="s">
        <v>581</v>
      </c>
      <c r="B155" s="13"/>
      <c r="C155" s="13"/>
      <c r="D155" s="1066"/>
      <c r="E155" s="13"/>
      <c r="G155" s="1317">
        <f>2.7*1</f>
        <v>2.7</v>
      </c>
      <c r="H155" s="1317">
        <f t="shared" si="222"/>
        <v>2.7</v>
      </c>
      <c r="I155" s="1317">
        <f t="shared" si="222"/>
        <v>2.7</v>
      </c>
      <c r="J155" s="1317">
        <f t="shared" si="222"/>
        <v>2.7</v>
      </c>
      <c r="K155" s="520"/>
      <c r="L155" s="442"/>
      <c r="M155" s="443"/>
      <c r="N155" s="169">
        <f t="shared" si="225"/>
        <v>2.7</v>
      </c>
      <c r="O155" s="169">
        <f>N155</f>
        <v>2.7</v>
      </c>
      <c r="P155" s="169">
        <f t="shared" si="226"/>
        <v>2.7</v>
      </c>
      <c r="Q155" s="169">
        <f t="shared" si="226"/>
        <v>2.7</v>
      </c>
      <c r="R155" s="543"/>
      <c r="S155" s="443"/>
      <c r="T155" s="169">
        <f t="shared" si="227"/>
        <v>2.7</v>
      </c>
      <c r="U155" s="169">
        <f>T155</f>
        <v>2.7</v>
      </c>
      <c r="V155" s="169">
        <f t="shared" si="228"/>
        <v>2.7</v>
      </c>
      <c r="W155" s="169">
        <f t="shared" si="228"/>
        <v>2.7</v>
      </c>
      <c r="X155" s="520"/>
      <c r="Y155" s="442"/>
      <c r="Z155" s="442"/>
      <c r="AA155" s="442"/>
      <c r="AB155" s="442"/>
      <c r="AC155" s="169">
        <f t="shared" si="223"/>
        <v>2.7</v>
      </c>
      <c r="AD155" s="169">
        <f t="shared" si="231"/>
        <v>2.7</v>
      </c>
      <c r="AE155" s="169">
        <f t="shared" si="231"/>
        <v>2.7</v>
      </c>
      <c r="AF155" s="169">
        <f t="shared" si="231"/>
        <v>2.7</v>
      </c>
      <c r="AG155" s="442"/>
      <c r="AH155" s="843"/>
      <c r="AI155" s="169">
        <f t="shared" si="232"/>
        <v>2.7</v>
      </c>
      <c r="AJ155" s="169">
        <f t="shared" si="233"/>
        <v>2.7</v>
      </c>
      <c r="AK155" s="169">
        <f t="shared" si="233"/>
        <v>2.7</v>
      </c>
      <c r="AL155" s="169">
        <f t="shared" si="233"/>
        <v>2.7</v>
      </c>
      <c r="AM155" s="844"/>
      <c r="AN155" s="520"/>
      <c r="AO155" s="439"/>
      <c r="AP155" s="439"/>
      <c r="AQ155" s="439"/>
      <c r="AR155" s="439"/>
      <c r="AS155" s="439"/>
      <c r="AT155" s="439"/>
      <c r="AU155" s="443"/>
      <c r="AV155" s="443"/>
      <c r="AW155" s="443"/>
      <c r="AX155" s="443"/>
      <c r="AY155" s="443"/>
      <c r="AZ155" s="443"/>
      <c r="BG155" s="443"/>
      <c r="BH155" s="443"/>
      <c r="BI155" s="443"/>
      <c r="BJ155" s="443"/>
      <c r="BK155" s="443"/>
      <c r="BL155" s="443"/>
      <c r="BM155" s="443"/>
      <c r="BN155" s="443"/>
      <c r="BO155" s="443"/>
      <c r="BP155" s="443"/>
      <c r="BQ155" s="443"/>
      <c r="BR155" s="443"/>
    </row>
    <row r="156" spans="1:70" s="440" customFormat="1" ht="20" hidden="1" outlineLevel="1">
      <c r="A156" s="161" t="s">
        <v>647</v>
      </c>
      <c r="B156" s="13"/>
      <c r="C156" s="13"/>
      <c r="D156" s="1066"/>
      <c r="E156" s="13"/>
      <c r="G156" s="812">
        <v>0.35</v>
      </c>
      <c r="H156" s="812">
        <f t="shared" si="222"/>
        <v>0.35</v>
      </c>
      <c r="I156" s="812">
        <f t="shared" si="222"/>
        <v>0.35</v>
      </c>
      <c r="J156" s="812">
        <f t="shared" si="222"/>
        <v>0.35</v>
      </c>
      <c r="K156" s="520"/>
      <c r="L156" s="442"/>
      <c r="M156" s="443"/>
      <c r="N156" s="812">
        <f t="shared" si="225"/>
        <v>0.35</v>
      </c>
      <c r="O156" s="644">
        <f>H156</f>
        <v>0.35</v>
      </c>
      <c r="P156" s="644">
        <f>I156</f>
        <v>0.35</v>
      </c>
      <c r="Q156" s="644">
        <f>J156</f>
        <v>0.35</v>
      </c>
      <c r="R156" s="543"/>
      <c r="S156" s="443"/>
      <c r="T156" s="812">
        <f t="shared" si="227"/>
        <v>0.35</v>
      </c>
      <c r="U156" s="644">
        <f>O156</f>
        <v>0.35</v>
      </c>
      <c r="V156" s="644">
        <f>P156</f>
        <v>0.35</v>
      </c>
      <c r="W156" s="644">
        <f>Q156</f>
        <v>0.35</v>
      </c>
      <c r="X156" s="520"/>
      <c r="Y156" s="442"/>
      <c r="Z156" s="442"/>
      <c r="AA156" s="442"/>
      <c r="AB156" s="442"/>
      <c r="AC156" s="812">
        <f t="shared" si="223"/>
        <v>0.35</v>
      </c>
      <c r="AD156" s="644">
        <f>U156</f>
        <v>0.35</v>
      </c>
      <c r="AE156" s="644">
        <f t="shared" ref="AE156:AF156" si="234">V156</f>
        <v>0.35</v>
      </c>
      <c r="AF156" s="644">
        <f t="shared" si="234"/>
        <v>0.35</v>
      </c>
      <c r="AG156" s="442"/>
      <c r="AH156" s="843"/>
      <c r="AI156" s="811">
        <f>AC156</f>
        <v>0.35</v>
      </c>
      <c r="AJ156" s="644">
        <f>AD156</f>
        <v>0.35</v>
      </c>
      <c r="AK156" s="644">
        <f t="shared" ref="AK156:AL156" si="235">AE156</f>
        <v>0.35</v>
      </c>
      <c r="AL156" s="644">
        <f t="shared" si="235"/>
        <v>0.35</v>
      </c>
      <c r="AM156" s="844"/>
      <c r="AN156" s="520"/>
      <c r="AO156" s="439"/>
      <c r="AP156" s="439"/>
      <c r="AQ156" s="439"/>
      <c r="AR156" s="439"/>
      <c r="AS156" s="439"/>
      <c r="AT156" s="439"/>
      <c r="AU156" s="443"/>
      <c r="AV156" s="443"/>
      <c r="AW156" s="443"/>
      <c r="AX156" s="443"/>
      <c r="AY156" s="443"/>
      <c r="AZ156" s="443"/>
      <c r="BG156" s="443"/>
      <c r="BH156" s="443"/>
      <c r="BI156" s="443"/>
      <c r="BJ156" s="443"/>
      <c r="BK156" s="443"/>
      <c r="BL156" s="443"/>
      <c r="BM156" s="443"/>
      <c r="BN156" s="443"/>
      <c r="BO156" s="443"/>
      <c r="BP156" s="443"/>
      <c r="BQ156" s="443"/>
      <c r="BR156" s="443"/>
    </row>
    <row r="157" spans="1:70" s="440" customFormat="1" ht="40" hidden="1" outlineLevel="1">
      <c r="A157" s="161" t="s">
        <v>603</v>
      </c>
      <c r="B157" s="13"/>
      <c r="C157" s="13"/>
      <c r="D157" s="1066"/>
      <c r="E157" s="13"/>
      <c r="G157" s="812">
        <f>60%*G156</f>
        <v>0.21</v>
      </c>
      <c r="H157" s="812">
        <f t="shared" ref="H157:J157" si="236">60%*H156</f>
        <v>0.21</v>
      </c>
      <c r="I157" s="812">
        <f t="shared" si="236"/>
        <v>0.21</v>
      </c>
      <c r="J157" s="812">
        <f t="shared" si="236"/>
        <v>0.21</v>
      </c>
      <c r="K157" s="520"/>
      <c r="L157" s="442"/>
      <c r="M157" s="443"/>
      <c r="N157" s="812">
        <f t="shared" si="225"/>
        <v>0.21</v>
      </c>
      <c r="O157" s="812">
        <f t="shared" ref="O157:Q158" si="237">N157</f>
        <v>0.21</v>
      </c>
      <c r="P157" s="812">
        <f t="shared" si="237"/>
        <v>0.21</v>
      </c>
      <c r="Q157" s="812">
        <f t="shared" si="237"/>
        <v>0.21</v>
      </c>
      <c r="R157" s="543"/>
      <c r="S157" s="443"/>
      <c r="T157" s="812">
        <f t="shared" si="227"/>
        <v>0.21</v>
      </c>
      <c r="U157" s="812">
        <f t="shared" ref="U157:W158" si="238">T157</f>
        <v>0.21</v>
      </c>
      <c r="V157" s="812">
        <f t="shared" si="238"/>
        <v>0.21</v>
      </c>
      <c r="W157" s="812">
        <f t="shared" si="238"/>
        <v>0.21</v>
      </c>
      <c r="X157" s="520"/>
      <c r="Y157" s="442"/>
      <c r="Z157" s="442"/>
      <c r="AA157" s="442"/>
      <c r="AB157" s="442"/>
      <c r="AC157" s="812">
        <f t="shared" si="223"/>
        <v>0.21</v>
      </c>
      <c r="AD157" s="812">
        <f t="shared" ref="AD157:AF158" si="239">AC157</f>
        <v>0.21</v>
      </c>
      <c r="AE157" s="812">
        <f t="shared" si="239"/>
        <v>0.21</v>
      </c>
      <c r="AF157" s="812">
        <f t="shared" si="239"/>
        <v>0.21</v>
      </c>
      <c r="AG157" s="442"/>
      <c r="AH157" s="843"/>
      <c r="AI157" s="811">
        <f>AC157</f>
        <v>0.21</v>
      </c>
      <c r="AJ157" s="811">
        <f t="shared" ref="AJ157:AL158" si="240">AI157</f>
        <v>0.21</v>
      </c>
      <c r="AK157" s="811">
        <f t="shared" si="240"/>
        <v>0.21</v>
      </c>
      <c r="AL157" s="811">
        <f t="shared" si="240"/>
        <v>0.21</v>
      </c>
      <c r="AM157" s="844"/>
      <c r="AN157" s="520"/>
      <c r="AO157" s="439"/>
      <c r="AP157" s="439"/>
      <c r="AQ157" s="439"/>
      <c r="AR157" s="439"/>
      <c r="AS157" s="439"/>
      <c r="AT157" s="439"/>
      <c r="AU157" s="443"/>
      <c r="AV157" s="443"/>
      <c r="AW157" s="443"/>
      <c r="AX157" s="443"/>
      <c r="AY157" s="443"/>
      <c r="AZ157" s="443"/>
      <c r="BG157" s="443"/>
      <c r="BH157" s="443"/>
      <c r="BI157" s="443"/>
      <c r="BJ157" s="443"/>
      <c r="BK157" s="443"/>
      <c r="BL157" s="443"/>
      <c r="BM157" s="443"/>
      <c r="BN157" s="443"/>
      <c r="BO157" s="443"/>
      <c r="BP157" s="443"/>
      <c r="BQ157" s="443"/>
      <c r="BR157" s="443"/>
    </row>
    <row r="158" spans="1:70" s="440" customFormat="1" ht="20" hidden="1" outlineLevel="1">
      <c r="A158" s="161" t="s">
        <v>597</v>
      </c>
      <c r="B158" s="13"/>
      <c r="C158" s="13"/>
      <c r="D158" s="1066"/>
      <c r="E158" s="13"/>
      <c r="G158" s="812">
        <f>G198</f>
        <v>0.62</v>
      </c>
      <c r="H158" s="812">
        <f>G158</f>
        <v>0.62</v>
      </c>
      <c r="I158" s="812">
        <f t="shared" ref="I158:J158" si="241">H158</f>
        <v>0.62</v>
      </c>
      <c r="J158" s="812">
        <f t="shared" si="241"/>
        <v>0.62</v>
      </c>
      <c r="K158" s="520"/>
      <c r="L158" s="442"/>
      <c r="M158" s="443"/>
      <c r="N158" s="812">
        <f t="shared" si="225"/>
        <v>0.62</v>
      </c>
      <c r="O158" s="812">
        <f t="shared" si="237"/>
        <v>0.62</v>
      </c>
      <c r="P158" s="812">
        <f t="shared" si="237"/>
        <v>0.62</v>
      </c>
      <c r="Q158" s="812">
        <f t="shared" si="237"/>
        <v>0.62</v>
      </c>
      <c r="R158" s="543"/>
      <c r="S158" s="443"/>
      <c r="T158" s="812">
        <f t="shared" si="227"/>
        <v>0.62</v>
      </c>
      <c r="U158" s="812">
        <f t="shared" si="238"/>
        <v>0.62</v>
      </c>
      <c r="V158" s="812">
        <f t="shared" si="238"/>
        <v>0.62</v>
      </c>
      <c r="W158" s="812">
        <f t="shared" si="238"/>
        <v>0.62</v>
      </c>
      <c r="X158" s="520"/>
      <c r="Y158" s="442"/>
      <c r="Z158" s="442"/>
      <c r="AA158" s="442"/>
      <c r="AB158" s="442"/>
      <c r="AC158" s="812">
        <f t="shared" si="223"/>
        <v>0.62</v>
      </c>
      <c r="AD158" s="812">
        <f t="shared" si="239"/>
        <v>0.62</v>
      </c>
      <c r="AE158" s="812">
        <f t="shared" si="239"/>
        <v>0.62</v>
      </c>
      <c r="AF158" s="812">
        <f t="shared" si="239"/>
        <v>0.62</v>
      </c>
      <c r="AG158" s="442"/>
      <c r="AH158" s="843"/>
      <c r="AI158" s="811">
        <f>AC158</f>
        <v>0.62</v>
      </c>
      <c r="AJ158" s="811">
        <f t="shared" si="240"/>
        <v>0.62</v>
      </c>
      <c r="AK158" s="811">
        <f t="shared" si="240"/>
        <v>0.62</v>
      </c>
      <c r="AL158" s="811">
        <f t="shared" si="240"/>
        <v>0.62</v>
      </c>
      <c r="AM158" s="844"/>
      <c r="AN158" s="520"/>
      <c r="AO158" s="439"/>
      <c r="AP158" s="439"/>
      <c r="AQ158" s="439"/>
      <c r="AR158" s="439"/>
      <c r="AS158" s="439"/>
      <c r="AT158" s="439"/>
      <c r="AU158" s="443"/>
      <c r="AV158" s="443"/>
      <c r="AW158" s="443"/>
      <c r="AX158" s="443"/>
      <c r="AY158" s="443"/>
      <c r="AZ158" s="443"/>
      <c r="BG158" s="443"/>
      <c r="BH158" s="443"/>
      <c r="BI158" s="443"/>
      <c r="BJ158" s="443"/>
      <c r="BK158" s="443"/>
      <c r="BL158" s="443"/>
      <c r="BM158" s="443"/>
      <c r="BN158" s="443"/>
      <c r="BO158" s="443"/>
      <c r="BP158" s="443"/>
      <c r="BQ158" s="443"/>
      <c r="BR158" s="443"/>
    </row>
    <row r="159" spans="1:70" s="440" customFormat="1" hidden="1" outlineLevel="1">
      <c r="A159" s="13"/>
      <c r="B159" s="13"/>
      <c r="C159" s="13"/>
      <c r="D159" s="1066"/>
      <c r="E159" s="13"/>
      <c r="G159" s="812"/>
      <c r="H159" s="812"/>
      <c r="I159" s="812"/>
      <c r="J159" s="812"/>
      <c r="K159" s="520"/>
      <c r="L159" s="442"/>
      <c r="M159" s="443"/>
      <c r="N159" s="812"/>
      <c r="O159" s="812"/>
      <c r="P159" s="812"/>
      <c r="Q159" s="812"/>
      <c r="R159" s="543"/>
      <c r="S159" s="443"/>
      <c r="T159" s="812"/>
      <c r="U159" s="812"/>
      <c r="V159" s="812"/>
      <c r="W159" s="812"/>
      <c r="X159" s="520"/>
      <c r="Y159" s="442"/>
      <c r="Z159" s="442"/>
      <c r="AA159" s="442"/>
      <c r="AB159" s="442"/>
      <c r="AC159" s="812"/>
      <c r="AD159" s="812"/>
      <c r="AE159" s="812"/>
      <c r="AF159" s="812"/>
      <c r="AG159" s="442"/>
      <c r="AH159" s="843"/>
      <c r="AI159" s="811"/>
      <c r="AJ159" s="811"/>
      <c r="AK159" s="811"/>
      <c r="AL159" s="811"/>
      <c r="AM159" s="844"/>
      <c r="AN159" s="520"/>
      <c r="AO159" s="439"/>
      <c r="AP159" s="439"/>
      <c r="AQ159" s="439"/>
      <c r="AR159" s="439"/>
      <c r="AS159" s="439"/>
      <c r="AT159" s="439"/>
      <c r="AU159" s="443"/>
      <c r="AV159" s="443"/>
      <c r="AW159" s="443"/>
      <c r="AX159" s="443"/>
      <c r="AY159" s="443"/>
      <c r="AZ159" s="443"/>
      <c r="BG159" s="443"/>
      <c r="BH159" s="443"/>
      <c r="BI159" s="443"/>
      <c r="BJ159" s="443"/>
      <c r="BK159" s="443"/>
      <c r="BL159" s="443"/>
      <c r="BM159" s="443"/>
      <c r="BN159" s="443"/>
      <c r="BO159" s="443"/>
      <c r="BP159" s="443"/>
      <c r="BQ159" s="443"/>
      <c r="BR159" s="443"/>
    </row>
    <row r="160" spans="1:70" s="440" customFormat="1" ht="20" hidden="1" outlineLevel="1">
      <c r="A160" s="1" t="s">
        <v>584</v>
      </c>
      <c r="B160" s="13"/>
      <c r="C160" s="13"/>
      <c r="D160" s="1066"/>
      <c r="E160" s="13"/>
      <c r="G160" s="812"/>
      <c r="H160" s="812"/>
      <c r="I160" s="812"/>
      <c r="J160" s="812"/>
      <c r="K160" s="520"/>
      <c r="L160" s="442"/>
      <c r="M160" s="443"/>
      <c r="N160" s="812"/>
      <c r="O160" s="812"/>
      <c r="P160" s="812"/>
      <c r="Q160" s="812"/>
      <c r="R160" s="543"/>
      <c r="S160" s="443"/>
      <c r="T160" s="812"/>
      <c r="U160" s="812"/>
      <c r="V160" s="812"/>
      <c r="W160" s="812"/>
      <c r="X160" s="520"/>
      <c r="Y160" s="442"/>
      <c r="Z160" s="442"/>
      <c r="AA160" s="442"/>
      <c r="AB160" s="442"/>
      <c r="AC160" s="812"/>
      <c r="AD160" s="812"/>
      <c r="AE160" s="812"/>
      <c r="AF160" s="812"/>
      <c r="AG160" s="442"/>
      <c r="AH160" s="843"/>
      <c r="AI160" s="811"/>
      <c r="AJ160" s="811"/>
      <c r="AK160" s="811"/>
      <c r="AL160" s="811"/>
      <c r="AM160" s="844"/>
      <c r="AN160" s="520"/>
      <c r="AO160" s="439"/>
      <c r="AP160" s="439"/>
      <c r="AQ160" s="439"/>
      <c r="AR160" s="439"/>
      <c r="AS160" s="439"/>
      <c r="AT160" s="439"/>
      <c r="AU160" s="443"/>
      <c r="AV160" s="443"/>
      <c r="AW160" s="443"/>
      <c r="AX160" s="443"/>
      <c r="AY160" s="443"/>
      <c r="AZ160" s="443"/>
      <c r="BG160" s="443"/>
      <c r="BH160" s="443"/>
      <c r="BI160" s="443"/>
      <c r="BJ160" s="443"/>
      <c r="BK160" s="443"/>
      <c r="BL160" s="443"/>
      <c r="BM160" s="443"/>
      <c r="BN160" s="443"/>
      <c r="BO160" s="443"/>
      <c r="BP160" s="443"/>
      <c r="BQ160" s="443"/>
      <c r="BR160" s="443"/>
    </row>
    <row r="161" spans="1:70" s="440" customFormat="1" hidden="1" outlineLevel="1">
      <c r="A161" s="2" t="s">
        <v>577</v>
      </c>
      <c r="B161" s="13"/>
      <c r="C161" s="13"/>
      <c r="D161" s="1066"/>
      <c r="E161" s="13"/>
      <c r="G161" s="939">
        <f>G194+(G194/100*20)</f>
        <v>1.8</v>
      </c>
      <c r="H161" s="1143">
        <f>G161</f>
        <v>1.8</v>
      </c>
      <c r="I161" s="1143">
        <f t="shared" ref="I161:J161" si="242">H161</f>
        <v>1.8</v>
      </c>
      <c r="J161" s="1143">
        <f t="shared" si="242"/>
        <v>1.8</v>
      </c>
      <c r="K161" s="520"/>
      <c r="L161" s="442"/>
      <c r="M161" s="443"/>
      <c r="N161" s="1143">
        <f>G161</f>
        <v>1.8</v>
      </c>
      <c r="O161" s="1143">
        <f>N161</f>
        <v>1.8</v>
      </c>
      <c r="P161" s="1143">
        <f t="shared" ref="P161:Q161" si="243">O161</f>
        <v>1.8</v>
      </c>
      <c r="Q161" s="1143">
        <f t="shared" si="243"/>
        <v>1.8</v>
      </c>
      <c r="R161" s="543"/>
      <c r="S161" s="443"/>
      <c r="T161" s="1144">
        <f>N161</f>
        <v>1.8</v>
      </c>
      <c r="U161" s="1144">
        <f>O161</f>
        <v>1.8</v>
      </c>
      <c r="V161" s="1144">
        <f t="shared" ref="V161:W164" si="244">P161</f>
        <v>1.8</v>
      </c>
      <c r="W161" s="1144">
        <f t="shared" si="244"/>
        <v>1.8</v>
      </c>
      <c r="X161" s="520"/>
      <c r="Y161" s="442"/>
      <c r="Z161" s="442"/>
      <c r="AA161" s="442"/>
      <c r="AB161" s="442"/>
      <c r="AC161" s="1143">
        <f>T161</f>
        <v>1.8</v>
      </c>
      <c r="AD161" s="1143">
        <f t="shared" ref="AD161:AF163" si="245">U161</f>
        <v>1.8</v>
      </c>
      <c r="AE161" s="1143">
        <f t="shared" si="245"/>
        <v>1.8</v>
      </c>
      <c r="AF161" s="1143">
        <f t="shared" si="245"/>
        <v>1.8</v>
      </c>
      <c r="AG161" s="442"/>
      <c r="AH161" s="843"/>
      <c r="AI161" s="1146">
        <f>AC161</f>
        <v>1.8</v>
      </c>
      <c r="AJ161" s="1146">
        <f>AI161</f>
        <v>1.8</v>
      </c>
      <c r="AK161" s="1146">
        <f t="shared" ref="AK161:AL161" si="246">AJ161</f>
        <v>1.8</v>
      </c>
      <c r="AL161" s="1146">
        <f t="shared" si="246"/>
        <v>1.8</v>
      </c>
      <c r="AM161" s="844"/>
      <c r="AN161" s="520"/>
      <c r="AO161" s="439"/>
      <c r="AP161" s="439"/>
      <c r="AQ161" s="439"/>
      <c r="AR161" s="439"/>
      <c r="AS161" s="439"/>
      <c r="AT161" s="439"/>
      <c r="AU161" s="443"/>
      <c r="AV161" s="443"/>
      <c r="AW161" s="443"/>
      <c r="AX161" s="443"/>
      <c r="AY161" s="443"/>
      <c r="AZ161" s="443"/>
      <c r="BG161" s="443"/>
      <c r="BH161" s="443"/>
      <c r="BI161" s="443"/>
      <c r="BJ161" s="443"/>
      <c r="BK161" s="443"/>
      <c r="BL161" s="443"/>
      <c r="BM161" s="443"/>
      <c r="BN161" s="443"/>
      <c r="BO161" s="443"/>
      <c r="BP161" s="443"/>
      <c r="BQ161" s="443"/>
      <c r="BR161" s="443"/>
    </row>
    <row r="162" spans="1:70" s="440" customFormat="1" hidden="1" outlineLevel="1">
      <c r="A162" s="2" t="s">
        <v>578</v>
      </c>
      <c r="B162" s="13"/>
      <c r="C162" s="13"/>
      <c r="D162" s="1066"/>
      <c r="E162" s="13"/>
      <c r="G162" s="939">
        <f>G195+(G195/100*20)</f>
        <v>2.0760000000000001</v>
      </c>
      <c r="H162" s="1143">
        <f t="shared" ref="H162:J164" si="247">G162</f>
        <v>2.0760000000000001</v>
      </c>
      <c r="I162" s="1143">
        <f t="shared" si="247"/>
        <v>2.0760000000000001</v>
      </c>
      <c r="J162" s="1143">
        <f t="shared" si="247"/>
        <v>2.0760000000000001</v>
      </c>
      <c r="K162" s="520"/>
      <c r="L162" s="442"/>
      <c r="M162" s="443"/>
      <c r="N162" s="1143">
        <f t="shared" ref="N162:N164" si="248">G162</f>
        <v>2.0760000000000001</v>
      </c>
      <c r="O162" s="1143">
        <f t="shared" ref="O162:Q164" si="249">N162</f>
        <v>2.0760000000000001</v>
      </c>
      <c r="P162" s="1143">
        <f t="shared" si="249"/>
        <v>2.0760000000000001</v>
      </c>
      <c r="Q162" s="1143">
        <f t="shared" si="249"/>
        <v>2.0760000000000001</v>
      </c>
      <c r="R162" s="543"/>
      <c r="S162" s="443"/>
      <c r="T162" s="1144">
        <f t="shared" ref="T162:U164" si="250">N162</f>
        <v>2.0760000000000001</v>
      </c>
      <c r="U162" s="1144">
        <f t="shared" si="250"/>
        <v>2.0760000000000001</v>
      </c>
      <c r="V162" s="1144">
        <f t="shared" si="244"/>
        <v>2.0760000000000001</v>
      </c>
      <c r="W162" s="1144">
        <f t="shared" si="244"/>
        <v>2.0760000000000001</v>
      </c>
      <c r="X162" s="520"/>
      <c r="Y162" s="442"/>
      <c r="Z162" s="442"/>
      <c r="AA162" s="442"/>
      <c r="AB162" s="442"/>
      <c r="AC162" s="1143">
        <f t="shared" ref="AC162:AC163" si="251">T162</f>
        <v>2.0760000000000001</v>
      </c>
      <c r="AD162" s="1143">
        <f t="shared" si="245"/>
        <v>2.0760000000000001</v>
      </c>
      <c r="AE162" s="1143">
        <f t="shared" si="245"/>
        <v>2.0760000000000001</v>
      </c>
      <c r="AF162" s="1143">
        <f t="shared" si="245"/>
        <v>2.0760000000000001</v>
      </c>
      <c r="AG162" s="442"/>
      <c r="AH162" s="843"/>
      <c r="AI162" s="1146">
        <f t="shared" ref="AI162:AI163" si="252">AC162</f>
        <v>2.0760000000000001</v>
      </c>
      <c r="AJ162" s="1146">
        <f t="shared" ref="AJ162:AL164" si="253">AI162</f>
        <v>2.0760000000000001</v>
      </c>
      <c r="AK162" s="1146">
        <f t="shared" si="253"/>
        <v>2.0760000000000001</v>
      </c>
      <c r="AL162" s="1146">
        <f t="shared" si="253"/>
        <v>2.0760000000000001</v>
      </c>
      <c r="AM162" s="844"/>
      <c r="AN162" s="520"/>
      <c r="AO162" s="439"/>
      <c r="AP162" s="439"/>
      <c r="AQ162" s="439"/>
      <c r="AR162" s="439"/>
      <c r="AS162" s="439"/>
      <c r="AT162" s="439"/>
      <c r="AU162" s="443"/>
      <c r="AV162" s="443"/>
      <c r="AW162" s="443"/>
      <c r="AX162" s="443"/>
      <c r="AY162" s="443"/>
      <c r="AZ162" s="443"/>
      <c r="BG162" s="443"/>
      <c r="BH162" s="443"/>
      <c r="BI162" s="443"/>
      <c r="BJ162" s="443"/>
      <c r="BK162" s="443"/>
      <c r="BL162" s="443"/>
      <c r="BM162" s="443"/>
      <c r="BN162" s="443"/>
      <c r="BO162" s="443"/>
      <c r="BP162" s="443"/>
      <c r="BQ162" s="443"/>
      <c r="BR162" s="443"/>
    </row>
    <row r="163" spans="1:70" s="440" customFormat="1" hidden="1" outlineLevel="1">
      <c r="A163" s="2" t="s">
        <v>579</v>
      </c>
      <c r="B163" s="13"/>
      <c r="C163" s="13"/>
      <c r="D163" s="1066"/>
      <c r="E163" s="13"/>
      <c r="G163" s="939">
        <f>G196+(G196/100*20)</f>
        <v>9.2280000000000015</v>
      </c>
      <c r="H163" s="1143">
        <f t="shared" si="247"/>
        <v>9.2280000000000015</v>
      </c>
      <c r="I163" s="1143">
        <f t="shared" si="247"/>
        <v>9.2280000000000015</v>
      </c>
      <c r="J163" s="1143">
        <f t="shared" si="247"/>
        <v>9.2280000000000015</v>
      </c>
      <c r="K163" s="520"/>
      <c r="L163" s="442"/>
      <c r="M163" s="443"/>
      <c r="N163" s="1143">
        <f t="shared" si="248"/>
        <v>9.2280000000000015</v>
      </c>
      <c r="O163" s="1143">
        <f t="shared" si="249"/>
        <v>9.2280000000000015</v>
      </c>
      <c r="P163" s="1143">
        <f t="shared" si="249"/>
        <v>9.2280000000000015</v>
      </c>
      <c r="Q163" s="1143">
        <f t="shared" si="249"/>
        <v>9.2280000000000015</v>
      </c>
      <c r="R163" s="543"/>
      <c r="S163" s="443"/>
      <c r="T163" s="1144">
        <f t="shared" si="250"/>
        <v>9.2280000000000015</v>
      </c>
      <c r="U163" s="1144">
        <f t="shared" si="250"/>
        <v>9.2280000000000015</v>
      </c>
      <c r="V163" s="1144">
        <f t="shared" si="244"/>
        <v>9.2280000000000015</v>
      </c>
      <c r="W163" s="1144">
        <f t="shared" si="244"/>
        <v>9.2280000000000015</v>
      </c>
      <c r="X163" s="520"/>
      <c r="Y163" s="442"/>
      <c r="Z163" s="442"/>
      <c r="AA163" s="442"/>
      <c r="AB163" s="442"/>
      <c r="AC163" s="1143">
        <f t="shared" si="251"/>
        <v>9.2280000000000015</v>
      </c>
      <c r="AD163" s="1143">
        <f t="shared" si="245"/>
        <v>9.2280000000000015</v>
      </c>
      <c r="AE163" s="1143">
        <f t="shared" si="245"/>
        <v>9.2280000000000015</v>
      </c>
      <c r="AF163" s="1143">
        <f t="shared" si="245"/>
        <v>9.2280000000000015</v>
      </c>
      <c r="AG163" s="442"/>
      <c r="AH163" s="843"/>
      <c r="AI163" s="1146">
        <f t="shared" si="252"/>
        <v>9.2280000000000015</v>
      </c>
      <c r="AJ163" s="1146">
        <f t="shared" si="253"/>
        <v>9.2280000000000015</v>
      </c>
      <c r="AK163" s="1146">
        <f t="shared" si="253"/>
        <v>9.2280000000000015</v>
      </c>
      <c r="AL163" s="1146">
        <f t="shared" si="253"/>
        <v>9.2280000000000015</v>
      </c>
      <c r="AM163" s="844"/>
      <c r="AN163" s="520"/>
      <c r="AO163" s="439"/>
      <c r="AP163" s="439"/>
      <c r="AQ163" s="439"/>
      <c r="AR163" s="439"/>
      <c r="AS163" s="439"/>
      <c r="AT163" s="439"/>
      <c r="AU163" s="443"/>
      <c r="AV163" s="443"/>
      <c r="AW163" s="443"/>
      <c r="AX163" s="443"/>
      <c r="AY163" s="443"/>
      <c r="AZ163" s="443"/>
      <c r="BG163" s="443"/>
      <c r="BH163" s="443"/>
      <c r="BI163" s="443"/>
      <c r="BJ163" s="443"/>
      <c r="BK163" s="443"/>
      <c r="BL163" s="443"/>
      <c r="BM163" s="443"/>
      <c r="BN163" s="443"/>
      <c r="BO163" s="443"/>
      <c r="BP163" s="443"/>
      <c r="BQ163" s="443"/>
      <c r="BR163" s="443"/>
    </row>
    <row r="164" spans="1:70" s="440" customFormat="1" ht="40" hidden="1" outlineLevel="1">
      <c r="A164" s="87" t="s">
        <v>605</v>
      </c>
      <c r="B164" s="423"/>
      <c r="C164" s="1"/>
      <c r="D164" s="1057"/>
      <c r="E164" s="1"/>
      <c r="F164" s="2"/>
      <c r="G164" s="154">
        <v>15542.8125</v>
      </c>
      <c r="H164" s="1145">
        <f t="shared" si="247"/>
        <v>15542.8125</v>
      </c>
      <c r="I164" s="1145">
        <f t="shared" si="247"/>
        <v>15542.8125</v>
      </c>
      <c r="J164" s="1145">
        <f t="shared" si="247"/>
        <v>15542.8125</v>
      </c>
      <c r="K164" s="520"/>
      <c r="L164" s="442"/>
      <c r="M164" s="443"/>
      <c r="N164" s="1145">
        <f t="shared" si="248"/>
        <v>15542.8125</v>
      </c>
      <c r="O164" s="1145">
        <f t="shared" si="249"/>
        <v>15542.8125</v>
      </c>
      <c r="P164" s="1145">
        <f t="shared" si="249"/>
        <v>15542.8125</v>
      </c>
      <c r="Q164" s="1145">
        <f t="shared" si="249"/>
        <v>15542.8125</v>
      </c>
      <c r="R164" s="543"/>
      <c r="S164" s="443"/>
      <c r="T164" s="1144">
        <f t="shared" si="250"/>
        <v>15542.8125</v>
      </c>
      <c r="U164" s="1144">
        <f t="shared" si="250"/>
        <v>15542.8125</v>
      </c>
      <c r="V164" s="1144">
        <f t="shared" si="244"/>
        <v>15542.8125</v>
      </c>
      <c r="W164" s="1144">
        <f t="shared" si="244"/>
        <v>15542.8125</v>
      </c>
      <c r="X164" s="520"/>
      <c r="Y164" s="442"/>
      <c r="Z164" s="442"/>
      <c r="AA164" s="442"/>
      <c r="AB164" s="442"/>
      <c r="AC164" s="1145">
        <f>AG164*T164</f>
        <v>13500.104001168473</v>
      </c>
      <c r="AD164" s="1145">
        <f>AC164</f>
        <v>13500.104001168473</v>
      </c>
      <c r="AE164" s="1145">
        <f t="shared" ref="AE164:AF164" si="254">AD164</f>
        <v>13500.104001168473</v>
      </c>
      <c r="AF164" s="1145">
        <f t="shared" si="254"/>
        <v>13500.104001168473</v>
      </c>
      <c r="AG164" s="812">
        <f>AG7/AN7</f>
        <v>0.86857536248143463</v>
      </c>
      <c r="AH164" s="843"/>
      <c r="AI164" s="1148">
        <f>AM164*T164</f>
        <v>2042.7084988315269</v>
      </c>
      <c r="AJ164" s="1148">
        <f>AI164</f>
        <v>2042.7084988315269</v>
      </c>
      <c r="AK164" s="1148">
        <f t="shared" si="253"/>
        <v>2042.7084988315269</v>
      </c>
      <c r="AL164" s="1148">
        <f t="shared" si="253"/>
        <v>2042.7084988315269</v>
      </c>
      <c r="AM164" s="1147">
        <f>100%-AG164</f>
        <v>0.13142463751856537</v>
      </c>
      <c r="AN164" s="520"/>
      <c r="AO164" s="439"/>
      <c r="AP164" s="439"/>
      <c r="AQ164" s="439"/>
      <c r="AR164" s="439"/>
      <c r="AS164" s="439"/>
      <c r="AT164" s="439"/>
      <c r="AU164" s="443"/>
      <c r="AV164" s="443"/>
      <c r="AW164" s="443"/>
      <c r="AX164" s="443"/>
      <c r="AY164" s="443"/>
      <c r="AZ164" s="443"/>
      <c r="BG164" s="443"/>
      <c r="BH164" s="443"/>
      <c r="BI164" s="443"/>
      <c r="BJ164" s="443"/>
      <c r="BK164" s="443"/>
      <c r="BL164" s="443"/>
      <c r="BM164" s="443"/>
      <c r="BN164" s="443"/>
      <c r="BO164" s="443"/>
      <c r="BP164" s="443"/>
      <c r="BQ164" s="443"/>
      <c r="BR164" s="443"/>
    </row>
    <row r="165" spans="1:70" s="440" customFormat="1" hidden="1" outlineLevel="1">
      <c r="A165" s="161"/>
      <c r="B165" s="13"/>
      <c r="C165" s="13"/>
      <c r="D165" s="1066"/>
      <c r="E165" s="13"/>
      <c r="G165" s="812"/>
      <c r="H165" s="812"/>
      <c r="I165" s="812"/>
      <c r="J165" s="812"/>
      <c r="K165" s="520"/>
      <c r="L165" s="442"/>
      <c r="M165" s="443"/>
      <c r="N165" s="1143"/>
      <c r="O165" s="1143"/>
      <c r="P165" s="1143"/>
      <c r="Q165" s="1143"/>
      <c r="R165" s="543"/>
      <c r="S165" s="443"/>
      <c r="T165" s="812"/>
      <c r="U165" s="812"/>
      <c r="V165" s="812"/>
      <c r="W165" s="812"/>
      <c r="X165" s="520"/>
      <c r="Y165" s="442"/>
      <c r="Z165" s="442"/>
      <c r="AA165" s="442"/>
      <c r="AB165" s="442"/>
      <c r="AC165" s="812"/>
      <c r="AD165" s="812"/>
      <c r="AE165" s="812"/>
      <c r="AF165" s="812"/>
      <c r="AG165" s="442"/>
      <c r="AH165" s="843"/>
      <c r="AI165" s="811"/>
      <c r="AJ165" s="811"/>
      <c r="AK165" s="811"/>
      <c r="AL165" s="811"/>
      <c r="AM165" s="844"/>
      <c r="AN165" s="520"/>
      <c r="AO165" s="439"/>
      <c r="AP165" s="439"/>
      <c r="AQ165" s="439"/>
      <c r="AR165" s="439"/>
      <c r="AS165" s="439"/>
      <c r="AT165" s="439"/>
      <c r="AU165" s="443"/>
      <c r="AV165" s="443"/>
      <c r="AW165" s="443"/>
      <c r="AX165" s="443"/>
      <c r="AY165" s="443"/>
      <c r="AZ165" s="443"/>
      <c r="BG165" s="443"/>
      <c r="BH165" s="443"/>
      <c r="BI165" s="443"/>
      <c r="BJ165" s="443"/>
      <c r="BK165" s="443"/>
      <c r="BL165" s="443"/>
      <c r="BM165" s="443"/>
      <c r="BN165" s="443"/>
      <c r="BO165" s="443"/>
      <c r="BP165" s="443"/>
      <c r="BQ165" s="443"/>
      <c r="BR165" s="443"/>
    </row>
    <row r="166" spans="1:70" s="440" customFormat="1" hidden="1" outlineLevel="1">
      <c r="A166" s="161"/>
      <c r="B166" s="13"/>
      <c r="C166" s="13"/>
      <c r="D166" s="1066"/>
      <c r="E166" s="13"/>
      <c r="G166" s="812"/>
      <c r="H166" s="812"/>
      <c r="I166" s="812"/>
      <c r="J166" s="812"/>
      <c r="K166" s="520"/>
      <c r="L166" s="442"/>
      <c r="M166" s="443"/>
      <c r="N166" s="443"/>
      <c r="O166" s="443"/>
      <c r="P166" s="443"/>
      <c r="Q166" s="443"/>
      <c r="R166" s="543"/>
      <c r="S166" s="443"/>
      <c r="T166" s="442"/>
      <c r="U166" s="442"/>
      <c r="V166" s="442"/>
      <c r="W166" s="442"/>
      <c r="X166" s="520"/>
      <c r="Y166" s="442"/>
      <c r="Z166" s="442"/>
      <c r="AA166" s="442"/>
      <c r="AB166" s="442"/>
      <c r="AC166" s="442"/>
      <c r="AD166" s="442"/>
      <c r="AE166" s="442"/>
      <c r="AF166" s="442"/>
      <c r="AG166" s="442"/>
      <c r="AH166" s="843"/>
      <c r="AI166" s="442"/>
      <c r="AJ166" s="442"/>
      <c r="AK166" s="442"/>
      <c r="AL166" s="442"/>
      <c r="AM166" s="844"/>
      <c r="AN166" s="520"/>
      <c r="AO166" s="439"/>
      <c r="AP166" s="439"/>
      <c r="AQ166" s="439"/>
      <c r="AR166" s="439"/>
      <c r="AS166" s="439"/>
      <c r="AT166" s="439"/>
      <c r="AU166" s="443"/>
      <c r="AV166" s="443"/>
      <c r="AW166" s="443"/>
      <c r="AX166" s="443"/>
      <c r="AY166" s="443"/>
      <c r="AZ166" s="443"/>
      <c r="BG166" s="443"/>
      <c r="BH166" s="443"/>
      <c r="BI166" s="443"/>
      <c r="BJ166" s="443"/>
      <c r="BK166" s="443"/>
      <c r="BL166" s="443"/>
      <c r="BM166" s="443"/>
      <c r="BN166" s="443"/>
      <c r="BO166" s="443"/>
      <c r="BP166" s="443"/>
      <c r="BQ166" s="443"/>
      <c r="BR166" s="443"/>
    </row>
    <row r="167" spans="1:70" s="425" customFormat="1" ht="40" hidden="1" outlineLevel="1">
      <c r="A167" s="558" t="s">
        <v>356</v>
      </c>
      <c r="B167" s="355"/>
      <c r="C167" s="355"/>
      <c r="D167" s="1068"/>
      <c r="E167" s="355"/>
      <c r="F167" s="452"/>
      <c r="G167" s="438">
        <f>G178</f>
        <v>1600</v>
      </c>
      <c r="H167" s="354">
        <f>G167</f>
        <v>1600</v>
      </c>
      <c r="I167" s="354">
        <f t="shared" ref="I167:J167" si="255">H167</f>
        <v>1600</v>
      </c>
      <c r="J167" s="354">
        <f t="shared" si="255"/>
        <v>1600</v>
      </c>
      <c r="K167" s="498"/>
      <c r="L167" s="355"/>
      <c r="M167" s="463"/>
      <c r="N167" s="361">
        <v>0</v>
      </c>
      <c r="O167" s="361">
        <f>N167</f>
        <v>0</v>
      </c>
      <c r="P167" s="361">
        <f t="shared" ref="P167:Q167" si="256">O167</f>
        <v>0</v>
      </c>
      <c r="Q167" s="361">
        <f t="shared" si="256"/>
        <v>0</v>
      </c>
      <c r="R167" s="503"/>
      <c r="S167" s="43"/>
      <c r="T167" s="361">
        <v>0</v>
      </c>
      <c r="U167" s="361">
        <f>T167</f>
        <v>0</v>
      </c>
      <c r="V167" s="361">
        <f t="shared" ref="V167:W167" si="257">U167</f>
        <v>0</v>
      </c>
      <c r="W167" s="361">
        <f t="shared" si="257"/>
        <v>0</v>
      </c>
      <c r="X167" s="1316"/>
      <c r="Y167" s="361"/>
      <c r="Z167" s="361"/>
      <c r="AA167" s="361"/>
      <c r="AB167" s="355"/>
      <c r="AC167" s="361">
        <v>0</v>
      </c>
      <c r="AD167" s="361">
        <f>AC167</f>
        <v>0</v>
      </c>
      <c r="AE167" s="361">
        <f t="shared" ref="AE167:AG167" si="258">AD167</f>
        <v>0</v>
      </c>
      <c r="AF167" s="361">
        <f t="shared" si="258"/>
        <v>0</v>
      </c>
      <c r="AG167" s="361">
        <f t="shared" si="258"/>
        <v>0</v>
      </c>
      <c r="AH167" s="820"/>
      <c r="AI167" s="361">
        <f>N167</f>
        <v>0</v>
      </c>
      <c r="AJ167" s="361">
        <f>O167</f>
        <v>0</v>
      </c>
      <c r="AK167" s="361">
        <f>P167</f>
        <v>0</v>
      </c>
      <c r="AL167" s="361">
        <f>Q167</f>
        <v>0</v>
      </c>
      <c r="AM167" s="821"/>
      <c r="AN167" s="498"/>
      <c r="AO167" s="355"/>
      <c r="AP167" s="355"/>
      <c r="AQ167" s="355"/>
      <c r="AR167" s="355"/>
      <c r="AS167" s="355"/>
      <c r="AT167" s="355"/>
      <c r="AU167" s="43"/>
      <c r="AV167" s="43"/>
      <c r="AW167" s="43"/>
      <c r="AX167" s="43"/>
      <c r="AY167" s="43"/>
      <c r="AZ167" s="43"/>
      <c r="BG167" s="463" t="s">
        <v>141</v>
      </c>
      <c r="BH167" s="43"/>
      <c r="BI167" s="43"/>
      <c r="BJ167" s="43"/>
      <c r="BK167" s="43"/>
      <c r="BL167" s="43"/>
      <c r="BM167" s="43" t="s">
        <v>33</v>
      </c>
      <c r="BN167" s="43"/>
      <c r="BO167" s="43"/>
      <c r="BP167" s="43"/>
      <c r="BQ167" s="43"/>
      <c r="BR167" s="43"/>
    </row>
    <row r="168" spans="1:70" s="440" customFormat="1" hidden="1" outlineLevel="1">
      <c r="A168" s="161"/>
      <c r="B168" s="13"/>
      <c r="C168" s="13"/>
      <c r="D168" s="1066"/>
      <c r="E168" s="13"/>
      <c r="G168" s="812"/>
      <c r="H168" s="442"/>
      <c r="I168" s="442"/>
      <c r="J168" s="442"/>
      <c r="K168" s="520"/>
      <c r="L168" s="442"/>
      <c r="M168" s="443"/>
      <c r="N168" s="443"/>
      <c r="O168" s="443"/>
      <c r="P168" s="443"/>
      <c r="Q168" s="443"/>
      <c r="R168" s="543"/>
      <c r="S168" s="443"/>
      <c r="T168" s="442"/>
      <c r="U168" s="442"/>
      <c r="V168" s="442"/>
      <c r="W168" s="442"/>
      <c r="X168" s="520"/>
      <c r="Y168" s="442"/>
      <c r="Z168" s="442"/>
      <c r="AA168" s="442"/>
      <c r="AB168" s="442"/>
      <c r="AC168" s="442"/>
      <c r="AD168" s="442"/>
      <c r="AE168" s="442"/>
      <c r="AF168" s="442"/>
      <c r="AG168" s="442"/>
      <c r="AH168" s="843"/>
      <c r="AI168" s="442"/>
      <c r="AJ168" s="442"/>
      <c r="AK168" s="442"/>
      <c r="AL168" s="442"/>
      <c r="AM168" s="844"/>
      <c r="AN168" s="520"/>
      <c r="AO168" s="439"/>
      <c r="AP168" s="439"/>
      <c r="AQ168" s="439"/>
      <c r="AR168" s="439"/>
      <c r="AS168" s="439"/>
      <c r="AT168" s="439"/>
      <c r="AU168" s="443"/>
      <c r="AV168" s="443"/>
      <c r="AW168" s="443"/>
      <c r="AX168" s="443"/>
      <c r="AY168" s="443"/>
      <c r="AZ168" s="443"/>
      <c r="BG168" s="443"/>
      <c r="BH168" s="443"/>
      <c r="BI168" s="443"/>
      <c r="BJ168" s="443"/>
      <c r="BK168" s="443"/>
      <c r="BL168" s="443"/>
      <c r="BM168" s="443"/>
      <c r="BN168" s="443"/>
      <c r="BO168" s="443"/>
      <c r="BP168" s="443"/>
      <c r="BQ168" s="443"/>
      <c r="BR168" s="443"/>
    </row>
    <row r="169" spans="1:70" s="440" customFormat="1" hidden="1" outlineLevel="1">
      <c r="A169" s="161"/>
      <c r="B169" s="13"/>
      <c r="C169" s="13"/>
      <c r="D169" s="1066"/>
      <c r="E169" s="13"/>
      <c r="G169" s="812"/>
      <c r="H169" s="442"/>
      <c r="I169" s="442"/>
      <c r="J169" s="442"/>
      <c r="K169" s="520"/>
      <c r="L169" s="442"/>
      <c r="M169" s="443"/>
      <c r="N169" s="443"/>
      <c r="O169" s="443"/>
      <c r="P169" s="443"/>
      <c r="Q169" s="443"/>
      <c r="R169" s="543"/>
      <c r="S169" s="443"/>
      <c r="T169" s="442"/>
      <c r="U169" s="442"/>
      <c r="V169" s="442"/>
      <c r="W169" s="442"/>
      <c r="X169" s="520"/>
      <c r="Y169" s="442"/>
      <c r="Z169" s="442"/>
      <c r="AA169" s="442"/>
      <c r="AB169" s="442"/>
      <c r="AC169" s="442"/>
      <c r="AD169" s="442"/>
      <c r="AE169" s="442"/>
      <c r="AF169" s="442"/>
      <c r="AG169" s="442"/>
      <c r="AH169" s="843"/>
      <c r="AI169" s="442"/>
      <c r="AJ169" s="442"/>
      <c r="AK169" s="442"/>
      <c r="AL169" s="442"/>
      <c r="AM169" s="844"/>
      <c r="AN169" s="520"/>
      <c r="AO169" s="439"/>
      <c r="AP169" s="439"/>
      <c r="AQ169" s="439"/>
      <c r="AR169" s="439"/>
      <c r="AS169" s="439"/>
      <c r="AT169" s="439"/>
      <c r="AU169" s="443"/>
      <c r="AV169" s="443"/>
      <c r="AW169" s="443"/>
      <c r="AX169" s="443"/>
      <c r="AY169" s="443"/>
      <c r="AZ169" s="443"/>
      <c r="BG169" s="443"/>
      <c r="BH169" s="443"/>
      <c r="BI169" s="443"/>
      <c r="BJ169" s="443"/>
      <c r="BK169" s="443"/>
      <c r="BL169" s="443"/>
      <c r="BM169" s="443"/>
      <c r="BN169" s="443"/>
      <c r="BO169" s="443"/>
      <c r="BP169" s="443"/>
      <c r="BQ169" s="443"/>
      <c r="BR169" s="443"/>
    </row>
    <row r="170" spans="1:70" s="446" customFormat="1" ht="20" hidden="1" outlineLevel="1">
      <c r="A170" s="565" t="s">
        <v>362</v>
      </c>
      <c r="B170" s="383"/>
      <c r="C170" s="383"/>
      <c r="D170" s="1075"/>
      <c r="E170" s="383"/>
      <c r="F170" s="731"/>
      <c r="G170" s="384"/>
      <c r="H170" s="383"/>
      <c r="I170" s="383"/>
      <c r="J170" s="383"/>
      <c r="K170" s="523"/>
      <c r="L170" s="383"/>
      <c r="M170" s="445"/>
      <c r="N170" s="385"/>
      <c r="O170" s="385"/>
      <c r="P170" s="385"/>
      <c r="Q170" s="385"/>
      <c r="R170" s="547"/>
      <c r="S170" s="385"/>
      <c r="T170" s="385"/>
      <c r="U170" s="385"/>
      <c r="V170" s="385"/>
      <c r="W170" s="385"/>
      <c r="X170" s="547"/>
      <c r="Y170" s="385"/>
      <c r="Z170" s="385"/>
      <c r="AA170" s="385"/>
      <c r="AB170" s="383"/>
      <c r="AC170" s="383"/>
      <c r="AD170" s="383"/>
      <c r="AE170" s="383"/>
      <c r="AF170" s="383"/>
      <c r="AG170" s="383"/>
      <c r="AH170" s="839"/>
      <c r="AI170" s="383"/>
      <c r="AJ170" s="383"/>
      <c r="AK170" s="383"/>
      <c r="AL170" s="383"/>
      <c r="AM170" s="840"/>
      <c r="AN170" s="523"/>
      <c r="AO170" s="383"/>
      <c r="AP170" s="383"/>
      <c r="AQ170" s="383"/>
      <c r="AR170" s="383"/>
      <c r="AS170" s="383"/>
      <c r="AT170" s="383"/>
      <c r="AU170" s="385"/>
      <c r="AV170" s="385"/>
      <c r="AW170" s="385"/>
      <c r="AX170" s="385"/>
      <c r="AY170" s="385"/>
      <c r="AZ170" s="385"/>
      <c r="BG170" s="445" t="s">
        <v>141</v>
      </c>
      <c r="BH170" s="385"/>
      <c r="BI170" s="385"/>
      <c r="BJ170" s="385"/>
      <c r="BK170" s="385"/>
      <c r="BL170" s="385"/>
      <c r="BM170" s="385" t="s">
        <v>33</v>
      </c>
      <c r="BN170" s="385"/>
      <c r="BO170" s="385"/>
      <c r="BP170" s="385"/>
      <c r="BQ170" s="385"/>
      <c r="BR170" s="385"/>
    </row>
    <row r="171" spans="1:70" s="489" customFormat="1" ht="20" hidden="1" outlineLevel="1">
      <c r="A171" s="1049" t="s">
        <v>357</v>
      </c>
      <c r="B171" s="259"/>
      <c r="C171" s="259"/>
      <c r="D171" s="1079"/>
      <c r="E171" s="259"/>
      <c r="F171" s="728"/>
      <c r="G171" s="773">
        <v>37600</v>
      </c>
      <c r="H171" s="773">
        <f>G171</f>
        <v>37600</v>
      </c>
      <c r="I171" s="773">
        <f t="shared" ref="I171:J175" si="259">H171</f>
        <v>37600</v>
      </c>
      <c r="J171" s="773">
        <f t="shared" si="259"/>
        <v>37600</v>
      </c>
      <c r="K171" s="767"/>
      <c r="L171" s="722"/>
      <c r="M171" s="21"/>
      <c r="N171" s="768">
        <f t="shared" ref="N171:Q176" si="260">G171</f>
        <v>37600</v>
      </c>
      <c r="O171" s="768">
        <f t="shared" si="260"/>
        <v>37600</v>
      </c>
      <c r="P171" s="768">
        <f t="shared" si="260"/>
        <v>37600</v>
      </c>
      <c r="Q171" s="768">
        <f t="shared" si="260"/>
        <v>37600</v>
      </c>
      <c r="R171" s="767"/>
      <c r="S171" s="21"/>
      <c r="T171" s="768">
        <f>N171</f>
        <v>37600</v>
      </c>
      <c r="U171" s="722">
        <f>O171</f>
        <v>37600</v>
      </c>
      <c r="V171" s="722">
        <f>P171</f>
        <v>37600</v>
      </c>
      <c r="W171" s="722">
        <f>Q171</f>
        <v>37600</v>
      </c>
      <c r="X171" s="770"/>
      <c r="AH171" s="847"/>
      <c r="AM171" s="848"/>
      <c r="AN171" s="770"/>
      <c r="BH171" s="21"/>
      <c r="BI171" s="21"/>
      <c r="BJ171" s="21"/>
      <c r="BK171" s="21"/>
      <c r="BL171" s="21"/>
      <c r="BM171" s="21" t="s">
        <v>33</v>
      </c>
      <c r="BN171" s="21"/>
      <c r="BO171" s="21"/>
      <c r="BP171" s="21"/>
      <c r="BQ171" s="21"/>
      <c r="BR171" s="21"/>
    </row>
    <row r="172" spans="1:70" s="489" customFormat="1" ht="20" hidden="1" outlineLevel="1">
      <c r="A172" s="1050" t="s">
        <v>323</v>
      </c>
      <c r="B172" s="936"/>
      <c r="C172" s="936"/>
      <c r="D172" s="1080"/>
      <c r="E172" s="936"/>
      <c r="F172" s="728"/>
      <c r="G172" s="774">
        <v>13400</v>
      </c>
      <c r="H172" s="773">
        <f>G172</f>
        <v>13400</v>
      </c>
      <c r="I172" s="773">
        <f t="shared" si="259"/>
        <v>13400</v>
      </c>
      <c r="J172" s="773">
        <f t="shared" si="259"/>
        <v>13400</v>
      </c>
      <c r="K172" s="767"/>
      <c r="L172" s="722"/>
      <c r="M172" s="728"/>
      <c r="N172" s="275">
        <f>G172*(F19/M19)</f>
        <v>8933.3333333333321</v>
      </c>
      <c r="O172" s="275">
        <f>N172</f>
        <v>8933.3333333333321</v>
      </c>
      <c r="P172" s="275">
        <f>O172</f>
        <v>8933.3333333333321</v>
      </c>
      <c r="Q172" s="275">
        <f>P172</f>
        <v>8933.3333333333321</v>
      </c>
      <c r="R172" s="767"/>
      <c r="S172" s="728"/>
      <c r="T172" s="722">
        <v>13100</v>
      </c>
      <c r="U172" s="722">
        <f>T172</f>
        <v>13100</v>
      </c>
      <c r="V172" s="722">
        <f t="shared" ref="V172:W172" si="261">U172</f>
        <v>13100</v>
      </c>
      <c r="W172" s="722">
        <f t="shared" si="261"/>
        <v>13100</v>
      </c>
      <c r="X172" s="770"/>
      <c r="AH172" s="847"/>
      <c r="AM172" s="848"/>
      <c r="AN172" s="770"/>
      <c r="BH172" s="21"/>
      <c r="BI172" s="21"/>
      <c r="BJ172" s="21"/>
      <c r="BK172" s="21"/>
      <c r="BL172" s="21"/>
      <c r="BM172" s="21"/>
      <c r="BN172" s="21"/>
      <c r="BO172" s="21"/>
      <c r="BP172" s="21"/>
      <c r="BQ172" s="21"/>
      <c r="BR172" s="21"/>
    </row>
    <row r="173" spans="1:70" ht="20" hidden="1" outlineLevel="1">
      <c r="A173" s="485" t="s">
        <v>284</v>
      </c>
      <c r="B173" s="80"/>
      <c r="C173" s="80"/>
      <c r="D173" s="1081"/>
      <c r="E173" s="80"/>
      <c r="F173" s="423"/>
      <c r="G173" s="1">
        <v>5700</v>
      </c>
      <c r="H173" s="169">
        <f>G173</f>
        <v>5700</v>
      </c>
      <c r="I173" s="169">
        <f t="shared" si="259"/>
        <v>5700</v>
      </c>
      <c r="J173" s="169">
        <f t="shared" si="259"/>
        <v>5700</v>
      </c>
      <c r="K173" s="407"/>
      <c r="L173" s="169"/>
      <c r="M173" s="423"/>
      <c r="S173" s="423"/>
      <c r="T173" s="1">
        <f t="shared" ref="T173:W174" si="262">N173</f>
        <v>0</v>
      </c>
      <c r="U173" s="1">
        <f t="shared" si="262"/>
        <v>0</v>
      </c>
      <c r="V173" s="1">
        <f t="shared" si="262"/>
        <v>0</v>
      </c>
      <c r="W173" s="1">
        <f t="shared" si="262"/>
        <v>0</v>
      </c>
      <c r="X173" s="504"/>
      <c r="Y173" s="423"/>
      <c r="Z173" s="423"/>
      <c r="AA173" s="423"/>
      <c r="AB173" s="423"/>
      <c r="AC173" s="423"/>
      <c r="AD173" s="423"/>
      <c r="AE173" s="423"/>
      <c r="AF173" s="423"/>
      <c r="AG173" s="423"/>
      <c r="AH173" s="841"/>
      <c r="AI173" s="423"/>
      <c r="AJ173" s="423"/>
      <c r="AK173" s="423"/>
      <c r="AL173" s="423"/>
      <c r="AM173" s="849"/>
      <c r="AN173" s="504"/>
      <c r="AO173" s="423"/>
      <c r="AP173" s="423"/>
      <c r="AQ173" s="423"/>
      <c r="AR173" s="423"/>
      <c r="AS173" s="423"/>
      <c r="AT173" s="423"/>
      <c r="AU173" s="423"/>
      <c r="AV173" s="423"/>
      <c r="AW173" s="423"/>
      <c r="AX173" s="423"/>
      <c r="AY173" s="423"/>
      <c r="AZ173" s="423"/>
      <c r="BG173" s="423"/>
      <c r="BM173" s="14"/>
    </row>
    <row r="174" spans="1:70" ht="20" hidden="1" outlineLevel="1">
      <c r="A174" s="485" t="s">
        <v>498</v>
      </c>
      <c r="B174" s="80"/>
      <c r="C174" s="80"/>
      <c r="D174" s="1081"/>
      <c r="E174" s="80"/>
      <c r="F174" s="423"/>
      <c r="G174" s="1">
        <v>7800</v>
      </c>
      <c r="H174" s="169">
        <f>G174</f>
        <v>7800</v>
      </c>
      <c r="I174" s="169">
        <f t="shared" si="259"/>
        <v>7800</v>
      </c>
      <c r="J174" s="169">
        <f t="shared" si="259"/>
        <v>7800</v>
      </c>
      <c r="K174" s="407"/>
      <c r="L174" s="169"/>
      <c r="M174" s="423"/>
      <c r="S174" s="423"/>
      <c r="T174" s="1">
        <f t="shared" si="262"/>
        <v>0</v>
      </c>
      <c r="U174" s="1">
        <f t="shared" si="262"/>
        <v>0</v>
      </c>
      <c r="V174" s="1">
        <f t="shared" si="262"/>
        <v>0</v>
      </c>
      <c r="W174" s="1">
        <f t="shared" si="262"/>
        <v>0</v>
      </c>
      <c r="X174" s="504"/>
      <c r="Y174" s="423"/>
      <c r="Z174" s="423"/>
      <c r="AA174" s="423"/>
      <c r="AB174" s="423"/>
      <c r="AC174" s="423"/>
      <c r="AD174" s="423"/>
      <c r="AE174" s="423"/>
      <c r="AF174" s="423"/>
      <c r="AG174" s="423"/>
      <c r="AH174" s="841"/>
      <c r="AI174" s="423"/>
      <c r="AJ174" s="423"/>
      <c r="AK174" s="423"/>
      <c r="AL174" s="423"/>
      <c r="AM174" s="849"/>
      <c r="AN174" s="504"/>
      <c r="AO174" s="423"/>
      <c r="AP174" s="423"/>
      <c r="AQ174" s="423"/>
      <c r="AR174" s="423"/>
      <c r="AS174" s="423"/>
      <c r="AT174" s="423"/>
      <c r="AU174" s="423"/>
      <c r="AV174" s="423"/>
      <c r="AW174" s="423"/>
      <c r="AX174" s="423"/>
      <c r="AY174" s="423"/>
      <c r="AZ174" s="423"/>
      <c r="BG174" s="423"/>
      <c r="BM174" s="14"/>
    </row>
    <row r="175" spans="1:70" s="489" customFormat="1" ht="20" hidden="1" outlineLevel="1">
      <c r="A175" s="1051" t="s">
        <v>321</v>
      </c>
      <c r="B175" s="628"/>
      <c r="C175" s="628"/>
      <c r="D175" s="1082"/>
      <c r="E175" s="628"/>
      <c r="G175" s="722">
        <v>20900</v>
      </c>
      <c r="H175" s="722">
        <f>G175</f>
        <v>20900</v>
      </c>
      <c r="I175" s="722">
        <f t="shared" si="259"/>
        <v>20900</v>
      </c>
      <c r="J175" s="722">
        <f t="shared" si="259"/>
        <v>20900</v>
      </c>
      <c r="K175" s="767"/>
      <c r="L175" s="722"/>
      <c r="N175" s="722">
        <f t="shared" si="260"/>
        <v>20900</v>
      </c>
      <c r="O175" s="722">
        <f>N175</f>
        <v>20900</v>
      </c>
      <c r="P175" s="722">
        <f t="shared" ref="P175:Q175" si="263">O175</f>
        <v>20900</v>
      </c>
      <c r="Q175" s="722">
        <f t="shared" si="263"/>
        <v>20900</v>
      </c>
      <c r="R175" s="535"/>
      <c r="S175" s="21"/>
      <c r="T175" s="722">
        <f>N175</f>
        <v>20900</v>
      </c>
      <c r="U175" s="722">
        <f>T175</f>
        <v>20900</v>
      </c>
      <c r="V175" s="722">
        <f t="shared" ref="V175:W175" si="264">U175</f>
        <v>20900</v>
      </c>
      <c r="W175" s="722">
        <f t="shared" si="264"/>
        <v>20900</v>
      </c>
      <c r="X175" s="535"/>
      <c r="Y175" s="21"/>
      <c r="Z175" s="21"/>
      <c r="AA175" s="21"/>
      <c r="AH175" s="847"/>
      <c r="AM175" s="848"/>
      <c r="AN175" s="770"/>
      <c r="BH175" s="21"/>
      <c r="BI175" s="21"/>
      <c r="BJ175" s="21"/>
      <c r="BK175" s="21"/>
      <c r="BL175" s="21"/>
      <c r="BM175" s="21"/>
      <c r="BN175" s="21"/>
      <c r="BO175" s="21"/>
      <c r="BP175" s="21"/>
      <c r="BQ175" s="21"/>
      <c r="BR175" s="21"/>
    </row>
    <row r="176" spans="1:70" s="489" customFormat="1" ht="20" hidden="1" outlineLevel="1">
      <c r="A176" s="1051" t="s">
        <v>491</v>
      </c>
      <c r="B176" s="628"/>
      <c r="C176" s="628"/>
      <c r="D176" s="1082"/>
      <c r="E176" s="628"/>
      <c r="G176" s="722"/>
      <c r="H176" s="722"/>
      <c r="I176" s="722"/>
      <c r="J176" s="722"/>
      <c r="K176" s="767"/>
      <c r="L176" s="722"/>
      <c r="N176" s="722">
        <f t="shared" si="260"/>
        <v>0</v>
      </c>
      <c r="O176" s="722">
        <f>H176</f>
        <v>0</v>
      </c>
      <c r="P176" s="722">
        <f>I176</f>
        <v>0</v>
      </c>
      <c r="Q176" s="722">
        <f>J176</f>
        <v>0</v>
      </c>
      <c r="R176" s="535"/>
      <c r="T176" s="722">
        <f>N176</f>
        <v>0</v>
      </c>
      <c r="U176" s="722">
        <f>O176</f>
        <v>0</v>
      </c>
      <c r="V176" s="722">
        <f>P176</f>
        <v>0</v>
      </c>
      <c r="W176" s="722">
        <f>Q176</f>
        <v>0</v>
      </c>
      <c r="X176" s="535"/>
      <c r="Y176" s="21"/>
      <c r="Z176" s="21"/>
      <c r="AA176" s="21"/>
      <c r="AH176" s="847"/>
      <c r="AM176" s="848"/>
      <c r="AN176" s="770"/>
      <c r="BH176" s="21"/>
      <c r="BI176" s="21"/>
      <c r="BJ176" s="21"/>
      <c r="BK176" s="21"/>
      <c r="BL176" s="21"/>
      <c r="BM176" s="21"/>
      <c r="BN176" s="21"/>
      <c r="BO176" s="21"/>
      <c r="BP176" s="21"/>
      <c r="BQ176" s="21"/>
      <c r="BR176" s="21"/>
    </row>
    <row r="177" spans="1:70" hidden="1" outlineLevel="1">
      <c r="A177" s="1052"/>
      <c r="B177" s="273"/>
      <c r="C177" s="273"/>
      <c r="D177" s="1083"/>
      <c r="E177" s="273"/>
      <c r="F177" s="423"/>
      <c r="G177" s="169"/>
      <c r="H177" s="169"/>
      <c r="I177" s="169"/>
      <c r="J177" s="169"/>
      <c r="K177" s="407"/>
      <c r="L177" s="169"/>
      <c r="M177" s="423"/>
      <c r="S177" s="423"/>
      <c r="AB177" s="423"/>
      <c r="AC177" s="423"/>
      <c r="AD177" s="423"/>
      <c r="AE177" s="423"/>
      <c r="AF177" s="423"/>
      <c r="AG177" s="423"/>
      <c r="AH177" s="841"/>
      <c r="AI177" s="423"/>
      <c r="AJ177" s="423"/>
      <c r="AK177" s="423"/>
      <c r="AL177" s="423"/>
      <c r="AM177" s="849"/>
      <c r="AN177" s="504"/>
      <c r="AO177" s="423"/>
      <c r="AP177" s="423"/>
      <c r="AQ177" s="423"/>
      <c r="AR177" s="423"/>
      <c r="AS177" s="423"/>
      <c r="AT177" s="423"/>
      <c r="AU177" s="423"/>
      <c r="AV177" s="423"/>
      <c r="AW177" s="423"/>
      <c r="AX177" s="423"/>
      <c r="AY177" s="423"/>
      <c r="AZ177" s="423"/>
      <c r="BG177" s="423"/>
      <c r="BM177" s="14"/>
    </row>
    <row r="178" spans="1:70" s="489" customFormat="1" ht="40" hidden="1" outlineLevel="1">
      <c r="A178" s="1049" t="s">
        <v>355</v>
      </c>
      <c r="B178" s="259"/>
      <c r="C178" s="259"/>
      <c r="D178" s="1079"/>
      <c r="E178" s="259"/>
      <c r="F178" s="728"/>
      <c r="G178" s="722">
        <v>1600</v>
      </c>
      <c r="H178" s="722">
        <f>G178</f>
        <v>1600</v>
      </c>
      <c r="I178" s="722">
        <f t="shared" ref="I178:J178" si="265">H178</f>
        <v>1600</v>
      </c>
      <c r="J178" s="722">
        <f t="shared" si="265"/>
        <v>1600</v>
      </c>
      <c r="K178" s="767"/>
      <c r="L178" s="722"/>
      <c r="M178" s="21"/>
      <c r="N178" s="772">
        <f>G178</f>
        <v>1600</v>
      </c>
      <c r="O178" s="722">
        <f>H178</f>
        <v>1600</v>
      </c>
      <c r="P178" s="722">
        <f>I178</f>
        <v>1600</v>
      </c>
      <c r="Q178" s="722">
        <f>J178</f>
        <v>1600</v>
      </c>
      <c r="R178" s="767"/>
      <c r="S178" s="21"/>
      <c r="T178" s="772">
        <f>N178</f>
        <v>1600</v>
      </c>
      <c r="U178" s="722">
        <f>O178</f>
        <v>1600</v>
      </c>
      <c r="V178" s="722">
        <f>P178</f>
        <v>1600</v>
      </c>
      <c r="W178" s="722">
        <f>Q178</f>
        <v>1600</v>
      </c>
      <c r="X178" s="535"/>
      <c r="Y178" s="21"/>
      <c r="Z178" s="21"/>
      <c r="AA178" s="21"/>
      <c r="AH178" s="847"/>
      <c r="AM178" s="848"/>
      <c r="AN178" s="770"/>
      <c r="BH178" s="21"/>
      <c r="BI178" s="21"/>
      <c r="BJ178" s="21"/>
      <c r="BK178" s="21"/>
      <c r="BL178" s="21"/>
      <c r="BM178" s="21" t="s">
        <v>33</v>
      </c>
      <c r="BN178" s="21"/>
      <c r="BO178" s="21"/>
      <c r="BP178" s="21"/>
      <c r="BQ178" s="21"/>
      <c r="BR178" s="21"/>
    </row>
    <row r="179" spans="1:70" hidden="1" outlineLevel="1">
      <c r="A179" s="1047"/>
      <c r="B179" s="359"/>
      <c r="C179" s="359"/>
      <c r="D179" s="1077"/>
      <c r="E179" s="359"/>
      <c r="F179" s="423"/>
      <c r="H179" s="169"/>
      <c r="I179" s="169"/>
      <c r="J179" s="169"/>
      <c r="K179" s="407"/>
      <c r="L179" s="169"/>
      <c r="T179" s="423"/>
      <c r="AB179" s="423"/>
      <c r="AC179" s="423"/>
      <c r="AD179" s="423"/>
      <c r="AE179" s="423"/>
      <c r="AF179" s="423"/>
      <c r="AG179" s="423"/>
      <c r="AH179" s="841"/>
      <c r="AI179" s="423"/>
      <c r="AJ179" s="423"/>
      <c r="AK179" s="423"/>
      <c r="AL179" s="423"/>
      <c r="AM179" s="849"/>
      <c r="AN179" s="504"/>
      <c r="AO179" s="423"/>
      <c r="AP179" s="423"/>
      <c r="AQ179" s="423"/>
      <c r="AR179" s="423"/>
      <c r="AS179" s="423"/>
      <c r="AT179" s="423"/>
      <c r="AU179" s="423"/>
      <c r="AV179" s="423"/>
      <c r="AW179" s="423"/>
      <c r="AX179" s="423"/>
      <c r="AY179" s="423"/>
      <c r="AZ179" s="423"/>
      <c r="BG179" s="423"/>
    </row>
    <row r="180" spans="1:70" hidden="1" outlineLevel="1"/>
    <row r="181" spans="1:70" ht="20" hidden="1" outlineLevel="1">
      <c r="A181" s="558" t="s">
        <v>580</v>
      </c>
      <c r="B181" s="355"/>
      <c r="C181" s="355"/>
      <c r="D181" s="1068"/>
      <c r="E181" s="355"/>
      <c r="F181" s="423"/>
      <c r="G181" s="785">
        <f>G182/10</f>
        <v>21.2</v>
      </c>
      <c r="H181" s="785">
        <f>G181</f>
        <v>21.2</v>
      </c>
      <c r="I181" s="785">
        <f t="shared" ref="I181:J182" si="266">H181</f>
        <v>21.2</v>
      </c>
      <c r="J181" s="785">
        <f t="shared" si="266"/>
        <v>21.2</v>
      </c>
      <c r="K181" s="407"/>
      <c r="L181" s="169"/>
      <c r="N181" s="785">
        <f>J181</f>
        <v>21.2</v>
      </c>
      <c r="O181" s="785">
        <f>N181</f>
        <v>21.2</v>
      </c>
      <c r="P181" s="785">
        <f t="shared" ref="P181:Q182" si="267">O181</f>
        <v>21.2</v>
      </c>
      <c r="Q181" s="785">
        <f t="shared" si="267"/>
        <v>21.2</v>
      </c>
      <c r="T181" s="785">
        <f>G181</f>
        <v>21.2</v>
      </c>
      <c r="U181" s="785">
        <f>O181</f>
        <v>21.2</v>
      </c>
      <c r="V181" s="785">
        <f>P181</f>
        <v>21.2</v>
      </c>
      <c r="W181" s="785">
        <f>Q181</f>
        <v>21.2</v>
      </c>
      <c r="AB181" s="423"/>
      <c r="AC181" s="423"/>
      <c r="AD181" s="423"/>
      <c r="AE181" s="423"/>
      <c r="AF181" s="423"/>
      <c r="AG181" s="423"/>
      <c r="AH181" s="841"/>
      <c r="AI181" s="423"/>
      <c r="AJ181" s="423"/>
      <c r="AK181" s="423"/>
      <c r="AL181" s="423"/>
      <c r="AM181" s="849"/>
      <c r="AN181" s="504"/>
      <c r="AO181" s="423"/>
      <c r="AP181" s="423"/>
      <c r="AQ181" s="423"/>
      <c r="AR181" s="423"/>
      <c r="AS181" s="423"/>
      <c r="AT181" s="423"/>
      <c r="AU181" s="423"/>
      <c r="AV181" s="423"/>
      <c r="AW181" s="423"/>
      <c r="AX181" s="423"/>
      <c r="AY181" s="423"/>
      <c r="AZ181" s="423"/>
      <c r="BG181" s="423"/>
    </row>
    <row r="182" spans="1:70" s="489" customFormat="1" ht="20" hidden="1" outlineLevel="1">
      <c r="A182" s="1049" t="s">
        <v>495</v>
      </c>
      <c r="B182" s="259"/>
      <c r="C182" s="259"/>
      <c r="D182" s="1079"/>
      <c r="E182" s="259"/>
      <c r="G182" s="722">
        <f>'MPS др метрики'!H58</f>
        <v>212</v>
      </c>
      <c r="H182" s="722">
        <f>G182</f>
        <v>212</v>
      </c>
      <c r="I182" s="722">
        <f t="shared" si="266"/>
        <v>212</v>
      </c>
      <c r="J182" s="722">
        <f t="shared" si="266"/>
        <v>212</v>
      </c>
      <c r="K182" s="767"/>
      <c r="L182" s="722"/>
      <c r="M182" s="21"/>
      <c r="N182" s="722">
        <f>G182</f>
        <v>212</v>
      </c>
      <c r="O182" s="722">
        <f>N182</f>
        <v>212</v>
      </c>
      <c r="P182" s="722">
        <f t="shared" si="267"/>
        <v>212</v>
      </c>
      <c r="Q182" s="722">
        <f t="shared" si="267"/>
        <v>212</v>
      </c>
      <c r="R182" s="535"/>
      <c r="S182" s="1"/>
      <c r="T182" s="722">
        <f>N182</f>
        <v>212</v>
      </c>
      <c r="U182" s="722">
        <f>T182</f>
        <v>212</v>
      </c>
      <c r="V182" s="722">
        <f t="shared" ref="V182:W182" si="268">U182</f>
        <v>212</v>
      </c>
      <c r="W182" s="722">
        <f t="shared" si="268"/>
        <v>212</v>
      </c>
      <c r="X182" s="535"/>
      <c r="Y182" s="21"/>
      <c r="Z182" s="21"/>
      <c r="AA182" s="21"/>
      <c r="AB182" s="423"/>
      <c r="AC182" s="722"/>
      <c r="AD182" s="722"/>
      <c r="AE182" s="722"/>
      <c r="AF182" s="722"/>
      <c r="AH182" s="847"/>
      <c r="AI182" s="722"/>
      <c r="AJ182" s="722"/>
      <c r="AK182" s="722"/>
      <c r="AL182" s="722"/>
      <c r="AM182" s="848"/>
      <c r="AN182" s="770"/>
      <c r="BH182" s="21"/>
      <c r="BI182" s="21"/>
      <c r="BJ182" s="21"/>
      <c r="BK182" s="21"/>
      <c r="BL182" s="21"/>
      <c r="BM182" s="21"/>
      <c r="BN182" s="21"/>
      <c r="BO182" s="21"/>
      <c r="BP182" s="21"/>
      <c r="BQ182" s="21"/>
      <c r="BR182" s="21"/>
    </row>
    <row r="183" spans="1:70" hidden="1" outlineLevel="1">
      <c r="A183" s="1047"/>
      <c r="B183" s="359"/>
      <c r="C183" s="359"/>
      <c r="D183" s="1077"/>
      <c r="E183" s="359"/>
      <c r="F183" s="423"/>
      <c r="G183" s="652"/>
      <c r="H183" s="169"/>
      <c r="I183" s="169"/>
      <c r="J183" s="169"/>
      <c r="K183" s="407"/>
      <c r="L183" s="169"/>
      <c r="T183" s="423"/>
      <c r="AB183" s="423"/>
      <c r="AC183" s="423"/>
      <c r="AD183" s="423"/>
      <c r="AE183" s="423"/>
      <c r="AF183" s="423"/>
      <c r="AG183" s="423"/>
      <c r="AH183" s="841"/>
      <c r="AI183" s="423"/>
      <c r="AJ183" s="423"/>
      <c r="AK183" s="423"/>
      <c r="AL183" s="423"/>
      <c r="AM183" s="849"/>
      <c r="AN183" s="504"/>
      <c r="AO183" s="423"/>
      <c r="AP183" s="423"/>
      <c r="AQ183" s="423"/>
      <c r="AR183" s="423"/>
      <c r="AS183" s="423"/>
      <c r="AT183" s="423"/>
      <c r="AU183" s="423"/>
      <c r="AV183" s="423"/>
      <c r="AW183" s="423"/>
      <c r="AX183" s="423"/>
      <c r="AY183" s="423"/>
      <c r="AZ183" s="423"/>
      <c r="BG183" s="423"/>
    </row>
    <row r="184" spans="1:70" s="456" customFormat="1" ht="20" hidden="1" outlineLevel="1">
      <c r="A184" s="1053" t="s">
        <v>360</v>
      </c>
      <c r="B184" s="455"/>
      <c r="C184" s="455"/>
      <c r="D184" s="1084"/>
      <c r="E184" s="455"/>
      <c r="G184" s="457"/>
      <c r="H184" s="458"/>
      <c r="I184" s="458"/>
      <c r="J184" s="458"/>
      <c r="K184" s="525"/>
      <c r="L184" s="458"/>
      <c r="M184" s="457"/>
      <c r="N184" s="457"/>
      <c r="O184" s="457"/>
      <c r="P184" s="457"/>
      <c r="Q184" s="457"/>
      <c r="R184" s="549"/>
      <c r="S184" s="457"/>
      <c r="U184" s="457"/>
      <c r="V184" s="457"/>
      <c r="W184" s="457"/>
      <c r="X184" s="549"/>
      <c r="Y184" s="457"/>
      <c r="Z184" s="457"/>
      <c r="AA184" s="457"/>
      <c r="AH184" s="850"/>
      <c r="AM184" s="851"/>
      <c r="AN184" s="566"/>
      <c r="BH184" s="457"/>
      <c r="BI184" s="457"/>
      <c r="BJ184" s="457"/>
      <c r="BK184" s="457"/>
      <c r="BL184" s="457"/>
      <c r="BM184" s="457"/>
      <c r="BN184" s="457"/>
      <c r="BO184" s="457"/>
      <c r="BP184" s="457"/>
      <c r="BQ184" s="457"/>
      <c r="BR184" s="457"/>
    </row>
    <row r="185" spans="1:70" s="2" customFormat="1" hidden="1" outlineLevel="1">
      <c r="A185" s="89" t="s">
        <v>359</v>
      </c>
      <c r="B185" s="15"/>
      <c r="C185" s="15"/>
      <c r="D185" s="1085"/>
      <c r="E185" s="15"/>
      <c r="F185" s="526"/>
      <c r="G185" s="526">
        <v>400000</v>
      </c>
      <c r="H185" s="526">
        <v>400000</v>
      </c>
      <c r="I185" s="526">
        <v>400000</v>
      </c>
      <c r="J185" s="526">
        <v>400000</v>
      </c>
      <c r="K185" s="295"/>
      <c r="L185" s="1"/>
      <c r="M185" s="1"/>
      <c r="N185" s="1"/>
      <c r="O185" s="1"/>
      <c r="P185" s="1"/>
      <c r="Q185" s="1"/>
      <c r="R185" s="295"/>
      <c r="S185" s="1"/>
      <c r="T185" s="1"/>
      <c r="U185" s="1"/>
      <c r="V185" s="1"/>
      <c r="W185" s="1"/>
      <c r="X185" s="295"/>
      <c r="Y185" s="1"/>
      <c r="Z185" s="1"/>
      <c r="AA185" s="1"/>
      <c r="AB185" s="1"/>
      <c r="AC185" s="1"/>
      <c r="AD185" s="1"/>
      <c r="AE185" s="1"/>
      <c r="AF185" s="1"/>
      <c r="AG185" s="1"/>
      <c r="AH185" s="28"/>
      <c r="AI185" s="1"/>
      <c r="AJ185" s="1"/>
      <c r="AK185" s="1"/>
      <c r="AL185" s="1"/>
      <c r="AM185" s="24"/>
      <c r="AN185" s="295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</row>
    <row r="186" spans="1:70" s="2" customFormat="1" hidden="1" outlineLevel="1">
      <c r="A186" s="89" t="s">
        <v>371</v>
      </c>
      <c r="B186" s="15"/>
      <c r="C186" s="15"/>
      <c r="D186" s="1085"/>
      <c r="E186" s="15"/>
      <c r="F186" s="15"/>
      <c r="G186" s="15">
        <v>547</v>
      </c>
      <c r="H186" s="15">
        <v>547</v>
      </c>
      <c r="I186" s="15">
        <v>547</v>
      </c>
      <c r="J186" s="15">
        <v>547</v>
      </c>
      <c r="K186" s="295"/>
      <c r="L186" s="1"/>
      <c r="M186" s="1"/>
      <c r="N186" s="1"/>
      <c r="O186" s="1"/>
      <c r="P186" s="1"/>
      <c r="Q186" s="1"/>
      <c r="R186" s="295"/>
      <c r="S186" s="1"/>
      <c r="T186" s="1"/>
      <c r="U186" s="1"/>
      <c r="V186" s="1"/>
      <c r="W186" s="1"/>
      <c r="X186" s="295"/>
      <c r="Y186" s="1"/>
      <c r="Z186" s="1"/>
      <c r="AA186" s="1"/>
      <c r="AB186" s="1"/>
      <c r="AC186" s="1"/>
      <c r="AD186" s="1"/>
      <c r="AE186" s="1"/>
      <c r="AF186" s="1"/>
      <c r="AG186" s="1"/>
      <c r="AH186" s="28"/>
      <c r="AI186" s="1"/>
      <c r="AJ186" s="1"/>
      <c r="AK186" s="1"/>
      <c r="AL186" s="1"/>
      <c r="AM186" s="24"/>
      <c r="AN186" s="295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</row>
    <row r="187" spans="1:70" ht="40" hidden="1" outlineLevel="1">
      <c r="A187" s="87" t="s">
        <v>372</v>
      </c>
      <c r="F187" s="527"/>
      <c r="G187" s="527">
        <f>G185/G186</f>
        <v>731.26142595978058</v>
      </c>
      <c r="H187" s="527">
        <f t="shared" ref="H187:J187" si="269">H185/H186</f>
        <v>731.26142595978058</v>
      </c>
      <c r="I187" s="527">
        <f t="shared" si="269"/>
        <v>731.26142595978058</v>
      </c>
      <c r="J187" s="527">
        <f t="shared" si="269"/>
        <v>731.26142595978058</v>
      </c>
    </row>
    <row r="188" spans="1:70" hidden="1" outlineLevel="1"/>
    <row r="189" spans="1:70" hidden="1" outlineLevel="1">
      <c r="A189" s="89" t="s">
        <v>492</v>
      </c>
      <c r="B189" s="15"/>
      <c r="C189" s="15"/>
      <c r="D189" s="1085"/>
      <c r="E189" s="15"/>
      <c r="F189" s="527"/>
      <c r="G189" s="15">
        <v>3697</v>
      </c>
      <c r="H189" s="15">
        <v>3697</v>
      </c>
      <c r="I189" s="15">
        <v>3697</v>
      </c>
      <c r="J189" s="15">
        <v>3697</v>
      </c>
    </row>
    <row r="190" spans="1:70" ht="40" hidden="1" outlineLevel="1">
      <c r="A190" s="87" t="s">
        <v>489</v>
      </c>
      <c r="F190" s="527"/>
      <c r="G190" s="766">
        <f>G185/G189</f>
        <v>108.19583446037328</v>
      </c>
      <c r="H190" s="766">
        <f>H185/H189</f>
        <v>108.19583446037328</v>
      </c>
      <c r="I190" s="766">
        <f>I185/I189</f>
        <v>108.19583446037328</v>
      </c>
      <c r="J190" s="766">
        <f>J185/J189</f>
        <v>108.19583446037328</v>
      </c>
    </row>
    <row r="191" spans="1:70" hidden="1" outlineLevel="1">
      <c r="F191" s="527"/>
      <c r="G191" s="766"/>
      <c r="H191" s="766"/>
      <c r="I191" s="766"/>
      <c r="J191" s="766"/>
    </row>
    <row r="192" spans="1:70" ht="40" hidden="1" outlineLevel="1">
      <c r="A192" s="87" t="s">
        <v>494</v>
      </c>
      <c r="F192" s="527"/>
      <c r="G192" s="423"/>
      <c r="H192" s="766">
        <v>81</v>
      </c>
      <c r="I192" s="766">
        <v>81</v>
      </c>
      <c r="J192" s="766">
        <v>81</v>
      </c>
      <c r="N192" s="766">
        <v>81</v>
      </c>
      <c r="O192" s="766">
        <v>81</v>
      </c>
      <c r="P192" s="766">
        <v>81</v>
      </c>
      <c r="Q192" s="766">
        <v>81</v>
      </c>
      <c r="T192" s="766">
        <v>81</v>
      </c>
      <c r="U192" s="766">
        <v>81</v>
      </c>
      <c r="V192" s="766">
        <v>81</v>
      </c>
      <c r="W192" s="766">
        <v>81</v>
      </c>
      <c r="AC192" s="766"/>
      <c r="AD192" s="766"/>
      <c r="AE192" s="766"/>
      <c r="AF192" s="766"/>
    </row>
    <row r="193" spans="1:18" hidden="1" outlineLevel="1">
      <c r="G193" s="423"/>
    </row>
    <row r="194" spans="1:18" hidden="1" outlineLevel="1">
      <c r="A194" s="1133" t="s">
        <v>577</v>
      </c>
      <c r="B194" s="423"/>
      <c r="G194" s="1127">
        <v>1.5</v>
      </c>
      <c r="H194" s="1131">
        <f>G194</f>
        <v>1.5</v>
      </c>
      <c r="I194" s="1131">
        <f t="shared" ref="I194:J194" si="270">H194</f>
        <v>1.5</v>
      </c>
      <c r="J194" s="592">
        <f t="shared" si="270"/>
        <v>1.5</v>
      </c>
    </row>
    <row r="195" spans="1:18" hidden="1" outlineLevel="1">
      <c r="A195" s="1134" t="s">
        <v>578</v>
      </c>
      <c r="B195" s="423"/>
      <c r="G195" s="1129">
        <v>1.73</v>
      </c>
      <c r="H195" s="93">
        <f t="shared" ref="H195:J196" si="271">G195</f>
        <v>1.73</v>
      </c>
      <c r="I195" s="93">
        <f t="shared" si="271"/>
        <v>1.73</v>
      </c>
      <c r="J195" s="595">
        <f t="shared" si="271"/>
        <v>1.73</v>
      </c>
    </row>
    <row r="196" spans="1:18" hidden="1" outlineLevel="1">
      <c r="A196" s="1135" t="s">
        <v>579</v>
      </c>
      <c r="B196" s="423"/>
      <c r="G196" s="1130">
        <v>7.69</v>
      </c>
      <c r="H196" s="1132">
        <f t="shared" si="271"/>
        <v>7.69</v>
      </c>
      <c r="I196" s="1132">
        <f t="shared" si="271"/>
        <v>7.69</v>
      </c>
      <c r="J196" s="597">
        <f t="shared" si="271"/>
        <v>7.69</v>
      </c>
    </row>
    <row r="197" spans="1:18" hidden="1" outlineLevel="1">
      <c r="G197" s="423"/>
    </row>
    <row r="198" spans="1:18" ht="20" hidden="1" outlineLevel="1">
      <c r="A198" s="87" t="s">
        <v>598</v>
      </c>
      <c r="G198" s="1142">
        <v>0.62</v>
      </c>
    </row>
    <row r="199" spans="1:18" ht="40" hidden="1" outlineLevel="1">
      <c r="A199" s="87" t="s">
        <v>599</v>
      </c>
      <c r="B199" s="423"/>
      <c r="G199" s="154">
        <v>15542.8125</v>
      </c>
    </row>
    <row r="200" spans="1:18" hidden="1" outlineLevel="1">
      <c r="A200" s="423"/>
      <c r="B200" s="423"/>
    </row>
    <row r="201" spans="1:18" collapsed="1">
      <c r="R201" s="1152">
        <f>R78-K78</f>
        <v>178624852.38468924</v>
      </c>
    </row>
    <row r="202" spans="1:18">
      <c r="R202" s="1152">
        <f>R76-K76</f>
        <v>82889745.295084983</v>
      </c>
    </row>
  </sheetData>
  <mergeCells count="5">
    <mergeCell ref="F2:K2"/>
    <mergeCell ref="M2:R2"/>
    <mergeCell ref="AB2:AN2"/>
    <mergeCell ref="AB3:AG3"/>
    <mergeCell ref="AH3:AM3"/>
  </mergeCells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47295-F922-7342-BA6F-5C2C99FE6BA2}">
  <sheetPr codeName="Лист8">
    <tabColor theme="8" tint="0.59999389629810485"/>
  </sheetPr>
  <dimension ref="A1:I170"/>
  <sheetViews>
    <sheetView workbookViewId="0">
      <pane xSplit="1" ySplit="2" topLeftCell="B3" activePane="bottomRight" state="frozen"/>
      <selection pane="topRight" activeCell="B1" sqref="B1"/>
      <selection pane="bottomLeft" activeCell="A2" sqref="A2"/>
      <selection pane="bottomRight" activeCell="G6" sqref="G6"/>
    </sheetView>
  </sheetViews>
  <sheetFormatPr baseColWidth="10" defaultColWidth="10.83203125" defaultRowHeight="19" outlineLevelRow="1"/>
  <cols>
    <col min="1" max="1" width="49" style="1250" customWidth="1"/>
    <col min="2" max="2" width="21.6640625" style="1305" customWidth="1"/>
    <col min="3" max="3" width="20.33203125" style="1250" customWidth="1"/>
    <col min="4" max="4" width="19.6640625" style="1250" customWidth="1"/>
    <col min="5" max="5" width="19.83203125" style="1250" customWidth="1"/>
    <col min="6" max="6" width="6.33203125" style="1250" customWidth="1"/>
    <col min="7" max="7" width="25.5" style="1250" customWidth="1"/>
    <col min="8" max="8" width="8" style="1250" customWidth="1"/>
    <col min="9" max="9" width="69.6640625" style="1305" customWidth="1"/>
    <col min="10" max="16384" width="10.83203125" style="1250"/>
  </cols>
  <sheetData>
    <row r="1" spans="1:9" ht="20" thickBot="1">
      <c r="A1" s="1361" t="s">
        <v>757</v>
      </c>
    </row>
    <row r="2" spans="1:9" ht="61" thickBot="1">
      <c r="A2" s="1247"/>
      <c r="B2" s="1248" t="s">
        <v>549</v>
      </c>
      <c r="C2" s="1248" t="s">
        <v>550</v>
      </c>
      <c r="D2" s="1248" t="s">
        <v>551</v>
      </c>
      <c r="E2" s="1249" t="s">
        <v>639</v>
      </c>
      <c r="G2" s="1305" t="s">
        <v>643</v>
      </c>
    </row>
    <row r="3" spans="1:9">
      <c r="A3" s="1251" t="s">
        <v>39</v>
      </c>
      <c r="B3" s="1252"/>
      <c r="C3" s="1252"/>
      <c r="D3" s="1252"/>
      <c r="E3" s="1253"/>
    </row>
    <row r="4" spans="1:9">
      <c r="A4" s="1254" t="s">
        <v>553</v>
      </c>
      <c r="B4" s="1255">
        <f>Воронка!K7</f>
        <v>58762.5</v>
      </c>
      <c r="C4" s="1255">
        <f>B4</f>
        <v>58762.5</v>
      </c>
      <c r="D4" s="1255">
        <f>C4</f>
        <v>58762.5</v>
      </c>
      <c r="E4" s="1256">
        <f>D4</f>
        <v>58762.5</v>
      </c>
    </row>
    <row r="5" spans="1:9">
      <c r="A5" s="1254" t="s">
        <v>552</v>
      </c>
      <c r="B5" s="1257">
        <f>Воронка!K21</f>
        <v>4019.7846253360653</v>
      </c>
      <c r="C5" s="1258">
        <f>Воронка!R21</f>
        <v>5901.3146734129887</v>
      </c>
      <c r="D5" s="1258">
        <f>Воронка!X21</f>
        <v>1026.8981167288769</v>
      </c>
      <c r="E5" s="1259">
        <f>Воронка!AN21</f>
        <v>1667.5165458055799</v>
      </c>
      <c r="G5" s="1260"/>
    </row>
    <row r="6" spans="1:9" ht="20">
      <c r="A6" s="1254" t="s">
        <v>558</v>
      </c>
      <c r="B6" s="1261">
        <f>Воронка!E21</f>
        <v>6.8407311216099817E-2</v>
      </c>
      <c r="C6" s="1262">
        <f>Воронка!L21</f>
        <v>0.10042654198533059</v>
      </c>
      <c r="D6" s="1262">
        <f>Воронка!S19</f>
        <v>1.7475398710553106E-2</v>
      </c>
      <c r="E6" s="1263">
        <f>Воронка!AA21</f>
        <v>2.8377222647191315E-2</v>
      </c>
      <c r="G6" s="1260"/>
      <c r="I6" s="1305" t="s">
        <v>634</v>
      </c>
    </row>
    <row r="7" spans="1:9" ht="41" thickBot="1">
      <c r="A7" s="1264" t="s">
        <v>620</v>
      </c>
      <c r="B7" s="1265">
        <v>1.2200000000000001E-2</v>
      </c>
      <c r="C7" s="1265">
        <v>9.7000000000000003E-3</v>
      </c>
      <c r="D7" s="1266">
        <v>2.5000000000000001E-3</v>
      </c>
      <c r="E7" s="1267" t="s">
        <v>619</v>
      </c>
      <c r="H7" s="1268">
        <f>C6/B6</f>
        <v>1.4680673775947939</v>
      </c>
      <c r="I7" s="1307" t="s">
        <v>641</v>
      </c>
    </row>
    <row r="8" spans="1:9">
      <c r="A8" s="1269" t="s">
        <v>569</v>
      </c>
      <c r="B8" s="1270"/>
      <c r="C8" s="1271"/>
      <c r="D8" s="1271"/>
      <c r="E8" s="1272"/>
    </row>
    <row r="9" spans="1:9">
      <c r="A9" s="1254" t="s">
        <v>63</v>
      </c>
      <c r="B9" s="1273">
        <f>Воронка!K29</f>
        <v>21050.155495653511</v>
      </c>
      <c r="C9" s="1274">
        <f>Воронка!R29</f>
        <v>23938.859447715524</v>
      </c>
      <c r="D9" s="1274">
        <f>Воронка!X29</f>
        <v>23938.85944771552</v>
      </c>
      <c r="E9" s="1275">
        <f>Воронка!AN29</f>
        <v>25405.251595542959</v>
      </c>
      <c r="G9" s="1276">
        <v>23361.308724832208</v>
      </c>
      <c r="H9" s="1277"/>
    </row>
    <row r="10" spans="1:9">
      <c r="A10" s="1254" t="s">
        <v>335</v>
      </c>
      <c r="B10" s="1273">
        <f>Воронка!K35</f>
        <v>17262.317082450758</v>
      </c>
      <c r="C10" s="1274">
        <f>Воронка!R35</f>
        <v>10578.662294327261</v>
      </c>
      <c r="D10" s="1274">
        <f>Воронка!X35</f>
        <v>5332.7496751546278</v>
      </c>
      <c r="E10" s="1275">
        <f>Воронка!AN35</f>
        <v>7800.7337094003942</v>
      </c>
      <c r="G10" s="1278">
        <v>12200.560587588239</v>
      </c>
    </row>
    <row r="11" spans="1:9" ht="40">
      <c r="A11" s="1279" t="s">
        <v>604</v>
      </c>
      <c r="B11" s="1277">
        <f>Воронка!K36</f>
        <v>14406.631692279212</v>
      </c>
      <c r="C11" s="1277">
        <f>Воронка!R36</f>
        <v>9619.018273712858</v>
      </c>
      <c r="D11" s="1277">
        <f>Воронка!X36</f>
        <v>3940.4518657505218</v>
      </c>
      <c r="E11" s="1280">
        <f>Воронка!AN36</f>
        <v>6400.8544135622942</v>
      </c>
      <c r="G11" s="1281">
        <v>11189.75115249149</v>
      </c>
      <c r="I11" s="1305" t="s">
        <v>637</v>
      </c>
    </row>
    <row r="12" spans="1:9" ht="40">
      <c r="A12" s="1279" t="s">
        <v>576</v>
      </c>
      <c r="B12" s="1282">
        <f>Воронка!K40</f>
        <v>1255.685390171546</v>
      </c>
      <c r="C12" s="1277">
        <f>Воронка!R40</f>
        <v>1348.2702710260678</v>
      </c>
      <c r="D12" s="1277">
        <f>Воронка!X40</f>
        <v>1392.2978094041048</v>
      </c>
      <c r="E12" s="1280">
        <f>Воронка!AN40</f>
        <v>1399.8792958381002</v>
      </c>
      <c r="G12" s="1281">
        <v>1399.4356855084134</v>
      </c>
      <c r="I12" s="1305" t="s">
        <v>635</v>
      </c>
    </row>
    <row r="13" spans="1:9" ht="21" thickBot="1">
      <c r="A13" s="1283" t="s">
        <v>568</v>
      </c>
      <c r="B13" s="1284">
        <f>Воронка!K41</f>
        <v>1600.0000000000002</v>
      </c>
      <c r="C13" s="1285">
        <f>Воронка!R41</f>
        <v>0</v>
      </c>
      <c r="D13" s="1285">
        <f>Воронка!X41</f>
        <v>0</v>
      </c>
      <c r="E13" s="1286">
        <f>Воронка!AN41</f>
        <v>0</v>
      </c>
      <c r="G13" s="1287"/>
      <c r="I13" s="1305" t="s">
        <v>636</v>
      </c>
    </row>
    <row r="14" spans="1:9">
      <c r="A14" s="1251" t="s">
        <v>574</v>
      </c>
      <c r="B14" s="1288"/>
      <c r="C14" s="1289"/>
      <c r="D14" s="1289"/>
      <c r="E14" s="1290"/>
    </row>
    <row r="15" spans="1:9">
      <c r="A15" s="1254" t="s">
        <v>575</v>
      </c>
      <c r="B15" s="1273">
        <f>Воронка!K44</f>
        <v>84617091.422361463</v>
      </c>
      <c r="C15" s="1274">
        <f>Воронка!R44</f>
        <v>141270742.52357477</v>
      </c>
      <c r="D15" s="1274">
        <f>Воронка!X44</f>
        <v>24582769.683496349</v>
      </c>
      <c r="E15" s="1275">
        <f>Воронка!AN44</f>
        <v>42363677.385921493</v>
      </c>
    </row>
    <row r="16" spans="1:9" ht="21" thickBot="1">
      <c r="A16" s="1291" t="s">
        <v>335</v>
      </c>
      <c r="B16" s="1292">
        <f>Воронка!K50</f>
        <v>65950688.114669949</v>
      </c>
      <c r="C16" s="1293">
        <f>Воронка!R50</f>
        <v>62428015.022594184</v>
      </c>
      <c r="D16" s="1293">
        <f>Воронка!X50</f>
        <v>5476190.5984028168</v>
      </c>
      <c r="E16" s="1294">
        <f>Воронка!AN50</f>
        <v>13007852.529848494</v>
      </c>
    </row>
    <row r="17" spans="1:9" ht="20">
      <c r="A17" s="1295" t="s">
        <v>570</v>
      </c>
      <c r="B17" s="1252"/>
      <c r="C17" s="1296"/>
      <c r="D17" s="1296"/>
      <c r="E17" s="1297"/>
    </row>
    <row r="18" spans="1:9" ht="60">
      <c r="A18" s="1298" t="s">
        <v>644</v>
      </c>
      <c r="B18" s="1299">
        <f>Воронка!K75</f>
        <v>18666403.307691511</v>
      </c>
      <c r="C18" s="1300">
        <f>Воронка!R75</f>
        <v>78842727.500980571</v>
      </c>
      <c r="D18" s="1300">
        <f>Воронка!X75</f>
        <v>19106579.085093532</v>
      </c>
      <c r="E18" s="1309">
        <f>Воронка!AN75</f>
        <v>29355824.856072992</v>
      </c>
      <c r="I18" s="1305" t="s">
        <v>642</v>
      </c>
    </row>
    <row r="19" spans="1:9" ht="40">
      <c r="A19" s="1301" t="s">
        <v>645</v>
      </c>
      <c r="B19" s="1282">
        <f>Воронка!K77</f>
        <v>54520000.000000007</v>
      </c>
      <c r="C19" s="1277">
        <f>Воронка!R77</f>
        <v>110415090.80942813</v>
      </c>
      <c r="D19" s="1277">
        <f>Воронка!X77</f>
        <v>73252978.622327805</v>
      </c>
      <c r="E19" s="1280">
        <f>Воронка!AN77</f>
        <v>78121059.424854279</v>
      </c>
      <c r="I19" s="1308" t="s">
        <v>640</v>
      </c>
    </row>
    <row r="20" spans="1:9" ht="61" thickBot="1">
      <c r="A20" s="1291" t="s">
        <v>126</v>
      </c>
      <c r="B20" s="1302">
        <f>Воронка!K79</f>
        <v>73186403.307691514</v>
      </c>
      <c r="C20" s="1303">
        <f>Воронка!R79</f>
        <v>189257818.31040871</v>
      </c>
      <c r="D20" s="1303">
        <f>Воронка!X79</f>
        <v>92359557.707421333</v>
      </c>
      <c r="E20" s="1310">
        <f>Воронка!AN79</f>
        <v>107476884.28092727</v>
      </c>
      <c r="H20" s="1304">
        <f>(C20-B20)/B20</f>
        <v>1.5859696577071536</v>
      </c>
      <c r="I20" s="1307" t="s">
        <v>646</v>
      </c>
    </row>
    <row r="21" spans="1:9" ht="20">
      <c r="I21" s="1308" t="s">
        <v>638</v>
      </c>
    </row>
    <row r="22" spans="1:9">
      <c r="I22" s="1308"/>
    </row>
    <row r="23" spans="1:9">
      <c r="I23" s="1308"/>
    </row>
    <row r="24" spans="1:9">
      <c r="I24" s="1308"/>
    </row>
    <row r="25" spans="1:9">
      <c r="I25" s="1308"/>
    </row>
    <row r="26" spans="1:9">
      <c r="I26" s="1308"/>
    </row>
    <row r="27" spans="1:9">
      <c r="I27" s="1308"/>
    </row>
    <row r="28" spans="1:9">
      <c r="I28" s="1308"/>
    </row>
    <row r="29" spans="1:9">
      <c r="I29" s="1308"/>
    </row>
    <row r="30" spans="1:9">
      <c r="I30" s="1308"/>
    </row>
    <row r="31" spans="1:9">
      <c r="I31" s="1308"/>
    </row>
    <row r="32" spans="1:9">
      <c r="I32" s="1308"/>
    </row>
    <row r="33" spans="9:9">
      <c r="I33" s="1308"/>
    </row>
    <row r="34" spans="9:9">
      <c r="I34" s="1308"/>
    </row>
    <row r="35" spans="9:9">
      <c r="I35" s="1308"/>
    </row>
    <row r="36" spans="9:9">
      <c r="I36" s="1308"/>
    </row>
    <row r="37" spans="9:9">
      <c r="I37" s="1308"/>
    </row>
    <row r="38" spans="9:9">
      <c r="I38" s="1308"/>
    </row>
    <row r="39" spans="9:9">
      <c r="I39" s="1308"/>
    </row>
    <row r="40" spans="9:9">
      <c r="I40" s="1308"/>
    </row>
    <row r="41" spans="9:9">
      <c r="I41" s="1308"/>
    </row>
    <row r="42" spans="9:9">
      <c r="I42" s="1308"/>
    </row>
    <row r="43" spans="9:9">
      <c r="I43" s="1308"/>
    </row>
    <row r="44" spans="9:9">
      <c r="I44" s="1308"/>
    </row>
    <row r="45" spans="9:9">
      <c r="I45" s="1308"/>
    </row>
    <row r="46" spans="9:9">
      <c r="I46" s="1308"/>
    </row>
    <row r="47" spans="9:9">
      <c r="I47" s="1308"/>
    </row>
    <row r="48" spans="9:9">
      <c r="I48" s="1308"/>
    </row>
    <row r="49" spans="1:9" s="1357" customFormat="1">
      <c r="A49" s="1360" t="s">
        <v>763</v>
      </c>
      <c r="B49" s="1359"/>
      <c r="I49" s="1359"/>
    </row>
    <row r="50" spans="1:9" ht="40" hidden="1" outlineLevel="1">
      <c r="B50" s="1305" t="s">
        <v>549</v>
      </c>
      <c r="C50" s="1250" t="s">
        <v>550</v>
      </c>
      <c r="D50" s="1250" t="s">
        <v>551</v>
      </c>
      <c r="E50" s="1250" t="s">
        <v>753</v>
      </c>
      <c r="I50" s="1308"/>
    </row>
    <row r="51" spans="1:9" hidden="1" outlineLevel="1">
      <c r="A51" s="1250" t="s">
        <v>39</v>
      </c>
      <c r="I51" s="1308"/>
    </row>
    <row r="52" spans="1:9" hidden="1" outlineLevel="1">
      <c r="A52" s="1250" t="s">
        <v>553</v>
      </c>
      <c r="B52" s="1305">
        <v>58762.5</v>
      </c>
      <c r="C52" s="1250">
        <v>58762.5</v>
      </c>
      <c r="D52" s="1250">
        <v>58762.5</v>
      </c>
      <c r="E52" s="1250">
        <v>58762.5</v>
      </c>
      <c r="I52" s="1308"/>
    </row>
    <row r="53" spans="1:9" hidden="1" outlineLevel="1">
      <c r="A53" s="1250" t="s">
        <v>552</v>
      </c>
      <c r="B53" s="1305">
        <v>4019.7846253360653</v>
      </c>
      <c r="C53" s="1250">
        <v>5901.3146734129887</v>
      </c>
      <c r="D53" s="1250">
        <v>1026.8981167288769</v>
      </c>
      <c r="E53" s="1250">
        <v>1667.5165458055799</v>
      </c>
      <c r="I53" s="1308"/>
    </row>
    <row r="54" spans="1:9" hidden="1" outlineLevel="1">
      <c r="A54" s="1250" t="s">
        <v>558</v>
      </c>
      <c r="B54" s="1305">
        <v>6.8407311216099817E-2</v>
      </c>
      <c r="C54" s="1250">
        <v>0.10042654198533059</v>
      </c>
      <c r="D54" s="1250">
        <v>1.7475398710553106E-2</v>
      </c>
      <c r="E54" s="1250">
        <v>2.8377222647191315E-2</v>
      </c>
      <c r="I54" s="1308"/>
    </row>
    <row r="55" spans="1:9" hidden="1" outlineLevel="1">
      <c r="A55" s="1250" t="s">
        <v>620</v>
      </c>
      <c r="B55" s="1305">
        <v>1.2200000000000001E-2</v>
      </c>
      <c r="C55" s="1250">
        <v>9.7000000000000003E-3</v>
      </c>
      <c r="D55" s="1250">
        <v>2.5000000000000001E-3</v>
      </c>
      <c r="E55" s="1250" t="s">
        <v>619</v>
      </c>
      <c r="I55" s="1308"/>
    </row>
    <row r="56" spans="1:9" hidden="1" outlineLevel="1">
      <c r="A56" s="1250" t="s">
        <v>569</v>
      </c>
      <c r="I56" s="1308"/>
    </row>
    <row r="57" spans="1:9" hidden="1" outlineLevel="1">
      <c r="A57" s="1250" t="s">
        <v>63</v>
      </c>
      <c r="B57" s="1282">
        <v>21050.155495653511</v>
      </c>
      <c r="C57" s="1277">
        <v>23938.859447715524</v>
      </c>
      <c r="D57" s="1277">
        <v>23938.85944771552</v>
      </c>
      <c r="E57" s="1277">
        <v>25405.251595542959</v>
      </c>
      <c r="I57" s="1308"/>
    </row>
    <row r="58" spans="1:9" hidden="1" outlineLevel="1">
      <c r="A58" s="1250" t="s">
        <v>335</v>
      </c>
      <c r="B58" s="1282">
        <v>17335.231501773462</v>
      </c>
      <c r="C58" s="1277">
        <v>10487.827885630513</v>
      </c>
      <c r="D58" s="1277">
        <v>5332.7496751546278</v>
      </c>
      <c r="E58" s="1277">
        <v>7800.7337094003942</v>
      </c>
      <c r="I58" s="1308"/>
    </row>
    <row r="59" spans="1:9" hidden="1" outlineLevel="1">
      <c r="A59" s="1250" t="s">
        <v>604</v>
      </c>
      <c r="B59" s="1282">
        <v>14406.631692279212</v>
      </c>
      <c r="C59" s="1277">
        <v>9619.018273712858</v>
      </c>
      <c r="D59" s="1277">
        <v>3940.4518657505218</v>
      </c>
      <c r="E59" s="1277">
        <v>6400.8544135622942</v>
      </c>
      <c r="I59" s="1308"/>
    </row>
    <row r="60" spans="1:9" hidden="1" outlineLevel="1">
      <c r="A60" s="1250" t="s">
        <v>576</v>
      </c>
      <c r="B60" s="1282">
        <v>1328.5998094942486</v>
      </c>
      <c r="C60" s="1277">
        <v>1257.4358623293201</v>
      </c>
      <c r="D60" s="1277">
        <v>1392.2978094041048</v>
      </c>
      <c r="E60" s="1277">
        <v>1399.8792958381002</v>
      </c>
      <c r="I60" s="1308"/>
    </row>
    <row r="61" spans="1:9" hidden="1" outlineLevel="1">
      <c r="A61" s="1250" t="s">
        <v>568</v>
      </c>
      <c r="B61" s="1282">
        <v>1600.0000000000002</v>
      </c>
      <c r="C61" s="1277">
        <v>0</v>
      </c>
      <c r="D61" s="1277">
        <v>0</v>
      </c>
      <c r="E61" s="1277">
        <v>0</v>
      </c>
      <c r="I61" s="1308"/>
    </row>
    <row r="62" spans="1:9" collapsed="1">
      <c r="A62" s="1250" t="s">
        <v>574</v>
      </c>
      <c r="B62" s="1282"/>
      <c r="C62" s="1277"/>
      <c r="D62" s="1277"/>
      <c r="E62" s="1277"/>
      <c r="I62" s="1308"/>
    </row>
    <row r="63" spans="1:9">
      <c r="A63" s="1250" t="s">
        <v>575</v>
      </c>
      <c r="B63" s="1377">
        <v>84617091.422361463</v>
      </c>
      <c r="C63" s="1378">
        <v>141270742.52357477</v>
      </c>
      <c r="D63" s="1378">
        <v>24582769.683496349</v>
      </c>
      <c r="E63" s="1378">
        <v>42363677.385921493</v>
      </c>
      <c r="I63" s="1308"/>
    </row>
    <row r="64" spans="1:9">
      <c r="A64" s="1250" t="s">
        <v>335</v>
      </c>
      <c r="B64" s="1282">
        <v>66243788.376428649</v>
      </c>
      <c r="C64" s="1277">
        <v>61891972.593701266</v>
      </c>
      <c r="D64" s="1277">
        <v>5476190.5984028168</v>
      </c>
      <c r="E64" s="1277">
        <v>13007852.529848494</v>
      </c>
      <c r="I64" s="1308"/>
    </row>
    <row r="65" spans="1:9">
      <c r="A65" s="1250" t="s">
        <v>570</v>
      </c>
      <c r="B65" s="1282"/>
      <c r="C65" s="1277"/>
      <c r="D65" s="1277"/>
      <c r="E65" s="1277"/>
      <c r="I65" s="1308"/>
    </row>
    <row r="66" spans="1:9">
      <c r="A66" s="1250" t="s">
        <v>754</v>
      </c>
      <c r="B66" s="1381">
        <v>18373303.045932811</v>
      </c>
      <c r="C66" s="1382">
        <v>79378769.929873496</v>
      </c>
      <c r="D66" s="1382">
        <v>19106579.085093532</v>
      </c>
      <c r="E66" s="1382">
        <v>29355824.856072992</v>
      </c>
      <c r="I66" s="1308"/>
    </row>
    <row r="67" spans="1:9">
      <c r="A67" s="1250" t="s">
        <v>755</v>
      </c>
      <c r="B67" s="1282">
        <v>54520000.000000007</v>
      </c>
      <c r="C67" s="1277">
        <v>110415090.80942813</v>
      </c>
      <c r="D67" s="1277">
        <v>73252978.622327805</v>
      </c>
      <c r="E67" s="1277">
        <v>78121059.424854279</v>
      </c>
      <c r="I67" s="1308"/>
    </row>
    <row r="68" spans="1:9">
      <c r="A68" s="1250" t="s">
        <v>126</v>
      </c>
      <c r="B68" s="1381">
        <v>72893303.045932829</v>
      </c>
      <c r="C68" s="1382">
        <v>189793860.73930162</v>
      </c>
      <c r="D68" s="1382">
        <v>92359557.707421333</v>
      </c>
      <c r="E68" s="1382">
        <v>107476884.28092727</v>
      </c>
      <c r="I68" s="1308"/>
    </row>
    <row r="69" spans="1:9">
      <c r="B69" s="1282"/>
      <c r="C69" s="1306">
        <f>(C66-B66)/B66</f>
        <v>3.3203320454372576</v>
      </c>
      <c r="D69" s="1277"/>
      <c r="E69" s="1306">
        <f>(E66-D66)/D66</f>
        <v>0.53642495212424823</v>
      </c>
      <c r="G69" s="1384">
        <f>C67/B67</f>
        <v>2.0252217683314035</v>
      </c>
      <c r="I69" s="1308"/>
    </row>
    <row r="70" spans="1:9">
      <c r="A70" s="1364" t="s">
        <v>764</v>
      </c>
      <c r="B70" s="1282"/>
      <c r="C70" s="1383">
        <f>(C68-B68)/B68</f>
        <v>1.6037215053858285</v>
      </c>
      <c r="D70" s="1277"/>
      <c r="E70" s="1383">
        <f>(E68-D68)/D68</f>
        <v>0.16367907067501278</v>
      </c>
      <c r="G70" s="1384">
        <f>C68/B68</f>
        <v>2.6037215053858285</v>
      </c>
      <c r="I70" s="1308"/>
    </row>
    <row r="71" spans="1:9">
      <c r="A71" s="1250" t="s">
        <v>574</v>
      </c>
      <c r="B71" s="1282"/>
      <c r="C71" s="1277"/>
      <c r="D71" s="1277"/>
      <c r="E71" s="1277"/>
      <c r="I71" s="1308"/>
    </row>
    <row r="72" spans="1:9">
      <c r="A72" s="1250" t="s">
        <v>575</v>
      </c>
      <c r="B72" s="1282">
        <f t="shared" ref="B72:B77" si="0">B63-B147</f>
        <v>-50770254.85341689</v>
      </c>
      <c r="C72" s="1282">
        <f t="shared" ref="C72:E72" si="1">C63-C147</f>
        <v>-84762445.514144808</v>
      </c>
      <c r="D72" s="1282">
        <f t="shared" si="1"/>
        <v>-14749661.810097814</v>
      </c>
      <c r="E72" s="1282">
        <f t="shared" si="1"/>
        <v>-25418206.431552902</v>
      </c>
      <c r="I72" s="1308"/>
    </row>
    <row r="73" spans="1:9">
      <c r="A73" s="1250" t="s">
        <v>335</v>
      </c>
      <c r="B73" s="1282">
        <f t="shared" si="0"/>
        <v>-37705600.340679467</v>
      </c>
      <c r="C73" s="1282">
        <f t="shared" ref="C73:E77" si="2">C64-C148</f>
        <v>-36968150.795743816</v>
      </c>
      <c r="D73" s="1282">
        <f t="shared" si="2"/>
        <v>-1992162.3825884117</v>
      </c>
      <c r="E73" s="1282">
        <f t="shared" si="2"/>
        <v>-6681257.6637363508</v>
      </c>
      <c r="I73" s="1308"/>
    </row>
    <row r="74" spans="1:9">
      <c r="A74" s="1250" t="s">
        <v>570</v>
      </c>
      <c r="B74" s="1282">
        <f t="shared" si="0"/>
        <v>0</v>
      </c>
      <c r="C74" s="1282">
        <f t="shared" si="2"/>
        <v>0</v>
      </c>
      <c r="D74" s="1282">
        <f t="shared" si="2"/>
        <v>0</v>
      </c>
      <c r="E74" s="1282">
        <f t="shared" si="2"/>
        <v>0</v>
      </c>
      <c r="I74" s="1308"/>
    </row>
    <row r="75" spans="1:9">
      <c r="A75" s="1250" t="s">
        <v>754</v>
      </c>
      <c r="B75" s="1282">
        <f t="shared" si="0"/>
        <v>-13064654.512737431</v>
      </c>
      <c r="C75" s="1282">
        <f t="shared" si="2"/>
        <v>-47794294.718401</v>
      </c>
      <c r="D75" s="1282">
        <f t="shared" si="2"/>
        <v>-12757499.427509401</v>
      </c>
      <c r="E75" s="1282">
        <f t="shared" si="2"/>
        <v>-18736948.767816558</v>
      </c>
      <c r="I75" s="1308"/>
    </row>
    <row r="76" spans="1:9">
      <c r="A76" s="1250" t="s">
        <v>755</v>
      </c>
      <c r="B76" s="1282">
        <f t="shared" si="0"/>
        <v>0</v>
      </c>
      <c r="C76" s="1282">
        <f t="shared" si="2"/>
        <v>-26994654.485656857</v>
      </c>
      <c r="D76" s="1282">
        <f t="shared" si="2"/>
        <v>-4697387.1733966768</v>
      </c>
      <c r="E76" s="1282">
        <f t="shared" si="2"/>
        <v>-7618235.6549125463</v>
      </c>
      <c r="I76" s="1308"/>
    </row>
    <row r="77" spans="1:9">
      <c r="A77" s="1250" t="s">
        <v>126</v>
      </c>
      <c r="B77" s="1282">
        <f t="shared" si="0"/>
        <v>-13064654.512737423</v>
      </c>
      <c r="C77" s="1282">
        <f t="shared" si="2"/>
        <v>-74788949.204057872</v>
      </c>
      <c r="D77" s="1282">
        <f t="shared" si="2"/>
        <v>-17454886.600906074</v>
      </c>
      <c r="E77" s="1282">
        <f t="shared" si="2"/>
        <v>-26355184.422729105</v>
      </c>
      <c r="I77" s="1308"/>
    </row>
    <row r="78" spans="1:9">
      <c r="B78" s="1282"/>
      <c r="C78" s="1277"/>
      <c r="D78" s="1277"/>
      <c r="E78" s="1277"/>
      <c r="I78" s="1308"/>
    </row>
    <row r="79" spans="1:9">
      <c r="A79" s="1250" t="s">
        <v>574</v>
      </c>
      <c r="B79" s="1380">
        <f>B72/B147</f>
        <v>-0.37500000000000006</v>
      </c>
      <c r="C79" s="1380">
        <f t="shared" ref="C79:E79" si="3">C72/C147</f>
        <v>-0.37499999999999983</v>
      </c>
      <c r="D79" s="1380">
        <f t="shared" si="3"/>
        <v>-0.37500000000000006</v>
      </c>
      <c r="E79" s="1380">
        <f t="shared" si="3"/>
        <v>-0.37500000000000006</v>
      </c>
      <c r="I79" s="1308"/>
    </row>
    <row r="80" spans="1:9">
      <c r="A80" s="1250" t="s">
        <v>575</v>
      </c>
      <c r="B80" s="1380">
        <f t="shared" ref="B80:E85" si="4">B73/B148</f>
        <v>-0.36273037105867878</v>
      </c>
      <c r="C80" s="1380">
        <f t="shared" si="4"/>
        <v>-0.37394400824398288</v>
      </c>
      <c r="D80" s="1380">
        <f t="shared" si="4"/>
        <v>-0.26674721824998748</v>
      </c>
      <c r="E80" s="1380">
        <f t="shared" si="4"/>
        <v>-0.33933771501331</v>
      </c>
      <c r="I80" s="1308"/>
    </row>
    <row r="81" spans="1:9">
      <c r="A81" s="1250" t="s">
        <v>335</v>
      </c>
      <c r="B81" s="1380" t="e">
        <f t="shared" si="4"/>
        <v>#DIV/0!</v>
      </c>
      <c r="C81" s="1380" t="e">
        <f t="shared" si="4"/>
        <v>#DIV/0!</v>
      </c>
      <c r="D81" s="1380" t="e">
        <f t="shared" si="4"/>
        <v>#DIV/0!</v>
      </c>
      <c r="E81" s="1380" t="e">
        <f t="shared" si="4"/>
        <v>#DIV/0!</v>
      </c>
      <c r="I81" s="1308"/>
    </row>
    <row r="82" spans="1:9">
      <c r="A82" s="1250" t="s">
        <v>570</v>
      </c>
      <c r="B82" s="1380">
        <f t="shared" si="4"/>
        <v>-0.41556944303254661</v>
      </c>
      <c r="C82" s="1380">
        <f t="shared" si="4"/>
        <v>-0.37582089297436366</v>
      </c>
      <c r="D82" s="1380">
        <f t="shared" si="4"/>
        <v>-0.40037245773366814</v>
      </c>
      <c r="E82" s="1380">
        <f t="shared" si="4"/>
        <v>-0.38960008658159795</v>
      </c>
      <c r="I82" s="1308"/>
    </row>
    <row r="83" spans="1:9">
      <c r="A83" s="1250" t="s">
        <v>754</v>
      </c>
      <c r="B83" s="1380">
        <f t="shared" si="4"/>
        <v>0</v>
      </c>
      <c r="C83" s="1380">
        <f t="shared" si="4"/>
        <v>-0.19645371169043591</v>
      </c>
      <c r="D83" s="1380">
        <f t="shared" si="4"/>
        <v>-6.026125888500096E-2</v>
      </c>
      <c r="E83" s="1380">
        <f t="shared" si="4"/>
        <v>-8.8853490664052986E-2</v>
      </c>
      <c r="I83" s="1308"/>
    </row>
    <row r="84" spans="1:9">
      <c r="A84" s="1250" t="s">
        <v>755</v>
      </c>
      <c r="B84" s="1380">
        <f t="shared" si="4"/>
        <v>-0.15198888949659137</v>
      </c>
      <c r="C84" s="1380">
        <f t="shared" si="4"/>
        <v>-0.28266745379289115</v>
      </c>
      <c r="D84" s="1380">
        <f t="shared" si="4"/>
        <v>-0.15894891342251632</v>
      </c>
      <c r="E84" s="1380">
        <f t="shared" si="4"/>
        <v>-0.19692727369467214</v>
      </c>
      <c r="I84" s="1308"/>
    </row>
    <row r="85" spans="1:9">
      <c r="A85" s="1250" t="s">
        <v>126</v>
      </c>
      <c r="B85" s="1380" t="e">
        <f t="shared" si="4"/>
        <v>#DIV/0!</v>
      </c>
      <c r="C85" s="1380">
        <f t="shared" si="4"/>
        <v>0</v>
      </c>
      <c r="D85" s="1380" t="e">
        <f t="shared" si="4"/>
        <v>#DIV/0!</v>
      </c>
      <c r="E85" s="1380">
        <f t="shared" si="4"/>
        <v>0</v>
      </c>
      <c r="I85" s="1308"/>
    </row>
    <row r="86" spans="1:9">
      <c r="B86" s="1282"/>
      <c r="C86" s="1277"/>
      <c r="D86" s="1277"/>
      <c r="E86" s="1277"/>
      <c r="I86" s="1308"/>
    </row>
    <row r="87" spans="1:9">
      <c r="B87" s="1282"/>
      <c r="C87" s="1277"/>
      <c r="D87" s="1277"/>
      <c r="E87" s="1277"/>
      <c r="I87" s="1308"/>
    </row>
    <row r="88" spans="1:9">
      <c r="I88" s="1308"/>
    </row>
    <row r="89" spans="1:9" s="1357" customFormat="1">
      <c r="A89" s="1360" t="s">
        <v>758</v>
      </c>
      <c r="B89" s="1359"/>
      <c r="I89" s="1359"/>
    </row>
    <row r="90" spans="1:9" ht="40" hidden="1" outlineLevel="1">
      <c r="B90" s="1305" t="s">
        <v>549</v>
      </c>
      <c r="C90" s="1250" t="s">
        <v>550</v>
      </c>
      <c r="D90" s="1250" t="s">
        <v>551</v>
      </c>
      <c r="E90" s="1250" t="s">
        <v>753</v>
      </c>
      <c r="I90" s="1308"/>
    </row>
    <row r="91" spans="1:9" hidden="1" outlineLevel="1">
      <c r="A91" s="1250" t="s">
        <v>39</v>
      </c>
      <c r="I91" s="1308"/>
    </row>
    <row r="92" spans="1:9" hidden="1" outlineLevel="1">
      <c r="A92" s="1250" t="s">
        <v>553</v>
      </c>
      <c r="B92" s="1305">
        <v>58762.5</v>
      </c>
      <c r="C92" s="1250">
        <v>58762.5</v>
      </c>
      <c r="D92" s="1250">
        <v>58762.5</v>
      </c>
      <c r="E92" s="1250">
        <v>58762.5</v>
      </c>
      <c r="I92" s="1308"/>
    </row>
    <row r="93" spans="1:9" hidden="1" outlineLevel="1">
      <c r="A93" s="1250" t="s">
        <v>552</v>
      </c>
      <c r="B93" s="1305">
        <v>4019.7846253360653</v>
      </c>
      <c r="C93" s="1250">
        <v>5901.3146734129887</v>
      </c>
      <c r="D93" s="1250">
        <v>1026.8981167288769</v>
      </c>
      <c r="E93" s="1250">
        <v>1667.5165458055799</v>
      </c>
      <c r="I93" s="1308"/>
    </row>
    <row r="94" spans="1:9" hidden="1" outlineLevel="1">
      <c r="A94" s="1250" t="s">
        <v>558</v>
      </c>
      <c r="B94" s="1305">
        <v>6.8407311216099817E-2</v>
      </c>
      <c r="C94" s="1250">
        <v>0.10042654198533059</v>
      </c>
      <c r="D94" s="1250">
        <v>1.7475398710553106E-2</v>
      </c>
      <c r="E94" s="1250">
        <v>2.8377222647191315E-2</v>
      </c>
      <c r="I94" s="1308"/>
    </row>
    <row r="95" spans="1:9" hidden="1" outlineLevel="1">
      <c r="A95" s="1250" t="s">
        <v>620</v>
      </c>
      <c r="B95" s="1305">
        <v>1.2200000000000001E-2</v>
      </c>
      <c r="C95" s="1250">
        <v>9.7000000000000003E-3</v>
      </c>
      <c r="D95" s="1250">
        <v>2.5000000000000001E-3</v>
      </c>
      <c r="E95" s="1250" t="s">
        <v>619</v>
      </c>
      <c r="I95" s="1308"/>
    </row>
    <row r="96" spans="1:9" hidden="1" outlineLevel="1">
      <c r="A96" s="1250" t="s">
        <v>569</v>
      </c>
      <c r="I96" s="1308"/>
    </row>
    <row r="97" spans="1:9" hidden="1" outlineLevel="1">
      <c r="A97" s="1250" t="s">
        <v>63</v>
      </c>
      <c r="B97" s="1282">
        <v>21050.155495653511</v>
      </c>
      <c r="C97" s="1277">
        <v>23938.859447715524</v>
      </c>
      <c r="D97" s="1277">
        <v>23938.85944771552</v>
      </c>
      <c r="E97" s="1277">
        <v>25405.251595542959</v>
      </c>
      <c r="I97" s="1308"/>
    </row>
    <row r="98" spans="1:9" hidden="1" outlineLevel="1">
      <c r="A98" s="1250" t="s">
        <v>335</v>
      </c>
      <c r="B98" s="1282">
        <v>17339.655002178799</v>
      </c>
      <c r="C98" s="1277">
        <v>10689.275620185908</v>
      </c>
      <c r="D98" s="1277">
        <v>5804.7847816327867</v>
      </c>
      <c r="E98" s="1277">
        <v>8155.1789410140536</v>
      </c>
      <c r="I98" s="1308"/>
    </row>
    <row r="99" spans="1:9" hidden="1" outlineLevel="1">
      <c r="A99" s="1250" t="s">
        <v>604</v>
      </c>
      <c r="B99" s="1282">
        <v>14406.631692279212</v>
      </c>
      <c r="C99" s="1277">
        <v>9619.018273712858</v>
      </c>
      <c r="D99" s="1277">
        <v>3940.4518657505218</v>
      </c>
      <c r="E99" s="1277">
        <v>6400.8544135622942</v>
      </c>
      <c r="I99" s="1308"/>
    </row>
    <row r="100" spans="1:9" hidden="1" outlineLevel="1">
      <c r="A100" s="1250" t="s">
        <v>576</v>
      </c>
      <c r="B100" s="1282">
        <v>1333.0233098995873</v>
      </c>
      <c r="C100" s="1277">
        <v>1458.8835968847145</v>
      </c>
      <c r="D100" s="1277">
        <v>1864.3329158822646</v>
      </c>
      <c r="E100" s="1277">
        <v>1754.3245274517594</v>
      </c>
      <c r="I100" s="1308"/>
    </row>
    <row r="101" spans="1:9" hidden="1" outlineLevel="1">
      <c r="A101" s="1250" t="s">
        <v>568</v>
      </c>
      <c r="B101" s="1282">
        <v>1600.0000000000002</v>
      </c>
      <c r="C101" s="1277">
        <v>0</v>
      </c>
      <c r="D101" s="1277">
        <v>0</v>
      </c>
      <c r="E101" s="1277">
        <v>0</v>
      </c>
      <c r="I101" s="1308"/>
    </row>
    <row r="102" spans="1:9" collapsed="1">
      <c r="A102" s="1250" t="s">
        <v>574</v>
      </c>
      <c r="B102" s="1282"/>
      <c r="C102" s="1277"/>
      <c r="D102" s="1277"/>
      <c r="E102" s="1277"/>
      <c r="I102" s="1308"/>
    </row>
    <row r="103" spans="1:9">
      <c r="A103" s="1250" t="s">
        <v>575</v>
      </c>
      <c r="B103" s="1282">
        <v>84617091.422361463</v>
      </c>
      <c r="C103" s="1277">
        <v>141270742.52357477</v>
      </c>
      <c r="D103" s="1277">
        <v>24582769.683496349</v>
      </c>
      <c r="E103" s="1277">
        <v>42363677.385921493</v>
      </c>
      <c r="I103" s="1308"/>
    </row>
    <row r="104" spans="1:9">
      <c r="A104" s="1250" t="s">
        <v>335</v>
      </c>
      <c r="B104" s="1282">
        <v>66261569.895348206</v>
      </c>
      <c r="C104" s="1277">
        <v>63080779.065558821</v>
      </c>
      <c r="D104" s="1277">
        <v>5960922.5602751533</v>
      </c>
      <c r="E104" s="1277">
        <v>13598895.818146162</v>
      </c>
      <c r="I104" s="1308"/>
    </row>
    <row r="105" spans="1:9">
      <c r="A105" s="1250" t="s">
        <v>570</v>
      </c>
      <c r="B105" s="1282"/>
      <c r="C105" s="1277"/>
      <c r="D105" s="1277"/>
      <c r="E105" s="1277"/>
      <c r="I105" s="1308"/>
    </row>
    <row r="106" spans="1:9">
      <c r="A106" s="1250" t="s">
        <v>754</v>
      </c>
      <c r="B106" s="1381">
        <v>18355521.527013257</v>
      </c>
      <c r="C106" s="1382">
        <v>78189963.458015934</v>
      </c>
      <c r="D106" s="1382">
        <v>18621847.123221193</v>
      </c>
      <c r="E106" s="1382">
        <v>28764781.567775324</v>
      </c>
      <c r="I106" s="1308"/>
    </row>
    <row r="107" spans="1:9">
      <c r="A107" s="1250" t="s">
        <v>755</v>
      </c>
      <c r="B107" s="1282">
        <v>54520000.000000007</v>
      </c>
      <c r="C107" s="1277">
        <v>110415090.80942813</v>
      </c>
      <c r="D107" s="1277">
        <v>73252978.622327805</v>
      </c>
      <c r="E107" s="1277">
        <v>78121059.424854279</v>
      </c>
      <c r="I107" s="1308"/>
    </row>
    <row r="108" spans="1:9">
      <c r="A108" s="1250" t="s">
        <v>126</v>
      </c>
      <c r="B108" s="1381">
        <v>72875521.527013257</v>
      </c>
      <c r="C108" s="1382">
        <v>188605054.26744407</v>
      </c>
      <c r="D108" s="1382">
        <v>91874825.745548993</v>
      </c>
      <c r="E108" s="1382">
        <v>106885840.99262959</v>
      </c>
      <c r="I108" s="1308"/>
    </row>
    <row r="109" spans="1:9">
      <c r="I109" s="1308"/>
    </row>
    <row r="110" spans="1:9">
      <c r="A110" s="1364" t="s">
        <v>767</v>
      </c>
      <c r="B110" s="1358"/>
      <c r="C110" s="1363"/>
      <c r="D110" s="1363"/>
      <c r="E110" s="1363"/>
      <c r="I110" s="1308"/>
    </row>
    <row r="111" spans="1:9">
      <c r="A111" s="1250" t="s">
        <v>574</v>
      </c>
      <c r="I111" s="1308"/>
    </row>
    <row r="112" spans="1:9">
      <c r="A112" s="1250" t="s">
        <v>575</v>
      </c>
      <c r="B112" s="1282">
        <f t="shared" ref="B112:B117" si="5">B103-B63</f>
        <v>0</v>
      </c>
      <c r="C112" s="1282">
        <f t="shared" ref="C112:E112" si="6">C103-C63</f>
        <v>0</v>
      </c>
      <c r="D112" s="1282">
        <f t="shared" si="6"/>
        <v>0</v>
      </c>
      <c r="E112" s="1282">
        <f t="shared" si="6"/>
        <v>0</v>
      </c>
      <c r="I112" s="1308"/>
    </row>
    <row r="113" spans="1:9">
      <c r="A113" s="1250" t="s">
        <v>335</v>
      </c>
      <c r="B113" s="1282">
        <f t="shared" si="5"/>
        <v>17781.518919557333</v>
      </c>
      <c r="C113" s="1282">
        <f t="shared" ref="C113:E117" si="7">C104-C64</f>
        <v>1188806.4718575552</v>
      </c>
      <c r="D113" s="1282">
        <f t="shared" si="7"/>
        <v>484731.96187233645</v>
      </c>
      <c r="E113" s="1282">
        <f t="shared" si="7"/>
        <v>591043.2882976681</v>
      </c>
      <c r="I113" s="1308"/>
    </row>
    <row r="114" spans="1:9">
      <c r="A114" s="1250" t="s">
        <v>570</v>
      </c>
      <c r="B114" s="1282">
        <f t="shared" si="5"/>
        <v>0</v>
      </c>
      <c r="C114" s="1282">
        <f t="shared" si="7"/>
        <v>0</v>
      </c>
      <c r="D114" s="1282">
        <f t="shared" si="7"/>
        <v>0</v>
      </c>
      <c r="E114" s="1282">
        <f t="shared" si="7"/>
        <v>0</v>
      </c>
      <c r="I114" s="1308"/>
    </row>
    <row r="115" spans="1:9">
      <c r="A115" s="1250" t="s">
        <v>754</v>
      </c>
      <c r="B115" s="1282">
        <f t="shared" si="5"/>
        <v>-17781.518919553608</v>
      </c>
      <c r="C115" s="1282">
        <f t="shared" si="7"/>
        <v>-1188806.4718575627</v>
      </c>
      <c r="D115" s="1282">
        <f t="shared" si="7"/>
        <v>-484731.96187233925</v>
      </c>
      <c r="E115" s="1282">
        <f t="shared" si="7"/>
        <v>-591043.2882976681</v>
      </c>
      <c r="I115" s="1308"/>
    </row>
    <row r="116" spans="1:9">
      <c r="A116" s="1250" t="s">
        <v>755</v>
      </c>
      <c r="B116" s="1282">
        <f t="shared" si="5"/>
        <v>0</v>
      </c>
      <c r="C116" s="1282">
        <f t="shared" si="7"/>
        <v>0</v>
      </c>
      <c r="D116" s="1282">
        <f t="shared" si="7"/>
        <v>0</v>
      </c>
      <c r="E116" s="1282">
        <f t="shared" si="7"/>
        <v>0</v>
      </c>
      <c r="I116" s="1308"/>
    </row>
    <row r="117" spans="1:9">
      <c r="A117" s="1250" t="s">
        <v>126</v>
      </c>
      <c r="B117" s="1282">
        <f t="shared" si="5"/>
        <v>-17781.518919572234</v>
      </c>
      <c r="C117" s="1282">
        <f t="shared" si="7"/>
        <v>-1188806.4718575478</v>
      </c>
      <c r="D117" s="1282">
        <f t="shared" si="7"/>
        <v>-484731.96187233925</v>
      </c>
      <c r="E117" s="1282">
        <f t="shared" si="7"/>
        <v>-591043.288297683</v>
      </c>
      <c r="I117" s="1308"/>
    </row>
    <row r="118" spans="1:9">
      <c r="B118" s="1358"/>
      <c r="C118" s="1358"/>
      <c r="D118" s="1358"/>
      <c r="E118" s="1358"/>
      <c r="I118" s="1308"/>
    </row>
    <row r="119" spans="1:9">
      <c r="B119" s="1362"/>
      <c r="C119" s="1362"/>
      <c r="D119" s="1362"/>
      <c r="E119" s="1362"/>
      <c r="I119" s="1308"/>
    </row>
    <row r="120" spans="1:9">
      <c r="A120" s="1250" t="s">
        <v>574</v>
      </c>
      <c r="B120" s="1306"/>
      <c r="C120" s="1306"/>
      <c r="D120" s="1306"/>
      <c r="E120" s="1306"/>
      <c r="I120" s="1308"/>
    </row>
    <row r="121" spans="1:9">
      <c r="A121" s="1250" t="s">
        <v>575</v>
      </c>
      <c r="B121" s="1306">
        <f>B112/B103</f>
        <v>0</v>
      </c>
      <c r="C121" s="1306">
        <f t="shared" ref="C121:E121" si="8">C112/C103</f>
        <v>0</v>
      </c>
      <c r="D121" s="1306">
        <f t="shared" si="8"/>
        <v>0</v>
      </c>
      <c r="E121" s="1306">
        <f t="shared" si="8"/>
        <v>0</v>
      </c>
      <c r="I121" s="1308"/>
    </row>
    <row r="122" spans="1:9">
      <c r="A122" s="1250" t="s">
        <v>335</v>
      </c>
      <c r="B122" s="1306">
        <f t="shared" ref="B122:E126" si="9">B113/B104</f>
        <v>2.6835342035573561E-4</v>
      </c>
      <c r="C122" s="1306">
        <f t="shared" si="9"/>
        <v>1.8845779799612938E-2</v>
      </c>
      <c r="D122" s="1376">
        <f t="shared" si="9"/>
        <v>8.1318278667582872E-2</v>
      </c>
      <c r="E122" s="1306">
        <f t="shared" si="9"/>
        <v>4.3462594037156223E-2</v>
      </c>
      <c r="I122" s="1308"/>
    </row>
    <row r="123" spans="1:9">
      <c r="A123" s="1250" t="s">
        <v>570</v>
      </c>
      <c r="B123" s="1306" t="e">
        <f t="shared" si="9"/>
        <v>#DIV/0!</v>
      </c>
      <c r="C123" s="1306" t="e">
        <f t="shared" si="9"/>
        <v>#DIV/0!</v>
      </c>
      <c r="D123" s="1306" t="e">
        <f t="shared" si="9"/>
        <v>#DIV/0!</v>
      </c>
      <c r="E123" s="1306" t="e">
        <f t="shared" si="9"/>
        <v>#DIV/0!</v>
      </c>
      <c r="I123" s="1308"/>
    </row>
    <row r="124" spans="1:9">
      <c r="A124" s="1357" t="s">
        <v>754</v>
      </c>
      <c r="B124" s="1306">
        <f t="shared" si="9"/>
        <v>-9.6872861353381281E-4</v>
      </c>
      <c r="C124" s="1306">
        <f t="shared" si="9"/>
        <v>-1.5204080156603369E-2</v>
      </c>
      <c r="D124" s="1306">
        <f t="shared" si="9"/>
        <v>-2.6030283605318887E-2</v>
      </c>
      <c r="E124" s="1306">
        <f t="shared" si="9"/>
        <v>-2.0547463115791687E-2</v>
      </c>
      <c r="I124" s="1308"/>
    </row>
    <row r="125" spans="1:9">
      <c r="A125" s="1357" t="s">
        <v>755</v>
      </c>
      <c r="B125" s="1306">
        <f t="shared" si="9"/>
        <v>0</v>
      </c>
      <c r="C125" s="1306">
        <f t="shared" si="9"/>
        <v>0</v>
      </c>
      <c r="D125" s="1306">
        <f t="shared" si="9"/>
        <v>0</v>
      </c>
      <c r="E125" s="1306">
        <f t="shared" si="9"/>
        <v>0</v>
      </c>
      <c r="I125" s="1308"/>
    </row>
    <row r="126" spans="1:9">
      <c r="A126" s="1357" t="s">
        <v>126</v>
      </c>
      <c r="B126" s="1306">
        <f t="shared" si="9"/>
        <v>-2.4399851345120103E-4</v>
      </c>
      <c r="C126" s="1306">
        <f t="shared" si="9"/>
        <v>-6.3031527785666177E-3</v>
      </c>
      <c r="D126" s="1306">
        <f t="shared" si="9"/>
        <v>-5.2760041495460768E-3</v>
      </c>
      <c r="E126" s="1306">
        <f t="shared" si="9"/>
        <v>-5.5296686895922815E-3</v>
      </c>
      <c r="I126" s="1308"/>
    </row>
    <row r="127" spans="1:9">
      <c r="I127" s="1308"/>
    </row>
    <row r="128" spans="1:9">
      <c r="I128" s="1308"/>
    </row>
    <row r="129" spans="1:9">
      <c r="I129" s="1308"/>
    </row>
    <row r="130" spans="1:9">
      <c r="C130" s="1277"/>
    </row>
    <row r="131" spans="1:9">
      <c r="C131" s="1306"/>
    </row>
    <row r="132" spans="1:9" s="1357" customFormat="1">
      <c r="A132" s="1360" t="s">
        <v>756</v>
      </c>
      <c r="B132" s="1359"/>
      <c r="I132" s="1359"/>
    </row>
    <row r="133" spans="1:9" hidden="1" outlineLevel="1">
      <c r="B133" s="1250"/>
    </row>
    <row r="134" spans="1:9" hidden="1" outlineLevel="1">
      <c r="B134" s="1250" t="s">
        <v>549</v>
      </c>
      <c r="C134" s="1250" t="s">
        <v>550</v>
      </c>
      <c r="D134" s="1250" t="s">
        <v>551</v>
      </c>
      <c r="E134" s="1250" t="s">
        <v>753</v>
      </c>
    </row>
    <row r="135" spans="1:9" hidden="1" outlineLevel="1">
      <c r="A135" s="1250" t="s">
        <v>39</v>
      </c>
      <c r="B135" s="1250"/>
    </row>
    <row r="136" spans="1:9" hidden="1" outlineLevel="1">
      <c r="A136" s="1250" t="s">
        <v>553</v>
      </c>
      <c r="B136" s="1305">
        <v>94020</v>
      </c>
      <c r="C136" s="1250">
        <v>94020</v>
      </c>
      <c r="D136" s="1250">
        <v>94020</v>
      </c>
      <c r="E136" s="1250">
        <v>94020</v>
      </c>
    </row>
    <row r="137" spans="1:9" hidden="1" outlineLevel="1">
      <c r="A137" s="1250" t="s">
        <v>552</v>
      </c>
      <c r="B137" s="1305">
        <v>6431.6554005377047</v>
      </c>
      <c r="C137" s="1250">
        <v>9442.1034774607833</v>
      </c>
      <c r="D137" s="1250">
        <v>1643.0369867662032</v>
      </c>
      <c r="E137" s="1250">
        <v>2668.0264732889282</v>
      </c>
    </row>
    <row r="138" spans="1:9" hidden="1" outlineLevel="1">
      <c r="A138" s="1250" t="s">
        <v>558</v>
      </c>
      <c r="B138" s="1305">
        <v>6.8407311216099817E-2</v>
      </c>
      <c r="C138" s="1250">
        <v>0.1004265419853306</v>
      </c>
      <c r="D138" s="1250">
        <v>1.7475398710553106E-2</v>
      </c>
      <c r="E138" s="1250">
        <v>2.8377222647191318E-2</v>
      </c>
    </row>
    <row r="139" spans="1:9" hidden="1" outlineLevel="1">
      <c r="A139" s="1250" t="s">
        <v>620</v>
      </c>
      <c r="B139" s="1305">
        <v>1.2200000000000001E-2</v>
      </c>
      <c r="C139" s="1250">
        <v>9.7000000000000003E-3</v>
      </c>
      <c r="D139" s="1250">
        <v>2.5000000000000001E-3</v>
      </c>
      <c r="E139" s="1250" t="s">
        <v>619</v>
      </c>
    </row>
    <row r="140" spans="1:9" hidden="1" outlineLevel="1">
      <c r="A140" s="1250" t="s">
        <v>569</v>
      </c>
    </row>
    <row r="141" spans="1:9" hidden="1" outlineLevel="1">
      <c r="A141" s="1250" t="s">
        <v>63</v>
      </c>
      <c r="B141" s="1305">
        <v>21050.155495653511</v>
      </c>
      <c r="C141" s="1250">
        <v>23938.859447715513</v>
      </c>
      <c r="D141" s="1250">
        <v>23938.85944771552</v>
      </c>
      <c r="E141" s="1250">
        <v>25405.251595542959</v>
      </c>
    </row>
    <row r="142" spans="1:9" hidden="1" outlineLevel="1">
      <c r="A142" s="1250" t="s">
        <v>335</v>
      </c>
      <c r="B142" s="1305">
        <v>17017.945739696228</v>
      </c>
      <c r="C142" s="1250">
        <v>10470.137679112899</v>
      </c>
      <c r="D142" s="1250">
        <v>4545.4563963835717</v>
      </c>
      <c r="E142" s="1250">
        <v>7379.6532345924197</v>
      </c>
    </row>
    <row r="143" spans="1:9" hidden="1" outlineLevel="1">
      <c r="A143" s="1250" t="s">
        <v>604</v>
      </c>
      <c r="B143" s="1305">
        <v>14126.765951983249</v>
      </c>
      <c r="C143" s="1250">
        <v>9428.3827861547343</v>
      </c>
      <c r="D143" s="1250">
        <v>2844.9196199775706</v>
      </c>
      <c r="E143" s="1250">
        <v>5726.1984391854339</v>
      </c>
    </row>
    <row r="144" spans="1:9" hidden="1" outlineLevel="1">
      <c r="A144" s="1250" t="s">
        <v>576</v>
      </c>
      <c r="B144" s="1305">
        <v>1291.1797877129793</v>
      </c>
      <c r="C144" s="1250">
        <v>1430.3811433698338</v>
      </c>
      <c r="D144" s="1250">
        <v>1700.5367764060015</v>
      </c>
      <c r="E144" s="1250">
        <v>1653.4547954069858</v>
      </c>
    </row>
    <row r="145" spans="1:7" hidden="1" outlineLevel="1">
      <c r="A145" s="1250" t="s">
        <v>568</v>
      </c>
      <c r="B145" s="1305">
        <v>1600.0000000000002</v>
      </c>
      <c r="C145" s="1250">
        <v>0</v>
      </c>
      <c r="D145" s="1250">
        <v>0</v>
      </c>
      <c r="E145" s="1250">
        <v>0</v>
      </c>
    </row>
    <row r="146" spans="1:7" collapsed="1">
      <c r="A146" s="1250" t="s">
        <v>574</v>
      </c>
    </row>
    <row r="147" spans="1:7">
      <c r="A147" s="1250" t="s">
        <v>575</v>
      </c>
      <c r="B147" s="1282">
        <v>135387346.27577835</v>
      </c>
      <c r="C147" s="1277">
        <v>226033188.03771958</v>
      </c>
      <c r="D147" s="1277">
        <v>39332431.493594162</v>
      </c>
      <c r="E147" s="1277">
        <v>67781883.817474395</v>
      </c>
    </row>
    <row r="148" spans="1:7">
      <c r="A148" s="1250" t="s">
        <v>335</v>
      </c>
      <c r="B148" s="1282">
        <v>103949388.71710812</v>
      </c>
      <c r="C148" s="1277">
        <v>98860123.389445081</v>
      </c>
      <c r="D148" s="1277">
        <v>7468352.9809912285</v>
      </c>
      <c r="E148" s="1277">
        <v>19689110.193584844</v>
      </c>
    </row>
    <row r="149" spans="1:7">
      <c r="A149" s="1250" t="s">
        <v>570</v>
      </c>
      <c r="B149" s="1282"/>
      <c r="C149" s="1277"/>
      <c r="D149" s="1277"/>
      <c r="E149" s="1277"/>
    </row>
    <row r="150" spans="1:7">
      <c r="A150" s="1379" t="s">
        <v>754</v>
      </c>
      <c r="B150" s="1386">
        <v>31437957.558670241</v>
      </c>
      <c r="C150" s="1387">
        <v>127173064.6482745</v>
      </c>
      <c r="D150" s="1387">
        <v>31864078.512602933</v>
      </c>
      <c r="E150" s="1387">
        <v>48092773.623889551</v>
      </c>
    </row>
    <row r="151" spans="1:7">
      <c r="A151" s="1250" t="s">
        <v>755</v>
      </c>
      <c r="B151" s="1358">
        <v>54520000.000000007</v>
      </c>
      <c r="C151" s="1363">
        <v>137409745.29508498</v>
      </c>
      <c r="D151" s="1363">
        <v>77950365.795724481</v>
      </c>
      <c r="E151" s="1363">
        <v>85739295.079766825</v>
      </c>
    </row>
    <row r="152" spans="1:7">
      <c r="A152" s="1379" t="s">
        <v>126</v>
      </c>
      <c r="B152" s="1386">
        <v>85957957.558670253</v>
      </c>
      <c r="C152" s="1387">
        <v>264582809.94335949</v>
      </c>
      <c r="D152" s="1387">
        <v>109814444.30832741</v>
      </c>
      <c r="E152" s="1387">
        <v>133832068.70365638</v>
      </c>
    </row>
    <row r="153" spans="1:7">
      <c r="B153" s="1358"/>
      <c r="C153" s="1306">
        <f>(C150-B150)/B150</f>
        <v>3.0452075937484548</v>
      </c>
      <c r="D153" s="1363"/>
      <c r="E153" s="1306">
        <f>(E150-D150)/D150</f>
        <v>0.50931004029718974</v>
      </c>
      <c r="G153" s="1384">
        <f>C151/B151</f>
        <v>2.5203548293302451</v>
      </c>
    </row>
    <row r="154" spans="1:7">
      <c r="A154" s="1364" t="s">
        <v>759</v>
      </c>
      <c r="B154" s="1358"/>
      <c r="C154" s="1383">
        <f>(C152-B152)/B152</f>
        <v>2.0780490539548895</v>
      </c>
      <c r="D154" s="1363"/>
      <c r="E154" s="1383">
        <f>(E152-D152)/D152</f>
        <v>0.21871097692662708</v>
      </c>
      <c r="G154" s="1384">
        <f>C152/B152</f>
        <v>3.0780490539548895</v>
      </c>
    </row>
    <row r="155" spans="1:7">
      <c r="A155" s="1250" t="s">
        <v>574</v>
      </c>
    </row>
    <row r="156" spans="1:7">
      <c r="A156" s="1250" t="s">
        <v>575</v>
      </c>
      <c r="B156" s="1282">
        <f>B147-B103</f>
        <v>50770254.85341689</v>
      </c>
      <c r="C156" s="1282">
        <f t="shared" ref="C156:E156" si="10">C147-C103</f>
        <v>84762445.514144808</v>
      </c>
      <c r="D156" s="1282">
        <f t="shared" si="10"/>
        <v>14749661.810097814</v>
      </c>
      <c r="E156" s="1282">
        <f t="shared" si="10"/>
        <v>25418206.431552902</v>
      </c>
    </row>
    <row r="157" spans="1:7">
      <c r="A157" s="1250" t="s">
        <v>335</v>
      </c>
      <c r="B157" s="1282">
        <f>B148-B104</f>
        <v>37687818.821759909</v>
      </c>
      <c r="C157" s="1282">
        <f>C148-C104</f>
        <v>35779344.32388626</v>
      </c>
      <c r="D157" s="1282">
        <f>D148-D104</f>
        <v>1507430.4207160752</v>
      </c>
      <c r="E157" s="1282">
        <f>E148-E104</f>
        <v>6090214.3754386827</v>
      </c>
    </row>
    <row r="158" spans="1:7">
      <c r="A158" s="1250" t="s">
        <v>570</v>
      </c>
      <c r="B158" s="1282"/>
      <c r="C158" s="1282"/>
      <c r="D158" s="1282"/>
      <c r="E158" s="1282"/>
    </row>
    <row r="159" spans="1:7">
      <c r="A159" s="1250" t="s">
        <v>754</v>
      </c>
      <c r="B159" s="1282">
        <f t="shared" ref="B159:E160" si="11">B150-B106</f>
        <v>13082436.031656984</v>
      </c>
      <c r="C159" s="1282">
        <f t="shared" si="11"/>
        <v>48983101.190258563</v>
      </c>
      <c r="D159" s="1282">
        <f t="shared" si="11"/>
        <v>13242231.38938174</v>
      </c>
      <c r="E159" s="1282">
        <f t="shared" si="11"/>
        <v>19327992.056114227</v>
      </c>
    </row>
    <row r="160" spans="1:7">
      <c r="A160" s="1250" t="s">
        <v>755</v>
      </c>
      <c r="B160" s="1282">
        <f t="shared" si="11"/>
        <v>0</v>
      </c>
      <c r="C160" s="1282">
        <f t="shared" si="11"/>
        <v>26994654.485656857</v>
      </c>
      <c r="D160" s="1282">
        <f t="shared" si="11"/>
        <v>4697387.1733966768</v>
      </c>
      <c r="E160" s="1282">
        <f t="shared" si="11"/>
        <v>7618235.6549125463</v>
      </c>
    </row>
    <row r="161" spans="1:5">
      <c r="A161" s="1250" t="s">
        <v>126</v>
      </c>
      <c r="B161" s="1358">
        <f>B152-B108</f>
        <v>13082436.031656995</v>
      </c>
      <c r="C161" s="1358">
        <f t="shared" ref="C161:E161" si="12">C152-C108</f>
        <v>75977755.67591542</v>
      </c>
      <c r="D161" s="1358">
        <f t="shared" si="12"/>
        <v>17939618.562778413</v>
      </c>
      <c r="E161" s="1358">
        <f t="shared" si="12"/>
        <v>26946227.711026788</v>
      </c>
    </row>
    <row r="162" spans="1:5">
      <c r="B162" s="1358"/>
      <c r="C162" s="1358"/>
      <c r="D162" s="1358"/>
      <c r="E162" s="1358"/>
    </row>
    <row r="163" spans="1:5">
      <c r="B163" s="1362"/>
      <c r="C163" s="1362"/>
      <c r="D163" s="1362"/>
      <c r="E163" s="1362"/>
    </row>
    <row r="164" spans="1:5">
      <c r="A164" s="1250" t="s">
        <v>574</v>
      </c>
      <c r="B164" s="1306"/>
      <c r="C164" s="1306"/>
      <c r="D164" s="1306"/>
      <c r="E164" s="1306"/>
    </row>
    <row r="165" spans="1:5">
      <c r="A165" s="1250" t="s">
        <v>575</v>
      </c>
      <c r="B165" s="1306">
        <f>B156/B147</f>
        <v>0.37500000000000006</v>
      </c>
      <c r="C165" s="1306">
        <f t="shared" ref="C165:E165" si="13">C156/C147</f>
        <v>0.37499999999999983</v>
      </c>
      <c r="D165" s="1306">
        <f t="shared" si="13"/>
        <v>0.37500000000000006</v>
      </c>
      <c r="E165" s="1306">
        <f t="shared" si="13"/>
        <v>0.37500000000000006</v>
      </c>
    </row>
    <row r="166" spans="1:5">
      <c r="A166" s="1250" t="s">
        <v>335</v>
      </c>
      <c r="B166" s="1306">
        <f t="shared" ref="B166:E170" si="14">B157/B148</f>
        <v>0.36255931166969146</v>
      </c>
      <c r="C166" s="1306">
        <f t="shared" si="14"/>
        <v>0.36191887180778376</v>
      </c>
      <c r="D166" s="1306">
        <f t="shared" si="14"/>
        <v>0.20184241753876009</v>
      </c>
      <c r="E166" s="1306">
        <f t="shared" si="14"/>
        <v>0.30931892378879627</v>
      </c>
    </row>
    <row r="167" spans="1:5">
      <c r="A167" s="1250" t="s">
        <v>570</v>
      </c>
      <c r="B167" s="1306" t="e">
        <f t="shared" si="14"/>
        <v>#DIV/0!</v>
      </c>
      <c r="C167" s="1306" t="e">
        <f t="shared" si="14"/>
        <v>#DIV/0!</v>
      </c>
      <c r="D167" s="1306" t="e">
        <f t="shared" si="14"/>
        <v>#DIV/0!</v>
      </c>
      <c r="E167" s="1306" t="e">
        <f t="shared" si="14"/>
        <v>#DIV/0!</v>
      </c>
    </row>
    <row r="168" spans="1:5">
      <c r="A168" s="1357" t="s">
        <v>754</v>
      </c>
      <c r="B168" s="1306">
        <f t="shared" si="14"/>
        <v>0.41613504971632587</v>
      </c>
      <c r="C168" s="1306">
        <f t="shared" si="14"/>
        <v>0.38516883528546131</v>
      </c>
      <c r="D168" s="1306">
        <f t="shared" si="14"/>
        <v>0.41558494729870038</v>
      </c>
      <c r="E168" s="1306">
        <f t="shared" si="14"/>
        <v>0.40188973518701904</v>
      </c>
    </row>
    <row r="169" spans="1:5">
      <c r="A169" s="1357" t="s">
        <v>755</v>
      </c>
      <c r="B169" s="1306">
        <f t="shared" si="14"/>
        <v>0</v>
      </c>
      <c r="C169" s="1306">
        <f t="shared" si="14"/>
        <v>0.19645371169043591</v>
      </c>
      <c r="D169" s="1306">
        <f t="shared" si="14"/>
        <v>6.026125888500096E-2</v>
      </c>
      <c r="E169" s="1306">
        <f t="shared" si="14"/>
        <v>8.8853490664052986E-2</v>
      </c>
    </row>
    <row r="170" spans="1:5">
      <c r="A170" s="1357" t="s">
        <v>126</v>
      </c>
      <c r="B170" s="1306">
        <f t="shared" si="14"/>
        <v>0.15219575247268563</v>
      </c>
      <c r="C170" s="1306">
        <f t="shared" si="14"/>
        <v>0.28716058950383189</v>
      </c>
      <c r="D170" s="1306">
        <f t="shared" si="14"/>
        <v>0.16336301363424577</v>
      </c>
      <c r="E170" s="1306">
        <f t="shared" si="14"/>
        <v>0.20134357909906986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1D7534-17A8-A844-97D4-D13FB3AE5477}">
  <dimension ref="A1:E16"/>
  <sheetViews>
    <sheetView workbookViewId="0">
      <selection activeCell="B13" sqref="B13:C16"/>
    </sheetView>
  </sheetViews>
  <sheetFormatPr baseColWidth="10" defaultRowHeight="16"/>
  <cols>
    <col min="1" max="1" width="56.83203125" style="95" customWidth="1"/>
    <col min="2" max="2" width="29.83203125" style="95" customWidth="1"/>
    <col min="3" max="3" width="35.1640625" style="93" customWidth="1"/>
    <col min="4" max="4" width="19.33203125" style="95" customWidth="1"/>
    <col min="5" max="5" width="24" style="95" customWidth="1"/>
    <col min="6" max="16384" width="10.83203125" style="95"/>
  </cols>
  <sheetData>
    <row r="1" spans="1:5" s="93" customFormat="1" ht="57" customHeight="1">
      <c r="A1" s="2061" t="s">
        <v>1148</v>
      </c>
      <c r="B1" s="2062" t="s">
        <v>1149</v>
      </c>
      <c r="C1" s="2063" t="s">
        <v>1150</v>
      </c>
      <c r="D1" s="93" t="s">
        <v>1151</v>
      </c>
      <c r="E1" s="93" t="s">
        <v>1154</v>
      </c>
    </row>
    <row r="2" spans="1:5" s="2066" customFormat="1">
      <c r="A2" s="2058" t="s">
        <v>835</v>
      </c>
      <c r="B2" s="2064">
        <f>SUM(B3:B5)</f>
        <v>7046442.5999999996</v>
      </c>
      <c r="C2" s="2065">
        <f>SUM(C3:C5)</f>
        <v>7046442.5999999996</v>
      </c>
    </row>
    <row r="3" spans="1:5">
      <c r="A3" s="1134" t="s">
        <v>808</v>
      </c>
      <c r="B3" s="2067">
        <v>4500000</v>
      </c>
      <c r="C3" s="2068">
        <v>4500000</v>
      </c>
      <c r="D3" s="95" t="s">
        <v>1152</v>
      </c>
      <c r="E3" s="2069" t="s">
        <v>1153</v>
      </c>
    </row>
    <row r="4" spans="1:5">
      <c r="A4" s="1134" t="s">
        <v>809</v>
      </c>
      <c r="B4" s="2067">
        <v>1500000</v>
      </c>
      <c r="C4" s="2068">
        <v>1500000</v>
      </c>
      <c r="D4" s="95" t="s">
        <v>1152</v>
      </c>
      <c r="E4" s="2069" t="s">
        <v>1152</v>
      </c>
    </row>
    <row r="5" spans="1:5" ht="34">
      <c r="A5" s="2070" t="s">
        <v>811</v>
      </c>
      <c r="B5" s="2067">
        <f>Воронка!R53</f>
        <v>1046442.6</v>
      </c>
      <c r="C5" s="2068">
        <f>B5</f>
        <v>1046442.6</v>
      </c>
      <c r="D5" s="95" t="s">
        <v>1152</v>
      </c>
      <c r="E5" s="95" t="s">
        <v>1152</v>
      </c>
    </row>
    <row r="6" spans="1:5" s="2066" customFormat="1">
      <c r="A6" s="2058" t="s">
        <v>841</v>
      </c>
      <c r="B6" s="2064">
        <f>SUM(B7:B9)</f>
        <v>3072857.1428571427</v>
      </c>
      <c r="C6" s="2065">
        <f>SUM(C7:C9)</f>
        <v>500000</v>
      </c>
    </row>
    <row r="7" spans="1:5">
      <c r="A7" s="2059" t="s">
        <v>782</v>
      </c>
      <c r="B7" s="2071">
        <v>1800000</v>
      </c>
      <c r="C7" s="2072">
        <v>500000</v>
      </c>
      <c r="D7" s="95" t="s">
        <v>1152</v>
      </c>
      <c r="E7" s="2069" t="s">
        <v>1153</v>
      </c>
    </row>
    <row r="8" spans="1:5">
      <c r="A8" s="2059" t="s">
        <v>783</v>
      </c>
      <c r="B8" s="2071"/>
      <c r="C8" s="2068"/>
      <c r="D8" s="95" t="s">
        <v>1153</v>
      </c>
      <c r="E8" s="95" t="s">
        <v>1153</v>
      </c>
    </row>
    <row r="9" spans="1:5">
      <c r="A9" s="2059" t="s">
        <v>842</v>
      </c>
      <c r="B9" s="2067">
        <v>1272857.142857143</v>
      </c>
      <c r="C9" s="2068">
        <v>0</v>
      </c>
      <c r="D9" s="95" t="s">
        <v>1152</v>
      </c>
      <c r="E9" s="2069" t="s">
        <v>1153</v>
      </c>
    </row>
    <row r="10" spans="1:5" s="2066" customFormat="1">
      <c r="A10" s="2058" t="s">
        <v>900</v>
      </c>
      <c r="B10" s="2073">
        <v>1272857.142857143</v>
      </c>
      <c r="C10" s="2065">
        <v>1272857.142857143</v>
      </c>
      <c r="D10" s="2066" t="s">
        <v>1152</v>
      </c>
      <c r="E10" s="2074" t="s">
        <v>1153</v>
      </c>
    </row>
    <row r="11" spans="1:5" s="2066" customFormat="1">
      <c r="A11" s="2060" t="s">
        <v>844</v>
      </c>
      <c r="B11" s="2075">
        <f>Воронка!R55</f>
        <v>7956567.1341326414</v>
      </c>
      <c r="C11" s="2076">
        <f>B11</f>
        <v>7956567.1341326414</v>
      </c>
      <c r="D11" s="2066" t="s">
        <v>1152</v>
      </c>
      <c r="E11" s="2066" t="s">
        <v>1152</v>
      </c>
    </row>
    <row r="12" spans="1:5">
      <c r="B12" s="2077"/>
      <c r="C12" s="2077"/>
    </row>
    <row r="13" spans="1:5" s="2066" customFormat="1">
      <c r="A13" s="2078" t="s">
        <v>789</v>
      </c>
      <c r="B13" s="2083"/>
      <c r="C13" s="2079"/>
    </row>
    <row r="14" spans="1:5">
      <c r="A14" s="2080" t="s">
        <v>904</v>
      </c>
      <c r="B14" s="2071">
        <f>Воронка!R52</f>
        <v>50425005.288461544</v>
      </c>
      <c r="C14" s="2068">
        <f>B14</f>
        <v>50425005.288461544</v>
      </c>
    </row>
    <row r="15" spans="1:5">
      <c r="A15" s="2080" t="s">
        <v>988</v>
      </c>
      <c r="B15" s="2071">
        <v>360000</v>
      </c>
      <c r="C15" s="2072">
        <v>360000</v>
      </c>
    </row>
    <row r="16" spans="1:5">
      <c r="A16" s="2081" t="s">
        <v>943</v>
      </c>
      <c r="B16" s="2084">
        <v>8352000</v>
      </c>
      <c r="C16" s="2082">
        <v>4176000</v>
      </c>
    </row>
  </sheetData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97870F-1471-E641-AB7B-9A2F6121E362}">
  <sheetPr codeName="Лист2"/>
  <dimension ref="A1:AA43"/>
  <sheetViews>
    <sheetView topLeftCell="B1" workbookViewId="0">
      <selection activeCell="O16" sqref="O16"/>
    </sheetView>
  </sheetViews>
  <sheetFormatPr baseColWidth="10" defaultColWidth="10.83203125" defaultRowHeight="16" outlineLevelCol="1"/>
  <cols>
    <col min="1" max="1" width="19.83203125" style="172" customWidth="1"/>
    <col min="2" max="2" width="22.83203125" style="172" customWidth="1"/>
    <col min="3" max="3" width="15.33203125" style="172" customWidth="1"/>
    <col min="4" max="4" width="19.5" style="172" customWidth="1"/>
    <col min="5" max="5" width="25.5" style="172" customWidth="1"/>
    <col min="6" max="6" width="15.33203125" style="172" customWidth="1"/>
    <col min="7" max="10" width="15.33203125" style="172" hidden="1" customWidth="1" outlineLevel="1"/>
    <col min="11" max="11" width="13.83203125" style="172" hidden="1" customWidth="1" outlineLevel="1"/>
    <col min="12" max="12" width="10.83203125" style="172" hidden="1" customWidth="1" outlineLevel="1"/>
    <col min="13" max="13" width="14.33203125" style="172" hidden="1" customWidth="1" outlineLevel="1"/>
    <col min="14" max="14" width="10.83203125" style="172" hidden="1" customWidth="1" outlineLevel="1"/>
    <col min="15" max="15" width="18.1640625" style="172" customWidth="1" collapsed="1"/>
    <col min="16" max="16" width="13.1640625" style="172" customWidth="1"/>
    <col min="17" max="17" width="15" style="172" hidden="1" customWidth="1" outlineLevel="1"/>
    <col min="18" max="18" width="20.1640625" style="172" hidden="1" customWidth="1" outlineLevel="1"/>
    <col min="19" max="19" width="16" style="172" hidden="1" customWidth="1" outlineLevel="1"/>
    <col min="20" max="20" width="20.5" style="172" customWidth="1" collapsed="1"/>
    <col min="21" max="27" width="16.1640625" style="172" customWidth="1"/>
    <col min="28" max="16384" width="10.83203125" style="172"/>
  </cols>
  <sheetData>
    <row r="1" spans="1:27" s="639" customFormat="1" ht="85">
      <c r="A1" s="1775" t="s">
        <v>977</v>
      </c>
      <c r="B1" s="1808" t="s">
        <v>978</v>
      </c>
      <c r="C1" s="1779" t="s">
        <v>979</v>
      </c>
      <c r="D1" s="1780" t="s">
        <v>980</v>
      </c>
      <c r="E1" s="1809" t="s">
        <v>981</v>
      </c>
      <c r="F1" s="1781" t="s">
        <v>1055</v>
      </c>
      <c r="G1" s="1790" t="s">
        <v>982</v>
      </c>
      <c r="H1" s="1810" t="s">
        <v>983</v>
      </c>
      <c r="I1" s="1790" t="s">
        <v>982</v>
      </c>
      <c r="J1" s="1810" t="s">
        <v>983</v>
      </c>
      <c r="K1" s="1803" t="s">
        <v>982</v>
      </c>
      <c r="L1" s="1811" t="s">
        <v>983</v>
      </c>
      <c r="M1" s="1790" t="s">
        <v>982</v>
      </c>
      <c r="N1" s="1854" t="s">
        <v>983</v>
      </c>
      <c r="O1" s="1862" t="s">
        <v>1121</v>
      </c>
      <c r="P1" s="1863" t="s">
        <v>1056</v>
      </c>
      <c r="Q1" s="2012" t="s">
        <v>1087</v>
      </c>
      <c r="R1" s="2028" t="s">
        <v>1119</v>
      </c>
      <c r="S1" s="2028" t="s">
        <v>1120</v>
      </c>
      <c r="T1" s="2038" t="s">
        <v>1122</v>
      </c>
    </row>
    <row r="2" spans="1:27">
      <c r="A2" s="1128" t="s">
        <v>327</v>
      </c>
      <c r="B2" s="1776">
        <v>3.5169969137936881</v>
      </c>
      <c r="C2" s="1782">
        <v>208115.98614625703</v>
      </c>
      <c r="D2" s="1698">
        <v>1.4731711777583908E-3</v>
      </c>
      <c r="E2" s="1851">
        <v>10.866666666666665</v>
      </c>
      <c r="F2" s="1783">
        <f>C2/B2/E2</f>
        <v>5445.4918032786891</v>
      </c>
      <c r="G2" s="1791">
        <f>F2*B2*H2</f>
        <v>114910.66719731985</v>
      </c>
      <c r="H2" s="1792">
        <v>6</v>
      </c>
      <c r="I2" s="1797">
        <f>B2*J2*F2</f>
        <v>19151.777866219974</v>
      </c>
      <c r="J2" s="1798">
        <v>1</v>
      </c>
      <c r="K2" s="1797">
        <f>B2*F2*L2</f>
        <v>38303.555732439949</v>
      </c>
      <c r="L2" s="1804">
        <v>2</v>
      </c>
      <c r="M2" s="1797">
        <f>B2*F2*N2</f>
        <v>57455.333598659927</v>
      </c>
      <c r="N2" s="1855">
        <v>3</v>
      </c>
      <c r="O2" s="1858">
        <f>B2*F2*P2</f>
        <v>85924.192588986916</v>
      </c>
      <c r="P2" s="1859">
        <f>W39</f>
        <v>4.4864864864864868</v>
      </c>
      <c r="Q2" s="186">
        <f>B2*P2*X39</f>
        <v>198550.34979675108</v>
      </c>
      <c r="R2" s="2015">
        <f>B2*W15</f>
        <v>192440.09045587308</v>
      </c>
      <c r="S2" s="186">
        <f>B2*X15</f>
        <v>105474.7374446727</v>
      </c>
      <c r="T2" s="2015">
        <f>R2/2</f>
        <v>96220.045227936542</v>
      </c>
    </row>
    <row r="3" spans="1:27">
      <c r="A3" s="1128" t="s">
        <v>429</v>
      </c>
      <c r="B3" s="1776">
        <v>67.440509589342469</v>
      </c>
      <c r="C3" s="1782">
        <v>2575107.6065206029</v>
      </c>
      <c r="D3" s="1698">
        <v>1.8228173509393694E-2</v>
      </c>
      <c r="E3" s="1851">
        <v>8.4666666666666668</v>
      </c>
      <c r="F3" s="1783">
        <f t="shared" ref="F3:F5" si="0">C3/B3/E3</f>
        <v>4509.8497854077259</v>
      </c>
      <c r="G3" s="1791">
        <f t="shared" ref="G3:G5" si="1">F3*B3*H3</f>
        <v>1824879.406195703</v>
      </c>
      <c r="H3" s="1792">
        <v>6</v>
      </c>
      <c r="I3" s="1797">
        <f t="shared" ref="I3:I5" si="2">B3*J3*F3</f>
        <v>304146.56769928383</v>
      </c>
      <c r="J3" s="1798">
        <v>1</v>
      </c>
      <c r="K3" s="1797">
        <f>B3*F3*L3</f>
        <v>608293.13539856765</v>
      </c>
      <c r="L3" s="1804">
        <v>2</v>
      </c>
      <c r="M3" s="1797">
        <f>B3*F3*N3</f>
        <v>912439.70309785148</v>
      </c>
      <c r="N3" s="1855">
        <v>3</v>
      </c>
      <c r="O3" s="1858">
        <f t="shared" ref="O3:O5" si="3">B3*F3*P3</f>
        <v>1364549.4658940842</v>
      </c>
      <c r="P3" s="1859">
        <f>W40</f>
        <v>4.4864864864864868</v>
      </c>
      <c r="Q3" s="186">
        <f>B3*P3*X40</f>
        <v>3807321.1599697722</v>
      </c>
      <c r="R3" s="2015">
        <f>B3*W16</f>
        <v>3690153.299498904</v>
      </c>
      <c r="S3" s="186">
        <f>B3*X16</f>
        <v>2022540.8825843807</v>
      </c>
      <c r="T3" s="2015">
        <f t="shared" ref="T3:T5" si="4">R3/2</f>
        <v>1845076.649749452</v>
      </c>
    </row>
    <row r="4" spans="1:27" s="95" customFormat="1">
      <c r="A4" s="1128" t="s">
        <v>65</v>
      </c>
      <c r="B4" s="1777">
        <v>704.62063533315677</v>
      </c>
      <c r="C4" s="1784">
        <v>18743605.374594003</v>
      </c>
      <c r="D4" s="1699">
        <v>0.13267860733064482</v>
      </c>
      <c r="E4" s="1852">
        <v>6.4666666666666668</v>
      </c>
      <c r="F4" s="1783">
        <f t="shared" si="0"/>
        <v>4113.5549132947972</v>
      </c>
      <c r="G4" s="1791">
        <f t="shared" si="1"/>
        <v>17390974.058901653</v>
      </c>
      <c r="H4" s="1792">
        <v>6</v>
      </c>
      <c r="I4" s="1797">
        <f t="shared" si="2"/>
        <v>2898495.6764836088</v>
      </c>
      <c r="J4" s="1799">
        <v>1</v>
      </c>
      <c r="K4" s="1797">
        <f>B4*F4*L4</f>
        <v>5796991.3529672176</v>
      </c>
      <c r="L4" s="1805">
        <v>2</v>
      </c>
      <c r="M4" s="1797">
        <f>B4*F4*N4</f>
        <v>8695487.0294508263</v>
      </c>
      <c r="N4" s="1856">
        <v>3</v>
      </c>
      <c r="O4" s="1858">
        <f t="shared" si="3"/>
        <v>10627817.480439898</v>
      </c>
      <c r="P4" s="1859">
        <f>W41</f>
        <v>3.6666666666666665</v>
      </c>
      <c r="Q4" s="186">
        <f>B4*P4*X41</f>
        <v>33684044.207990244</v>
      </c>
      <c r="R4" s="2015">
        <f>B4*W17</f>
        <v>23437678.75631424</v>
      </c>
      <c r="S4" s="186">
        <f>B4*X17</f>
        <v>10562967.944279354</v>
      </c>
      <c r="T4" s="2015">
        <f t="shared" si="4"/>
        <v>11718839.37815712</v>
      </c>
    </row>
    <row r="5" spans="1:27">
      <c r="A5" s="1128" t="s">
        <v>66</v>
      </c>
      <c r="B5" s="1776">
        <v>5125.7365315766956</v>
      </c>
      <c r="C5" s="1782">
        <v>119743913.5563139</v>
      </c>
      <c r="D5" s="1700">
        <v>0.84762004798220303</v>
      </c>
      <c r="E5" s="1853">
        <v>5.666666666666667</v>
      </c>
      <c r="F5" s="1785">
        <f t="shared" si="0"/>
        <v>4122.5838926174501</v>
      </c>
      <c r="G5" s="1793">
        <f t="shared" si="1"/>
        <v>119743913.5563139</v>
      </c>
      <c r="H5" s="1794">
        <f>E5</f>
        <v>5.666666666666667</v>
      </c>
      <c r="I5" s="1797">
        <f t="shared" si="2"/>
        <v>21131278.862878922</v>
      </c>
      <c r="J5" s="1800">
        <v>1</v>
      </c>
      <c r="K5" s="1797">
        <f>B5*F5*L5</f>
        <v>42262557.725757845</v>
      </c>
      <c r="L5" s="1806">
        <v>2</v>
      </c>
      <c r="M5" s="1797">
        <f>B5*F5*N5</f>
        <v>63393836.588636771</v>
      </c>
      <c r="N5" s="1857">
        <v>3</v>
      </c>
      <c r="O5" s="1858">
        <f t="shared" si="3"/>
        <v>66543840.891177721</v>
      </c>
      <c r="P5" s="1859">
        <f>W42</f>
        <v>3.1490683229813663</v>
      </c>
      <c r="Q5" s="186">
        <f>B5*P5*X42</f>
        <v>209735079.61417517</v>
      </c>
      <c r="R5" s="2015">
        <f>B5*W18</f>
        <v>142540110.8735916</v>
      </c>
      <c r="S5" s="186">
        <f>B5*X18</f>
        <v>66583317.545181274</v>
      </c>
      <c r="T5" s="2015">
        <f t="shared" si="4"/>
        <v>71270055.436795801</v>
      </c>
    </row>
    <row r="6" spans="1:27" ht="17" thickBot="1">
      <c r="A6" s="1758" t="s">
        <v>1028</v>
      </c>
      <c r="B6" s="1778">
        <v>5901.3146734129887</v>
      </c>
      <c r="C6" s="1786">
        <v>141270742.52357477</v>
      </c>
      <c r="D6" s="1787"/>
      <c r="E6" s="1788"/>
      <c r="F6" s="1789"/>
      <c r="G6" s="1795">
        <f>SUM(G2:G5)</f>
        <v>139074677.68860859</v>
      </c>
      <c r="H6" s="1796"/>
      <c r="I6" s="1801">
        <f>SUM(I2:I5)</f>
        <v>24353072.884928036</v>
      </c>
      <c r="J6" s="1802"/>
      <c r="K6" s="1801">
        <f>SUM(K2:K5)</f>
        <v>48706145.769856073</v>
      </c>
      <c r="L6" s="1807"/>
      <c r="M6" s="1801">
        <f>SUM(M2:M5)</f>
        <v>73059218.654784113</v>
      </c>
      <c r="N6" s="1787"/>
      <c r="O6" s="1860">
        <f>SUM(O2:O5)</f>
        <v>78622132.030100688</v>
      </c>
      <c r="P6" s="1861"/>
      <c r="Q6" s="2013">
        <f>SUM(Q2:Q5)</f>
        <v>247424995.33193195</v>
      </c>
      <c r="R6" s="2035">
        <f>SUM(R2:R5)</f>
        <v>169860383.01986063</v>
      </c>
      <c r="S6" s="2035">
        <f>SUM(S2:S5)</f>
        <v>79274301.109489679</v>
      </c>
      <c r="T6" s="2037">
        <f>SUM(T2:T5)</f>
        <v>84930191.509930313</v>
      </c>
    </row>
    <row r="7" spans="1:27">
      <c r="G7" s="1830">
        <f>G6-C6</f>
        <v>-2196064.8349661827</v>
      </c>
      <c r="H7" s="1831"/>
      <c r="I7" s="1830">
        <f>I6-C6</f>
        <v>-116917669.63864674</v>
      </c>
      <c r="J7" s="1831"/>
      <c r="K7" s="1830">
        <f>K6-C6</f>
        <v>-92564596.753718704</v>
      </c>
      <c r="L7" s="1831"/>
      <c r="M7" s="1830">
        <f>M6-C6</f>
        <v>-68211523.868790656</v>
      </c>
      <c r="N7" s="1831"/>
      <c r="O7" s="1830">
        <f>O6-C6</f>
        <v>-62648610.493474081</v>
      </c>
      <c r="R7" s="2036">
        <f>R6/2</f>
        <v>84930191.509930313</v>
      </c>
      <c r="T7" s="2039">
        <f>T6-C6</f>
        <v>-56340551.013644457</v>
      </c>
    </row>
    <row r="8" spans="1:27">
      <c r="G8" s="1832">
        <f>G6/C6</f>
        <v>0.98445492112707123</v>
      </c>
      <c r="H8" s="1831"/>
      <c r="I8" s="1833">
        <f>I6/C6</f>
        <v>0.17238582065825894</v>
      </c>
      <c r="J8" s="1831"/>
      <c r="K8" s="1833">
        <f>K6/C6</f>
        <v>0.34477164131651789</v>
      </c>
      <c r="L8" s="1831"/>
      <c r="M8" s="1833">
        <f>M6/C6</f>
        <v>0.51715746197477686</v>
      </c>
      <c r="N8" s="1831"/>
      <c r="O8" s="1834">
        <f>O6/C6</f>
        <v>0.55653513689843104</v>
      </c>
      <c r="T8" s="1833">
        <f>T7/C6</f>
        <v>-0.3988125920994755</v>
      </c>
    </row>
    <row r="10" spans="1:27">
      <c r="G10" s="93"/>
    </row>
    <row r="11" spans="1:27">
      <c r="T11" t="s">
        <v>1108</v>
      </c>
      <c r="U11"/>
      <c r="V11"/>
      <c r="W11"/>
      <c r="X11"/>
      <c r="Y11"/>
    </row>
    <row r="12" spans="1:27" s="95" customFormat="1" ht="67" customHeight="1">
      <c r="F12" s="172"/>
      <c r="G12" s="172"/>
      <c r="H12" s="172"/>
      <c r="I12" s="172"/>
      <c r="J12" s="172"/>
      <c r="K12" s="172"/>
      <c r="L12" s="172"/>
      <c r="M12" s="172"/>
      <c r="N12" s="172"/>
      <c r="O12" s="172"/>
      <c r="T12" t="s">
        <v>1109</v>
      </c>
      <c r="U12"/>
      <c r="V12"/>
      <c r="W12"/>
      <c r="X12"/>
      <c r="Y12"/>
      <c r="Z12" s="172"/>
      <c r="AA12" s="172"/>
    </row>
    <row r="13" spans="1:27">
      <c r="T13"/>
      <c r="U13"/>
      <c r="V13"/>
      <c r="W13"/>
      <c r="X13"/>
      <c r="Y13"/>
    </row>
    <row r="14" spans="1:27">
      <c r="T14" s="9" t="s">
        <v>977</v>
      </c>
      <c r="U14" s="9" t="s">
        <v>1110</v>
      </c>
      <c r="V14" s="9" t="s">
        <v>1111</v>
      </c>
      <c r="W14" s="2030" t="s">
        <v>1112</v>
      </c>
      <c r="X14" s="9" t="s">
        <v>1113</v>
      </c>
      <c r="Y14" s="9" t="s">
        <v>1114</v>
      </c>
      <c r="Z14" s="9" t="s">
        <v>1115</v>
      </c>
      <c r="AA14" s="9" t="s">
        <v>1116</v>
      </c>
    </row>
    <row r="15" spans="1:27">
      <c r="G15" s="1707"/>
      <c r="I15" s="1697"/>
      <c r="T15" s="1848" t="s">
        <v>327</v>
      </c>
      <c r="U15" s="9">
        <v>37</v>
      </c>
      <c r="V15" s="2031">
        <v>2024535</v>
      </c>
      <c r="W15" s="2032">
        <v>54717.16216216216</v>
      </c>
      <c r="X15" s="2033">
        <v>29990</v>
      </c>
      <c r="Y15" s="2033">
        <v>6492</v>
      </c>
      <c r="Z15" s="2033">
        <v>152952</v>
      </c>
      <c r="AA15" s="2034">
        <v>7.5356415478615074E-2</v>
      </c>
    </row>
    <row r="16" spans="1:27">
      <c r="T16" s="1848" t="s">
        <v>429</v>
      </c>
      <c r="U16" s="9">
        <v>37</v>
      </c>
      <c r="V16" s="2031">
        <v>2024535</v>
      </c>
      <c r="W16" s="2032">
        <v>54717.16216216216</v>
      </c>
      <c r="X16" s="2033">
        <v>29990</v>
      </c>
      <c r="Y16" s="2033">
        <v>6492</v>
      </c>
      <c r="Z16" s="2033">
        <v>152952</v>
      </c>
      <c r="AA16" s="2034">
        <v>7.5356415478615074E-2</v>
      </c>
    </row>
    <row r="17" spans="4:27">
      <c r="T17" s="9" t="s">
        <v>1070</v>
      </c>
      <c r="U17" s="9">
        <v>102</v>
      </c>
      <c r="V17" s="2031">
        <v>3392809</v>
      </c>
      <c r="W17" s="2032">
        <v>33262.833333333336</v>
      </c>
      <c r="X17" s="2033">
        <v>14991</v>
      </c>
      <c r="Y17" s="2033">
        <v>1000</v>
      </c>
      <c r="Z17" s="2033">
        <v>143946</v>
      </c>
      <c r="AA17" s="2034">
        <v>0.20773930753564154</v>
      </c>
    </row>
    <row r="18" spans="4:27">
      <c r="D18" s="1850"/>
      <c r="T18" s="9" t="s">
        <v>1069</v>
      </c>
      <c r="U18" s="9">
        <v>161</v>
      </c>
      <c r="V18" s="2031">
        <v>4477202</v>
      </c>
      <c r="W18" s="2032">
        <v>27808.708074534163</v>
      </c>
      <c r="X18" s="2033">
        <v>12990</v>
      </c>
      <c r="Y18" s="2033">
        <v>6492</v>
      </c>
      <c r="Z18" s="2033">
        <v>268732</v>
      </c>
      <c r="AA18" s="2034">
        <v>0.32790224032586557</v>
      </c>
    </row>
    <row r="19" spans="4:27">
      <c r="T19" s="9" t="s">
        <v>1068</v>
      </c>
      <c r="U19" s="9">
        <v>191</v>
      </c>
      <c r="V19" s="2031">
        <v>3752242</v>
      </c>
      <c r="W19" s="2032">
        <v>19645.246073298429</v>
      </c>
      <c r="X19" s="2033">
        <v>12990</v>
      </c>
      <c r="Y19" s="2033">
        <v>1</v>
      </c>
      <c r="Z19" s="2033">
        <v>152952</v>
      </c>
      <c r="AA19" s="2034">
        <v>0.38900203665987781</v>
      </c>
    </row>
    <row r="20" spans="4:27">
      <c r="G20"/>
      <c r="H20"/>
      <c r="I20"/>
      <c r="J20"/>
      <c r="T20" t="s">
        <v>1117</v>
      </c>
      <c r="U20">
        <v>491</v>
      </c>
      <c r="V20" s="2026">
        <v>13646788</v>
      </c>
      <c r="W20" s="2029">
        <v>27793.865580448066</v>
      </c>
      <c r="X20" s="2027">
        <v>12990</v>
      </c>
      <c r="Y20" s="2027">
        <v>1</v>
      </c>
      <c r="Z20" s="2027">
        <v>268732</v>
      </c>
      <c r="AA20" s="324">
        <v>1</v>
      </c>
    </row>
    <row r="21" spans="4:27">
      <c r="G21"/>
      <c r="H21"/>
      <c r="I21"/>
      <c r="J21"/>
      <c r="T21"/>
      <c r="U21"/>
      <c r="V21"/>
      <c r="W21"/>
      <c r="X21"/>
      <c r="Y21"/>
    </row>
    <row r="22" spans="4:27">
      <c r="G22"/>
      <c r="H22"/>
      <c r="I22"/>
      <c r="J22"/>
      <c r="T22" t="s">
        <v>1118</v>
      </c>
      <c r="U22"/>
      <c r="V22"/>
      <c r="W22"/>
      <c r="X22"/>
      <c r="Y22"/>
    </row>
    <row r="26" spans="4:27" ht="19">
      <c r="T26" s="551" t="s">
        <v>347</v>
      </c>
    </row>
    <row r="27" spans="4:27" ht="19">
      <c r="T27" s="436" t="s">
        <v>64</v>
      </c>
      <c r="U27" s="172" t="s">
        <v>63</v>
      </c>
      <c r="W27" s="436" t="s">
        <v>333</v>
      </c>
      <c r="Y27" s="382" t="s">
        <v>345</v>
      </c>
      <c r="Z27" s="399" t="s">
        <v>334</v>
      </c>
    </row>
    <row r="28" spans="4:27" ht="19">
      <c r="T28" s="1043" t="s">
        <v>327</v>
      </c>
      <c r="U28" s="386">
        <v>110725</v>
      </c>
      <c r="V28" s="1707">
        <f t="shared" ref="V28:V33" si="5">W15/U28</f>
        <v>0.49417170613828998</v>
      </c>
      <c r="W28" s="1043" t="s">
        <v>327</v>
      </c>
      <c r="X28" s="389">
        <v>10890.983606557378</v>
      </c>
      <c r="Y28" s="1043" t="s">
        <v>327</v>
      </c>
      <c r="Z28" s="378">
        <v>10.866666666666665</v>
      </c>
    </row>
    <row r="29" spans="4:27" ht="19">
      <c r="T29" s="436" t="s">
        <v>62</v>
      </c>
      <c r="U29" s="389">
        <v>70053</v>
      </c>
      <c r="V29" s="1707">
        <f t="shared" si="5"/>
        <v>0.78108235424838568</v>
      </c>
      <c r="W29" s="436" t="s">
        <v>62</v>
      </c>
      <c r="X29" s="389">
        <v>9019.69957081545</v>
      </c>
      <c r="Y29" s="436" t="s">
        <v>62</v>
      </c>
      <c r="Z29" s="379">
        <v>8.4666666666666668</v>
      </c>
    </row>
    <row r="30" spans="4:27" ht="19">
      <c r="G30"/>
      <c r="H30"/>
      <c r="I30"/>
      <c r="J30"/>
      <c r="T30" s="436" t="s">
        <v>65</v>
      </c>
      <c r="U30" s="389">
        <v>47443</v>
      </c>
      <c r="V30" s="1707">
        <f t="shared" si="5"/>
        <v>0.70111150924969623</v>
      </c>
      <c r="W30" s="436" t="s">
        <v>65</v>
      </c>
      <c r="X30" s="389">
        <v>8227.1098265895962</v>
      </c>
      <c r="Y30" s="436" t="s">
        <v>65</v>
      </c>
      <c r="Z30" s="379">
        <v>6.4666666666666668</v>
      </c>
    </row>
    <row r="31" spans="4:27" ht="19">
      <c r="G31"/>
      <c r="H31"/>
      <c r="I31"/>
      <c r="J31"/>
      <c r="T31" s="436" t="s">
        <v>66</v>
      </c>
      <c r="U31" s="389">
        <v>40951</v>
      </c>
      <c r="V31" s="1707">
        <f t="shared" si="5"/>
        <v>0.67907274729638256</v>
      </c>
      <c r="W31" s="436" t="s">
        <v>66</v>
      </c>
      <c r="X31" s="389">
        <v>8245.1677852348985</v>
      </c>
      <c r="Y31" s="436" t="s">
        <v>66</v>
      </c>
      <c r="Z31" s="379">
        <v>5.666666666666667</v>
      </c>
    </row>
    <row r="32" spans="4:27" ht="19">
      <c r="T32" s="436" t="s">
        <v>328</v>
      </c>
      <c r="U32" s="389">
        <v>33828</v>
      </c>
      <c r="V32" s="1707">
        <f t="shared" si="5"/>
        <v>0.58073921228859016</v>
      </c>
      <c r="W32" s="436" t="s">
        <v>328</v>
      </c>
      <c r="X32" s="389">
        <v>7866.9767441860467</v>
      </c>
      <c r="Y32" s="436" t="s">
        <v>328</v>
      </c>
      <c r="Z32" s="379">
        <v>5</v>
      </c>
    </row>
    <row r="33" spans="20:26" ht="19">
      <c r="T33" s="1044" t="s">
        <v>329</v>
      </c>
      <c r="U33" s="391">
        <v>21581</v>
      </c>
      <c r="V33" s="1707">
        <f t="shared" si="5"/>
        <v>1.2878858987279582</v>
      </c>
      <c r="W33" s="1044" t="s">
        <v>329</v>
      </c>
      <c r="X33" s="391">
        <v>6674.5360824742265</v>
      </c>
      <c r="Y33" s="1044" t="s">
        <v>329</v>
      </c>
      <c r="Z33" s="380">
        <v>3.9333333333333336</v>
      </c>
    </row>
    <row r="34" spans="20:26" ht="19">
      <c r="T34" s="436"/>
      <c r="U34" s="291"/>
      <c r="Z34" s="154">
        <v>7.0333333333333323</v>
      </c>
    </row>
    <row r="37" spans="20:26">
      <c r="T37" s="7" t="s">
        <v>1072</v>
      </c>
    </row>
    <row r="38" spans="20:26" ht="51">
      <c r="T38" s="1848" t="s">
        <v>1064</v>
      </c>
      <c r="U38" s="1848" t="s">
        <v>1065</v>
      </c>
      <c r="V38" s="1848" t="s">
        <v>1066</v>
      </c>
      <c r="W38" s="1848" t="s">
        <v>1067</v>
      </c>
      <c r="X38" s="2025" t="s">
        <v>1088</v>
      </c>
    </row>
    <row r="39" spans="20:26">
      <c r="T39" s="1848" t="s">
        <v>327</v>
      </c>
      <c r="U39" s="1580"/>
      <c r="V39" s="1580"/>
      <c r="W39" s="1849">
        <f>W40</f>
        <v>4.4864864864864868</v>
      </c>
      <c r="X39" s="2011">
        <f>X40</f>
        <v>12583.234939759035</v>
      </c>
    </row>
    <row r="40" spans="20:26">
      <c r="T40" s="1848" t="s">
        <v>429</v>
      </c>
      <c r="U40" s="1580">
        <v>37</v>
      </c>
      <c r="V40" s="1580">
        <v>166</v>
      </c>
      <c r="W40" s="1849">
        <v>4.4864864864864868</v>
      </c>
      <c r="X40" s="2011">
        <v>12583.234939759035</v>
      </c>
    </row>
    <row r="41" spans="20:26">
      <c r="T41" s="1848" t="s">
        <v>65</v>
      </c>
      <c r="U41" s="1580">
        <v>102</v>
      </c>
      <c r="V41" s="1580">
        <v>374</v>
      </c>
      <c r="W41" s="1849">
        <v>3.6666666666666665</v>
      </c>
      <c r="X41" s="2011">
        <v>13037.593636363637</v>
      </c>
    </row>
    <row r="42" spans="20:26">
      <c r="T42" s="1848" t="s">
        <v>66</v>
      </c>
      <c r="U42" s="1580">
        <v>161</v>
      </c>
      <c r="V42" s="1580">
        <v>507</v>
      </c>
      <c r="W42" s="1849">
        <v>3.1490683229813663</v>
      </c>
      <c r="X42" s="2011">
        <v>12993.696326429981</v>
      </c>
    </row>
    <row r="43" spans="20:26">
      <c r="T43" s="1580" t="s">
        <v>1073</v>
      </c>
      <c r="U43" s="1580">
        <v>191</v>
      </c>
      <c r="V43" s="1580">
        <v>408</v>
      </c>
      <c r="W43" s="1849">
        <v>2.1361256544502618</v>
      </c>
      <c r="X43" s="2011">
        <v>13539.236597830622</v>
      </c>
    </row>
  </sheetData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0A211B-92B1-574B-8887-11AF1A055B86}">
  <sheetPr codeName="Лист7"/>
  <dimension ref="A1:D58"/>
  <sheetViews>
    <sheetView workbookViewId="0">
      <selection activeCell="A58" sqref="A58"/>
    </sheetView>
  </sheetViews>
  <sheetFormatPr baseColWidth="10" defaultColWidth="10.83203125" defaultRowHeight="16"/>
  <cols>
    <col min="1" max="1" width="124.33203125" style="172" customWidth="1"/>
    <col min="2" max="2" width="16.83203125" style="172" bestFit="1" customWidth="1"/>
    <col min="3" max="3" width="26.83203125" style="172" customWidth="1"/>
    <col min="4" max="4" width="30.1640625" style="172" customWidth="1"/>
    <col min="5" max="16384" width="10.83203125" style="172"/>
  </cols>
  <sheetData>
    <row r="1" spans="1:4">
      <c r="A1" s="7" t="s">
        <v>768</v>
      </c>
    </row>
    <row r="2" spans="1:4">
      <c r="A2" s="954" t="s">
        <v>872</v>
      </c>
    </row>
    <row r="3" spans="1:4">
      <c r="A3" s="954" t="s">
        <v>873</v>
      </c>
    </row>
    <row r="5" spans="1:4">
      <c r="A5" s="172" t="s">
        <v>769</v>
      </c>
    </row>
    <row r="6" spans="1:4">
      <c r="A6" s="954" t="s">
        <v>770</v>
      </c>
    </row>
    <row r="7" spans="1:4">
      <c r="A7" s="954" t="s">
        <v>771</v>
      </c>
    </row>
    <row r="9" spans="1:4">
      <c r="A9" s="172" t="s">
        <v>780</v>
      </c>
    </row>
    <row r="10" spans="1:4">
      <c r="A10" s="954" t="s">
        <v>772</v>
      </c>
    </row>
    <row r="11" spans="1:4">
      <c r="A11" s="172" t="s">
        <v>773</v>
      </c>
    </row>
    <row r="12" spans="1:4">
      <c r="A12" s="954" t="s">
        <v>774</v>
      </c>
    </row>
    <row r="14" spans="1:4">
      <c r="A14" s="7" t="s">
        <v>775</v>
      </c>
    </row>
    <row r="15" spans="1:4">
      <c r="A15" s="954" t="s">
        <v>874</v>
      </c>
    </row>
    <row r="16" spans="1:4">
      <c r="A16" s="172" t="s">
        <v>776</v>
      </c>
      <c r="C16" s="172" t="s">
        <v>733</v>
      </c>
      <c r="D16" s="172" t="s">
        <v>987</v>
      </c>
    </row>
    <row r="17" spans="1:4">
      <c r="A17" s="954" t="s">
        <v>875</v>
      </c>
      <c r="B17" s="186">
        <f>726000*12</f>
        <v>8712000</v>
      </c>
      <c r="C17" s="2015">
        <f>30000*12</f>
        <v>360000</v>
      </c>
      <c r="D17" s="2015">
        <f>B17-C17</f>
        <v>8352000</v>
      </c>
    </row>
    <row r="18" spans="1:4">
      <c r="A18" s="954" t="s">
        <v>876</v>
      </c>
      <c r="B18" s="186">
        <f>378000*12</f>
        <v>4536000</v>
      </c>
      <c r="C18" s="2015">
        <f>30000*12</f>
        <v>360000</v>
      </c>
      <c r="D18" s="2015">
        <f>B18-C18</f>
        <v>4176000</v>
      </c>
    </row>
    <row r="20" spans="1:4">
      <c r="A20" s="7" t="s">
        <v>777</v>
      </c>
    </row>
    <row r="21" spans="1:4">
      <c r="A21" s="172" t="s">
        <v>778</v>
      </c>
    </row>
    <row r="22" spans="1:4">
      <c r="A22" s="172" t="s">
        <v>779</v>
      </c>
    </row>
    <row r="25" spans="1:4">
      <c r="A25" s="7" t="s">
        <v>796</v>
      </c>
    </row>
    <row r="26" spans="1:4">
      <c r="A26" s="172" t="s">
        <v>794</v>
      </c>
    </row>
    <row r="27" spans="1:4">
      <c r="A27" s="172" t="s">
        <v>793</v>
      </c>
    </row>
    <row r="28" spans="1:4">
      <c r="A28" s="172" t="s">
        <v>795</v>
      </c>
    </row>
    <row r="30" spans="1:4">
      <c r="A30" s="172" t="s">
        <v>797</v>
      </c>
    </row>
    <row r="34" spans="1:1">
      <c r="A34" s="172" t="s">
        <v>1099</v>
      </c>
    </row>
    <row r="35" spans="1:1">
      <c r="A35" s="172" t="s">
        <v>1092</v>
      </c>
    </row>
    <row r="36" spans="1:1">
      <c r="A36" s="172" t="s">
        <v>1093</v>
      </c>
    </row>
    <row r="37" spans="1:1">
      <c r="A37" s="172" t="s">
        <v>1094</v>
      </c>
    </row>
    <row r="38" spans="1:1">
      <c r="A38" s="172" t="s">
        <v>1095</v>
      </c>
    </row>
    <row r="39" spans="1:1">
      <c r="A39" s="172" t="s">
        <v>1096</v>
      </c>
    </row>
    <row r="41" spans="1:1">
      <c r="A41" s="172" t="s">
        <v>1097</v>
      </c>
    </row>
    <row r="42" spans="1:1">
      <c r="A42" s="172" t="s">
        <v>1098</v>
      </c>
    </row>
    <row r="44" spans="1:1">
      <c r="A44" s="2016" t="s">
        <v>1100</v>
      </c>
    </row>
    <row r="45" spans="1:1">
      <c r="A45" s="172" t="s">
        <v>1101</v>
      </c>
    </row>
    <row r="46" spans="1:1">
      <c r="A46" s="2017">
        <f>379.281362007168</f>
        <v>379.28136200716847</v>
      </c>
    </row>
    <row r="48" spans="1:1">
      <c r="A48" s="172" t="s">
        <v>1102</v>
      </c>
    </row>
    <row r="51" spans="1:2">
      <c r="A51" s="186">
        <f>231963170</f>
        <v>231963170</v>
      </c>
    </row>
    <row r="52" spans="1:2">
      <c r="A52" s="1707">
        <v>0.03</v>
      </c>
    </row>
    <row r="53" spans="1:2">
      <c r="A53" s="186"/>
    </row>
    <row r="54" spans="1:2">
      <c r="A54" s="2041">
        <f>A51*A52</f>
        <v>6958895.0999999996</v>
      </c>
    </row>
    <row r="55" spans="1:2">
      <c r="A55" s="186">
        <v>9800</v>
      </c>
    </row>
    <row r="56" spans="1:2">
      <c r="A56" s="2041">
        <f>A54/A55</f>
        <v>710.09133673469387</v>
      </c>
    </row>
    <row r="57" spans="1:2">
      <c r="A57" s="172">
        <v>558</v>
      </c>
      <c r="B57" s="172" t="s">
        <v>1134</v>
      </c>
    </row>
    <row r="58" spans="1:2">
      <c r="A58" s="2041">
        <f>A56*A57</f>
        <v>396230.96589795919</v>
      </c>
      <c r="B58" s="172" t="s">
        <v>1103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93B7BB-624A-6042-9CD4-7E63FFAF1B66}">
  <sheetPr codeName="Лист1">
    <tabColor theme="5" tint="0.79998168889431442"/>
  </sheetPr>
  <dimension ref="A1:L155"/>
  <sheetViews>
    <sheetView workbookViewId="0">
      <pane xSplit="2" ySplit="3" topLeftCell="C127" activePane="bottomRight" state="frozen"/>
      <selection activeCell="B1" sqref="B1"/>
      <selection pane="topRight" activeCell="C1" sqref="C1"/>
      <selection pane="bottomLeft" activeCell="B4" sqref="B4"/>
      <selection pane="bottomRight" activeCell="G141" sqref="G141"/>
    </sheetView>
  </sheetViews>
  <sheetFormatPr baseColWidth="10" defaultColWidth="10.6640625" defaultRowHeight="16" outlineLevelCol="1"/>
  <cols>
    <col min="1" max="1" width="70.6640625" hidden="1" customWidth="1" outlineLevel="1"/>
    <col min="2" max="2" width="63.6640625" customWidth="1" collapsed="1"/>
    <col min="3" max="3" width="19.1640625" customWidth="1"/>
    <col min="4" max="4" width="1.1640625" customWidth="1"/>
    <col min="5" max="5" width="19.33203125" customWidth="1"/>
    <col min="6" max="6" width="1.33203125" customWidth="1"/>
    <col min="7" max="7" width="81.5" style="5" customWidth="1"/>
    <col min="8" max="8" width="41.83203125" customWidth="1"/>
    <col min="9" max="10" width="3.33203125" customWidth="1"/>
  </cols>
  <sheetData>
    <row r="1" spans="1:9" ht="26" customHeight="1">
      <c r="B1" s="1561"/>
      <c r="C1" s="1622"/>
      <c r="D1" s="1622"/>
      <c r="E1" s="1622"/>
      <c r="G1" s="1626" t="s">
        <v>864</v>
      </c>
      <c r="H1" s="7" t="s">
        <v>917</v>
      </c>
    </row>
    <row r="2" spans="1:9">
      <c r="B2" s="2089" t="s">
        <v>1036</v>
      </c>
      <c r="C2" s="1547" t="s">
        <v>822</v>
      </c>
      <c r="D2" s="1547"/>
      <c r="E2" s="1547" t="s">
        <v>825</v>
      </c>
      <c r="F2" s="1814"/>
    </row>
    <row r="3" spans="1:9" s="5" customFormat="1" ht="44.5" customHeight="1">
      <c r="B3" s="2089"/>
      <c r="C3" s="1548" t="s">
        <v>823</v>
      </c>
      <c r="D3" s="1548"/>
      <c r="E3" s="1548" t="s">
        <v>1053</v>
      </c>
      <c r="F3" s="1815"/>
    </row>
    <row r="4" spans="1:9" ht="19">
      <c r="A4" s="1022" t="s">
        <v>792</v>
      </c>
      <c r="B4" s="1549" t="s">
        <v>1058</v>
      </c>
      <c r="C4" s="1550" t="e">
        <f>Воронка!#REF!</f>
        <v>#REF!</v>
      </c>
      <c r="D4" s="1550"/>
      <c r="E4" s="1550" t="e">
        <f>Воронка!#REF!</f>
        <v>#REF!</v>
      </c>
      <c r="F4" s="1816"/>
    </row>
    <row r="5" spans="1:9">
      <c r="B5" t="s">
        <v>1042</v>
      </c>
      <c r="C5" s="1717">
        <f>'период вознаграждения'!G6</f>
        <v>139074677.68860859</v>
      </c>
      <c r="D5" s="1717"/>
      <c r="E5" s="1717">
        <f>C5</f>
        <v>139074677.68860859</v>
      </c>
      <c r="F5" s="1717"/>
    </row>
    <row r="6" spans="1:9">
      <c r="B6" t="s">
        <v>1029</v>
      </c>
      <c r="C6" s="1717">
        <f>'период вознаграждения'!M6</f>
        <v>73059218.654784113</v>
      </c>
      <c r="D6" s="1717"/>
      <c r="E6" s="1717">
        <f>C6</f>
        <v>73059218.654784113</v>
      </c>
      <c r="F6" s="1717"/>
    </row>
    <row r="7" spans="1:9">
      <c r="B7" t="s">
        <v>1035</v>
      </c>
      <c r="C7" s="1717">
        <f>'период вознаграждения'!I6</f>
        <v>24353072.884928036</v>
      </c>
      <c r="D7" s="1717"/>
      <c r="E7" s="1717">
        <f>C7</f>
        <v>24353072.884928036</v>
      </c>
      <c r="F7" s="1717"/>
    </row>
    <row r="8" spans="1:9">
      <c r="B8" s="4"/>
      <c r="C8" s="1717"/>
      <c r="D8" s="1717"/>
      <c r="E8" s="1717"/>
      <c r="F8" s="1717"/>
    </row>
    <row r="9" spans="1:9" ht="26">
      <c r="B9" s="1561" t="s">
        <v>788</v>
      </c>
      <c r="C9" s="1648"/>
      <c r="D9" s="1648"/>
      <c r="E9" s="1648"/>
      <c r="F9" s="1717"/>
    </row>
    <row r="10" spans="1:9" ht="19">
      <c r="B10" s="1560" t="s">
        <v>834</v>
      </c>
      <c r="C10" s="1551"/>
      <c r="D10" s="1551"/>
      <c r="E10" s="1551"/>
      <c r="F10" s="1717"/>
      <c r="H10" s="1535"/>
      <c r="I10" s="1535"/>
    </row>
    <row r="11" spans="1:9" ht="34">
      <c r="B11" s="1552" t="s">
        <v>831</v>
      </c>
      <c r="C11" s="1554" t="s">
        <v>862</v>
      </c>
      <c r="D11" s="1552"/>
      <c r="E11" s="1554" t="s">
        <v>862</v>
      </c>
      <c r="F11" s="1535"/>
      <c r="H11" s="1535"/>
      <c r="I11" s="1535"/>
    </row>
    <row r="12" spans="1:9" ht="34">
      <c r="A12" s="1543" t="s">
        <v>806</v>
      </c>
      <c r="B12" s="1541" t="s">
        <v>827</v>
      </c>
      <c r="C12" s="1717">
        <v>378000</v>
      </c>
      <c r="D12" s="1717"/>
      <c r="E12" s="1717">
        <f>C12</f>
        <v>378000</v>
      </c>
      <c r="F12" s="1717"/>
      <c r="G12" s="1613" t="s">
        <v>1063</v>
      </c>
      <c r="H12" s="1613"/>
    </row>
    <row r="13" spans="1:9" ht="19">
      <c r="A13" s="1544" t="s">
        <v>805</v>
      </c>
      <c r="B13" s="1541" t="s">
        <v>828</v>
      </c>
      <c r="C13" s="1717">
        <f>'доп расходы_свод'!C17</f>
        <v>360000</v>
      </c>
      <c r="D13" s="1717"/>
      <c r="E13" s="1717">
        <f>C13</f>
        <v>360000</v>
      </c>
      <c r="F13" s="1717"/>
      <c r="G13" s="5" t="s">
        <v>829</v>
      </c>
    </row>
    <row r="14" spans="1:9" ht="20" thickBot="1">
      <c r="A14" s="39" t="s">
        <v>804</v>
      </c>
      <c r="B14" s="1559" t="s">
        <v>847</v>
      </c>
      <c r="C14" s="1557">
        <f>C12+C13</f>
        <v>738000</v>
      </c>
      <c r="D14" s="1557"/>
      <c r="E14" s="1557">
        <f>E12+E13</f>
        <v>738000</v>
      </c>
      <c r="F14" s="1817"/>
      <c r="G14" s="1614" t="s">
        <v>830</v>
      </c>
    </row>
    <row r="15" spans="1:9" ht="20" thickTop="1">
      <c r="A15" s="139"/>
      <c r="B15" s="1538" t="s">
        <v>854</v>
      </c>
      <c r="C15" s="1838" t="e">
        <f>C14/C$4</f>
        <v>#REF!</v>
      </c>
      <c r="D15" s="1839"/>
      <c r="E15" s="1838" t="e">
        <f>E14/E$4</f>
        <v>#REF!</v>
      </c>
      <c r="F15" s="1540"/>
    </row>
    <row r="16" spans="1:9" ht="19">
      <c r="A16" s="139"/>
      <c r="B16" s="1560" t="s">
        <v>833</v>
      </c>
      <c r="C16" s="1549"/>
      <c r="D16" s="1549"/>
      <c r="E16" s="1549"/>
      <c r="F16" s="1535"/>
    </row>
    <row r="17" spans="1:7" ht="51">
      <c r="A17" s="2"/>
      <c r="B17" s="1552" t="s">
        <v>831</v>
      </c>
      <c r="C17" s="1554" t="s">
        <v>832</v>
      </c>
      <c r="D17" s="1552"/>
      <c r="E17" s="1554" t="s">
        <v>845</v>
      </c>
      <c r="F17" s="1535"/>
    </row>
    <row r="18" spans="1:7" ht="19">
      <c r="A18" s="1545" t="s">
        <v>786</v>
      </c>
      <c r="B18" s="1552" t="s">
        <v>835</v>
      </c>
      <c r="C18" s="1553" t="e">
        <f>SUM(C19:C21)</f>
        <v>#REF!</v>
      </c>
      <c r="D18" s="1553"/>
      <c r="E18" s="1553" t="e">
        <f>SUM(E19:E21)</f>
        <v>#REF!</v>
      </c>
      <c r="F18" s="1816"/>
    </row>
    <row r="19" spans="1:7" ht="19">
      <c r="A19" s="992" t="s">
        <v>808</v>
      </c>
      <c r="B19" s="1542" t="s">
        <v>836</v>
      </c>
      <c r="C19" s="1537" t="e">
        <f>Воронка!#REF!</f>
        <v>#REF!</v>
      </c>
      <c r="D19" s="1537"/>
      <c r="E19" s="1537" t="e">
        <f>Воронка!#REF!</f>
        <v>#REF!</v>
      </c>
      <c r="F19" s="1717"/>
      <c r="G19" s="5" t="s">
        <v>837</v>
      </c>
    </row>
    <row r="20" spans="1:7" ht="19">
      <c r="A20" s="992" t="s">
        <v>809</v>
      </c>
      <c r="B20" s="1542" t="s">
        <v>839</v>
      </c>
      <c r="C20" s="1537" t="e">
        <f>Воронка!#REF!</f>
        <v>#REF!</v>
      </c>
      <c r="D20" s="1537"/>
      <c r="E20" s="1537" t="e">
        <f>Воронка!#REF!</f>
        <v>#REF!</v>
      </c>
      <c r="F20" s="1717"/>
      <c r="G20" s="5" t="s">
        <v>838</v>
      </c>
    </row>
    <row r="21" spans="1:7" ht="19">
      <c r="A21" s="992" t="s">
        <v>811</v>
      </c>
      <c r="B21" s="1542" t="s">
        <v>840</v>
      </c>
      <c r="C21" s="1537" t="e">
        <f>Воронка!#REF!</f>
        <v>#REF!</v>
      </c>
      <c r="D21" s="1537"/>
      <c r="E21" s="1537" t="e">
        <f>Воронка!#REF!</f>
        <v>#REF!</v>
      </c>
      <c r="F21" s="1717"/>
      <c r="G21" s="5" t="s">
        <v>901</v>
      </c>
    </row>
    <row r="22" spans="1:7" ht="19">
      <c r="A22" s="1494" t="s">
        <v>785</v>
      </c>
      <c r="B22" s="1552" t="s">
        <v>841</v>
      </c>
      <c r="C22" s="1553" t="e">
        <f>SUM(C23:C25)</f>
        <v>#REF!</v>
      </c>
      <c r="D22" s="1553"/>
      <c r="E22" s="1553" t="e">
        <f>SUM(E23:E25)</f>
        <v>#REF!</v>
      </c>
      <c r="F22" s="1816"/>
    </row>
    <row r="23" spans="1:7" ht="19">
      <c r="A23" s="39" t="s">
        <v>782</v>
      </c>
      <c r="B23" s="1542" t="s">
        <v>782</v>
      </c>
      <c r="C23" s="1537" t="e">
        <f>Воронка!#REF!</f>
        <v>#REF!</v>
      </c>
      <c r="D23" s="1537"/>
      <c r="E23" s="1537" t="e">
        <f>Воронка!#REF!</f>
        <v>#REF!</v>
      </c>
      <c r="F23" s="1717"/>
    </row>
    <row r="24" spans="1:7" ht="19">
      <c r="A24" s="841" t="s">
        <v>783</v>
      </c>
      <c r="B24" s="1542" t="s">
        <v>783</v>
      </c>
      <c r="C24" s="1537" t="e">
        <f>Воронка!#REF!</f>
        <v>#REF!</v>
      </c>
      <c r="D24" s="1537"/>
      <c r="E24" s="1537" t="e">
        <f>Воронка!#REF!</f>
        <v>#REF!</v>
      </c>
      <c r="F24" s="1717"/>
      <c r="G24" s="5" t="s">
        <v>849</v>
      </c>
    </row>
    <row r="25" spans="1:7" ht="19">
      <c r="A25" s="2"/>
      <c r="B25" s="1542" t="s">
        <v>842</v>
      </c>
      <c r="C25" s="1717">
        <f>расходы_разработка!D50-расходы_разработка!E50</f>
        <v>1272857.142857143</v>
      </c>
      <c r="D25" s="1717"/>
      <c r="E25" s="1717"/>
      <c r="F25" s="1717"/>
    </row>
    <row r="26" spans="1:7" ht="19">
      <c r="A26" s="1545" t="s">
        <v>810</v>
      </c>
      <c r="B26" s="1552" t="s">
        <v>900</v>
      </c>
      <c r="C26" s="1553">
        <f>расходы_разработка!D50-расходы_разработка!E50</f>
        <v>1272857.142857143</v>
      </c>
      <c r="D26" s="1553"/>
      <c r="E26" s="1553">
        <f>расходы_разработка!E50</f>
        <v>1272857.142857143</v>
      </c>
      <c r="F26" s="1816"/>
    </row>
    <row r="27" spans="1:7" ht="19">
      <c r="A27" s="304" t="s">
        <v>784</v>
      </c>
      <c r="B27" s="1552" t="s">
        <v>844</v>
      </c>
      <c r="C27" s="1553" t="e">
        <f>Воронка!#REF!</f>
        <v>#REF!</v>
      </c>
      <c r="D27" s="1553"/>
      <c r="E27" s="1553" t="e">
        <f>Воронка!#REF!</f>
        <v>#REF!</v>
      </c>
      <c r="F27" s="1816"/>
      <c r="G27" s="5" t="s">
        <v>843</v>
      </c>
    </row>
    <row r="28" spans="1:7" ht="17" thickBot="1">
      <c r="B28" s="1567" t="s">
        <v>846</v>
      </c>
      <c r="C28" s="1568" t="e">
        <f>SUM(C18,C22,C26,C27)</f>
        <v>#REF!</v>
      </c>
      <c r="D28" s="1569"/>
      <c r="E28" s="1568" t="e">
        <f>SUM(E18,E22,E26,E27)</f>
        <v>#REF!</v>
      </c>
      <c r="F28" s="1818"/>
    </row>
    <row r="29" spans="1:7" s="1540" customFormat="1" ht="18" thickTop="1">
      <c r="B29" s="1617" t="s">
        <v>856</v>
      </c>
      <c r="C29" s="1772">
        <v>0.13</v>
      </c>
      <c r="D29" s="1773"/>
      <c r="E29" s="1772">
        <v>0.13</v>
      </c>
      <c r="F29" s="1546"/>
      <c r="G29" s="1744" t="s">
        <v>1012</v>
      </c>
    </row>
    <row r="30" spans="1:7">
      <c r="B30" s="1538"/>
      <c r="C30" s="1539"/>
      <c r="D30" s="1540"/>
      <c r="E30" s="1840"/>
      <c r="F30" s="1540"/>
      <c r="G30" s="1613"/>
    </row>
    <row r="31" spans="1:7" s="334" customFormat="1" ht="19">
      <c r="B31" s="1732" t="s">
        <v>1005</v>
      </c>
      <c r="C31" s="1733"/>
      <c r="D31" s="1733"/>
      <c r="E31" s="1733"/>
      <c r="F31" s="1734"/>
      <c r="G31" s="1736"/>
    </row>
    <row r="32" spans="1:7" s="172" customFormat="1" ht="19">
      <c r="A32" s="992"/>
      <c r="B32" s="1737" t="s">
        <v>1019</v>
      </c>
      <c r="C32" s="1738" t="e">
        <f>C22*(1+C$29)</f>
        <v>#REF!</v>
      </c>
      <c r="D32" s="1738"/>
      <c r="E32" s="1738">
        <v>0</v>
      </c>
      <c r="F32" s="1770"/>
      <c r="G32" s="1576" t="s">
        <v>1045</v>
      </c>
    </row>
    <row r="33" spans="1:7" s="172" customFormat="1" ht="19">
      <c r="A33" s="992"/>
      <c r="B33" s="1740" t="s">
        <v>1044</v>
      </c>
      <c r="C33" s="1769" t="e">
        <f>C32/C$4</f>
        <v>#REF!</v>
      </c>
      <c r="D33" s="1575"/>
      <c r="E33" s="1769" t="e">
        <f>E32/E$4</f>
        <v>#REF!</v>
      </c>
      <c r="F33" s="1770"/>
      <c r="G33" s="1576"/>
    </row>
    <row r="34" spans="1:7" s="172" customFormat="1" ht="19">
      <c r="A34" s="992"/>
      <c r="B34" s="1737" t="s">
        <v>1032</v>
      </c>
      <c r="C34" s="1738" t="e">
        <f>(C18+C26+C27)*(1+C$29)</f>
        <v>#REF!</v>
      </c>
      <c r="D34" s="1575"/>
      <c r="E34" s="1738" t="e">
        <f>(E18+E26+E27+E22)*(1+E$29)</f>
        <v>#REF!</v>
      </c>
      <c r="F34" s="1770"/>
      <c r="G34" s="1576" t="s">
        <v>1046</v>
      </c>
    </row>
    <row r="35" spans="1:7" s="172" customFormat="1" ht="19">
      <c r="A35" s="15"/>
      <c r="B35" s="1740" t="s">
        <v>1043</v>
      </c>
      <c r="C35" s="1746" t="e">
        <f>C$34/C4</f>
        <v>#REF!</v>
      </c>
      <c r="D35" s="1750"/>
      <c r="E35" s="1746" t="e">
        <f>E$34/E4</f>
        <v>#REF!</v>
      </c>
      <c r="F35" s="1770"/>
      <c r="G35" s="1576"/>
    </row>
    <row r="36" spans="1:7" s="172" customFormat="1" ht="19">
      <c r="A36" s="15"/>
      <c r="B36" s="1740" t="s">
        <v>1041</v>
      </c>
      <c r="C36" s="1746" t="e">
        <f t="shared" ref="C36:E38" si="0">C$34/C5</f>
        <v>#REF!</v>
      </c>
      <c r="D36" s="1750"/>
      <c r="E36" s="1746" t="e">
        <f t="shared" si="0"/>
        <v>#REF!</v>
      </c>
      <c r="F36" s="1770"/>
      <c r="G36" s="1576"/>
    </row>
    <row r="37" spans="1:7" s="172" customFormat="1" ht="19">
      <c r="A37" s="15"/>
      <c r="B37" s="1740" t="s">
        <v>1039</v>
      </c>
      <c r="C37" s="1746" t="e">
        <f t="shared" si="0"/>
        <v>#REF!</v>
      </c>
      <c r="D37" s="1750"/>
      <c r="E37" s="1746" t="e">
        <f t="shared" si="0"/>
        <v>#REF!</v>
      </c>
      <c r="F37" s="1770"/>
      <c r="G37" s="1576"/>
    </row>
    <row r="38" spans="1:7" s="172" customFormat="1" ht="19">
      <c r="A38" s="15"/>
      <c r="B38" s="1740" t="s">
        <v>1040</v>
      </c>
      <c r="C38" s="1746" t="e">
        <f t="shared" si="0"/>
        <v>#REF!</v>
      </c>
      <c r="D38" s="1750"/>
      <c r="E38" s="1746" t="e">
        <f t="shared" si="0"/>
        <v>#REF!</v>
      </c>
      <c r="F38" s="1770"/>
      <c r="G38" s="1576"/>
    </row>
    <row r="39" spans="1:7" s="172" customFormat="1" ht="18" thickBot="1">
      <c r="B39" s="1742" t="s">
        <v>858</v>
      </c>
      <c r="C39" s="1743" t="e">
        <f>C32+C34</f>
        <v>#REF!</v>
      </c>
      <c r="D39" s="1743"/>
      <c r="E39" s="1743" t="e">
        <f>E32+E34</f>
        <v>#REF!</v>
      </c>
      <c r="F39" s="1819"/>
      <c r="G39" s="8" t="s">
        <v>848</v>
      </c>
    </row>
    <row r="40" spans="1:7" ht="20" thickTop="1">
      <c r="A40" s="334"/>
      <c r="B40" s="1538" t="s">
        <v>1043</v>
      </c>
      <c r="C40" s="1771" t="e">
        <f>C39/C4</f>
        <v>#REF!</v>
      </c>
      <c r="D40" s="1540"/>
      <c r="E40" s="1771" t="e">
        <f>E39/E4</f>
        <v>#REF!</v>
      </c>
      <c r="F40" s="1820"/>
    </row>
    <row r="41" spans="1:7">
      <c r="B41" s="1538"/>
      <c r="C41" s="1618"/>
      <c r="D41" s="1546"/>
      <c r="E41" s="1618"/>
      <c r="F41" s="1546"/>
    </row>
    <row r="42" spans="1:7" s="334" customFormat="1" ht="19">
      <c r="B42" s="1732" t="s">
        <v>1017</v>
      </c>
      <c r="C42" s="1733"/>
      <c r="D42" s="1733"/>
      <c r="E42" s="1733"/>
      <c r="F42" s="1734"/>
      <c r="G42" s="1736"/>
    </row>
    <row r="43" spans="1:7" ht="19">
      <c r="A43" s="992"/>
      <c r="B43" s="1542" t="s">
        <v>1006</v>
      </c>
      <c r="C43" s="1537" t="e">
        <f>C$4*C47</f>
        <v>#REF!</v>
      </c>
      <c r="D43" s="1537"/>
      <c r="E43" s="1537" t="e">
        <f>E$4*E47</f>
        <v>#REF!</v>
      </c>
      <c r="F43" s="1717"/>
    </row>
    <row r="44" spans="1:7" ht="19">
      <c r="A44" s="992"/>
      <c r="B44" s="1542" t="s">
        <v>1004</v>
      </c>
      <c r="C44" s="1537" t="e">
        <f>C$4*C48</f>
        <v>#REF!</v>
      </c>
      <c r="D44" s="1537"/>
      <c r="E44" s="1537" t="e">
        <f>E$4*E48</f>
        <v>#REF!</v>
      </c>
      <c r="F44" s="1717"/>
    </row>
    <row r="45" spans="1:7" ht="18" thickBot="1">
      <c r="B45" s="1556" t="s">
        <v>859</v>
      </c>
      <c r="C45" s="1557" t="e">
        <f>C43+C44</f>
        <v>#REF!</v>
      </c>
      <c r="D45" s="1557"/>
      <c r="E45" s="1557" t="e">
        <f>E43+E44</f>
        <v>#REF!</v>
      </c>
      <c r="F45" s="1818"/>
      <c r="G45" s="1614" t="s">
        <v>848</v>
      </c>
    </row>
    <row r="46" spans="1:7" ht="20" thickTop="1">
      <c r="A46" s="334"/>
      <c r="B46" s="1538" t="s">
        <v>1014</v>
      </c>
      <c r="C46" s="1771" t="e">
        <f>C45/C4</f>
        <v>#REF!</v>
      </c>
      <c r="D46" s="1540"/>
      <c r="E46" s="1771" t="e">
        <f>E47+E48</f>
        <v>#REF!</v>
      </c>
      <c r="F46" s="1820"/>
    </row>
    <row r="47" spans="1:7" ht="19">
      <c r="A47" s="334"/>
      <c r="B47" s="1538" t="s">
        <v>1020</v>
      </c>
      <c r="C47" s="1771" t="e">
        <f>C33</f>
        <v>#REF!</v>
      </c>
      <c r="D47" s="1540"/>
      <c r="E47" s="1771" t="e">
        <f>E33</f>
        <v>#REF!</v>
      </c>
      <c r="F47" s="1820"/>
    </row>
    <row r="48" spans="1:7" ht="19">
      <c r="A48" s="334"/>
      <c r="B48" s="1740" t="s">
        <v>1059</v>
      </c>
      <c r="C48" s="1771" t="e">
        <f>C35</f>
        <v>#REF!</v>
      </c>
      <c r="D48" s="1540"/>
      <c r="E48" s="1771" t="e">
        <f>E35</f>
        <v>#REF!</v>
      </c>
      <c r="F48" s="1820"/>
    </row>
    <row r="49" spans="2:12" ht="18" thickBot="1">
      <c r="G49" s="1613" t="s">
        <v>1016</v>
      </c>
    </row>
    <row r="50" spans="2:12" ht="47" thickBot="1">
      <c r="B50" s="1561" t="s">
        <v>850</v>
      </c>
      <c r="C50" s="1548" t="s">
        <v>823</v>
      </c>
      <c r="D50" s="1548"/>
      <c r="E50" s="1548" t="s">
        <v>1053</v>
      </c>
      <c r="F50" s="1815"/>
      <c r="H50" s="1614" t="s">
        <v>863</v>
      </c>
      <c r="I50" s="1535"/>
      <c r="J50" s="1535"/>
      <c r="K50" s="1572">
        <v>2</v>
      </c>
      <c r="L50" s="1535" t="s">
        <v>861</v>
      </c>
    </row>
    <row r="51" spans="2:12" ht="26">
      <c r="B51" s="1562" t="s">
        <v>916</v>
      </c>
      <c r="C51" s="1563"/>
      <c r="D51" s="1563"/>
      <c r="E51" s="1563"/>
      <c r="F51" s="1821"/>
    </row>
    <row r="52" spans="2:12" ht="15.5" customHeight="1">
      <c r="B52" s="1564" t="s">
        <v>575</v>
      </c>
      <c r="C52" s="1565" t="e">
        <f>SUM(C53:C54)</f>
        <v>#REF!</v>
      </c>
      <c r="D52" s="1565"/>
      <c r="E52" s="1565" t="e">
        <f>SUM(E53:E54)</f>
        <v>#REF!</v>
      </c>
      <c r="F52" s="1816"/>
    </row>
    <row r="53" spans="2:12" ht="15.5" customHeight="1">
      <c r="B53" s="1541" t="s">
        <v>851</v>
      </c>
      <c r="C53" s="1537" t="e">
        <f>C4</f>
        <v>#REF!</v>
      </c>
      <c r="D53" s="1537"/>
      <c r="E53" s="1537" t="e">
        <f>E4</f>
        <v>#REF!</v>
      </c>
      <c r="F53" s="1717"/>
      <c r="G53" s="1633" t="s">
        <v>927</v>
      </c>
    </row>
    <row r="54" spans="2:12" ht="15.5" customHeight="1">
      <c r="B54" s="1541" t="s">
        <v>902</v>
      </c>
      <c r="C54" s="1537">
        <f>C14</f>
        <v>738000</v>
      </c>
      <c r="D54" s="1537"/>
      <c r="E54" s="1537">
        <f>E14</f>
        <v>738000</v>
      </c>
      <c r="F54" s="1717"/>
      <c r="G54" s="1632" t="s">
        <v>928</v>
      </c>
    </row>
    <row r="55" spans="2:12" ht="15.5" customHeight="1"/>
    <row r="56" spans="2:12" ht="15.5" customHeight="1">
      <c r="B56" s="1564" t="s">
        <v>335</v>
      </c>
      <c r="C56" s="1565" t="e">
        <f>SUM(C57:C61)</f>
        <v>#REF!</v>
      </c>
      <c r="D56" s="1565"/>
      <c r="E56" s="1565" t="e">
        <f>SUM(E57:E61)</f>
        <v>#REF!</v>
      </c>
      <c r="F56" s="1816"/>
    </row>
    <row r="57" spans="2:12" ht="15.5" customHeight="1">
      <c r="B57" s="1541" t="s">
        <v>904</v>
      </c>
      <c r="C57" s="1537">
        <f>Воронка!R52</f>
        <v>50425005.288461544</v>
      </c>
      <c r="D57" s="1537"/>
      <c r="E57" s="1537">
        <f>Воронка!R52</f>
        <v>50425005.288461544</v>
      </c>
      <c r="F57" s="1717"/>
    </row>
    <row r="58" spans="2:12" ht="15.5" customHeight="1">
      <c r="B58" s="1541" t="s">
        <v>1023</v>
      </c>
      <c r="C58" s="1717" t="e">
        <f>CHOOSE($K$50,C32,C43)</f>
        <v>#REF!</v>
      </c>
      <c r="D58" s="1717"/>
      <c r="E58" s="1717" t="e">
        <f>CHOOSE($K$50,E32,E43)</f>
        <v>#REF!</v>
      </c>
      <c r="F58" s="1717"/>
      <c r="G58" s="1632" t="s">
        <v>926</v>
      </c>
    </row>
    <row r="59" spans="2:12" ht="15.5" customHeight="1">
      <c r="B59" s="1541" t="s">
        <v>1022</v>
      </c>
      <c r="C59" s="1717" t="e">
        <f>CHOOSE($K$50,C34,C44)</f>
        <v>#REF!</v>
      </c>
      <c r="D59" s="1717"/>
      <c r="E59" s="1717" t="e">
        <f>CHOOSE($K$50,E34,E44)</f>
        <v>#REF!</v>
      </c>
      <c r="F59" s="1717"/>
      <c r="G59" s="1632"/>
    </row>
    <row r="60" spans="2:12" ht="15.5" customHeight="1">
      <c r="B60" s="1541" t="s">
        <v>988</v>
      </c>
      <c r="C60" s="1537">
        <f>C13</f>
        <v>360000</v>
      </c>
      <c r="D60" s="1537"/>
      <c r="E60" s="1537">
        <f>E13</f>
        <v>360000</v>
      </c>
      <c r="F60" s="1717"/>
      <c r="G60" s="1613"/>
    </row>
    <row r="61" spans="2:12" ht="15.5" customHeight="1">
      <c r="B61" s="1541" t="s">
        <v>943</v>
      </c>
      <c r="C61" s="1717">
        <f>'доп расходы_свод'!D17</f>
        <v>8352000</v>
      </c>
      <c r="D61" s="1717"/>
      <c r="E61" s="1717">
        <f>'доп расходы_свод'!D18</f>
        <v>4176000</v>
      </c>
      <c r="F61" s="1717"/>
      <c r="G61" s="1613"/>
    </row>
    <row r="62" spans="2:12" ht="15.5" customHeight="1"/>
    <row r="63" spans="2:12" ht="15.5" customHeight="1" thickBot="1">
      <c r="B63" s="1566" t="s">
        <v>920</v>
      </c>
      <c r="C63" s="1555" t="e">
        <f>C52-C56</f>
        <v>#REF!</v>
      </c>
      <c r="D63" s="1555"/>
      <c r="E63" s="1555" t="e">
        <f>E52-E56</f>
        <v>#REF!</v>
      </c>
      <c r="F63" s="1817"/>
    </row>
    <row r="64" spans="2:12" ht="15.5" customHeight="1" thickTop="1">
      <c r="B64" s="1627" t="s">
        <v>938</v>
      </c>
      <c r="C64" s="1628" t="e">
        <f>C63/C52</f>
        <v>#REF!</v>
      </c>
      <c r="D64" s="1629"/>
      <c r="E64" s="1628" t="e">
        <f>E63/E52</f>
        <v>#REF!</v>
      </c>
      <c r="F64" s="1629"/>
    </row>
    <row r="65" spans="2:8" ht="35" thickBot="1">
      <c r="B65" s="1753" t="s">
        <v>940</v>
      </c>
      <c r="C65" s="1619" t="e">
        <f>C53-C59</f>
        <v>#REF!</v>
      </c>
      <c r="D65" s="1620"/>
      <c r="E65" s="1619" t="e">
        <f>E53-E59</f>
        <v>#REF!</v>
      </c>
      <c r="F65" s="1822"/>
    </row>
    <row r="66" spans="2:8" s="1636" customFormat="1" ht="20" customHeight="1" thickTop="1">
      <c r="B66" s="1625" t="s">
        <v>854</v>
      </c>
      <c r="C66" s="1643" t="e">
        <f>C65/C4</f>
        <v>#REF!</v>
      </c>
      <c r="D66" s="1644"/>
      <c r="E66" s="1643" t="e">
        <f>E65/E4</f>
        <v>#REF!</v>
      </c>
      <c r="F66" s="1823"/>
      <c r="G66" s="582" t="s">
        <v>1060</v>
      </c>
      <c r="H66" s="1647" t="s">
        <v>931</v>
      </c>
    </row>
    <row r="67" spans="2:8">
      <c r="B67" s="1589"/>
      <c r="C67" s="1635"/>
      <c r="D67" s="1629"/>
      <c r="E67" s="1635"/>
      <c r="F67" s="1629"/>
    </row>
    <row r="68" spans="2:8" s="1638" customFormat="1">
      <c r="B68" s="1564" t="s">
        <v>925</v>
      </c>
      <c r="C68" s="1565"/>
      <c r="D68" s="1565"/>
      <c r="E68" s="1565"/>
      <c r="F68" s="1642"/>
      <c r="G68" s="1632"/>
    </row>
    <row r="69" spans="2:8" s="1638" customFormat="1" ht="17">
      <c r="B69" s="1656" t="s">
        <v>935</v>
      </c>
      <c r="C69" s="1655">
        <f>C13*22%</f>
        <v>79200</v>
      </c>
      <c r="D69" s="1655"/>
      <c r="E69" s="1655">
        <f>E13*22%</f>
        <v>79200</v>
      </c>
      <c r="F69" s="1824"/>
      <c r="G69" s="1613" t="s">
        <v>990</v>
      </c>
      <c r="H69" s="4" t="s">
        <v>932</v>
      </c>
    </row>
    <row r="70" spans="2:8" s="1638" customFormat="1" ht="17">
      <c r="B70" s="1656" t="s">
        <v>921</v>
      </c>
      <c r="C70" s="1655" t="e">
        <f>C63*5%</f>
        <v>#REF!</v>
      </c>
      <c r="D70" s="1655"/>
      <c r="E70" s="1655" t="e">
        <f>E63*5%</f>
        <v>#REF!</v>
      </c>
      <c r="F70" s="1824"/>
      <c r="G70" s="1613" t="s">
        <v>990</v>
      </c>
    </row>
    <row r="71" spans="2:8" s="1638" customFormat="1">
      <c r="B71" s="1575" t="s">
        <v>1027</v>
      </c>
      <c r="C71" s="1682" t="e">
        <f>C70-E70</f>
        <v>#REF!</v>
      </c>
      <c r="D71" s="1659"/>
      <c r="E71" s="1653"/>
      <c r="F71" s="1824"/>
      <c r="G71" s="1613"/>
    </row>
    <row r="72" spans="2:8">
      <c r="B72" s="922"/>
      <c r="E72" s="1634"/>
    </row>
    <row r="73" spans="2:8" ht="26">
      <c r="B73" s="1562" t="s">
        <v>865</v>
      </c>
      <c r="C73" s="1563"/>
      <c r="D73" s="1563"/>
      <c r="E73" s="1563"/>
      <c r="F73" s="1821"/>
    </row>
    <row r="74" spans="2:8">
      <c r="B74" s="1564" t="s">
        <v>575</v>
      </c>
      <c r="C74" s="1565" t="e">
        <f>SUM(C75:C77)</f>
        <v>#REF!</v>
      </c>
      <c r="D74" s="1565"/>
      <c r="E74" s="1565" t="e">
        <f>SUM(E75:E77)</f>
        <v>#REF!</v>
      </c>
      <c r="F74" s="1816"/>
      <c r="G74" s="1632"/>
    </row>
    <row r="75" spans="2:8">
      <c r="B75" s="1541" t="s">
        <v>851</v>
      </c>
      <c r="C75" s="1537"/>
      <c r="D75" s="1537"/>
      <c r="E75" s="1537"/>
      <c r="F75" s="1717"/>
    </row>
    <row r="76" spans="2:8">
      <c r="B76" s="1541" t="s">
        <v>1023</v>
      </c>
      <c r="C76" s="1717" t="e">
        <f>C58</f>
        <v>#REF!</v>
      </c>
      <c r="D76" s="1717"/>
      <c r="E76" s="1717" t="e">
        <f>E58</f>
        <v>#REF!</v>
      </c>
      <c r="F76" s="1717"/>
      <c r="G76" s="922" t="s">
        <v>926</v>
      </c>
    </row>
    <row r="77" spans="2:8">
      <c r="B77" s="1541" t="s">
        <v>1022</v>
      </c>
      <c r="C77" s="1717" t="e">
        <f>C59</f>
        <v>#REF!</v>
      </c>
      <c r="D77" s="1717"/>
      <c r="E77" s="1717" t="e">
        <f>E59</f>
        <v>#REF!</v>
      </c>
      <c r="F77" s="1717"/>
      <c r="G77" s="922"/>
    </row>
    <row r="78" spans="2:8">
      <c r="B78" s="1627"/>
      <c r="C78" s="324"/>
      <c r="D78" s="1537"/>
      <c r="E78" s="324"/>
      <c r="F78" s="1717"/>
    </row>
    <row r="79" spans="2:8">
      <c r="B79" s="1564" t="s">
        <v>335</v>
      </c>
      <c r="C79" s="1565" t="e">
        <f>SUM(C80:C82)</f>
        <v>#REF!</v>
      </c>
      <c r="D79" s="1565"/>
      <c r="E79" s="1565" t="e">
        <f>SUM(E80:E82)</f>
        <v>#REF!</v>
      </c>
      <c r="F79" s="1816"/>
    </row>
    <row r="80" spans="2:8">
      <c r="B80" s="1541" t="s">
        <v>902</v>
      </c>
      <c r="C80" s="1537">
        <f>C54</f>
        <v>738000</v>
      </c>
      <c r="D80" s="1537"/>
      <c r="E80" s="1537">
        <f>E54</f>
        <v>738000</v>
      </c>
      <c r="F80" s="1717"/>
    </row>
    <row r="81" spans="2:8">
      <c r="B81" s="1541" t="s">
        <v>1023</v>
      </c>
      <c r="C81" s="1717" t="e">
        <f>C22</f>
        <v>#REF!</v>
      </c>
      <c r="D81" s="1717"/>
      <c r="E81" s="1717">
        <v>0</v>
      </c>
      <c r="F81" s="1717"/>
    </row>
    <row r="82" spans="2:8">
      <c r="B82" s="1541" t="s">
        <v>1025</v>
      </c>
      <c r="C82" s="1717" t="e">
        <f>C18+C26+C27</f>
        <v>#REF!</v>
      </c>
      <c r="D82" s="1717"/>
      <c r="E82" s="1717" t="e">
        <f>E18+E26+E27+E22</f>
        <v>#REF!</v>
      </c>
      <c r="F82" s="1717"/>
    </row>
    <row r="84" spans="2:8" ht="17" thickBot="1">
      <c r="B84" s="1566" t="s">
        <v>853</v>
      </c>
      <c r="C84" s="1555" t="e">
        <f>C74-C79</f>
        <v>#REF!</v>
      </c>
      <c r="D84" s="1555"/>
      <c r="E84" s="1555" t="e">
        <f>E74-E79</f>
        <v>#REF!</v>
      </c>
      <c r="F84" s="1817"/>
    </row>
    <row r="85" spans="2:8" ht="17" thickTop="1">
      <c r="B85" s="1627" t="s">
        <v>939</v>
      </c>
      <c r="C85" s="1635" t="e">
        <f>C84/C74</f>
        <v>#REF!</v>
      </c>
      <c r="D85" s="1629"/>
      <c r="E85" s="1635" t="e">
        <f>E84/E74</f>
        <v>#REF!</v>
      </c>
      <c r="F85" s="1629"/>
    </row>
    <row r="86" spans="2:8">
      <c r="B86" s="1627" t="s">
        <v>854</v>
      </c>
      <c r="C86" s="1628" t="e">
        <f>C84/C$4</f>
        <v>#REF!</v>
      </c>
      <c r="D86" s="1629"/>
      <c r="E86" s="1628" t="e">
        <f>E84/E$4</f>
        <v>#REF!</v>
      </c>
      <c r="F86" s="1629"/>
    </row>
    <row r="87" spans="2:8" ht="17">
      <c r="B87" s="1841" t="s">
        <v>1061</v>
      </c>
      <c r="C87" s="1842" t="e">
        <f>C84/C79</f>
        <v>#REF!</v>
      </c>
      <c r="D87" s="1843"/>
      <c r="E87" s="1842" t="e">
        <f>E84/E79</f>
        <v>#REF!</v>
      </c>
      <c r="F87" s="1825"/>
      <c r="G87" s="1744" t="s">
        <v>1012</v>
      </c>
    </row>
    <row r="88" spans="2:8">
      <c r="C88" s="324"/>
      <c r="E88" s="324"/>
    </row>
    <row r="89" spans="2:8">
      <c r="B89" s="1535" t="s">
        <v>852</v>
      </c>
      <c r="C89" s="1536" t="e">
        <f>Воронка!#REF!</f>
        <v>#REF!</v>
      </c>
      <c r="D89" s="1536"/>
      <c r="E89" s="1536" t="e">
        <f>Воронка!#REF!</f>
        <v>#REF!</v>
      </c>
      <c r="F89" s="1816"/>
    </row>
    <row r="90" spans="2:8" ht="17" thickBot="1">
      <c r="B90" s="1571" t="s">
        <v>855</v>
      </c>
      <c r="C90" s="1570" t="e">
        <f>C84+C89</f>
        <v>#REF!</v>
      </c>
      <c r="D90" s="1570"/>
      <c r="E90" s="1570" t="e">
        <f>E84+E89</f>
        <v>#REF!</v>
      </c>
      <c r="F90" s="1817"/>
    </row>
    <row r="91" spans="2:8" ht="17" thickTop="1"/>
    <row r="92" spans="2:8" s="1638" customFormat="1" ht="17" customHeight="1">
      <c r="B92" s="1564" t="s">
        <v>924</v>
      </c>
      <c r="C92" s="1565"/>
      <c r="D92" s="1565"/>
      <c r="E92" s="1565"/>
      <c r="F92" s="1642"/>
      <c r="G92" s="1613" t="s">
        <v>933</v>
      </c>
      <c r="H92" s="4" t="s">
        <v>932</v>
      </c>
    </row>
    <row r="93" spans="2:8" s="1649" customFormat="1" ht="68" customHeight="1">
      <c r="B93" s="1656" t="s">
        <v>962</v>
      </c>
      <c r="C93" s="1655" t="e">
        <f xml:space="preserve"> (C76+C77)*22%</f>
        <v>#REF!</v>
      </c>
      <c r="D93" s="1655"/>
      <c r="E93" s="1655" t="e">
        <f xml:space="preserve"> (E76+E77)*22%</f>
        <v>#REF!</v>
      </c>
      <c r="F93" s="1826"/>
      <c r="G93" s="1774" t="s">
        <v>1054</v>
      </c>
    </row>
    <row r="94" spans="2:8" s="1638" customFormat="1" ht="17" customHeight="1">
      <c r="B94" s="1656" t="s">
        <v>922</v>
      </c>
      <c r="C94" s="1655" t="e">
        <f>C84*25%</f>
        <v>#REF!</v>
      </c>
      <c r="D94" s="1655"/>
      <c r="E94" s="1655" t="e">
        <f>E84*25%</f>
        <v>#REF!</v>
      </c>
      <c r="F94" s="1824"/>
      <c r="G94" s="1639"/>
    </row>
    <row r="95" spans="2:8" ht="17" customHeight="1">
      <c r="B95" s="1575" t="s">
        <v>1027</v>
      </c>
      <c r="C95" s="1658" t="e">
        <f>C94-E94</f>
        <v>#REF!</v>
      </c>
      <c r="D95" s="1659"/>
      <c r="E95" s="1653"/>
      <c r="F95" s="922"/>
      <c r="G95" s="1615"/>
    </row>
    <row r="96" spans="2:8" ht="17" customHeight="1">
      <c r="B96" s="1657"/>
      <c r="C96" s="1658"/>
      <c r="D96" s="1659"/>
      <c r="E96" s="1653"/>
      <c r="F96" s="922"/>
      <c r="G96" s="1615"/>
    </row>
    <row r="97" spans="2:7" ht="44">
      <c r="B97" s="1703" t="s">
        <v>945</v>
      </c>
      <c r="C97" s="1548" t="s">
        <v>823</v>
      </c>
      <c r="D97" s="1548"/>
      <c r="E97" s="1548" t="s">
        <v>1053</v>
      </c>
      <c r="F97" s="1815"/>
      <c r="G97" s="1616"/>
    </row>
    <row r="98" spans="2:7" ht="26">
      <c r="B98" s="1562" t="s">
        <v>946</v>
      </c>
      <c r="C98" s="1563"/>
      <c r="D98" s="1563"/>
      <c r="E98" s="1563"/>
      <c r="F98" s="1821"/>
    </row>
    <row r="99" spans="2:7">
      <c r="B99" s="1662" t="s">
        <v>575</v>
      </c>
      <c r="C99" s="1663" t="e">
        <f>C100+C103</f>
        <v>#REF!</v>
      </c>
      <c r="D99" s="1663"/>
      <c r="E99" s="1663" t="e">
        <f>E100+E103</f>
        <v>#REF!</v>
      </c>
      <c r="F99" s="1816"/>
      <c r="G99" s="1632"/>
    </row>
    <row r="100" spans="2:7">
      <c r="B100" s="1661" t="s">
        <v>942</v>
      </c>
      <c r="C100" s="1565" t="e">
        <f>SUM(C101:C102)</f>
        <v>#REF!</v>
      </c>
      <c r="D100" s="1565"/>
      <c r="E100" s="1565" t="e">
        <f>SUM(E101:E102)</f>
        <v>#REF!</v>
      </c>
      <c r="F100" s="1816"/>
      <c r="G100" s="1632"/>
    </row>
    <row r="101" spans="2:7" ht="17">
      <c r="B101" s="1542" t="s">
        <v>851</v>
      </c>
      <c r="C101" s="1537" t="e">
        <f>C53</f>
        <v>#REF!</v>
      </c>
      <c r="D101" s="1537"/>
      <c r="E101" s="1537" t="e">
        <f>E53</f>
        <v>#REF!</v>
      </c>
      <c r="F101" s="1717"/>
      <c r="G101" s="5" t="s">
        <v>941</v>
      </c>
    </row>
    <row r="102" spans="2:7" s="1636" customFormat="1" ht="17">
      <c r="B102" s="1694" t="s">
        <v>984</v>
      </c>
      <c r="C102" s="1709">
        <f>C54</f>
        <v>738000</v>
      </c>
      <c r="D102" s="1709"/>
      <c r="E102" s="1709">
        <f>E54</f>
        <v>738000</v>
      </c>
      <c r="F102" s="1827"/>
      <c r="G102" s="1696" t="s">
        <v>989</v>
      </c>
    </row>
    <row r="103" spans="2:7">
      <c r="B103" s="1661" t="s">
        <v>865</v>
      </c>
      <c r="C103" s="1565" t="e">
        <f>C104+C105</f>
        <v>#REF!</v>
      </c>
      <c r="D103" s="1565"/>
      <c r="E103" s="1565" t="e">
        <f>E104+E105</f>
        <v>#REF!</v>
      </c>
      <c r="F103" s="1816"/>
      <c r="G103" s="1632"/>
    </row>
    <row r="104" spans="2:7" ht="17">
      <c r="B104" s="1542" t="s">
        <v>1023</v>
      </c>
      <c r="C104" s="1717" t="e">
        <f>C58</f>
        <v>#REF!</v>
      </c>
      <c r="D104" s="1717"/>
      <c r="E104" s="1717" t="e">
        <f>E58</f>
        <v>#REF!</v>
      </c>
      <c r="F104" s="1717"/>
      <c r="G104" s="5" t="s">
        <v>947</v>
      </c>
    </row>
    <row r="105" spans="2:7">
      <c r="B105" s="1542" t="s">
        <v>1022</v>
      </c>
      <c r="C105" s="1717" t="e">
        <f>C59</f>
        <v>#REF!</v>
      </c>
      <c r="D105" s="1717"/>
      <c r="E105" s="1717" t="e">
        <f>E59</f>
        <v>#REF!</v>
      </c>
      <c r="F105" s="1717"/>
    </row>
    <row r="106" spans="2:7">
      <c r="B106" s="1627"/>
      <c r="C106" s="324"/>
      <c r="D106" s="1537"/>
      <c r="E106" s="324"/>
      <c r="F106" s="1717"/>
      <c r="G106" s="1640"/>
    </row>
    <row r="107" spans="2:7">
      <c r="B107" s="1662" t="s">
        <v>335</v>
      </c>
      <c r="C107" s="1663" t="e">
        <f>C108+C114</f>
        <v>#REF!</v>
      </c>
      <c r="D107" s="1663"/>
      <c r="E107" s="1663" t="e">
        <f>E108+E114</f>
        <v>#REF!</v>
      </c>
      <c r="F107" s="1816"/>
    </row>
    <row r="108" spans="2:7">
      <c r="B108" s="1661" t="s">
        <v>942</v>
      </c>
      <c r="C108" s="1565" t="e">
        <f>SUM(C109:C113)</f>
        <v>#REF!</v>
      </c>
      <c r="D108" s="1565"/>
      <c r="E108" s="1565" t="e">
        <f>SUM(E109:E113)</f>
        <v>#REF!</v>
      </c>
      <c r="F108" s="1816"/>
      <c r="G108" s="1632"/>
    </row>
    <row r="109" spans="2:7">
      <c r="B109" s="1542" t="str">
        <f>B57</f>
        <v>Sales команда МПСтатс</v>
      </c>
      <c r="C109" s="1537">
        <f>C57</f>
        <v>50425005.288461544</v>
      </c>
      <c r="D109" s="1537"/>
      <c r="E109" s="1537">
        <f>E57</f>
        <v>50425005.288461544</v>
      </c>
      <c r="F109" s="1717"/>
    </row>
    <row r="110" spans="2:7" ht="17">
      <c r="B110" s="1542" t="s">
        <v>1023</v>
      </c>
      <c r="C110" s="1717" t="e">
        <f>C58</f>
        <v>#REF!</v>
      </c>
      <c r="D110" s="1717"/>
      <c r="E110" s="1717" t="e">
        <f>E58</f>
        <v>#REF!</v>
      </c>
      <c r="F110" s="1717"/>
      <c r="G110" s="5" t="s">
        <v>1049</v>
      </c>
    </row>
    <row r="111" spans="2:7" ht="17">
      <c r="B111" s="1542" t="s">
        <v>1022</v>
      </c>
      <c r="C111" s="1717" t="e">
        <f>C59</f>
        <v>#REF!</v>
      </c>
      <c r="D111" s="1717"/>
      <c r="E111" s="1717" t="e">
        <f>E59</f>
        <v>#REF!</v>
      </c>
      <c r="F111" s="1717"/>
      <c r="G111" s="5" t="s">
        <v>1050</v>
      </c>
    </row>
    <row r="112" spans="2:7" s="1636" customFormat="1">
      <c r="B112" s="1694" t="s">
        <v>991</v>
      </c>
      <c r="C112" s="1695">
        <f>C60</f>
        <v>360000</v>
      </c>
      <c r="D112" s="1695"/>
      <c r="E112" s="1695">
        <f>E60</f>
        <v>360000</v>
      </c>
      <c r="F112" s="1828"/>
      <c r="G112" s="1706"/>
    </row>
    <row r="113" spans="2:7" s="1636" customFormat="1">
      <c r="B113" s="1541" t="s">
        <v>1003</v>
      </c>
      <c r="C113" s="1695">
        <f>C61</f>
        <v>8352000</v>
      </c>
      <c r="D113" s="1695"/>
      <c r="E113" s="1695">
        <f>E61</f>
        <v>4176000</v>
      </c>
      <c r="F113" s="1828"/>
      <c r="G113" s="1706"/>
    </row>
    <row r="114" spans="2:7">
      <c r="B114" s="1661" t="s">
        <v>865</v>
      </c>
      <c r="C114" s="1565" t="e">
        <f>SUM(C115:C117)</f>
        <v>#REF!</v>
      </c>
      <c r="D114" s="1565"/>
      <c r="E114" s="1565" t="e">
        <f>SUM(E115:E117)</f>
        <v>#REF!</v>
      </c>
      <c r="F114" s="1816"/>
      <c r="G114" s="1632"/>
    </row>
    <row r="115" spans="2:7" ht="17">
      <c r="B115" s="1542" t="s">
        <v>902</v>
      </c>
      <c r="C115" s="1537">
        <f>C80</f>
        <v>738000</v>
      </c>
      <c r="D115" s="1537"/>
      <c r="E115" s="1537">
        <f>E80</f>
        <v>738000</v>
      </c>
      <c r="F115" s="1717"/>
      <c r="G115" s="5" t="s">
        <v>971</v>
      </c>
    </row>
    <row r="116" spans="2:7">
      <c r="B116" s="1542" t="s">
        <v>1024</v>
      </c>
      <c r="C116" s="1717" t="e">
        <f>C81</f>
        <v>#REF!</v>
      </c>
      <c r="D116" s="1717"/>
      <c r="E116" s="1717">
        <f>E81</f>
        <v>0</v>
      </c>
      <c r="F116" s="1717"/>
      <c r="G116" t="s">
        <v>1047</v>
      </c>
    </row>
    <row r="117" spans="2:7">
      <c r="B117" s="1542" t="s">
        <v>1022</v>
      </c>
      <c r="C117" s="1717" t="e">
        <f>C82</f>
        <v>#REF!</v>
      </c>
      <c r="D117" s="1717"/>
      <c r="E117" s="1717" t="e">
        <f>E82</f>
        <v>#REF!</v>
      </c>
      <c r="F117" s="1717"/>
      <c r="G117" t="s">
        <v>1048</v>
      </c>
    </row>
    <row r="119" spans="2:7" ht="17" thickBot="1">
      <c r="B119" s="1566" t="s">
        <v>970</v>
      </c>
      <c r="C119" s="1555" t="e">
        <f>C99-C107</f>
        <v>#REF!</v>
      </c>
      <c r="D119" s="1555"/>
      <c r="E119" s="1555" t="e">
        <f>E99-E107</f>
        <v>#REF!</v>
      </c>
      <c r="F119" s="1817"/>
    </row>
    <row r="120" spans="2:7" ht="17" thickTop="1">
      <c r="B120" s="1627" t="s">
        <v>961</v>
      </c>
      <c r="C120" s="1628" t="e">
        <f>C119/C99</f>
        <v>#REF!</v>
      </c>
      <c r="D120" s="1629"/>
      <c r="E120" s="1628" t="e">
        <f>E119/E99</f>
        <v>#REF!</v>
      </c>
      <c r="G120"/>
    </row>
    <row r="121" spans="2:7">
      <c r="B121" s="1670" t="s">
        <v>975</v>
      </c>
      <c r="C121" s="1654" t="e">
        <f>C100-C108</f>
        <v>#REF!</v>
      </c>
      <c r="D121" s="1654"/>
      <c r="E121" s="1654" t="e">
        <f>E100-E108</f>
        <v>#REF!</v>
      </c>
      <c r="F121" s="1535"/>
      <c r="G121"/>
    </row>
    <row r="122" spans="2:7">
      <c r="B122" s="1670" t="s">
        <v>966</v>
      </c>
      <c r="C122" s="1654" t="e">
        <f>C103-C114</f>
        <v>#REF!</v>
      </c>
      <c r="D122" s="1654"/>
      <c r="E122" s="1654" t="e">
        <f>E103-E114</f>
        <v>#REF!</v>
      </c>
      <c r="F122" s="1535"/>
      <c r="G122"/>
    </row>
    <row r="123" spans="2:7" ht="17" thickBot="1">
      <c r="B123" s="1729" t="s">
        <v>967</v>
      </c>
      <c r="C123" s="1555" t="e">
        <f>C89</f>
        <v>#REF!</v>
      </c>
      <c r="D123" s="1555"/>
      <c r="E123" s="1555" t="e">
        <f>E89</f>
        <v>#REF!</v>
      </c>
      <c r="F123" s="1535"/>
      <c r="G123" t="s">
        <v>969</v>
      </c>
    </row>
    <row r="124" spans="2:7" ht="18" thickTop="1" thickBot="1">
      <c r="B124" s="1727" t="s">
        <v>968</v>
      </c>
      <c r="C124" s="1728" t="e">
        <f>SUM(C121:C123)</f>
        <v>#REF!</v>
      </c>
      <c r="D124" s="1728"/>
      <c r="E124" s="1728" t="e">
        <f>SUM(E121:E123)</f>
        <v>#REF!</v>
      </c>
      <c r="F124" s="1535"/>
      <c r="G124"/>
    </row>
    <row r="125" spans="2:7" ht="17" thickTop="1">
      <c r="B125" s="165" t="s">
        <v>976</v>
      </c>
      <c r="C125" s="1812" t="e">
        <f>C124-E124</f>
        <v>#REF!</v>
      </c>
      <c r="E125" s="1682"/>
      <c r="G125"/>
    </row>
    <row r="126" spans="2:7" ht="17" thickBot="1">
      <c r="B126" s="1575"/>
      <c r="C126" s="1731"/>
      <c r="E126" s="1682"/>
      <c r="G126"/>
    </row>
    <row r="127" spans="2:7" ht="44">
      <c r="B127" s="1759" t="s">
        <v>1036</v>
      </c>
      <c r="C127" s="1548" t="s">
        <v>823</v>
      </c>
      <c r="D127" s="1548"/>
      <c r="E127" s="1548" t="s">
        <v>1053</v>
      </c>
      <c r="G127"/>
    </row>
    <row r="128" spans="2:7" ht="21">
      <c r="B128" s="1767" t="s">
        <v>957</v>
      </c>
      <c r="C128" s="1766" t="e">
        <f>C101</f>
        <v>#REF!</v>
      </c>
      <c r="D128" s="1766"/>
      <c r="E128" s="1768" t="e">
        <f>E101</f>
        <v>#REF!</v>
      </c>
      <c r="F128" s="1829">
        <f t="shared" ref="F128" si="1">F101</f>
        <v>0</v>
      </c>
    </row>
    <row r="129" spans="2:7">
      <c r="B129" s="1670" t="s">
        <v>956</v>
      </c>
      <c r="C129" s="1654" t="e">
        <f>C128-C133-C131</f>
        <v>#REF!</v>
      </c>
      <c r="D129" s="1654"/>
      <c r="E129" s="1671" t="e">
        <f>E128-E133-E131</f>
        <v>#REF!</v>
      </c>
      <c r="F129" s="1535"/>
      <c r="G129"/>
    </row>
    <row r="130" spans="2:7">
      <c r="B130" s="1672" t="s">
        <v>958</v>
      </c>
      <c r="C130" s="1665" t="e">
        <f>C129/C$128</f>
        <v>#REF!</v>
      </c>
      <c r="D130" s="1665"/>
      <c r="E130" s="1673" t="e">
        <f>E129/E$128</f>
        <v>#REF!</v>
      </c>
      <c r="G130"/>
    </row>
    <row r="131" spans="2:7">
      <c r="B131" s="1670" t="s">
        <v>1030</v>
      </c>
      <c r="C131" s="1654" t="e">
        <f>C104</f>
        <v>#REF!</v>
      </c>
      <c r="D131" s="1654"/>
      <c r="E131" s="1671" t="e">
        <f>E104</f>
        <v>#REF!</v>
      </c>
      <c r="G131"/>
    </row>
    <row r="132" spans="2:7">
      <c r="B132" s="1672" t="s">
        <v>959</v>
      </c>
      <c r="C132" s="1764" t="e">
        <f>C131/C$128</f>
        <v>#REF!</v>
      </c>
      <c r="D132" s="1764"/>
      <c r="E132" s="1844" t="e">
        <f>E131/E$128</f>
        <v>#REF!</v>
      </c>
      <c r="G132"/>
    </row>
    <row r="133" spans="2:7">
      <c r="B133" s="1670" t="s">
        <v>1031</v>
      </c>
      <c r="C133" s="1654" t="e">
        <f>C105</f>
        <v>#REF!</v>
      </c>
      <c r="D133" s="1654"/>
      <c r="E133" s="1671" t="e">
        <f>E105</f>
        <v>#REF!</v>
      </c>
      <c r="F133" s="1535"/>
      <c r="G133"/>
    </row>
    <row r="134" spans="2:7" ht="17" thickBot="1">
      <c r="B134" s="1674" t="s">
        <v>959</v>
      </c>
      <c r="C134" s="1675" t="e">
        <f>C133/C$128</f>
        <v>#REF!</v>
      </c>
      <c r="D134" s="1675"/>
      <c r="E134" s="1676" t="e">
        <f>E133/E$128</f>
        <v>#REF!</v>
      </c>
    </row>
    <row r="135" spans="2:7" ht="17" thickBot="1">
      <c r="B135" s="1765"/>
      <c r="C135" s="1764"/>
      <c r="D135" s="1665"/>
      <c r="E135" s="1764"/>
    </row>
    <row r="136" spans="2:7" ht="26">
      <c r="B136" s="1759" t="s">
        <v>1037</v>
      </c>
      <c r="C136" s="1760"/>
      <c r="D136" s="1761"/>
      <c r="E136" s="1762"/>
      <c r="G136" s="1540" t="s">
        <v>960</v>
      </c>
    </row>
    <row r="137" spans="2:7">
      <c r="B137" s="1670" t="s">
        <v>1030</v>
      </c>
      <c r="C137" s="1654" t="e">
        <f>C131</f>
        <v>#REF!</v>
      </c>
      <c r="D137" s="1654"/>
      <c r="E137" s="1671" t="e">
        <f>E131</f>
        <v>#REF!</v>
      </c>
    </row>
    <row r="138" spans="2:7">
      <c r="B138" s="1672" t="s">
        <v>1038</v>
      </c>
      <c r="C138" s="1764" t="e">
        <f>C132</f>
        <v>#REF!</v>
      </c>
      <c r="D138" s="1665"/>
      <c r="E138" s="1673" t="e">
        <f>E132</f>
        <v>#REF!</v>
      </c>
    </row>
    <row r="139" spans="2:7">
      <c r="B139" s="1835" t="s">
        <v>1031</v>
      </c>
      <c r="C139" s="1836" t="e">
        <f>C133</f>
        <v>#REF!</v>
      </c>
      <c r="D139" s="1836"/>
      <c r="E139" s="1837" t="e">
        <f>E133</f>
        <v>#REF!</v>
      </c>
    </row>
    <row r="140" spans="2:7">
      <c r="B140" s="1672" t="s">
        <v>1041</v>
      </c>
      <c r="C140" s="1665" t="e">
        <f>C$139/C5</f>
        <v>#REF!</v>
      </c>
      <c r="D140" s="1665"/>
      <c r="E140" s="1673" t="e">
        <f>E$139/E5</f>
        <v>#REF!</v>
      </c>
    </row>
    <row r="141" spans="2:7">
      <c r="B141" s="1672" t="s">
        <v>1039</v>
      </c>
      <c r="C141" s="1665" t="e">
        <f>C$139/C6</f>
        <v>#REF!</v>
      </c>
      <c r="D141" s="1665"/>
      <c r="E141" s="1673" t="e">
        <f>E$139/E6</f>
        <v>#REF!</v>
      </c>
    </row>
    <row r="142" spans="2:7" ht="17" thickBot="1">
      <c r="B142" s="1674" t="s">
        <v>1040</v>
      </c>
      <c r="C142" s="1675" t="e">
        <f>C$139/C7</f>
        <v>#REF!</v>
      </c>
      <c r="D142" s="1675"/>
      <c r="E142" s="1676" t="e">
        <f>E$139/E7</f>
        <v>#REF!</v>
      </c>
    </row>
    <row r="143" spans="2:7">
      <c r="B143" s="1664"/>
      <c r="C143" s="324"/>
      <c r="E143" s="324"/>
    </row>
    <row r="144" spans="2:7">
      <c r="B144" s="1552" t="s">
        <v>949</v>
      </c>
      <c r="C144" s="1553"/>
      <c r="D144" s="1553"/>
      <c r="E144" s="1553"/>
      <c r="G144" s="1613"/>
    </row>
    <row r="145" spans="2:7" ht="17">
      <c r="B145" s="1718" t="s">
        <v>954</v>
      </c>
      <c r="C145" s="1719"/>
      <c r="D145" s="1719"/>
      <c r="E145" s="1720"/>
      <c r="G145" s="1693" t="s">
        <v>963</v>
      </c>
    </row>
    <row r="146" spans="2:7" ht="17">
      <c r="B146" s="1721" t="s">
        <v>950</v>
      </c>
      <c r="C146" s="1722">
        <f>C69</f>
        <v>79200</v>
      </c>
      <c r="D146" s="1722"/>
      <c r="E146" s="1723">
        <f>E69</f>
        <v>79200</v>
      </c>
      <c r="G146" s="1677" t="s">
        <v>965</v>
      </c>
    </row>
    <row r="147" spans="2:7">
      <c r="B147" s="1721" t="s">
        <v>1052</v>
      </c>
      <c r="C147" s="1722" t="e">
        <f>C110*22%</f>
        <v>#REF!</v>
      </c>
      <c r="D147" s="1722"/>
      <c r="E147" s="1722" t="e">
        <f>E110*22%</f>
        <v>#REF!</v>
      </c>
      <c r="G147" s="1677"/>
    </row>
    <row r="148" spans="2:7" s="1636" customFormat="1" ht="34">
      <c r="B148" s="1845" t="s">
        <v>1062</v>
      </c>
      <c r="C148" s="1846" t="e">
        <f>C111*22%</f>
        <v>#REF!</v>
      </c>
      <c r="D148" s="1847"/>
      <c r="E148" s="1846" t="e">
        <f>E111*22%</f>
        <v>#REF!</v>
      </c>
      <c r="G148" s="1774" t="s">
        <v>1051</v>
      </c>
    </row>
    <row r="149" spans="2:7">
      <c r="B149" s="1718" t="s">
        <v>948</v>
      </c>
      <c r="C149" s="1719" t="e">
        <f>SUM(C150:C151)</f>
        <v>#REF!</v>
      </c>
      <c r="D149" s="1719"/>
      <c r="E149" s="1720" t="e">
        <f>SUM(E150:E151)</f>
        <v>#REF!</v>
      </c>
      <c r="F149" s="1651"/>
    </row>
    <row r="150" spans="2:7" ht="17">
      <c r="B150" s="1721" t="s">
        <v>952</v>
      </c>
      <c r="C150" s="1722" t="e">
        <f>C70</f>
        <v>#REF!</v>
      </c>
      <c r="D150" s="1722"/>
      <c r="E150" s="1723" t="e">
        <f>E70</f>
        <v>#REF!</v>
      </c>
      <c r="F150" s="1651"/>
      <c r="G150" s="1677" t="s">
        <v>964</v>
      </c>
    </row>
    <row r="151" spans="2:7">
      <c r="B151" s="1724" t="s">
        <v>953</v>
      </c>
      <c r="C151" s="1725" t="e">
        <f>C94</f>
        <v>#REF!</v>
      </c>
      <c r="D151" s="1725"/>
      <c r="E151" s="1726" t="e">
        <f>E94</f>
        <v>#REF!</v>
      </c>
      <c r="F151" s="1651"/>
    </row>
    <row r="152" spans="2:7" s="1575" customFormat="1">
      <c r="B152" s="165" t="s">
        <v>973</v>
      </c>
      <c r="C152" s="1813" t="e">
        <f>C149-E149</f>
        <v>#REF!</v>
      </c>
      <c r="E152" s="1689"/>
      <c r="G152" s="1690"/>
    </row>
    <row r="153" spans="2:7">
      <c r="E153" s="1680"/>
    </row>
    <row r="154" spans="2:7">
      <c r="B154" s="165"/>
      <c r="C154" s="1658"/>
      <c r="G154" s="1691"/>
    </row>
    <row r="155" spans="2:7">
      <c r="G155" s="1688"/>
    </row>
  </sheetData>
  <mergeCells count="1">
    <mergeCell ref="B2:B3"/>
  </mergeCells>
  <conditionalFormatting sqref="B78">
    <cfRule type="cellIs" dxfId="58" priority="15" operator="lessThan">
      <formula>0</formula>
    </cfRule>
  </conditionalFormatting>
  <conditionalFormatting sqref="B95 D95:E95 B96:E96">
    <cfRule type="cellIs" dxfId="57" priority="16" operator="lessThan">
      <formula>0</formula>
    </cfRule>
  </conditionalFormatting>
  <conditionalFormatting sqref="B106">
    <cfRule type="cellIs" dxfId="56" priority="14" operator="lessThan">
      <formula>0</formula>
    </cfRule>
  </conditionalFormatting>
  <conditionalFormatting sqref="B120">
    <cfRule type="cellIs" dxfId="55" priority="11" operator="lessThan">
      <formula>0</formula>
    </cfRule>
  </conditionalFormatting>
  <conditionalFormatting sqref="B125:B126">
    <cfRule type="cellIs" dxfId="54" priority="10" operator="lessThan">
      <formula>0</formula>
    </cfRule>
  </conditionalFormatting>
  <conditionalFormatting sqref="B64:F64 B85:F86">
    <cfRule type="cellIs" dxfId="53" priority="21" operator="lessThan">
      <formula>0</formula>
    </cfRule>
  </conditionalFormatting>
  <conditionalFormatting sqref="B66:F67 F68:F70 B71 D71:F71">
    <cfRule type="cellIs" dxfId="52" priority="18" operator="lessThan">
      <formula>0</formula>
    </cfRule>
  </conditionalFormatting>
  <conditionalFormatting sqref="C95">
    <cfRule type="cellIs" dxfId="51" priority="9" operator="lessThan">
      <formula>$C$96</formula>
    </cfRule>
  </conditionalFormatting>
  <conditionalFormatting sqref="C134:C135 C130 E130 E134:E135 C132 E132">
    <cfRule type="dataBar" priority="43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{D020F13D-131A-F54A-AF8F-80EBF71192EE}</x14:id>
        </ext>
      </extLst>
    </cfRule>
  </conditionalFormatting>
  <conditionalFormatting sqref="C130:E130">
    <cfRule type="dataBar" priority="3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{CD595209-31F2-E245-A55B-F3FB20A7E533}</x14:id>
        </ext>
      </extLst>
    </cfRule>
  </conditionalFormatting>
  <conditionalFormatting sqref="C132:E132">
    <cfRule type="dataBar" priority="2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{583F0537-6030-9348-A051-85D684E1068F}</x14:id>
        </ext>
      </extLst>
    </cfRule>
  </conditionalFormatting>
  <conditionalFormatting sqref="C134:E134">
    <cfRule type="dataBar" priority="1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{82508846-7581-6048-BFAB-4DAFD556AA2E}</x14:id>
        </ext>
      </extLst>
    </cfRule>
  </conditionalFormatting>
  <conditionalFormatting sqref="C63:F67 B87">
    <cfRule type="cellIs" dxfId="50" priority="19" operator="lessThan">
      <formula>0</formula>
    </cfRule>
  </conditionalFormatting>
  <conditionalFormatting sqref="C84:F84">
    <cfRule type="cellIs" dxfId="49" priority="20" operator="lessThan">
      <formula>0</formula>
    </cfRule>
  </conditionalFormatting>
  <conditionalFormatting sqref="C119:F119">
    <cfRule type="cellIs" dxfId="48" priority="13" operator="lessThan">
      <formula>0</formula>
    </cfRule>
  </conditionalFormatting>
  <conditionalFormatting sqref="E138 C138 C140:C142 E140:E142">
    <cfRule type="dataBar" priority="6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{1C6D21E9-3206-4605-9B61-B2E8F18A2D9F}</x14:id>
        </ext>
      </extLst>
    </cfRule>
  </conditionalFormatting>
  <conditionalFormatting sqref="F92:F94">
    <cfRule type="cellIs" dxfId="47" priority="17" operator="lessThan">
      <formula>0</formula>
    </cfRule>
  </conditionalFormatting>
  <dataValidations disablePrompts="1" count="1">
    <dataValidation type="list" allowBlank="1" showInputMessage="1" showErrorMessage="1" sqref="K50" xr:uid="{F0F39105-2E2A-F646-AE94-3A51C4171D30}">
      <formula1>"1,2"</formula1>
    </dataValidation>
  </dataValidations>
  <pageMargins left="0.7" right="0.7" top="0.75" bottom="0.75" header="0.3" footer="0.3"/>
  <pageSetup paperSize="9" orientation="portrait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020F13D-131A-F54A-AF8F-80EBF71192E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C134:C135 C130 E130 E134:E135 C132 E132</xm:sqref>
        </x14:conditionalFormatting>
        <x14:conditionalFormatting xmlns:xm="http://schemas.microsoft.com/office/excel/2006/main">
          <x14:cfRule type="dataBar" id="{CD595209-31F2-E245-A55B-F3FB20A7E533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C130:E130</xm:sqref>
        </x14:conditionalFormatting>
        <x14:conditionalFormatting xmlns:xm="http://schemas.microsoft.com/office/excel/2006/main">
          <x14:cfRule type="dataBar" id="{583F0537-6030-9348-A051-85D684E1068F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C132:E132</xm:sqref>
        </x14:conditionalFormatting>
        <x14:conditionalFormatting xmlns:xm="http://schemas.microsoft.com/office/excel/2006/main">
          <x14:cfRule type="dataBar" id="{82508846-7581-6048-BFAB-4DAFD556AA2E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C134:E134</xm:sqref>
        </x14:conditionalFormatting>
        <x14:conditionalFormatting xmlns:xm="http://schemas.microsoft.com/office/excel/2006/main">
          <x14:cfRule type="dataBar" id="{1C6D21E9-3206-4605-9B61-B2E8F18A2D9F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E138 C138 C140:C142 E140:E142</xm:sqref>
        </x14:conditionalFormatting>
      </x14:conditionalFormatting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68E89A-A0E7-45BE-AFEC-10D0E0C81159}">
  <sheetPr codeName="Лист5">
    <tabColor theme="7" tint="0.79998168889431442"/>
  </sheetPr>
  <dimension ref="A1:M122"/>
  <sheetViews>
    <sheetView topLeftCell="B1" zoomScale="110" zoomScaleNormal="110" workbookViewId="0">
      <selection activeCell="B2" sqref="B2:B3"/>
    </sheetView>
  </sheetViews>
  <sheetFormatPr baseColWidth="10" defaultColWidth="10.6640625" defaultRowHeight="16" outlineLevelRow="1" outlineLevelCol="1"/>
  <cols>
    <col min="1" max="1" width="70.6640625" hidden="1" customWidth="1" outlineLevel="1"/>
    <col min="2" max="2" width="55.5" customWidth="1" collapsed="1"/>
    <col min="3" max="3" width="19.1640625" customWidth="1"/>
    <col min="4" max="4" width="1.1640625" customWidth="1"/>
    <col min="5" max="5" width="19.1640625" customWidth="1"/>
    <col min="6" max="6" width="1.33203125" hidden="1" customWidth="1" outlineLevel="1"/>
    <col min="7" max="7" width="17.6640625" hidden="1" customWidth="1" outlineLevel="1"/>
    <col min="8" max="8" width="81.5" style="5" customWidth="1" collapsed="1"/>
    <col min="9" max="9" width="41.83203125" customWidth="1"/>
    <col min="10" max="11" width="3.33203125" customWidth="1"/>
  </cols>
  <sheetData>
    <row r="1" spans="1:10" ht="12.5" customHeight="1">
      <c r="B1" s="1561"/>
      <c r="C1" s="1622"/>
      <c r="D1" s="1622"/>
      <c r="E1" s="1622"/>
      <c r="F1" s="1622"/>
      <c r="G1" s="1622"/>
      <c r="H1" s="1626" t="s">
        <v>864</v>
      </c>
      <c r="I1" s="7" t="s">
        <v>917</v>
      </c>
    </row>
    <row r="2" spans="1:10">
      <c r="B2" s="2108" t="s">
        <v>1057</v>
      </c>
      <c r="C2" s="1547" t="s">
        <v>822</v>
      </c>
      <c r="D2" s="1547"/>
      <c r="E2" s="1547" t="s">
        <v>825</v>
      </c>
      <c r="F2" s="1547"/>
      <c r="G2" s="1547" t="s">
        <v>826</v>
      </c>
    </row>
    <row r="3" spans="1:10" s="5" customFormat="1" ht="69" customHeight="1">
      <c r="B3" s="2108"/>
      <c r="C3" s="1548" t="s">
        <v>823</v>
      </c>
      <c r="D3" s="1548"/>
      <c r="E3" s="1548" t="s">
        <v>866</v>
      </c>
      <c r="F3" s="1548"/>
      <c r="G3" s="1548" t="s">
        <v>860</v>
      </c>
    </row>
    <row r="4" spans="1:10" ht="19" customHeight="1">
      <c r="A4" s="1022" t="s">
        <v>792</v>
      </c>
      <c r="B4" s="1549" t="s">
        <v>824</v>
      </c>
      <c r="C4" s="1550">
        <f>[1]Гипотезы_акт!T103</f>
        <v>141270742.52357477</v>
      </c>
      <c r="D4" s="1550"/>
      <c r="E4" s="1550">
        <f>[1]Гипотезы_акт!F103</f>
        <v>141270742.52357477</v>
      </c>
      <c r="F4" s="1550"/>
      <c r="G4" s="1550">
        <f>[1]Гипотезы_акт!M103</f>
        <v>84617091.422361463</v>
      </c>
    </row>
    <row r="5" spans="1:10">
      <c r="C5" s="1537"/>
      <c r="D5" s="1537"/>
      <c r="E5" s="1537"/>
      <c r="F5" s="1537"/>
      <c r="G5" s="1537"/>
    </row>
    <row r="6" spans="1:10" ht="26">
      <c r="B6" s="1561" t="s">
        <v>788</v>
      </c>
      <c r="C6" s="1648"/>
      <c r="D6" s="1648"/>
      <c r="E6" s="1648"/>
      <c r="F6" s="1648"/>
      <c r="G6" s="1648"/>
    </row>
    <row r="7" spans="1:10" ht="19">
      <c r="B7" s="1560" t="s">
        <v>834</v>
      </c>
      <c r="C7" s="1551"/>
      <c r="D7" s="1551"/>
      <c r="E7" s="1551"/>
      <c r="F7" s="1551"/>
      <c r="G7" s="1551"/>
      <c r="I7" s="1535"/>
      <c r="J7" s="1535"/>
    </row>
    <row r="8" spans="1:10" ht="34">
      <c r="B8" s="1552" t="s">
        <v>831</v>
      </c>
      <c r="C8" s="1554" t="s">
        <v>862</v>
      </c>
      <c r="D8" s="1552"/>
      <c r="E8" s="1554" t="s">
        <v>862</v>
      </c>
      <c r="F8" s="1552"/>
      <c r="G8" s="1554" t="s">
        <v>862</v>
      </c>
      <c r="I8" s="1535"/>
      <c r="J8" s="1535"/>
    </row>
    <row r="9" spans="1:10" ht="34">
      <c r="A9" s="1543" t="s">
        <v>806</v>
      </c>
      <c r="B9" s="1541" t="s">
        <v>827</v>
      </c>
      <c r="C9" s="1537">
        <v>100000</v>
      </c>
      <c r="D9" s="1537"/>
      <c r="E9" s="1537">
        <f>C9</f>
        <v>100000</v>
      </c>
      <c r="F9" s="1537"/>
      <c r="G9" s="1537">
        <f>[1]Гипотезы_акт!M87</f>
        <v>100000</v>
      </c>
      <c r="H9" s="1613" t="s">
        <v>1002</v>
      </c>
      <c r="I9" s="1613"/>
    </row>
    <row r="10" spans="1:10" ht="19">
      <c r="A10" s="1544" t="s">
        <v>805</v>
      </c>
      <c r="B10" s="1541" t="s">
        <v>828</v>
      </c>
      <c r="C10" s="1717">
        <f>'[1]доп расходы_свод'!C17</f>
        <v>360000</v>
      </c>
      <c r="D10" s="1717"/>
      <c r="E10" s="1717">
        <f>C10</f>
        <v>360000</v>
      </c>
      <c r="F10" s="1708"/>
      <c r="G10" s="1717">
        <f>E10</f>
        <v>360000</v>
      </c>
      <c r="H10" s="5" t="s">
        <v>829</v>
      </c>
    </row>
    <row r="11" spans="1:10" ht="20" thickBot="1">
      <c r="A11" s="39" t="s">
        <v>804</v>
      </c>
      <c r="B11" s="1559" t="s">
        <v>847</v>
      </c>
      <c r="C11" s="1557">
        <f>C9+C10</f>
        <v>460000</v>
      </c>
      <c r="D11" s="1557"/>
      <c r="E11" s="1557">
        <f>E9+E10</f>
        <v>460000</v>
      </c>
      <c r="F11" s="1557"/>
      <c r="G11" s="1557">
        <f>G9+G10</f>
        <v>460000</v>
      </c>
      <c r="H11" s="1614" t="s">
        <v>830</v>
      </c>
    </row>
    <row r="12" spans="1:10" ht="20" thickTop="1">
      <c r="A12" s="139"/>
      <c r="B12" s="1538" t="s">
        <v>854</v>
      </c>
      <c r="C12" s="1539">
        <f>C11/C$4</f>
        <v>3.2561590020894582E-3</v>
      </c>
      <c r="D12" s="1540"/>
      <c r="E12" s="1539">
        <f>E11/E$4</f>
        <v>3.2561590020894582E-3</v>
      </c>
      <c r="F12" s="1540"/>
      <c r="G12" s="1539">
        <f>G11/G$4</f>
        <v>5.4362539797537567E-3</v>
      </c>
    </row>
    <row r="13" spans="1:10" ht="19">
      <c r="A13" s="139"/>
      <c r="B13" s="1560" t="s">
        <v>833</v>
      </c>
      <c r="C13" s="1549"/>
      <c r="D13" s="1549"/>
      <c r="E13" s="1549"/>
      <c r="F13" s="1549"/>
      <c r="G13" s="1549"/>
    </row>
    <row r="14" spans="1:10" ht="51">
      <c r="A14" s="2"/>
      <c r="B14" s="1552" t="s">
        <v>831</v>
      </c>
      <c r="C14" s="1554" t="s">
        <v>832</v>
      </c>
      <c r="D14" s="1552"/>
      <c r="E14" s="1554" t="s">
        <v>845</v>
      </c>
      <c r="F14" s="1552"/>
      <c r="G14" s="1554" t="s">
        <v>845</v>
      </c>
    </row>
    <row r="15" spans="1:10" ht="19">
      <c r="A15" s="1545" t="s">
        <v>786</v>
      </c>
      <c r="B15" s="1552" t="s">
        <v>835</v>
      </c>
      <c r="C15" s="1553">
        <f>SUM(C16:C18)</f>
        <v>7046442.5999999996</v>
      </c>
      <c r="D15" s="1553"/>
      <c r="E15" s="1553">
        <f>SUM(E16:E18)</f>
        <v>7046442.5999999996</v>
      </c>
      <c r="F15" s="1553"/>
      <c r="G15" s="1553">
        <f>SUM(G16:G18)</f>
        <v>7046442.5999999996</v>
      </c>
    </row>
    <row r="16" spans="1:10" ht="19">
      <c r="A16" s="992" t="s">
        <v>808</v>
      </c>
      <c r="B16" s="1542" t="s">
        <v>836</v>
      </c>
      <c r="C16" s="1537">
        <f>[1]Гипотезы_акт!T92</f>
        <v>4500000</v>
      </c>
      <c r="D16" s="1537"/>
      <c r="E16" s="1537">
        <f>[1]Гипотезы_акт!F92</f>
        <v>4500000</v>
      </c>
      <c r="F16" s="1537"/>
      <c r="G16" s="1537">
        <f>[1]Гипотезы_акт!M92</f>
        <v>4500000</v>
      </c>
      <c r="H16" s="5" t="s">
        <v>837</v>
      </c>
    </row>
    <row r="17" spans="1:8" ht="19">
      <c r="A17" s="992" t="s">
        <v>809</v>
      </c>
      <c r="B17" s="1542" t="s">
        <v>839</v>
      </c>
      <c r="C17" s="1537">
        <f>[1]Гипотезы_акт!T93</f>
        <v>1500000</v>
      </c>
      <c r="D17" s="1537"/>
      <c r="E17" s="1537">
        <f>[1]Гипотезы_акт!F93</f>
        <v>1500000</v>
      </c>
      <c r="F17" s="1537"/>
      <c r="G17" s="1537">
        <f>[1]Гипотезы_акт!M93</f>
        <v>1500000</v>
      </c>
      <c r="H17" s="5" t="s">
        <v>838</v>
      </c>
    </row>
    <row r="18" spans="1:8" ht="19">
      <c r="A18" s="992" t="s">
        <v>811</v>
      </c>
      <c r="B18" s="1542" t="s">
        <v>840</v>
      </c>
      <c r="C18" s="1537">
        <f>[1]Гипотезы_акт!T94</f>
        <v>1046442.6</v>
      </c>
      <c r="D18" s="1537"/>
      <c r="E18" s="1537">
        <f>[1]Гипотезы_акт!F94</f>
        <v>1046442.6</v>
      </c>
      <c r="F18" s="1537"/>
      <c r="G18" s="1537">
        <f>[1]Гипотезы_акт!M94</f>
        <v>1046442.6</v>
      </c>
      <c r="H18" s="5" t="s">
        <v>901</v>
      </c>
    </row>
    <row r="19" spans="1:8" ht="19">
      <c r="A19" s="1494" t="s">
        <v>785</v>
      </c>
      <c r="B19" s="1552" t="s">
        <v>841</v>
      </c>
      <c r="C19" s="1553">
        <f>SUM(C20:C22)</f>
        <v>3072857.1428571427</v>
      </c>
      <c r="D19" s="1553"/>
      <c r="E19" s="1553">
        <f>SUM(E20:E22)</f>
        <v>500000</v>
      </c>
      <c r="F19" s="1553"/>
      <c r="G19" s="1553">
        <f>SUM(G20:G22)</f>
        <v>500000</v>
      </c>
    </row>
    <row r="20" spans="1:8" ht="19">
      <c r="A20" s="39" t="s">
        <v>782</v>
      </c>
      <c r="B20" s="1542" t="s">
        <v>782</v>
      </c>
      <c r="C20" s="1537">
        <f>[1]Гипотезы_акт!T96</f>
        <v>1800000</v>
      </c>
      <c r="D20" s="1537"/>
      <c r="E20" s="1537">
        <f>[1]Гипотезы_акт!F96</f>
        <v>500000</v>
      </c>
      <c r="F20" s="1537"/>
      <c r="G20" s="1537">
        <f>[1]Гипотезы_акт!M96</f>
        <v>500000</v>
      </c>
    </row>
    <row r="21" spans="1:8" ht="19">
      <c r="A21" s="841" t="s">
        <v>783</v>
      </c>
      <c r="B21" s="1542" t="s">
        <v>783</v>
      </c>
      <c r="C21" s="1537">
        <f>[1]Гипотезы_акт!T97</f>
        <v>0</v>
      </c>
      <c r="D21" s="1537"/>
      <c r="E21" s="1537">
        <f>[1]Гипотезы_акт!F97</f>
        <v>0</v>
      </c>
      <c r="F21" s="1537"/>
      <c r="G21" s="1537">
        <f>[1]Гипотезы_акт!M97</f>
        <v>0</v>
      </c>
      <c r="H21" s="5" t="s">
        <v>849</v>
      </c>
    </row>
    <row r="22" spans="1:8" ht="19">
      <c r="A22" s="2"/>
      <c r="B22" s="1542" t="s">
        <v>842</v>
      </c>
      <c r="C22" s="1717">
        <f>[1]расходы_разработка!D50-[1]расходы_разработка!E50</f>
        <v>1272857.142857143</v>
      </c>
      <c r="D22" s="1717"/>
      <c r="E22" s="1717"/>
      <c r="F22" s="1537"/>
      <c r="G22" s="1537"/>
    </row>
    <row r="23" spans="1:8" ht="19">
      <c r="A23" s="1545" t="s">
        <v>810</v>
      </c>
      <c r="B23" s="1552" t="s">
        <v>900</v>
      </c>
      <c r="C23" s="1553">
        <f>[1]расходы_разработка!D50-[1]расходы_разработка!E50</f>
        <v>1272857.142857143</v>
      </c>
      <c r="D23" s="1553"/>
      <c r="E23" s="1553">
        <f>[1]расходы_разработка!E50</f>
        <v>1272857.142857143</v>
      </c>
      <c r="F23" s="1553"/>
      <c r="G23" s="1553">
        <f>[1]Гипотезы_акт!M98</f>
        <v>4512000</v>
      </c>
    </row>
    <row r="24" spans="1:8" ht="19">
      <c r="A24" s="304" t="s">
        <v>784</v>
      </c>
      <c r="B24" s="1552" t="s">
        <v>844</v>
      </c>
      <c r="C24" s="1553">
        <f>[1]Гипотезы_акт!T99</f>
        <v>7956567.1341326414</v>
      </c>
      <c r="D24" s="1553"/>
      <c r="E24" s="1553">
        <f>[1]Гипотезы_акт!F99</f>
        <v>7956567.1341326414</v>
      </c>
      <c r="F24" s="1553"/>
      <c r="G24" s="1553">
        <f>[1]Гипотезы_акт!M99</f>
        <v>5047584.8256706996</v>
      </c>
      <c r="H24" s="5" t="s">
        <v>843</v>
      </c>
    </row>
    <row r="25" spans="1:8" ht="17" thickBot="1">
      <c r="B25" s="1567" t="s">
        <v>846</v>
      </c>
      <c r="C25" s="1568">
        <f>SUM(C15,C19,C23,C24)</f>
        <v>19348724.019846927</v>
      </c>
      <c r="D25" s="1569"/>
      <c r="E25" s="1568">
        <f>SUM(E15,E19,E23,E24)</f>
        <v>16775866.876989786</v>
      </c>
      <c r="F25" s="1569"/>
      <c r="G25" s="1568">
        <f>SUM(G15,G19,G23,G24)</f>
        <v>17106027.425670698</v>
      </c>
    </row>
    <row r="26" spans="1:8" ht="18" thickTop="1">
      <c r="B26" s="1617" t="s">
        <v>856</v>
      </c>
      <c r="C26" s="1624">
        <v>0.1</v>
      </c>
      <c r="D26" s="1546"/>
      <c r="E26" s="1624">
        <f>C26</f>
        <v>0.1</v>
      </c>
      <c r="F26" s="1546"/>
      <c r="G26" s="1624">
        <f>C26</f>
        <v>0.1</v>
      </c>
      <c r="H26" s="1613" t="s">
        <v>993</v>
      </c>
    </row>
    <row r="27" spans="1:8">
      <c r="B27" s="1538"/>
      <c r="C27" s="1539"/>
      <c r="D27" s="1540"/>
      <c r="E27" s="1539"/>
      <c r="F27" s="1540"/>
      <c r="G27" s="1539"/>
      <c r="H27" s="1613"/>
    </row>
    <row r="28" spans="1:8" ht="18" thickBot="1">
      <c r="B28" s="1556" t="s">
        <v>858</v>
      </c>
      <c r="C28" s="1557">
        <f>C25*(1+C26)</f>
        <v>21283596.421831623</v>
      </c>
      <c r="D28" s="1557"/>
      <c r="E28" s="1557">
        <f>E25*(1+E26)</f>
        <v>18453453.564688765</v>
      </c>
      <c r="F28" s="1557"/>
      <c r="G28" s="1557">
        <f>G25*(1+G26)</f>
        <v>18816630.168237768</v>
      </c>
      <c r="H28" s="1614" t="s">
        <v>848</v>
      </c>
    </row>
    <row r="29" spans="1:8" ht="17" thickTop="1">
      <c r="B29" s="1538" t="s">
        <v>915</v>
      </c>
      <c r="C29" s="1618">
        <f>C28/C$4</f>
        <v>0.15065820453431744</v>
      </c>
      <c r="D29" s="1546"/>
      <c r="E29" s="1618">
        <f>E28/E$4</f>
        <v>0.13062473683543721</v>
      </c>
      <c r="F29" s="1546"/>
      <c r="G29" s="1618">
        <f>G28/G$4</f>
        <v>0.22237387095138517</v>
      </c>
    </row>
    <row r="31" spans="1:8" ht="18" thickBot="1">
      <c r="B31" s="1556" t="s">
        <v>859</v>
      </c>
      <c r="C31" s="1558">
        <f>C4*C32</f>
        <v>35317685.630893692</v>
      </c>
      <c r="D31" s="1559"/>
      <c r="E31" s="1558">
        <f>E4*E32</f>
        <v>28254148.504714955</v>
      </c>
      <c r="F31" s="1559"/>
      <c r="G31" s="1558">
        <f>G4*G32</f>
        <v>16923418.284472294</v>
      </c>
      <c r="H31" s="1614" t="s">
        <v>848</v>
      </c>
    </row>
    <row r="32" spans="1:8" ht="18" thickTop="1">
      <c r="B32" s="1538" t="s">
        <v>857</v>
      </c>
      <c r="C32" s="1621">
        <v>0.25</v>
      </c>
      <c r="D32" s="1623"/>
      <c r="E32" s="1621">
        <v>0.2</v>
      </c>
      <c r="F32" s="1623"/>
      <c r="G32" s="1621">
        <v>0.2</v>
      </c>
      <c r="H32" s="1633" t="s">
        <v>930</v>
      </c>
    </row>
    <row r="33" spans="2:13" ht="18" thickBot="1">
      <c r="H33" s="5" t="s">
        <v>919</v>
      </c>
    </row>
    <row r="34" spans="2:13" ht="54" thickBot="1">
      <c r="B34" s="1561" t="s">
        <v>850</v>
      </c>
      <c r="C34" s="1548" t="str">
        <f>C3</f>
        <v>Биллинг Т</v>
      </c>
      <c r="D34" s="1548"/>
      <c r="E34" s="1548" t="str">
        <f>E3</f>
        <v>Биллинг МПС 
(с рекуррентами и ковенантами)</v>
      </c>
      <c r="F34" s="1548"/>
      <c r="G34" s="1548" t="str">
        <f>G3</f>
        <v>Биллинг МПС 
(без рекуррентов и ковенантов)</v>
      </c>
      <c r="I34" s="1614" t="s">
        <v>863</v>
      </c>
      <c r="J34" s="1535"/>
      <c r="K34" s="1535"/>
      <c r="L34" s="1572">
        <v>2</v>
      </c>
      <c r="M34" s="1535" t="s">
        <v>861</v>
      </c>
    </row>
    <row r="35" spans="2:13" ht="26">
      <c r="B35" s="1562" t="s">
        <v>916</v>
      </c>
      <c r="C35" s="1563"/>
      <c r="D35" s="1563"/>
      <c r="E35" s="1563"/>
      <c r="F35" s="1563"/>
      <c r="G35" s="1563"/>
    </row>
    <row r="36" spans="2:13" ht="15.5" customHeight="1">
      <c r="B36" s="1564" t="s">
        <v>575</v>
      </c>
      <c r="C36" s="1565">
        <f>SUM(C37:C38)</f>
        <v>141730742.52357477</v>
      </c>
      <c r="D36" s="1565"/>
      <c r="E36" s="1565">
        <f>SUM(E37:E38)</f>
        <v>141730742.52357477</v>
      </c>
      <c r="F36" s="1565"/>
      <c r="G36" s="1565">
        <f>SUM(G37:G38)</f>
        <v>85077091.422361463</v>
      </c>
    </row>
    <row r="37" spans="2:13" ht="15.5" customHeight="1">
      <c r="B37" s="1541" t="s">
        <v>851</v>
      </c>
      <c r="C37" s="1537">
        <f>C4</f>
        <v>141270742.52357477</v>
      </c>
      <c r="D37" s="1537"/>
      <c r="E37" s="1537">
        <f>E4</f>
        <v>141270742.52357477</v>
      </c>
      <c r="F37" s="1537"/>
      <c r="G37" s="1537">
        <f>G4</f>
        <v>84617091.422361463</v>
      </c>
      <c r="H37" s="1633" t="s">
        <v>927</v>
      </c>
    </row>
    <row r="38" spans="2:13" ht="15.5" customHeight="1">
      <c r="B38" s="1541" t="s">
        <v>902</v>
      </c>
      <c r="C38" s="1537">
        <f>C11</f>
        <v>460000</v>
      </c>
      <c r="D38" s="1537"/>
      <c r="E38" s="1537">
        <f>E11</f>
        <v>460000</v>
      </c>
      <c r="F38" s="1537"/>
      <c r="G38" s="1537">
        <f>G11</f>
        <v>460000</v>
      </c>
      <c r="H38" s="1632" t="s">
        <v>928</v>
      </c>
    </row>
    <row r="39" spans="2:13" ht="15.5" customHeight="1"/>
    <row r="40" spans="2:13" ht="15.5" customHeight="1">
      <c r="B40" s="1564" t="s">
        <v>335</v>
      </c>
      <c r="C40" s="1565">
        <f>SUM(C41:C44)</f>
        <v>94454690.919355243</v>
      </c>
      <c r="D40" s="1565"/>
      <c r="E40" s="1565">
        <f>SUM(E41:E44)</f>
        <v>83215153.793176502</v>
      </c>
      <c r="F40" s="1565"/>
      <c r="G40" s="1565">
        <f>SUM(G41:G44)</f>
        <v>71884423.572933838</v>
      </c>
    </row>
    <row r="41" spans="2:13" ht="15.5" customHeight="1">
      <c r="B41" s="1541" t="s">
        <v>904</v>
      </c>
      <c r="C41" s="1537">
        <f>[1]Гипотезы_акт!T52</f>
        <v>50425005.288461544</v>
      </c>
      <c r="D41" s="1537"/>
      <c r="E41" s="1537">
        <f>[1]Гипотезы_акт!T52</f>
        <v>50425005.288461544</v>
      </c>
      <c r="F41" s="1537"/>
      <c r="G41" s="1537">
        <f>[1]Гипотезы_акт!M52</f>
        <v>50425005.288461544</v>
      </c>
    </row>
    <row r="42" spans="2:13" ht="15.5" customHeight="1">
      <c r="B42" s="1541" t="s">
        <v>903</v>
      </c>
      <c r="C42" s="1717">
        <f>CHOOSE($L$34,C28,C31)</f>
        <v>35317685.630893692</v>
      </c>
      <c r="D42" s="1717"/>
      <c r="E42" s="1717">
        <f>CHOOSE($L$34,E28,E31)</f>
        <v>28254148.504714955</v>
      </c>
      <c r="F42" s="1537"/>
      <c r="G42" s="1537">
        <f>CHOOSE($L$34,G28,G31)</f>
        <v>16923418.284472294</v>
      </c>
      <c r="H42" s="1632" t="s">
        <v>926</v>
      </c>
    </row>
    <row r="43" spans="2:13" ht="15.5" customHeight="1">
      <c r="B43" s="1541" t="s">
        <v>988</v>
      </c>
      <c r="C43" s="1537">
        <f>C10</f>
        <v>360000</v>
      </c>
      <c r="D43" s="1537"/>
      <c r="E43" s="1537">
        <f>E10</f>
        <v>360000</v>
      </c>
      <c r="F43" s="1537"/>
      <c r="G43" s="1537">
        <f>E43</f>
        <v>360000</v>
      </c>
      <c r="H43" s="1613" t="s">
        <v>923</v>
      </c>
    </row>
    <row r="44" spans="2:13" ht="15.5" customHeight="1">
      <c r="B44" s="1541" t="s">
        <v>943</v>
      </c>
      <c r="C44" s="1717">
        <f>'[1]доп расходы_свод'!D17</f>
        <v>8352000</v>
      </c>
      <c r="D44" s="1717"/>
      <c r="E44" s="1717">
        <f>'[1]доп расходы_свод'!D18</f>
        <v>4176000</v>
      </c>
      <c r="F44" s="1537"/>
      <c r="G44" s="1537">
        <f>E44</f>
        <v>4176000</v>
      </c>
      <c r="H44" s="1613"/>
    </row>
    <row r="45" spans="2:13" ht="15.5" customHeight="1"/>
    <row r="46" spans="2:13" ht="15.5" customHeight="1" thickBot="1">
      <c r="B46" s="1566" t="s">
        <v>920</v>
      </c>
      <c r="C46" s="1555">
        <f>C36-C40</f>
        <v>47276051.604219526</v>
      </c>
      <c r="D46" s="1555"/>
      <c r="E46" s="1555">
        <f>E36-E40</f>
        <v>58515588.730398268</v>
      </c>
      <c r="F46" s="1555"/>
      <c r="G46" s="1555">
        <f>G36-G40</f>
        <v>13192667.849427626</v>
      </c>
    </row>
    <row r="47" spans="2:13" ht="15.5" customHeight="1" thickTop="1">
      <c r="B47" s="1627" t="s">
        <v>938</v>
      </c>
      <c r="C47" s="1628">
        <f>C46/C36</f>
        <v>0.33356243509664724</v>
      </c>
      <c r="D47" s="1629"/>
      <c r="E47" s="1628">
        <f>E46/E36</f>
        <v>0.41286447589636444</v>
      </c>
      <c r="F47" s="1629"/>
      <c r="G47" s="1628">
        <f>G46/G$4</f>
        <v>0.15591020239134862</v>
      </c>
    </row>
    <row r="48" spans="2:13" ht="15.5" customHeight="1" thickBot="1">
      <c r="B48" s="1566" t="s">
        <v>940</v>
      </c>
      <c r="C48" s="1619">
        <f>C37-C42</f>
        <v>105953056.89268108</v>
      </c>
      <c r="D48" s="1620"/>
      <c r="E48" s="1619">
        <f>E37-E42</f>
        <v>113016594.01885982</v>
      </c>
      <c r="F48" s="1620"/>
      <c r="G48" s="1619">
        <f>G37-G42</f>
        <v>67693673.137889177</v>
      </c>
    </row>
    <row r="49" spans="2:9" s="1636" customFormat="1" ht="37.5" customHeight="1" thickTop="1">
      <c r="B49" s="1625" t="s">
        <v>854</v>
      </c>
      <c r="C49" s="1643">
        <f>C48/C4</f>
        <v>0.75</v>
      </c>
      <c r="D49" s="1644"/>
      <c r="E49" s="1643">
        <f>E48/E4</f>
        <v>0.8</v>
      </c>
      <c r="F49" s="1644"/>
      <c r="G49" s="1643">
        <f>G48/G4</f>
        <v>0.8</v>
      </c>
      <c r="H49" s="582" t="s">
        <v>929</v>
      </c>
      <c r="I49" s="1647" t="s">
        <v>931</v>
      </c>
    </row>
    <row r="50" spans="2:9">
      <c r="B50" s="1589"/>
      <c r="C50" s="1635"/>
      <c r="D50" s="1629"/>
      <c r="E50" s="1635"/>
      <c r="F50" s="1629"/>
      <c r="G50" s="1635"/>
    </row>
    <row r="51" spans="2:9" s="1638" customFormat="1">
      <c r="B51" s="1564" t="s">
        <v>925</v>
      </c>
      <c r="C51" s="1565"/>
      <c r="D51" s="1565"/>
      <c r="E51" s="1565"/>
      <c r="F51" s="1642"/>
      <c r="G51" s="1641"/>
      <c r="H51" s="1632"/>
    </row>
    <row r="52" spans="2:9" s="1638" customFormat="1" ht="17">
      <c r="B52" s="1656" t="s">
        <v>935</v>
      </c>
      <c r="C52" s="1655">
        <f>C10*22%</f>
        <v>79200</v>
      </c>
      <c r="D52" s="1655"/>
      <c r="E52" s="1655">
        <f>E10*22%</f>
        <v>79200</v>
      </c>
      <c r="F52" s="1634"/>
      <c r="G52" s="1634">
        <f>G10*22%</f>
        <v>79200</v>
      </c>
      <c r="H52" s="1613" t="s">
        <v>990</v>
      </c>
      <c r="I52" s="4" t="s">
        <v>932</v>
      </c>
    </row>
    <row r="53" spans="2:9" s="1638" customFormat="1" ht="17">
      <c r="B53" s="1656" t="s">
        <v>921</v>
      </c>
      <c r="C53" s="1655">
        <f>C46*5%</f>
        <v>2363802.5802109763</v>
      </c>
      <c r="D53" s="1655"/>
      <c r="E53" s="1655">
        <f>E46*5%</f>
        <v>2925779.4365199134</v>
      </c>
      <c r="F53" s="1634"/>
      <c r="G53" s="1634">
        <f>G46*5%</f>
        <v>659633.39247138135</v>
      </c>
      <c r="H53" s="1613" t="s">
        <v>990</v>
      </c>
    </row>
    <row r="54" spans="2:9" s="1638" customFormat="1">
      <c r="B54" s="1657" t="s">
        <v>934</v>
      </c>
      <c r="C54" s="1658">
        <f>C53-E53</f>
        <v>-561976.85630893707</v>
      </c>
      <c r="D54" s="1659"/>
      <c r="E54" s="1653"/>
      <c r="F54" s="1634"/>
      <c r="G54" s="1634"/>
      <c r="H54" s="1613"/>
    </row>
    <row r="55" spans="2:9">
      <c r="B55" s="922"/>
      <c r="E55" s="1634"/>
      <c r="G55" s="1634"/>
    </row>
    <row r="56" spans="2:9" ht="26">
      <c r="B56" s="1562" t="s">
        <v>865</v>
      </c>
      <c r="C56" s="1563"/>
      <c r="D56" s="1563"/>
      <c r="E56" s="1563"/>
      <c r="F56" s="1563"/>
      <c r="G56" s="1563"/>
    </row>
    <row r="57" spans="2:9">
      <c r="B57" s="1564" t="s">
        <v>575</v>
      </c>
      <c r="C57" s="1565">
        <f>SUM(C58:C59)</f>
        <v>35317685.630893692</v>
      </c>
      <c r="D57" s="1565"/>
      <c r="E57" s="1565">
        <f>SUM(E58:E59)</f>
        <v>28254148.504714955</v>
      </c>
      <c r="F57" s="1565"/>
      <c r="G57" s="1565">
        <f>SUM(G58:G59)</f>
        <v>16923418.284472294</v>
      </c>
      <c r="H57" s="1632"/>
    </row>
    <row r="58" spans="2:9">
      <c r="B58" s="1541" t="s">
        <v>851</v>
      </c>
      <c r="C58" s="1537"/>
      <c r="D58" s="1537"/>
      <c r="E58" s="1537"/>
      <c r="F58" s="1537"/>
      <c r="G58" s="1537"/>
    </row>
    <row r="59" spans="2:9">
      <c r="B59" s="1541" t="s">
        <v>903</v>
      </c>
      <c r="C59" s="1537">
        <f>C42</f>
        <v>35317685.630893692</v>
      </c>
      <c r="D59" s="1537"/>
      <c r="E59" s="1537">
        <f>E42</f>
        <v>28254148.504714955</v>
      </c>
      <c r="F59" s="1537"/>
      <c r="G59" s="1537">
        <f>G42</f>
        <v>16923418.284472294</v>
      </c>
      <c r="H59" s="922" t="s">
        <v>926</v>
      </c>
    </row>
    <row r="60" spans="2:9">
      <c r="B60" s="1627"/>
      <c r="C60" s="324"/>
      <c r="D60" s="1537"/>
      <c r="E60" s="324"/>
      <c r="F60" s="1537"/>
      <c r="G60" s="1537"/>
    </row>
    <row r="61" spans="2:9">
      <c r="B61" s="1564" t="s">
        <v>335</v>
      </c>
      <c r="C61" s="1565">
        <f>SUM(C62:C63)</f>
        <v>19808724.019846927</v>
      </c>
      <c r="D61" s="1565"/>
      <c r="E61" s="1565">
        <f>SUM(E62:E63)</f>
        <v>17235866.876989786</v>
      </c>
      <c r="F61" s="1565"/>
      <c r="G61" s="1565">
        <f>SUM(G62:G63)</f>
        <v>17566027.425670698</v>
      </c>
    </row>
    <row r="62" spans="2:9">
      <c r="B62" s="1541" t="s">
        <v>902</v>
      </c>
      <c r="C62" s="1537">
        <f>C38</f>
        <v>460000</v>
      </c>
      <c r="D62" s="1537"/>
      <c r="E62" s="1537">
        <f>E38</f>
        <v>460000</v>
      </c>
      <c r="F62" s="1537"/>
      <c r="G62" s="1537">
        <f>G38</f>
        <v>460000</v>
      </c>
    </row>
    <row r="63" spans="2:9">
      <c r="B63" s="1541" t="s">
        <v>903</v>
      </c>
      <c r="C63" s="1537">
        <f>C25</f>
        <v>19348724.019846927</v>
      </c>
      <c r="D63" s="1537"/>
      <c r="E63" s="1537">
        <f>E25</f>
        <v>16775866.876989786</v>
      </c>
      <c r="F63" s="1537"/>
      <c r="G63" s="1537">
        <f>G25</f>
        <v>17106027.425670698</v>
      </c>
    </row>
    <row r="65" spans="2:9" ht="17" thickBot="1">
      <c r="B65" s="1566" t="s">
        <v>853</v>
      </c>
      <c r="C65" s="1555">
        <f>C57-C61</f>
        <v>15508961.611046765</v>
      </c>
      <c r="D65" s="1555"/>
      <c r="E65" s="1555">
        <f>E57-E61</f>
        <v>11018281.627725169</v>
      </c>
      <c r="F65" s="1555"/>
      <c r="G65" s="1555">
        <f>G57-G61</f>
        <v>-642609.14119840413</v>
      </c>
    </row>
    <row r="66" spans="2:9" ht="17" thickTop="1">
      <c r="B66" s="1627" t="s">
        <v>939</v>
      </c>
      <c r="C66" s="1715">
        <f>C65/C57</f>
        <v>0.43912734750321519</v>
      </c>
      <c r="D66" s="1716"/>
      <c r="E66" s="1715">
        <f>E65/E57</f>
        <v>0.38997040119211085</v>
      </c>
      <c r="F66" s="1629"/>
      <c r="G66" s="1628"/>
    </row>
    <row r="67" spans="2:9">
      <c r="B67" s="1627" t="s">
        <v>854</v>
      </c>
      <c r="C67" s="1628">
        <f>C65/C$4</f>
        <v>0.1097818368758038</v>
      </c>
      <c r="D67" s="1629"/>
      <c r="E67" s="1628">
        <f>E65/E$4</f>
        <v>7.7994080238422164E-2</v>
      </c>
      <c r="F67" s="1629"/>
      <c r="G67" s="1628">
        <f>G65/G$4</f>
        <v>-7.5943184810129752E-3</v>
      </c>
    </row>
    <row r="68" spans="2:9" outlineLevel="1">
      <c r="B68" s="1625" t="s">
        <v>936</v>
      </c>
      <c r="C68" s="1630">
        <f>C65/C61</f>
        <v>0.78293592234956133</v>
      </c>
      <c r="D68" s="1631"/>
      <c r="E68" s="1630">
        <f>E65/E61</f>
        <v>0.63926472084991481</v>
      </c>
      <c r="F68" s="1631"/>
      <c r="G68" s="1637">
        <f>G65/G61</f>
        <v>-3.6582496749339347E-2</v>
      </c>
      <c r="H68" s="1713" t="s">
        <v>937</v>
      </c>
    </row>
    <row r="69" spans="2:9">
      <c r="C69" s="324"/>
      <c r="E69" s="324"/>
      <c r="G69" s="324"/>
    </row>
    <row r="70" spans="2:9">
      <c r="B70" s="1535" t="s">
        <v>852</v>
      </c>
      <c r="C70" s="1536">
        <f>[1]Гипотезы_акт!T118</f>
        <v>110415090.80942813</v>
      </c>
      <c r="D70" s="1536"/>
      <c r="E70" s="1536">
        <f>[1]Гипотезы_акт!F118</f>
        <v>110415090.80942813</v>
      </c>
      <c r="F70" s="1536"/>
      <c r="G70" s="1536">
        <f>[1]Гипотезы_акт!M118</f>
        <v>54520000.000000007</v>
      </c>
    </row>
    <row r="71" spans="2:9" ht="17" thickBot="1">
      <c r="B71" s="1571" t="s">
        <v>855</v>
      </c>
      <c r="C71" s="1570">
        <f>C65+C70</f>
        <v>125924052.42047489</v>
      </c>
      <c r="D71" s="1570"/>
      <c r="E71" s="1570">
        <f>E65+E70</f>
        <v>121433372.43715329</v>
      </c>
      <c r="F71" s="1570"/>
      <c r="G71" s="1570">
        <f>G65+G70</f>
        <v>53877390.858801603</v>
      </c>
    </row>
    <row r="72" spans="2:9" ht="17" thickTop="1"/>
    <row r="73" spans="2:9" s="1638" customFormat="1" ht="17" customHeight="1">
      <c r="B73" s="1564" t="s">
        <v>924</v>
      </c>
      <c r="C73" s="1565"/>
      <c r="D73" s="1565"/>
      <c r="E73" s="1565"/>
      <c r="F73" s="1642"/>
      <c r="G73" s="1641">
        <f>G74+G75</f>
        <v>3562499.7372843036</v>
      </c>
      <c r="H73" s="1613" t="s">
        <v>933</v>
      </c>
      <c r="I73" s="4" t="s">
        <v>932</v>
      </c>
    </row>
    <row r="74" spans="2:9" s="1649" customFormat="1" ht="17" customHeight="1">
      <c r="B74" s="1656" t="s">
        <v>962</v>
      </c>
      <c r="C74" s="1655">
        <f>C59*22%</f>
        <v>7769890.8387966128</v>
      </c>
      <c r="D74" s="1655"/>
      <c r="E74" s="1655">
        <f>E59*22%</f>
        <v>6215912.6710372902</v>
      </c>
      <c r="F74" s="1650"/>
      <c r="G74" s="1650">
        <f>G59*22%</f>
        <v>3723152.0225839047</v>
      </c>
      <c r="H74" s="1660" t="s">
        <v>926</v>
      </c>
    </row>
    <row r="75" spans="2:9" s="1638" customFormat="1" ht="17" customHeight="1">
      <c r="B75" s="1656" t="s">
        <v>922</v>
      </c>
      <c r="C75" s="1655">
        <f>C65*25%</f>
        <v>3877240.4027616912</v>
      </c>
      <c r="D75" s="1655"/>
      <c r="E75" s="1655">
        <f>E65*25%</f>
        <v>2754570.4069312923</v>
      </c>
      <c r="F75" s="1634"/>
      <c r="G75" s="1634">
        <f>G65*25%</f>
        <v>-160652.28529960103</v>
      </c>
      <c r="H75" s="1639"/>
    </row>
    <row r="76" spans="2:9" ht="17" customHeight="1">
      <c r="B76" s="1657" t="s">
        <v>934</v>
      </c>
      <c r="C76" s="1658">
        <f>C75-E75</f>
        <v>1122669.995830399</v>
      </c>
      <c r="D76" s="1659"/>
      <c r="E76" s="1653"/>
      <c r="F76" s="922"/>
      <c r="G76" s="922"/>
      <c r="H76" s="1615"/>
    </row>
    <row r="77" spans="2:9" ht="17" customHeight="1">
      <c r="B77" s="1657"/>
      <c r="C77" s="1658"/>
      <c r="D77" s="1659"/>
      <c r="E77" s="1653"/>
      <c r="F77" s="922"/>
      <c r="G77" s="922"/>
      <c r="H77" s="1615"/>
    </row>
    <row r="78" spans="2:9" ht="51">
      <c r="B78" s="1703" t="s">
        <v>945</v>
      </c>
      <c r="C78" s="1704" t="str">
        <f>C3</f>
        <v>Биллинг Т</v>
      </c>
      <c r="D78" s="1548"/>
      <c r="E78" s="1548" t="str">
        <f>E3</f>
        <v>Биллинг МПС 
(с рекуррентами и ковенантами)</v>
      </c>
      <c r="F78" s="1548"/>
      <c r="G78" s="1548" t="str">
        <f t="shared" ref="G78" si="0">G3</f>
        <v>Биллинг МПС 
(без рекуррентов и ковенантов)</v>
      </c>
      <c r="H78" s="1616"/>
    </row>
    <row r="79" spans="2:9" ht="26">
      <c r="B79" s="1562" t="s">
        <v>946</v>
      </c>
      <c r="C79" s="1563"/>
      <c r="D79" s="1563"/>
      <c r="E79" s="1563"/>
      <c r="F79" s="1563"/>
      <c r="G79" s="1563"/>
    </row>
    <row r="80" spans="2:9">
      <c r="B80" s="1662" t="s">
        <v>575</v>
      </c>
      <c r="C80" s="1663">
        <f>C81+C84</f>
        <v>177048428.15446848</v>
      </c>
      <c r="D80" s="1663"/>
      <c r="E80" s="1663">
        <f>E81+E84</f>
        <v>169984891.02828974</v>
      </c>
      <c r="F80" s="1663"/>
      <c r="G80" s="1663">
        <f>G81+G84</f>
        <v>102000509.70683375</v>
      </c>
      <c r="H80" s="1632"/>
    </row>
    <row r="81" spans="2:8">
      <c r="B81" s="1661" t="s">
        <v>942</v>
      </c>
      <c r="C81" s="1565">
        <f>SUM(C82:C83)</f>
        <v>141730742.52357477</v>
      </c>
      <c r="D81" s="1565"/>
      <c r="E81" s="1565">
        <f>SUM(E82:E83)</f>
        <v>141730742.52357477</v>
      </c>
      <c r="F81" s="1565"/>
      <c r="G81" s="1565">
        <f>SUM(G82:G83)</f>
        <v>85077091.422361463</v>
      </c>
      <c r="H81" s="1632"/>
    </row>
    <row r="82" spans="2:8" ht="17">
      <c r="B82" s="1542" t="s">
        <v>851</v>
      </c>
      <c r="C82" s="1537">
        <f>C37</f>
        <v>141270742.52357477</v>
      </c>
      <c r="D82" s="1537"/>
      <c r="E82" s="1537">
        <f>E37</f>
        <v>141270742.52357477</v>
      </c>
      <c r="F82" s="1537"/>
      <c r="G82" s="1537">
        <f>G37</f>
        <v>84617091.422361463</v>
      </c>
      <c r="H82" s="5" t="s">
        <v>941</v>
      </c>
    </row>
    <row r="83" spans="2:8" s="1636" customFormat="1" ht="17">
      <c r="B83" s="1694" t="s">
        <v>984</v>
      </c>
      <c r="C83" s="1709">
        <f>C38</f>
        <v>460000</v>
      </c>
      <c r="D83" s="1709"/>
      <c r="E83" s="1709">
        <f>E38</f>
        <v>460000</v>
      </c>
      <c r="F83" s="1701"/>
      <c r="G83" s="1701">
        <f>G38</f>
        <v>460000</v>
      </c>
      <c r="H83" s="1696" t="s">
        <v>989</v>
      </c>
    </row>
    <row r="84" spans="2:8">
      <c r="B84" s="1661" t="s">
        <v>865</v>
      </c>
      <c r="C84" s="1565">
        <f>C85</f>
        <v>35317685.630893692</v>
      </c>
      <c r="D84" s="1565"/>
      <c r="E84" s="1565">
        <f>E85</f>
        <v>28254148.504714955</v>
      </c>
      <c r="F84" s="1565"/>
      <c r="G84" s="1565">
        <f>G85</f>
        <v>16923418.284472294</v>
      </c>
      <c r="H84" s="1632"/>
    </row>
    <row r="85" spans="2:8" ht="17">
      <c r="B85" s="1542" t="s">
        <v>903</v>
      </c>
      <c r="C85" s="1537">
        <f>C59</f>
        <v>35317685.630893692</v>
      </c>
      <c r="D85" s="1537"/>
      <c r="E85" s="1537">
        <f>E59</f>
        <v>28254148.504714955</v>
      </c>
      <c r="F85" s="1537"/>
      <c r="G85" s="1537">
        <f>G59</f>
        <v>16923418.284472294</v>
      </c>
      <c r="H85" s="5" t="s">
        <v>947</v>
      </c>
    </row>
    <row r="86" spans="2:8">
      <c r="B86" s="1627"/>
      <c r="C86" s="324"/>
      <c r="D86" s="1537"/>
      <c r="E86" s="324"/>
      <c r="F86" s="1537"/>
      <c r="G86" s="324"/>
      <c r="H86" s="1640"/>
    </row>
    <row r="87" spans="2:8">
      <c r="B87" s="1662" t="s">
        <v>335</v>
      </c>
      <c r="C87" s="1663">
        <f>C88+C93</f>
        <v>114263414.93920217</v>
      </c>
      <c r="D87" s="1663"/>
      <c r="E87" s="1663">
        <f>E88+E93</f>
        <v>100451020.67016628</v>
      </c>
      <c r="F87" s="1663"/>
      <c r="G87" s="1663">
        <f>G88+G93</f>
        <v>85274450.998604536</v>
      </c>
    </row>
    <row r="88" spans="2:8">
      <c r="B88" s="1661" t="s">
        <v>942</v>
      </c>
      <c r="C88" s="1565">
        <f>SUM(C89:C92)</f>
        <v>94454690.919355243</v>
      </c>
      <c r="D88" s="1565"/>
      <c r="E88" s="1565">
        <f>SUM(E89:E92)</f>
        <v>83215153.793176502</v>
      </c>
      <c r="F88" s="1565"/>
      <c r="G88" s="1565">
        <f>SUM(G89:G91)</f>
        <v>67708423.572933838</v>
      </c>
      <c r="H88" s="1632"/>
    </row>
    <row r="89" spans="2:8">
      <c r="B89" s="1542" t="str">
        <f>B41</f>
        <v>Sales команда МПСтатс</v>
      </c>
      <c r="C89" s="1537">
        <f>C41</f>
        <v>50425005.288461544</v>
      </c>
      <c r="D89" s="1537"/>
      <c r="E89" s="1537">
        <f>E41</f>
        <v>50425005.288461544</v>
      </c>
      <c r="F89" s="1537"/>
      <c r="G89" s="1537">
        <f>G41</f>
        <v>50425005.288461544</v>
      </c>
    </row>
    <row r="90" spans="2:8" ht="17">
      <c r="B90" s="1542" t="s">
        <v>903</v>
      </c>
      <c r="C90" s="1537">
        <f>C42</f>
        <v>35317685.630893692</v>
      </c>
      <c r="D90" s="1537"/>
      <c r="E90" s="1537">
        <f>E42</f>
        <v>28254148.504714955</v>
      </c>
      <c r="F90" s="1537"/>
      <c r="G90" s="1537">
        <f>G42</f>
        <v>16923418.284472294</v>
      </c>
      <c r="H90" s="5" t="s">
        <v>944</v>
      </c>
    </row>
    <row r="91" spans="2:8" s="1636" customFormat="1">
      <c r="B91" s="1694" t="s">
        <v>991</v>
      </c>
      <c r="C91" s="1695">
        <f>C43</f>
        <v>360000</v>
      </c>
      <c r="D91" s="1695"/>
      <c r="E91" s="1695">
        <f>E43</f>
        <v>360000</v>
      </c>
      <c r="F91" s="1705"/>
      <c r="G91" s="1705">
        <f>G43</f>
        <v>360000</v>
      </c>
      <c r="H91" s="1706"/>
    </row>
    <row r="92" spans="2:8" s="1636" customFormat="1">
      <c r="B92" s="1541" t="s">
        <v>1003</v>
      </c>
      <c r="C92" s="1695">
        <f>C44</f>
        <v>8352000</v>
      </c>
      <c r="D92" s="1695"/>
      <c r="E92" s="1695">
        <f>E44</f>
        <v>4176000</v>
      </c>
      <c r="F92" s="1705"/>
      <c r="G92" s="1705"/>
      <c r="H92" s="1706"/>
    </row>
    <row r="93" spans="2:8">
      <c r="B93" s="1661" t="s">
        <v>865</v>
      </c>
      <c r="C93" s="1565">
        <f>SUM(C94:C95)</f>
        <v>19808724.019846927</v>
      </c>
      <c r="D93" s="1565"/>
      <c r="E93" s="1565">
        <f>SUM(E94:E95)</f>
        <v>17235866.876989786</v>
      </c>
      <c r="F93" s="1565"/>
      <c r="G93" s="1565">
        <f>SUM(G94:G95)</f>
        <v>17566027.425670698</v>
      </c>
      <c r="H93" s="1632"/>
    </row>
    <row r="94" spans="2:8" ht="17">
      <c r="B94" s="1542" t="s">
        <v>902</v>
      </c>
      <c r="C94" s="1537">
        <f>C62</f>
        <v>460000</v>
      </c>
      <c r="D94" s="1537"/>
      <c r="E94" s="1537">
        <f>E62</f>
        <v>460000</v>
      </c>
      <c r="F94" s="1537"/>
      <c r="G94" s="1537">
        <f>G62</f>
        <v>460000</v>
      </c>
      <c r="H94" s="5" t="s">
        <v>971</v>
      </c>
    </row>
    <row r="95" spans="2:8">
      <c r="B95" s="1542" t="s">
        <v>903</v>
      </c>
      <c r="C95" s="1537">
        <f>C63</f>
        <v>19348724.019846927</v>
      </c>
      <c r="D95" s="1537"/>
      <c r="E95" s="1537">
        <f>E63</f>
        <v>16775866.876989786</v>
      </c>
      <c r="F95" s="1537"/>
      <c r="G95" s="1537">
        <f>G63</f>
        <v>17106027.425670698</v>
      </c>
      <c r="H95" t="s">
        <v>972</v>
      </c>
    </row>
    <row r="97" spans="2:8" ht="17" thickBot="1">
      <c r="B97" s="1566" t="s">
        <v>970</v>
      </c>
      <c r="C97" s="1555">
        <f>C80-C87</f>
        <v>62785013.215266302</v>
      </c>
      <c r="D97" s="1555"/>
      <c r="E97" s="1555">
        <f>E80-E87</f>
        <v>69533870.358123451</v>
      </c>
      <c r="F97" s="1555"/>
      <c r="G97" s="1555">
        <f>G80-G87</f>
        <v>16726058.708229214</v>
      </c>
    </row>
    <row r="98" spans="2:8" ht="17" thickTop="1">
      <c r="B98" s="1627" t="s">
        <v>961</v>
      </c>
      <c r="C98" s="1628">
        <f>C97/C80</f>
        <v>0.35462056268858033</v>
      </c>
      <c r="D98" s="1629"/>
      <c r="E98" s="1628">
        <f>E97/E80</f>
        <v>0.40905912247548681</v>
      </c>
      <c r="H98"/>
    </row>
    <row r="99" spans="2:8">
      <c r="B99" s="1670" t="s">
        <v>975</v>
      </c>
      <c r="C99" s="1654">
        <f>C81-C88</f>
        <v>47276051.604219526</v>
      </c>
      <c r="D99" s="1654"/>
      <c r="E99" s="1654">
        <f>E81-E88</f>
        <v>58515588.730398268</v>
      </c>
      <c r="F99" s="1662"/>
      <c r="H99"/>
    </row>
    <row r="100" spans="2:8">
      <c r="B100" s="1670" t="s">
        <v>966</v>
      </c>
      <c r="C100" s="1654">
        <f>C84-C93</f>
        <v>15508961.611046765</v>
      </c>
      <c r="D100" s="1654"/>
      <c r="E100" s="1654">
        <f>E84-E93</f>
        <v>11018281.627725169</v>
      </c>
      <c r="F100" s="1662"/>
      <c r="H100"/>
    </row>
    <row r="101" spans="2:8" ht="17" thickBot="1">
      <c r="B101" s="1729" t="s">
        <v>967</v>
      </c>
      <c r="C101" s="1555">
        <f>C70</f>
        <v>110415090.80942813</v>
      </c>
      <c r="D101" s="1555"/>
      <c r="E101" s="1555">
        <f>E70</f>
        <v>110415090.80942813</v>
      </c>
      <c r="F101" s="1662"/>
      <c r="H101" t="s">
        <v>969</v>
      </c>
    </row>
    <row r="102" spans="2:8" ht="18" thickTop="1" thickBot="1">
      <c r="B102" s="1727" t="s">
        <v>968</v>
      </c>
      <c r="C102" s="1728">
        <f>SUM(C99:C101)</f>
        <v>173200104.02469441</v>
      </c>
      <c r="D102" s="1728"/>
      <c r="E102" s="1728">
        <f>SUM(E99:E101)</f>
        <v>179948961.16755158</v>
      </c>
      <c r="F102" s="1662"/>
      <c r="H102"/>
    </row>
    <row r="103" spans="2:8" ht="17" thickTop="1">
      <c r="B103" s="165" t="s">
        <v>976</v>
      </c>
      <c r="C103" s="1731">
        <f>(C102-E102)/E102</f>
        <v>-3.75042850987801E-2</v>
      </c>
      <c r="E103" s="1682"/>
      <c r="H103"/>
    </row>
    <row r="104" spans="2:8">
      <c r="B104" s="1575"/>
      <c r="C104" s="1731"/>
      <c r="E104" s="1682"/>
      <c r="H104"/>
    </row>
    <row r="105" spans="2:8" ht="50" customHeight="1" thickBot="1">
      <c r="B105" s="1703"/>
      <c r="C105" s="1704" t="str">
        <f>C78</f>
        <v>Биллинг Т</v>
      </c>
      <c r="D105" s="1548"/>
      <c r="E105" s="1548" t="str">
        <f>E78</f>
        <v>Биллинг МПС 
(с рекуррентами и ковенантами)</v>
      </c>
      <c r="H105"/>
    </row>
    <row r="106" spans="2:8" ht="21">
      <c r="B106" s="1667" t="s">
        <v>957</v>
      </c>
      <c r="C106" s="1668">
        <f>C82</f>
        <v>141270742.52357477</v>
      </c>
      <c r="D106" s="1668"/>
      <c r="E106" s="1669">
        <f>E82</f>
        <v>141270742.52357477</v>
      </c>
      <c r="F106" s="1666">
        <f t="shared" ref="F106:G106" si="1">F82</f>
        <v>0</v>
      </c>
      <c r="G106" s="1663">
        <f t="shared" si="1"/>
        <v>84617091.422361463</v>
      </c>
      <c r="H106" s="1540" t="s">
        <v>960</v>
      </c>
    </row>
    <row r="107" spans="2:8">
      <c r="B107" s="1670" t="s">
        <v>956</v>
      </c>
      <c r="C107" s="1654">
        <f>C106-C109</f>
        <v>105953056.89268108</v>
      </c>
      <c r="D107" s="1654"/>
      <c r="E107" s="1671">
        <f>E106-E109</f>
        <v>113016594.01885982</v>
      </c>
      <c r="F107" s="1662"/>
      <c r="H107"/>
    </row>
    <row r="108" spans="2:8">
      <c r="B108" s="1672" t="s">
        <v>958</v>
      </c>
      <c r="C108" s="1665">
        <f>C107/C$106</f>
        <v>0.75</v>
      </c>
      <c r="D108" s="1665"/>
      <c r="E108" s="1673">
        <f>E107/E$106</f>
        <v>0.8</v>
      </c>
      <c r="H108"/>
    </row>
    <row r="109" spans="2:8">
      <c r="B109" s="1670" t="s">
        <v>955</v>
      </c>
      <c r="C109" s="1654">
        <f>C85</f>
        <v>35317685.630893692</v>
      </c>
      <c r="D109" s="1654"/>
      <c r="E109" s="1671">
        <f>E85</f>
        <v>28254148.504714955</v>
      </c>
      <c r="F109" s="1662"/>
      <c r="H109"/>
    </row>
    <row r="110" spans="2:8" ht="17" thickBot="1">
      <c r="B110" s="1674" t="s">
        <v>959</v>
      </c>
      <c r="C110" s="1675">
        <f>C109/C$106</f>
        <v>0.25</v>
      </c>
      <c r="D110" s="1675"/>
      <c r="E110" s="1676">
        <f>E109/E$106</f>
        <v>0.2</v>
      </c>
    </row>
    <row r="111" spans="2:8">
      <c r="B111" s="1664"/>
    </row>
    <row r="112" spans="2:8">
      <c r="B112" s="1552" t="s">
        <v>949</v>
      </c>
      <c r="C112" s="1553"/>
      <c r="D112" s="1553"/>
      <c r="E112" s="1553"/>
      <c r="H112" s="1613"/>
    </row>
    <row r="113" spans="2:8" ht="17">
      <c r="B113" s="1718" t="s">
        <v>954</v>
      </c>
      <c r="C113" s="1719"/>
      <c r="D113" s="1719"/>
      <c r="E113" s="1720"/>
      <c r="H113" s="1693" t="s">
        <v>963</v>
      </c>
    </row>
    <row r="114" spans="2:8" ht="17">
      <c r="B114" s="1721" t="s">
        <v>950</v>
      </c>
      <c r="C114" s="1722">
        <f>C52</f>
        <v>79200</v>
      </c>
      <c r="D114" s="1722"/>
      <c r="E114" s="1723">
        <f>E52</f>
        <v>79200</v>
      </c>
      <c r="H114" s="1677" t="s">
        <v>965</v>
      </c>
    </row>
    <row r="115" spans="2:8">
      <c r="B115" s="1724" t="s">
        <v>951</v>
      </c>
      <c r="C115" s="1725">
        <f>C74</f>
        <v>7769890.8387966128</v>
      </c>
      <c r="D115" s="1725"/>
      <c r="E115" s="1726">
        <f>E74</f>
        <v>6215912.6710372902</v>
      </c>
    </row>
    <row r="116" spans="2:8">
      <c r="B116" s="1718" t="s">
        <v>948</v>
      </c>
      <c r="C116" s="1719">
        <f>SUM(C117:C118)</f>
        <v>6241042.9829726676</v>
      </c>
      <c r="D116" s="1719"/>
      <c r="E116" s="1720">
        <f>SUM(E117:E118)</f>
        <v>5680349.8434512056</v>
      </c>
      <c r="F116" s="1651"/>
      <c r="G116" s="1652">
        <f>G73+G51</f>
        <v>3562499.7372843036</v>
      </c>
    </row>
    <row r="117" spans="2:8" ht="17">
      <c r="B117" s="1721" t="s">
        <v>952</v>
      </c>
      <c r="C117" s="1722">
        <f>C53</f>
        <v>2363802.5802109763</v>
      </c>
      <c r="D117" s="1722"/>
      <c r="E117" s="1723">
        <f>E53</f>
        <v>2925779.4365199134</v>
      </c>
      <c r="F117" s="1651"/>
      <c r="G117" s="1652"/>
      <c r="H117" s="1677" t="s">
        <v>964</v>
      </c>
    </row>
    <row r="118" spans="2:8">
      <c r="B118" s="1724" t="s">
        <v>953</v>
      </c>
      <c r="C118" s="1725">
        <f>C75</f>
        <v>3877240.4027616912</v>
      </c>
      <c r="D118" s="1725"/>
      <c r="E118" s="1726">
        <f>E75</f>
        <v>2754570.4069312923</v>
      </c>
      <c r="F118" s="1651"/>
      <c r="G118" s="1652"/>
    </row>
    <row r="119" spans="2:8" s="1575" customFormat="1">
      <c r="B119" s="165" t="s">
        <v>973</v>
      </c>
      <c r="C119" s="1730">
        <f>(C116-E116)/E116</f>
        <v>9.8707501293758701E-2</v>
      </c>
      <c r="E119" s="1689"/>
      <c r="H119" s="1690"/>
    </row>
    <row r="120" spans="2:8">
      <c r="E120" s="1680"/>
    </row>
    <row r="121" spans="2:8" ht="48">
      <c r="B121" s="165"/>
      <c r="C121" s="1658"/>
      <c r="H121" s="1691" t="s">
        <v>974</v>
      </c>
    </row>
    <row r="122" spans="2:8">
      <c r="H122" s="1688"/>
    </row>
  </sheetData>
  <mergeCells count="1">
    <mergeCell ref="B2:B3"/>
  </mergeCells>
  <conditionalFormatting sqref="B60">
    <cfRule type="cellIs" dxfId="46" priority="7" operator="lessThan">
      <formula>0</formula>
    </cfRule>
  </conditionalFormatting>
  <conditionalFormatting sqref="B86">
    <cfRule type="cellIs" dxfId="45" priority="6" operator="lessThan">
      <formula>0</formula>
    </cfRule>
  </conditionalFormatting>
  <conditionalFormatting sqref="B98">
    <cfRule type="cellIs" dxfId="44" priority="3" operator="lessThan">
      <formula>0</formula>
    </cfRule>
  </conditionalFormatting>
  <conditionalFormatting sqref="B103:B104">
    <cfRule type="cellIs" dxfId="43" priority="1" operator="lessThan">
      <formula>0</formula>
    </cfRule>
  </conditionalFormatting>
  <conditionalFormatting sqref="B76:E77">
    <cfRule type="cellIs" dxfId="42" priority="8" operator="lessThan">
      <formula>0</formula>
    </cfRule>
  </conditionalFormatting>
  <conditionalFormatting sqref="B47:G47 B66:G67">
    <cfRule type="cellIs" dxfId="41" priority="13" operator="lessThan">
      <formula>0</formula>
    </cfRule>
  </conditionalFormatting>
  <conditionalFormatting sqref="B49:G50 F51:G53 B54:G54">
    <cfRule type="cellIs" dxfId="40" priority="10" operator="lessThan">
      <formula>0</formula>
    </cfRule>
  </conditionalFormatting>
  <conditionalFormatting sqref="C108 C110 E108 E110">
    <cfRule type="dataBar" priority="4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{FFDE437F-736F-4680-ABDF-900D9275E4C3}</x14:id>
        </ext>
      </extLst>
    </cfRule>
  </conditionalFormatting>
  <conditionalFormatting sqref="C46:G50 B68">
    <cfRule type="cellIs" dxfId="39" priority="11" operator="lessThan">
      <formula>0</formula>
    </cfRule>
  </conditionalFormatting>
  <conditionalFormatting sqref="C65:G65">
    <cfRule type="cellIs" dxfId="38" priority="12" operator="lessThan">
      <formula>0</formula>
    </cfRule>
  </conditionalFormatting>
  <conditionalFormatting sqref="C97:G97">
    <cfRule type="cellIs" dxfId="37" priority="5" operator="lessThan">
      <formula>0</formula>
    </cfRule>
  </conditionalFormatting>
  <conditionalFormatting sqref="F73:G75">
    <cfRule type="cellIs" dxfId="36" priority="9" operator="lessThan">
      <formula>0</formula>
    </cfRule>
  </conditionalFormatting>
  <dataValidations disablePrompts="1" count="1">
    <dataValidation type="list" allowBlank="1" showInputMessage="1" showErrorMessage="1" sqref="L34" xr:uid="{922E5F10-C722-4547-B896-7AE167E927BE}">
      <formula1>"1,2"</formula1>
    </dataValidation>
  </dataValidations>
  <pageMargins left="0.7" right="0.7" top="0.75" bottom="0.75" header="0.3" footer="0.3"/>
  <legacy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FDE437F-736F-4680-ABDF-900D9275E4C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C108 C110 E108 E110</xm:sqref>
        </x14:conditionalFormatting>
      </x14:conditionalFormatting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FE1A62-80E6-B340-9DF9-EF0F725A90D1}">
  <sheetPr codeName="Лист3">
    <tabColor theme="5" tint="0.79998168889431442"/>
  </sheetPr>
  <dimension ref="A1:M140"/>
  <sheetViews>
    <sheetView topLeftCell="B69" zoomScale="110" zoomScaleNormal="110" workbookViewId="0">
      <selection sqref="A1:XFD1048576"/>
    </sheetView>
  </sheetViews>
  <sheetFormatPr baseColWidth="10" defaultColWidth="10.6640625" defaultRowHeight="16" outlineLevelRow="1" outlineLevelCol="1"/>
  <cols>
    <col min="1" max="1" width="70.6640625" hidden="1" customWidth="1" outlineLevel="1"/>
    <col min="2" max="2" width="55.5" customWidth="1" collapsed="1"/>
    <col min="3" max="3" width="19.1640625" customWidth="1"/>
    <col min="4" max="4" width="1.1640625" customWidth="1"/>
    <col min="5" max="5" width="19.1640625" customWidth="1"/>
    <col min="6" max="6" width="1.33203125" hidden="1" customWidth="1" outlineLevel="1"/>
    <col min="7" max="7" width="17.6640625" hidden="1" customWidth="1" outlineLevel="1"/>
    <col min="8" max="8" width="81.5" style="5" customWidth="1" collapsed="1"/>
    <col min="9" max="9" width="41.83203125" customWidth="1"/>
    <col min="10" max="11" width="3.33203125" customWidth="1"/>
  </cols>
  <sheetData>
    <row r="1" spans="1:10" ht="12.5" customHeight="1">
      <c r="B1" s="1561"/>
      <c r="C1" s="1622"/>
      <c r="D1" s="1622"/>
      <c r="E1" s="1622"/>
      <c r="F1" s="1622"/>
      <c r="G1" s="1622"/>
      <c r="H1" s="1626" t="s">
        <v>864</v>
      </c>
      <c r="I1" s="7" t="s">
        <v>917</v>
      </c>
    </row>
    <row r="2" spans="1:10">
      <c r="B2" s="2109"/>
      <c r="C2" s="1547" t="s">
        <v>822</v>
      </c>
      <c r="D2" s="1547"/>
      <c r="E2" s="1547" t="s">
        <v>825</v>
      </c>
      <c r="F2" s="1547"/>
      <c r="G2" s="1547" t="s">
        <v>826</v>
      </c>
    </row>
    <row r="3" spans="1:10" s="5" customFormat="1" ht="69" customHeight="1">
      <c r="B3" s="2109"/>
      <c r="C3" s="1548" t="s">
        <v>823</v>
      </c>
      <c r="D3" s="1548"/>
      <c r="E3" s="1548" t="s">
        <v>866</v>
      </c>
      <c r="F3" s="1548"/>
      <c r="G3" s="1548" t="s">
        <v>860</v>
      </c>
    </row>
    <row r="4" spans="1:10" ht="19">
      <c r="A4" s="1022" t="s">
        <v>792</v>
      </c>
      <c r="B4" s="1549" t="s">
        <v>824</v>
      </c>
      <c r="C4" s="1550" t="e">
        <f>Воронка!#REF!</f>
        <v>#REF!</v>
      </c>
      <c r="D4" s="1550"/>
      <c r="E4" s="1550" t="e">
        <f>Воронка!#REF!</f>
        <v>#REF!</v>
      </c>
      <c r="F4" s="1550"/>
      <c r="G4" s="1550" t="e">
        <f>Воронка!#REF!</f>
        <v>#REF!</v>
      </c>
    </row>
    <row r="5" spans="1:10">
      <c r="C5" s="1537"/>
      <c r="D5" s="1537"/>
      <c r="E5" s="1537"/>
      <c r="F5" s="1537"/>
      <c r="G5" s="1537"/>
    </row>
    <row r="6" spans="1:10" ht="26">
      <c r="B6" s="1561" t="s">
        <v>788</v>
      </c>
      <c r="C6" s="1648"/>
      <c r="D6" s="1648"/>
      <c r="E6" s="1648"/>
      <c r="F6" s="1648"/>
      <c r="G6" s="1648"/>
    </row>
    <row r="7" spans="1:10" ht="19">
      <c r="B7" s="1560" t="s">
        <v>834</v>
      </c>
      <c r="C7" s="1551"/>
      <c r="D7" s="1551"/>
      <c r="E7" s="1551"/>
      <c r="F7" s="1551"/>
      <c r="G7" s="1551"/>
      <c r="I7" s="1535"/>
      <c r="J7" s="1535"/>
    </row>
    <row r="8" spans="1:10" ht="34">
      <c r="B8" s="1552" t="s">
        <v>831</v>
      </c>
      <c r="C8" s="1554" t="s">
        <v>862</v>
      </c>
      <c r="D8" s="1552"/>
      <c r="E8" s="1554" t="s">
        <v>862</v>
      </c>
      <c r="F8" s="1552"/>
      <c r="G8" s="1554" t="s">
        <v>862</v>
      </c>
      <c r="I8" s="1535"/>
      <c r="J8" s="1535"/>
    </row>
    <row r="9" spans="1:10" ht="34">
      <c r="A9" s="1543" t="s">
        <v>806</v>
      </c>
      <c r="B9" s="1541" t="s">
        <v>827</v>
      </c>
      <c r="C9" s="1537">
        <v>100000</v>
      </c>
      <c r="D9" s="1537"/>
      <c r="E9" s="1537">
        <f>C9</f>
        <v>100000</v>
      </c>
      <c r="F9" s="1537"/>
      <c r="G9" s="1537" t="e">
        <f>Воронка!#REF!</f>
        <v>#REF!</v>
      </c>
      <c r="H9" s="1613" t="s">
        <v>1002</v>
      </c>
      <c r="I9" s="1613"/>
    </row>
    <row r="10" spans="1:10" ht="19">
      <c r="A10" s="1544" t="s">
        <v>805</v>
      </c>
      <c r="B10" s="1541" t="s">
        <v>828</v>
      </c>
      <c r="C10" s="1717">
        <f>'доп расходы_свод'!C17</f>
        <v>360000</v>
      </c>
      <c r="D10" s="1717"/>
      <c r="E10" s="1717">
        <f>C10</f>
        <v>360000</v>
      </c>
      <c r="F10" s="1708"/>
      <c r="G10" s="1717">
        <f>E10</f>
        <v>360000</v>
      </c>
      <c r="H10" s="5" t="s">
        <v>829</v>
      </c>
    </row>
    <row r="11" spans="1:10" ht="20" thickBot="1">
      <c r="A11" s="39" t="s">
        <v>804</v>
      </c>
      <c r="B11" s="1559" t="s">
        <v>847</v>
      </c>
      <c r="C11" s="1557">
        <f>C9+C10</f>
        <v>460000</v>
      </c>
      <c r="D11" s="1557"/>
      <c r="E11" s="1557">
        <f>E9+E10</f>
        <v>460000</v>
      </c>
      <c r="F11" s="1557"/>
      <c r="G11" s="1557" t="e">
        <f>G9+G10</f>
        <v>#REF!</v>
      </c>
      <c r="H11" s="1614" t="s">
        <v>830</v>
      </c>
    </row>
    <row r="12" spans="1:10" ht="20" thickTop="1">
      <c r="A12" s="139"/>
      <c r="B12" s="1538" t="s">
        <v>854</v>
      </c>
      <c r="C12" s="1539" t="e">
        <f>C11/C$4</f>
        <v>#REF!</v>
      </c>
      <c r="D12" s="1540"/>
      <c r="E12" s="1539" t="e">
        <f>E11/E$4</f>
        <v>#REF!</v>
      </c>
      <c r="F12" s="1540"/>
      <c r="G12" s="1539" t="e">
        <f>G11/G$4</f>
        <v>#REF!</v>
      </c>
    </row>
    <row r="13" spans="1:10" ht="19">
      <c r="A13" s="139"/>
      <c r="B13" s="1560" t="s">
        <v>833</v>
      </c>
      <c r="C13" s="1549"/>
      <c r="D13" s="1549"/>
      <c r="E13" s="1549"/>
      <c r="F13" s="1549"/>
      <c r="G13" s="1549"/>
    </row>
    <row r="14" spans="1:10" ht="51">
      <c r="A14" s="2"/>
      <c r="B14" s="1552" t="s">
        <v>831</v>
      </c>
      <c r="C14" s="1554" t="s">
        <v>832</v>
      </c>
      <c r="D14" s="1552"/>
      <c r="E14" s="1554" t="s">
        <v>845</v>
      </c>
      <c r="F14" s="1552"/>
      <c r="G14" s="1554" t="s">
        <v>845</v>
      </c>
    </row>
    <row r="15" spans="1:10" ht="19">
      <c r="A15" s="1545" t="s">
        <v>786</v>
      </c>
      <c r="B15" s="1552" t="s">
        <v>835</v>
      </c>
      <c r="C15" s="1553" t="e">
        <f>SUM(C16:C18)</f>
        <v>#REF!</v>
      </c>
      <c r="D15" s="1553"/>
      <c r="E15" s="1553" t="e">
        <f>SUM(E16:E18)</f>
        <v>#REF!</v>
      </c>
      <c r="F15" s="1553"/>
      <c r="G15" s="1553" t="e">
        <f>SUM(G16:G18)</f>
        <v>#REF!</v>
      </c>
    </row>
    <row r="16" spans="1:10" ht="19">
      <c r="A16" s="992" t="s">
        <v>808</v>
      </c>
      <c r="B16" s="1542" t="s">
        <v>836</v>
      </c>
      <c r="C16" s="1537" t="e">
        <f>Воронка!#REF!</f>
        <v>#REF!</v>
      </c>
      <c r="D16" s="1537"/>
      <c r="E16" s="1537" t="e">
        <f>Воронка!#REF!</f>
        <v>#REF!</v>
      </c>
      <c r="F16" s="1537"/>
      <c r="G16" s="1537" t="e">
        <f>Воронка!#REF!</f>
        <v>#REF!</v>
      </c>
      <c r="H16" s="5" t="s">
        <v>837</v>
      </c>
    </row>
    <row r="17" spans="1:8" ht="19">
      <c r="A17" s="992" t="s">
        <v>809</v>
      </c>
      <c r="B17" s="1542" t="s">
        <v>839</v>
      </c>
      <c r="C17" s="1537" t="e">
        <f>Воронка!#REF!</f>
        <v>#REF!</v>
      </c>
      <c r="D17" s="1537"/>
      <c r="E17" s="1537" t="e">
        <f>Воронка!#REF!</f>
        <v>#REF!</v>
      </c>
      <c r="F17" s="1537"/>
      <c r="G17" s="1537" t="e">
        <f>Воронка!#REF!</f>
        <v>#REF!</v>
      </c>
      <c r="H17" s="5" t="s">
        <v>838</v>
      </c>
    </row>
    <row r="18" spans="1:8" ht="19">
      <c r="A18" s="992" t="s">
        <v>811</v>
      </c>
      <c r="B18" s="1542" t="s">
        <v>840</v>
      </c>
      <c r="C18" s="1537" t="e">
        <f>Воронка!#REF!</f>
        <v>#REF!</v>
      </c>
      <c r="D18" s="1537"/>
      <c r="E18" s="1537" t="e">
        <f>Воронка!#REF!</f>
        <v>#REF!</v>
      </c>
      <c r="F18" s="1537"/>
      <c r="G18" s="1537" t="e">
        <f>Воронка!#REF!</f>
        <v>#REF!</v>
      </c>
      <c r="H18" s="5" t="s">
        <v>901</v>
      </c>
    </row>
    <row r="19" spans="1:8" ht="19">
      <c r="A19" s="1494" t="s">
        <v>785</v>
      </c>
      <c r="B19" s="1552" t="s">
        <v>841</v>
      </c>
      <c r="C19" s="1553" t="e">
        <f>SUM(C20:C22)</f>
        <v>#REF!</v>
      </c>
      <c r="D19" s="1553"/>
      <c r="E19" s="1553" t="e">
        <f>SUM(E20:E22)</f>
        <v>#REF!</v>
      </c>
      <c r="F19" s="1553"/>
      <c r="G19" s="1553" t="e">
        <f>SUM(G20:G22)</f>
        <v>#REF!</v>
      </c>
    </row>
    <row r="20" spans="1:8" ht="19">
      <c r="A20" s="39" t="s">
        <v>782</v>
      </c>
      <c r="B20" s="1542" t="s">
        <v>782</v>
      </c>
      <c r="C20" s="1537" t="e">
        <f>Воронка!#REF!</f>
        <v>#REF!</v>
      </c>
      <c r="D20" s="1537"/>
      <c r="E20" s="1537" t="e">
        <f>Воронка!#REF!</f>
        <v>#REF!</v>
      </c>
      <c r="F20" s="1537"/>
      <c r="G20" s="1537" t="e">
        <f>Воронка!#REF!</f>
        <v>#REF!</v>
      </c>
    </row>
    <row r="21" spans="1:8" ht="19">
      <c r="A21" s="841" t="s">
        <v>783</v>
      </c>
      <c r="B21" s="1542" t="s">
        <v>783</v>
      </c>
      <c r="C21" s="1537" t="e">
        <f>Воронка!#REF!</f>
        <v>#REF!</v>
      </c>
      <c r="D21" s="1537"/>
      <c r="E21" s="1537" t="e">
        <f>Воронка!#REF!</f>
        <v>#REF!</v>
      </c>
      <c r="F21" s="1537"/>
      <c r="G21" s="1537" t="e">
        <f>Воронка!#REF!</f>
        <v>#REF!</v>
      </c>
      <c r="H21" s="5" t="s">
        <v>849</v>
      </c>
    </row>
    <row r="22" spans="1:8" ht="19">
      <c r="A22" s="2"/>
      <c r="B22" s="1542" t="s">
        <v>842</v>
      </c>
      <c r="C22" s="1717">
        <f>расходы_разработка!D50-расходы_разработка!E50</f>
        <v>1272857.142857143</v>
      </c>
      <c r="D22" s="1717"/>
      <c r="E22" s="1717"/>
      <c r="F22" s="1537"/>
      <c r="G22" s="1537"/>
    </row>
    <row r="23" spans="1:8" ht="19">
      <c r="A23" s="1545" t="s">
        <v>810</v>
      </c>
      <c r="B23" s="1552" t="s">
        <v>900</v>
      </c>
      <c r="C23" s="1553">
        <f>расходы_разработка!D50-расходы_разработка!E50</f>
        <v>1272857.142857143</v>
      </c>
      <c r="D23" s="1553"/>
      <c r="E23" s="1553">
        <f>расходы_разработка!E50</f>
        <v>1272857.142857143</v>
      </c>
      <c r="F23" s="1553"/>
      <c r="G23" s="1553" t="e">
        <f>Воронка!#REF!</f>
        <v>#REF!</v>
      </c>
    </row>
    <row r="24" spans="1:8" ht="19">
      <c r="A24" s="304" t="s">
        <v>784</v>
      </c>
      <c r="B24" s="1552" t="s">
        <v>844</v>
      </c>
      <c r="C24" s="1553" t="e">
        <f>Воронка!#REF!</f>
        <v>#REF!</v>
      </c>
      <c r="D24" s="1553"/>
      <c r="E24" s="1553" t="e">
        <f>Воронка!#REF!</f>
        <v>#REF!</v>
      </c>
      <c r="F24" s="1553"/>
      <c r="G24" s="1553" t="e">
        <f>Воронка!#REF!</f>
        <v>#REF!</v>
      </c>
      <c r="H24" s="5" t="s">
        <v>843</v>
      </c>
    </row>
    <row r="25" spans="1:8" ht="17" thickBot="1">
      <c r="B25" s="1567" t="s">
        <v>846</v>
      </c>
      <c r="C25" s="1568" t="e">
        <f>SUM(C15,C19,C23,C24)</f>
        <v>#REF!</v>
      </c>
      <c r="D25" s="1569"/>
      <c r="E25" s="1568" t="e">
        <f>SUM(E15,E19,E23,E24)</f>
        <v>#REF!</v>
      </c>
      <c r="F25" s="1569"/>
      <c r="G25" s="1568" t="e">
        <f>SUM(G15,G19,G23,G24)</f>
        <v>#REF!</v>
      </c>
    </row>
    <row r="26" spans="1:8" s="1540" customFormat="1" ht="18" thickTop="1">
      <c r="B26" s="1617" t="s">
        <v>856</v>
      </c>
      <c r="C26" s="1755">
        <v>0.13</v>
      </c>
      <c r="D26" s="1756"/>
      <c r="E26" s="1755">
        <v>0.13</v>
      </c>
      <c r="F26" s="1546"/>
      <c r="G26" s="1624">
        <f>C26</f>
        <v>0.13</v>
      </c>
      <c r="H26" s="1744" t="s">
        <v>1012</v>
      </c>
    </row>
    <row r="27" spans="1:8">
      <c r="B27" s="1538"/>
      <c r="C27" s="1752"/>
      <c r="D27" s="1540"/>
      <c r="E27" s="1539"/>
      <c r="F27" s="1540"/>
      <c r="G27" s="1539"/>
      <c r="H27" s="1613"/>
    </row>
    <row r="28" spans="1:8" s="334" customFormat="1" ht="19">
      <c r="B28" s="1732" t="s">
        <v>1005</v>
      </c>
      <c r="C28" s="1733"/>
      <c r="D28" s="1733"/>
      <c r="E28" s="1733"/>
      <c r="F28" s="1734"/>
      <c r="G28" s="1735"/>
      <c r="H28" s="1736"/>
    </row>
    <row r="29" spans="1:8" s="172" customFormat="1" ht="19">
      <c r="A29" s="992"/>
      <c r="B29" s="1737" t="s">
        <v>1019</v>
      </c>
      <c r="C29" s="1738" t="e">
        <f>C19*(1+C$26)</f>
        <v>#REF!</v>
      </c>
      <c r="D29" s="1738"/>
      <c r="E29" s="1738"/>
      <c r="F29" s="1739"/>
      <c r="G29" s="1739"/>
      <c r="H29" s="1576" t="s">
        <v>1011</v>
      </c>
    </row>
    <row r="30" spans="1:8" s="172" customFormat="1" ht="19">
      <c r="A30" s="992"/>
      <c r="B30" s="1740" t="s">
        <v>854</v>
      </c>
      <c r="C30" s="1746" t="e">
        <f>C29/C$4</f>
        <v>#REF!</v>
      </c>
      <c r="D30" s="1575"/>
      <c r="E30" s="1747" t="e">
        <f>E29/E$4</f>
        <v>#REF!</v>
      </c>
      <c r="F30" s="1739"/>
      <c r="G30" s="1739"/>
      <c r="H30" s="1576"/>
    </row>
    <row r="31" spans="1:8" s="172" customFormat="1" ht="19">
      <c r="A31" s="992"/>
      <c r="B31" s="1737" t="s">
        <v>1032</v>
      </c>
      <c r="C31" s="1738" t="e">
        <f>(C15+C23+C24)*(1+C$26)</f>
        <v>#REF!</v>
      </c>
      <c r="D31" s="1575"/>
      <c r="E31" s="1738" t="e">
        <f>(E15+E23+E24+E19)*(1+E$26)</f>
        <v>#REF!</v>
      </c>
      <c r="F31" s="1739"/>
      <c r="G31" s="1739"/>
      <c r="H31" s="1576" t="s">
        <v>1008</v>
      </c>
    </row>
    <row r="32" spans="1:8" s="172" customFormat="1" ht="19">
      <c r="A32" s="15"/>
      <c r="B32" s="1740" t="s">
        <v>854</v>
      </c>
      <c r="C32" s="1741" t="e">
        <f>C31/C$4</f>
        <v>#REF!</v>
      </c>
      <c r="D32" s="1751"/>
      <c r="E32" s="1741" t="e">
        <f>E31/E$4</f>
        <v>#REF!</v>
      </c>
      <c r="F32" s="1739"/>
      <c r="G32" s="1739"/>
      <c r="H32" s="1576"/>
    </row>
    <row r="33" spans="1:13" s="172" customFormat="1" ht="18" thickBot="1">
      <c r="B33" s="1742" t="s">
        <v>858</v>
      </c>
      <c r="C33" s="1743" t="e">
        <f>C29+C31</f>
        <v>#REF!</v>
      </c>
      <c r="D33" s="1743"/>
      <c r="E33" s="1743" t="e">
        <f>E29+E31</f>
        <v>#REF!</v>
      </c>
      <c r="F33" s="1743"/>
      <c r="G33" s="1743" t="e">
        <f>G25*(1+G26)</f>
        <v>#REF!</v>
      </c>
      <c r="H33" s="8" t="s">
        <v>848</v>
      </c>
    </row>
    <row r="34" spans="1:13" s="172" customFormat="1" ht="20" thickTop="1">
      <c r="A34" s="15"/>
      <c r="B34" s="1740" t="s">
        <v>1026</v>
      </c>
      <c r="C34" s="1754"/>
      <c r="D34" s="1575"/>
      <c r="E34" s="1754"/>
      <c r="F34" s="1739"/>
      <c r="G34" s="1739" t="e">
        <f>G33/G$4</f>
        <v>#REF!</v>
      </c>
      <c r="H34" s="1576"/>
    </row>
    <row r="35" spans="1:13">
      <c r="B35" s="1538"/>
      <c r="C35" s="1618"/>
      <c r="D35" s="1546"/>
      <c r="E35" s="1618"/>
      <c r="F35" s="1546"/>
      <c r="G35" s="1618"/>
    </row>
    <row r="36" spans="1:13" s="334" customFormat="1" ht="19">
      <c r="B36" s="1732" t="s">
        <v>1017</v>
      </c>
      <c r="C36" s="1733"/>
      <c r="D36" s="1733"/>
      <c r="E36" s="1733"/>
      <c r="F36" s="1734"/>
      <c r="G36" s="1735"/>
      <c r="H36" s="1736"/>
    </row>
    <row r="37" spans="1:13" ht="19">
      <c r="A37" s="992"/>
      <c r="B37" s="1542" t="s">
        <v>1006</v>
      </c>
      <c r="C37" s="1537" t="e">
        <f>C$4*C41</f>
        <v>#REF!</v>
      </c>
      <c r="D37" s="1537"/>
      <c r="E37" s="1537" t="e">
        <f>E$4*E41</f>
        <v>#REF!</v>
      </c>
      <c r="F37" s="1537"/>
      <c r="G37" s="1537"/>
      <c r="H37" s="5" t="s">
        <v>1007</v>
      </c>
    </row>
    <row r="38" spans="1:13" ht="19">
      <c r="A38" s="992"/>
      <c r="B38" s="1542" t="s">
        <v>1004</v>
      </c>
      <c r="C38" s="1537" t="e">
        <f>C$4*C42</f>
        <v>#REF!</v>
      </c>
      <c r="D38" s="1537"/>
      <c r="E38" s="1537" t="e">
        <f>E$4*E42</f>
        <v>#REF!</v>
      </c>
      <c r="F38" s="1537"/>
      <c r="G38" s="1537"/>
      <c r="H38" s="5" t="s">
        <v>1008</v>
      </c>
    </row>
    <row r="39" spans="1:13" ht="18" thickBot="1">
      <c r="B39" s="1556" t="s">
        <v>859</v>
      </c>
      <c r="C39" s="1557" t="e">
        <f>C37+C38</f>
        <v>#REF!</v>
      </c>
      <c r="D39" s="1557"/>
      <c r="E39" s="1557" t="e">
        <f>E37+E38</f>
        <v>#REF!</v>
      </c>
      <c r="F39" s="1559"/>
      <c r="G39" s="1558" t="e">
        <f>G4*G40</f>
        <v>#REF!</v>
      </c>
      <c r="H39" s="1614" t="s">
        <v>848</v>
      </c>
    </row>
    <row r="40" spans="1:13" ht="18" thickTop="1">
      <c r="B40" s="1538" t="s">
        <v>1014</v>
      </c>
      <c r="C40" s="1621" t="e">
        <f>C39/C4</f>
        <v>#REF!</v>
      </c>
      <c r="D40" s="1623"/>
      <c r="E40" s="1621" t="e">
        <f>E41+E42</f>
        <v>#REF!</v>
      </c>
      <c r="F40" s="1623"/>
      <c r="G40" s="1621">
        <v>0.2</v>
      </c>
      <c r="H40" s="1633" t="s">
        <v>1015</v>
      </c>
    </row>
    <row r="41" spans="1:13">
      <c r="B41" s="1538" t="s">
        <v>1020</v>
      </c>
      <c r="C41" s="1748" t="e">
        <f>C30</f>
        <v>#REF!</v>
      </c>
      <c r="D41" s="1749"/>
      <c r="E41" s="1748" t="e">
        <f>E30</f>
        <v>#REF!</v>
      </c>
      <c r="F41" s="1623"/>
      <c r="G41" s="1621"/>
      <c r="H41" s="1633"/>
    </row>
    <row r="42" spans="1:13">
      <c r="B42" s="1538" t="s">
        <v>1021</v>
      </c>
      <c r="C42" s="1621" t="e">
        <f>C32</f>
        <v>#REF!</v>
      </c>
      <c r="D42" s="1623"/>
      <c r="E42" s="1621" t="e">
        <f>E32</f>
        <v>#REF!</v>
      </c>
      <c r="F42" s="1623"/>
      <c r="G42" s="1621"/>
      <c r="H42" s="1633"/>
    </row>
    <row r="43" spans="1:13" ht="18" thickBot="1">
      <c r="H43" s="1613" t="s">
        <v>1016</v>
      </c>
    </row>
    <row r="44" spans="1:13" ht="54" thickBot="1">
      <c r="B44" s="1561" t="s">
        <v>850</v>
      </c>
      <c r="C44" s="1548" t="str">
        <f>C3</f>
        <v>Биллинг Т</v>
      </c>
      <c r="D44" s="1548"/>
      <c r="E44" s="1548" t="str">
        <f>E3</f>
        <v>Биллинг МПС 
(с рекуррентами и ковенантами)</v>
      </c>
      <c r="F44" s="1548"/>
      <c r="G44" s="1548" t="str">
        <f>G3</f>
        <v>Биллинг МПС 
(без рекуррентов и ковенантов)</v>
      </c>
      <c r="I44" s="1614" t="s">
        <v>863</v>
      </c>
      <c r="J44" s="1535"/>
      <c r="K44" s="1535"/>
      <c r="L44" s="1572">
        <v>2</v>
      </c>
      <c r="M44" s="1535" t="s">
        <v>861</v>
      </c>
    </row>
    <row r="45" spans="1:13" ht="26">
      <c r="B45" s="1562" t="s">
        <v>916</v>
      </c>
      <c r="C45" s="1563"/>
      <c r="D45" s="1563"/>
      <c r="E45" s="1563"/>
      <c r="F45" s="1563"/>
      <c r="G45" s="1563"/>
    </row>
    <row r="46" spans="1:13" ht="15.5" customHeight="1">
      <c r="B46" s="1564" t="s">
        <v>575</v>
      </c>
      <c r="C46" s="1565" t="e">
        <f>SUM(C47:C48)</f>
        <v>#REF!</v>
      </c>
      <c r="D46" s="1565"/>
      <c r="E46" s="1565" t="e">
        <f>SUM(E47:E48)</f>
        <v>#REF!</v>
      </c>
      <c r="F46" s="1565"/>
      <c r="G46" s="1565" t="e">
        <f>SUM(G47:G48)</f>
        <v>#REF!</v>
      </c>
    </row>
    <row r="47" spans="1:13" ht="15.5" customHeight="1">
      <c r="B47" s="1541" t="s">
        <v>851</v>
      </c>
      <c r="C47" s="1537" t="e">
        <f>C4</f>
        <v>#REF!</v>
      </c>
      <c r="D47" s="1537"/>
      <c r="E47" s="1537" t="e">
        <f>E4</f>
        <v>#REF!</v>
      </c>
      <c r="F47" s="1537"/>
      <c r="G47" s="1537" t="e">
        <f>G4</f>
        <v>#REF!</v>
      </c>
      <c r="H47" s="1633" t="s">
        <v>927</v>
      </c>
    </row>
    <row r="48" spans="1:13" ht="15.5" customHeight="1">
      <c r="B48" s="1541" t="s">
        <v>902</v>
      </c>
      <c r="C48" s="1537">
        <f>C11</f>
        <v>460000</v>
      </c>
      <c r="D48" s="1537"/>
      <c r="E48" s="1537">
        <f>E11</f>
        <v>460000</v>
      </c>
      <c r="F48" s="1537"/>
      <c r="G48" s="1537" t="e">
        <f>G11</f>
        <v>#REF!</v>
      </c>
      <c r="H48" s="1632" t="s">
        <v>928</v>
      </c>
    </row>
    <row r="49" spans="2:9" ht="15.5" customHeight="1"/>
    <row r="50" spans="2:9" ht="15.5" customHeight="1">
      <c r="B50" s="1564" t="s">
        <v>335</v>
      </c>
      <c r="C50" s="1565" t="e">
        <f>SUM(C51:C55)</f>
        <v>#REF!</v>
      </c>
      <c r="D50" s="1565"/>
      <c r="E50" s="1565" t="e">
        <f>SUM(E51:E55)</f>
        <v>#REF!</v>
      </c>
      <c r="F50" s="1565"/>
      <c r="G50" s="1565" t="e">
        <f>SUM(G51:G55)</f>
        <v>#REF!</v>
      </c>
    </row>
    <row r="51" spans="2:9" ht="15.5" customHeight="1">
      <c r="B51" s="1541" t="s">
        <v>904</v>
      </c>
      <c r="C51" s="1537">
        <f>Воронка!R52</f>
        <v>50425005.288461544</v>
      </c>
      <c r="D51" s="1537"/>
      <c r="E51" s="1537">
        <f>Воронка!R52</f>
        <v>50425005.288461544</v>
      </c>
      <c r="F51" s="1537"/>
      <c r="G51" s="1537">
        <f>Воронка!K52</f>
        <v>50425005.288461544</v>
      </c>
    </row>
    <row r="52" spans="2:9" ht="15.5" customHeight="1">
      <c r="B52" s="1541" t="s">
        <v>1023</v>
      </c>
      <c r="C52" s="1708" t="e">
        <f>CHOOSE($L$44,C29,C37)</f>
        <v>#REF!</v>
      </c>
      <c r="D52" s="1708"/>
      <c r="E52" s="1708" t="e">
        <f>CHOOSE($L$44,E29,E37)</f>
        <v>#REF!</v>
      </c>
      <c r="F52" s="1537"/>
      <c r="G52" s="1537" t="e">
        <f>CHOOSE($L$44,G33,G39)</f>
        <v>#REF!</v>
      </c>
      <c r="H52" s="1632" t="s">
        <v>926</v>
      </c>
    </row>
    <row r="53" spans="2:9" ht="15.5" customHeight="1">
      <c r="B53" s="1541" t="s">
        <v>1022</v>
      </c>
      <c r="C53" s="1708" t="e">
        <f>CHOOSE($L$44,C31,C38)</f>
        <v>#REF!</v>
      </c>
      <c r="D53" s="1708"/>
      <c r="E53" s="1708" t="e">
        <f>CHOOSE($L$44,E31,E38)</f>
        <v>#REF!</v>
      </c>
      <c r="F53" s="1537"/>
      <c r="G53" s="1537"/>
      <c r="H53" s="1632"/>
    </row>
    <row r="54" spans="2:9" ht="15.5" customHeight="1">
      <c r="B54" s="1541" t="s">
        <v>988</v>
      </c>
      <c r="C54" s="1537">
        <f>C10</f>
        <v>360000</v>
      </c>
      <c r="D54" s="1537"/>
      <c r="E54" s="1537">
        <f>E10</f>
        <v>360000</v>
      </c>
      <c r="F54" s="1537"/>
      <c r="G54" s="1537">
        <f>E54</f>
        <v>360000</v>
      </c>
      <c r="H54" s="1613"/>
    </row>
    <row r="55" spans="2:9" ht="15.5" customHeight="1">
      <c r="B55" s="1541" t="s">
        <v>943</v>
      </c>
      <c r="C55" s="1717">
        <f>'доп расходы_свод'!D17</f>
        <v>8352000</v>
      </c>
      <c r="D55" s="1717"/>
      <c r="E55" s="1717">
        <f>'доп расходы_свод'!D18</f>
        <v>4176000</v>
      </c>
      <c r="F55" s="1537"/>
      <c r="G55" s="1537">
        <f>E55</f>
        <v>4176000</v>
      </c>
      <c r="H55" s="1613"/>
    </row>
    <row r="56" spans="2:9" ht="15.5" customHeight="1"/>
    <row r="57" spans="2:9" ht="15.5" customHeight="1" thickBot="1">
      <c r="B57" s="1566" t="s">
        <v>920</v>
      </c>
      <c r="C57" s="1555" t="e">
        <f>C46-C50</f>
        <v>#REF!</v>
      </c>
      <c r="D57" s="1555"/>
      <c r="E57" s="1555" t="e">
        <f>E46-E50</f>
        <v>#REF!</v>
      </c>
      <c r="F57" s="1555"/>
      <c r="G57" s="1555" t="e">
        <f>G46-G50</f>
        <v>#REF!</v>
      </c>
    </row>
    <row r="58" spans="2:9" ht="15.5" customHeight="1" thickTop="1">
      <c r="B58" s="1627" t="s">
        <v>938</v>
      </c>
      <c r="C58" s="1628" t="e">
        <f>C57/C46</f>
        <v>#REF!</v>
      </c>
      <c r="D58" s="1629"/>
      <c r="E58" s="1628" t="e">
        <f>E57/E46</f>
        <v>#REF!</v>
      </c>
      <c r="F58" s="1629"/>
      <c r="G58" s="1628" t="e">
        <f>G57/G$4</f>
        <v>#REF!</v>
      </c>
    </row>
    <row r="59" spans="2:9" ht="35" customHeight="1" thickBot="1">
      <c r="B59" s="1753" t="s">
        <v>940</v>
      </c>
      <c r="C59" s="1619" t="e">
        <f>C47-C53</f>
        <v>#REF!</v>
      </c>
      <c r="D59" s="1620"/>
      <c r="E59" s="1619" t="e">
        <f>E47-E53</f>
        <v>#REF!</v>
      </c>
      <c r="F59" s="1620"/>
      <c r="G59" s="1619" t="e">
        <f>G47-G52</f>
        <v>#REF!</v>
      </c>
    </row>
    <row r="60" spans="2:9" s="1636" customFormat="1" ht="20" customHeight="1" thickTop="1">
      <c r="B60" s="1625" t="s">
        <v>854</v>
      </c>
      <c r="C60" s="1643" t="e">
        <f>C59/C4</f>
        <v>#REF!</v>
      </c>
      <c r="D60" s="1644"/>
      <c r="E60" s="1643" t="e">
        <f>E59/E4</f>
        <v>#REF!</v>
      </c>
      <c r="F60" s="1644"/>
      <c r="G60" s="1643" t="e">
        <f>G59/G4</f>
        <v>#REF!</v>
      </c>
      <c r="H60" s="582" t="s">
        <v>929</v>
      </c>
      <c r="I60" s="1647" t="s">
        <v>931</v>
      </c>
    </row>
    <row r="61" spans="2:9">
      <c r="B61" s="1589"/>
      <c r="C61" s="1635"/>
      <c r="D61" s="1629"/>
      <c r="E61" s="1635"/>
      <c r="F61" s="1629"/>
      <c r="G61" s="1635"/>
    </row>
    <row r="62" spans="2:9" s="1638" customFormat="1">
      <c r="B62" s="1564" t="s">
        <v>925</v>
      </c>
      <c r="C62" s="1565"/>
      <c r="D62" s="1565"/>
      <c r="E62" s="1565"/>
      <c r="F62" s="1642"/>
      <c r="G62" s="1641"/>
      <c r="H62" s="1632"/>
    </row>
    <row r="63" spans="2:9" s="1638" customFormat="1" ht="17">
      <c r="B63" s="1656" t="s">
        <v>935</v>
      </c>
      <c r="C63" s="1655">
        <f>C10*22%</f>
        <v>79200</v>
      </c>
      <c r="D63" s="1655"/>
      <c r="E63" s="1655">
        <f>E10*22%</f>
        <v>79200</v>
      </c>
      <c r="F63" s="1634"/>
      <c r="G63" s="1634">
        <f>G10*22%</f>
        <v>79200</v>
      </c>
      <c r="H63" s="1613" t="s">
        <v>990</v>
      </c>
      <c r="I63" s="4" t="s">
        <v>932</v>
      </c>
    </row>
    <row r="64" spans="2:9" s="1638" customFormat="1" ht="17">
      <c r="B64" s="1656" t="s">
        <v>921</v>
      </c>
      <c r="C64" s="1655" t="e">
        <f>C57*5%</f>
        <v>#REF!</v>
      </c>
      <c r="D64" s="1655"/>
      <c r="E64" s="1655" t="e">
        <f>E57*5%</f>
        <v>#REF!</v>
      </c>
      <c r="F64" s="1634"/>
      <c r="G64" s="1634" t="e">
        <f>G57*5%</f>
        <v>#REF!</v>
      </c>
      <c r="H64" s="1613" t="s">
        <v>990</v>
      </c>
    </row>
    <row r="65" spans="2:8" s="1638" customFormat="1">
      <c r="B65" s="1575" t="s">
        <v>1027</v>
      </c>
      <c r="C65" s="1682" t="e">
        <f>C64-E64</f>
        <v>#REF!</v>
      </c>
      <c r="D65" s="1659"/>
      <c r="E65" s="1653"/>
      <c r="F65" s="1634"/>
      <c r="G65" s="1634"/>
      <c r="H65" s="1613"/>
    </row>
    <row r="66" spans="2:8">
      <c r="B66" s="922"/>
      <c r="E66" s="1634"/>
      <c r="G66" s="1634"/>
    </row>
    <row r="67" spans="2:8" ht="26">
      <c r="B67" s="1562" t="s">
        <v>865</v>
      </c>
      <c r="C67" s="1563"/>
      <c r="D67" s="1563"/>
      <c r="E67" s="1563"/>
      <c r="F67" s="1563"/>
      <c r="G67" s="1563"/>
    </row>
    <row r="68" spans="2:8">
      <c r="B68" s="1564" t="s">
        <v>575</v>
      </c>
      <c r="C68" s="1565" t="e">
        <f>SUM(C69:C71)</f>
        <v>#REF!</v>
      </c>
      <c r="D68" s="1565"/>
      <c r="E68" s="1565" t="e">
        <f>SUM(E69:E71)</f>
        <v>#REF!</v>
      </c>
      <c r="F68" s="1565"/>
      <c r="G68" s="1565" t="e">
        <f>SUM(G69:G70)</f>
        <v>#REF!</v>
      </c>
      <c r="H68" s="1632"/>
    </row>
    <row r="69" spans="2:8">
      <c r="B69" s="1541" t="s">
        <v>851</v>
      </c>
      <c r="C69" s="1537"/>
      <c r="D69" s="1537"/>
      <c r="E69" s="1537"/>
      <c r="F69" s="1537"/>
      <c r="G69" s="1537"/>
    </row>
    <row r="70" spans="2:8">
      <c r="B70" s="1541" t="s">
        <v>1023</v>
      </c>
      <c r="C70" s="1708" t="e">
        <f>C52</f>
        <v>#REF!</v>
      </c>
      <c r="D70" s="1708"/>
      <c r="E70" s="1708" t="e">
        <f>E52</f>
        <v>#REF!</v>
      </c>
      <c r="F70" s="1537"/>
      <c r="G70" s="1537" t="e">
        <f>G52</f>
        <v>#REF!</v>
      </c>
      <c r="H70" s="922" t="s">
        <v>926</v>
      </c>
    </row>
    <row r="71" spans="2:8">
      <c r="B71" s="1541" t="s">
        <v>1022</v>
      </c>
      <c r="C71" s="1708" t="e">
        <f>C53</f>
        <v>#REF!</v>
      </c>
      <c r="D71" s="1708"/>
      <c r="E71" s="1708" t="e">
        <f>E53</f>
        <v>#REF!</v>
      </c>
      <c r="F71" s="1537"/>
      <c r="G71" s="1537"/>
      <c r="H71" s="922"/>
    </row>
    <row r="72" spans="2:8">
      <c r="B72" s="1627"/>
      <c r="C72" s="324"/>
      <c r="D72" s="1537"/>
      <c r="E72" s="324"/>
      <c r="F72" s="1537"/>
      <c r="G72" s="1537"/>
    </row>
    <row r="73" spans="2:8">
      <c r="B73" s="1564" t="s">
        <v>335</v>
      </c>
      <c r="C73" s="1565" t="e">
        <f>SUM(C74:C76)</f>
        <v>#REF!</v>
      </c>
      <c r="D73" s="1565"/>
      <c r="E73" s="1565" t="e">
        <f>SUM(E74:E76)</f>
        <v>#REF!</v>
      </c>
      <c r="F73" s="1565"/>
      <c r="G73" s="1565" t="e">
        <f>SUM(G74:G75)</f>
        <v>#REF!</v>
      </c>
    </row>
    <row r="74" spans="2:8">
      <c r="B74" s="1541" t="s">
        <v>902</v>
      </c>
      <c r="C74" s="1537">
        <f>C48</f>
        <v>460000</v>
      </c>
      <c r="D74" s="1537"/>
      <c r="E74" s="1537">
        <f>E48</f>
        <v>460000</v>
      </c>
      <c r="F74" s="1537"/>
      <c r="G74" s="1537" t="e">
        <f>G48</f>
        <v>#REF!</v>
      </c>
    </row>
    <row r="75" spans="2:8">
      <c r="B75" s="1541" t="s">
        <v>1023</v>
      </c>
      <c r="C75" s="1708" t="e">
        <f>C19</f>
        <v>#REF!</v>
      </c>
      <c r="D75" s="1708"/>
      <c r="E75" s="1708">
        <v>0</v>
      </c>
      <c r="F75" s="1537"/>
      <c r="G75" s="1537" t="e">
        <f>G25</f>
        <v>#REF!</v>
      </c>
    </row>
    <row r="76" spans="2:8">
      <c r="B76" s="1541" t="s">
        <v>1025</v>
      </c>
      <c r="C76" s="1708" t="e">
        <f>C15+C23+C24</f>
        <v>#REF!</v>
      </c>
      <c r="D76" s="1708"/>
      <c r="E76" s="1708" t="e">
        <f>E15+E23+E24+E19</f>
        <v>#REF!</v>
      </c>
      <c r="F76" s="1537"/>
      <c r="G76" s="1537"/>
    </row>
    <row r="78" spans="2:8" ht="17" thickBot="1">
      <c r="B78" s="1566" t="s">
        <v>853</v>
      </c>
      <c r="C78" s="1555" t="e">
        <f>C68-C73</f>
        <v>#REF!</v>
      </c>
      <c r="D78" s="1555"/>
      <c r="E78" s="1555" t="e">
        <f>E68-E73</f>
        <v>#REF!</v>
      </c>
      <c r="F78" s="1555"/>
      <c r="G78" s="1555" t="e">
        <f>G68-G73</f>
        <v>#REF!</v>
      </c>
    </row>
    <row r="79" spans="2:8" ht="17" thickTop="1">
      <c r="B79" s="1627" t="s">
        <v>939</v>
      </c>
      <c r="C79" s="1715" t="e">
        <f>C78/C68</f>
        <v>#REF!</v>
      </c>
      <c r="D79" s="1716"/>
      <c r="E79" s="1715" t="e">
        <f>E78/E68</f>
        <v>#REF!</v>
      </c>
      <c r="F79" s="1629"/>
      <c r="G79" s="1628"/>
    </row>
    <row r="80" spans="2:8">
      <c r="B80" s="1627" t="s">
        <v>854</v>
      </c>
      <c r="C80" s="1628" t="e">
        <f>C78/C$4</f>
        <v>#REF!</v>
      </c>
      <c r="D80" s="1629"/>
      <c r="E80" s="1628" t="e">
        <f>E78/E$4</f>
        <v>#REF!</v>
      </c>
      <c r="F80" s="1629"/>
      <c r="G80" s="1628" t="e">
        <f>G78/G$4</f>
        <v>#REF!</v>
      </c>
    </row>
    <row r="81" spans="2:9" outlineLevel="1">
      <c r="B81" s="1625" t="s">
        <v>1034</v>
      </c>
      <c r="C81" s="1630" t="e">
        <f>C78/C73</f>
        <v>#REF!</v>
      </c>
      <c r="D81" s="1631"/>
      <c r="E81" s="1630" t="e">
        <f>E78/E73</f>
        <v>#REF!</v>
      </c>
      <c r="F81" s="1631"/>
      <c r="G81" s="1637" t="e">
        <f>G78/G73</f>
        <v>#REF!</v>
      </c>
      <c r="H81" s="1745" t="s">
        <v>1018</v>
      </c>
    </row>
    <row r="82" spans="2:9">
      <c r="C82" s="324"/>
      <c r="E82" s="324"/>
      <c r="G82" s="324"/>
    </row>
    <row r="83" spans="2:9">
      <c r="B83" s="1535" t="s">
        <v>852</v>
      </c>
      <c r="C83" s="1536" t="e">
        <f>Воронка!#REF!</f>
        <v>#REF!</v>
      </c>
      <c r="D83" s="1536"/>
      <c r="E83" s="1536" t="e">
        <f>Воронка!#REF!</f>
        <v>#REF!</v>
      </c>
      <c r="F83" s="1536"/>
      <c r="G83" s="1536" t="e">
        <f>Воронка!#REF!</f>
        <v>#REF!</v>
      </c>
    </row>
    <row r="84" spans="2:9" ht="17" thickBot="1">
      <c r="B84" s="1571" t="s">
        <v>855</v>
      </c>
      <c r="C84" s="1570" t="e">
        <f>C78+C83</f>
        <v>#REF!</v>
      </c>
      <c r="D84" s="1570"/>
      <c r="E84" s="1570" t="e">
        <f>E78+E83</f>
        <v>#REF!</v>
      </c>
      <c r="F84" s="1570"/>
      <c r="G84" s="1570" t="e">
        <f>G78+G83</f>
        <v>#REF!</v>
      </c>
    </row>
    <row r="85" spans="2:9" ht="17" thickTop="1"/>
    <row r="86" spans="2:9" s="1638" customFormat="1" ht="17" customHeight="1">
      <c r="B86" s="1564" t="s">
        <v>924</v>
      </c>
      <c r="C86" s="1565"/>
      <c r="D86" s="1565"/>
      <c r="E86" s="1565"/>
      <c r="F86" s="1642"/>
      <c r="G86" s="1641" t="e">
        <f>G87+G88</f>
        <v>#REF!</v>
      </c>
      <c r="H86" s="1613" t="s">
        <v>933</v>
      </c>
      <c r="I86" s="4" t="s">
        <v>932</v>
      </c>
    </row>
    <row r="87" spans="2:9" s="1649" customFormat="1" ht="17" customHeight="1">
      <c r="B87" s="1656" t="s">
        <v>962</v>
      </c>
      <c r="C87" s="1655" t="e">
        <f xml:space="preserve"> (C70+C71)*22%</f>
        <v>#REF!</v>
      </c>
      <c r="D87" s="1655"/>
      <c r="E87" s="1655" t="e">
        <f xml:space="preserve"> (E70+E71)*22%</f>
        <v>#REF!</v>
      </c>
      <c r="F87" s="1650"/>
      <c r="G87" s="1650" t="e">
        <f>G70*22%</f>
        <v>#REF!</v>
      </c>
      <c r="H87" s="1763" t="s">
        <v>1033</v>
      </c>
    </row>
    <row r="88" spans="2:9" s="1638" customFormat="1" ht="17" customHeight="1">
      <c r="B88" s="1656" t="s">
        <v>922</v>
      </c>
      <c r="C88" s="1655" t="e">
        <f>C78*25%</f>
        <v>#REF!</v>
      </c>
      <c r="D88" s="1655"/>
      <c r="E88" s="1655" t="e">
        <f>E78*25%</f>
        <v>#REF!</v>
      </c>
      <c r="F88" s="1634"/>
      <c r="G88" s="1634" t="e">
        <f>G78*25%</f>
        <v>#REF!</v>
      </c>
      <c r="H88" s="1639"/>
    </row>
    <row r="89" spans="2:9" ht="17" customHeight="1">
      <c r="B89" s="1575" t="s">
        <v>1027</v>
      </c>
      <c r="C89" s="1658" t="e">
        <f>C88-E88</f>
        <v>#REF!</v>
      </c>
      <c r="D89" s="1659"/>
      <c r="E89" s="1653"/>
      <c r="F89" s="922"/>
      <c r="G89" s="922"/>
      <c r="H89" s="1615"/>
    </row>
    <row r="90" spans="2:9" ht="17" customHeight="1">
      <c r="B90" s="1657"/>
      <c r="C90" s="1658"/>
      <c r="D90" s="1659"/>
      <c r="E90" s="1653"/>
      <c r="F90" s="922"/>
      <c r="G90" s="922"/>
      <c r="H90" s="1615"/>
    </row>
    <row r="91" spans="2:9" ht="51">
      <c r="B91" s="1703" t="s">
        <v>945</v>
      </c>
      <c r="C91" s="1704" t="str">
        <f>C3</f>
        <v>Биллинг Т</v>
      </c>
      <c r="D91" s="1548"/>
      <c r="E91" s="1548" t="str">
        <f>E3</f>
        <v>Биллинг МПС 
(с рекуррентами и ковенантами)</v>
      </c>
      <c r="F91" s="1548"/>
      <c r="G91" s="1548" t="str">
        <f>G3</f>
        <v>Биллинг МПС 
(без рекуррентов и ковенантов)</v>
      </c>
      <c r="H91" s="1616"/>
    </row>
    <row r="92" spans="2:9" ht="26">
      <c r="B92" s="1562" t="s">
        <v>946</v>
      </c>
      <c r="C92" s="1563"/>
      <c r="D92" s="1563"/>
      <c r="E92" s="1563"/>
      <c r="F92" s="1563"/>
      <c r="G92" s="1563"/>
    </row>
    <row r="93" spans="2:9">
      <c r="B93" s="1662" t="s">
        <v>575</v>
      </c>
      <c r="C93" s="1663" t="e">
        <f>C94+C97</f>
        <v>#REF!</v>
      </c>
      <c r="D93" s="1663"/>
      <c r="E93" s="1663" t="e">
        <f>E94+E97</f>
        <v>#REF!</v>
      </c>
      <c r="F93" s="1663"/>
      <c r="G93" s="1663" t="e">
        <f>G94+G97</f>
        <v>#REF!</v>
      </c>
      <c r="H93" s="1632"/>
    </row>
    <row r="94" spans="2:9">
      <c r="B94" s="1661" t="s">
        <v>942</v>
      </c>
      <c r="C94" s="1565" t="e">
        <f>SUM(C95:C96)</f>
        <v>#REF!</v>
      </c>
      <c r="D94" s="1565"/>
      <c r="E94" s="1565" t="e">
        <f>SUM(E95:E96)</f>
        <v>#REF!</v>
      </c>
      <c r="F94" s="1565"/>
      <c r="G94" s="1565" t="e">
        <f>SUM(G95:G96)</f>
        <v>#REF!</v>
      </c>
      <c r="H94" s="1632"/>
    </row>
    <row r="95" spans="2:9" ht="17">
      <c r="B95" s="1542" t="s">
        <v>851</v>
      </c>
      <c r="C95" s="1537" t="e">
        <f>C47</f>
        <v>#REF!</v>
      </c>
      <c r="D95" s="1537"/>
      <c r="E95" s="1537" t="e">
        <f>E47</f>
        <v>#REF!</v>
      </c>
      <c r="F95" s="1537"/>
      <c r="G95" s="1537" t="e">
        <f>G47</f>
        <v>#REF!</v>
      </c>
      <c r="H95" s="5" t="s">
        <v>941</v>
      </c>
    </row>
    <row r="96" spans="2:9" s="1636" customFormat="1" ht="17">
      <c r="B96" s="1694" t="s">
        <v>984</v>
      </c>
      <c r="C96" s="1709">
        <f>C48</f>
        <v>460000</v>
      </c>
      <c r="D96" s="1709"/>
      <c r="E96" s="1709">
        <f>E48</f>
        <v>460000</v>
      </c>
      <c r="F96" s="1701"/>
      <c r="G96" s="1701" t="e">
        <f>G48</f>
        <v>#REF!</v>
      </c>
      <c r="H96" s="1696" t="s">
        <v>989</v>
      </c>
    </row>
    <row r="97" spans="2:8">
      <c r="B97" s="1661" t="s">
        <v>865</v>
      </c>
      <c r="C97" s="1565" t="e">
        <f>C98+C99</f>
        <v>#REF!</v>
      </c>
      <c r="D97" s="1565"/>
      <c r="E97" s="1565" t="e">
        <f>E98+E99</f>
        <v>#REF!</v>
      </c>
      <c r="F97" s="1565"/>
      <c r="G97" s="1565" t="e">
        <f>G98</f>
        <v>#REF!</v>
      </c>
      <c r="H97" s="1632"/>
    </row>
    <row r="98" spans="2:8" ht="17">
      <c r="B98" s="1542" t="s">
        <v>1023</v>
      </c>
      <c r="C98" s="1708" t="e">
        <f>C52</f>
        <v>#REF!</v>
      </c>
      <c r="D98" s="1708"/>
      <c r="E98" s="1708" t="e">
        <f>E52</f>
        <v>#REF!</v>
      </c>
      <c r="F98" s="1537"/>
      <c r="G98" s="1537" t="e">
        <f>G70</f>
        <v>#REF!</v>
      </c>
      <c r="H98" s="5" t="s">
        <v>947</v>
      </c>
    </row>
    <row r="99" spans="2:8">
      <c r="B99" s="1542" t="s">
        <v>1022</v>
      </c>
      <c r="C99" s="1708" t="e">
        <f>C53</f>
        <v>#REF!</v>
      </c>
      <c r="D99" s="1708"/>
      <c r="E99" s="1708" t="e">
        <f>E53</f>
        <v>#REF!</v>
      </c>
      <c r="F99" s="1537"/>
      <c r="G99" s="1537"/>
    </row>
    <row r="100" spans="2:8">
      <c r="B100" s="1627"/>
      <c r="C100" s="324"/>
      <c r="D100" s="1537"/>
      <c r="E100" s="324"/>
      <c r="F100" s="1537"/>
      <c r="G100" s="324"/>
      <c r="H100" s="1640"/>
    </row>
    <row r="101" spans="2:8">
      <c r="B101" s="1662" t="s">
        <v>335</v>
      </c>
      <c r="C101" s="1663" t="e">
        <f>C102+C108</f>
        <v>#REF!</v>
      </c>
      <c r="D101" s="1663"/>
      <c r="E101" s="1663" t="e">
        <f>E102+E108</f>
        <v>#REF!</v>
      </c>
      <c r="F101" s="1663"/>
      <c r="G101" s="1663" t="e">
        <f>G102+G108</f>
        <v>#REF!</v>
      </c>
    </row>
    <row r="102" spans="2:8">
      <c r="B102" s="1661" t="s">
        <v>942</v>
      </c>
      <c r="C102" s="1565" t="e">
        <f>SUM(C103:C107)</f>
        <v>#REF!</v>
      </c>
      <c r="D102" s="1565"/>
      <c r="E102" s="1565" t="e">
        <f>SUM(E103:E107)</f>
        <v>#REF!</v>
      </c>
      <c r="F102" s="1565"/>
      <c r="G102" s="1565" t="e">
        <f>SUM(G103:G106)</f>
        <v>#REF!</v>
      </c>
      <c r="H102" s="1632"/>
    </row>
    <row r="103" spans="2:8">
      <c r="B103" s="1542" t="str">
        <f>B51</f>
        <v>Sales команда МПСтатс</v>
      </c>
      <c r="C103" s="1537">
        <f>C51</f>
        <v>50425005.288461544</v>
      </c>
      <c r="D103" s="1537"/>
      <c r="E103" s="1537">
        <f>E51</f>
        <v>50425005.288461544</v>
      </c>
      <c r="F103" s="1537"/>
      <c r="G103" s="1537">
        <f>G51</f>
        <v>50425005.288461544</v>
      </c>
    </row>
    <row r="104" spans="2:8" ht="17">
      <c r="B104" s="1542" t="s">
        <v>1023</v>
      </c>
      <c r="C104" s="1708" t="e">
        <f>C52</f>
        <v>#REF!</v>
      </c>
      <c r="D104" s="1708"/>
      <c r="E104" s="1708" t="e">
        <f>E52</f>
        <v>#REF!</v>
      </c>
      <c r="F104" s="1537"/>
      <c r="G104" s="1537" t="e">
        <f>G52</f>
        <v>#REF!</v>
      </c>
      <c r="H104" s="5" t="s">
        <v>944</v>
      </c>
    </row>
    <row r="105" spans="2:8">
      <c r="B105" s="1542" t="s">
        <v>1022</v>
      </c>
      <c r="C105" s="1708" t="e">
        <f>C53</f>
        <v>#REF!</v>
      </c>
      <c r="D105" s="1708"/>
      <c r="E105" s="1708" t="e">
        <f>E53</f>
        <v>#REF!</v>
      </c>
      <c r="F105" s="1537"/>
      <c r="G105" s="1537"/>
    </row>
    <row r="106" spans="2:8" s="1636" customFormat="1">
      <c r="B106" s="1694" t="s">
        <v>991</v>
      </c>
      <c r="C106" s="1695">
        <f>C54</f>
        <v>360000</v>
      </c>
      <c r="D106" s="1695"/>
      <c r="E106" s="1695">
        <f>E54</f>
        <v>360000</v>
      </c>
      <c r="F106" s="1705"/>
      <c r="G106" s="1705">
        <f>G54</f>
        <v>360000</v>
      </c>
      <c r="H106" s="1706"/>
    </row>
    <row r="107" spans="2:8" s="1636" customFormat="1">
      <c r="B107" s="1541" t="s">
        <v>1003</v>
      </c>
      <c r="C107" s="1695">
        <f>C55</f>
        <v>8352000</v>
      </c>
      <c r="D107" s="1695"/>
      <c r="E107" s="1695">
        <f>E55</f>
        <v>4176000</v>
      </c>
      <c r="F107" s="1705"/>
      <c r="G107" s="1705"/>
      <c r="H107" s="1706"/>
    </row>
    <row r="108" spans="2:8">
      <c r="B108" s="1661" t="s">
        <v>865</v>
      </c>
      <c r="C108" s="1565" t="e">
        <f>SUM(C109:C111)</f>
        <v>#REF!</v>
      </c>
      <c r="D108" s="1565"/>
      <c r="E108" s="1565" t="e">
        <f>SUM(E109:E111)</f>
        <v>#REF!</v>
      </c>
      <c r="F108" s="1565"/>
      <c r="G108" s="1565" t="e">
        <f>SUM(G109:G110)</f>
        <v>#REF!</v>
      </c>
      <c r="H108" s="1632"/>
    </row>
    <row r="109" spans="2:8" ht="17">
      <c r="B109" s="1542" t="s">
        <v>902</v>
      </c>
      <c r="C109" s="1537">
        <f>C74</f>
        <v>460000</v>
      </c>
      <c r="D109" s="1537"/>
      <c r="E109" s="1537">
        <f>E74</f>
        <v>460000</v>
      </c>
      <c r="F109" s="1537"/>
      <c r="G109" s="1537" t="e">
        <f>G74</f>
        <v>#REF!</v>
      </c>
      <c r="H109" s="5" t="s">
        <v>971</v>
      </c>
    </row>
    <row r="110" spans="2:8">
      <c r="B110" s="1542" t="s">
        <v>1024</v>
      </c>
      <c r="C110" s="1708" t="e">
        <f>C75</f>
        <v>#REF!</v>
      </c>
      <c r="D110" s="1708"/>
      <c r="E110" s="1708">
        <f>E75</f>
        <v>0</v>
      </c>
      <c r="F110" s="1537"/>
      <c r="G110" s="1537" t="e">
        <f>G75</f>
        <v>#REF!</v>
      </c>
      <c r="H110" t="s">
        <v>972</v>
      </c>
    </row>
    <row r="111" spans="2:8">
      <c r="B111" s="1542" t="s">
        <v>1022</v>
      </c>
      <c r="C111" s="1708" t="e">
        <f>C76</f>
        <v>#REF!</v>
      </c>
      <c r="D111" s="1708"/>
      <c r="E111" s="1708" t="e">
        <f>E76</f>
        <v>#REF!</v>
      </c>
      <c r="F111" s="1537"/>
      <c r="G111" s="1537"/>
      <c r="H111"/>
    </row>
    <row r="113" spans="2:8" ht="17" thickBot="1">
      <c r="B113" s="1566" t="s">
        <v>970</v>
      </c>
      <c r="C113" s="1555" t="e">
        <f>C93-C101</f>
        <v>#REF!</v>
      </c>
      <c r="D113" s="1555"/>
      <c r="E113" s="1555" t="e">
        <f>E93-E101</f>
        <v>#REF!</v>
      </c>
      <c r="F113" s="1555"/>
      <c r="G113" s="1555" t="e">
        <f>G93-G101</f>
        <v>#REF!</v>
      </c>
    </row>
    <row r="114" spans="2:8" ht="17" thickTop="1">
      <c r="B114" s="1627" t="s">
        <v>961</v>
      </c>
      <c r="C114" s="1628" t="e">
        <f>C113/C93</f>
        <v>#REF!</v>
      </c>
      <c r="D114" s="1629"/>
      <c r="E114" s="1628" t="e">
        <f>E113/E93</f>
        <v>#REF!</v>
      </c>
      <c r="H114"/>
    </row>
    <row r="115" spans="2:8">
      <c r="B115" s="1670" t="s">
        <v>975</v>
      </c>
      <c r="C115" s="1654" t="e">
        <f>C94-C102</f>
        <v>#REF!</v>
      </c>
      <c r="D115" s="1654"/>
      <c r="E115" s="1654" t="e">
        <f>E94-E102</f>
        <v>#REF!</v>
      </c>
      <c r="F115" s="1662"/>
      <c r="H115"/>
    </row>
    <row r="116" spans="2:8">
      <c r="B116" s="1670" t="s">
        <v>966</v>
      </c>
      <c r="C116" s="1654" t="e">
        <f>C97-C108</f>
        <v>#REF!</v>
      </c>
      <c r="D116" s="1654"/>
      <c r="E116" s="1654" t="e">
        <f>E97-E108</f>
        <v>#REF!</v>
      </c>
      <c r="F116" s="1662"/>
      <c r="H116"/>
    </row>
    <row r="117" spans="2:8" ht="17" thickBot="1">
      <c r="B117" s="1729" t="s">
        <v>967</v>
      </c>
      <c r="C117" s="1555" t="e">
        <f>C83</f>
        <v>#REF!</v>
      </c>
      <c r="D117" s="1555"/>
      <c r="E117" s="1555" t="e">
        <f>E83</f>
        <v>#REF!</v>
      </c>
      <c r="F117" s="1662"/>
      <c r="H117" t="s">
        <v>969</v>
      </c>
    </row>
    <row r="118" spans="2:8" ht="18" thickTop="1" thickBot="1">
      <c r="B118" s="1727" t="s">
        <v>968</v>
      </c>
      <c r="C118" s="1728" t="e">
        <f>SUM(C115:C117)</f>
        <v>#REF!</v>
      </c>
      <c r="D118" s="1728"/>
      <c r="E118" s="1728" t="e">
        <f>SUM(E115:E117)</f>
        <v>#REF!</v>
      </c>
      <c r="F118" s="1662"/>
      <c r="H118"/>
    </row>
    <row r="119" spans="2:8" ht="17" thickTop="1">
      <c r="B119" s="165" t="s">
        <v>976</v>
      </c>
      <c r="C119" s="1731" t="e">
        <f>(C118-E118)/E118</f>
        <v>#REF!</v>
      </c>
      <c r="E119" s="1682"/>
      <c r="H119"/>
    </row>
    <row r="120" spans="2:8" ht="17" thickBot="1">
      <c r="B120" s="1575"/>
      <c r="C120" s="1731"/>
      <c r="E120" s="1682"/>
      <c r="H120"/>
    </row>
    <row r="121" spans="2:8" ht="50" customHeight="1" thickBot="1">
      <c r="B121" s="1759"/>
      <c r="C121" s="1760" t="str">
        <f>C91</f>
        <v>Биллинг Т</v>
      </c>
      <c r="D121" s="1761"/>
      <c r="E121" s="1762" t="str">
        <f>E91</f>
        <v>Биллинг МПС 
(с рекуррентами и ковенантами)</v>
      </c>
      <c r="H121"/>
    </row>
    <row r="122" spans="2:8" ht="21">
      <c r="B122" s="1667" t="s">
        <v>957</v>
      </c>
      <c r="C122" s="1668" t="e">
        <f>C95</f>
        <v>#REF!</v>
      </c>
      <c r="D122" s="1668"/>
      <c r="E122" s="1669" t="e">
        <f>E95</f>
        <v>#REF!</v>
      </c>
      <c r="F122" s="1666">
        <f t="shared" ref="F122:G122" si="0">F95</f>
        <v>0</v>
      </c>
      <c r="G122" s="1663" t="e">
        <f t="shared" si="0"/>
        <v>#REF!</v>
      </c>
      <c r="H122" s="1540" t="s">
        <v>960</v>
      </c>
    </row>
    <row r="123" spans="2:8">
      <c r="B123" s="1670" t="s">
        <v>956</v>
      </c>
      <c r="C123" s="1654" t="e">
        <f>C122-C127-C125</f>
        <v>#REF!</v>
      </c>
      <c r="D123" s="1654"/>
      <c r="E123" s="1671" t="e">
        <f>E122-E127-E125</f>
        <v>#REF!</v>
      </c>
      <c r="F123" s="1662"/>
      <c r="H123"/>
    </row>
    <row r="124" spans="2:8">
      <c r="B124" s="1672" t="s">
        <v>958</v>
      </c>
      <c r="C124" s="1665" t="e">
        <f>C123/C$122</f>
        <v>#REF!</v>
      </c>
      <c r="D124" s="1665"/>
      <c r="E124" s="1673" t="e">
        <f>E123/E$122</f>
        <v>#REF!</v>
      </c>
      <c r="H124"/>
    </row>
    <row r="125" spans="2:8">
      <c r="B125" s="1670" t="s">
        <v>1030</v>
      </c>
      <c r="C125" s="1654" t="e">
        <f>C98</f>
        <v>#REF!</v>
      </c>
      <c r="D125" s="1654"/>
      <c r="E125" s="1671" t="e">
        <f>E98</f>
        <v>#REF!</v>
      </c>
      <c r="H125"/>
    </row>
    <row r="126" spans="2:8" ht="17" thickBot="1">
      <c r="B126" s="1674" t="s">
        <v>959</v>
      </c>
      <c r="C126" s="1665" t="e">
        <f>C125/C$122</f>
        <v>#REF!</v>
      </c>
      <c r="D126" s="1665"/>
      <c r="E126" s="1673" t="e">
        <f>E125/E$122</f>
        <v>#REF!</v>
      </c>
      <c r="H126"/>
    </row>
    <row r="127" spans="2:8">
      <c r="B127" s="1670" t="s">
        <v>1031</v>
      </c>
      <c r="C127" s="1654" t="e">
        <f>C99</f>
        <v>#REF!</v>
      </c>
      <c r="D127" s="1654"/>
      <c r="E127" s="1671" t="e">
        <f>E99</f>
        <v>#REF!</v>
      </c>
      <c r="F127" s="1662"/>
      <c r="H127"/>
    </row>
    <row r="128" spans="2:8" ht="17" thickBot="1">
      <c r="B128" s="1674" t="s">
        <v>959</v>
      </c>
      <c r="C128" s="1675" t="e">
        <f>C127/C$122</f>
        <v>#REF!</v>
      </c>
      <c r="D128" s="1675"/>
      <c r="E128" s="1676" t="e">
        <f>E127/E$122</f>
        <v>#REF!</v>
      </c>
    </row>
    <row r="129" spans="2:8">
      <c r="B129" s="1664"/>
      <c r="C129" s="324"/>
      <c r="E129" s="324"/>
    </row>
    <row r="130" spans="2:8">
      <c r="B130" s="1552" t="s">
        <v>949</v>
      </c>
      <c r="C130" s="1553"/>
      <c r="D130" s="1553"/>
      <c r="E130" s="1553"/>
      <c r="H130" s="1613"/>
    </row>
    <row r="131" spans="2:8" ht="17">
      <c r="B131" s="1718" t="s">
        <v>954</v>
      </c>
      <c r="C131" s="1719"/>
      <c r="D131" s="1719"/>
      <c r="E131" s="1720"/>
      <c r="H131" s="1693" t="s">
        <v>963</v>
      </c>
    </row>
    <row r="132" spans="2:8" ht="17">
      <c r="B132" s="1721" t="s">
        <v>950</v>
      </c>
      <c r="C132" s="1722">
        <f>C63</f>
        <v>79200</v>
      </c>
      <c r="D132" s="1722"/>
      <c r="E132" s="1723">
        <f>E63</f>
        <v>79200</v>
      </c>
      <c r="H132" s="1677" t="s">
        <v>965</v>
      </c>
    </row>
    <row r="133" spans="2:8">
      <c r="B133" s="1724" t="s">
        <v>951</v>
      </c>
      <c r="C133" s="1725" t="e">
        <f>C87</f>
        <v>#REF!</v>
      </c>
      <c r="D133" s="1725"/>
      <c r="E133" s="1726" t="e">
        <f>E87</f>
        <v>#REF!</v>
      </c>
    </row>
    <row r="134" spans="2:8">
      <c r="B134" s="1718" t="s">
        <v>948</v>
      </c>
      <c r="C134" s="1719" t="e">
        <f>SUM(C135:C136)</f>
        <v>#REF!</v>
      </c>
      <c r="D134" s="1719"/>
      <c r="E134" s="1720" t="e">
        <f>SUM(E135:E136)</f>
        <v>#REF!</v>
      </c>
      <c r="F134" s="1651"/>
      <c r="G134" s="1652" t="e">
        <f>G86+G62</f>
        <v>#REF!</v>
      </c>
    </row>
    <row r="135" spans="2:8" ht="17">
      <c r="B135" s="1721" t="s">
        <v>952</v>
      </c>
      <c r="C135" s="1722" t="e">
        <f>C64</f>
        <v>#REF!</v>
      </c>
      <c r="D135" s="1722"/>
      <c r="E135" s="1723" t="e">
        <f>E64</f>
        <v>#REF!</v>
      </c>
      <c r="F135" s="1651"/>
      <c r="G135" s="1652"/>
      <c r="H135" s="1677" t="s">
        <v>964</v>
      </c>
    </row>
    <row r="136" spans="2:8">
      <c r="B136" s="1724" t="s">
        <v>953</v>
      </c>
      <c r="C136" s="1725" t="e">
        <f>C88</f>
        <v>#REF!</v>
      </c>
      <c r="D136" s="1725"/>
      <c r="E136" s="1726" t="e">
        <f>E88</f>
        <v>#REF!</v>
      </c>
      <c r="F136" s="1651"/>
      <c r="G136" s="1652"/>
    </row>
    <row r="137" spans="2:8" s="1575" customFormat="1">
      <c r="B137" s="165" t="s">
        <v>973</v>
      </c>
      <c r="C137" s="1757" t="e">
        <f>(C134-E134)/E134</f>
        <v>#REF!</v>
      </c>
      <c r="E137" s="1689"/>
      <c r="H137" s="1690"/>
    </row>
    <row r="138" spans="2:8">
      <c r="E138" s="1680"/>
    </row>
    <row r="139" spans="2:8" ht="48">
      <c r="B139" s="165"/>
      <c r="C139" s="1658"/>
      <c r="H139" s="1691" t="s">
        <v>974</v>
      </c>
    </row>
    <row r="140" spans="2:8">
      <c r="H140" s="1688"/>
    </row>
  </sheetData>
  <mergeCells count="1">
    <mergeCell ref="B2:B3"/>
  </mergeCells>
  <conditionalFormatting sqref="B72">
    <cfRule type="cellIs" dxfId="35" priority="7" operator="lessThan">
      <formula>0</formula>
    </cfRule>
  </conditionalFormatting>
  <conditionalFormatting sqref="B89 D89:E89 B90:E90">
    <cfRule type="cellIs" dxfId="34" priority="8" operator="lessThan">
      <formula>0</formula>
    </cfRule>
  </conditionalFormatting>
  <conditionalFormatting sqref="B100">
    <cfRule type="cellIs" dxfId="33" priority="6" operator="lessThan">
      <formula>0</formula>
    </cfRule>
  </conditionalFormatting>
  <conditionalFormatting sqref="B114">
    <cfRule type="cellIs" dxfId="32" priority="3" operator="lessThan">
      <formula>0</formula>
    </cfRule>
  </conditionalFormatting>
  <conditionalFormatting sqref="B119:B120">
    <cfRule type="cellIs" dxfId="31" priority="2" operator="lessThan">
      <formula>0</formula>
    </cfRule>
  </conditionalFormatting>
  <conditionalFormatting sqref="B58:G58 B79:G80">
    <cfRule type="cellIs" dxfId="30" priority="13" operator="lessThan">
      <formula>0</formula>
    </cfRule>
  </conditionalFormatting>
  <conditionalFormatting sqref="B60:G61 F62:G64 B65 D65:G65">
    <cfRule type="cellIs" dxfId="29" priority="10" operator="lessThan">
      <formula>0</formula>
    </cfRule>
  </conditionalFormatting>
  <conditionalFormatting sqref="C89">
    <cfRule type="cellIs" dxfId="28" priority="1" operator="lessThan">
      <formula>$C$90</formula>
    </cfRule>
  </conditionalFormatting>
  <conditionalFormatting sqref="C124 C128 E124 E128 C126 E126">
    <cfRule type="dataBar" priority="4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{9F6145A5-74EE-CC47-9905-AC87C7111EEB}</x14:id>
        </ext>
      </extLst>
    </cfRule>
  </conditionalFormatting>
  <conditionalFormatting sqref="C57:G61 B81">
    <cfRule type="cellIs" dxfId="27" priority="11" operator="lessThan">
      <formula>0</formula>
    </cfRule>
  </conditionalFormatting>
  <conditionalFormatting sqref="C78:G78">
    <cfRule type="cellIs" dxfId="26" priority="12" operator="lessThan">
      <formula>0</formula>
    </cfRule>
  </conditionalFormatting>
  <conditionalFormatting sqref="C113:G113">
    <cfRule type="cellIs" dxfId="25" priority="5" operator="lessThan">
      <formula>0</formula>
    </cfRule>
  </conditionalFormatting>
  <conditionalFormatting sqref="F86:G88">
    <cfRule type="cellIs" dxfId="24" priority="9" operator="lessThan">
      <formula>0</formula>
    </cfRule>
  </conditionalFormatting>
  <dataValidations disablePrompts="1" count="1">
    <dataValidation type="list" allowBlank="1" showInputMessage="1" showErrorMessage="1" sqref="L44" xr:uid="{F5C8F7B1-E396-C140-8F1F-9BE802858C0A}">
      <formula1>"1,2"</formula1>
    </dataValidation>
  </dataValidations>
  <pageMargins left="0.7" right="0.7" top="0.75" bottom="0.75" header="0.3" footer="0.3"/>
  <legacy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F6145A5-74EE-CC47-9905-AC87C7111EE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C124 C128 E124 E128 C126 E126</xm:sqref>
        </x14:conditionalFormatting>
      </x14:conditionalFormatting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5C7510-ED7B-C544-A39A-F174978A0215}">
  <sheetPr codeName="Лист4">
    <tabColor theme="5" tint="0.79998168889431442"/>
  </sheetPr>
  <dimension ref="A1:M132"/>
  <sheetViews>
    <sheetView topLeftCell="B1" zoomScale="110" zoomScaleNormal="110" workbookViewId="0">
      <selection activeCell="E41" sqref="E41"/>
    </sheetView>
  </sheetViews>
  <sheetFormatPr baseColWidth="10" defaultColWidth="10.6640625" defaultRowHeight="16" outlineLevelRow="1" outlineLevelCol="1"/>
  <cols>
    <col min="1" max="1" width="70.6640625" hidden="1" customWidth="1" outlineLevel="1"/>
    <col min="2" max="2" width="55.5" customWidth="1" collapsed="1"/>
    <col min="3" max="3" width="19.1640625" customWidth="1"/>
    <col min="4" max="4" width="1.1640625" customWidth="1"/>
    <col min="5" max="5" width="19.1640625" customWidth="1"/>
    <col min="6" max="6" width="1.33203125" hidden="1" customWidth="1" outlineLevel="1"/>
    <col min="7" max="7" width="17.6640625" hidden="1" customWidth="1" outlineLevel="1"/>
    <col min="8" max="8" width="81.5" style="5" customWidth="1" collapsed="1"/>
    <col min="9" max="9" width="41.83203125" customWidth="1"/>
    <col min="10" max="11" width="3.33203125" customWidth="1"/>
  </cols>
  <sheetData>
    <row r="1" spans="1:10" ht="12.5" customHeight="1">
      <c r="B1" s="1561"/>
      <c r="C1" s="1622"/>
      <c r="D1" s="1622"/>
      <c r="E1" s="1622"/>
      <c r="F1" s="1622"/>
      <c r="G1" s="1622"/>
      <c r="H1" s="1626" t="s">
        <v>864</v>
      </c>
      <c r="I1" s="7" t="s">
        <v>917</v>
      </c>
    </row>
    <row r="2" spans="1:10">
      <c r="B2" s="2109"/>
      <c r="C2" s="1547" t="s">
        <v>822</v>
      </c>
      <c r="D2" s="1547"/>
      <c r="E2" s="1547" t="s">
        <v>825</v>
      </c>
      <c r="F2" s="1547"/>
      <c r="G2" s="1547" t="s">
        <v>826</v>
      </c>
    </row>
    <row r="3" spans="1:10" s="5" customFormat="1" ht="69" customHeight="1">
      <c r="B3" s="2109"/>
      <c r="C3" s="1548" t="s">
        <v>823</v>
      </c>
      <c r="D3" s="1548"/>
      <c r="E3" s="1548" t="s">
        <v>866</v>
      </c>
      <c r="F3" s="1548"/>
      <c r="G3" s="1548" t="s">
        <v>860</v>
      </c>
    </row>
    <row r="4" spans="1:10" ht="19">
      <c r="A4" s="1022" t="s">
        <v>792</v>
      </c>
      <c r="B4" s="1549" t="s">
        <v>824</v>
      </c>
      <c r="C4" s="1550" t="e">
        <f>Воронка!#REF!</f>
        <v>#REF!</v>
      </c>
      <c r="D4" s="1550"/>
      <c r="E4" s="1550" t="e">
        <f>Воронка!#REF!</f>
        <v>#REF!</v>
      </c>
      <c r="F4" s="1550"/>
      <c r="G4" s="1550" t="e">
        <f>Воронка!#REF!</f>
        <v>#REF!</v>
      </c>
    </row>
    <row r="5" spans="1:10">
      <c r="C5" s="1537"/>
      <c r="D5" s="1537"/>
      <c r="E5" s="1537"/>
      <c r="F5" s="1537"/>
      <c r="G5" s="1537"/>
    </row>
    <row r="6" spans="1:10" ht="26">
      <c r="B6" s="1561" t="s">
        <v>788</v>
      </c>
      <c r="C6" s="1648"/>
      <c r="D6" s="1648"/>
      <c r="E6" s="1648"/>
      <c r="F6" s="1648"/>
      <c r="G6" s="1648"/>
    </row>
    <row r="7" spans="1:10" ht="19">
      <c r="B7" s="1560" t="s">
        <v>834</v>
      </c>
      <c r="C7" s="1551"/>
      <c r="D7" s="1551"/>
      <c r="E7" s="1551"/>
      <c r="F7" s="1551"/>
      <c r="G7" s="1551"/>
      <c r="I7" s="1535"/>
      <c r="J7" s="1535"/>
    </row>
    <row r="8" spans="1:10" ht="34">
      <c r="B8" s="1552" t="s">
        <v>831</v>
      </c>
      <c r="C8" s="1554" t="s">
        <v>862</v>
      </c>
      <c r="D8" s="1552"/>
      <c r="E8" s="1554" t="s">
        <v>862</v>
      </c>
      <c r="F8" s="1552"/>
      <c r="G8" s="1554" t="s">
        <v>862</v>
      </c>
      <c r="I8" s="1535"/>
      <c r="J8" s="1535"/>
    </row>
    <row r="9" spans="1:10" ht="34">
      <c r="A9" s="1543" t="s">
        <v>806</v>
      </c>
      <c r="B9" s="1541" t="s">
        <v>827</v>
      </c>
      <c r="C9" s="1537">
        <v>100000</v>
      </c>
      <c r="D9" s="1537"/>
      <c r="E9" s="1537">
        <f>C9</f>
        <v>100000</v>
      </c>
      <c r="F9" s="1537"/>
      <c r="G9" s="1537" t="e">
        <f>Воронка!#REF!</f>
        <v>#REF!</v>
      </c>
      <c r="H9" s="1613" t="s">
        <v>1002</v>
      </c>
      <c r="I9" s="1613"/>
    </row>
    <row r="10" spans="1:10" ht="19">
      <c r="A10" s="1544" t="s">
        <v>805</v>
      </c>
      <c r="B10" s="1541" t="s">
        <v>828</v>
      </c>
      <c r="C10" s="1717">
        <f>'доп расходы_свод'!C17</f>
        <v>360000</v>
      </c>
      <c r="D10" s="1717"/>
      <c r="E10" s="1717">
        <f>C10</f>
        <v>360000</v>
      </c>
      <c r="F10" s="1708"/>
      <c r="G10" s="1717">
        <f>E10</f>
        <v>360000</v>
      </c>
      <c r="H10" s="5" t="s">
        <v>829</v>
      </c>
    </row>
    <row r="11" spans="1:10" ht="20" thickBot="1">
      <c r="A11" s="39" t="s">
        <v>804</v>
      </c>
      <c r="B11" s="1559" t="s">
        <v>847</v>
      </c>
      <c r="C11" s="1557">
        <f>C9+C10</f>
        <v>460000</v>
      </c>
      <c r="D11" s="1557"/>
      <c r="E11" s="1557">
        <f>E9+E10</f>
        <v>460000</v>
      </c>
      <c r="F11" s="1557"/>
      <c r="G11" s="1557" t="e">
        <f>G9+G10</f>
        <v>#REF!</v>
      </c>
      <c r="H11" s="1614" t="s">
        <v>830</v>
      </c>
    </row>
    <row r="12" spans="1:10" ht="20" thickTop="1">
      <c r="A12" s="139"/>
      <c r="B12" s="1538" t="s">
        <v>854</v>
      </c>
      <c r="C12" s="1539" t="e">
        <f>C11/C$4</f>
        <v>#REF!</v>
      </c>
      <c r="D12" s="1540"/>
      <c r="E12" s="1539" t="e">
        <f>E11/E$4</f>
        <v>#REF!</v>
      </c>
      <c r="F12" s="1540"/>
      <c r="G12" s="1539" t="e">
        <f>G11/G$4</f>
        <v>#REF!</v>
      </c>
    </row>
    <row r="13" spans="1:10" ht="19">
      <c r="A13" s="139"/>
      <c r="B13" s="1560" t="s">
        <v>833</v>
      </c>
      <c r="C13" s="1549"/>
      <c r="D13" s="1549"/>
      <c r="E13" s="1549"/>
      <c r="F13" s="1549"/>
      <c r="G13" s="1549"/>
    </row>
    <row r="14" spans="1:10" ht="51">
      <c r="A14" s="2"/>
      <c r="B14" s="1552" t="s">
        <v>831</v>
      </c>
      <c r="C14" s="1554" t="s">
        <v>832</v>
      </c>
      <c r="D14" s="1552"/>
      <c r="E14" s="1554" t="s">
        <v>845</v>
      </c>
      <c r="F14" s="1552"/>
      <c r="G14" s="1554" t="s">
        <v>845</v>
      </c>
    </row>
    <row r="15" spans="1:10" ht="19">
      <c r="A15" s="1545" t="s">
        <v>786</v>
      </c>
      <c r="B15" s="1552" t="s">
        <v>835</v>
      </c>
      <c r="C15" s="1553" t="e">
        <f>SUM(C16:C18)</f>
        <v>#REF!</v>
      </c>
      <c r="D15" s="1553"/>
      <c r="E15" s="1553" t="e">
        <f>SUM(E16:E18)</f>
        <v>#REF!</v>
      </c>
      <c r="F15" s="1553"/>
      <c r="G15" s="1553" t="e">
        <f>SUM(G16:G18)</f>
        <v>#REF!</v>
      </c>
    </row>
    <row r="16" spans="1:10" ht="19">
      <c r="A16" s="992" t="s">
        <v>808</v>
      </c>
      <c r="B16" s="1542" t="s">
        <v>836</v>
      </c>
      <c r="C16" s="1537" t="e">
        <f>Воронка!#REF!</f>
        <v>#REF!</v>
      </c>
      <c r="D16" s="1537"/>
      <c r="E16" s="1537" t="e">
        <f>Воронка!#REF!</f>
        <v>#REF!</v>
      </c>
      <c r="F16" s="1537"/>
      <c r="G16" s="1537" t="e">
        <f>Воронка!#REF!</f>
        <v>#REF!</v>
      </c>
      <c r="H16" s="5" t="s">
        <v>837</v>
      </c>
    </row>
    <row r="17" spans="1:8" ht="19">
      <c r="A17" s="992" t="s">
        <v>809</v>
      </c>
      <c r="B17" s="1542" t="s">
        <v>839</v>
      </c>
      <c r="C17" s="1537" t="e">
        <f>Воронка!#REF!</f>
        <v>#REF!</v>
      </c>
      <c r="D17" s="1537"/>
      <c r="E17" s="1537" t="e">
        <f>Воронка!#REF!</f>
        <v>#REF!</v>
      </c>
      <c r="F17" s="1537"/>
      <c r="G17" s="1537" t="e">
        <f>Воронка!#REF!</f>
        <v>#REF!</v>
      </c>
      <c r="H17" s="5" t="s">
        <v>838</v>
      </c>
    </row>
    <row r="18" spans="1:8" ht="19">
      <c r="A18" s="992" t="s">
        <v>811</v>
      </c>
      <c r="B18" s="1542" t="s">
        <v>840</v>
      </c>
      <c r="C18" s="1537" t="e">
        <f>Воронка!#REF!</f>
        <v>#REF!</v>
      </c>
      <c r="D18" s="1537"/>
      <c r="E18" s="1537" t="e">
        <f>Воронка!#REF!</f>
        <v>#REF!</v>
      </c>
      <c r="F18" s="1537"/>
      <c r="G18" s="1537" t="e">
        <f>Воронка!#REF!</f>
        <v>#REF!</v>
      </c>
      <c r="H18" s="5" t="s">
        <v>901</v>
      </c>
    </row>
    <row r="19" spans="1:8" ht="19">
      <c r="A19" s="1494" t="s">
        <v>785</v>
      </c>
      <c r="B19" s="1552" t="s">
        <v>841</v>
      </c>
      <c r="C19" s="1553" t="e">
        <f>SUM(C20:C22)</f>
        <v>#REF!</v>
      </c>
      <c r="D19" s="1553"/>
      <c r="E19" s="1553" t="e">
        <f>SUM(E20:E22)</f>
        <v>#REF!</v>
      </c>
      <c r="F19" s="1553"/>
      <c r="G19" s="1553" t="e">
        <f>SUM(G20:G22)</f>
        <v>#REF!</v>
      </c>
    </row>
    <row r="20" spans="1:8" ht="19">
      <c r="A20" s="39" t="s">
        <v>782</v>
      </c>
      <c r="B20" s="1542" t="s">
        <v>782</v>
      </c>
      <c r="C20" s="1537" t="e">
        <f>Воронка!#REF!</f>
        <v>#REF!</v>
      </c>
      <c r="D20" s="1537"/>
      <c r="E20" s="1537" t="e">
        <f>Воронка!#REF!</f>
        <v>#REF!</v>
      </c>
      <c r="F20" s="1537"/>
      <c r="G20" s="1537" t="e">
        <f>Воронка!#REF!</f>
        <v>#REF!</v>
      </c>
    </row>
    <row r="21" spans="1:8" ht="19">
      <c r="A21" s="841" t="s">
        <v>783</v>
      </c>
      <c r="B21" s="1542" t="s">
        <v>783</v>
      </c>
      <c r="C21" s="1537" t="e">
        <f>Воронка!#REF!</f>
        <v>#REF!</v>
      </c>
      <c r="D21" s="1537"/>
      <c r="E21" s="1537" t="e">
        <f>Воронка!#REF!</f>
        <v>#REF!</v>
      </c>
      <c r="F21" s="1537"/>
      <c r="G21" s="1537" t="e">
        <f>Воронка!#REF!</f>
        <v>#REF!</v>
      </c>
      <c r="H21" s="5" t="s">
        <v>849</v>
      </c>
    </row>
    <row r="22" spans="1:8" ht="19">
      <c r="A22" s="2"/>
      <c r="B22" s="1542" t="s">
        <v>842</v>
      </c>
      <c r="C22" s="1717">
        <f>расходы_разработка!D50-расходы_разработка!E50</f>
        <v>1272857.142857143</v>
      </c>
      <c r="D22" s="1717"/>
      <c r="E22" s="1717"/>
      <c r="F22" s="1537"/>
      <c r="G22" s="1537"/>
    </row>
    <row r="23" spans="1:8" ht="19">
      <c r="A23" s="1545" t="s">
        <v>810</v>
      </c>
      <c r="B23" s="1552" t="s">
        <v>900</v>
      </c>
      <c r="C23" s="1553">
        <f>расходы_разработка!D50-расходы_разработка!E50</f>
        <v>1272857.142857143</v>
      </c>
      <c r="D23" s="1553"/>
      <c r="E23" s="1553">
        <f>расходы_разработка!E50</f>
        <v>1272857.142857143</v>
      </c>
      <c r="F23" s="1553"/>
      <c r="G23" s="1553" t="e">
        <f>Воронка!#REF!</f>
        <v>#REF!</v>
      </c>
    </row>
    <row r="24" spans="1:8" ht="19">
      <c r="A24" s="304" t="s">
        <v>784</v>
      </c>
      <c r="B24" s="1552" t="s">
        <v>844</v>
      </c>
      <c r="C24" s="1553" t="e">
        <f>Воронка!#REF!</f>
        <v>#REF!</v>
      </c>
      <c r="D24" s="1553"/>
      <c r="E24" s="1553" t="e">
        <f>Воронка!#REF!</f>
        <v>#REF!</v>
      </c>
      <c r="F24" s="1553"/>
      <c r="G24" s="1553" t="e">
        <f>Воронка!#REF!</f>
        <v>#REF!</v>
      </c>
      <c r="H24" s="5" t="s">
        <v>843</v>
      </c>
    </row>
    <row r="25" spans="1:8" ht="17" thickBot="1">
      <c r="B25" s="1567" t="s">
        <v>846</v>
      </c>
      <c r="C25" s="1568" t="e">
        <f>SUM(C15,C19,C23,C24)</f>
        <v>#REF!</v>
      </c>
      <c r="D25" s="1569"/>
      <c r="E25" s="1568" t="e">
        <f>SUM(E15,E19,E23,E24)</f>
        <v>#REF!</v>
      </c>
      <c r="F25" s="1569"/>
      <c r="G25" s="1568" t="e">
        <f>SUM(G15,G19,G23,G24)</f>
        <v>#REF!</v>
      </c>
    </row>
    <row r="26" spans="1:8" s="1540" customFormat="1" ht="18" thickTop="1">
      <c r="B26" s="1617" t="s">
        <v>856</v>
      </c>
      <c r="C26" s="1624">
        <v>0.1</v>
      </c>
      <c r="D26" s="1546"/>
      <c r="E26" s="1624">
        <f>C26</f>
        <v>0.1</v>
      </c>
      <c r="F26" s="1546"/>
      <c r="G26" s="1624">
        <f>C26</f>
        <v>0.1</v>
      </c>
      <c r="H26" s="1744" t="s">
        <v>1012</v>
      </c>
    </row>
    <row r="27" spans="1:8">
      <c r="B27" s="1538"/>
      <c r="C27" s="1539"/>
      <c r="D27" s="1540"/>
      <c r="E27" s="1539"/>
      <c r="F27" s="1540"/>
      <c r="G27" s="1539"/>
      <c r="H27" s="1613"/>
    </row>
    <row r="28" spans="1:8" s="334" customFormat="1" ht="19">
      <c r="B28" s="1732" t="s">
        <v>1005</v>
      </c>
      <c r="C28" s="1733"/>
      <c r="D28" s="1733"/>
      <c r="E28" s="1733"/>
      <c r="F28" s="1734"/>
      <c r="G28" s="1735"/>
      <c r="H28" s="1736"/>
    </row>
    <row r="29" spans="1:8" s="172" customFormat="1" ht="19">
      <c r="A29" s="992"/>
      <c r="B29" s="1737" t="s">
        <v>1010</v>
      </c>
      <c r="C29" s="1738" t="e">
        <f>(C19+C23+C24)*(1+C$26)</f>
        <v>#REF!</v>
      </c>
      <c r="D29" s="1738"/>
      <c r="E29" s="1738" t="e">
        <f>(E19+E23+E24)*(1+E$26)</f>
        <v>#REF!</v>
      </c>
      <c r="F29" s="1739"/>
      <c r="G29" s="1739"/>
      <c r="H29" s="1576" t="s">
        <v>1011</v>
      </c>
    </row>
    <row r="30" spans="1:8" s="172" customFormat="1" ht="19">
      <c r="A30" s="992"/>
      <c r="B30" s="1740" t="s">
        <v>854</v>
      </c>
      <c r="C30" s="1741" t="e">
        <f>C29/C$4</f>
        <v>#REF!</v>
      </c>
      <c r="D30" s="1575"/>
      <c r="E30" s="1741" t="e">
        <f>E29/E$4</f>
        <v>#REF!</v>
      </c>
      <c r="F30" s="1739"/>
      <c r="G30" s="1739"/>
      <c r="H30" s="1576"/>
    </row>
    <row r="31" spans="1:8" s="172" customFormat="1" ht="19">
      <c r="A31" s="992"/>
      <c r="B31" s="1737" t="s">
        <v>1004</v>
      </c>
      <c r="C31" s="1738" t="e">
        <f>C15*(1+C$26)</f>
        <v>#REF!</v>
      </c>
      <c r="D31" s="1575"/>
      <c r="E31" s="1738" t="e">
        <f>E15*(1+E$26)</f>
        <v>#REF!</v>
      </c>
      <c r="F31" s="1739"/>
      <c r="G31" s="1739"/>
      <c r="H31" s="1576" t="s">
        <v>1008</v>
      </c>
    </row>
    <row r="32" spans="1:8" s="172" customFormat="1" ht="19">
      <c r="A32" s="15"/>
      <c r="B32" s="1740" t="s">
        <v>854</v>
      </c>
      <c r="C32" s="1741" t="e">
        <f>C31/C$4</f>
        <v>#REF!</v>
      </c>
      <c r="D32" s="1575"/>
      <c r="E32" s="1741" t="e">
        <f>E31/E$4</f>
        <v>#REF!</v>
      </c>
      <c r="F32" s="1739"/>
      <c r="G32" s="1739"/>
      <c r="H32" s="1576"/>
    </row>
    <row r="33" spans="1:13" s="172" customFormat="1" ht="18" thickBot="1">
      <c r="B33" s="1742" t="s">
        <v>858</v>
      </c>
      <c r="C33" s="1743" t="e">
        <f>C29+C31</f>
        <v>#REF!</v>
      </c>
      <c r="D33" s="1743"/>
      <c r="E33" s="1743" t="e">
        <f>E29+E31</f>
        <v>#REF!</v>
      </c>
      <c r="F33" s="1743"/>
      <c r="G33" s="1743" t="e">
        <f>G25*(1+G26)</f>
        <v>#REF!</v>
      </c>
      <c r="H33" s="8" t="s">
        <v>848</v>
      </c>
    </row>
    <row r="34" spans="1:13" s="172" customFormat="1" ht="20" thickTop="1">
      <c r="A34" s="15"/>
      <c r="B34" s="1740" t="s">
        <v>915</v>
      </c>
      <c r="C34" s="1741" t="e">
        <f>C33/C$4</f>
        <v>#REF!</v>
      </c>
      <c r="D34" s="1575"/>
      <c r="E34" s="1741" t="e">
        <f>E33/E$4</f>
        <v>#REF!</v>
      </c>
      <c r="F34" s="1739"/>
      <c r="G34" s="1739" t="e">
        <f>G33/G$4</f>
        <v>#REF!</v>
      </c>
      <c r="H34" s="1576"/>
    </row>
    <row r="35" spans="1:13">
      <c r="B35" s="1538"/>
      <c r="C35" s="1618"/>
      <c r="D35" s="1546"/>
      <c r="E35" s="1618"/>
      <c r="F35" s="1546"/>
      <c r="G35" s="1618"/>
    </row>
    <row r="36" spans="1:13" s="334" customFormat="1" ht="19">
      <c r="B36" s="1732" t="s">
        <v>1017</v>
      </c>
      <c r="C36" s="1733"/>
      <c r="D36" s="1733"/>
      <c r="E36" s="1733"/>
      <c r="F36" s="1734"/>
      <c r="G36" s="1735"/>
      <c r="H36" s="1736"/>
    </row>
    <row r="37" spans="1:13" ht="19">
      <c r="A37" s="992"/>
      <c r="B37" s="1542" t="s">
        <v>1006</v>
      </c>
      <c r="C37" s="1537" t="e">
        <f>C$4*C41</f>
        <v>#REF!</v>
      </c>
      <c r="D37" s="1537"/>
      <c r="E37" s="1537" t="e">
        <f>E$4*E41</f>
        <v>#REF!</v>
      </c>
      <c r="F37" s="1537"/>
      <c r="G37" s="1537"/>
      <c r="H37" s="5" t="s">
        <v>1007</v>
      </c>
    </row>
    <row r="38" spans="1:13" ht="19">
      <c r="A38" s="992"/>
      <c r="B38" s="1542" t="s">
        <v>1004</v>
      </c>
      <c r="C38" s="1537" t="e">
        <f>C$4*C42</f>
        <v>#REF!</v>
      </c>
      <c r="D38" s="1537"/>
      <c r="E38" s="1537" t="e">
        <f>E$4*E42</f>
        <v>#REF!</v>
      </c>
      <c r="F38" s="1537"/>
      <c r="G38" s="1537"/>
      <c r="H38" s="5" t="s">
        <v>1008</v>
      </c>
    </row>
    <row r="39" spans="1:13" ht="18" thickBot="1">
      <c r="B39" s="1556" t="s">
        <v>859</v>
      </c>
      <c r="C39" s="1557" t="e">
        <f>C37+C38</f>
        <v>#REF!</v>
      </c>
      <c r="D39" s="1557"/>
      <c r="E39" s="1557" t="e">
        <f>E37+E38</f>
        <v>#REF!</v>
      </c>
      <c r="F39" s="1559"/>
      <c r="G39" s="1558" t="e">
        <f>G4*G40</f>
        <v>#REF!</v>
      </c>
      <c r="H39" s="1614" t="s">
        <v>848</v>
      </c>
    </row>
    <row r="40" spans="1:13" ht="18" thickTop="1">
      <c r="B40" s="1538" t="s">
        <v>1014</v>
      </c>
      <c r="C40" s="1621" t="e">
        <f>C39/C4</f>
        <v>#REF!</v>
      </c>
      <c r="D40" s="1623"/>
      <c r="E40" s="1621" t="e">
        <f>E41+E42</f>
        <v>#REF!</v>
      </c>
      <c r="F40" s="1623"/>
      <c r="G40" s="1621">
        <v>0.2</v>
      </c>
      <c r="H40" s="1633" t="s">
        <v>1015</v>
      </c>
    </row>
    <row r="41" spans="1:13">
      <c r="B41" s="1538" t="s">
        <v>1013</v>
      </c>
      <c r="C41" s="1621" t="e">
        <f>C30</f>
        <v>#REF!</v>
      </c>
      <c r="D41" s="1623"/>
      <c r="E41" s="1621" t="e">
        <f>E30</f>
        <v>#REF!</v>
      </c>
      <c r="F41" s="1623"/>
      <c r="G41" s="1621"/>
      <c r="H41" s="1633"/>
    </row>
    <row r="42" spans="1:13">
      <c r="B42" s="1538" t="s">
        <v>1009</v>
      </c>
      <c r="C42" s="1621" t="e">
        <f>C32</f>
        <v>#REF!</v>
      </c>
      <c r="D42" s="1623"/>
      <c r="E42" s="1621" t="e">
        <f>E32</f>
        <v>#REF!</v>
      </c>
      <c r="F42" s="1623"/>
      <c r="G42" s="1621"/>
      <c r="H42" s="1633"/>
    </row>
    <row r="43" spans="1:13" ht="18" thickBot="1">
      <c r="H43" s="1613" t="s">
        <v>1016</v>
      </c>
    </row>
    <row r="44" spans="1:13" ht="54" thickBot="1">
      <c r="B44" s="1561" t="s">
        <v>850</v>
      </c>
      <c r="C44" s="1548" t="str">
        <f>C3</f>
        <v>Биллинг Т</v>
      </c>
      <c r="D44" s="1548"/>
      <c r="E44" s="1548" t="str">
        <f>E3</f>
        <v>Биллинг МПС 
(с рекуррентами и ковенантами)</v>
      </c>
      <c r="F44" s="1548"/>
      <c r="G44" s="1548" t="str">
        <f>G3</f>
        <v>Биллинг МПС 
(без рекуррентов и ковенантов)</v>
      </c>
      <c r="I44" s="1614" t="s">
        <v>863</v>
      </c>
      <c r="J44" s="1535"/>
      <c r="K44" s="1535"/>
      <c r="L44" s="1572">
        <v>2</v>
      </c>
      <c r="M44" s="1535" t="s">
        <v>861</v>
      </c>
    </row>
    <row r="45" spans="1:13" ht="26">
      <c r="B45" s="1562" t="s">
        <v>916</v>
      </c>
      <c r="C45" s="1563"/>
      <c r="D45" s="1563"/>
      <c r="E45" s="1563"/>
      <c r="F45" s="1563"/>
      <c r="G45" s="1563"/>
    </row>
    <row r="46" spans="1:13" ht="15.5" customHeight="1">
      <c r="B46" s="1564" t="s">
        <v>575</v>
      </c>
      <c r="C46" s="1565" t="e">
        <f>SUM(C47:C48)</f>
        <v>#REF!</v>
      </c>
      <c r="D46" s="1565"/>
      <c r="E46" s="1565" t="e">
        <f>SUM(E47:E48)</f>
        <v>#REF!</v>
      </c>
      <c r="F46" s="1565"/>
      <c r="G46" s="1565" t="e">
        <f>SUM(G47:G48)</f>
        <v>#REF!</v>
      </c>
    </row>
    <row r="47" spans="1:13" ht="15.5" customHeight="1">
      <c r="B47" s="1541" t="s">
        <v>851</v>
      </c>
      <c r="C47" s="1537" t="e">
        <f>C4</f>
        <v>#REF!</v>
      </c>
      <c r="D47" s="1537"/>
      <c r="E47" s="1537" t="e">
        <f>E4</f>
        <v>#REF!</v>
      </c>
      <c r="F47" s="1537"/>
      <c r="G47" s="1537" t="e">
        <f>G4</f>
        <v>#REF!</v>
      </c>
      <c r="H47" s="1633" t="s">
        <v>927</v>
      </c>
    </row>
    <row r="48" spans="1:13" ht="15.5" customHeight="1">
      <c r="B48" s="1541" t="s">
        <v>902</v>
      </c>
      <c r="C48" s="1537">
        <f>C11</f>
        <v>460000</v>
      </c>
      <c r="D48" s="1537"/>
      <c r="E48" s="1537">
        <f>E11</f>
        <v>460000</v>
      </c>
      <c r="F48" s="1537"/>
      <c r="G48" s="1537" t="e">
        <f>G11</f>
        <v>#REF!</v>
      </c>
      <c r="H48" s="1632" t="s">
        <v>928</v>
      </c>
    </row>
    <row r="49" spans="2:9" ht="15.5" customHeight="1"/>
    <row r="50" spans="2:9" ht="15.5" customHeight="1">
      <c r="B50" s="1564" t="s">
        <v>335</v>
      </c>
      <c r="C50" s="1565" t="e">
        <f>SUM(C51:C54)</f>
        <v>#REF!</v>
      </c>
      <c r="D50" s="1565"/>
      <c r="E50" s="1565" t="e">
        <f>SUM(E51:E54)</f>
        <v>#REF!</v>
      </c>
      <c r="F50" s="1565"/>
      <c r="G50" s="1565" t="e">
        <f>SUM(G51:G54)</f>
        <v>#REF!</v>
      </c>
    </row>
    <row r="51" spans="2:9" ht="15.5" customHeight="1">
      <c r="B51" s="1541" t="s">
        <v>904</v>
      </c>
      <c r="C51" s="1537">
        <f>Воронка!R52</f>
        <v>50425005.288461544</v>
      </c>
      <c r="D51" s="1537"/>
      <c r="E51" s="1537">
        <f>Воронка!R52</f>
        <v>50425005.288461544</v>
      </c>
      <c r="F51" s="1537"/>
      <c r="G51" s="1537">
        <f>Воронка!K52</f>
        <v>50425005.288461544</v>
      </c>
    </row>
    <row r="52" spans="2:9" ht="15.5" customHeight="1">
      <c r="B52" s="1541" t="s">
        <v>903</v>
      </c>
      <c r="C52" s="1708" t="e">
        <f>CHOOSE($L$44,C33,C39)</f>
        <v>#REF!</v>
      </c>
      <c r="D52" s="1708"/>
      <c r="E52" s="1708" t="e">
        <f>CHOOSE($L$44,E33,E39)</f>
        <v>#REF!</v>
      </c>
      <c r="F52" s="1537"/>
      <c r="G52" s="1537" t="e">
        <f>CHOOSE($L$44,G33,G39)</f>
        <v>#REF!</v>
      </c>
      <c r="H52" s="1632" t="s">
        <v>926</v>
      </c>
    </row>
    <row r="53" spans="2:9" ht="15.5" customHeight="1">
      <c r="B53" s="1541" t="s">
        <v>988</v>
      </c>
      <c r="C53" s="1537">
        <f>C10</f>
        <v>360000</v>
      </c>
      <c r="D53" s="1537"/>
      <c r="E53" s="1537">
        <f>E10</f>
        <v>360000</v>
      </c>
      <c r="F53" s="1537"/>
      <c r="G53" s="1537">
        <f>E53</f>
        <v>360000</v>
      </c>
      <c r="H53" s="1613" t="s">
        <v>923</v>
      </c>
    </row>
    <row r="54" spans="2:9" ht="15.5" customHeight="1">
      <c r="B54" s="1541" t="s">
        <v>943</v>
      </c>
      <c r="C54" s="1717">
        <f>'доп расходы_свод'!D17</f>
        <v>8352000</v>
      </c>
      <c r="D54" s="1717"/>
      <c r="E54" s="1717">
        <f>'доп расходы_свод'!D18</f>
        <v>4176000</v>
      </c>
      <c r="F54" s="1537"/>
      <c r="G54" s="1537">
        <f>E54</f>
        <v>4176000</v>
      </c>
      <c r="H54" s="1613"/>
    </row>
    <row r="55" spans="2:9" ht="15.5" customHeight="1"/>
    <row r="56" spans="2:9" ht="15.5" customHeight="1" thickBot="1">
      <c r="B56" s="1566" t="s">
        <v>920</v>
      </c>
      <c r="C56" s="1555" t="e">
        <f>C46-C50</f>
        <v>#REF!</v>
      </c>
      <c r="D56" s="1555"/>
      <c r="E56" s="1555" t="e">
        <f>E46-E50</f>
        <v>#REF!</v>
      </c>
      <c r="F56" s="1555"/>
      <c r="G56" s="1555" t="e">
        <f>G46-G50</f>
        <v>#REF!</v>
      </c>
    </row>
    <row r="57" spans="2:9" ht="15.5" customHeight="1" thickTop="1">
      <c r="B57" s="1627" t="s">
        <v>938</v>
      </c>
      <c r="C57" s="1628" t="e">
        <f>C56/C46</f>
        <v>#REF!</v>
      </c>
      <c r="D57" s="1629"/>
      <c r="E57" s="1628" t="e">
        <f>E56/E46</f>
        <v>#REF!</v>
      </c>
      <c r="F57" s="1629"/>
      <c r="G57" s="1628" t="e">
        <f>G56/G$4</f>
        <v>#REF!</v>
      </c>
    </row>
    <row r="58" spans="2:9" ht="15.5" customHeight="1" thickBot="1">
      <c r="B58" s="1566" t="s">
        <v>940</v>
      </c>
      <c r="C58" s="1619" t="e">
        <f>C47-C52</f>
        <v>#REF!</v>
      </c>
      <c r="D58" s="1620"/>
      <c r="E58" s="1619" t="e">
        <f>E47-E52</f>
        <v>#REF!</v>
      </c>
      <c r="F58" s="1620"/>
      <c r="G58" s="1619" t="e">
        <f>G47-G52</f>
        <v>#REF!</v>
      </c>
    </row>
    <row r="59" spans="2:9" s="1636" customFormat="1" ht="20" customHeight="1" thickTop="1">
      <c r="B59" s="1625" t="s">
        <v>854</v>
      </c>
      <c r="C59" s="1643" t="e">
        <f>C58/C4</f>
        <v>#REF!</v>
      </c>
      <c r="D59" s="1644"/>
      <c r="E59" s="1643" t="e">
        <f>E58/E4</f>
        <v>#REF!</v>
      </c>
      <c r="F59" s="1644"/>
      <c r="G59" s="1643" t="e">
        <f>G58/G4</f>
        <v>#REF!</v>
      </c>
      <c r="H59" s="582" t="s">
        <v>929</v>
      </c>
      <c r="I59" s="1647" t="s">
        <v>931</v>
      </c>
    </row>
    <row r="60" spans="2:9">
      <c r="B60" s="1589"/>
      <c r="C60" s="1635"/>
      <c r="D60" s="1629"/>
      <c r="E60" s="1635"/>
      <c r="F60" s="1629"/>
      <c r="G60" s="1635"/>
    </row>
    <row r="61" spans="2:9" s="1638" customFormat="1">
      <c r="B61" s="1564" t="s">
        <v>925</v>
      </c>
      <c r="C61" s="1565"/>
      <c r="D61" s="1565"/>
      <c r="E61" s="1565"/>
      <c r="F61" s="1642"/>
      <c r="G61" s="1641"/>
      <c r="H61" s="1632"/>
    </row>
    <row r="62" spans="2:9" s="1638" customFormat="1" ht="17">
      <c r="B62" s="1656" t="s">
        <v>935</v>
      </c>
      <c r="C62" s="1655">
        <f>C10*22%</f>
        <v>79200</v>
      </c>
      <c r="D62" s="1655"/>
      <c r="E62" s="1655">
        <f>E10*22%</f>
        <v>79200</v>
      </c>
      <c r="F62" s="1634"/>
      <c r="G62" s="1634">
        <f>G10*22%</f>
        <v>79200</v>
      </c>
      <c r="H62" s="1613" t="s">
        <v>990</v>
      </c>
      <c r="I62" s="4" t="s">
        <v>932</v>
      </c>
    </row>
    <row r="63" spans="2:9" s="1638" customFormat="1" ht="17">
      <c r="B63" s="1656" t="s">
        <v>921</v>
      </c>
      <c r="C63" s="1655" t="e">
        <f>C56*5%</f>
        <v>#REF!</v>
      </c>
      <c r="D63" s="1655"/>
      <c r="E63" s="1655" t="e">
        <f>E56*5%</f>
        <v>#REF!</v>
      </c>
      <c r="F63" s="1634"/>
      <c r="G63" s="1634" t="e">
        <f>G56*5%</f>
        <v>#REF!</v>
      </c>
      <c r="H63" s="1613" t="s">
        <v>990</v>
      </c>
    </row>
    <row r="64" spans="2:9" s="1638" customFormat="1">
      <c r="B64" s="1657" t="s">
        <v>934</v>
      </c>
      <c r="C64" s="1658" t="e">
        <f>C63-E63</f>
        <v>#REF!</v>
      </c>
      <c r="D64" s="1659"/>
      <c r="E64" s="1653"/>
      <c r="F64" s="1634"/>
      <c r="G64" s="1634"/>
      <c r="H64" s="1613"/>
    </row>
    <row r="65" spans="2:8">
      <c r="B65" s="922"/>
      <c r="E65" s="1634"/>
      <c r="G65" s="1634"/>
    </row>
    <row r="66" spans="2:8" ht="26">
      <c r="B66" s="1562" t="s">
        <v>865</v>
      </c>
      <c r="C66" s="1563"/>
      <c r="D66" s="1563"/>
      <c r="E66" s="1563"/>
      <c r="F66" s="1563"/>
      <c r="G66" s="1563"/>
    </row>
    <row r="67" spans="2:8">
      <c r="B67" s="1564" t="s">
        <v>575</v>
      </c>
      <c r="C67" s="1565" t="e">
        <f>SUM(C68:C69)</f>
        <v>#REF!</v>
      </c>
      <c r="D67" s="1565"/>
      <c r="E67" s="1565" t="e">
        <f>SUM(E68:E69)</f>
        <v>#REF!</v>
      </c>
      <c r="F67" s="1565"/>
      <c r="G67" s="1565" t="e">
        <f>SUM(G68:G69)</f>
        <v>#REF!</v>
      </c>
      <c r="H67" s="1632"/>
    </row>
    <row r="68" spans="2:8">
      <c r="B68" s="1541" t="s">
        <v>851</v>
      </c>
      <c r="C68" s="1537"/>
      <c r="D68" s="1537"/>
      <c r="E68" s="1537"/>
      <c r="F68" s="1537"/>
      <c r="G68" s="1537"/>
    </row>
    <row r="69" spans="2:8">
      <c r="B69" s="1541" t="s">
        <v>903</v>
      </c>
      <c r="C69" s="1708" t="e">
        <f>C52</f>
        <v>#REF!</v>
      </c>
      <c r="D69" s="1708"/>
      <c r="E69" s="1708" t="e">
        <f>E52</f>
        <v>#REF!</v>
      </c>
      <c r="F69" s="1537"/>
      <c r="G69" s="1537" t="e">
        <f>G52</f>
        <v>#REF!</v>
      </c>
      <c r="H69" s="922" t="s">
        <v>926</v>
      </c>
    </row>
    <row r="70" spans="2:8">
      <c r="B70" s="1627"/>
      <c r="C70" s="324"/>
      <c r="D70" s="1537"/>
      <c r="E70" s="324"/>
      <c r="F70" s="1537"/>
      <c r="G70" s="1537"/>
    </row>
    <row r="71" spans="2:8">
      <c r="B71" s="1564" t="s">
        <v>335</v>
      </c>
      <c r="C71" s="1565" t="e">
        <f>SUM(C72:C73)</f>
        <v>#REF!</v>
      </c>
      <c r="D71" s="1565"/>
      <c r="E71" s="1565" t="e">
        <f>SUM(E72:E73)</f>
        <v>#REF!</v>
      </c>
      <c r="F71" s="1565"/>
      <c r="G71" s="1565" t="e">
        <f>SUM(G72:G73)</f>
        <v>#REF!</v>
      </c>
    </row>
    <row r="72" spans="2:8">
      <c r="B72" s="1541" t="s">
        <v>902</v>
      </c>
      <c r="C72" s="1537">
        <f>C48</f>
        <v>460000</v>
      </c>
      <c r="D72" s="1537"/>
      <c r="E72" s="1537">
        <f>E48</f>
        <v>460000</v>
      </c>
      <c r="F72" s="1537"/>
      <c r="G72" s="1537" t="e">
        <f>G48</f>
        <v>#REF!</v>
      </c>
    </row>
    <row r="73" spans="2:8">
      <c r="B73" s="1541" t="s">
        <v>903</v>
      </c>
      <c r="C73" s="1537" t="e">
        <f>C25</f>
        <v>#REF!</v>
      </c>
      <c r="D73" s="1537"/>
      <c r="E73" s="1537" t="e">
        <f>E25</f>
        <v>#REF!</v>
      </c>
      <c r="F73" s="1537"/>
      <c r="G73" s="1537" t="e">
        <f>G25</f>
        <v>#REF!</v>
      </c>
    </row>
    <row r="75" spans="2:8" ht="17" thickBot="1">
      <c r="B75" s="1566" t="s">
        <v>853</v>
      </c>
      <c r="C75" s="1555" t="e">
        <f>C67-C71</f>
        <v>#REF!</v>
      </c>
      <c r="D75" s="1555"/>
      <c r="E75" s="1555" t="e">
        <f>E67-E71</f>
        <v>#REF!</v>
      </c>
      <c r="F75" s="1555"/>
      <c r="G75" s="1555" t="e">
        <f>G67-G71</f>
        <v>#REF!</v>
      </c>
    </row>
    <row r="76" spans="2:8" ht="17" thickTop="1">
      <c r="B76" s="1627" t="s">
        <v>939</v>
      </c>
      <c r="C76" s="1715" t="e">
        <f>C75/C67</f>
        <v>#REF!</v>
      </c>
      <c r="D76" s="1716"/>
      <c r="E76" s="1715" t="e">
        <f>E75/E67</f>
        <v>#REF!</v>
      </c>
      <c r="F76" s="1629"/>
      <c r="G76" s="1628"/>
    </row>
    <row r="77" spans="2:8">
      <c r="B77" s="1627" t="s">
        <v>854</v>
      </c>
      <c r="C77" s="1628" t="e">
        <f>C75/C$4</f>
        <v>#REF!</v>
      </c>
      <c r="D77" s="1629"/>
      <c r="E77" s="1628" t="e">
        <f>E75/E$4</f>
        <v>#REF!</v>
      </c>
      <c r="F77" s="1629"/>
      <c r="G77" s="1628" t="e">
        <f>G75/G$4</f>
        <v>#REF!</v>
      </c>
    </row>
    <row r="78" spans="2:8" outlineLevel="1">
      <c r="B78" s="1625" t="s">
        <v>936</v>
      </c>
      <c r="C78" s="1630" t="e">
        <f>C75/C71</f>
        <v>#REF!</v>
      </c>
      <c r="D78" s="1631"/>
      <c r="E78" s="1630" t="e">
        <f>E75/E71</f>
        <v>#REF!</v>
      </c>
      <c r="F78" s="1631"/>
      <c r="G78" s="1637" t="e">
        <f>G75/G71</f>
        <v>#REF!</v>
      </c>
      <c r="H78" s="1745" t="s">
        <v>1018</v>
      </c>
    </row>
    <row r="79" spans="2:8">
      <c r="C79" s="324"/>
      <c r="E79" s="324"/>
      <c r="G79" s="324"/>
    </row>
    <row r="80" spans="2:8">
      <c r="B80" s="1535" t="s">
        <v>852</v>
      </c>
      <c r="C80" s="1536" t="e">
        <f>Воронка!#REF!</f>
        <v>#REF!</v>
      </c>
      <c r="D80" s="1536"/>
      <c r="E80" s="1536" t="e">
        <f>Воронка!#REF!</f>
        <v>#REF!</v>
      </c>
      <c r="F80" s="1536"/>
      <c r="G80" s="1536" t="e">
        <f>Воронка!#REF!</f>
        <v>#REF!</v>
      </c>
    </row>
    <row r="81" spans="2:9" ht="17" thickBot="1">
      <c r="B81" s="1571" t="s">
        <v>855</v>
      </c>
      <c r="C81" s="1570" t="e">
        <f>C75+C80</f>
        <v>#REF!</v>
      </c>
      <c r="D81" s="1570"/>
      <c r="E81" s="1570" t="e">
        <f>E75+E80</f>
        <v>#REF!</v>
      </c>
      <c r="F81" s="1570"/>
      <c r="G81" s="1570" t="e">
        <f>G75+G80</f>
        <v>#REF!</v>
      </c>
    </row>
    <row r="82" spans="2:9" ht="17" thickTop="1"/>
    <row r="83" spans="2:9" s="1638" customFormat="1" ht="17" customHeight="1">
      <c r="B83" s="1564" t="s">
        <v>924</v>
      </c>
      <c r="C83" s="1565"/>
      <c r="D83" s="1565"/>
      <c r="E83" s="1565"/>
      <c r="F83" s="1642"/>
      <c r="G83" s="1641" t="e">
        <f>G84+G85</f>
        <v>#REF!</v>
      </c>
      <c r="H83" s="1613" t="s">
        <v>933</v>
      </c>
      <c r="I83" s="4" t="s">
        <v>932</v>
      </c>
    </row>
    <row r="84" spans="2:9" s="1649" customFormat="1" ht="17" customHeight="1">
      <c r="B84" s="1656" t="s">
        <v>962</v>
      </c>
      <c r="C84" s="1655" t="e">
        <f>C69*22%</f>
        <v>#REF!</v>
      </c>
      <c r="D84" s="1655"/>
      <c r="E84" s="1655" t="e">
        <f>E69*22%</f>
        <v>#REF!</v>
      </c>
      <c r="F84" s="1650"/>
      <c r="G84" s="1650" t="e">
        <f>G69*22%</f>
        <v>#REF!</v>
      </c>
      <c r="H84" s="1660" t="s">
        <v>926</v>
      </c>
    </row>
    <row r="85" spans="2:9" s="1638" customFormat="1" ht="17" customHeight="1">
      <c r="B85" s="1656" t="s">
        <v>922</v>
      </c>
      <c r="C85" s="1655" t="e">
        <f>C75*25%</f>
        <v>#REF!</v>
      </c>
      <c r="D85" s="1655"/>
      <c r="E85" s="1655" t="e">
        <f>E75*25%</f>
        <v>#REF!</v>
      </c>
      <c r="F85" s="1634"/>
      <c r="G85" s="1634" t="e">
        <f>G75*25%</f>
        <v>#REF!</v>
      </c>
      <c r="H85" s="1639"/>
    </row>
    <row r="86" spans="2:9" ht="17" customHeight="1">
      <c r="B86" s="1657" t="s">
        <v>934</v>
      </c>
      <c r="C86" s="1658" t="e">
        <f>C85-E85</f>
        <v>#REF!</v>
      </c>
      <c r="D86" s="1659"/>
      <c r="E86" s="1653"/>
      <c r="F86" s="922"/>
      <c r="G86" s="922"/>
      <c r="H86" s="1615"/>
    </row>
    <row r="87" spans="2:9" ht="17" customHeight="1">
      <c r="B87" s="1657"/>
      <c r="C87" s="1658"/>
      <c r="D87" s="1659"/>
      <c r="E87" s="1653"/>
      <c r="F87" s="922"/>
      <c r="G87" s="922"/>
      <c r="H87" s="1615"/>
    </row>
    <row r="88" spans="2:9" ht="51">
      <c r="B88" s="1703" t="s">
        <v>945</v>
      </c>
      <c r="C88" s="1704" t="str">
        <f>C3</f>
        <v>Биллинг Т</v>
      </c>
      <c r="D88" s="1548"/>
      <c r="E88" s="1548" t="str">
        <f>E3</f>
        <v>Биллинг МПС 
(с рекуррентами и ковенантами)</v>
      </c>
      <c r="F88" s="1548"/>
      <c r="G88" s="1548" t="str">
        <f>G3</f>
        <v>Биллинг МПС 
(без рекуррентов и ковенантов)</v>
      </c>
      <c r="H88" s="1616"/>
    </row>
    <row r="89" spans="2:9" ht="26">
      <c r="B89" s="1562" t="s">
        <v>946</v>
      </c>
      <c r="C89" s="1563"/>
      <c r="D89" s="1563"/>
      <c r="E89" s="1563"/>
      <c r="F89" s="1563"/>
      <c r="G89" s="1563"/>
    </row>
    <row r="90" spans="2:9">
      <c r="B90" s="1662" t="s">
        <v>575</v>
      </c>
      <c r="C90" s="1663" t="e">
        <f>C91+C94</f>
        <v>#REF!</v>
      </c>
      <c r="D90" s="1663"/>
      <c r="E90" s="1663" t="e">
        <f>E91+E94</f>
        <v>#REF!</v>
      </c>
      <c r="F90" s="1663"/>
      <c r="G90" s="1663" t="e">
        <f>G91+G94</f>
        <v>#REF!</v>
      </c>
      <c r="H90" s="1632"/>
    </row>
    <row r="91" spans="2:9">
      <c r="B91" s="1661" t="s">
        <v>942</v>
      </c>
      <c r="C91" s="1565" t="e">
        <f>SUM(C92:C93)</f>
        <v>#REF!</v>
      </c>
      <c r="D91" s="1565"/>
      <c r="E91" s="1565" t="e">
        <f>SUM(E92:E93)</f>
        <v>#REF!</v>
      </c>
      <c r="F91" s="1565"/>
      <c r="G91" s="1565" t="e">
        <f>SUM(G92:G93)</f>
        <v>#REF!</v>
      </c>
      <c r="H91" s="1632"/>
    </row>
    <row r="92" spans="2:9" ht="17">
      <c r="B92" s="1542" t="s">
        <v>851</v>
      </c>
      <c r="C92" s="1537" t="e">
        <f>C47</f>
        <v>#REF!</v>
      </c>
      <c r="D92" s="1537"/>
      <c r="E92" s="1537" t="e">
        <f>E47</f>
        <v>#REF!</v>
      </c>
      <c r="F92" s="1537"/>
      <c r="G92" s="1537" t="e">
        <f>G47</f>
        <v>#REF!</v>
      </c>
      <c r="H92" s="5" t="s">
        <v>941</v>
      </c>
    </row>
    <row r="93" spans="2:9" s="1636" customFormat="1" ht="17">
      <c r="B93" s="1694" t="s">
        <v>984</v>
      </c>
      <c r="C93" s="1709">
        <f>C48</f>
        <v>460000</v>
      </c>
      <c r="D93" s="1709"/>
      <c r="E93" s="1709">
        <f>E48</f>
        <v>460000</v>
      </c>
      <c r="F93" s="1701"/>
      <c r="G93" s="1701" t="e">
        <f>G48</f>
        <v>#REF!</v>
      </c>
      <c r="H93" s="1696" t="s">
        <v>989</v>
      </c>
    </row>
    <row r="94" spans="2:9">
      <c r="B94" s="1661" t="s">
        <v>865</v>
      </c>
      <c r="C94" s="1565" t="e">
        <f>C95</f>
        <v>#REF!</v>
      </c>
      <c r="D94" s="1565"/>
      <c r="E94" s="1565" t="e">
        <f>E95</f>
        <v>#REF!</v>
      </c>
      <c r="F94" s="1565"/>
      <c r="G94" s="1565" t="e">
        <f>G95</f>
        <v>#REF!</v>
      </c>
      <c r="H94" s="1632"/>
    </row>
    <row r="95" spans="2:9" ht="17">
      <c r="B95" s="1542" t="s">
        <v>903</v>
      </c>
      <c r="C95" s="1537" t="e">
        <f>C69</f>
        <v>#REF!</v>
      </c>
      <c r="D95" s="1537"/>
      <c r="E95" s="1537" t="e">
        <f>E69</f>
        <v>#REF!</v>
      </c>
      <c r="F95" s="1537"/>
      <c r="G95" s="1537" t="e">
        <f>G69</f>
        <v>#REF!</v>
      </c>
      <c r="H95" s="5" t="s">
        <v>947</v>
      </c>
    </row>
    <row r="96" spans="2:9">
      <c r="B96" s="1627"/>
      <c r="C96" s="324"/>
      <c r="D96" s="1537"/>
      <c r="E96" s="324"/>
      <c r="F96" s="1537"/>
      <c r="G96" s="324"/>
      <c r="H96" s="1640"/>
    </row>
    <row r="97" spans="2:8">
      <c r="B97" s="1662" t="s">
        <v>335</v>
      </c>
      <c r="C97" s="1663" t="e">
        <f>C98+C103</f>
        <v>#REF!</v>
      </c>
      <c r="D97" s="1663"/>
      <c r="E97" s="1663" t="e">
        <f>E98+E103</f>
        <v>#REF!</v>
      </c>
      <c r="F97" s="1663"/>
      <c r="G97" s="1663" t="e">
        <f>G98+G103</f>
        <v>#REF!</v>
      </c>
    </row>
    <row r="98" spans="2:8">
      <c r="B98" s="1661" t="s">
        <v>942</v>
      </c>
      <c r="C98" s="1565" t="e">
        <f>SUM(C99:C102)</f>
        <v>#REF!</v>
      </c>
      <c r="D98" s="1565"/>
      <c r="E98" s="1565" t="e">
        <f>SUM(E99:E102)</f>
        <v>#REF!</v>
      </c>
      <c r="F98" s="1565"/>
      <c r="G98" s="1565" t="e">
        <f>SUM(G99:G101)</f>
        <v>#REF!</v>
      </c>
      <c r="H98" s="1632"/>
    </row>
    <row r="99" spans="2:8">
      <c r="B99" s="1542" t="str">
        <f>B51</f>
        <v>Sales команда МПСтатс</v>
      </c>
      <c r="C99" s="1537">
        <f>C51</f>
        <v>50425005.288461544</v>
      </c>
      <c r="D99" s="1537"/>
      <c r="E99" s="1537">
        <f>E51</f>
        <v>50425005.288461544</v>
      </c>
      <c r="F99" s="1537"/>
      <c r="G99" s="1537">
        <f>G51</f>
        <v>50425005.288461544</v>
      </c>
    </row>
    <row r="100" spans="2:8" ht="17">
      <c r="B100" s="1542" t="s">
        <v>903</v>
      </c>
      <c r="C100" s="1537" t="e">
        <f>C52</f>
        <v>#REF!</v>
      </c>
      <c r="D100" s="1537"/>
      <c r="E100" s="1537" t="e">
        <f>E52</f>
        <v>#REF!</v>
      </c>
      <c r="F100" s="1537"/>
      <c r="G100" s="1537" t="e">
        <f>G52</f>
        <v>#REF!</v>
      </c>
      <c r="H100" s="5" t="s">
        <v>944</v>
      </c>
    </row>
    <row r="101" spans="2:8" s="1636" customFormat="1">
      <c r="B101" s="1694" t="s">
        <v>991</v>
      </c>
      <c r="C101" s="1695">
        <f>C53</f>
        <v>360000</v>
      </c>
      <c r="D101" s="1695"/>
      <c r="E101" s="1695">
        <f>E53</f>
        <v>360000</v>
      </c>
      <c r="F101" s="1705"/>
      <c r="G101" s="1705">
        <f>G53</f>
        <v>360000</v>
      </c>
      <c r="H101" s="1706"/>
    </row>
    <row r="102" spans="2:8" s="1636" customFormat="1">
      <c r="B102" s="1541" t="s">
        <v>1003</v>
      </c>
      <c r="C102" s="1695">
        <f>C54</f>
        <v>8352000</v>
      </c>
      <c r="D102" s="1695"/>
      <c r="E102" s="1695">
        <f>E54</f>
        <v>4176000</v>
      </c>
      <c r="F102" s="1705"/>
      <c r="G102" s="1705"/>
      <c r="H102" s="1706"/>
    </row>
    <row r="103" spans="2:8">
      <c r="B103" s="1661" t="s">
        <v>865</v>
      </c>
      <c r="C103" s="1565" t="e">
        <f>SUM(C104:C105)</f>
        <v>#REF!</v>
      </c>
      <c r="D103" s="1565"/>
      <c r="E103" s="1565" t="e">
        <f>SUM(E104:E105)</f>
        <v>#REF!</v>
      </c>
      <c r="F103" s="1565"/>
      <c r="G103" s="1565" t="e">
        <f>SUM(G104:G105)</f>
        <v>#REF!</v>
      </c>
      <c r="H103" s="1632"/>
    </row>
    <row r="104" spans="2:8" ht="17">
      <c r="B104" s="1542" t="s">
        <v>902</v>
      </c>
      <c r="C104" s="1537">
        <f>C72</f>
        <v>460000</v>
      </c>
      <c r="D104" s="1537"/>
      <c r="E104" s="1537">
        <f>E72</f>
        <v>460000</v>
      </c>
      <c r="F104" s="1537"/>
      <c r="G104" s="1537" t="e">
        <f>G72</f>
        <v>#REF!</v>
      </c>
      <c r="H104" s="5" t="s">
        <v>971</v>
      </c>
    </row>
    <row r="105" spans="2:8">
      <c r="B105" s="1542" t="s">
        <v>903</v>
      </c>
      <c r="C105" s="1537" t="e">
        <f>C73</f>
        <v>#REF!</v>
      </c>
      <c r="D105" s="1537"/>
      <c r="E105" s="1537" t="e">
        <f>E73</f>
        <v>#REF!</v>
      </c>
      <c r="F105" s="1537"/>
      <c r="G105" s="1537" t="e">
        <f>G73</f>
        <v>#REF!</v>
      </c>
      <c r="H105" t="s">
        <v>972</v>
      </c>
    </row>
    <row r="107" spans="2:8" ht="17" thickBot="1">
      <c r="B107" s="1566" t="s">
        <v>970</v>
      </c>
      <c r="C107" s="1555" t="e">
        <f>C90-C97</f>
        <v>#REF!</v>
      </c>
      <c r="D107" s="1555"/>
      <c r="E107" s="1555" t="e">
        <f>E90-E97</f>
        <v>#REF!</v>
      </c>
      <c r="F107" s="1555"/>
      <c r="G107" s="1555" t="e">
        <f>G90-G97</f>
        <v>#REF!</v>
      </c>
    </row>
    <row r="108" spans="2:8" ht="17" thickTop="1">
      <c r="B108" s="1627" t="s">
        <v>961</v>
      </c>
      <c r="C108" s="1628" t="e">
        <f>C107/C90</f>
        <v>#REF!</v>
      </c>
      <c r="D108" s="1629"/>
      <c r="E108" s="1628" t="e">
        <f>E107/E90</f>
        <v>#REF!</v>
      </c>
      <c r="H108"/>
    </row>
    <row r="109" spans="2:8">
      <c r="B109" s="1670" t="s">
        <v>975</v>
      </c>
      <c r="C109" s="1654" t="e">
        <f>C91-C98</f>
        <v>#REF!</v>
      </c>
      <c r="D109" s="1654"/>
      <c r="E109" s="1654" t="e">
        <f>E91-E98</f>
        <v>#REF!</v>
      </c>
      <c r="F109" s="1662"/>
      <c r="H109"/>
    </row>
    <row r="110" spans="2:8">
      <c r="B110" s="1670" t="s">
        <v>966</v>
      </c>
      <c r="C110" s="1654" t="e">
        <f>C94-C103</f>
        <v>#REF!</v>
      </c>
      <c r="D110" s="1654"/>
      <c r="E110" s="1654" t="e">
        <f>E94-E103</f>
        <v>#REF!</v>
      </c>
      <c r="F110" s="1662"/>
      <c r="H110"/>
    </row>
    <row r="111" spans="2:8" ht="17" thickBot="1">
      <c r="B111" s="1729" t="s">
        <v>967</v>
      </c>
      <c r="C111" s="1555" t="e">
        <f>C80</f>
        <v>#REF!</v>
      </c>
      <c r="D111" s="1555"/>
      <c r="E111" s="1555" t="e">
        <f>E80</f>
        <v>#REF!</v>
      </c>
      <c r="F111" s="1662"/>
      <c r="H111" t="s">
        <v>969</v>
      </c>
    </row>
    <row r="112" spans="2:8" ht="18" thickTop="1" thickBot="1">
      <c r="B112" s="1727" t="s">
        <v>968</v>
      </c>
      <c r="C112" s="1728" t="e">
        <f>SUM(C109:C111)</f>
        <v>#REF!</v>
      </c>
      <c r="D112" s="1728"/>
      <c r="E112" s="1728" t="e">
        <f>SUM(E109:E111)</f>
        <v>#REF!</v>
      </c>
      <c r="F112" s="1662"/>
      <c r="H112"/>
    </row>
    <row r="113" spans="2:8" ht="17" thickTop="1">
      <c r="B113" s="165" t="s">
        <v>976</v>
      </c>
      <c r="C113" s="1731" t="e">
        <f>(C112-E112)/E112</f>
        <v>#REF!</v>
      </c>
      <c r="E113" s="1682"/>
      <c r="H113"/>
    </row>
    <row r="114" spans="2:8">
      <c r="B114" s="1575"/>
      <c r="C114" s="1731"/>
      <c r="E114" s="1682"/>
      <c r="H114"/>
    </row>
    <row r="115" spans="2:8" ht="50" customHeight="1" thickBot="1">
      <c r="B115" s="1703"/>
      <c r="C115" s="1704" t="str">
        <f>C88</f>
        <v>Биллинг Т</v>
      </c>
      <c r="D115" s="1548"/>
      <c r="E115" s="1548" t="str">
        <f>E88</f>
        <v>Биллинг МПС 
(с рекуррентами и ковенантами)</v>
      </c>
      <c r="H115"/>
    </row>
    <row r="116" spans="2:8" ht="21">
      <c r="B116" s="1667" t="s">
        <v>957</v>
      </c>
      <c r="C116" s="1668" t="e">
        <f>C92</f>
        <v>#REF!</v>
      </c>
      <c r="D116" s="1668"/>
      <c r="E116" s="1669" t="e">
        <f>E92</f>
        <v>#REF!</v>
      </c>
      <c r="F116" s="1666">
        <f t="shared" ref="F116:G116" si="0">F92</f>
        <v>0</v>
      </c>
      <c r="G116" s="1663" t="e">
        <f t="shared" si="0"/>
        <v>#REF!</v>
      </c>
      <c r="H116" s="1540" t="s">
        <v>960</v>
      </c>
    </row>
    <row r="117" spans="2:8">
      <c r="B117" s="1670" t="s">
        <v>956</v>
      </c>
      <c r="C117" s="1654" t="e">
        <f>C116-C119</f>
        <v>#REF!</v>
      </c>
      <c r="D117" s="1654"/>
      <c r="E117" s="1671" t="e">
        <f>E116-E119</f>
        <v>#REF!</v>
      </c>
      <c r="F117" s="1662"/>
      <c r="H117"/>
    </row>
    <row r="118" spans="2:8">
      <c r="B118" s="1672" t="s">
        <v>958</v>
      </c>
      <c r="C118" s="1665" t="e">
        <f>C117/C$116</f>
        <v>#REF!</v>
      </c>
      <c r="D118" s="1665"/>
      <c r="E118" s="1673" t="e">
        <f>E117/E$116</f>
        <v>#REF!</v>
      </c>
      <c r="H118"/>
    </row>
    <row r="119" spans="2:8">
      <c r="B119" s="1670" t="s">
        <v>955</v>
      </c>
      <c r="C119" s="1654" t="e">
        <f>C95</f>
        <v>#REF!</v>
      </c>
      <c r="D119" s="1654"/>
      <c r="E119" s="1671" t="e">
        <f>E95</f>
        <v>#REF!</v>
      </c>
      <c r="F119" s="1662"/>
      <c r="H119"/>
    </row>
    <row r="120" spans="2:8" ht="17" thickBot="1">
      <c r="B120" s="1674" t="s">
        <v>959</v>
      </c>
      <c r="C120" s="1675" t="e">
        <f>C119/C$116</f>
        <v>#REF!</v>
      </c>
      <c r="D120" s="1675"/>
      <c r="E120" s="1676" t="e">
        <f>E119/E$116</f>
        <v>#REF!</v>
      </c>
    </row>
    <row r="121" spans="2:8">
      <c r="B121" s="1664"/>
    </row>
    <row r="122" spans="2:8">
      <c r="B122" s="1552" t="s">
        <v>949</v>
      </c>
      <c r="C122" s="1553"/>
      <c r="D122" s="1553"/>
      <c r="E122" s="1553"/>
      <c r="H122" s="1613"/>
    </row>
    <row r="123" spans="2:8" ht="17">
      <c r="B123" s="1718" t="s">
        <v>954</v>
      </c>
      <c r="C123" s="1719"/>
      <c r="D123" s="1719"/>
      <c r="E123" s="1720"/>
      <c r="H123" s="1693" t="s">
        <v>963</v>
      </c>
    </row>
    <row r="124" spans="2:8" ht="17">
      <c r="B124" s="1721" t="s">
        <v>950</v>
      </c>
      <c r="C124" s="1722">
        <f>C62</f>
        <v>79200</v>
      </c>
      <c r="D124" s="1722"/>
      <c r="E124" s="1723">
        <f>E62</f>
        <v>79200</v>
      </c>
      <c r="H124" s="1677" t="s">
        <v>965</v>
      </c>
    </row>
    <row r="125" spans="2:8">
      <c r="B125" s="1724" t="s">
        <v>951</v>
      </c>
      <c r="C125" s="1725" t="e">
        <f>C84</f>
        <v>#REF!</v>
      </c>
      <c r="D125" s="1725"/>
      <c r="E125" s="1726" t="e">
        <f>E84</f>
        <v>#REF!</v>
      </c>
    </row>
    <row r="126" spans="2:8">
      <c r="B126" s="1718" t="s">
        <v>948</v>
      </c>
      <c r="C126" s="1719" t="e">
        <f>SUM(C127:C128)</f>
        <v>#REF!</v>
      </c>
      <c r="D126" s="1719"/>
      <c r="E126" s="1720" t="e">
        <f>SUM(E127:E128)</f>
        <v>#REF!</v>
      </c>
      <c r="F126" s="1651"/>
      <c r="G126" s="1652" t="e">
        <f>G83+G61</f>
        <v>#REF!</v>
      </c>
    </row>
    <row r="127" spans="2:8" ht="17">
      <c r="B127" s="1721" t="s">
        <v>952</v>
      </c>
      <c r="C127" s="1722" t="e">
        <f>C63</f>
        <v>#REF!</v>
      </c>
      <c r="D127" s="1722"/>
      <c r="E127" s="1723" t="e">
        <f>E63</f>
        <v>#REF!</v>
      </c>
      <c r="F127" s="1651"/>
      <c r="G127" s="1652"/>
      <c r="H127" s="1677" t="s">
        <v>964</v>
      </c>
    </row>
    <row r="128" spans="2:8">
      <c r="B128" s="1724" t="s">
        <v>953</v>
      </c>
      <c r="C128" s="1725" t="e">
        <f>C85</f>
        <v>#REF!</v>
      </c>
      <c r="D128" s="1725"/>
      <c r="E128" s="1726" t="e">
        <f>E85</f>
        <v>#REF!</v>
      </c>
      <c r="F128" s="1651"/>
      <c r="G128" s="1652"/>
    </row>
    <row r="129" spans="2:8" s="1575" customFormat="1">
      <c r="B129" s="165" t="s">
        <v>973</v>
      </c>
      <c r="C129" s="1730" t="e">
        <f>(C126-E126)/E126</f>
        <v>#REF!</v>
      </c>
      <c r="E129" s="1689"/>
      <c r="H129" s="1690"/>
    </row>
    <row r="130" spans="2:8">
      <c r="E130" s="1680"/>
    </row>
    <row r="131" spans="2:8" ht="48">
      <c r="B131" s="165" t="s">
        <v>992</v>
      </c>
      <c r="C131" s="1658" t="e">
        <f>C113-C129</f>
        <v>#REF!</v>
      </c>
      <c r="H131" s="1691" t="s">
        <v>974</v>
      </c>
    </row>
    <row r="132" spans="2:8">
      <c r="H132" s="1688"/>
    </row>
  </sheetData>
  <mergeCells count="1">
    <mergeCell ref="B2:B3"/>
  </mergeCells>
  <conditionalFormatting sqref="B70">
    <cfRule type="cellIs" dxfId="23" priority="15" operator="lessThan">
      <formula>0</formula>
    </cfRule>
  </conditionalFormatting>
  <conditionalFormatting sqref="B86 D86:E86 B87:E87">
    <cfRule type="cellIs" dxfId="22" priority="16" operator="lessThan">
      <formula>0</formula>
    </cfRule>
  </conditionalFormatting>
  <conditionalFormatting sqref="B96">
    <cfRule type="cellIs" dxfId="21" priority="14" operator="lessThan">
      <formula>0</formula>
    </cfRule>
  </conditionalFormatting>
  <conditionalFormatting sqref="B108">
    <cfRule type="cellIs" dxfId="20" priority="11" operator="lessThan">
      <formula>0</formula>
    </cfRule>
  </conditionalFormatting>
  <conditionalFormatting sqref="B113:B114">
    <cfRule type="cellIs" dxfId="19" priority="9" operator="lessThan">
      <formula>0</formula>
    </cfRule>
  </conditionalFormatting>
  <conditionalFormatting sqref="B57:G57 B76:G77">
    <cfRule type="cellIs" dxfId="18" priority="21" operator="lessThan">
      <formula>0</formula>
    </cfRule>
  </conditionalFormatting>
  <conditionalFormatting sqref="B59:G60 F61:G63 B64 D64:G64">
    <cfRule type="cellIs" dxfId="17" priority="18" operator="lessThan">
      <formula>0</formula>
    </cfRule>
  </conditionalFormatting>
  <conditionalFormatting sqref="C86">
    <cfRule type="cellIs" dxfId="16" priority="1" operator="lessThan">
      <formula>$C$87</formula>
    </cfRule>
  </conditionalFormatting>
  <conditionalFormatting sqref="C118 C120 E118 E120">
    <cfRule type="dataBar" priority="12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{7CB86AD6-0A07-474B-A3C4-FFFB3E929681}</x14:id>
        </ext>
      </extLst>
    </cfRule>
  </conditionalFormatting>
  <conditionalFormatting sqref="C56:G60 B78">
    <cfRule type="cellIs" dxfId="15" priority="19" operator="lessThan">
      <formula>0</formula>
    </cfRule>
  </conditionalFormatting>
  <conditionalFormatting sqref="C75:G75">
    <cfRule type="cellIs" dxfId="14" priority="20" operator="lessThan">
      <formula>0</formula>
    </cfRule>
  </conditionalFormatting>
  <conditionalFormatting sqref="C107:G107">
    <cfRule type="cellIs" dxfId="13" priority="13" operator="lessThan">
      <formula>0</formula>
    </cfRule>
  </conditionalFormatting>
  <conditionalFormatting sqref="F83:G85">
    <cfRule type="cellIs" dxfId="12" priority="17" operator="lessThan">
      <formula>0</formula>
    </cfRule>
  </conditionalFormatting>
  <dataValidations count="1">
    <dataValidation type="list" allowBlank="1" showInputMessage="1" showErrorMessage="1" sqref="L44" xr:uid="{9E8756C4-B744-F84E-8593-E43025176136}">
      <formula1>"1,2"</formula1>
    </dataValidation>
  </dataValidations>
  <pageMargins left="0.7" right="0.7" top="0.75" bottom="0.75" header="0.3" footer="0.3"/>
  <pageSetup paperSize="9" orientation="portrait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CB86AD6-0A07-474B-A3C4-FFFB3E92968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C118 C120 E118 E120</xm:sqref>
        </x14:conditionalFormatting>
      </x14:conditionalFormatting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AF8091-E76A-444E-971F-9A01A6CF1CCF}">
  <sheetPr codeName="Лист6">
    <tabColor theme="0" tint="-0.34998626667073579"/>
  </sheetPr>
  <dimension ref="A1:M121"/>
  <sheetViews>
    <sheetView showGridLines="0" topLeftCell="B1" zoomScaleNormal="100" workbookViewId="0">
      <pane ySplit="3" topLeftCell="A8" activePane="bottomLeft" state="frozen"/>
      <selection activeCell="B1" sqref="B1"/>
      <selection pane="bottomLeft" activeCell="C106" sqref="C106"/>
    </sheetView>
  </sheetViews>
  <sheetFormatPr baseColWidth="10" defaultColWidth="10.6640625" defaultRowHeight="16" outlineLevelRow="1" outlineLevelCol="1"/>
  <cols>
    <col min="1" max="1" width="70.6640625" hidden="1" customWidth="1" outlineLevel="1"/>
    <col min="2" max="2" width="55.5" customWidth="1" collapsed="1"/>
    <col min="3" max="3" width="19.1640625" customWidth="1"/>
    <col min="4" max="4" width="1.1640625" customWidth="1"/>
    <col min="5" max="5" width="19.1640625" customWidth="1"/>
    <col min="6" max="6" width="1.33203125" customWidth="1" outlineLevel="1"/>
    <col min="7" max="7" width="17.6640625" customWidth="1" outlineLevel="1"/>
    <col min="8" max="8" width="81.5" style="5" customWidth="1"/>
    <col min="9" max="9" width="41.83203125" customWidth="1"/>
    <col min="10" max="11" width="3.33203125" customWidth="1"/>
  </cols>
  <sheetData>
    <row r="1" spans="1:10" ht="12.5" customHeight="1">
      <c r="B1" s="1561"/>
      <c r="C1" s="1622"/>
      <c r="D1" s="1622"/>
      <c r="E1" s="1622"/>
      <c r="F1" s="1622"/>
      <c r="G1" s="1622"/>
      <c r="H1" s="1626" t="s">
        <v>864</v>
      </c>
      <c r="I1" s="7" t="s">
        <v>917</v>
      </c>
    </row>
    <row r="2" spans="1:10">
      <c r="B2" s="2109"/>
      <c r="C2" s="1547" t="s">
        <v>822</v>
      </c>
      <c r="D2" s="1547"/>
      <c r="E2" s="1547" t="s">
        <v>825</v>
      </c>
      <c r="F2" s="1547"/>
      <c r="G2" s="1547" t="s">
        <v>826</v>
      </c>
    </row>
    <row r="3" spans="1:10" s="5" customFormat="1" ht="69" customHeight="1">
      <c r="B3" s="2109"/>
      <c r="C3" s="1548" t="s">
        <v>823</v>
      </c>
      <c r="D3" s="1548"/>
      <c r="E3" s="1548" t="s">
        <v>866</v>
      </c>
      <c r="F3" s="1548"/>
      <c r="G3" s="1548" t="s">
        <v>860</v>
      </c>
    </row>
    <row r="4" spans="1:10" ht="19">
      <c r="A4" s="1022" t="s">
        <v>792</v>
      </c>
      <c r="B4" s="1549" t="s">
        <v>824</v>
      </c>
      <c r="C4" s="1550" t="e">
        <f>Воронка!#REF!</f>
        <v>#REF!</v>
      </c>
      <c r="D4" s="1550"/>
      <c r="E4" s="1550" t="e">
        <f>Воронка!#REF!</f>
        <v>#REF!</v>
      </c>
      <c r="F4" s="1550"/>
      <c r="G4" s="1550" t="e">
        <f>Воронка!#REF!</f>
        <v>#REF!</v>
      </c>
    </row>
    <row r="5" spans="1:10">
      <c r="C5" s="1537"/>
      <c r="D5" s="1537"/>
      <c r="E5" s="1537"/>
      <c r="F5" s="1537"/>
      <c r="G5" s="1537"/>
    </row>
    <row r="6" spans="1:10" ht="26">
      <c r="B6" s="1561" t="s">
        <v>788</v>
      </c>
      <c r="C6" s="1648"/>
      <c r="D6" s="1648"/>
      <c r="E6" s="1648"/>
      <c r="F6" s="1648"/>
      <c r="G6" s="1648"/>
    </row>
    <row r="7" spans="1:10" ht="19">
      <c r="B7" s="1560" t="s">
        <v>834</v>
      </c>
      <c r="C7" s="1551"/>
      <c r="D7" s="1551"/>
      <c r="E7" s="1551"/>
      <c r="F7" s="1551"/>
      <c r="G7" s="1551"/>
      <c r="I7" s="1535"/>
      <c r="J7" s="1535"/>
    </row>
    <row r="8" spans="1:10" ht="34">
      <c r="B8" s="1552" t="s">
        <v>831</v>
      </c>
      <c r="C8" s="1554" t="s">
        <v>862</v>
      </c>
      <c r="D8" s="1552"/>
      <c r="E8" s="1554" t="s">
        <v>862</v>
      </c>
      <c r="F8" s="1552"/>
      <c r="G8" s="1554" t="s">
        <v>862</v>
      </c>
      <c r="I8" s="1535"/>
      <c r="J8" s="1535"/>
    </row>
    <row r="9" spans="1:10" ht="34">
      <c r="A9" s="1543" t="s">
        <v>806</v>
      </c>
      <c r="B9" s="1541" t="s">
        <v>827</v>
      </c>
      <c r="C9" s="1537" t="e">
        <f>Воронка!#REF!</f>
        <v>#REF!</v>
      </c>
      <c r="D9" s="1537"/>
      <c r="E9" s="1537" t="e">
        <f>Воронка!#REF!</f>
        <v>#REF!</v>
      </c>
      <c r="F9" s="1537"/>
      <c r="G9" s="1537" t="e">
        <f>Воронка!#REF!</f>
        <v>#REF!</v>
      </c>
      <c r="H9" s="1613" t="s">
        <v>867</v>
      </c>
      <c r="I9" s="1613" t="s">
        <v>918</v>
      </c>
    </row>
    <row r="10" spans="1:10" ht="19">
      <c r="A10" s="1544" t="s">
        <v>805</v>
      </c>
      <c r="B10" s="1541" t="s">
        <v>828</v>
      </c>
      <c r="C10" s="1537" t="e">
        <f>Воронка!#REF!</f>
        <v>#REF!</v>
      </c>
      <c r="D10" s="1537"/>
      <c r="E10" s="1537" t="e">
        <f>Воронка!#REF!</f>
        <v>#REF!</v>
      </c>
      <c r="F10" s="1537"/>
      <c r="G10" s="1537" t="e">
        <f>Воронка!#REF!</f>
        <v>#REF!</v>
      </c>
      <c r="H10" s="5" t="s">
        <v>829</v>
      </c>
    </row>
    <row r="11" spans="1:10" ht="20" thickBot="1">
      <c r="A11" s="39" t="s">
        <v>804</v>
      </c>
      <c r="B11" s="1559" t="s">
        <v>847</v>
      </c>
      <c r="C11" s="1557" t="e">
        <f>C9+C10</f>
        <v>#REF!</v>
      </c>
      <c r="D11" s="1557"/>
      <c r="E11" s="1557" t="e">
        <f>E9+E10</f>
        <v>#REF!</v>
      </c>
      <c r="F11" s="1557"/>
      <c r="G11" s="1557" t="e">
        <f>G9+G10</f>
        <v>#REF!</v>
      </c>
      <c r="H11" s="1614" t="s">
        <v>830</v>
      </c>
    </row>
    <row r="12" spans="1:10" ht="20" thickTop="1">
      <c r="A12" s="139"/>
      <c r="B12" s="1538" t="s">
        <v>854</v>
      </c>
      <c r="C12" s="1539" t="e">
        <f>C11/C$4</f>
        <v>#REF!</v>
      </c>
      <c r="D12" s="1540"/>
      <c r="E12" s="1539" t="e">
        <f>E11/E$4</f>
        <v>#REF!</v>
      </c>
      <c r="F12" s="1540"/>
      <c r="G12" s="1539" t="e">
        <f>G11/G$4</f>
        <v>#REF!</v>
      </c>
    </row>
    <row r="13" spans="1:10" ht="19">
      <c r="A13" s="139"/>
      <c r="B13" s="1560" t="s">
        <v>833</v>
      </c>
      <c r="C13" s="1549"/>
      <c r="D13" s="1549"/>
      <c r="E13" s="1549"/>
      <c r="F13" s="1549"/>
      <c r="G13" s="1549"/>
    </row>
    <row r="14" spans="1:10" ht="51">
      <c r="A14" s="2"/>
      <c r="B14" s="1552" t="s">
        <v>831</v>
      </c>
      <c r="C14" s="1554" t="s">
        <v>832</v>
      </c>
      <c r="D14" s="1552"/>
      <c r="E14" s="1554" t="s">
        <v>845</v>
      </c>
      <c r="F14" s="1552"/>
      <c r="G14" s="1554" t="s">
        <v>845</v>
      </c>
    </row>
    <row r="15" spans="1:10" ht="19">
      <c r="A15" s="1545" t="s">
        <v>786</v>
      </c>
      <c r="B15" s="1552" t="s">
        <v>835</v>
      </c>
      <c r="C15" s="1553" t="e">
        <f>SUM(C16:C18)</f>
        <v>#REF!</v>
      </c>
      <c r="D15" s="1553"/>
      <c r="E15" s="1553" t="e">
        <f>SUM(E16:E18)</f>
        <v>#REF!</v>
      </c>
      <c r="F15" s="1553"/>
      <c r="G15" s="1553" t="e">
        <f>SUM(G16:G18)</f>
        <v>#REF!</v>
      </c>
    </row>
    <row r="16" spans="1:10" ht="19">
      <c r="A16" s="992" t="s">
        <v>808</v>
      </c>
      <c r="B16" s="1542" t="s">
        <v>836</v>
      </c>
      <c r="C16" s="1537" t="e">
        <f>Воронка!#REF!</f>
        <v>#REF!</v>
      </c>
      <c r="D16" s="1537"/>
      <c r="E16" s="1537" t="e">
        <f>Воронка!#REF!</f>
        <v>#REF!</v>
      </c>
      <c r="F16" s="1537"/>
      <c r="G16" s="1537" t="e">
        <f>Воронка!#REF!</f>
        <v>#REF!</v>
      </c>
      <c r="H16" s="5" t="s">
        <v>837</v>
      </c>
    </row>
    <row r="17" spans="1:8" ht="19">
      <c r="A17" s="992" t="s">
        <v>809</v>
      </c>
      <c r="B17" s="1542" t="s">
        <v>839</v>
      </c>
      <c r="C17" s="1537" t="e">
        <f>Воронка!#REF!</f>
        <v>#REF!</v>
      </c>
      <c r="D17" s="1537"/>
      <c r="E17" s="1537" t="e">
        <f>Воронка!#REF!</f>
        <v>#REF!</v>
      </c>
      <c r="F17" s="1537"/>
      <c r="G17" s="1537" t="e">
        <f>Воронка!#REF!</f>
        <v>#REF!</v>
      </c>
      <c r="H17" s="5" t="s">
        <v>838</v>
      </c>
    </row>
    <row r="18" spans="1:8" ht="19">
      <c r="A18" s="992" t="s">
        <v>811</v>
      </c>
      <c r="B18" s="1542" t="s">
        <v>840</v>
      </c>
      <c r="C18" s="1537" t="e">
        <f>Воронка!#REF!</f>
        <v>#REF!</v>
      </c>
      <c r="D18" s="1537"/>
      <c r="E18" s="1537" t="e">
        <f>Воронка!#REF!</f>
        <v>#REF!</v>
      </c>
      <c r="F18" s="1537"/>
      <c r="G18" s="1537" t="e">
        <f>Воронка!#REF!</f>
        <v>#REF!</v>
      </c>
      <c r="H18" s="5" t="s">
        <v>901</v>
      </c>
    </row>
    <row r="19" spans="1:8" ht="19">
      <c r="A19" s="1494" t="s">
        <v>785</v>
      </c>
      <c r="B19" s="1552" t="s">
        <v>841</v>
      </c>
      <c r="C19" s="1553" t="e">
        <f>SUM(C20:C22)</f>
        <v>#REF!</v>
      </c>
      <c r="D19" s="1553"/>
      <c r="E19" s="1553" t="e">
        <f>SUM(E20:E22)</f>
        <v>#REF!</v>
      </c>
      <c r="F19" s="1553"/>
      <c r="G19" s="1553" t="e">
        <f>SUM(G20:G22)</f>
        <v>#REF!</v>
      </c>
    </row>
    <row r="20" spans="1:8" ht="19">
      <c r="A20" s="39" t="s">
        <v>782</v>
      </c>
      <c r="B20" s="1542" t="s">
        <v>782</v>
      </c>
      <c r="C20" s="1537" t="e">
        <f>Воронка!#REF!</f>
        <v>#REF!</v>
      </c>
      <c r="D20" s="1537"/>
      <c r="E20" s="1537" t="e">
        <f>Воронка!#REF!</f>
        <v>#REF!</v>
      </c>
      <c r="F20" s="1537"/>
      <c r="G20" s="1537" t="e">
        <f>Воронка!#REF!</f>
        <v>#REF!</v>
      </c>
    </row>
    <row r="21" spans="1:8" ht="19">
      <c r="A21" s="841" t="s">
        <v>783</v>
      </c>
      <c r="B21" s="1542" t="s">
        <v>783</v>
      </c>
      <c r="C21" s="1537" t="e">
        <f>Воронка!#REF!</f>
        <v>#REF!</v>
      </c>
      <c r="D21" s="1537"/>
      <c r="E21" s="1537" t="e">
        <f>Воронка!#REF!</f>
        <v>#REF!</v>
      </c>
      <c r="F21" s="1537"/>
      <c r="G21" s="1537" t="e">
        <f>Воронка!#REF!</f>
        <v>#REF!</v>
      </c>
      <c r="H21" s="5" t="s">
        <v>849</v>
      </c>
    </row>
    <row r="22" spans="1:8" ht="19">
      <c r="A22" s="2"/>
      <c r="B22" s="1542" t="s">
        <v>842</v>
      </c>
      <c r="C22" s="1537" t="e">
        <f>Воронка!#REF!-Воронка!#REF!</f>
        <v>#REF!</v>
      </c>
      <c r="D22" s="1537"/>
      <c r="E22" s="1537"/>
      <c r="F22" s="1537"/>
      <c r="G22" s="1537"/>
    </row>
    <row r="23" spans="1:8" ht="19">
      <c r="A23" s="1545" t="s">
        <v>810</v>
      </c>
      <c r="B23" s="1552" t="s">
        <v>900</v>
      </c>
      <c r="C23" s="1553" t="e">
        <f>Воронка!#REF!-ИТОГ_v1!C22</f>
        <v>#REF!</v>
      </c>
      <c r="D23" s="1553"/>
      <c r="E23" s="1553" t="e">
        <f>Воронка!#REF!</f>
        <v>#REF!</v>
      </c>
      <c r="F23" s="1553"/>
      <c r="G23" s="1553" t="e">
        <f>Воронка!#REF!</f>
        <v>#REF!</v>
      </c>
    </row>
    <row r="24" spans="1:8" ht="19">
      <c r="A24" s="304" t="s">
        <v>784</v>
      </c>
      <c r="B24" s="1552" t="s">
        <v>844</v>
      </c>
      <c r="C24" s="1553" t="e">
        <f>Воронка!#REF!</f>
        <v>#REF!</v>
      </c>
      <c r="D24" s="1553"/>
      <c r="E24" s="1553" t="e">
        <f>Воронка!#REF!</f>
        <v>#REF!</v>
      </c>
      <c r="F24" s="1553"/>
      <c r="G24" s="1553" t="e">
        <f>Воронка!#REF!</f>
        <v>#REF!</v>
      </c>
      <c r="H24" s="5" t="s">
        <v>843</v>
      </c>
    </row>
    <row r="25" spans="1:8" ht="17" thickBot="1">
      <c r="B25" s="1567" t="s">
        <v>846</v>
      </c>
      <c r="C25" s="1568" t="e">
        <f>SUM(C15,C19,C23,C24)</f>
        <v>#REF!</v>
      </c>
      <c r="D25" s="1569"/>
      <c r="E25" s="1568" t="e">
        <f>SUM(E15,E19,E23,E24)</f>
        <v>#REF!</v>
      </c>
      <c r="F25" s="1569"/>
      <c r="G25" s="1568" t="e">
        <f>SUM(G15,G19,G23,G24)</f>
        <v>#REF!</v>
      </c>
    </row>
    <row r="26" spans="1:8" ht="18" thickTop="1">
      <c r="B26" s="1617" t="s">
        <v>856</v>
      </c>
      <c r="C26" s="1624">
        <v>0.1</v>
      </c>
      <c r="D26" s="1546"/>
      <c r="E26" s="1624">
        <f>C26</f>
        <v>0.1</v>
      </c>
      <c r="F26" s="1546"/>
      <c r="G26" s="1624">
        <f>C26</f>
        <v>0.1</v>
      </c>
      <c r="H26" s="1613" t="s">
        <v>914</v>
      </c>
    </row>
    <row r="27" spans="1:8">
      <c r="B27" s="1538"/>
      <c r="C27" s="1539"/>
      <c r="D27" s="1540"/>
      <c r="E27" s="1539"/>
      <c r="F27" s="1540"/>
      <c r="G27" s="1539"/>
      <c r="H27" s="1613"/>
    </row>
    <row r="28" spans="1:8" ht="18" thickBot="1">
      <c r="B28" s="1556" t="s">
        <v>858</v>
      </c>
      <c r="C28" s="1557" t="e">
        <f>C25*(1+C26)</f>
        <v>#REF!</v>
      </c>
      <c r="D28" s="1557"/>
      <c r="E28" s="1557" t="e">
        <f>E25*(1+E26)</f>
        <v>#REF!</v>
      </c>
      <c r="F28" s="1557"/>
      <c r="G28" s="1557" t="e">
        <f>G25*(1+G26)</f>
        <v>#REF!</v>
      </c>
      <c r="H28" s="1614" t="s">
        <v>848</v>
      </c>
    </row>
    <row r="29" spans="1:8" ht="17" thickTop="1">
      <c r="B29" s="1538" t="s">
        <v>915</v>
      </c>
      <c r="C29" s="1618" t="e">
        <f>C28/C$4</f>
        <v>#REF!</v>
      </c>
      <c r="D29" s="1546"/>
      <c r="E29" s="1618" t="e">
        <f>E28/E$4</f>
        <v>#REF!</v>
      </c>
      <c r="F29" s="1546"/>
      <c r="G29" s="1618" t="e">
        <f>G28/G$4</f>
        <v>#REF!</v>
      </c>
    </row>
    <row r="31" spans="1:8" ht="18" thickBot="1">
      <c r="B31" s="1556" t="s">
        <v>859</v>
      </c>
      <c r="C31" s="1558" t="e">
        <f>C4*C32</f>
        <v>#REF!</v>
      </c>
      <c r="D31" s="1559"/>
      <c r="E31" s="1558" t="e">
        <f>E4*E32</f>
        <v>#REF!</v>
      </c>
      <c r="F31" s="1559"/>
      <c r="G31" s="1558" t="e">
        <f>G4*G32</f>
        <v>#REF!</v>
      </c>
      <c r="H31" s="1614" t="s">
        <v>848</v>
      </c>
    </row>
    <row r="32" spans="1:8" ht="18" thickTop="1">
      <c r="B32" s="1538" t="s">
        <v>857</v>
      </c>
      <c r="C32" s="1621">
        <v>0.27</v>
      </c>
      <c r="D32" s="1623"/>
      <c r="E32" s="1621">
        <v>0.2</v>
      </c>
      <c r="F32" s="1623"/>
      <c r="G32" s="1621">
        <v>0.2</v>
      </c>
      <c r="H32" s="1633" t="s">
        <v>930</v>
      </c>
    </row>
    <row r="33" spans="2:13" ht="18" thickBot="1">
      <c r="H33" s="5" t="s">
        <v>919</v>
      </c>
    </row>
    <row r="34" spans="2:13" ht="54" thickBot="1">
      <c r="B34" s="1561" t="s">
        <v>850</v>
      </c>
      <c r="C34" s="1548" t="str">
        <f>C3</f>
        <v>Биллинг Т</v>
      </c>
      <c r="D34" s="1548"/>
      <c r="E34" s="1548" t="str">
        <f>E3</f>
        <v>Биллинг МПС 
(с рекуррентами и ковенантами)</v>
      </c>
      <c r="F34" s="1548"/>
      <c r="G34" s="1548" t="str">
        <f>G3</f>
        <v>Биллинг МПС 
(без рекуррентов и ковенантов)</v>
      </c>
      <c r="I34" s="1614" t="s">
        <v>863</v>
      </c>
      <c r="J34" s="1535"/>
      <c r="K34" s="1535"/>
      <c r="L34" s="1572">
        <v>2</v>
      </c>
      <c r="M34" s="1535" t="s">
        <v>861</v>
      </c>
    </row>
    <row r="35" spans="2:13" ht="26">
      <c r="B35" s="1562" t="s">
        <v>916</v>
      </c>
      <c r="C35" s="1563"/>
      <c r="D35" s="1563"/>
      <c r="E35" s="1563"/>
      <c r="F35" s="1563"/>
      <c r="G35" s="1563"/>
    </row>
    <row r="36" spans="2:13" ht="15.5" customHeight="1">
      <c r="B36" s="1564" t="s">
        <v>575</v>
      </c>
      <c r="C36" s="1565" t="e">
        <f>SUM(C37:C38)</f>
        <v>#REF!</v>
      </c>
      <c r="D36" s="1565"/>
      <c r="E36" s="1565" t="e">
        <f>SUM(E37:E38)</f>
        <v>#REF!</v>
      </c>
      <c r="F36" s="1565"/>
      <c r="G36" s="1565" t="e">
        <f>SUM(G37:G38)</f>
        <v>#REF!</v>
      </c>
    </row>
    <row r="37" spans="2:13" ht="15.5" customHeight="1">
      <c r="B37" s="1541" t="s">
        <v>851</v>
      </c>
      <c r="C37" s="1537" t="e">
        <f>C4</f>
        <v>#REF!</v>
      </c>
      <c r="D37" s="1537"/>
      <c r="E37" s="1537" t="e">
        <f>E4</f>
        <v>#REF!</v>
      </c>
      <c r="F37" s="1537"/>
      <c r="G37" s="1537" t="e">
        <f>G4</f>
        <v>#REF!</v>
      </c>
      <c r="H37" s="1633" t="s">
        <v>927</v>
      </c>
    </row>
    <row r="38" spans="2:13" ht="15.5" customHeight="1">
      <c r="B38" s="1541" t="s">
        <v>902</v>
      </c>
      <c r="C38" s="1537" t="e">
        <f>C11</f>
        <v>#REF!</v>
      </c>
      <c r="D38" s="1537"/>
      <c r="E38" s="1537" t="e">
        <f>E11</f>
        <v>#REF!</v>
      </c>
      <c r="F38" s="1537"/>
      <c r="G38" s="1537" t="e">
        <f>G11</f>
        <v>#REF!</v>
      </c>
      <c r="H38" s="1632" t="s">
        <v>928</v>
      </c>
    </row>
    <row r="39" spans="2:13" ht="15.5" customHeight="1"/>
    <row r="40" spans="2:13" ht="15.5" customHeight="1">
      <c r="B40" s="1564" t="s">
        <v>335</v>
      </c>
      <c r="C40" s="1565" t="e">
        <f>SUM(C41:C43)</f>
        <v>#REF!</v>
      </c>
      <c r="D40" s="1565"/>
      <c r="E40" s="1565" t="e">
        <f>SUM(E41:E43)</f>
        <v>#REF!</v>
      </c>
      <c r="F40" s="1565"/>
      <c r="G40" s="1565" t="e">
        <f>SUM(G41:G42)</f>
        <v>#REF!</v>
      </c>
    </row>
    <row r="41" spans="2:13" ht="15.5" customHeight="1">
      <c r="B41" s="1541" t="s">
        <v>904</v>
      </c>
      <c r="C41" s="1537">
        <f>Воронка!R52</f>
        <v>50425005.288461544</v>
      </c>
      <c r="D41" s="1537"/>
      <c r="E41" s="1537">
        <f>Воронка!R52</f>
        <v>50425005.288461544</v>
      </c>
      <c r="F41" s="1537"/>
      <c r="G41" s="1537">
        <f>Воронка!K52</f>
        <v>50425005.288461544</v>
      </c>
    </row>
    <row r="42" spans="2:13" ht="15.5" customHeight="1">
      <c r="B42" s="1541" t="s">
        <v>903</v>
      </c>
      <c r="C42" s="1537" t="e">
        <f>CHOOSE($L$34,C28,C31)</f>
        <v>#REF!</v>
      </c>
      <c r="D42" s="1537"/>
      <c r="E42" s="1537" t="e">
        <f>CHOOSE($L$34,E28,E31)</f>
        <v>#REF!</v>
      </c>
      <c r="F42" s="1537"/>
      <c r="G42" s="1537" t="e">
        <f>CHOOSE($L$34,G28,G31)</f>
        <v>#REF!</v>
      </c>
      <c r="H42" s="1632" t="s">
        <v>926</v>
      </c>
    </row>
    <row r="43" spans="2:13" ht="15.5" customHeight="1">
      <c r="B43" s="1541" t="s">
        <v>943</v>
      </c>
      <c r="C43" s="1537" t="e">
        <f>C10</f>
        <v>#REF!</v>
      </c>
      <c r="D43" s="1537"/>
      <c r="E43" s="1537" t="e">
        <f>E10</f>
        <v>#REF!</v>
      </c>
      <c r="F43" s="1537"/>
      <c r="G43" s="1537"/>
      <c r="H43" s="1613" t="s">
        <v>923</v>
      </c>
    </row>
    <row r="44" spans="2:13" ht="15.5" customHeight="1"/>
    <row r="45" spans="2:13" ht="15.5" customHeight="1" thickBot="1">
      <c r="B45" s="1566" t="s">
        <v>920</v>
      </c>
      <c r="C45" s="1555" t="e">
        <f>C36-C40</f>
        <v>#REF!</v>
      </c>
      <c r="D45" s="1555"/>
      <c r="E45" s="1555" t="e">
        <f>E36-E40</f>
        <v>#REF!</v>
      </c>
      <c r="F45" s="1555"/>
      <c r="G45" s="1555" t="e">
        <f>G36-G40</f>
        <v>#REF!</v>
      </c>
    </row>
    <row r="46" spans="2:13" ht="15.5" customHeight="1" thickTop="1">
      <c r="B46" s="1627" t="s">
        <v>938</v>
      </c>
      <c r="C46" s="1628" t="e">
        <f>C45/C36</f>
        <v>#REF!</v>
      </c>
      <c r="D46" s="1629"/>
      <c r="E46" s="1628" t="e">
        <f>E45/E36</f>
        <v>#REF!</v>
      </c>
      <c r="F46" s="1629"/>
      <c r="G46" s="1628" t="e">
        <f>G45/G$4</f>
        <v>#REF!</v>
      </c>
    </row>
    <row r="47" spans="2:13" ht="15.5" customHeight="1" thickBot="1">
      <c r="B47" s="1566" t="s">
        <v>940</v>
      </c>
      <c r="C47" s="1619" t="e">
        <f>C37-C42</f>
        <v>#REF!</v>
      </c>
      <c r="D47" s="1620"/>
      <c r="E47" s="1619" t="e">
        <f>E37-E42</f>
        <v>#REF!</v>
      </c>
      <c r="F47" s="1620"/>
      <c r="G47" s="1619" t="e">
        <f>G37-G42</f>
        <v>#REF!</v>
      </c>
    </row>
    <row r="48" spans="2:13" s="1636" customFormat="1" ht="37.5" customHeight="1" thickTop="1">
      <c r="B48" s="1625" t="s">
        <v>854</v>
      </c>
      <c r="C48" s="1643" t="e">
        <f>C47/C4</f>
        <v>#REF!</v>
      </c>
      <c r="D48" s="1644"/>
      <c r="E48" s="1645" t="e">
        <f>E47/E4</f>
        <v>#REF!</v>
      </c>
      <c r="F48" s="1646"/>
      <c r="G48" s="1645" t="e">
        <f>G47/G4</f>
        <v>#REF!</v>
      </c>
      <c r="H48" s="582" t="s">
        <v>929</v>
      </c>
      <c r="I48" s="1647" t="s">
        <v>931</v>
      </c>
    </row>
    <row r="49" spans="2:9">
      <c r="B49" s="1589"/>
      <c r="C49" s="1635"/>
      <c r="D49" s="1629"/>
      <c r="E49" s="1635"/>
      <c r="F49" s="1629"/>
      <c r="G49" s="1635"/>
    </row>
    <row r="50" spans="2:9" s="1638" customFormat="1">
      <c r="B50" s="1564" t="s">
        <v>925</v>
      </c>
      <c r="C50" s="1565" t="e">
        <f>C51+C52</f>
        <v>#REF!</v>
      </c>
      <c r="D50" s="1565"/>
      <c r="E50" s="1565" t="e">
        <f>E51+E52</f>
        <v>#REF!</v>
      </c>
      <c r="F50" s="1642"/>
      <c r="G50" s="1641" t="e">
        <f>G51+G52</f>
        <v>#REF!</v>
      </c>
      <c r="H50" s="1632"/>
    </row>
    <row r="51" spans="2:9" s="1638" customFormat="1" ht="17">
      <c r="B51" s="1656" t="s">
        <v>935</v>
      </c>
      <c r="C51" s="1655" t="e">
        <f>C10*22%</f>
        <v>#REF!</v>
      </c>
      <c r="D51" s="1655"/>
      <c r="E51" s="1655" t="e">
        <f>E10*22%</f>
        <v>#REF!</v>
      </c>
      <c r="F51" s="1634"/>
      <c r="G51" s="1634" t="e">
        <f>G10*22%</f>
        <v>#REF!</v>
      </c>
      <c r="H51" s="1613" t="s">
        <v>923</v>
      </c>
      <c r="I51" s="4" t="s">
        <v>932</v>
      </c>
    </row>
    <row r="52" spans="2:9" s="1638" customFormat="1" ht="17">
      <c r="B52" s="1656" t="s">
        <v>921</v>
      </c>
      <c r="C52" s="1655" t="e">
        <f>C45*5%</f>
        <v>#REF!</v>
      </c>
      <c r="D52" s="1655"/>
      <c r="E52" s="1655" t="e">
        <f>E45*5%</f>
        <v>#REF!</v>
      </c>
      <c r="F52" s="1634"/>
      <c r="G52" s="1634" t="e">
        <f>G45*5%</f>
        <v>#REF!</v>
      </c>
      <c r="H52" s="1613" t="s">
        <v>923</v>
      </c>
    </row>
    <row r="53" spans="2:9" s="1638" customFormat="1">
      <c r="B53" s="1657" t="s">
        <v>934</v>
      </c>
      <c r="C53" s="1658" t="e">
        <f>C50-E50</f>
        <v>#REF!</v>
      </c>
      <c r="D53" s="1659"/>
      <c r="E53" s="1653"/>
      <c r="F53" s="1634"/>
      <c r="G53" s="1634"/>
      <c r="H53" s="1613"/>
    </row>
    <row r="54" spans="2:9">
      <c r="B54" s="922"/>
      <c r="E54" s="1634"/>
      <c r="G54" s="1634"/>
    </row>
    <row r="55" spans="2:9" ht="26">
      <c r="B55" s="1562" t="s">
        <v>865</v>
      </c>
      <c r="C55" s="1563"/>
      <c r="D55" s="1563"/>
      <c r="E55" s="1563"/>
      <c r="F55" s="1563"/>
      <c r="G55" s="1563"/>
    </row>
    <row r="56" spans="2:9">
      <c r="B56" s="1564" t="s">
        <v>575</v>
      </c>
      <c r="C56" s="1565" t="e">
        <f>SUM(C57:C58)</f>
        <v>#REF!</v>
      </c>
      <c r="D56" s="1565"/>
      <c r="E56" s="1565" t="e">
        <f>SUM(E57:E58)</f>
        <v>#REF!</v>
      </c>
      <c r="F56" s="1565"/>
      <c r="G56" s="1565" t="e">
        <f>SUM(G57:G58)</f>
        <v>#REF!</v>
      </c>
      <c r="H56" s="1632"/>
    </row>
    <row r="57" spans="2:9">
      <c r="B57" s="1541" t="s">
        <v>851</v>
      </c>
      <c r="C57" s="1537"/>
      <c r="D57" s="1537"/>
      <c r="E57" s="1537"/>
      <c r="F57" s="1537"/>
      <c r="G57" s="1537"/>
    </row>
    <row r="58" spans="2:9">
      <c r="B58" s="1541" t="s">
        <v>903</v>
      </c>
      <c r="C58" s="1537" t="e">
        <f>C42</f>
        <v>#REF!</v>
      </c>
      <c r="D58" s="1537"/>
      <c r="E58" s="1537" t="e">
        <f>E42</f>
        <v>#REF!</v>
      </c>
      <c r="F58" s="1537"/>
      <c r="G58" s="1537" t="e">
        <f>G42</f>
        <v>#REF!</v>
      </c>
      <c r="H58" s="922" t="s">
        <v>926</v>
      </c>
    </row>
    <row r="59" spans="2:9">
      <c r="B59" s="1627"/>
      <c r="C59" s="324"/>
      <c r="D59" s="1537"/>
      <c r="E59" s="324"/>
      <c r="F59" s="1537"/>
      <c r="G59" s="1537"/>
    </row>
    <row r="60" spans="2:9">
      <c r="B60" s="1564" t="s">
        <v>335</v>
      </c>
      <c r="C60" s="1565" t="e">
        <f>SUM(C61:C62)</f>
        <v>#REF!</v>
      </c>
      <c r="D60" s="1565"/>
      <c r="E60" s="1565" t="e">
        <f>SUM(E61:E62)</f>
        <v>#REF!</v>
      </c>
      <c r="F60" s="1565"/>
      <c r="G60" s="1565" t="e">
        <f>SUM(G61:G62)</f>
        <v>#REF!</v>
      </c>
    </row>
    <row r="61" spans="2:9">
      <c r="B61" s="1541" t="s">
        <v>902</v>
      </c>
      <c r="C61" s="1537" t="e">
        <f>C38</f>
        <v>#REF!</v>
      </c>
      <c r="D61" s="1537"/>
      <c r="E61" s="1537" t="e">
        <f>E38</f>
        <v>#REF!</v>
      </c>
      <c r="F61" s="1537"/>
      <c r="G61" s="1537" t="e">
        <f>G38</f>
        <v>#REF!</v>
      </c>
    </row>
    <row r="62" spans="2:9">
      <c r="B62" s="1541" t="s">
        <v>903</v>
      </c>
      <c r="C62" s="1537" t="e">
        <f>C25</f>
        <v>#REF!</v>
      </c>
      <c r="D62" s="1537"/>
      <c r="E62" s="1537" t="e">
        <f>E25</f>
        <v>#REF!</v>
      </c>
      <c r="F62" s="1537"/>
      <c r="G62" s="1537" t="e">
        <f>G25</f>
        <v>#REF!</v>
      </c>
    </row>
    <row r="64" spans="2:9" ht="17" thickBot="1">
      <c r="B64" s="1566" t="s">
        <v>853</v>
      </c>
      <c r="C64" s="1555" t="e">
        <f>C56-C60</f>
        <v>#REF!</v>
      </c>
      <c r="D64" s="1555"/>
      <c r="E64" s="1555" t="e">
        <f>E56-E60</f>
        <v>#REF!</v>
      </c>
      <c r="F64" s="1555"/>
      <c r="G64" s="1555" t="e">
        <f>G56-G60</f>
        <v>#REF!</v>
      </c>
    </row>
    <row r="65" spans="2:9" ht="17" thickTop="1">
      <c r="B65" s="1627" t="s">
        <v>939</v>
      </c>
      <c r="C65" s="1715" t="e">
        <f>C64/C56</f>
        <v>#REF!</v>
      </c>
      <c r="D65" s="1716"/>
      <c r="E65" s="1715" t="e">
        <f>E64/E56</f>
        <v>#REF!</v>
      </c>
      <c r="F65" s="1629"/>
      <c r="G65" s="1628"/>
    </row>
    <row r="66" spans="2:9">
      <c r="B66" s="1627" t="s">
        <v>854</v>
      </c>
      <c r="C66" s="1628" t="e">
        <f>C64/C$4</f>
        <v>#REF!</v>
      </c>
      <c r="D66" s="1629"/>
      <c r="E66" s="1628" t="e">
        <f>E64/E$4</f>
        <v>#REF!</v>
      </c>
      <c r="F66" s="1629"/>
      <c r="G66" s="1628" t="e">
        <f>G64/G$4</f>
        <v>#REF!</v>
      </c>
    </row>
    <row r="67" spans="2:9" outlineLevel="1">
      <c r="B67" s="1625" t="s">
        <v>936</v>
      </c>
      <c r="C67" s="1630" t="e">
        <f>C64/C60</f>
        <v>#REF!</v>
      </c>
      <c r="D67" s="1631"/>
      <c r="E67" s="1630" t="e">
        <f>E64/E60</f>
        <v>#REF!</v>
      </c>
      <c r="F67" s="1631"/>
      <c r="G67" s="1637" t="e">
        <f>G64/G60</f>
        <v>#REF!</v>
      </c>
      <c r="H67" s="1636" t="s">
        <v>937</v>
      </c>
    </row>
    <row r="68" spans="2:9">
      <c r="C68" s="324"/>
      <c r="E68" s="324"/>
      <c r="G68" s="324"/>
    </row>
    <row r="69" spans="2:9">
      <c r="B69" s="1535" t="s">
        <v>852</v>
      </c>
      <c r="C69" s="1536" t="e">
        <f>Воронка!#REF!</f>
        <v>#REF!</v>
      </c>
      <c r="D69" s="1536"/>
      <c r="E69" s="1536" t="e">
        <f>Воронка!#REF!</f>
        <v>#REF!</v>
      </c>
      <c r="F69" s="1536"/>
      <c r="G69" s="1536" t="e">
        <f>Воронка!#REF!</f>
        <v>#REF!</v>
      </c>
    </row>
    <row r="70" spans="2:9" ht="17" thickBot="1">
      <c r="B70" s="1571" t="s">
        <v>855</v>
      </c>
      <c r="C70" s="1570" t="e">
        <f>C64+C69</f>
        <v>#REF!</v>
      </c>
      <c r="D70" s="1570"/>
      <c r="E70" s="1570" t="e">
        <f>E64+E69</f>
        <v>#REF!</v>
      </c>
      <c r="F70" s="1570"/>
      <c r="G70" s="1570" t="e">
        <f>G64+G69</f>
        <v>#REF!</v>
      </c>
    </row>
    <row r="71" spans="2:9" ht="17" thickTop="1"/>
    <row r="72" spans="2:9" s="1638" customFormat="1" ht="17" customHeight="1">
      <c r="B72" s="1564" t="s">
        <v>924</v>
      </c>
      <c r="C72" s="1565" t="e">
        <f>C73+C74</f>
        <v>#REF!</v>
      </c>
      <c r="D72" s="1565"/>
      <c r="E72" s="1565" t="e">
        <f>E73+E74</f>
        <v>#REF!</v>
      </c>
      <c r="F72" s="1642"/>
      <c r="G72" s="1641" t="e">
        <f>G73+G74</f>
        <v>#REF!</v>
      </c>
      <c r="H72" s="1613" t="s">
        <v>933</v>
      </c>
      <c r="I72" s="4" t="s">
        <v>932</v>
      </c>
    </row>
    <row r="73" spans="2:9" s="1649" customFormat="1" ht="17" customHeight="1">
      <c r="B73" s="1656" t="s">
        <v>962</v>
      </c>
      <c r="C73" s="1655" t="e">
        <f>C58*22%</f>
        <v>#REF!</v>
      </c>
      <c r="D73" s="1655"/>
      <c r="E73" s="1655" t="e">
        <f>E58*22%</f>
        <v>#REF!</v>
      </c>
      <c r="F73" s="1650"/>
      <c r="G73" s="1650" t="e">
        <f>G58*22%</f>
        <v>#REF!</v>
      </c>
      <c r="H73" s="1660" t="s">
        <v>926</v>
      </c>
    </row>
    <row r="74" spans="2:9" s="1638" customFormat="1" ht="17" customHeight="1">
      <c r="B74" s="1656" t="s">
        <v>922</v>
      </c>
      <c r="C74" s="1655" t="e">
        <f>C64*25%</f>
        <v>#REF!</v>
      </c>
      <c r="D74" s="1655"/>
      <c r="E74" s="1655" t="e">
        <f>E64*25%</f>
        <v>#REF!</v>
      </c>
      <c r="F74" s="1634"/>
      <c r="G74" s="1634" t="e">
        <f>G64*25%</f>
        <v>#REF!</v>
      </c>
      <c r="H74" s="1639"/>
    </row>
    <row r="75" spans="2:9" ht="17" customHeight="1">
      <c r="B75" s="1657" t="s">
        <v>934</v>
      </c>
      <c r="C75" s="1658" t="e">
        <f>C72-E72</f>
        <v>#REF!</v>
      </c>
      <c r="D75" s="1659"/>
      <c r="E75" s="1653"/>
      <c r="F75" s="922"/>
      <c r="G75" s="922"/>
      <c r="H75" s="1615"/>
    </row>
    <row r="76" spans="2:9" ht="17" customHeight="1">
      <c r="B76" s="1657"/>
      <c r="C76" s="1658"/>
      <c r="D76" s="1659"/>
      <c r="E76" s="1653"/>
      <c r="F76" s="922"/>
      <c r="G76" s="922"/>
      <c r="H76" s="1615"/>
    </row>
    <row r="77" spans="2:9" ht="53">
      <c r="B77" s="1561" t="s">
        <v>945</v>
      </c>
      <c r="C77" s="1548" t="str">
        <f>C3</f>
        <v>Биллинг Т</v>
      </c>
      <c r="D77" s="1548"/>
      <c r="E77" s="1548" t="str">
        <f>E3</f>
        <v>Биллинг МПС 
(с рекуррентами и ковенантами)</v>
      </c>
      <c r="F77" s="1548"/>
      <c r="G77" s="1548" t="str">
        <f t="shared" ref="G77" si="0">G3</f>
        <v>Биллинг МПС 
(без рекуррентов и ковенантов)</v>
      </c>
      <c r="H77" s="1616"/>
    </row>
    <row r="78" spans="2:9" ht="26">
      <c r="B78" s="1562" t="s">
        <v>946</v>
      </c>
      <c r="C78" s="1563"/>
      <c r="D78" s="1563"/>
      <c r="E78" s="1563"/>
      <c r="F78" s="1563"/>
      <c r="G78" s="1563"/>
    </row>
    <row r="79" spans="2:9">
      <c r="B79" s="1662" t="s">
        <v>575</v>
      </c>
      <c r="C79" s="1663" t="e">
        <f>C80+C83</f>
        <v>#REF!</v>
      </c>
      <c r="D79" s="1663"/>
      <c r="E79" s="1663" t="e">
        <f>E80+E83</f>
        <v>#REF!</v>
      </c>
      <c r="F79" s="1663"/>
      <c r="G79" s="1663" t="e">
        <f>G80+G83</f>
        <v>#REF!</v>
      </c>
      <c r="H79" s="1632"/>
    </row>
    <row r="80" spans="2:9">
      <c r="B80" s="1661" t="s">
        <v>942</v>
      </c>
      <c r="C80" s="1565" t="e">
        <f>SUM(C81:C82)</f>
        <v>#REF!</v>
      </c>
      <c r="D80" s="1565"/>
      <c r="E80" s="1565" t="e">
        <f>SUM(E81:E82)</f>
        <v>#REF!</v>
      </c>
      <c r="F80" s="1565"/>
      <c r="G80" s="1565" t="e">
        <f>SUM(G81:G82)</f>
        <v>#REF!</v>
      </c>
      <c r="H80" s="1632"/>
    </row>
    <row r="81" spans="2:8" ht="17">
      <c r="B81" s="1542" t="s">
        <v>851</v>
      </c>
      <c r="C81" s="1537" t="e">
        <f>C37</f>
        <v>#REF!</v>
      </c>
      <c r="D81" s="1537"/>
      <c r="E81" s="1537" t="e">
        <f>E37</f>
        <v>#REF!</v>
      </c>
      <c r="F81" s="1537"/>
      <c r="G81" s="1537" t="e">
        <f>G37</f>
        <v>#REF!</v>
      </c>
      <c r="H81" s="5" t="s">
        <v>941</v>
      </c>
    </row>
    <row r="82" spans="2:8" s="1636" customFormat="1" ht="34">
      <c r="B82" s="1694" t="s">
        <v>984</v>
      </c>
      <c r="C82" s="1701" t="e">
        <f>C38</f>
        <v>#REF!</v>
      </c>
      <c r="D82" s="1701"/>
      <c r="E82" s="1701" t="e">
        <f>E38</f>
        <v>#REF!</v>
      </c>
      <c r="F82" s="1701"/>
      <c r="G82" s="1701" t="e">
        <f>G38</f>
        <v>#REF!</v>
      </c>
      <c r="H82" s="1696" t="s">
        <v>985</v>
      </c>
    </row>
    <row r="83" spans="2:8">
      <c r="B83" s="1661" t="s">
        <v>865</v>
      </c>
      <c r="C83" s="1565" t="e">
        <f>C84</f>
        <v>#REF!</v>
      </c>
      <c r="D83" s="1565"/>
      <c r="E83" s="1565" t="e">
        <f>E84</f>
        <v>#REF!</v>
      </c>
      <c r="F83" s="1565"/>
      <c r="G83" s="1565" t="e">
        <f>G84</f>
        <v>#REF!</v>
      </c>
      <c r="H83" s="1632"/>
    </row>
    <row r="84" spans="2:8" ht="17">
      <c r="B84" s="1542" t="s">
        <v>903</v>
      </c>
      <c r="C84" s="1537" t="e">
        <f>C58</f>
        <v>#REF!</v>
      </c>
      <c r="D84" s="1537"/>
      <c r="E84" s="1537" t="e">
        <f>E58</f>
        <v>#REF!</v>
      </c>
      <c r="F84" s="1537"/>
      <c r="G84" s="1537" t="e">
        <f>G58</f>
        <v>#REF!</v>
      </c>
      <c r="H84" s="5" t="s">
        <v>947</v>
      </c>
    </row>
    <row r="85" spans="2:8">
      <c r="B85" s="1627"/>
      <c r="C85" s="324"/>
      <c r="D85" s="1537"/>
      <c r="E85" s="324"/>
      <c r="F85" s="1537"/>
      <c r="G85" s="324"/>
      <c r="H85" s="1640"/>
    </row>
    <row r="86" spans="2:8">
      <c r="B86" s="1662" t="s">
        <v>335</v>
      </c>
      <c r="C86" s="1663" t="e">
        <f>C87+C91</f>
        <v>#REF!</v>
      </c>
      <c r="D86" s="1663"/>
      <c r="E86" s="1663" t="e">
        <f>E87+E91</f>
        <v>#REF!</v>
      </c>
      <c r="F86" s="1663"/>
      <c r="G86" s="1663" t="e">
        <f>G87+G91</f>
        <v>#REF!</v>
      </c>
    </row>
    <row r="87" spans="2:8">
      <c r="B87" s="1661" t="s">
        <v>942</v>
      </c>
      <c r="C87" s="1565" t="e">
        <f>SUM(C88:C90)</f>
        <v>#REF!</v>
      </c>
      <c r="D87" s="1565"/>
      <c r="E87" s="1565" t="e">
        <f>SUM(E88:E90)</f>
        <v>#REF!</v>
      </c>
      <c r="F87" s="1565"/>
      <c r="G87" s="1565" t="e">
        <f>SUM(G88:G90)</f>
        <v>#REF!</v>
      </c>
      <c r="H87" s="1632"/>
    </row>
    <row r="88" spans="2:8">
      <c r="B88" s="1542" t="str">
        <f>B41</f>
        <v>Sales команда МПСтатс</v>
      </c>
      <c r="C88" s="1537">
        <f>C41</f>
        <v>50425005.288461544</v>
      </c>
      <c r="D88" s="1537"/>
      <c r="E88" s="1537">
        <f>E41</f>
        <v>50425005.288461544</v>
      </c>
      <c r="F88" s="1537"/>
      <c r="G88" s="1537">
        <f>G41</f>
        <v>50425005.288461544</v>
      </c>
    </row>
    <row r="89" spans="2:8" ht="17">
      <c r="B89" s="1542" t="s">
        <v>903</v>
      </c>
      <c r="C89" s="1537" t="e">
        <f t="shared" ref="C89:E90" si="1">C42</f>
        <v>#REF!</v>
      </c>
      <c r="D89" s="1537"/>
      <c r="E89" s="1537" t="e">
        <f t="shared" si="1"/>
        <v>#REF!</v>
      </c>
      <c r="F89" s="1537"/>
      <c r="G89" s="1537" t="e">
        <f t="shared" ref="G89" si="2">G42</f>
        <v>#REF!</v>
      </c>
      <c r="H89" s="5" t="s">
        <v>944</v>
      </c>
    </row>
    <row r="90" spans="2:8" s="1636" customFormat="1">
      <c r="B90" s="1694" t="s">
        <v>986</v>
      </c>
      <c r="C90" s="1695" t="e">
        <f t="shared" si="1"/>
        <v>#REF!</v>
      </c>
      <c r="D90" s="1695"/>
      <c r="E90" s="1695" t="e">
        <f t="shared" si="1"/>
        <v>#REF!</v>
      </c>
      <c r="F90" s="1705"/>
      <c r="G90" s="1705">
        <f t="shared" ref="G90" si="3">G43</f>
        <v>0</v>
      </c>
      <c r="H90" s="1706"/>
    </row>
    <row r="91" spans="2:8">
      <c r="B91" s="1661" t="s">
        <v>865</v>
      </c>
      <c r="C91" s="1565" t="e">
        <f>SUM(C92:C93)</f>
        <v>#REF!</v>
      </c>
      <c r="D91" s="1565"/>
      <c r="E91" s="1565" t="e">
        <f>SUM(E92:E93)</f>
        <v>#REF!</v>
      </c>
      <c r="F91" s="1565"/>
      <c r="G91" s="1565" t="e">
        <f>SUM(G92:G93)</f>
        <v>#REF!</v>
      </c>
      <c r="H91" s="1632"/>
    </row>
    <row r="92" spans="2:8" ht="17">
      <c r="B92" s="1542" t="s">
        <v>902</v>
      </c>
      <c r="C92" s="1537" t="e">
        <f>C61</f>
        <v>#REF!</v>
      </c>
      <c r="D92" s="1537"/>
      <c r="E92" s="1537" t="e">
        <f>E61</f>
        <v>#REF!</v>
      </c>
      <c r="F92" s="1537"/>
      <c r="G92" s="1537" t="e">
        <f>G61</f>
        <v>#REF!</v>
      </c>
      <c r="H92" s="5" t="s">
        <v>971</v>
      </c>
    </row>
    <row r="93" spans="2:8">
      <c r="B93" s="1542" t="s">
        <v>903</v>
      </c>
      <c r="C93" s="1537" t="e">
        <f>C62</f>
        <v>#REF!</v>
      </c>
      <c r="D93" s="1537"/>
      <c r="E93" s="1537" t="e">
        <f>E62</f>
        <v>#REF!</v>
      </c>
      <c r="F93" s="1537"/>
      <c r="G93" s="1537" t="e">
        <f>G62</f>
        <v>#REF!</v>
      </c>
      <c r="H93" t="s">
        <v>972</v>
      </c>
    </row>
    <row r="95" spans="2:8" ht="17" thickBot="1">
      <c r="B95" s="1566" t="s">
        <v>970</v>
      </c>
      <c r="C95" s="1555" t="e">
        <f>C79-C86</f>
        <v>#REF!</v>
      </c>
      <c r="D95" s="1555"/>
      <c r="E95" s="1555" t="e">
        <f>E79-E86</f>
        <v>#REF!</v>
      </c>
      <c r="F95" s="1555"/>
      <c r="G95" s="1555" t="e">
        <f>G79-G86</f>
        <v>#REF!</v>
      </c>
    </row>
    <row r="96" spans="2:8" ht="17" thickTop="1">
      <c r="B96" s="1627" t="s">
        <v>961</v>
      </c>
      <c r="C96" s="1628" t="e">
        <f>C95/C79</f>
        <v>#REF!</v>
      </c>
      <c r="D96" s="1629"/>
      <c r="E96" s="1628" t="e">
        <f>E95/E79</f>
        <v>#REF!</v>
      </c>
      <c r="H96"/>
    </row>
    <row r="97" spans="2:8">
      <c r="B97" s="1670" t="s">
        <v>975</v>
      </c>
      <c r="C97" s="1654" t="e">
        <f>C80-C87</f>
        <v>#REF!</v>
      </c>
      <c r="D97" s="1654"/>
      <c r="E97" s="1654" t="e">
        <f>E80-E87</f>
        <v>#REF!</v>
      </c>
      <c r="F97" s="1662"/>
      <c r="H97"/>
    </row>
    <row r="98" spans="2:8">
      <c r="B98" s="1670" t="s">
        <v>966</v>
      </c>
      <c r="C98" s="1654" t="e">
        <f>C83-C91</f>
        <v>#REF!</v>
      </c>
      <c r="D98" s="1654"/>
      <c r="E98" s="1654" t="e">
        <f>E83-E91</f>
        <v>#REF!</v>
      </c>
      <c r="F98" s="1662"/>
      <c r="H98"/>
    </row>
    <row r="99" spans="2:8">
      <c r="B99" s="1678" t="s">
        <v>967</v>
      </c>
      <c r="C99" s="1654" t="e">
        <f>C69</f>
        <v>#REF!</v>
      </c>
      <c r="D99" s="1654"/>
      <c r="E99" s="1654" t="e">
        <f>E69</f>
        <v>#REF!</v>
      </c>
      <c r="F99" s="1662"/>
      <c r="H99" t="s">
        <v>969</v>
      </c>
    </row>
    <row r="100" spans="2:8" ht="17" thickBot="1">
      <c r="B100" s="1679" t="s">
        <v>968</v>
      </c>
      <c r="C100" s="1570" t="e">
        <f>SUM(C97:C99)</f>
        <v>#REF!</v>
      </c>
      <c r="D100" s="1570"/>
      <c r="E100" s="1570" t="e">
        <f>SUM(E97:E99)</f>
        <v>#REF!</v>
      </c>
      <c r="F100" s="1662"/>
      <c r="H100"/>
    </row>
    <row r="101" spans="2:8" ht="17" thickTop="1">
      <c r="B101" s="165" t="s">
        <v>976</v>
      </c>
      <c r="C101" s="1658" t="e">
        <f>C95-E95</f>
        <v>#REF!</v>
      </c>
      <c r="E101" s="1682"/>
      <c r="H101"/>
    </row>
    <row r="102" spans="2:8">
      <c r="B102" s="1575"/>
      <c r="C102" s="1658"/>
      <c r="E102" s="1682"/>
      <c r="H102"/>
    </row>
    <row r="103" spans="2:8" ht="17" thickBot="1">
      <c r="B103" s="1657"/>
      <c r="C103" s="1658"/>
      <c r="H103"/>
    </row>
    <row r="104" spans="2:8" ht="21">
      <c r="B104" s="1667" t="s">
        <v>957</v>
      </c>
      <c r="C104" s="1668" t="e">
        <f>C81</f>
        <v>#REF!</v>
      </c>
      <c r="D104" s="1668"/>
      <c r="E104" s="1669" t="e">
        <f>E81</f>
        <v>#REF!</v>
      </c>
      <c r="F104" s="1666">
        <f t="shared" ref="F104:G104" si="4">F81</f>
        <v>0</v>
      </c>
      <c r="G104" s="1663" t="e">
        <f t="shared" si="4"/>
        <v>#REF!</v>
      </c>
    </row>
    <row r="105" spans="2:8">
      <c r="B105" s="1670" t="s">
        <v>956</v>
      </c>
      <c r="C105" s="1654" t="e">
        <f>C104-C107</f>
        <v>#REF!</v>
      </c>
      <c r="D105" s="1654"/>
      <c r="E105" s="1671" t="e">
        <f>E104-E107</f>
        <v>#REF!</v>
      </c>
      <c r="F105" s="1662"/>
      <c r="H105"/>
    </row>
    <row r="106" spans="2:8">
      <c r="B106" s="1672" t="s">
        <v>958</v>
      </c>
      <c r="C106" s="1665" t="e">
        <f>C105/C$104</f>
        <v>#REF!</v>
      </c>
      <c r="D106" s="1665"/>
      <c r="E106" s="1673" t="e">
        <f>E105/E$104</f>
        <v>#REF!</v>
      </c>
      <c r="H106"/>
    </row>
    <row r="107" spans="2:8">
      <c r="B107" s="1670" t="s">
        <v>955</v>
      </c>
      <c r="C107" s="1654" t="e">
        <f>C84</f>
        <v>#REF!</v>
      </c>
      <c r="D107" s="1654"/>
      <c r="E107" s="1671" t="e">
        <f>E84</f>
        <v>#REF!</v>
      </c>
      <c r="F107" s="1662"/>
      <c r="H107"/>
    </row>
    <row r="108" spans="2:8" ht="17" thickBot="1">
      <c r="B108" s="1674" t="s">
        <v>959</v>
      </c>
      <c r="C108" s="1675" t="e">
        <f>C107/C$104</f>
        <v>#REF!</v>
      </c>
      <c r="D108" s="1675"/>
      <c r="E108" s="1676" t="e">
        <f>E107/E$104</f>
        <v>#REF!</v>
      </c>
      <c r="H108" s="1540" t="s">
        <v>960</v>
      </c>
    </row>
    <row r="109" spans="2:8">
      <c r="B109" s="1664"/>
    </row>
    <row r="110" spans="2:8">
      <c r="B110" s="1552" t="s">
        <v>949</v>
      </c>
      <c r="C110" s="1553"/>
      <c r="D110" s="1553"/>
      <c r="E110" s="1553"/>
      <c r="H110" s="1613"/>
    </row>
    <row r="111" spans="2:8" ht="17">
      <c r="B111" s="1685" t="s">
        <v>954</v>
      </c>
      <c r="C111" s="1553"/>
      <c r="D111" s="1553"/>
      <c r="E111" s="1553"/>
      <c r="H111" s="1693" t="s">
        <v>963</v>
      </c>
    </row>
    <row r="112" spans="2:8" ht="17">
      <c r="B112" s="1686" t="s">
        <v>950</v>
      </c>
      <c r="C112" s="1687" t="e">
        <f>C51</f>
        <v>#REF!</v>
      </c>
      <c r="D112" s="1687"/>
      <c r="E112" s="1687" t="e">
        <f>E51</f>
        <v>#REF!</v>
      </c>
      <c r="H112" s="1677" t="s">
        <v>965</v>
      </c>
    </row>
    <row r="113" spans="2:8">
      <c r="B113" s="1686" t="s">
        <v>951</v>
      </c>
      <c r="C113" s="1687" t="e">
        <f>C73</f>
        <v>#REF!</v>
      </c>
      <c r="D113" s="1687"/>
      <c r="E113" s="1687" t="e">
        <f>E73</f>
        <v>#REF!</v>
      </c>
    </row>
    <row r="114" spans="2:8">
      <c r="B114" s="1685" t="s">
        <v>948</v>
      </c>
      <c r="C114" s="1553" t="e">
        <f>SUM(C115:C116)</f>
        <v>#REF!</v>
      </c>
      <c r="D114" s="1553"/>
      <c r="E114" s="1553" t="e">
        <f>SUM(E115:E116)</f>
        <v>#REF!</v>
      </c>
      <c r="F114" s="1651"/>
      <c r="G114" s="1652" t="e">
        <f>G72+G50</f>
        <v>#REF!</v>
      </c>
    </row>
    <row r="115" spans="2:8" ht="17">
      <c r="B115" s="1686" t="s">
        <v>952</v>
      </c>
      <c r="C115" s="1687" t="e">
        <f>C52</f>
        <v>#REF!</v>
      </c>
      <c r="D115" s="1687"/>
      <c r="E115" s="1687" t="e">
        <f>E52</f>
        <v>#REF!</v>
      </c>
      <c r="F115" s="1651"/>
      <c r="G115" s="1652"/>
      <c r="H115" s="1677" t="s">
        <v>964</v>
      </c>
    </row>
    <row r="116" spans="2:8">
      <c r="B116" s="1686" t="s">
        <v>953</v>
      </c>
      <c r="C116" s="1687" t="e">
        <f>C74</f>
        <v>#REF!</v>
      </c>
      <c r="D116" s="1687"/>
      <c r="E116" s="1687" t="e">
        <f>E74</f>
        <v>#REF!</v>
      </c>
      <c r="F116" s="1651"/>
      <c r="G116" s="1652"/>
    </row>
    <row r="117" spans="2:8">
      <c r="B117" s="165"/>
      <c r="C117" s="1692"/>
      <c r="D117" s="1659"/>
      <c r="E117" s="1681"/>
      <c r="H117" s="1693"/>
    </row>
    <row r="118" spans="2:8" s="1575" customFormat="1">
      <c r="B118" s="165" t="s">
        <v>973</v>
      </c>
      <c r="C118" s="1682" t="e">
        <f>C114-E114</f>
        <v>#REF!</v>
      </c>
      <c r="E118" s="1689"/>
      <c r="H118" s="1690"/>
    </row>
    <row r="119" spans="2:8">
      <c r="E119" s="1680"/>
    </row>
    <row r="120" spans="2:8" ht="48">
      <c r="H120" s="1691" t="s">
        <v>974</v>
      </c>
    </row>
    <row r="121" spans="2:8">
      <c r="H121" s="1688"/>
    </row>
  </sheetData>
  <mergeCells count="1">
    <mergeCell ref="B2:B3"/>
  </mergeCells>
  <conditionalFormatting sqref="B59">
    <cfRule type="cellIs" dxfId="11" priority="8" operator="lessThan">
      <formula>0</formula>
    </cfRule>
  </conditionalFormatting>
  <conditionalFormatting sqref="B85">
    <cfRule type="cellIs" dxfId="10" priority="6" operator="lessThan">
      <formula>0</formula>
    </cfRule>
  </conditionalFormatting>
  <conditionalFormatting sqref="B96">
    <cfRule type="cellIs" dxfId="9" priority="2" operator="lessThan">
      <formula>0</formula>
    </cfRule>
  </conditionalFormatting>
  <conditionalFormatting sqref="B101:B103">
    <cfRule type="cellIs" dxfId="8" priority="1" operator="lessThan">
      <formula>0</formula>
    </cfRule>
  </conditionalFormatting>
  <conditionalFormatting sqref="B75:E76">
    <cfRule type="cellIs" dxfId="7" priority="9" operator="lessThan">
      <formula>0</formula>
    </cfRule>
  </conditionalFormatting>
  <conditionalFormatting sqref="B46:G46 B65:G66">
    <cfRule type="cellIs" dxfId="6" priority="34" operator="lessThan">
      <formula>0</formula>
    </cfRule>
  </conditionalFormatting>
  <conditionalFormatting sqref="B48:G49 F50:G52 B53:G53">
    <cfRule type="cellIs" dxfId="5" priority="24" operator="lessThan">
      <formula>0</formula>
    </cfRule>
  </conditionalFormatting>
  <conditionalFormatting sqref="C106 C108 E106 E108">
    <cfRule type="dataBar" priority="3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{AB1E3E4F-A9F5-4187-838E-D197EC23E592}</x14:id>
        </ext>
      </extLst>
    </cfRule>
  </conditionalFormatting>
  <conditionalFormatting sqref="C117:D117">
    <cfRule type="cellIs" dxfId="4" priority="5" operator="lessThan">
      <formula>0</formula>
    </cfRule>
  </conditionalFormatting>
  <conditionalFormatting sqref="C45:G49 B67">
    <cfRule type="cellIs" dxfId="3" priority="31" operator="lessThan">
      <formula>0</formula>
    </cfRule>
  </conditionalFormatting>
  <conditionalFormatting sqref="C64:G64">
    <cfRule type="cellIs" dxfId="2" priority="33" operator="lessThan">
      <formula>0</formula>
    </cfRule>
  </conditionalFormatting>
  <conditionalFormatting sqref="C95:G95">
    <cfRule type="cellIs" dxfId="1" priority="4" operator="lessThan">
      <formula>0</formula>
    </cfRule>
  </conditionalFormatting>
  <conditionalFormatting sqref="F72:G74">
    <cfRule type="cellIs" dxfId="0" priority="12" operator="lessThan">
      <formula>0</formula>
    </cfRule>
  </conditionalFormatting>
  <dataValidations disablePrompts="1" count="1">
    <dataValidation type="list" allowBlank="1" showInputMessage="1" showErrorMessage="1" sqref="L34" xr:uid="{E2E27473-7CDF-4955-9A2B-00801562AC44}">
      <formula1>"1,2"</formula1>
    </dataValidation>
  </dataValidations>
  <pageMargins left="0.7" right="0.7" top="0.75" bottom="0.75" header="0.3" footer="0.3"/>
  <pageSetup paperSize="9" orientation="portrait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B1E3E4F-A9F5-4187-838E-D197EC23E59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C106 C108 E106 E108</xm:sqref>
        </x14:conditionalFormatting>
      </x14:conditionalFormatting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9A512C-3775-A44A-B7F7-4D12350A91CC}">
  <dimension ref="A1:C8"/>
  <sheetViews>
    <sheetView workbookViewId="0">
      <selection activeCell="O32" sqref="O32"/>
    </sheetView>
  </sheetViews>
  <sheetFormatPr baseColWidth="10" defaultRowHeight="16"/>
  <sheetData>
    <row r="1" spans="1:3">
      <c r="A1" s="66">
        <v>4700</v>
      </c>
      <c r="B1" s="66" t="s">
        <v>1089</v>
      </c>
      <c r="C1" s="2014">
        <f>A1/A4</f>
        <v>0.53409090909090906</v>
      </c>
    </row>
    <row r="2" spans="1:3">
      <c r="A2" s="66">
        <v>2700</v>
      </c>
      <c r="B2" s="66" t="s">
        <v>1090</v>
      </c>
      <c r="C2" s="2014">
        <f>A2/A4</f>
        <v>0.30681818181818182</v>
      </c>
    </row>
    <row r="3" spans="1:3">
      <c r="A3">
        <v>1400</v>
      </c>
      <c r="B3" t="s">
        <v>1091</v>
      </c>
      <c r="C3" s="324">
        <f>A3/A4</f>
        <v>0.15909090909090909</v>
      </c>
    </row>
    <row r="4" spans="1:3">
      <c r="A4">
        <f>SUM(A1:A3)</f>
        <v>8800</v>
      </c>
    </row>
    <row r="8" spans="1:3">
      <c r="A8">
        <v>30000</v>
      </c>
      <c r="B8">
        <f>0.8*A8</f>
        <v>24000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336A42-5BC1-4848-9729-D100F7A35581}">
  <sheetPr codeName="Лист13"/>
  <dimension ref="A1:E37"/>
  <sheetViews>
    <sheetView workbookViewId="0">
      <selection activeCell="A19" sqref="A19"/>
    </sheetView>
  </sheetViews>
  <sheetFormatPr baseColWidth="10" defaultColWidth="10.6640625" defaultRowHeight="16"/>
  <cols>
    <col min="1" max="1" width="27.83203125" style="172" customWidth="1"/>
    <col min="2" max="2" width="37.33203125" style="172" customWidth="1"/>
    <col min="3" max="3" width="29.1640625" style="172" customWidth="1"/>
    <col min="4" max="4" width="25.1640625" style="172" customWidth="1"/>
    <col min="5" max="5" width="29" style="172" customWidth="1"/>
    <col min="6" max="16384" width="10.6640625" style="172"/>
  </cols>
  <sheetData>
    <row r="1" spans="1:3" s="1341" customFormat="1" ht="26">
      <c r="A1" s="1341" t="s">
        <v>870</v>
      </c>
    </row>
    <row r="2" spans="1:3">
      <c r="A2" s="7" t="s">
        <v>695</v>
      </c>
    </row>
    <row r="3" spans="1:3">
      <c r="A3" s="1574" t="s">
        <v>871</v>
      </c>
    </row>
    <row r="5" spans="1:3">
      <c r="A5" s="7" t="s">
        <v>700</v>
      </c>
    </row>
    <row r="6" spans="1:3">
      <c r="A6" s="172" t="s">
        <v>699</v>
      </c>
    </row>
    <row r="8" spans="1:3">
      <c r="A8" s="172" t="s">
        <v>715</v>
      </c>
    </row>
    <row r="11" spans="1:3" s="1342" customFormat="1">
      <c r="A11" s="1342" t="s">
        <v>716</v>
      </c>
    </row>
    <row r="12" spans="1:3">
      <c r="A12" s="172" t="s">
        <v>708</v>
      </c>
      <c r="B12" s="172" t="s">
        <v>705</v>
      </c>
    </row>
    <row r="13" spans="1:3">
      <c r="A13" s="1573">
        <v>750000</v>
      </c>
      <c r="B13" s="166" t="s">
        <v>701</v>
      </c>
    </row>
    <row r="14" spans="1:3">
      <c r="A14" s="172" t="s">
        <v>703</v>
      </c>
      <c r="B14" s="172" t="s">
        <v>702</v>
      </c>
      <c r="C14" s="1575" t="s">
        <v>704</v>
      </c>
    </row>
    <row r="15" spans="1:3">
      <c r="A15" s="166">
        <v>6</v>
      </c>
      <c r="B15" s="166" t="s">
        <v>706</v>
      </c>
    </row>
    <row r="16" spans="1:3">
      <c r="A16" s="172">
        <v>12</v>
      </c>
      <c r="B16" s="172" t="s">
        <v>707</v>
      </c>
    </row>
    <row r="19" spans="1:5">
      <c r="A19" s="1573">
        <f>A13*A15</f>
        <v>4500000</v>
      </c>
      <c r="B19" s="166" t="s">
        <v>868</v>
      </c>
    </row>
    <row r="20" spans="1:5">
      <c r="A20" s="186">
        <f>A13*A16</f>
        <v>9000000</v>
      </c>
      <c r="B20" s="172" t="s">
        <v>869</v>
      </c>
    </row>
    <row r="23" spans="1:5" s="1343" customFormat="1">
      <c r="A23" s="1342" t="s">
        <v>717</v>
      </c>
    </row>
    <row r="24" spans="1:5">
      <c r="A24" s="172" t="s">
        <v>685</v>
      </c>
      <c r="B24" s="1201">
        <v>0.2</v>
      </c>
      <c r="C24" s="172" t="s">
        <v>709</v>
      </c>
    </row>
    <row r="25" spans="1:5" ht="68">
      <c r="A25" s="1576" t="s">
        <v>711</v>
      </c>
      <c r="B25" s="1577" t="s">
        <v>710</v>
      </c>
    </row>
    <row r="26" spans="1:5">
      <c r="A26" s="172" t="s">
        <v>712</v>
      </c>
      <c r="B26" s="1578">
        <f>B24/40</f>
        <v>5.0000000000000001E-3</v>
      </c>
      <c r="C26" s="1579">
        <f>B24/10</f>
        <v>0.02</v>
      </c>
    </row>
    <row r="28" spans="1:5">
      <c r="A28" s="1580" t="s">
        <v>714</v>
      </c>
      <c r="B28" s="1580"/>
      <c r="C28" s="1580" t="s">
        <v>720</v>
      </c>
      <c r="D28" s="1580" t="s">
        <v>721</v>
      </c>
      <c r="E28" s="1580" t="s">
        <v>723</v>
      </c>
    </row>
    <row r="29" spans="1:5">
      <c r="A29" s="1580"/>
      <c r="B29" s="1581"/>
      <c r="C29" s="1581">
        <f>40*расходы_разработка!B17</f>
        <v>15428571.428571429</v>
      </c>
      <c r="D29" s="1581">
        <f>C29*12*1%</f>
        <v>1851428.5714285714</v>
      </c>
      <c r="E29" s="1582">
        <f>C29*12*C26</f>
        <v>3702857.1428571427</v>
      </c>
    </row>
    <row r="31" spans="1:5">
      <c r="A31" s="1580" t="s">
        <v>713</v>
      </c>
      <c r="B31" s="1580"/>
      <c r="C31" s="1580" t="s">
        <v>720</v>
      </c>
      <c r="D31" s="1580" t="s">
        <v>722</v>
      </c>
    </row>
    <row r="32" spans="1:5">
      <c r="A32" s="1580" t="s">
        <v>686</v>
      </c>
      <c r="B32" s="1583">
        <v>0.25</v>
      </c>
      <c r="C32" s="1581">
        <f>B32*расходы_разработка!B17</f>
        <v>96428.571428571435</v>
      </c>
      <c r="D32" s="1581">
        <f>C32*12</f>
        <v>1157142.8571428573</v>
      </c>
    </row>
    <row r="33" spans="1:5">
      <c r="A33" s="1580" t="s">
        <v>687</v>
      </c>
      <c r="B33" s="1583">
        <v>0.1</v>
      </c>
      <c r="C33" s="1581">
        <f>B33*расходы_разработка!B17</f>
        <v>38571.428571428572</v>
      </c>
      <c r="D33" s="1581">
        <f>C33*12</f>
        <v>462857.14285714284</v>
      </c>
    </row>
    <row r="36" spans="1:5" ht="17">
      <c r="A36" s="1584" t="s">
        <v>718</v>
      </c>
      <c r="B36" s="1580"/>
      <c r="C36" s="1580"/>
      <c r="D36" s="1585" t="s">
        <v>721</v>
      </c>
      <c r="E36" s="1585" t="s">
        <v>723</v>
      </c>
    </row>
    <row r="37" spans="1:5">
      <c r="A37" s="1585"/>
      <c r="B37" s="1580"/>
      <c r="C37" s="1580"/>
      <c r="D37" s="1586">
        <f>D29+D32+D33</f>
        <v>3471428.5714285714</v>
      </c>
      <c r="E37" s="1587">
        <f>E29+D32+D33</f>
        <v>5322857.1428571427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062D51-4656-3E4D-9F68-B68E6F4E91AA}">
  <sheetPr codeName="Лист11"/>
  <dimension ref="A1:H71"/>
  <sheetViews>
    <sheetView topLeftCell="E35" zoomScaleNormal="100" workbookViewId="0">
      <selection activeCell="K53" sqref="K53"/>
    </sheetView>
  </sheetViews>
  <sheetFormatPr baseColWidth="10" defaultColWidth="10.83203125" defaultRowHeight="19" outlineLevelRow="1"/>
  <cols>
    <col min="1" max="1" width="45" style="334" customWidth="1"/>
    <col min="2" max="2" width="27.1640625" style="334" customWidth="1"/>
    <col min="3" max="3" width="28.83203125" style="334" customWidth="1"/>
    <col min="4" max="4" width="27.83203125" style="334" customWidth="1"/>
    <col min="5" max="5" width="32.6640625" style="334" customWidth="1"/>
    <col min="6" max="6" width="26.33203125" style="334" customWidth="1"/>
    <col min="7" max="16384" width="10.83203125" style="334"/>
  </cols>
  <sheetData>
    <row r="1" spans="1:6" s="1341" customFormat="1" ht="26">
      <c r="A1" s="1341" t="s">
        <v>688</v>
      </c>
    </row>
    <row r="2" spans="1:6" ht="80">
      <c r="C2" s="1326" t="s">
        <v>696</v>
      </c>
      <c r="D2" s="1326" t="s">
        <v>697</v>
      </c>
      <c r="E2" s="1326" t="s">
        <v>698</v>
      </c>
      <c r="F2" s="1344" t="s">
        <v>689</v>
      </c>
    </row>
    <row r="3" spans="1:6" s="18" customFormat="1">
      <c r="A3" s="136"/>
      <c r="B3" s="136"/>
      <c r="C3" s="1327" t="s">
        <v>662</v>
      </c>
      <c r="D3" s="1327" t="s">
        <v>663</v>
      </c>
      <c r="E3" s="1327" t="s">
        <v>665</v>
      </c>
    </row>
    <row r="4" spans="1:6" s="18" customFormat="1">
      <c r="A4" s="136" t="s">
        <v>661</v>
      </c>
      <c r="B4" s="136"/>
      <c r="C4" s="136" t="s">
        <v>659</v>
      </c>
      <c r="D4" s="136" t="s">
        <v>659</v>
      </c>
      <c r="E4" s="136" t="s">
        <v>659</v>
      </c>
    </row>
    <row r="5" spans="1:6">
      <c r="A5" s="1328" t="s">
        <v>657</v>
      </c>
      <c r="B5" s="1328"/>
      <c r="C5" s="1328">
        <v>1</v>
      </c>
      <c r="D5" s="1328">
        <f>C5</f>
        <v>1</v>
      </c>
      <c r="E5" s="1328">
        <v>0.5</v>
      </c>
    </row>
    <row r="6" spans="1:6">
      <c r="A6" s="1328" t="s">
        <v>660</v>
      </c>
      <c r="B6" s="1328"/>
      <c r="C6" s="1328">
        <v>1</v>
      </c>
      <c r="D6" s="1328">
        <v>0.5</v>
      </c>
      <c r="E6" s="1328">
        <v>0</v>
      </c>
    </row>
    <row r="7" spans="1:6">
      <c r="A7" s="1328" t="s">
        <v>658</v>
      </c>
      <c r="B7" s="1328"/>
      <c r="C7" s="1328">
        <v>2</v>
      </c>
      <c r="D7" s="1328">
        <v>1.5</v>
      </c>
      <c r="E7" s="1328">
        <v>0.5</v>
      </c>
    </row>
    <row r="8" spans="1:6">
      <c r="A8" s="1328" t="s">
        <v>666</v>
      </c>
      <c r="B8" s="1328"/>
      <c r="C8" s="1328">
        <v>4</v>
      </c>
      <c r="D8" s="1328">
        <v>1</v>
      </c>
      <c r="E8" s="1328">
        <v>1</v>
      </c>
    </row>
    <row r="9" spans="1:6">
      <c r="A9" s="1328" t="s">
        <v>667</v>
      </c>
      <c r="B9" s="1328"/>
      <c r="C9" s="1328">
        <f>80/20*2</f>
        <v>8</v>
      </c>
      <c r="D9" s="1328">
        <v>7</v>
      </c>
      <c r="E9" s="1328">
        <v>1.5</v>
      </c>
    </row>
    <row r="10" spans="1:6">
      <c r="A10" s="1328" t="s">
        <v>664</v>
      </c>
      <c r="B10" s="1328"/>
      <c r="C10" s="1328">
        <v>2</v>
      </c>
      <c r="D10" s="1328">
        <v>2</v>
      </c>
      <c r="E10" s="1328">
        <v>1</v>
      </c>
    </row>
    <row r="11" spans="1:6">
      <c r="A11" s="1328" t="s">
        <v>668</v>
      </c>
      <c r="B11" s="1328"/>
      <c r="C11" s="1328">
        <v>2</v>
      </c>
      <c r="D11" s="1328">
        <v>1</v>
      </c>
      <c r="E11" s="1328">
        <v>1</v>
      </c>
    </row>
    <row r="12" spans="1:6" s="18" customFormat="1">
      <c r="A12" s="136" t="s">
        <v>669</v>
      </c>
      <c r="B12" s="136"/>
      <c r="C12" s="136">
        <f>SUM(C5:C11)</f>
        <v>20</v>
      </c>
      <c r="D12" s="136">
        <f>SUM(D5:D11)</f>
        <v>14</v>
      </c>
      <c r="E12" s="136">
        <f>SUM(E5:E11)</f>
        <v>5.5</v>
      </c>
    </row>
    <row r="13" spans="1:6">
      <c r="A13" s="1328"/>
      <c r="B13" s="1328"/>
      <c r="C13" s="1329">
        <f>C12*B16</f>
        <v>1836734.6938775508</v>
      </c>
      <c r="D13" s="1329">
        <f>D12*B16</f>
        <v>1285714.2857142857</v>
      </c>
      <c r="E13" s="1329">
        <f>E12*B16</f>
        <v>505102.04081632651</v>
      </c>
      <c r="F13" s="1345" t="s">
        <v>690</v>
      </c>
    </row>
    <row r="14" spans="1:6">
      <c r="C14" s="1330"/>
    </row>
    <row r="15" spans="1:6">
      <c r="A15" s="334" t="s">
        <v>679</v>
      </c>
      <c r="B15" s="1330">
        <f>B17/21</f>
        <v>18367.34693877551</v>
      </c>
    </row>
    <row r="16" spans="1:6">
      <c r="A16" s="334" t="s">
        <v>680</v>
      </c>
      <c r="B16" s="1330">
        <f>B15*5</f>
        <v>91836.734693877544</v>
      </c>
    </row>
    <row r="17" spans="1:4">
      <c r="A17" s="334" t="s">
        <v>681</v>
      </c>
      <c r="B17" s="1331">
        <f>B23/(B24+B29)</f>
        <v>385714.28571428574</v>
      </c>
    </row>
    <row r="18" spans="1:4">
      <c r="C18" s="1330"/>
    </row>
    <row r="19" spans="1:4">
      <c r="A19" s="1332"/>
    </row>
    <row r="22" spans="1:4">
      <c r="A22" s="1333" t="s">
        <v>684</v>
      </c>
    </row>
    <row r="23" spans="1:4">
      <c r="A23" s="334" t="s">
        <v>672</v>
      </c>
      <c r="B23" s="1330">
        <v>10800000</v>
      </c>
      <c r="C23" s="1710" t="s">
        <v>994</v>
      </c>
      <c r="D23" s="1710" t="s">
        <v>995</v>
      </c>
    </row>
    <row r="24" spans="1:4">
      <c r="A24" s="18" t="s">
        <v>673</v>
      </c>
      <c r="B24" s="18">
        <v>19</v>
      </c>
      <c r="C24" s="1712">
        <f>B24/2</f>
        <v>9.5</v>
      </c>
      <c r="D24" s="1712">
        <v>1</v>
      </c>
    </row>
    <row r="25" spans="1:4" outlineLevel="1">
      <c r="A25" s="334" t="s">
        <v>670</v>
      </c>
      <c r="B25" s="334">
        <v>5</v>
      </c>
    </row>
    <row r="26" spans="1:4" outlineLevel="1">
      <c r="A26" s="334" t="s">
        <v>671</v>
      </c>
      <c r="B26" s="334">
        <v>6</v>
      </c>
    </row>
    <row r="27" spans="1:4" outlineLevel="1">
      <c r="A27" s="334" t="s">
        <v>664</v>
      </c>
      <c r="B27" s="334">
        <v>1</v>
      </c>
    </row>
    <row r="28" spans="1:4" outlineLevel="1">
      <c r="A28" s="334" t="s">
        <v>668</v>
      </c>
      <c r="B28" s="334">
        <v>2</v>
      </c>
    </row>
    <row r="29" spans="1:4">
      <c r="A29" s="18" t="s">
        <v>674</v>
      </c>
      <c r="B29" s="18">
        <v>9</v>
      </c>
    </row>
    <row r="30" spans="1:4" outlineLevel="1">
      <c r="A30" s="334" t="s">
        <v>675</v>
      </c>
      <c r="B30" s="334">
        <v>3</v>
      </c>
    </row>
    <row r="31" spans="1:4" outlineLevel="1">
      <c r="A31" s="334" t="s">
        <v>676</v>
      </c>
      <c r="B31" s="334">
        <v>4</v>
      </c>
    </row>
    <row r="32" spans="1:4" outlineLevel="1">
      <c r="A32" s="334" t="s">
        <v>677</v>
      </c>
      <c r="B32" s="334">
        <v>1</v>
      </c>
    </row>
    <row r="33" spans="1:7" outlineLevel="1">
      <c r="A33" s="334" t="s">
        <v>678</v>
      </c>
      <c r="B33" s="334">
        <v>1</v>
      </c>
    </row>
    <row r="35" spans="1:7">
      <c r="B35" s="334">
        <v>6000000</v>
      </c>
    </row>
    <row r="36" spans="1:7">
      <c r="B36" s="334">
        <f>B35/12</f>
        <v>500000</v>
      </c>
    </row>
    <row r="37" spans="1:7" s="1341" customFormat="1" ht="26">
      <c r="A37" s="1341" t="s">
        <v>997</v>
      </c>
    </row>
    <row r="38" spans="1:7">
      <c r="A38" s="1588"/>
      <c r="B38" s="1588"/>
      <c r="C38" s="1327" t="s">
        <v>662</v>
      </c>
      <c r="D38" s="1327" t="s">
        <v>663</v>
      </c>
      <c r="E38" s="1327" t="s">
        <v>665</v>
      </c>
    </row>
    <row r="39" spans="1:7">
      <c r="A39" s="1327" t="s">
        <v>691</v>
      </c>
      <c r="B39" s="1588"/>
      <c r="C39" s="1334">
        <f>D45</f>
        <v>752142.85714285728</v>
      </c>
      <c r="D39" s="1334">
        <f>C39</f>
        <v>752142.85714285728</v>
      </c>
      <c r="E39" s="1334">
        <f>D39/2</f>
        <v>376071.42857142864</v>
      </c>
    </row>
    <row r="40" spans="1:7">
      <c r="A40" s="1327" t="s">
        <v>878</v>
      </c>
      <c r="B40" s="1588"/>
      <c r="C40" s="1334">
        <f>C39*12</f>
        <v>9025714.2857142873</v>
      </c>
      <c r="D40" s="1334">
        <f t="shared" ref="D40:E40" si="0">D39*12</f>
        <v>9025714.2857142873</v>
      </c>
      <c r="E40" s="1702">
        <f t="shared" si="0"/>
        <v>4512857.1428571437</v>
      </c>
    </row>
    <row r="42" spans="1:7">
      <c r="A42" s="1335" t="s">
        <v>692</v>
      </c>
      <c r="B42" s="333" t="s">
        <v>719</v>
      </c>
      <c r="C42" s="333"/>
      <c r="D42" s="1336" t="s">
        <v>693</v>
      </c>
    </row>
    <row r="43" spans="1:7" ht="60">
      <c r="A43" s="1337" t="s">
        <v>682</v>
      </c>
      <c r="B43" s="1338">
        <v>0.1</v>
      </c>
      <c r="C43" s="1339" t="s">
        <v>998</v>
      </c>
      <c r="D43" s="1340">
        <f>B43*C24*B17</f>
        <v>366428.57142857148</v>
      </c>
      <c r="E43" s="1330"/>
      <c r="F43" s="1330"/>
      <c r="G43" s="1330"/>
    </row>
    <row r="44" spans="1:7">
      <c r="A44" s="841" t="s">
        <v>683</v>
      </c>
      <c r="B44" s="1142">
        <v>1</v>
      </c>
      <c r="C44" s="423" t="s">
        <v>877</v>
      </c>
      <c r="D44" s="1489">
        <f>B17</f>
        <v>385714.28571428574</v>
      </c>
    </row>
    <row r="45" spans="1:7">
      <c r="A45" s="1346" t="s">
        <v>694</v>
      </c>
      <c r="B45" s="1347"/>
      <c r="C45" s="1347"/>
      <c r="D45" s="1348">
        <f>SUM(D43:D44)</f>
        <v>752142.85714285728</v>
      </c>
    </row>
    <row r="47" spans="1:7" ht="26">
      <c r="A47" s="1341" t="s">
        <v>996</v>
      </c>
      <c r="B47" s="1341"/>
      <c r="C47" s="1341"/>
      <c r="D47" s="1341"/>
      <c r="E47" s="1341"/>
    </row>
    <row r="48" spans="1:7">
      <c r="A48" s="1588"/>
      <c r="B48" s="1588"/>
      <c r="C48" s="1327" t="s">
        <v>662</v>
      </c>
      <c r="D48" s="1327" t="s">
        <v>663</v>
      </c>
      <c r="E48" s="1327" t="s">
        <v>665</v>
      </c>
    </row>
    <row r="49" spans="1:8">
      <c r="A49" s="1327" t="s">
        <v>691</v>
      </c>
      <c r="B49" s="1588"/>
      <c r="C49" s="1334">
        <f>D55</f>
        <v>212142.85714285716</v>
      </c>
      <c r="D49" s="1334">
        <f>C49</f>
        <v>212142.85714285716</v>
      </c>
      <c r="E49" s="1334">
        <f>D49/2</f>
        <v>106071.42857142858</v>
      </c>
    </row>
    <row r="50" spans="1:8">
      <c r="A50" s="1327" t="s">
        <v>878</v>
      </c>
      <c r="B50" s="1588"/>
      <c r="C50" s="1334">
        <f>C49*12</f>
        <v>2545714.2857142859</v>
      </c>
      <c r="D50" s="1334">
        <f t="shared" ref="D50:E50" si="1">D49*12</f>
        <v>2545714.2857142859</v>
      </c>
      <c r="E50" s="1702">
        <f t="shared" si="1"/>
        <v>1272857.142857143</v>
      </c>
    </row>
    <row r="52" spans="1:8">
      <c r="A52" s="1335" t="s">
        <v>692</v>
      </c>
      <c r="B52" s="333" t="s">
        <v>719</v>
      </c>
      <c r="C52" s="333"/>
      <c r="D52" s="1336" t="s">
        <v>693</v>
      </c>
      <c r="E52" s="1330" t="s">
        <v>1001</v>
      </c>
      <c r="G52" s="334" t="s">
        <v>942</v>
      </c>
    </row>
    <row r="53" spans="1:8" ht="60">
      <c r="A53" s="1337" t="s">
        <v>682</v>
      </c>
      <c r="B53" s="1338">
        <v>0.15</v>
      </c>
      <c r="C53" s="1339" t="s">
        <v>999</v>
      </c>
      <c r="D53" s="1340">
        <f>B53*D24*B17</f>
        <v>57857.142857142862</v>
      </c>
      <c r="E53" s="1711">
        <f>8*B53*21</f>
        <v>25.2</v>
      </c>
      <c r="G53" s="18">
        <v>16</v>
      </c>
      <c r="H53" s="334" t="s">
        <v>1000</v>
      </c>
    </row>
    <row r="54" spans="1:8">
      <c r="A54" s="841" t="s">
        <v>683</v>
      </c>
      <c r="B54" s="1142">
        <v>0.4</v>
      </c>
      <c r="C54" s="61" t="s">
        <v>877</v>
      </c>
      <c r="D54" s="1489">
        <f>D44*B54</f>
        <v>154285.71428571429</v>
      </c>
      <c r="E54" s="1711">
        <f>8*B54*21</f>
        <v>67.2</v>
      </c>
    </row>
    <row r="55" spans="1:8">
      <c r="A55" s="1346" t="s">
        <v>694</v>
      </c>
      <c r="B55" s="1347"/>
      <c r="C55" s="1347"/>
      <c r="D55" s="1348">
        <f>SUM(D53:D54)</f>
        <v>212142.85714285716</v>
      </c>
      <c r="E55" s="1714">
        <f>E53+E54</f>
        <v>92.4</v>
      </c>
    </row>
    <row r="59" spans="1:8">
      <c r="D59" s="1330"/>
    </row>
    <row r="70" spans="1:7">
      <c r="A70" s="4"/>
      <c r="B70" s="4"/>
      <c r="C70" s="4"/>
      <c r="D70" s="4"/>
      <c r="E70" s="4"/>
      <c r="F70" s="4"/>
      <c r="G70" s="4"/>
    </row>
    <row r="71" spans="1:7">
      <c r="B71" s="4"/>
      <c r="C71" s="4"/>
      <c r="D71" s="4"/>
      <c r="E71" s="4"/>
      <c r="F71" s="4"/>
      <c r="G71" s="4"/>
    </row>
  </sheetData>
  <pageMargins left="0.7" right="0.7" top="0.75" bottom="0.75" header="0.3" footer="0.3"/>
  <legacy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CA4B24-FD46-DF47-88DF-66FA024C0671}">
  <sheetPr codeName="Лист12"/>
  <dimension ref="A1:E48"/>
  <sheetViews>
    <sheetView workbookViewId="0">
      <selection activeCell="E28" sqref="E28"/>
    </sheetView>
  </sheetViews>
  <sheetFormatPr baseColWidth="10" defaultColWidth="10.83203125" defaultRowHeight="16" outlineLevelRow="1"/>
  <cols>
    <col min="1" max="1" width="72.83203125" style="95" customWidth="1"/>
    <col min="2" max="2" width="19.33203125" style="95" customWidth="1"/>
    <col min="3" max="3" width="21.6640625" style="95" customWidth="1"/>
    <col min="4" max="4" width="20.83203125" style="95" customWidth="1"/>
    <col min="5" max="16384" width="10.83203125" style="95"/>
  </cols>
  <sheetData>
    <row r="1" spans="1:4" s="93" customFormat="1" ht="85">
      <c r="A1" s="1592"/>
      <c r="B1" s="1597" t="s">
        <v>880</v>
      </c>
      <c r="C1" s="1597" t="s">
        <v>910</v>
      </c>
      <c r="D1" s="1597" t="s">
        <v>911</v>
      </c>
    </row>
    <row r="2" spans="1:4" ht="31" customHeight="1">
      <c r="A2" s="1604" t="s">
        <v>500</v>
      </c>
      <c r="B2" s="1606">
        <f t="shared" ref="B2" si="0">B22</f>
        <v>1046442.6</v>
      </c>
      <c r="C2" s="1606" t="e">
        <f>C22</f>
        <v>#REF!</v>
      </c>
      <c r="D2" s="1606">
        <f>D22</f>
        <v>1046442.6</v>
      </c>
    </row>
    <row r="3" spans="1:4" ht="31" customHeight="1">
      <c r="A3" s="1604" t="s">
        <v>899</v>
      </c>
      <c r="B3" s="1606">
        <f>B4+B5</f>
        <v>7957816.0302026421</v>
      </c>
      <c r="C3" s="1606">
        <f>C4+C5</f>
        <v>7957816.0302026421</v>
      </c>
      <c r="D3" s="1606" t="e">
        <f>D4+D5</f>
        <v>#REF!</v>
      </c>
    </row>
    <row r="4" spans="1:4" ht="17">
      <c r="A4" s="1597" t="s">
        <v>506</v>
      </c>
      <c r="B4" s="1611">
        <f>B39</f>
        <v>704956.51890000014</v>
      </c>
      <c r="C4" s="1611">
        <f t="shared" ref="C4:D4" si="1">C39</f>
        <v>704956.51890000014</v>
      </c>
      <c r="D4" s="1611" t="e">
        <f t="shared" si="1"/>
        <v>#REF!</v>
      </c>
    </row>
    <row r="5" spans="1:4" ht="17">
      <c r="A5" s="1597" t="s">
        <v>508</v>
      </c>
      <c r="B5" s="1611">
        <f>B48</f>
        <v>7252859.5113026416</v>
      </c>
      <c r="C5" s="1611">
        <f>C48</f>
        <v>7252859.5113026416</v>
      </c>
      <c r="D5" s="1611">
        <f>D48</f>
        <v>4343877.2028406989</v>
      </c>
    </row>
    <row r="7" spans="1:4" ht="17" hidden="1" outlineLevel="1">
      <c r="A7" s="1597" t="s">
        <v>912</v>
      </c>
      <c r="B7" s="1593">
        <f>Воронка!R55</f>
        <v>7956567.1341326414</v>
      </c>
      <c r="D7" s="1607">
        <f>Воронка!K55</f>
        <v>5047584.8256706996</v>
      </c>
    </row>
    <row r="8" spans="1:4" ht="17" hidden="1" outlineLevel="1">
      <c r="A8" s="1597" t="s">
        <v>506</v>
      </c>
      <c r="B8" s="1593">
        <f>Воронка!R56</f>
        <v>703707.62283000012</v>
      </c>
      <c r="C8" s="1593"/>
      <c r="D8" s="1593">
        <f>Воронка!K56</f>
        <v>703707.62283000012</v>
      </c>
    </row>
    <row r="9" spans="1:4" ht="17" hidden="1" outlineLevel="1">
      <c r="A9" s="1597" t="s">
        <v>508</v>
      </c>
      <c r="B9" s="1593">
        <f>Воронка!R65</f>
        <v>7252859.5113026416</v>
      </c>
      <c r="C9" s="1593"/>
      <c r="D9" s="1593">
        <f>Воронка!K65</f>
        <v>4343877.2028406989</v>
      </c>
    </row>
    <row r="10" spans="1:4" hidden="1" outlineLevel="1">
      <c r="A10" s="582"/>
      <c r="B10" s="1593">
        <f>B7-B3</f>
        <v>-1248.8960700007156</v>
      </c>
      <c r="C10" s="1593">
        <f t="shared" ref="C10:D10" si="2">C7-C3</f>
        <v>-7957816.0302026421</v>
      </c>
      <c r="D10" s="1593" t="e">
        <f t="shared" si="2"/>
        <v>#REF!</v>
      </c>
    </row>
    <row r="11" spans="1:4" hidden="1" outlineLevel="1">
      <c r="A11" s="582"/>
      <c r="B11" s="1593">
        <f t="shared" ref="B11:D13" si="3">B8-B4</f>
        <v>-1248.8960700000171</v>
      </c>
      <c r="C11" s="1593">
        <f t="shared" si="3"/>
        <v>-704956.51890000014</v>
      </c>
      <c r="D11" s="1593" t="e">
        <f t="shared" si="3"/>
        <v>#REF!</v>
      </c>
    </row>
    <row r="12" spans="1:4" hidden="1" outlineLevel="1">
      <c r="A12" s="582"/>
      <c r="B12" s="1593">
        <f t="shared" si="3"/>
        <v>0</v>
      </c>
      <c r="C12" s="1593">
        <f t="shared" si="3"/>
        <v>-7252859.5113026416</v>
      </c>
      <c r="D12" s="1593">
        <f t="shared" si="3"/>
        <v>0</v>
      </c>
    </row>
    <row r="13" spans="1:4" hidden="1" outlineLevel="1">
      <c r="A13" s="582"/>
      <c r="B13" s="1593">
        <f t="shared" si="3"/>
        <v>-1248.8960700007156</v>
      </c>
      <c r="C13" s="1593">
        <f t="shared" si="3"/>
        <v>-7957816.0302026421</v>
      </c>
      <c r="D13" s="1593" t="e">
        <f t="shared" si="3"/>
        <v>#REF!</v>
      </c>
    </row>
    <row r="14" spans="1:4" hidden="1" outlineLevel="1">
      <c r="A14" s="582"/>
      <c r="B14" s="1593"/>
      <c r="D14" s="1593"/>
    </row>
    <row r="15" spans="1:4" collapsed="1">
      <c r="A15" s="582"/>
    </row>
    <row r="16" spans="1:4" ht="17">
      <c r="A16" s="1612" t="s">
        <v>882</v>
      </c>
    </row>
    <row r="17" spans="1:5" s="1608" customFormat="1">
      <c r="A17" s="1609" t="s">
        <v>500</v>
      </c>
    </row>
    <row r="18" spans="1:5">
      <c r="A18" s="95" t="s">
        <v>886</v>
      </c>
      <c r="B18" s="1593">
        <f>D18</f>
        <v>212</v>
      </c>
      <c r="C18" s="1593">
        <v>212</v>
      </c>
      <c r="D18" s="1593">
        <f>C18</f>
        <v>212</v>
      </c>
    </row>
    <row r="19" spans="1:5">
      <c r="A19" s="95" t="s">
        <v>887</v>
      </c>
      <c r="B19" s="1593">
        <f>D19</f>
        <v>21.2</v>
      </c>
      <c r="C19" s="1593">
        <f>C18/10</f>
        <v>21.2</v>
      </c>
      <c r="D19" s="1593">
        <f>C19</f>
        <v>21.2</v>
      </c>
    </row>
    <row r="20" spans="1:5">
      <c r="A20" s="95" t="s">
        <v>888</v>
      </c>
      <c r="B20" s="1593">
        <f>D20</f>
        <v>84.8</v>
      </c>
      <c r="C20" s="1593">
        <f>C19*4</f>
        <v>84.8</v>
      </c>
      <c r="D20" s="1593">
        <f>C20</f>
        <v>84.8</v>
      </c>
    </row>
    <row r="21" spans="1:5">
      <c r="A21" s="95" t="s">
        <v>884</v>
      </c>
      <c r="B21" s="1594">
        <f>Воронка!R11</f>
        <v>12340.125</v>
      </c>
      <c r="C21" s="1594" t="e">
        <f>Воронка!#REF!</f>
        <v>#REF!</v>
      </c>
      <c r="D21" s="1594">
        <f>Воронка!K11</f>
        <v>12340.125</v>
      </c>
    </row>
    <row r="22" spans="1:5">
      <c r="A22" s="583" t="s">
        <v>889</v>
      </c>
      <c r="B22" s="1595">
        <f t="shared" ref="B22" si="4">B21*B20</f>
        <v>1046442.6</v>
      </c>
      <c r="C22" s="1595" t="e">
        <f>C21*C20</f>
        <v>#REF!</v>
      </c>
      <c r="D22" s="1595">
        <f>D21*D20</f>
        <v>1046442.6</v>
      </c>
    </row>
    <row r="26" spans="1:5" s="1609" customFormat="1">
      <c r="A26" s="1609" t="s">
        <v>506</v>
      </c>
    </row>
    <row r="27" spans="1:5" s="1591" customFormat="1">
      <c r="A27" s="1591" t="s">
        <v>893</v>
      </c>
    </row>
    <row r="28" spans="1:5">
      <c r="A28" s="95" t="s">
        <v>890</v>
      </c>
      <c r="B28" s="1596">
        <f>D28</f>
        <v>2.7</v>
      </c>
      <c r="C28" s="1596">
        <v>2.7</v>
      </c>
      <c r="D28" s="1596">
        <f>C28</f>
        <v>2.7</v>
      </c>
      <c r="E28" s="1596"/>
    </row>
    <row r="29" spans="1:5">
      <c r="A29" s="95" t="s">
        <v>891</v>
      </c>
      <c r="B29" s="1594">
        <f>D29</f>
        <v>15542.8125</v>
      </c>
      <c r="C29" s="1598">
        <v>15542.8125</v>
      </c>
      <c r="D29" s="1594">
        <f>C29</f>
        <v>15542.8125</v>
      </c>
    </row>
    <row r="30" spans="1:5">
      <c r="A30" s="95" t="s">
        <v>905</v>
      </c>
      <c r="B30" s="1605">
        <v>2.08</v>
      </c>
      <c r="C30" s="1610">
        <f>B30</f>
        <v>2.08</v>
      </c>
      <c r="D30" s="1610">
        <f>C30</f>
        <v>2.08</v>
      </c>
    </row>
    <row r="31" spans="1:5">
      <c r="A31" s="95" t="s">
        <v>892</v>
      </c>
      <c r="B31" s="1233">
        <f>D31</f>
        <v>0.62</v>
      </c>
      <c r="C31" s="1599">
        <v>0.62</v>
      </c>
      <c r="D31" s="1233">
        <f>C31</f>
        <v>0.62</v>
      </c>
    </row>
    <row r="32" spans="1:5">
      <c r="A32" s="588" t="s">
        <v>908</v>
      </c>
      <c r="B32" s="1600">
        <f>B29*B31*B28*B30*12</f>
        <v>649425.95640000014</v>
      </c>
      <c r="C32" s="1600">
        <f>C29*C31*C28*C30*12</f>
        <v>649425.95640000014</v>
      </c>
      <c r="D32" s="1600">
        <f>D29*D31*D28*D30*12</f>
        <v>649425.95640000014</v>
      </c>
    </row>
    <row r="33" spans="1:4" s="1591" customFormat="1">
      <c r="A33" s="1591" t="s">
        <v>511</v>
      </c>
    </row>
    <row r="34" spans="1:4">
      <c r="A34" s="95" t="s">
        <v>890</v>
      </c>
      <c r="B34" s="1596">
        <f>B28</f>
        <v>2.7</v>
      </c>
      <c r="C34" s="1596">
        <f>C28</f>
        <v>2.7</v>
      </c>
      <c r="D34" s="1596">
        <f>D28</f>
        <v>2.7</v>
      </c>
    </row>
    <row r="35" spans="1:4">
      <c r="A35" s="95" t="s">
        <v>906</v>
      </c>
      <c r="B35" s="1594">
        <f>Воронка!K7</f>
        <v>58762.5</v>
      </c>
      <c r="C35" s="1594">
        <f>B35</f>
        <v>58762.5</v>
      </c>
      <c r="D35" s="1594" t="e">
        <f>Воронка!#REF!</f>
        <v>#REF!</v>
      </c>
    </row>
    <row r="36" spans="1:4">
      <c r="A36" s="95" t="s">
        <v>913</v>
      </c>
      <c r="B36" s="1233">
        <v>0.35</v>
      </c>
      <c r="C36" s="1233">
        <v>0.35</v>
      </c>
      <c r="D36" s="1233">
        <v>0.35</v>
      </c>
    </row>
    <row r="37" spans="1:4">
      <c r="A37" s="588" t="s">
        <v>907</v>
      </c>
      <c r="B37" s="1600">
        <f>B34*B35*B36</f>
        <v>55530.5625</v>
      </c>
      <c r="C37" s="1600">
        <f t="shared" ref="C37:D37" si="5">C34*C35*C36</f>
        <v>55530.5625</v>
      </c>
      <c r="D37" s="1600" t="e">
        <f t="shared" si="5"/>
        <v>#REF!</v>
      </c>
    </row>
    <row r="38" spans="1:4">
      <c r="B38" s="1593"/>
      <c r="C38" s="1593"/>
      <c r="D38" s="1593"/>
    </row>
    <row r="39" spans="1:4">
      <c r="A39" s="588" t="s">
        <v>909</v>
      </c>
      <c r="B39" s="1600">
        <f>B37+B32</f>
        <v>704956.51890000014</v>
      </c>
      <c r="C39" s="1600">
        <f t="shared" ref="C39:D39" si="6">C37+C32</f>
        <v>704956.51890000014</v>
      </c>
      <c r="D39" s="1600" t="e">
        <f t="shared" si="6"/>
        <v>#REF!</v>
      </c>
    </row>
    <row r="43" spans="1:4" s="1609" customFormat="1">
      <c r="A43" s="1609" t="s">
        <v>896</v>
      </c>
    </row>
    <row r="44" spans="1:4">
      <c r="A44" s="95" t="s">
        <v>883</v>
      </c>
      <c r="B44" s="1593">
        <f>D44</f>
        <v>212</v>
      </c>
      <c r="C44" s="1593">
        <v>212</v>
      </c>
      <c r="D44" s="1593">
        <f>C44</f>
        <v>212</v>
      </c>
    </row>
    <row r="45" spans="1:4">
      <c r="A45" s="95" t="s">
        <v>885</v>
      </c>
      <c r="B45" s="1594">
        <f>Воронка!R21</f>
        <v>5901.3146734129887</v>
      </c>
      <c r="C45" s="1594" t="e">
        <f>Воронка!#REF!</f>
        <v>#REF!</v>
      </c>
      <c r="D45" s="1594">
        <f>Воронка!K21</f>
        <v>4019.7846253360653</v>
      </c>
    </row>
    <row r="46" spans="1:4">
      <c r="A46" s="95" t="s">
        <v>894</v>
      </c>
      <c r="B46" s="1601" t="s">
        <v>895</v>
      </c>
      <c r="C46" s="1601" t="s">
        <v>895</v>
      </c>
      <c r="D46" s="1601" t="s">
        <v>895</v>
      </c>
    </row>
    <row r="47" spans="1:4" s="1602" customFormat="1">
      <c r="A47" s="1602" t="s">
        <v>898</v>
      </c>
      <c r="B47" s="1603">
        <f>B45*B44*6</f>
        <v>7506472.2645813217</v>
      </c>
      <c r="C47" s="1603" t="e">
        <f>C45*C44*6</f>
        <v>#REF!</v>
      </c>
      <c r="D47" s="1603">
        <f>D45*D44*6</f>
        <v>5113166.0434274748</v>
      </c>
    </row>
    <row r="48" spans="1:4">
      <c r="A48" s="583" t="s">
        <v>897</v>
      </c>
      <c r="B48" s="1600">
        <f>Воронка!R65</f>
        <v>7252859.5113026416</v>
      </c>
      <c r="C48" s="1600">
        <f>B48</f>
        <v>7252859.5113026416</v>
      </c>
      <c r="D48" s="1600">
        <f>Воронка!K65</f>
        <v>4343877.2028406989</v>
      </c>
    </row>
  </sheetData>
  <pageMargins left="0.7" right="0.7" top="0.75" bottom="0.75" header="0.3" footer="0.3"/>
  <legacy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BA65FC-F9DA-994E-9B4A-65588657EC28}">
  <sheetPr codeName="Лист14"/>
  <dimension ref="A1:BT249"/>
  <sheetViews>
    <sheetView zoomScale="90" zoomScaleNormal="90" workbookViewId="0">
      <selection activeCell="C9" sqref="C9"/>
    </sheetView>
  </sheetViews>
  <sheetFormatPr baseColWidth="10" defaultColWidth="10.83203125" defaultRowHeight="19" outlineLevelRow="2" outlineLevelCol="2"/>
  <cols>
    <col min="1" max="1" width="60.5" style="87" customWidth="1"/>
    <col min="2" max="2" width="18.33203125" style="1" customWidth="1" outlineLevel="1"/>
    <col min="3" max="3" width="14.33203125" style="1" customWidth="1" outlineLevel="1"/>
    <col min="4" max="4" width="15.33203125" style="1057" customWidth="1"/>
    <col min="5" max="5" width="15.33203125" style="1" customWidth="1"/>
    <col min="6" max="6" width="19" style="295" customWidth="1"/>
    <col min="7" max="7" width="14.33203125" style="1" customWidth="1" outlineLevel="1"/>
    <col min="8" max="8" width="12.1640625" style="2" customWidth="1"/>
    <col min="9" max="11" width="19.33203125" style="1" customWidth="1" outlineLevel="1"/>
    <col min="12" max="12" width="20.6640625" style="1" customWidth="1" outlineLevel="1"/>
    <col min="13" max="13" width="17.33203125" style="295" customWidth="1"/>
    <col min="14" max="14" width="10.1640625" style="1" customWidth="1" outlineLevel="1"/>
    <col min="15" max="15" width="13.5" style="1" customWidth="1"/>
    <col min="16" max="19" width="16" style="1" customWidth="1" outlineLevel="1"/>
    <col min="20" max="20" width="21.6640625" style="295" customWidth="1"/>
    <col min="21" max="21" width="12.6640625" style="1" customWidth="1" outlineLevel="1"/>
    <col min="22" max="24" width="17" style="1" customWidth="1" outlineLevel="2"/>
    <col min="25" max="25" width="17.33203125" style="1" customWidth="1" outlineLevel="2"/>
    <col min="26" max="26" width="16.6640625" style="295" customWidth="1" outlineLevel="1"/>
    <col min="27" max="29" width="10" style="1" customWidth="1" outlineLevel="2"/>
    <col min="30" max="30" width="12.5" style="1" customWidth="1" outlineLevel="1"/>
    <col min="31" max="34" width="14.33203125" style="1" customWidth="1" outlineLevel="2"/>
    <col min="35" max="35" width="14.33203125" style="1" customWidth="1" outlineLevel="1"/>
    <col min="36" max="36" width="12.5" style="28" customWidth="1" outlineLevel="1"/>
    <col min="37" max="40" width="14.33203125" style="1" customWidth="1" outlineLevel="2"/>
    <col min="41" max="41" width="14.33203125" style="24" customWidth="1" outlineLevel="1"/>
    <col min="42" max="42" width="16.33203125" style="295" customWidth="1" outlineLevel="1"/>
    <col min="43" max="47" width="11.83203125" style="1" customWidth="1"/>
    <col min="48" max="48" width="13.83203125" style="1" customWidth="1"/>
    <col min="49" max="49" width="16.33203125" style="1" customWidth="1"/>
    <col min="50" max="54" width="17" style="1" customWidth="1"/>
    <col min="55" max="60" width="10.83203125" style="423"/>
    <col min="61" max="72" width="17" style="1" customWidth="1"/>
    <col min="73" max="16384" width="10.83203125" style="423"/>
  </cols>
  <sheetData>
    <row r="1" spans="1:72" s="61" customFormat="1" ht="30" customHeight="1" outlineLevel="1" thickBot="1">
      <c r="A1" s="436"/>
      <c r="B1" s="13"/>
      <c r="C1" s="13"/>
      <c r="D1" s="1066"/>
      <c r="E1" s="2110" t="s">
        <v>798</v>
      </c>
      <c r="F1" s="2111"/>
      <c r="G1" s="13"/>
      <c r="H1" s="260" t="s">
        <v>799</v>
      </c>
      <c r="I1" s="260"/>
      <c r="J1" s="260"/>
      <c r="K1" s="260"/>
      <c r="L1" s="260"/>
      <c r="M1" s="516"/>
      <c r="O1" s="1324" t="s">
        <v>800</v>
      </c>
      <c r="P1" s="103"/>
      <c r="Q1" s="103"/>
      <c r="R1" s="103"/>
      <c r="S1" s="103"/>
      <c r="T1" s="1325"/>
      <c r="U1" s="1324" t="s">
        <v>649</v>
      </c>
      <c r="V1" s="103"/>
      <c r="W1" s="103"/>
      <c r="X1" s="103"/>
      <c r="Y1" s="103"/>
      <c r="Z1" s="1325"/>
      <c r="AA1" s="103"/>
      <c r="AB1" s="103"/>
      <c r="AC1" s="103"/>
      <c r="AD1" s="1324" t="s">
        <v>649</v>
      </c>
      <c r="AE1" s="103"/>
      <c r="AF1" s="103"/>
      <c r="AG1" s="103"/>
      <c r="AH1" s="103"/>
      <c r="AI1" s="103"/>
      <c r="AJ1" s="103"/>
      <c r="AK1" s="103"/>
      <c r="AL1" s="103"/>
      <c r="AM1" s="103"/>
      <c r="AN1" s="103"/>
      <c r="AO1" s="103"/>
      <c r="AP1" s="1325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</row>
    <row r="2" spans="1:72" s="799" customFormat="1" ht="73" customHeight="1">
      <c r="A2" s="1388" t="s">
        <v>881</v>
      </c>
      <c r="B2" s="1"/>
      <c r="C2" s="1"/>
      <c r="D2" s="1054"/>
      <c r="E2" s="2112" t="s">
        <v>803</v>
      </c>
      <c r="F2" s="2100"/>
      <c r="G2" s="1022"/>
      <c r="H2" s="2099" t="s">
        <v>879</v>
      </c>
      <c r="I2" s="2099"/>
      <c r="J2" s="2099"/>
      <c r="K2" s="2099"/>
      <c r="L2" s="2099"/>
      <c r="M2" s="2100"/>
      <c r="N2" s="1035"/>
      <c r="O2" s="2106" t="s">
        <v>880</v>
      </c>
      <c r="P2" s="2106"/>
      <c r="Q2" s="2106"/>
      <c r="R2" s="2106"/>
      <c r="S2" s="2106"/>
      <c r="T2" s="2107"/>
      <c r="U2" s="309" t="s">
        <v>401</v>
      </c>
      <c r="V2" s="670"/>
      <c r="W2" s="310"/>
      <c r="X2" s="310"/>
      <c r="Y2" s="310"/>
      <c r="Z2" s="1311"/>
      <c r="AB2" s="86"/>
      <c r="AC2" s="86"/>
      <c r="AD2" s="2096" t="s">
        <v>601</v>
      </c>
      <c r="AE2" s="2097"/>
      <c r="AF2" s="2097"/>
      <c r="AG2" s="2097"/>
      <c r="AH2" s="2097"/>
      <c r="AI2" s="2097"/>
      <c r="AJ2" s="2097"/>
      <c r="AK2" s="2097"/>
      <c r="AL2" s="2097"/>
      <c r="AM2" s="2097"/>
      <c r="AN2" s="2097"/>
      <c r="AO2" s="2097"/>
      <c r="AP2" s="2098"/>
      <c r="AQ2" s="134"/>
      <c r="AR2" s="85"/>
      <c r="AS2" s="86"/>
      <c r="AT2" s="86"/>
      <c r="AU2" s="86"/>
      <c r="AV2" s="1211"/>
      <c r="AW2" s="1212"/>
      <c r="AX2" s="85"/>
      <c r="AY2" s="86"/>
      <c r="AZ2" s="86"/>
      <c r="BA2" s="86"/>
      <c r="BB2" s="1211"/>
    </row>
    <row r="3" spans="1:72" s="454" customFormat="1" ht="20" thickBot="1">
      <c r="A3" s="91"/>
      <c r="B3" s="88"/>
      <c r="C3" s="88"/>
      <c r="D3" s="1055"/>
      <c r="E3" s="88"/>
      <c r="F3" s="329"/>
      <c r="G3" s="88"/>
      <c r="H3" s="859"/>
      <c r="I3" s="88"/>
      <c r="J3" s="860"/>
      <c r="K3" s="860"/>
      <c r="L3" s="860"/>
      <c r="M3" s="861"/>
      <c r="N3" s="860"/>
      <c r="O3" s="859"/>
      <c r="P3" s="88"/>
      <c r="Q3" s="860"/>
      <c r="R3" s="860"/>
      <c r="S3" s="860"/>
      <c r="T3" s="861"/>
      <c r="U3" s="859"/>
      <c r="V3" s="88"/>
      <c r="W3" s="860"/>
      <c r="X3" s="860"/>
      <c r="Y3" s="860"/>
      <c r="Z3" s="861"/>
      <c r="AA3" s="860"/>
      <c r="AB3" s="860"/>
      <c r="AC3" s="860"/>
      <c r="AD3" s="2090" t="s">
        <v>447</v>
      </c>
      <c r="AE3" s="2091"/>
      <c r="AF3" s="2091"/>
      <c r="AG3" s="2091"/>
      <c r="AH3" s="2091"/>
      <c r="AI3" s="2092"/>
      <c r="AJ3" s="2093" t="s">
        <v>446</v>
      </c>
      <c r="AK3" s="2094"/>
      <c r="AL3" s="2094"/>
      <c r="AM3" s="2094"/>
      <c r="AN3" s="2094"/>
      <c r="AO3" s="2095"/>
      <c r="AP3" s="861"/>
      <c r="AQ3" s="867"/>
      <c r="AR3" s="88"/>
      <c r="AS3" s="860"/>
      <c r="AT3" s="860"/>
      <c r="AU3" s="860"/>
      <c r="AV3" s="868"/>
      <c r="AW3" s="867"/>
      <c r="AX3" s="88"/>
      <c r="AY3" s="860"/>
      <c r="AZ3" s="860"/>
      <c r="BA3" s="860"/>
      <c r="BB3" s="868"/>
    </row>
    <row r="4" spans="1:72" s="578" customFormat="1" ht="80" customHeight="1">
      <c r="A4" s="576" t="s">
        <v>39</v>
      </c>
      <c r="B4" s="970" t="s">
        <v>536</v>
      </c>
      <c r="C4" s="970" t="s">
        <v>536</v>
      </c>
      <c r="D4" s="1056" t="s">
        <v>554</v>
      </c>
      <c r="E4" s="627" t="s">
        <v>402</v>
      </c>
      <c r="F4" s="348" t="s">
        <v>420</v>
      </c>
      <c r="G4" s="1221" t="s">
        <v>622</v>
      </c>
      <c r="H4" s="627" t="s">
        <v>402</v>
      </c>
      <c r="I4" s="347" t="s">
        <v>37</v>
      </c>
      <c r="J4" s="347" t="s">
        <v>214</v>
      </c>
      <c r="K4" s="347" t="s">
        <v>210</v>
      </c>
      <c r="L4" s="347" t="s">
        <v>209</v>
      </c>
      <c r="M4" s="348" t="s">
        <v>420</v>
      </c>
      <c r="N4" s="1221" t="s">
        <v>622</v>
      </c>
      <c r="O4" s="627" t="s">
        <v>402</v>
      </c>
      <c r="P4" s="347" t="s">
        <v>301</v>
      </c>
      <c r="Q4" s="347" t="s">
        <v>302</v>
      </c>
      <c r="R4" s="347" t="s">
        <v>303</v>
      </c>
      <c r="S4" s="347" t="s">
        <v>304</v>
      </c>
      <c r="T4" s="348" t="s">
        <v>420</v>
      </c>
      <c r="U4" s="627" t="s">
        <v>402</v>
      </c>
      <c r="V4" s="347" t="s">
        <v>301</v>
      </c>
      <c r="W4" s="347" t="s">
        <v>302</v>
      </c>
      <c r="X4" s="347" t="s">
        <v>303</v>
      </c>
      <c r="Y4" s="347" t="s">
        <v>304</v>
      </c>
      <c r="Z4" s="348" t="s">
        <v>420</v>
      </c>
      <c r="AA4" s="1019" t="s">
        <v>557</v>
      </c>
      <c r="AB4" s="1019" t="s">
        <v>556</v>
      </c>
      <c r="AC4" s="1019" t="s">
        <v>555</v>
      </c>
      <c r="AD4" s="659" t="s">
        <v>402</v>
      </c>
      <c r="AE4" s="85" t="s">
        <v>301</v>
      </c>
      <c r="AF4" s="85" t="s">
        <v>302</v>
      </c>
      <c r="AG4" s="85" t="s">
        <v>303</v>
      </c>
      <c r="AH4" s="85" t="s">
        <v>304</v>
      </c>
      <c r="AI4" s="660" t="s">
        <v>443</v>
      </c>
      <c r="AJ4" s="661" t="s">
        <v>402</v>
      </c>
      <c r="AK4" s="85" t="s">
        <v>301</v>
      </c>
      <c r="AL4" s="85" t="s">
        <v>302</v>
      </c>
      <c r="AM4" s="85" t="s">
        <v>303</v>
      </c>
      <c r="AN4" s="85" t="s">
        <v>304</v>
      </c>
      <c r="AO4" s="660" t="s">
        <v>444</v>
      </c>
      <c r="AP4" s="680" t="s">
        <v>445</v>
      </c>
      <c r="AQ4" s="1213"/>
      <c r="AR4" s="347"/>
      <c r="AS4" s="347"/>
      <c r="AT4" s="347"/>
      <c r="AU4" s="347"/>
      <c r="AV4" s="412"/>
      <c r="AW4" s="1214"/>
      <c r="AX4" s="347"/>
      <c r="AY4" s="347"/>
      <c r="AZ4" s="347"/>
      <c r="BA4" s="347"/>
      <c r="BB4" s="412"/>
    </row>
    <row r="5" spans="1:72" ht="20">
      <c r="A5" s="87" t="s">
        <v>45</v>
      </c>
      <c r="B5" s="971"/>
      <c r="C5" s="971"/>
      <c r="E5" s="74">
        <f>O5</f>
        <v>1</v>
      </c>
      <c r="F5" s="301">
        <f>T5</f>
        <v>117525</v>
      </c>
      <c r="G5" s="662"/>
      <c r="H5" s="789">
        <v>1</v>
      </c>
      <c r="I5" s="1">
        <f>'База селлеров'!B63</f>
        <v>79000</v>
      </c>
      <c r="J5" s="1">
        <f>'База селлеров'!C63</f>
        <v>33000</v>
      </c>
      <c r="K5" s="1">
        <f>'База селлеров'!D67</f>
        <v>1820.0000000000002</v>
      </c>
      <c r="L5" s="1">
        <f>'База селлеров'!E67</f>
        <v>3705</v>
      </c>
      <c r="M5" s="297">
        <f>SUM(I5:L5)</f>
        <v>117525</v>
      </c>
      <c r="N5" s="13"/>
      <c r="O5" s="74">
        <f>H5</f>
        <v>1</v>
      </c>
      <c r="P5" s="1">
        <f>I5</f>
        <v>79000</v>
      </c>
      <c r="Q5" s="1">
        <f>J5</f>
        <v>33000</v>
      </c>
      <c r="R5" s="1">
        <f>K5</f>
        <v>1820.0000000000002</v>
      </c>
      <c r="S5" s="1">
        <f>L5</f>
        <v>3705</v>
      </c>
      <c r="T5" s="297">
        <f>SUM(P5:S5)</f>
        <v>117525</v>
      </c>
      <c r="U5" s="74">
        <f>O5</f>
        <v>1</v>
      </c>
      <c r="V5" s="1">
        <f>P5</f>
        <v>79000</v>
      </c>
      <c r="W5" s="1">
        <f>Q5</f>
        <v>33000</v>
      </c>
      <c r="X5" s="1">
        <f>R5</f>
        <v>1820.0000000000002</v>
      </c>
      <c r="Y5" s="1">
        <f>S5</f>
        <v>3705</v>
      </c>
      <c r="Z5" s="297">
        <f>SUM(V5:Y5)</f>
        <v>117525</v>
      </c>
      <c r="AA5" s="663"/>
      <c r="AB5" s="663"/>
      <c r="AC5" s="663"/>
      <c r="AD5" s="87"/>
      <c r="AE5" s="154">
        <f>V5*V135</f>
        <v>70079.174723972304</v>
      </c>
      <c r="AF5" s="154">
        <f>W5*W135</f>
        <v>27249.295112781954</v>
      </c>
      <c r="AG5" s="154">
        <f>X5*X135</f>
        <v>1564.9857633945626</v>
      </c>
      <c r="AH5" s="154">
        <f>Y5*Y135</f>
        <v>3185.8638754817875</v>
      </c>
      <c r="AI5" s="681">
        <f>SUM(AE5:AH5)</f>
        <v>102079.31947563062</v>
      </c>
      <c r="AK5" s="154">
        <f>V5-AE5</f>
        <v>8920.8252760276955</v>
      </c>
      <c r="AL5" s="154">
        <f>W5-AF5</f>
        <v>5750.7048872180458</v>
      </c>
      <c r="AM5" s="154">
        <f>X5-AG5</f>
        <v>255.01423660543765</v>
      </c>
      <c r="AN5" s="154">
        <f>Y5-AH5</f>
        <v>519.13612451821245</v>
      </c>
      <c r="AO5" s="681">
        <f>SUM(AK5:AN5)</f>
        <v>15445.680524369391</v>
      </c>
      <c r="AP5" s="301">
        <f>AI5+AO5</f>
        <v>117525.00000000001</v>
      </c>
      <c r="AV5" s="24"/>
      <c r="AW5" s="28"/>
      <c r="BB5" s="24"/>
      <c r="BI5" s="423"/>
      <c r="BJ5" s="423"/>
      <c r="BK5" s="423"/>
      <c r="BL5" s="423"/>
      <c r="BM5" s="423"/>
      <c r="BN5" s="423"/>
      <c r="BO5" s="423"/>
      <c r="BP5" s="423"/>
      <c r="BQ5" s="423"/>
      <c r="BR5" s="423"/>
      <c r="BS5" s="423"/>
      <c r="BT5" s="423"/>
    </row>
    <row r="6" spans="1:72" s="272" customFormat="1" ht="20" outlineLevel="1">
      <c r="A6" s="349" t="s">
        <v>318</v>
      </c>
      <c r="B6" s="971"/>
      <c r="C6" s="971"/>
      <c r="D6" s="1058"/>
      <c r="E6" s="74">
        <f t="shared" ref="E6:E20" si="0">O6</f>
        <v>0</v>
      </c>
      <c r="F6" s="301">
        <f t="shared" ref="F6:F21" si="1">T6</f>
        <v>0</v>
      </c>
      <c r="G6" s="662"/>
      <c r="H6" s="790"/>
      <c r="I6" s="662"/>
      <c r="J6" s="662"/>
      <c r="K6" s="285">
        <f>'База селлеров'!D69</f>
        <v>130.00000000000023</v>
      </c>
      <c r="L6" s="285">
        <f>'База селлеров'!E69</f>
        <v>1233</v>
      </c>
      <c r="M6" s="350"/>
      <c r="N6" s="663"/>
      <c r="O6" s="1021"/>
      <c r="P6" s="662"/>
      <c r="Q6" s="662"/>
      <c r="R6" s="285">
        <f>K6</f>
        <v>130.00000000000023</v>
      </c>
      <c r="S6" s="285">
        <f>L6</f>
        <v>1233</v>
      </c>
      <c r="T6" s="350"/>
      <c r="U6" s="1021"/>
      <c r="V6" s="662"/>
      <c r="W6" s="662"/>
      <c r="X6" s="285">
        <f>R6</f>
        <v>130.00000000000023</v>
      </c>
      <c r="Y6" s="285">
        <f>S6</f>
        <v>1233</v>
      </c>
      <c r="Z6" s="350"/>
      <c r="AA6" s="663"/>
      <c r="AB6" s="663"/>
      <c r="AC6" s="663"/>
      <c r="AD6" s="351"/>
      <c r="AE6" s="662"/>
      <c r="AF6" s="662"/>
      <c r="AG6" s="285">
        <f>X6*X135</f>
        <v>111.78469738532608</v>
      </c>
      <c r="AH6" s="285">
        <f>Y6*Y135</f>
        <v>1060.234860585437</v>
      </c>
      <c r="AI6" s="352"/>
      <c r="AJ6" s="470"/>
      <c r="AK6" s="663"/>
      <c r="AL6" s="662"/>
      <c r="AM6" s="285">
        <f>X6-AG6</f>
        <v>18.215302614674144</v>
      </c>
      <c r="AN6" s="285">
        <f>Y6-AH6</f>
        <v>172.76513941456301</v>
      </c>
      <c r="AO6" s="352"/>
      <c r="AP6" s="637"/>
      <c r="AQ6" s="662"/>
      <c r="AR6" s="662"/>
      <c r="AS6" s="662"/>
      <c r="AT6" s="662"/>
      <c r="AU6" s="662"/>
      <c r="AV6" s="352"/>
      <c r="AW6" s="470"/>
      <c r="AX6" s="662"/>
      <c r="AY6" s="662"/>
      <c r="AZ6" s="662"/>
      <c r="BA6" s="662"/>
      <c r="BB6" s="352"/>
    </row>
    <row r="7" spans="1:72" ht="20">
      <c r="A7" s="416" t="s">
        <v>325</v>
      </c>
      <c r="B7" s="971"/>
      <c r="C7" s="972">
        <v>1</v>
      </c>
      <c r="D7" s="1059" t="s">
        <v>542</v>
      </c>
      <c r="E7" s="74">
        <f t="shared" si="0"/>
        <v>0.5</v>
      </c>
      <c r="F7" s="301">
        <f t="shared" si="1"/>
        <v>58762.5</v>
      </c>
      <c r="G7" s="1020"/>
      <c r="H7" s="791">
        <v>0.5</v>
      </c>
      <c r="I7" s="1">
        <f>I5*$H$7</f>
        <v>39500</v>
      </c>
      <c r="J7" s="1">
        <f>J5*$H$7</f>
        <v>16500</v>
      </c>
      <c r="K7" s="1">
        <f>K5*$H$7</f>
        <v>910.00000000000011</v>
      </c>
      <c r="L7" s="1">
        <f>L5*$H$7</f>
        <v>1852.5</v>
      </c>
      <c r="M7" s="301">
        <f>SUM(I7:L7)</f>
        <v>58762.5</v>
      </c>
      <c r="N7" s="13"/>
      <c r="O7" s="791">
        <f>H7</f>
        <v>0.5</v>
      </c>
      <c r="P7" s="1">
        <f>I7</f>
        <v>39500</v>
      </c>
      <c r="Q7" s="1">
        <f>J7</f>
        <v>16500</v>
      </c>
      <c r="R7" s="1">
        <f>K7</f>
        <v>910.00000000000011</v>
      </c>
      <c r="S7" s="1">
        <f>L7</f>
        <v>1852.5</v>
      </c>
      <c r="T7" s="301">
        <f>SUM(P7:S7)</f>
        <v>58762.5</v>
      </c>
      <c r="U7" s="791">
        <f>O7</f>
        <v>0.5</v>
      </c>
      <c r="V7" s="1">
        <f>P7</f>
        <v>39500</v>
      </c>
      <c r="W7" s="1">
        <f>Q7</f>
        <v>16500</v>
      </c>
      <c r="X7" s="1">
        <f>R7</f>
        <v>910.00000000000011</v>
      </c>
      <c r="Y7" s="1">
        <f>S7</f>
        <v>1852.5</v>
      </c>
      <c r="Z7" s="297">
        <f>SUM(V7:Y7)</f>
        <v>58762.5</v>
      </c>
      <c r="AA7" s="663"/>
      <c r="AB7" s="663"/>
      <c r="AC7" s="663"/>
      <c r="AD7" s="296">
        <f>U7</f>
        <v>0.5</v>
      </c>
      <c r="AE7" s="154">
        <f>$AD$7*AE5</f>
        <v>35039.587361986152</v>
      </c>
      <c r="AF7" s="154">
        <f t="shared" ref="AF7:AH7" si="2">$AD$7*AF5</f>
        <v>13624.647556390977</v>
      </c>
      <c r="AG7" s="154">
        <f t="shared" si="2"/>
        <v>782.49288169728129</v>
      </c>
      <c r="AH7" s="154">
        <f t="shared" si="2"/>
        <v>1592.9319377408938</v>
      </c>
      <c r="AI7" s="681">
        <f>SUM(AE7:AH7)</f>
        <v>51039.659737815309</v>
      </c>
      <c r="AJ7" s="283">
        <f>O7</f>
        <v>0.5</v>
      </c>
      <c r="AK7" s="154">
        <f>$AJ$7*AK5</f>
        <v>4460.4126380138478</v>
      </c>
      <c r="AL7" s="154">
        <f t="shared" ref="AL7:AN7" si="3">$AJ$7*AL5</f>
        <v>2875.3524436090229</v>
      </c>
      <c r="AM7" s="154">
        <f t="shared" si="3"/>
        <v>127.50711830271882</v>
      </c>
      <c r="AN7" s="154">
        <f t="shared" si="3"/>
        <v>259.56806225910623</v>
      </c>
      <c r="AO7" s="681">
        <f>SUM(AK7:AN7)</f>
        <v>7722.8402621846953</v>
      </c>
      <c r="AP7" s="301">
        <f>AI7+AO7</f>
        <v>58762.500000000007</v>
      </c>
      <c r="AV7" s="24"/>
      <c r="AW7" s="28"/>
      <c r="BB7" s="24"/>
      <c r="BI7" s="423"/>
      <c r="BJ7" s="423"/>
      <c r="BK7" s="423"/>
      <c r="BL7" s="423"/>
      <c r="BM7" s="423"/>
      <c r="BN7" s="423"/>
      <c r="BO7" s="423"/>
      <c r="BP7" s="423"/>
      <c r="BQ7" s="423"/>
      <c r="BR7" s="423"/>
      <c r="BS7" s="423"/>
      <c r="BT7" s="423"/>
    </row>
    <row r="8" spans="1:72" ht="20" outlineLevel="1">
      <c r="A8" s="87" t="s">
        <v>0</v>
      </c>
      <c r="B8" s="971"/>
      <c r="C8" s="971"/>
      <c r="E8" s="74">
        <f t="shared" si="0"/>
        <v>0</v>
      </c>
      <c r="F8" s="301">
        <f t="shared" si="1"/>
        <v>0</v>
      </c>
      <c r="G8" s="662"/>
      <c r="H8" s="790"/>
      <c r="I8" s="285"/>
      <c r="J8" s="285"/>
      <c r="K8" s="285"/>
      <c r="L8" s="285"/>
      <c r="M8" s="346"/>
      <c r="N8" s="285"/>
      <c r="O8" s="74"/>
      <c r="P8" s="154"/>
      <c r="Q8" s="154"/>
      <c r="R8" s="154"/>
      <c r="S8" s="154"/>
      <c r="T8" s="299"/>
      <c r="AA8" s="662"/>
      <c r="AB8" s="662"/>
      <c r="AC8" s="662"/>
      <c r="AD8" s="87"/>
      <c r="AI8" s="24"/>
      <c r="AV8" s="24"/>
      <c r="AW8" s="28"/>
      <c r="BB8" s="24"/>
      <c r="BI8" s="423"/>
      <c r="BJ8" s="423"/>
      <c r="BK8" s="423"/>
      <c r="BL8" s="423"/>
      <c r="BM8" s="423"/>
      <c r="BN8" s="423"/>
      <c r="BO8" s="423"/>
      <c r="BP8" s="423"/>
      <c r="BQ8" s="423"/>
      <c r="BR8" s="423"/>
      <c r="BS8" s="423"/>
      <c r="BT8" s="423"/>
    </row>
    <row r="9" spans="1:72" ht="20" outlineLevel="1">
      <c r="A9" s="87" t="s">
        <v>55</v>
      </c>
      <c r="B9" s="971"/>
      <c r="C9" s="971"/>
      <c r="E9" s="74">
        <f t="shared" si="0"/>
        <v>0</v>
      </c>
      <c r="F9" s="301">
        <f t="shared" si="1"/>
        <v>0</v>
      </c>
      <c r="G9" s="662"/>
      <c r="H9" s="789"/>
      <c r="M9" s="297"/>
      <c r="N9" s="13"/>
      <c r="O9" s="74"/>
      <c r="AA9" s="662"/>
      <c r="AB9" s="662"/>
      <c r="AC9" s="662"/>
      <c r="AD9" s="87"/>
      <c r="AI9" s="24"/>
      <c r="AV9" s="24"/>
      <c r="AW9" s="28"/>
      <c r="BB9" s="24"/>
      <c r="BI9" s="423"/>
      <c r="BJ9" s="423"/>
      <c r="BK9" s="423"/>
      <c r="BL9" s="423"/>
      <c r="BM9" s="423"/>
      <c r="BN9" s="423"/>
      <c r="BO9" s="423"/>
      <c r="BP9" s="423"/>
      <c r="BQ9" s="423"/>
      <c r="BR9" s="423"/>
      <c r="BS9" s="423"/>
      <c r="BT9" s="423"/>
    </row>
    <row r="10" spans="1:72" ht="20" outlineLevel="1">
      <c r="A10" s="87" t="s">
        <v>53</v>
      </c>
      <c r="B10" s="971"/>
      <c r="C10" s="971"/>
      <c r="E10" s="74">
        <f t="shared" si="0"/>
        <v>0</v>
      </c>
      <c r="F10" s="301">
        <f t="shared" si="1"/>
        <v>0</v>
      </c>
      <c r="G10" s="662"/>
      <c r="H10" s="789"/>
      <c r="M10" s="297"/>
      <c r="N10" s="13"/>
      <c r="O10" s="74"/>
      <c r="AA10" s="662"/>
      <c r="AB10" s="662"/>
      <c r="AC10" s="662"/>
      <c r="AD10" s="87"/>
      <c r="AI10" s="24"/>
      <c r="AV10" s="24"/>
      <c r="AW10" s="28"/>
      <c r="BB10" s="24"/>
      <c r="BI10" s="423"/>
      <c r="BJ10" s="423"/>
      <c r="BK10" s="423"/>
      <c r="BL10" s="423"/>
      <c r="BM10" s="423"/>
      <c r="BN10" s="423"/>
      <c r="BO10" s="423"/>
      <c r="BP10" s="423"/>
      <c r="BQ10" s="423"/>
      <c r="BR10" s="423"/>
      <c r="BS10" s="423"/>
      <c r="BT10" s="423"/>
    </row>
    <row r="11" spans="1:72" ht="20" outlineLevel="1">
      <c r="A11" s="87" t="s">
        <v>38</v>
      </c>
      <c r="B11" s="971"/>
      <c r="C11" s="971"/>
      <c r="E11" s="74">
        <f t="shared" si="0"/>
        <v>0</v>
      </c>
      <c r="F11" s="301">
        <f t="shared" si="1"/>
        <v>0</v>
      </c>
      <c r="G11" s="662"/>
      <c r="H11" s="789"/>
      <c r="M11" s="297"/>
      <c r="N11" s="13"/>
      <c r="O11" s="74"/>
      <c r="AA11" s="662"/>
      <c r="AB11" s="662"/>
      <c r="AC11" s="662"/>
      <c r="AD11" s="87"/>
      <c r="AI11" s="24"/>
      <c r="AV11" s="24"/>
      <c r="AW11" s="28"/>
      <c r="BB11" s="24"/>
      <c r="BI11" s="423"/>
      <c r="BJ11" s="423"/>
      <c r="BK11" s="423"/>
      <c r="BL11" s="423"/>
      <c r="BM11" s="423"/>
      <c r="BN11" s="423"/>
      <c r="BO11" s="423"/>
      <c r="BP11" s="423"/>
      <c r="BQ11" s="423"/>
      <c r="BR11" s="423"/>
      <c r="BS11" s="423"/>
      <c r="BT11" s="423"/>
    </row>
    <row r="12" spans="1:72" ht="20" outlineLevel="1">
      <c r="A12" s="87" t="s">
        <v>124</v>
      </c>
      <c r="B12" s="971"/>
      <c r="C12" s="971"/>
      <c r="E12" s="74">
        <f t="shared" si="0"/>
        <v>0</v>
      </c>
      <c r="F12" s="301">
        <f t="shared" si="1"/>
        <v>0</v>
      </c>
      <c r="G12" s="662"/>
      <c r="H12" s="790"/>
      <c r="I12" s="285"/>
      <c r="J12" s="285"/>
      <c r="K12" s="285"/>
      <c r="L12" s="285"/>
      <c r="M12" s="346"/>
      <c r="N12" s="285"/>
      <c r="O12" s="74"/>
      <c r="P12" s="154"/>
      <c r="Q12" s="154"/>
      <c r="R12" s="154"/>
      <c r="S12" s="154"/>
      <c r="T12" s="299"/>
      <c r="AA12" s="662"/>
      <c r="AB12" s="662"/>
      <c r="AC12" s="662"/>
      <c r="AD12" s="87"/>
      <c r="AI12" s="24"/>
      <c r="AV12" s="24"/>
      <c r="AW12" s="28"/>
      <c r="BB12" s="24"/>
      <c r="BI12" s="423"/>
      <c r="BJ12" s="423"/>
      <c r="BK12" s="423"/>
      <c r="BL12" s="423"/>
      <c r="BM12" s="423"/>
      <c r="BN12" s="423"/>
      <c r="BO12" s="423"/>
      <c r="BP12" s="423"/>
      <c r="BQ12" s="423"/>
      <c r="BR12" s="423"/>
      <c r="BS12" s="423"/>
      <c r="BT12" s="423"/>
    </row>
    <row r="13" spans="1:72" ht="20">
      <c r="A13" s="349" t="s">
        <v>538</v>
      </c>
      <c r="B13" s="971"/>
      <c r="C13" s="971"/>
      <c r="D13" s="1059" t="s">
        <v>539</v>
      </c>
      <c r="E13" s="74">
        <f t="shared" si="0"/>
        <v>0.25</v>
      </c>
      <c r="F13" s="301">
        <f t="shared" si="1"/>
        <v>14690.625</v>
      </c>
      <c r="G13" s="662"/>
      <c r="H13" s="790">
        <f>I13/I7</f>
        <v>0.25</v>
      </c>
      <c r="I13" s="285">
        <f>I7-I14</f>
        <v>9875</v>
      </c>
      <c r="J13" s="285">
        <f t="shared" ref="J13:L13" si="4">J7-J14</f>
        <v>4125</v>
      </c>
      <c r="K13" s="285">
        <f t="shared" si="4"/>
        <v>227.5</v>
      </c>
      <c r="L13" s="285">
        <f t="shared" si="4"/>
        <v>463.125</v>
      </c>
      <c r="M13" s="473">
        <f>SUM(I13:L13)</f>
        <v>14690.625</v>
      </c>
      <c r="N13" s="950"/>
      <c r="O13" s="790">
        <f>P13/P7</f>
        <v>0.25</v>
      </c>
      <c r="P13" s="285">
        <f>P7-P14</f>
        <v>9875</v>
      </c>
      <c r="Q13" s="285">
        <f t="shared" ref="Q13:S13" si="5">Q7-Q14</f>
        <v>4125</v>
      </c>
      <c r="R13" s="285">
        <f t="shared" si="5"/>
        <v>227.5</v>
      </c>
      <c r="S13" s="285">
        <f t="shared" si="5"/>
        <v>463.125</v>
      </c>
      <c r="T13" s="473">
        <f>SUM(P13:S13)</f>
        <v>14690.625</v>
      </c>
      <c r="U13" s="1" t="s">
        <v>1</v>
      </c>
      <c r="V13" s="1" t="s">
        <v>1</v>
      </c>
      <c r="W13" s="1" t="s">
        <v>1</v>
      </c>
      <c r="X13" s="1" t="s">
        <v>1</v>
      </c>
      <c r="Y13" s="1" t="s">
        <v>1</v>
      </c>
      <c r="Z13" s="295" t="s">
        <v>1</v>
      </c>
      <c r="AA13" s="662"/>
      <c r="AB13" s="662"/>
      <c r="AC13" s="662"/>
      <c r="AD13" s="87"/>
      <c r="AI13" s="24"/>
      <c r="AJ13" s="156">
        <f t="shared" ref="AJ13:AJ20" si="6">O13</f>
        <v>0.25</v>
      </c>
      <c r="AK13" s="285">
        <f>AK7-AK14</f>
        <v>1115.1031595034619</v>
      </c>
      <c r="AL13" s="285">
        <f t="shared" ref="AL13:AN13" si="7">AL7-AL14</f>
        <v>718.83811090225572</v>
      </c>
      <c r="AM13" s="285">
        <f t="shared" si="7"/>
        <v>31.876779575679706</v>
      </c>
      <c r="AN13" s="285">
        <f t="shared" si="7"/>
        <v>64.892015564776557</v>
      </c>
      <c r="AO13" s="682">
        <f>SUM(AK13:AN13)</f>
        <v>1930.7100655461738</v>
      </c>
      <c r="AP13" s="346">
        <f>AI13+AO13</f>
        <v>1930.7100655461738</v>
      </c>
      <c r="AV13" s="24"/>
      <c r="AW13" s="28"/>
      <c r="BB13" s="24"/>
      <c r="BI13" s="423"/>
      <c r="BJ13" s="423"/>
      <c r="BK13" s="423"/>
      <c r="BL13" s="423"/>
      <c r="BM13" s="423"/>
      <c r="BN13" s="423"/>
      <c r="BO13" s="423"/>
      <c r="BP13" s="423"/>
      <c r="BQ13" s="423"/>
      <c r="BR13" s="423"/>
      <c r="BS13" s="423"/>
      <c r="BT13" s="423"/>
    </row>
    <row r="14" spans="1:72" ht="20">
      <c r="A14" s="128" t="s">
        <v>600</v>
      </c>
      <c r="B14" s="971" t="s">
        <v>539</v>
      </c>
      <c r="C14" s="972">
        <v>0.13</v>
      </c>
      <c r="D14" s="1059" t="s">
        <v>539</v>
      </c>
      <c r="E14" s="74">
        <f t="shared" si="0"/>
        <v>0.75</v>
      </c>
      <c r="F14" s="301">
        <f t="shared" si="1"/>
        <v>44071.875</v>
      </c>
      <c r="G14" s="1020"/>
      <c r="H14" s="1023">
        <v>0.75</v>
      </c>
      <c r="I14" s="154">
        <f>$I$7*H14</f>
        <v>29625</v>
      </c>
      <c r="J14" s="154">
        <f>$J$7*H14</f>
        <v>12375</v>
      </c>
      <c r="K14" s="154">
        <f>$K$7*H14</f>
        <v>682.50000000000011</v>
      </c>
      <c r="L14" s="154">
        <f>$L$7*H14</f>
        <v>1389.375</v>
      </c>
      <c r="M14" s="301">
        <f>SUM(I14:L14)</f>
        <v>44071.875</v>
      </c>
      <c r="N14" s="279"/>
      <c r="O14" s="1023">
        <f>H14</f>
        <v>0.75</v>
      </c>
      <c r="P14" s="154">
        <f>$P$7*O14</f>
        <v>29625</v>
      </c>
      <c r="Q14" s="154">
        <f>$Q$7*O14</f>
        <v>12375</v>
      </c>
      <c r="R14" s="154">
        <f>$R$7*O14</f>
        <v>682.50000000000011</v>
      </c>
      <c r="S14" s="154">
        <f>$S$7*O14</f>
        <v>1389.375</v>
      </c>
      <c r="T14" s="301">
        <f>SUM(P14:S14)</f>
        <v>44071.875</v>
      </c>
      <c r="U14" s="1" t="s">
        <v>1</v>
      </c>
      <c r="V14" s="1" t="s">
        <v>1</v>
      </c>
      <c r="W14" s="1" t="s">
        <v>1</v>
      </c>
      <c r="X14" s="1" t="s">
        <v>1</v>
      </c>
      <c r="Y14" s="1" t="s">
        <v>1</v>
      </c>
      <c r="Z14" s="295" t="s">
        <v>1</v>
      </c>
      <c r="AA14" s="662"/>
      <c r="AB14" s="662"/>
      <c r="AC14" s="662"/>
      <c r="AD14" s="342"/>
      <c r="AE14" s="154"/>
      <c r="AF14" s="154"/>
      <c r="AG14" s="154"/>
      <c r="AH14" s="154"/>
      <c r="AI14" s="684"/>
      <c r="AJ14" s="156">
        <f t="shared" si="6"/>
        <v>0.75</v>
      </c>
      <c r="AK14" s="154">
        <f>$AK$7*AJ14</f>
        <v>3345.3094785103858</v>
      </c>
      <c r="AL14" s="154">
        <f>$AL$7*AJ14</f>
        <v>2156.5143327067672</v>
      </c>
      <c r="AM14" s="154">
        <f>$AM$7*AJ14</f>
        <v>95.630338727039117</v>
      </c>
      <c r="AN14" s="154">
        <f>$AN$7*AJ14</f>
        <v>194.67604669432967</v>
      </c>
      <c r="AO14" s="681">
        <f>SUM(AK14:AN14)</f>
        <v>5792.1301966385217</v>
      </c>
      <c r="AP14" s="301">
        <f t="shared" ref="AP14:AP26" si="8">AI14+AO14</f>
        <v>5792.1301966385217</v>
      </c>
      <c r="AV14" s="24"/>
      <c r="AW14" s="28"/>
      <c r="BB14" s="24"/>
      <c r="BI14" s="423"/>
      <c r="BJ14" s="423"/>
      <c r="BK14" s="423"/>
      <c r="BL14" s="423"/>
      <c r="BM14" s="423"/>
      <c r="BN14" s="423"/>
      <c r="BO14" s="423"/>
      <c r="BP14" s="423"/>
      <c r="BQ14" s="423"/>
      <c r="BR14" s="423"/>
      <c r="BS14" s="423"/>
      <c r="BT14" s="423"/>
    </row>
    <row r="15" spans="1:72" ht="20">
      <c r="A15" s="128" t="s">
        <v>171</v>
      </c>
      <c r="B15" s="971" t="s">
        <v>540</v>
      </c>
      <c r="C15" s="972">
        <v>1</v>
      </c>
      <c r="D15" s="1059" t="s">
        <v>543</v>
      </c>
      <c r="E15" s="74">
        <f t="shared" si="0"/>
        <v>1</v>
      </c>
      <c r="F15" s="301">
        <f t="shared" si="1"/>
        <v>58762.5</v>
      </c>
      <c r="G15" s="1020"/>
      <c r="H15" s="74">
        <v>1</v>
      </c>
      <c r="I15" s="154">
        <f>$I$14*H15</f>
        <v>29625</v>
      </c>
      <c r="J15" s="154">
        <f>$J$14*H15</f>
        <v>12375</v>
      </c>
      <c r="K15" s="154">
        <f>$K$14*H15</f>
        <v>682.50000000000011</v>
      </c>
      <c r="L15" s="154">
        <f>$L$14*H15</f>
        <v>1389.375</v>
      </c>
      <c r="M15" s="301">
        <f t="shared" ref="M15:M51" si="9">SUM(I15:L15)</f>
        <v>44071.875</v>
      </c>
      <c r="N15" s="279"/>
      <c r="O15" s="74">
        <f t="shared" ref="O15:O18" si="10">H15</f>
        <v>1</v>
      </c>
      <c r="P15" s="154">
        <f t="shared" ref="P15:P18" si="11">$P$7*O15</f>
        <v>39500</v>
      </c>
      <c r="Q15" s="154">
        <f t="shared" ref="Q15:Q18" si="12">$Q$7*O15</f>
        <v>16500</v>
      </c>
      <c r="R15" s="154">
        <f t="shared" ref="R15:R18" si="13">$R$7*O15</f>
        <v>910.00000000000011</v>
      </c>
      <c r="S15" s="154">
        <f t="shared" ref="S15:S18" si="14">$S$7*O15</f>
        <v>1852.5</v>
      </c>
      <c r="T15" s="301">
        <f t="shared" ref="T15:T26" si="15">SUM(P15:S15)</f>
        <v>58762.5</v>
      </c>
      <c r="U15" s="1" t="s">
        <v>1</v>
      </c>
      <c r="V15" s="1" t="s">
        <v>1</v>
      </c>
      <c r="W15" s="1" t="s">
        <v>1</v>
      </c>
      <c r="X15" s="1" t="s">
        <v>1</v>
      </c>
      <c r="Y15" s="1" t="s">
        <v>1</v>
      </c>
      <c r="Z15" s="295" t="s">
        <v>1</v>
      </c>
      <c r="AA15" s="662"/>
      <c r="AB15" s="662"/>
      <c r="AC15" s="662"/>
      <c r="AD15" s="342"/>
      <c r="AE15" s="154"/>
      <c r="AF15" s="154"/>
      <c r="AG15" s="154"/>
      <c r="AH15" s="154"/>
      <c r="AI15" s="684"/>
      <c r="AJ15" s="156">
        <f t="shared" si="6"/>
        <v>1</v>
      </c>
      <c r="AK15" s="154">
        <f>$AK$7*AJ15</f>
        <v>4460.4126380138478</v>
      </c>
      <c r="AL15" s="154">
        <f>$AL$7*AJ15</f>
        <v>2875.3524436090229</v>
      </c>
      <c r="AM15" s="154">
        <f>$AM$7*AJ15</f>
        <v>127.50711830271882</v>
      </c>
      <c r="AN15" s="154">
        <f>$AN$7*AJ15</f>
        <v>259.56806225910623</v>
      </c>
      <c r="AO15" s="681">
        <f t="shared" ref="AO15:AO26" si="16">SUM(AK15:AN15)</f>
        <v>7722.8402621846953</v>
      </c>
      <c r="AP15" s="301">
        <f t="shared" si="8"/>
        <v>7722.8402621846953</v>
      </c>
      <c r="AV15" s="24"/>
      <c r="AW15" s="28"/>
      <c r="BB15" s="24"/>
      <c r="BI15" s="423"/>
      <c r="BJ15" s="423"/>
      <c r="BK15" s="423"/>
      <c r="BL15" s="423"/>
      <c r="BM15" s="423"/>
      <c r="BN15" s="423"/>
      <c r="BO15" s="423"/>
      <c r="BP15" s="423"/>
      <c r="BQ15" s="423"/>
      <c r="BR15" s="423"/>
      <c r="BS15" s="423"/>
      <c r="BT15" s="423"/>
    </row>
    <row r="16" spans="1:72" ht="20">
      <c r="A16" s="128" t="s">
        <v>211</v>
      </c>
      <c r="B16" s="971" t="s">
        <v>540</v>
      </c>
      <c r="C16" s="973">
        <v>0.4</v>
      </c>
      <c r="D16" s="1059" t="s">
        <v>543</v>
      </c>
      <c r="E16" s="74">
        <f t="shared" si="0"/>
        <v>0.4</v>
      </c>
      <c r="F16" s="301">
        <f t="shared" si="1"/>
        <v>23505</v>
      </c>
      <c r="G16" s="1021"/>
      <c r="H16" s="74">
        <f>'Воронка MPS_обработано'!N10</f>
        <v>0.4</v>
      </c>
      <c r="I16" s="154">
        <f t="shared" ref="I16:I18" si="17">$I$14*H16</f>
        <v>11850</v>
      </c>
      <c r="J16" s="154">
        <f t="shared" ref="J16:J18" si="18">$J$14*H16</f>
        <v>4950</v>
      </c>
      <c r="K16" s="154">
        <f t="shared" ref="K16:K18" si="19">$K$14*H16</f>
        <v>273.00000000000006</v>
      </c>
      <c r="L16" s="154">
        <f t="shared" ref="L16:L18" si="20">$L$14*H16</f>
        <v>555.75</v>
      </c>
      <c r="M16" s="301">
        <f t="shared" si="9"/>
        <v>17628.75</v>
      </c>
      <c r="N16" s="279"/>
      <c r="O16" s="74">
        <f t="shared" si="10"/>
        <v>0.4</v>
      </c>
      <c r="P16" s="154">
        <f t="shared" si="11"/>
        <v>15800</v>
      </c>
      <c r="Q16" s="154">
        <f t="shared" si="12"/>
        <v>6600</v>
      </c>
      <c r="R16" s="154">
        <f t="shared" si="13"/>
        <v>364.00000000000006</v>
      </c>
      <c r="S16" s="154">
        <f t="shared" si="14"/>
        <v>741</v>
      </c>
      <c r="T16" s="301">
        <f t="shared" si="15"/>
        <v>23505</v>
      </c>
      <c r="U16" s="1" t="s">
        <v>1</v>
      </c>
      <c r="V16" s="1" t="s">
        <v>1</v>
      </c>
      <c r="W16" s="1" t="s">
        <v>1</v>
      </c>
      <c r="X16" s="1" t="s">
        <v>1</v>
      </c>
      <c r="Y16" s="1" t="s">
        <v>1</v>
      </c>
      <c r="Z16" s="295" t="s">
        <v>1</v>
      </c>
      <c r="AA16" s="662"/>
      <c r="AB16" s="662"/>
      <c r="AC16" s="662"/>
      <c r="AD16" s="342"/>
      <c r="AE16" s="154"/>
      <c r="AF16" s="154"/>
      <c r="AG16" s="154"/>
      <c r="AH16" s="154"/>
      <c r="AI16" s="684"/>
      <c r="AJ16" s="156">
        <f t="shared" si="6"/>
        <v>0.4</v>
      </c>
      <c r="AK16" s="154">
        <f>$AK$7*AJ16</f>
        <v>1784.1650552055391</v>
      </c>
      <c r="AL16" s="154">
        <f>$AL$7*AJ16</f>
        <v>1150.1409774436092</v>
      </c>
      <c r="AM16" s="154">
        <f>$AM$7*AJ16</f>
        <v>51.002847321087529</v>
      </c>
      <c r="AN16" s="154">
        <f>$AN$7*AJ16</f>
        <v>103.8272249036425</v>
      </c>
      <c r="AO16" s="681">
        <f t="shared" si="16"/>
        <v>3089.136104873879</v>
      </c>
      <c r="AP16" s="301">
        <f t="shared" si="8"/>
        <v>3089.136104873879</v>
      </c>
      <c r="AV16" s="24"/>
      <c r="AW16" s="28"/>
      <c r="BB16" s="24"/>
      <c r="BI16" s="423"/>
      <c r="BJ16" s="423"/>
      <c r="BK16" s="423"/>
      <c r="BL16" s="423"/>
      <c r="BM16" s="423"/>
      <c r="BN16" s="423"/>
      <c r="BO16" s="423"/>
      <c r="BP16" s="423"/>
      <c r="BQ16" s="423"/>
      <c r="BR16" s="423"/>
      <c r="BS16" s="423"/>
      <c r="BT16" s="423"/>
    </row>
    <row r="17" spans="1:72" ht="20">
      <c r="A17" s="128" t="s">
        <v>212</v>
      </c>
      <c r="B17" s="971" t="s">
        <v>540</v>
      </c>
      <c r="C17" s="973">
        <v>0.29799999999999999</v>
      </c>
      <c r="D17" s="1059" t="s">
        <v>543</v>
      </c>
      <c r="E17" s="74">
        <f t="shared" si="0"/>
        <v>0.29799999999999999</v>
      </c>
      <c r="F17" s="301">
        <f t="shared" si="1"/>
        <v>17511.224999999999</v>
      </c>
      <c r="G17" s="1021"/>
      <c r="H17" s="326">
        <f>'Воронка MPS_обработано'!N11</f>
        <v>0.29799999999999999</v>
      </c>
      <c r="I17" s="154">
        <f t="shared" si="17"/>
        <v>8828.25</v>
      </c>
      <c r="J17" s="154">
        <f t="shared" si="18"/>
        <v>3687.75</v>
      </c>
      <c r="K17" s="154">
        <f t="shared" si="19"/>
        <v>203.38500000000002</v>
      </c>
      <c r="L17" s="154">
        <f t="shared" si="20"/>
        <v>414.03375</v>
      </c>
      <c r="M17" s="301">
        <f t="shared" si="9"/>
        <v>13133.418750000001</v>
      </c>
      <c r="N17" s="279"/>
      <c r="O17" s="74">
        <f t="shared" si="10"/>
        <v>0.29799999999999999</v>
      </c>
      <c r="P17" s="154">
        <f t="shared" si="11"/>
        <v>11771</v>
      </c>
      <c r="Q17" s="154">
        <f t="shared" si="12"/>
        <v>4917</v>
      </c>
      <c r="R17" s="154">
        <f t="shared" si="13"/>
        <v>271.18</v>
      </c>
      <c r="S17" s="154">
        <f t="shared" si="14"/>
        <v>552.04499999999996</v>
      </c>
      <c r="T17" s="301">
        <f t="shared" si="15"/>
        <v>17511.224999999999</v>
      </c>
      <c r="U17" s="1" t="s">
        <v>1</v>
      </c>
      <c r="V17" s="1" t="s">
        <v>1</v>
      </c>
      <c r="W17" s="1" t="s">
        <v>1</v>
      </c>
      <c r="X17" s="1" t="s">
        <v>1</v>
      </c>
      <c r="Y17" s="1" t="s">
        <v>1</v>
      </c>
      <c r="Z17" s="295" t="s">
        <v>1</v>
      </c>
      <c r="AA17" s="662"/>
      <c r="AB17" s="662"/>
      <c r="AC17" s="662"/>
      <c r="AD17" s="342"/>
      <c r="AE17" s="154"/>
      <c r="AF17" s="154"/>
      <c r="AG17" s="154"/>
      <c r="AH17" s="154"/>
      <c r="AI17" s="684"/>
      <c r="AJ17" s="156">
        <f t="shared" si="6"/>
        <v>0.29799999999999999</v>
      </c>
      <c r="AK17" s="154">
        <f>$AK$7*AJ17</f>
        <v>1329.2029661281265</v>
      </c>
      <c r="AL17" s="154">
        <f>$AL$7*AJ17</f>
        <v>856.85502819548879</v>
      </c>
      <c r="AM17" s="154">
        <f>$AM$7*AJ17</f>
        <v>37.997121254210207</v>
      </c>
      <c r="AN17" s="154">
        <f>$AN$7*AJ17</f>
        <v>77.35128255321365</v>
      </c>
      <c r="AO17" s="681">
        <f t="shared" si="16"/>
        <v>2301.4063981310392</v>
      </c>
      <c r="AP17" s="301">
        <f t="shared" si="8"/>
        <v>2301.4063981310392</v>
      </c>
      <c r="AV17" s="24"/>
      <c r="AW17" s="28"/>
      <c r="BB17" s="24"/>
      <c r="BI17" s="423"/>
      <c r="BJ17" s="423"/>
      <c r="BK17" s="423"/>
      <c r="BL17" s="423"/>
      <c r="BM17" s="423"/>
      <c r="BN17" s="423"/>
      <c r="BO17" s="423"/>
      <c r="BP17" s="423"/>
      <c r="BQ17" s="423"/>
      <c r="BR17" s="423"/>
      <c r="BS17" s="423"/>
      <c r="BT17" s="423"/>
    </row>
    <row r="18" spans="1:72" ht="20">
      <c r="A18" s="128" t="s">
        <v>213</v>
      </c>
      <c r="B18" s="971" t="s">
        <v>540</v>
      </c>
      <c r="C18" s="973">
        <v>0.45500000000000002</v>
      </c>
      <c r="D18" s="1059" t="s">
        <v>543</v>
      </c>
      <c r="E18" s="74">
        <f t="shared" si="0"/>
        <v>0.45500000000000002</v>
      </c>
      <c r="F18" s="301">
        <f t="shared" si="1"/>
        <v>26736.9375</v>
      </c>
      <c r="G18" s="1021"/>
      <c r="H18" s="326">
        <f>'Воронка MPS_обработано'!N12</f>
        <v>0.45500000000000002</v>
      </c>
      <c r="I18" s="154">
        <f t="shared" si="17"/>
        <v>13479.375</v>
      </c>
      <c r="J18" s="154">
        <f t="shared" si="18"/>
        <v>5630.625</v>
      </c>
      <c r="K18" s="154">
        <f t="shared" si="19"/>
        <v>310.53750000000008</v>
      </c>
      <c r="L18" s="154">
        <f t="shared" si="20"/>
        <v>632.16562499999998</v>
      </c>
      <c r="M18" s="301">
        <f t="shared" si="9"/>
        <v>20052.703125</v>
      </c>
      <c r="N18" s="279"/>
      <c r="O18" s="74">
        <f t="shared" si="10"/>
        <v>0.45500000000000002</v>
      </c>
      <c r="P18" s="154">
        <f t="shared" si="11"/>
        <v>17972.5</v>
      </c>
      <c r="Q18" s="154">
        <f t="shared" si="12"/>
        <v>7507.5</v>
      </c>
      <c r="R18" s="154">
        <f t="shared" si="13"/>
        <v>414.05000000000007</v>
      </c>
      <c r="S18" s="154">
        <f t="shared" si="14"/>
        <v>842.88750000000005</v>
      </c>
      <c r="T18" s="301">
        <f t="shared" si="15"/>
        <v>26736.9375</v>
      </c>
      <c r="U18" s="1" t="s">
        <v>1</v>
      </c>
      <c r="V18" s="1" t="s">
        <v>1</v>
      </c>
      <c r="W18" s="1" t="s">
        <v>1</v>
      </c>
      <c r="X18" s="1" t="s">
        <v>1</v>
      </c>
      <c r="Y18" s="1" t="s">
        <v>1</v>
      </c>
      <c r="Z18" s="295" t="s">
        <v>1</v>
      </c>
      <c r="AA18" s="662"/>
      <c r="AB18" s="662"/>
      <c r="AC18" s="662"/>
      <c r="AD18" s="342"/>
      <c r="AE18" s="154"/>
      <c r="AF18" s="154"/>
      <c r="AG18" s="154"/>
      <c r="AH18" s="154"/>
      <c r="AI18" s="684"/>
      <c r="AJ18" s="156">
        <f t="shared" si="6"/>
        <v>0.45500000000000002</v>
      </c>
      <c r="AK18" s="154">
        <f>$AK$7*AJ18</f>
        <v>2029.4877502963009</v>
      </c>
      <c r="AL18" s="154">
        <f>$AL$7*AJ18</f>
        <v>1308.2853618421054</v>
      </c>
      <c r="AM18" s="154">
        <f>$AM$7*AJ18</f>
        <v>58.015738827737067</v>
      </c>
      <c r="AN18" s="154">
        <f>$AN$7*AJ18</f>
        <v>118.10346832789334</v>
      </c>
      <c r="AO18" s="681">
        <f t="shared" si="16"/>
        <v>3513.892319294037</v>
      </c>
      <c r="AP18" s="301">
        <f t="shared" si="8"/>
        <v>3513.892319294037</v>
      </c>
      <c r="AV18" s="24"/>
      <c r="AW18" s="28"/>
      <c r="BB18" s="24"/>
      <c r="BI18" s="423"/>
      <c r="BJ18" s="423"/>
      <c r="BK18" s="423"/>
      <c r="BL18" s="423"/>
      <c r="BM18" s="423"/>
      <c r="BN18" s="423"/>
      <c r="BO18" s="423"/>
      <c r="BP18" s="423"/>
      <c r="BQ18" s="423"/>
      <c r="BR18" s="423"/>
      <c r="BS18" s="423"/>
      <c r="BT18" s="423"/>
    </row>
    <row r="19" spans="1:72" ht="40">
      <c r="A19" s="416" t="s">
        <v>337</v>
      </c>
      <c r="B19" s="971" t="s">
        <v>539</v>
      </c>
      <c r="C19" s="974" t="s">
        <v>541</v>
      </c>
      <c r="D19" s="1059" t="s">
        <v>543</v>
      </c>
      <c r="E19" s="74">
        <f t="shared" si="0"/>
        <v>0.12807692307692309</v>
      </c>
      <c r="F19" s="301">
        <f t="shared" si="1"/>
        <v>5644.5901442307695</v>
      </c>
      <c r="G19" s="74">
        <f>M19/M7</f>
        <v>6.4038461538461544E-2</v>
      </c>
      <c r="H19" s="723">
        <f>'Воронка MPS_обработано'!N14</f>
        <v>8.5384615384615392E-2</v>
      </c>
      <c r="I19" s="154">
        <f>$I$14*H19</f>
        <v>2529.5192307692309</v>
      </c>
      <c r="J19" s="154">
        <f>$J$14*H19</f>
        <v>1056.6346153846155</v>
      </c>
      <c r="K19" s="154">
        <f>$K$14*H19</f>
        <v>58.275000000000013</v>
      </c>
      <c r="L19" s="154">
        <f>$L$14*H19</f>
        <v>118.63125000000001</v>
      </c>
      <c r="M19" s="301">
        <f t="shared" si="9"/>
        <v>3763.0600961538466</v>
      </c>
      <c r="N19" s="326">
        <f>T19/T7</f>
        <v>9.6057692307692316E-2</v>
      </c>
      <c r="O19" s="1024">
        <f>H19*1.5</f>
        <v>0.12807692307692309</v>
      </c>
      <c r="P19" s="154">
        <f>P14*$O$19</f>
        <v>3794.2788461538466</v>
      </c>
      <c r="Q19" s="154">
        <f t="shared" ref="Q19:S19" si="21">Q14*$O$19</f>
        <v>1584.9519230769233</v>
      </c>
      <c r="R19" s="154">
        <f t="shared" si="21"/>
        <v>87.412500000000023</v>
      </c>
      <c r="S19" s="154">
        <f t="shared" si="21"/>
        <v>177.94687500000001</v>
      </c>
      <c r="T19" s="301">
        <f t="shared" si="15"/>
        <v>5644.5901442307695</v>
      </c>
      <c r="U19" s="1228">
        <f>'Воронка Селлер as is'!F12</f>
        <v>1.7475398710553106E-2</v>
      </c>
      <c r="V19" s="154">
        <f>$U$19*V7</f>
        <v>690.27824906684771</v>
      </c>
      <c r="W19" s="154">
        <f t="shared" ref="W19:Y19" si="22">$U$19*W7</f>
        <v>288.34407872412623</v>
      </c>
      <c r="X19" s="154">
        <f t="shared" si="22"/>
        <v>15.902612826603328</v>
      </c>
      <c r="Y19" s="154">
        <f t="shared" si="22"/>
        <v>32.373176111299628</v>
      </c>
      <c r="Z19" s="301">
        <f>SUM(V19:Y19)</f>
        <v>1026.8981167288769</v>
      </c>
      <c r="AA19" s="1034">
        <f>AI19/$AI$7</f>
        <v>1.7475398710553106E-2</v>
      </c>
      <c r="AB19" s="1032">
        <f>AO19/$AO$7</f>
        <v>9.605769230769233E-2</v>
      </c>
      <c r="AC19" s="1034">
        <f>AP19/AP7</f>
        <v>2.7803048161934605E-2</v>
      </c>
      <c r="AD19" s="927">
        <f>U19</f>
        <v>1.7475398710553106E-2</v>
      </c>
      <c r="AE19" s="154">
        <f>$U$19*AE7</f>
        <v>612.33075980396575</v>
      </c>
      <c r="AF19" s="154">
        <f t="shared" ref="AF19:AH19" si="23">$U$19*AF7</f>
        <v>238.0961483386954</v>
      </c>
      <c r="AG19" s="154">
        <f t="shared" si="23"/>
        <v>13.674375095829653</v>
      </c>
      <c r="AH19" s="154">
        <f t="shared" si="23"/>
        <v>27.837120730796077</v>
      </c>
      <c r="AI19" s="681">
        <f>SUM(AE19:AH19)</f>
        <v>891.93840396928692</v>
      </c>
      <c r="AJ19" s="928">
        <f t="shared" si="6"/>
        <v>0.12807692307692309</v>
      </c>
      <c r="AK19" s="154">
        <f>AK14*$AJ$19</f>
        <v>428.4569447476764</v>
      </c>
      <c r="AL19" s="154">
        <f>AL14*$AJ$19</f>
        <v>276.19972030436674</v>
      </c>
      <c r="AM19" s="154">
        <f t="shared" ref="AM19:AN19" si="24">AM14*$AJ$19</f>
        <v>12.248039536963088</v>
      </c>
      <c r="AN19" s="154">
        <f t="shared" si="24"/>
        <v>24.933509057389148</v>
      </c>
      <c r="AO19" s="681">
        <f t="shared" si="16"/>
        <v>741.83821364639539</v>
      </c>
      <c r="AP19" s="301">
        <f t="shared" si="8"/>
        <v>1633.7766176156824</v>
      </c>
      <c r="AV19" s="24"/>
      <c r="AW19" s="28"/>
      <c r="BB19" s="24"/>
      <c r="BI19" s="423"/>
      <c r="BJ19" s="423"/>
      <c r="BK19" s="423"/>
      <c r="BL19" s="423"/>
      <c r="BM19" s="423"/>
      <c r="BN19" s="423"/>
      <c r="BO19" s="423"/>
      <c r="BP19" s="423"/>
      <c r="BQ19" s="423"/>
      <c r="BR19" s="423"/>
      <c r="BS19" s="423"/>
      <c r="BT19" s="423"/>
    </row>
    <row r="20" spans="1:72" ht="21" thickBot="1">
      <c r="A20" s="416" t="s">
        <v>338</v>
      </c>
      <c r="B20" s="938"/>
      <c r="C20" s="939"/>
      <c r="D20" s="1060" t="s">
        <v>539</v>
      </c>
      <c r="E20" s="74">
        <f t="shared" si="0"/>
        <v>1.7475398710553106E-2</v>
      </c>
      <c r="F20" s="301">
        <f t="shared" si="1"/>
        <v>256.72452918221921</v>
      </c>
      <c r="G20" s="160">
        <f>M20/M7</f>
        <v>4.3688496776382764E-3</v>
      </c>
      <c r="H20" s="724">
        <f>U19</f>
        <v>1.7475398710553106E-2</v>
      </c>
      <c r="I20" s="154">
        <f>I13*$H$20</f>
        <v>172.56956226671193</v>
      </c>
      <c r="J20" s="154">
        <f t="shared" ref="J20:L20" si="25">J13*$H$20</f>
        <v>72.086019681031559</v>
      </c>
      <c r="K20" s="154">
        <f t="shared" si="25"/>
        <v>3.9756532066508314</v>
      </c>
      <c r="L20" s="154">
        <f t="shared" si="25"/>
        <v>8.093294027824907</v>
      </c>
      <c r="M20" s="301">
        <f t="shared" si="9"/>
        <v>256.72452918221921</v>
      </c>
      <c r="N20" s="326">
        <f>T20/T7</f>
        <v>4.3688496776382764E-3</v>
      </c>
      <c r="O20" s="724">
        <f>U19</f>
        <v>1.7475398710553106E-2</v>
      </c>
      <c r="P20" s="154">
        <f>P13*$O$20</f>
        <v>172.56956226671193</v>
      </c>
      <c r="Q20" s="154">
        <f t="shared" ref="Q20:S20" si="26">Q13*$O$20</f>
        <v>72.086019681031559</v>
      </c>
      <c r="R20" s="154">
        <f t="shared" si="26"/>
        <v>3.9756532066508314</v>
      </c>
      <c r="S20" s="154">
        <f t="shared" si="26"/>
        <v>8.093294027824907</v>
      </c>
      <c r="T20" s="301">
        <f t="shared" si="15"/>
        <v>256.72452918221921</v>
      </c>
      <c r="U20" s="326"/>
      <c r="V20" s="154"/>
      <c r="W20" s="154"/>
      <c r="X20" s="154"/>
      <c r="Y20" s="154"/>
      <c r="Z20" s="301"/>
      <c r="AA20" s="1034">
        <f t="shared" ref="AA20:AA21" si="27">AI20/$AI$7</f>
        <v>0</v>
      </c>
      <c r="AB20" s="1032">
        <f t="shared" ref="AB20:AB21" si="28">AO20/$AO$7</f>
        <v>4.3688496776382773E-3</v>
      </c>
      <c r="AC20" s="1034">
        <f>AP20/AP7</f>
        <v>5.7417448525671144E-4</v>
      </c>
      <c r="AD20" s="342"/>
      <c r="AE20" s="154"/>
      <c r="AF20" s="154"/>
      <c r="AG20" s="154"/>
      <c r="AH20" s="154"/>
      <c r="AI20" s="684"/>
      <c r="AJ20" s="156">
        <f t="shared" si="6"/>
        <v>1.7475398710553106E-2</v>
      </c>
      <c r="AK20" s="154">
        <f>AK13*$AJ$20</f>
        <v>19.486872315720493</v>
      </c>
      <c r="AL20" s="154">
        <f>AL13*$AJ$20</f>
        <v>12.56198259635771</v>
      </c>
      <c r="AM20" s="154">
        <f t="shared" ref="AM20:AN20" si="29">AM13*$AJ$20</f>
        <v>0.55705943269341873</v>
      </c>
      <c r="AN20" s="154">
        <f t="shared" si="29"/>
        <v>1.1340138451258883</v>
      </c>
      <c r="AO20" s="681">
        <f t="shared" si="16"/>
        <v>33.739928189897512</v>
      </c>
      <c r="AP20" s="301">
        <f t="shared" si="8"/>
        <v>33.739928189897512</v>
      </c>
      <c r="AR20" s="84"/>
      <c r="AV20" s="24"/>
      <c r="AW20" s="28"/>
      <c r="BB20" s="24"/>
      <c r="BI20" s="423"/>
      <c r="BJ20" s="423"/>
      <c r="BK20" s="423"/>
      <c r="BL20" s="423"/>
      <c r="BM20" s="423"/>
      <c r="BN20" s="423"/>
      <c r="BO20" s="423"/>
      <c r="BP20" s="423"/>
      <c r="BQ20" s="423"/>
      <c r="BR20" s="423"/>
      <c r="BS20" s="423"/>
      <c r="BT20" s="423"/>
    </row>
    <row r="21" spans="1:72" s="1483" customFormat="1" ht="21" thickBot="1">
      <c r="A21" s="1469" t="s">
        <v>339</v>
      </c>
      <c r="B21" s="864"/>
      <c r="C21" s="864"/>
      <c r="D21" s="1470"/>
      <c r="E21" s="1471"/>
      <c r="F21" s="1474">
        <f t="shared" si="1"/>
        <v>5901.3146734129887</v>
      </c>
      <c r="G21" s="1472">
        <f>M21/M7</f>
        <v>6.8407311216099817E-2</v>
      </c>
      <c r="H21" s="1473"/>
      <c r="I21" s="1473">
        <f>SUM(I19:I20)</f>
        <v>2702.0887930359427</v>
      </c>
      <c r="J21" s="1473">
        <f t="shared" ref="J21:L21" si="30">SUM(J19:J20)</f>
        <v>1128.720635065647</v>
      </c>
      <c r="K21" s="1473">
        <f t="shared" si="30"/>
        <v>62.250653206650846</v>
      </c>
      <c r="L21" s="1473">
        <f t="shared" si="30"/>
        <v>126.72454402782492</v>
      </c>
      <c r="M21" s="1474">
        <f t="shared" si="9"/>
        <v>4019.7846253360653</v>
      </c>
      <c r="N21" s="1475">
        <f>T21/T7</f>
        <v>0.10042654198533059</v>
      </c>
      <c r="O21" s="1473"/>
      <c r="P21" s="1473">
        <f>SUM(P19:P20)</f>
        <v>3966.8484084205584</v>
      </c>
      <c r="Q21" s="1473">
        <f t="shared" ref="Q21:S21" si="31">SUM(Q19:Q20)</f>
        <v>1657.0379427579549</v>
      </c>
      <c r="R21" s="1473">
        <f t="shared" si="31"/>
        <v>91.388153206650856</v>
      </c>
      <c r="S21" s="1473">
        <f t="shared" si="31"/>
        <v>186.0401690278249</v>
      </c>
      <c r="T21" s="1474">
        <f t="shared" si="15"/>
        <v>5901.3146734129887</v>
      </c>
      <c r="U21" s="1476"/>
      <c r="V21" s="1473">
        <f>V19</f>
        <v>690.27824906684771</v>
      </c>
      <c r="W21" s="1473">
        <f t="shared" ref="W21:Y21" si="32">W19</f>
        <v>288.34407872412623</v>
      </c>
      <c r="X21" s="1473">
        <f t="shared" si="32"/>
        <v>15.902612826603328</v>
      </c>
      <c r="Y21" s="1473">
        <f t="shared" si="32"/>
        <v>32.373176111299628</v>
      </c>
      <c r="Z21" s="1474">
        <f>SUM(V21:Y21)</f>
        <v>1026.8981167288769</v>
      </c>
      <c r="AA21" s="1477">
        <f t="shared" si="27"/>
        <v>1.7475398710553106E-2</v>
      </c>
      <c r="AB21" s="1477">
        <f t="shared" si="28"/>
        <v>0.10042654198533059</v>
      </c>
      <c r="AC21" s="1475">
        <f>AP21/AP7</f>
        <v>2.8377222647191315E-2</v>
      </c>
      <c r="AD21" s="1478"/>
      <c r="AE21" s="1473">
        <f>AE19</f>
        <v>612.33075980396575</v>
      </c>
      <c r="AF21" s="1473">
        <f t="shared" ref="AF21:AH21" si="33">AF19</f>
        <v>238.0961483386954</v>
      </c>
      <c r="AG21" s="1473">
        <f t="shared" si="33"/>
        <v>13.674375095829653</v>
      </c>
      <c r="AH21" s="1473">
        <f t="shared" si="33"/>
        <v>27.837120730796077</v>
      </c>
      <c r="AI21" s="1479">
        <f>SUM(AE21:AH21)</f>
        <v>891.93840396928692</v>
      </c>
      <c r="AJ21" s="1480"/>
      <c r="AK21" s="1473">
        <f>SUM(AK19:AK20)</f>
        <v>447.94381706339692</v>
      </c>
      <c r="AL21" s="1473">
        <f t="shared" ref="AL21:AN21" si="34">SUM(AL19:AL20)</f>
        <v>288.76170290072446</v>
      </c>
      <c r="AM21" s="1473">
        <f t="shared" si="34"/>
        <v>12.805098969656507</v>
      </c>
      <c r="AN21" s="1473">
        <f t="shared" si="34"/>
        <v>26.067522902515037</v>
      </c>
      <c r="AO21" s="1479">
        <f t="shared" si="16"/>
        <v>775.57814183629284</v>
      </c>
      <c r="AP21" s="1474">
        <f t="shared" si="8"/>
        <v>1667.5165458055799</v>
      </c>
      <c r="AQ21" s="864"/>
      <c r="AR21" s="864"/>
      <c r="AS21" s="864"/>
      <c r="AT21" s="864"/>
      <c r="AU21" s="864"/>
      <c r="AV21" s="1481"/>
      <c r="AW21" s="1482"/>
      <c r="AX21" s="864"/>
      <c r="AY21" s="864"/>
      <c r="AZ21" s="864"/>
      <c r="BA21" s="864"/>
      <c r="BB21" s="1481"/>
    </row>
    <row r="22" spans="1:72" outlineLevel="1">
      <c r="A22" s="436" t="s">
        <v>327</v>
      </c>
      <c r="B22" s="2"/>
      <c r="C22" s="2"/>
      <c r="D22" s="1061"/>
      <c r="E22" s="2"/>
      <c r="F22" s="508"/>
      <c r="G22" s="2"/>
      <c r="H22" s="811"/>
      <c r="I22" s="154">
        <f t="shared" ref="I22:L26" si="35">I$21*I132</f>
        <v>0.29496945841263178</v>
      </c>
      <c r="J22" s="154">
        <f t="shared" si="35"/>
        <v>1.9448507183148678</v>
      </c>
      <c r="K22" s="154">
        <f t="shared" si="35"/>
        <v>5.133695661856167E-2</v>
      </c>
      <c r="L22" s="154">
        <f t="shared" si="35"/>
        <v>0.10450737597350053</v>
      </c>
      <c r="M22" s="301">
        <f t="shared" si="9"/>
        <v>2.3956645093195621</v>
      </c>
      <c r="N22" s="279"/>
      <c r="O22" s="154"/>
      <c r="P22" s="154">
        <f t="shared" ref="P22:S26" si="36">P$21*P132</f>
        <v>0.43303503928238896</v>
      </c>
      <c r="Q22" s="154">
        <f t="shared" si="36"/>
        <v>2.8551718938498594</v>
      </c>
      <c r="R22" s="154">
        <f t="shared" si="36"/>
        <v>7.536611127670953E-2</v>
      </c>
      <c r="S22" s="154">
        <f t="shared" si="36"/>
        <v>0.15342386938473007</v>
      </c>
      <c r="T22" s="301">
        <f t="shared" si="15"/>
        <v>3.5169969137936881</v>
      </c>
      <c r="U22" s="326"/>
      <c r="V22" s="154">
        <f t="shared" ref="V22:Y26" si="37">V$21*V132</f>
        <v>7.5353186692469806E-2</v>
      </c>
      <c r="W22" s="154">
        <f t="shared" si="37"/>
        <v>0.49683346897954078</v>
      </c>
      <c r="X22" s="154">
        <f t="shared" si="37"/>
        <v>1.3114589209063823E-2</v>
      </c>
      <c r="Y22" s="154">
        <f t="shared" si="37"/>
        <v>2.6697556604165638E-2</v>
      </c>
      <c r="Z22" s="301">
        <f t="shared" ref="Z22:Z26" si="38">SUM(V22:Y22)</f>
        <v>0.61199880148524</v>
      </c>
      <c r="AA22" s="279"/>
      <c r="AB22" s="279"/>
      <c r="AC22" s="279"/>
      <c r="AD22" s="154"/>
      <c r="AE22" s="154">
        <f t="shared" ref="AE22:AH26" si="39">AE$21*AE132</f>
        <v>0</v>
      </c>
      <c r="AF22" s="154">
        <f t="shared" si="39"/>
        <v>0</v>
      </c>
      <c r="AG22" s="154">
        <f t="shared" si="39"/>
        <v>0</v>
      </c>
      <c r="AH22" s="154">
        <f t="shared" si="39"/>
        <v>0</v>
      </c>
      <c r="AI22" s="279">
        <f t="shared" ref="AI22:AI26" si="40">SUM(AE22:AH22)</f>
        <v>0</v>
      </c>
      <c r="AJ22" s="615"/>
      <c r="AK22" s="154">
        <f t="shared" ref="AK22:AN26" si="41">AK$21*AK132</f>
        <v>0.43303503928238901</v>
      </c>
      <c r="AL22" s="154">
        <f t="shared" si="41"/>
        <v>2.8551718938498598</v>
      </c>
      <c r="AM22" s="154">
        <f t="shared" si="41"/>
        <v>7.5366111276709502E-2</v>
      </c>
      <c r="AN22" s="154">
        <f t="shared" si="41"/>
        <v>0.1534238693847301</v>
      </c>
      <c r="AO22" s="681">
        <f t="shared" si="16"/>
        <v>3.5169969137936885</v>
      </c>
      <c r="AP22" s="301">
        <f t="shared" si="8"/>
        <v>3.5169969137936885</v>
      </c>
      <c r="BI22" s="423"/>
      <c r="BJ22" s="423"/>
      <c r="BK22" s="423"/>
      <c r="BL22" s="423"/>
      <c r="BM22" s="423"/>
      <c r="BN22" s="423"/>
      <c r="BO22" s="423"/>
      <c r="BP22" s="423"/>
      <c r="BQ22" s="423"/>
      <c r="BR22" s="423"/>
      <c r="BS22" s="423"/>
      <c r="BT22" s="423"/>
    </row>
    <row r="23" spans="1:72" outlineLevel="1">
      <c r="A23" s="436" t="s">
        <v>429</v>
      </c>
      <c r="B23" s="2"/>
      <c r="C23" s="2"/>
      <c r="D23" s="1061"/>
      <c r="E23" s="2"/>
      <c r="F23" s="508"/>
      <c r="G23" s="2"/>
      <c r="H23" s="154"/>
      <c r="I23" s="154">
        <f t="shared" si="35"/>
        <v>20.268615642353698</v>
      </c>
      <c r="J23" s="154">
        <f t="shared" si="35"/>
        <v>23.161404009022519</v>
      </c>
      <c r="K23" s="154">
        <f t="shared" si="35"/>
        <v>0.82625480705032417</v>
      </c>
      <c r="L23" s="154">
        <f t="shared" si="35"/>
        <v>1.6820187143524454</v>
      </c>
      <c r="M23" s="301">
        <f t="shared" si="9"/>
        <v>45.938293172778984</v>
      </c>
      <c r="N23" s="279"/>
      <c r="O23" s="154"/>
      <c r="P23" s="154">
        <f t="shared" si="36"/>
        <v>29.755693413547011</v>
      </c>
      <c r="Q23" s="154">
        <f t="shared" si="36"/>
        <v>34.002501644939237</v>
      </c>
      <c r="R23" s="154">
        <f t="shared" si="36"/>
        <v>1.2129977278114619</v>
      </c>
      <c r="S23" s="154">
        <f t="shared" si="36"/>
        <v>2.469316803044761</v>
      </c>
      <c r="T23" s="301">
        <f t="shared" si="15"/>
        <v>67.440509589342469</v>
      </c>
      <c r="U23" s="326"/>
      <c r="V23" s="154">
        <f t="shared" si="37"/>
        <v>5.1778403998682823</v>
      </c>
      <c r="W23" s="154">
        <f t="shared" si="37"/>
        <v>5.9168349487563496</v>
      </c>
      <c r="X23" s="154">
        <f t="shared" si="37"/>
        <v>0.21107586211219562</v>
      </c>
      <c r="Y23" s="154">
        <f t="shared" si="37"/>
        <v>0.42969014787125537</v>
      </c>
      <c r="Z23" s="301">
        <f t="shared" si="38"/>
        <v>11.735441358608083</v>
      </c>
      <c r="AA23" s="279"/>
      <c r="AB23" s="279"/>
      <c r="AC23" s="279"/>
      <c r="AD23" s="154"/>
      <c r="AE23" s="154">
        <f t="shared" si="39"/>
        <v>0</v>
      </c>
      <c r="AF23" s="154">
        <f t="shared" si="39"/>
        <v>0</v>
      </c>
      <c r="AG23" s="154">
        <f t="shared" si="39"/>
        <v>0</v>
      </c>
      <c r="AH23" s="154">
        <f t="shared" si="39"/>
        <v>0</v>
      </c>
      <c r="AI23" s="279">
        <f t="shared" si="40"/>
        <v>0</v>
      </c>
      <c r="AJ23" s="615"/>
      <c r="AK23" s="154">
        <f t="shared" si="41"/>
        <v>29.755693413547014</v>
      </c>
      <c r="AL23" s="154">
        <f t="shared" si="41"/>
        <v>34.002501644939237</v>
      </c>
      <c r="AM23" s="154">
        <f t="shared" si="41"/>
        <v>1.2129977278114614</v>
      </c>
      <c r="AN23" s="154">
        <f t="shared" si="41"/>
        <v>2.469316803044761</v>
      </c>
      <c r="AO23" s="681">
        <f t="shared" si="16"/>
        <v>67.440509589342469</v>
      </c>
      <c r="AP23" s="301">
        <f t="shared" si="8"/>
        <v>67.440509589342469</v>
      </c>
      <c r="BI23" s="423"/>
      <c r="BJ23" s="423"/>
      <c r="BK23" s="423"/>
      <c r="BL23" s="423"/>
      <c r="BM23" s="423"/>
      <c r="BN23" s="423"/>
      <c r="BO23" s="423"/>
      <c r="BP23" s="423"/>
      <c r="BQ23" s="423"/>
      <c r="BR23" s="423"/>
      <c r="BS23" s="423"/>
      <c r="BT23" s="423"/>
    </row>
    <row r="24" spans="1:72" outlineLevel="1">
      <c r="A24" s="436" t="s">
        <v>65</v>
      </c>
      <c r="B24" s="2"/>
      <c r="C24" s="2"/>
      <c r="D24" s="1061"/>
      <c r="E24" s="2"/>
      <c r="F24" s="508"/>
      <c r="G24" s="2"/>
      <c r="H24" s="154"/>
      <c r="I24" s="154">
        <f t="shared" si="35"/>
        <v>284.56125038007173</v>
      </c>
      <c r="J24" s="154">
        <f t="shared" si="35"/>
        <v>171.58887473859812</v>
      </c>
      <c r="K24" s="154">
        <f t="shared" si="35"/>
        <v>7.8448273603332606</v>
      </c>
      <c r="L24" s="154">
        <f t="shared" si="35"/>
        <v>15.969827126392708</v>
      </c>
      <c r="M24" s="301">
        <f t="shared" si="9"/>
        <v>479.96477960539585</v>
      </c>
      <c r="N24" s="279"/>
      <c r="O24" s="154"/>
      <c r="P24" s="154">
        <f t="shared" si="36"/>
        <v>417.7550886105675</v>
      </c>
      <c r="Q24" s="154">
        <f t="shared" si="36"/>
        <v>251.90402936193536</v>
      </c>
      <c r="R24" s="154">
        <f t="shared" si="36"/>
        <v>11.516735130568341</v>
      </c>
      <c r="S24" s="154">
        <f t="shared" si="36"/>
        <v>23.444782230085544</v>
      </c>
      <c r="T24" s="301">
        <f t="shared" si="15"/>
        <v>704.62063533315677</v>
      </c>
      <c r="U24" s="326"/>
      <c r="V24" s="154">
        <f t="shared" si="37"/>
        <v>72.694295676321232</v>
      </c>
      <c r="W24" s="154">
        <f t="shared" si="37"/>
        <v>43.834261967694943</v>
      </c>
      <c r="X24" s="154">
        <f t="shared" si="37"/>
        <v>2.0040472794524158</v>
      </c>
      <c r="Y24" s="154">
        <f t="shared" si="37"/>
        <v>4.0796676760281319</v>
      </c>
      <c r="Z24" s="301">
        <f t="shared" si="38"/>
        <v>122.61227259949673</v>
      </c>
      <c r="AA24" s="279"/>
      <c r="AB24" s="279"/>
      <c r="AC24" s="279"/>
      <c r="AD24" s="154"/>
      <c r="AE24" s="154">
        <f t="shared" si="39"/>
        <v>0</v>
      </c>
      <c r="AF24" s="154">
        <f t="shared" si="39"/>
        <v>0</v>
      </c>
      <c r="AG24" s="154">
        <f t="shared" si="39"/>
        <v>0</v>
      </c>
      <c r="AH24" s="154">
        <f t="shared" si="39"/>
        <v>0</v>
      </c>
      <c r="AI24" s="279">
        <f t="shared" si="40"/>
        <v>0</v>
      </c>
      <c r="AJ24" s="615"/>
      <c r="AK24" s="154">
        <f t="shared" si="41"/>
        <v>417.75508861056755</v>
      </c>
      <c r="AL24" s="154">
        <f t="shared" si="41"/>
        <v>251.90402936193536</v>
      </c>
      <c r="AM24" s="154">
        <f t="shared" si="41"/>
        <v>11.516735130568335</v>
      </c>
      <c r="AN24" s="154">
        <f t="shared" si="41"/>
        <v>23.444782230085544</v>
      </c>
      <c r="AO24" s="681">
        <f t="shared" si="16"/>
        <v>704.62063533315688</v>
      </c>
      <c r="AP24" s="301">
        <f t="shared" si="8"/>
        <v>704.62063533315688</v>
      </c>
      <c r="BI24" s="423"/>
      <c r="BJ24" s="423"/>
      <c r="BK24" s="423"/>
      <c r="BL24" s="423"/>
      <c r="BM24" s="423"/>
      <c r="BN24" s="423"/>
      <c r="BO24" s="423"/>
      <c r="BP24" s="423"/>
      <c r="BQ24" s="423"/>
      <c r="BR24" s="423"/>
      <c r="BS24" s="423"/>
      <c r="BT24" s="423"/>
    </row>
    <row r="25" spans="1:72" outlineLevel="1">
      <c r="A25" s="436" t="s">
        <v>66</v>
      </c>
      <c r="B25" s="2"/>
      <c r="C25" s="2"/>
      <c r="D25" s="1061"/>
      <c r="E25" s="2"/>
      <c r="F25" s="508"/>
      <c r="G25" s="2"/>
      <c r="H25" s="811"/>
      <c r="I25" s="154">
        <f t="shared" si="35"/>
        <v>2396.9639575551046</v>
      </c>
      <c r="J25" s="154">
        <f t="shared" si="35"/>
        <v>932.02550559971155</v>
      </c>
      <c r="K25" s="154">
        <f t="shared" si="35"/>
        <v>53.528234082648702</v>
      </c>
      <c r="L25" s="154">
        <f t="shared" si="35"/>
        <v>108.96819081110627</v>
      </c>
      <c r="M25" s="301">
        <f t="shared" si="9"/>
        <v>3491.4858880485708</v>
      </c>
      <c r="N25" s="279"/>
      <c r="O25" s="154"/>
      <c r="P25" s="154">
        <f t="shared" si="36"/>
        <v>3518.9045913571617</v>
      </c>
      <c r="Q25" s="154">
        <f t="shared" si="36"/>
        <v>1368.2762398572304</v>
      </c>
      <c r="R25" s="154">
        <f t="shared" si="36"/>
        <v>78.583054236994343</v>
      </c>
      <c r="S25" s="154">
        <f t="shared" si="36"/>
        <v>159.97264612530986</v>
      </c>
      <c r="T25" s="301">
        <f t="shared" si="15"/>
        <v>5125.7365315766956</v>
      </c>
      <c r="U25" s="326"/>
      <c r="V25" s="154">
        <f t="shared" si="37"/>
        <v>612.33075980396575</v>
      </c>
      <c r="W25" s="154">
        <f t="shared" si="37"/>
        <v>238.0961483386954</v>
      </c>
      <c r="X25" s="154">
        <f t="shared" si="37"/>
        <v>13.674375095829653</v>
      </c>
      <c r="Y25" s="154">
        <f t="shared" si="37"/>
        <v>27.837120730796077</v>
      </c>
      <c r="Z25" s="301">
        <f t="shared" si="38"/>
        <v>891.93840396928692</v>
      </c>
      <c r="AA25" s="279"/>
      <c r="AB25" s="279"/>
      <c r="AC25" s="279"/>
      <c r="AD25" s="154"/>
      <c r="AE25" s="154">
        <f t="shared" si="39"/>
        <v>612.33075980396575</v>
      </c>
      <c r="AF25" s="154">
        <f t="shared" si="39"/>
        <v>238.0961483386954</v>
      </c>
      <c r="AG25" s="154">
        <f t="shared" si="39"/>
        <v>13.674375095829653</v>
      </c>
      <c r="AH25" s="154">
        <f t="shared" si="39"/>
        <v>27.837120730796077</v>
      </c>
      <c r="AI25" s="279">
        <f t="shared" si="40"/>
        <v>891.93840396928692</v>
      </c>
      <c r="AJ25" s="615"/>
      <c r="AK25" s="154">
        <f t="shared" si="41"/>
        <v>0</v>
      </c>
      <c r="AL25" s="154">
        <f t="shared" si="41"/>
        <v>0</v>
      </c>
      <c r="AM25" s="154">
        <f t="shared" si="41"/>
        <v>0</v>
      </c>
      <c r="AN25" s="154">
        <f t="shared" si="41"/>
        <v>0</v>
      </c>
      <c r="AO25" s="681">
        <f t="shared" si="16"/>
        <v>0</v>
      </c>
      <c r="AP25" s="301">
        <f t="shared" si="8"/>
        <v>891.93840396928692</v>
      </c>
      <c r="BI25" s="423"/>
      <c r="BJ25" s="423"/>
      <c r="BK25" s="423"/>
      <c r="BL25" s="423"/>
      <c r="BM25" s="423"/>
      <c r="BN25" s="423"/>
      <c r="BO25" s="423"/>
      <c r="BP25" s="423"/>
      <c r="BQ25" s="423"/>
      <c r="BR25" s="423"/>
      <c r="BS25" s="423"/>
      <c r="BT25" s="423"/>
    </row>
    <row r="26" spans="1:72" s="454" customFormat="1" ht="20" outlineLevel="1" thickBot="1">
      <c r="A26" s="1038" t="s">
        <v>328</v>
      </c>
      <c r="B26" s="930"/>
      <c r="C26" s="930"/>
      <c r="D26" s="1062"/>
      <c r="E26" s="930"/>
      <c r="F26" s="1433"/>
      <c r="G26" s="930"/>
      <c r="H26" s="363"/>
      <c r="I26" s="363">
        <f t="shared" si="35"/>
        <v>0</v>
      </c>
      <c r="J26" s="363">
        <f t="shared" si="35"/>
        <v>0</v>
      </c>
      <c r="K26" s="363">
        <f t="shared" si="35"/>
        <v>0</v>
      </c>
      <c r="L26" s="363">
        <f t="shared" si="35"/>
        <v>0</v>
      </c>
      <c r="M26" s="364">
        <f t="shared" si="9"/>
        <v>0</v>
      </c>
      <c r="N26" s="626"/>
      <c r="O26" s="363"/>
      <c r="P26" s="363">
        <f t="shared" si="36"/>
        <v>0</v>
      </c>
      <c r="Q26" s="363">
        <f t="shared" si="36"/>
        <v>0</v>
      </c>
      <c r="R26" s="363">
        <f t="shared" si="36"/>
        <v>0</v>
      </c>
      <c r="S26" s="363">
        <f t="shared" si="36"/>
        <v>0</v>
      </c>
      <c r="T26" s="364">
        <f t="shared" si="15"/>
        <v>0</v>
      </c>
      <c r="U26" s="949"/>
      <c r="V26" s="363">
        <f t="shared" si="37"/>
        <v>0</v>
      </c>
      <c r="W26" s="363">
        <f t="shared" si="37"/>
        <v>0</v>
      </c>
      <c r="X26" s="363">
        <f t="shared" si="37"/>
        <v>0</v>
      </c>
      <c r="Y26" s="363">
        <f t="shared" si="37"/>
        <v>0</v>
      </c>
      <c r="Z26" s="364">
        <f t="shared" si="38"/>
        <v>0</v>
      </c>
      <c r="AA26" s="626"/>
      <c r="AB26" s="626"/>
      <c r="AC26" s="626"/>
      <c r="AD26" s="363"/>
      <c r="AE26" s="363">
        <f t="shared" si="39"/>
        <v>0</v>
      </c>
      <c r="AF26" s="363">
        <f t="shared" si="39"/>
        <v>0</v>
      </c>
      <c r="AG26" s="363">
        <f t="shared" si="39"/>
        <v>0</v>
      </c>
      <c r="AH26" s="363">
        <f t="shared" si="39"/>
        <v>0</v>
      </c>
      <c r="AI26" s="626">
        <f t="shared" si="40"/>
        <v>0</v>
      </c>
      <c r="AJ26" s="664"/>
      <c r="AK26" s="363">
        <f t="shared" si="41"/>
        <v>0</v>
      </c>
      <c r="AL26" s="363">
        <f t="shared" si="41"/>
        <v>0</v>
      </c>
      <c r="AM26" s="363">
        <f t="shared" si="41"/>
        <v>0</v>
      </c>
      <c r="AN26" s="363">
        <f t="shared" si="41"/>
        <v>0</v>
      </c>
      <c r="AO26" s="683">
        <f t="shared" si="16"/>
        <v>0</v>
      </c>
      <c r="AP26" s="364">
        <f t="shared" si="8"/>
        <v>0</v>
      </c>
      <c r="AQ26" s="88"/>
      <c r="AR26" s="88"/>
      <c r="AS26" s="88"/>
      <c r="AT26" s="88"/>
      <c r="AU26" s="88"/>
      <c r="AV26" s="88"/>
      <c r="AW26" s="88"/>
      <c r="AX26" s="88"/>
      <c r="AY26" s="88"/>
      <c r="AZ26" s="88"/>
      <c r="BA26" s="88"/>
      <c r="BB26" s="88"/>
    </row>
    <row r="27" spans="1:72">
      <c r="A27" s="436"/>
      <c r="B27" s="2"/>
      <c r="C27" s="2"/>
      <c r="D27" s="1061"/>
      <c r="E27" s="2"/>
      <c r="F27" s="508"/>
      <c r="G27" s="2"/>
      <c r="H27" s="154"/>
      <c r="I27" s="154"/>
      <c r="J27" s="154"/>
      <c r="K27" s="154"/>
      <c r="L27" s="154"/>
      <c r="M27" s="301"/>
      <c r="N27" s="279"/>
      <c r="O27" s="1217">
        <f>O19/H19</f>
        <v>1.5</v>
      </c>
      <c r="P27" s="154"/>
      <c r="Q27" s="154"/>
      <c r="R27" s="154"/>
      <c r="S27" s="154"/>
      <c r="T27" s="1218"/>
      <c r="U27" s="326"/>
      <c r="V27" s="154"/>
      <c r="W27" s="154"/>
      <c r="X27" s="154"/>
      <c r="Y27" s="154"/>
      <c r="Z27" s="301"/>
      <c r="AA27" s="279"/>
      <c r="AB27" s="279"/>
      <c r="AC27" s="279"/>
      <c r="AD27" s="154"/>
      <c r="AE27" s="154"/>
      <c r="AF27" s="154"/>
      <c r="AG27" s="154"/>
      <c r="AH27" s="154"/>
      <c r="AI27" s="279"/>
      <c r="AJ27" s="615"/>
      <c r="AK27" s="154"/>
      <c r="AL27" s="154"/>
      <c r="AM27" s="154"/>
      <c r="AN27" s="154"/>
      <c r="AO27" s="681"/>
      <c r="AP27" s="301"/>
      <c r="BI27" s="423"/>
      <c r="BJ27" s="423"/>
      <c r="BK27" s="423"/>
      <c r="BL27" s="423"/>
      <c r="BM27" s="423"/>
      <c r="BN27" s="423"/>
      <c r="BO27" s="423"/>
      <c r="BP27" s="423"/>
      <c r="BQ27" s="423"/>
      <c r="BR27" s="423"/>
      <c r="BS27" s="423"/>
      <c r="BT27" s="423"/>
    </row>
    <row r="28" spans="1:72" outlineLevel="1">
      <c r="A28" s="436"/>
      <c r="B28" s="2"/>
      <c r="C28" s="2"/>
      <c r="D28" s="1061"/>
      <c r="E28" s="2"/>
      <c r="F28" s="508"/>
      <c r="G28" s="2"/>
      <c r="H28" s="154"/>
      <c r="I28" s="154"/>
      <c r="J28" s="154"/>
      <c r="K28" s="154"/>
      <c r="L28" s="154"/>
      <c r="M28" s="301"/>
      <c r="N28" s="279"/>
      <c r="O28" s="1245">
        <f>(O19-H19)/H19</f>
        <v>0.5</v>
      </c>
      <c r="P28" s="154"/>
      <c r="Q28" s="154"/>
      <c r="R28" s="154"/>
      <c r="S28" s="154"/>
      <c r="T28" s="301"/>
      <c r="U28" s="326"/>
      <c r="V28" s="154"/>
      <c r="W28" s="154"/>
      <c r="X28" s="154"/>
      <c r="Y28" s="154"/>
      <c r="Z28" s="301"/>
      <c r="AA28" s="279"/>
      <c r="AB28" s="279"/>
      <c r="AC28" s="279"/>
      <c r="AD28" s="154"/>
      <c r="AE28" s="154"/>
      <c r="AF28" s="154"/>
      <c r="AG28" s="154"/>
      <c r="AH28" s="154"/>
      <c r="AI28" s="279"/>
      <c r="AJ28" s="615"/>
      <c r="AK28" s="154"/>
      <c r="AL28" s="154"/>
      <c r="AM28" s="154"/>
      <c r="AN28" s="154"/>
      <c r="AO28" s="681"/>
      <c r="AP28" s="301"/>
      <c r="BI28" s="423"/>
      <c r="BJ28" s="423"/>
      <c r="BK28" s="423"/>
      <c r="BL28" s="423"/>
      <c r="BM28" s="423"/>
      <c r="BN28" s="423"/>
      <c r="BO28" s="423"/>
      <c r="BP28" s="423"/>
      <c r="BQ28" s="423"/>
      <c r="BR28" s="423"/>
      <c r="BS28" s="423"/>
      <c r="BT28" s="423"/>
    </row>
    <row r="29" spans="1:72" s="969" customFormat="1" ht="21" outlineLevel="1" thickBot="1">
      <c r="A29" s="416" t="s">
        <v>63</v>
      </c>
      <c r="B29" s="962"/>
      <c r="C29" s="962"/>
      <c r="D29" s="1063"/>
      <c r="E29" s="962"/>
      <c r="F29" s="1434"/>
      <c r="G29" s="962"/>
      <c r="H29" s="963"/>
      <c r="I29" s="964">
        <f t="shared" ref="I29:M33" si="42">I44/I21</f>
        <v>20930.298172291186</v>
      </c>
      <c r="J29" s="964">
        <f t="shared" si="42"/>
        <v>21327.658677944863</v>
      </c>
      <c r="K29" s="964">
        <f t="shared" si="42"/>
        <v>21106.467446786352</v>
      </c>
      <c r="L29" s="964">
        <f t="shared" si="42"/>
        <v>21106.467446786348</v>
      </c>
      <c r="M29" s="1215">
        <f t="shared" si="42"/>
        <v>21050.155495653511</v>
      </c>
      <c r="N29" s="966"/>
      <c r="O29" s="963"/>
      <c r="P29" s="964">
        <f t="shared" ref="P29:T33" si="43">P44/P21</f>
        <v>23817.575828985246</v>
      </c>
      <c r="Q29" s="964">
        <f t="shared" si="43"/>
        <v>24219.664902178411</v>
      </c>
      <c r="R29" s="964">
        <f t="shared" si="43"/>
        <v>23995.841507881392</v>
      </c>
      <c r="S29" s="964">
        <f t="shared" si="43"/>
        <v>23995.841507881396</v>
      </c>
      <c r="T29" s="1215">
        <f t="shared" si="43"/>
        <v>23938.859447715524</v>
      </c>
      <c r="U29" s="1027"/>
      <c r="V29" s="964">
        <f t="shared" ref="V29:Z33" si="44">V44/V21</f>
        <v>23817.575828985242</v>
      </c>
      <c r="W29" s="964">
        <f t="shared" si="44"/>
        <v>24219.664902178414</v>
      </c>
      <c r="X29" s="964">
        <f t="shared" si="44"/>
        <v>23995.8415078814</v>
      </c>
      <c r="Y29" s="964">
        <f t="shared" si="44"/>
        <v>23995.8415078814</v>
      </c>
      <c r="Z29" s="1215">
        <f t="shared" si="44"/>
        <v>23938.85944771552</v>
      </c>
      <c r="AA29" s="966"/>
      <c r="AB29" s="966"/>
      <c r="AC29" s="966"/>
      <c r="AD29" s="963"/>
      <c r="AE29" s="964">
        <f t="shared" ref="AE29:AI33" si="45">AE44/AE21</f>
        <v>23361.308724832215</v>
      </c>
      <c r="AF29" s="964">
        <f t="shared" si="45"/>
        <v>23361.308724832215</v>
      </c>
      <c r="AG29" s="964">
        <f t="shared" si="45"/>
        <v>23361.308724832215</v>
      </c>
      <c r="AH29" s="964">
        <f t="shared" si="45"/>
        <v>23361.308724832215</v>
      </c>
      <c r="AI29" s="965">
        <f t="shared" si="45"/>
        <v>23361.308724832215</v>
      </c>
      <c r="AJ29" s="967"/>
      <c r="AK29" s="964">
        <f t="shared" ref="AK29:AP33" si="46">AK44/AK21</f>
        <v>27401.865524543395</v>
      </c>
      <c r="AL29" s="964">
        <f t="shared" si="46"/>
        <v>28286.922959599062</v>
      </c>
      <c r="AM29" s="964">
        <f t="shared" si="46"/>
        <v>27889.878111867314</v>
      </c>
      <c r="AN29" s="964">
        <f t="shared" si="46"/>
        <v>27889.878111867311</v>
      </c>
      <c r="AO29" s="965">
        <f t="shared" si="46"/>
        <v>27755.847935957816</v>
      </c>
      <c r="AP29" s="1215">
        <f t="shared" si="46"/>
        <v>25405.251595542959</v>
      </c>
      <c r="AQ29" s="968"/>
      <c r="AR29" s="968"/>
      <c r="AS29" s="968"/>
      <c r="AT29" s="968"/>
      <c r="AU29" s="968"/>
      <c r="AV29" s="968"/>
      <c r="AW29" s="968"/>
      <c r="AX29" s="968"/>
      <c r="AY29" s="968"/>
      <c r="AZ29" s="968"/>
      <c r="BA29" s="968"/>
      <c r="BB29" s="968"/>
    </row>
    <row r="30" spans="1:72" outlineLevel="2">
      <c r="A30" s="1037" t="s">
        <v>327</v>
      </c>
      <c r="B30" s="2"/>
      <c r="C30" s="2"/>
      <c r="D30" s="1061"/>
      <c r="E30" s="2"/>
      <c r="F30" s="508"/>
      <c r="G30" s="2"/>
      <c r="H30" s="154"/>
      <c r="I30" s="169">
        <f t="shared" si="42"/>
        <v>55362.5</v>
      </c>
      <c r="J30" s="169">
        <f t="shared" si="42"/>
        <v>55362.5</v>
      </c>
      <c r="K30" s="169">
        <f t="shared" si="42"/>
        <v>55362.5</v>
      </c>
      <c r="L30" s="169">
        <f t="shared" si="42"/>
        <v>55362.5</v>
      </c>
      <c r="M30" s="407">
        <f t="shared" si="42"/>
        <v>55362.499999999993</v>
      </c>
      <c r="N30" s="279"/>
      <c r="O30" s="154"/>
      <c r="P30" s="169">
        <f t="shared" si="43"/>
        <v>59174.344262295082</v>
      </c>
      <c r="Q30" s="169">
        <f t="shared" si="43"/>
        <v>59174.34426229509</v>
      </c>
      <c r="R30" s="169">
        <f t="shared" si="43"/>
        <v>59174.344262295082</v>
      </c>
      <c r="S30" s="169">
        <f t="shared" si="43"/>
        <v>59174.344262295082</v>
      </c>
      <c r="T30" s="407">
        <f t="shared" si="43"/>
        <v>59174.344262295082</v>
      </c>
      <c r="U30" s="326"/>
      <c r="V30" s="169">
        <f t="shared" si="44"/>
        <v>59174.344262295075</v>
      </c>
      <c r="W30" s="169">
        <f t="shared" si="44"/>
        <v>59174.344262295082</v>
      </c>
      <c r="X30" s="169">
        <f t="shared" si="44"/>
        <v>59174.344262295082</v>
      </c>
      <c r="Y30" s="169">
        <f t="shared" si="44"/>
        <v>59174.344262295082</v>
      </c>
      <c r="Z30" s="407">
        <f t="shared" si="44"/>
        <v>59174.344262295082</v>
      </c>
      <c r="AA30" s="279"/>
      <c r="AB30" s="279"/>
      <c r="AC30" s="279"/>
      <c r="AD30" s="154"/>
      <c r="AE30" s="169" t="e">
        <f t="shared" si="45"/>
        <v>#DIV/0!</v>
      </c>
      <c r="AF30" s="169" t="e">
        <f t="shared" si="45"/>
        <v>#DIV/0!</v>
      </c>
      <c r="AG30" s="169" t="e">
        <f t="shared" si="45"/>
        <v>#DIV/0!</v>
      </c>
      <c r="AH30" s="169" t="e">
        <f t="shared" si="45"/>
        <v>#DIV/0!</v>
      </c>
      <c r="AI30" s="169" t="e">
        <f t="shared" si="45"/>
        <v>#DIV/0!</v>
      </c>
      <c r="AJ30" s="615"/>
      <c r="AK30" s="169">
        <f t="shared" si="46"/>
        <v>59174.344262295082</v>
      </c>
      <c r="AL30" s="169">
        <f t="shared" si="46"/>
        <v>59174.34426229509</v>
      </c>
      <c r="AM30" s="169">
        <f t="shared" si="46"/>
        <v>59174.344262295075</v>
      </c>
      <c r="AN30" s="169">
        <f t="shared" si="46"/>
        <v>59174.34426229509</v>
      </c>
      <c r="AO30" s="169">
        <f t="shared" si="46"/>
        <v>59174.34426229509</v>
      </c>
      <c r="AP30" s="407">
        <f t="shared" si="46"/>
        <v>59174.34426229509</v>
      </c>
      <c r="BI30" s="423"/>
      <c r="BJ30" s="423"/>
      <c r="BK30" s="423"/>
      <c r="BL30" s="423"/>
      <c r="BM30" s="423"/>
      <c r="BN30" s="423"/>
      <c r="BO30" s="423"/>
      <c r="BP30" s="423"/>
      <c r="BQ30" s="423"/>
      <c r="BR30" s="423"/>
      <c r="BS30" s="423"/>
      <c r="BT30" s="423"/>
    </row>
    <row r="31" spans="1:72" outlineLevel="2">
      <c r="A31" s="436" t="s">
        <v>429</v>
      </c>
      <c r="B31" s="2"/>
      <c r="C31" s="2"/>
      <c r="D31" s="1061"/>
      <c r="E31" s="2"/>
      <c r="F31" s="508"/>
      <c r="G31" s="2"/>
      <c r="H31" s="154"/>
      <c r="I31" s="169">
        <f t="shared" si="42"/>
        <v>35026.5</v>
      </c>
      <c r="J31" s="169">
        <f t="shared" si="42"/>
        <v>35026.5</v>
      </c>
      <c r="K31" s="169">
        <f t="shared" si="42"/>
        <v>35026.5</v>
      </c>
      <c r="L31" s="169">
        <f t="shared" si="42"/>
        <v>35026.5</v>
      </c>
      <c r="M31" s="407">
        <f t="shared" si="42"/>
        <v>35026.5</v>
      </c>
      <c r="N31" s="279"/>
      <c r="O31" s="154"/>
      <c r="P31" s="169">
        <f t="shared" si="43"/>
        <v>38183.394849785407</v>
      </c>
      <c r="Q31" s="169">
        <f t="shared" si="43"/>
        <v>38183.394849785407</v>
      </c>
      <c r="R31" s="169">
        <f t="shared" si="43"/>
        <v>38183.394849785407</v>
      </c>
      <c r="S31" s="169">
        <f t="shared" si="43"/>
        <v>38183.394849785407</v>
      </c>
      <c r="T31" s="407">
        <f t="shared" si="43"/>
        <v>38183.394849785414</v>
      </c>
      <c r="U31" s="326"/>
      <c r="V31" s="169">
        <f t="shared" si="44"/>
        <v>38183.394849785407</v>
      </c>
      <c r="W31" s="169">
        <f t="shared" si="44"/>
        <v>38183.394849785407</v>
      </c>
      <c r="X31" s="169">
        <f t="shared" si="44"/>
        <v>38183.394849785407</v>
      </c>
      <c r="Y31" s="169">
        <f t="shared" si="44"/>
        <v>38183.3948497854</v>
      </c>
      <c r="Z31" s="407">
        <f t="shared" si="44"/>
        <v>38183.394849785407</v>
      </c>
      <c r="AA31" s="279"/>
      <c r="AB31" s="279"/>
      <c r="AC31" s="279"/>
      <c r="AD31" s="154"/>
      <c r="AE31" s="169" t="e">
        <f t="shared" si="45"/>
        <v>#DIV/0!</v>
      </c>
      <c r="AF31" s="169" t="e">
        <f t="shared" si="45"/>
        <v>#DIV/0!</v>
      </c>
      <c r="AG31" s="169" t="e">
        <f t="shared" si="45"/>
        <v>#DIV/0!</v>
      </c>
      <c r="AH31" s="169" t="e">
        <f t="shared" si="45"/>
        <v>#DIV/0!</v>
      </c>
      <c r="AI31" s="169" t="e">
        <f t="shared" si="45"/>
        <v>#DIV/0!</v>
      </c>
      <c r="AJ31" s="615"/>
      <c r="AK31" s="169">
        <f t="shared" si="46"/>
        <v>38183.394849785407</v>
      </c>
      <c r="AL31" s="169">
        <f t="shared" si="46"/>
        <v>38183.394849785407</v>
      </c>
      <c r="AM31" s="169">
        <f t="shared" si="46"/>
        <v>38183.394849785407</v>
      </c>
      <c r="AN31" s="169">
        <f t="shared" si="46"/>
        <v>38183.394849785407</v>
      </c>
      <c r="AO31" s="169">
        <f t="shared" si="46"/>
        <v>38183.394849785414</v>
      </c>
      <c r="AP31" s="407">
        <f t="shared" si="46"/>
        <v>38183.394849785414</v>
      </c>
      <c r="BI31" s="423"/>
      <c r="BJ31" s="423"/>
      <c r="BK31" s="423"/>
      <c r="BL31" s="423"/>
      <c r="BM31" s="423"/>
      <c r="BN31" s="423"/>
      <c r="BO31" s="423"/>
      <c r="BP31" s="423"/>
      <c r="BQ31" s="423"/>
      <c r="BR31" s="423"/>
      <c r="BS31" s="423"/>
      <c r="BT31" s="423"/>
    </row>
    <row r="32" spans="1:72" outlineLevel="2">
      <c r="A32" s="436" t="s">
        <v>65</v>
      </c>
      <c r="B32" s="2"/>
      <c r="C32" s="2"/>
      <c r="D32" s="1061"/>
      <c r="E32" s="2"/>
      <c r="F32" s="508"/>
      <c r="G32" s="2"/>
      <c r="H32" s="154"/>
      <c r="I32" s="169">
        <f t="shared" si="42"/>
        <v>23721.5</v>
      </c>
      <c r="J32" s="169">
        <f t="shared" si="42"/>
        <v>23721.5</v>
      </c>
      <c r="K32" s="169">
        <f t="shared" si="42"/>
        <v>23721.5</v>
      </c>
      <c r="L32" s="169">
        <f t="shared" si="42"/>
        <v>23721.5</v>
      </c>
      <c r="M32" s="407">
        <f t="shared" si="42"/>
        <v>23721.5</v>
      </c>
      <c r="N32" s="279"/>
      <c r="O32" s="154"/>
      <c r="P32" s="169">
        <f t="shared" si="43"/>
        <v>26600.988439306358</v>
      </c>
      <c r="Q32" s="169">
        <f t="shared" si="43"/>
        <v>26600.988439306362</v>
      </c>
      <c r="R32" s="169">
        <f t="shared" si="43"/>
        <v>26600.988439306366</v>
      </c>
      <c r="S32" s="169">
        <f t="shared" si="43"/>
        <v>26600.988439306358</v>
      </c>
      <c r="T32" s="407">
        <f t="shared" si="43"/>
        <v>26600.988439306355</v>
      </c>
      <c r="U32" s="326"/>
      <c r="V32" s="169">
        <f t="shared" si="44"/>
        <v>26600.988439306362</v>
      </c>
      <c r="W32" s="169">
        <f t="shared" si="44"/>
        <v>26600.988439306362</v>
      </c>
      <c r="X32" s="169">
        <f t="shared" si="44"/>
        <v>26600.988439306362</v>
      </c>
      <c r="Y32" s="169">
        <f t="shared" si="44"/>
        <v>26600.988439306362</v>
      </c>
      <c r="Z32" s="407">
        <f t="shared" si="44"/>
        <v>26600.988439306355</v>
      </c>
      <c r="AA32" s="279"/>
      <c r="AB32" s="279"/>
      <c r="AC32" s="279"/>
      <c r="AD32" s="154"/>
      <c r="AE32" s="169" t="e">
        <f t="shared" si="45"/>
        <v>#DIV/0!</v>
      </c>
      <c r="AF32" s="169" t="e">
        <f t="shared" si="45"/>
        <v>#DIV/0!</v>
      </c>
      <c r="AG32" s="169" t="e">
        <f t="shared" si="45"/>
        <v>#DIV/0!</v>
      </c>
      <c r="AH32" s="169" t="e">
        <f t="shared" si="45"/>
        <v>#DIV/0!</v>
      </c>
      <c r="AI32" s="169" t="e">
        <f t="shared" si="45"/>
        <v>#DIV/0!</v>
      </c>
      <c r="AJ32" s="615"/>
      <c r="AK32" s="169">
        <f t="shared" si="46"/>
        <v>26600.988439306362</v>
      </c>
      <c r="AL32" s="169">
        <f t="shared" si="46"/>
        <v>26600.988439306362</v>
      </c>
      <c r="AM32" s="169">
        <f t="shared" si="46"/>
        <v>26600.988439306362</v>
      </c>
      <c r="AN32" s="169">
        <f t="shared" si="46"/>
        <v>26600.988439306358</v>
      </c>
      <c r="AO32" s="169">
        <f t="shared" si="46"/>
        <v>26600.988439306358</v>
      </c>
      <c r="AP32" s="407">
        <f t="shared" si="46"/>
        <v>26600.988439306358</v>
      </c>
      <c r="BI32" s="423"/>
      <c r="BJ32" s="423"/>
      <c r="BK32" s="423"/>
      <c r="BL32" s="423"/>
      <c r="BM32" s="423"/>
      <c r="BN32" s="423"/>
      <c r="BO32" s="423"/>
      <c r="BP32" s="423"/>
      <c r="BQ32" s="423"/>
      <c r="BR32" s="423"/>
      <c r="BS32" s="423"/>
      <c r="BT32" s="423"/>
    </row>
    <row r="33" spans="1:72" outlineLevel="2">
      <c r="A33" s="436" t="s">
        <v>66</v>
      </c>
      <c r="B33" s="2"/>
      <c r="C33" s="2"/>
      <c r="D33" s="1061"/>
      <c r="E33" s="2"/>
      <c r="F33" s="508"/>
      <c r="G33" s="2"/>
      <c r="H33" s="154"/>
      <c r="I33" s="169">
        <f t="shared" si="42"/>
        <v>20475.5</v>
      </c>
      <c r="J33" s="169">
        <f t="shared" si="42"/>
        <v>20475.5</v>
      </c>
      <c r="K33" s="169">
        <f t="shared" si="42"/>
        <v>20475.5</v>
      </c>
      <c r="L33" s="169">
        <f t="shared" si="42"/>
        <v>20475.5</v>
      </c>
      <c r="M33" s="407">
        <f t="shared" si="42"/>
        <v>20475.5</v>
      </c>
      <c r="N33" s="279"/>
      <c r="O33" s="154"/>
      <c r="P33" s="169">
        <f t="shared" si="43"/>
        <v>23361.308724832215</v>
      </c>
      <c r="Q33" s="169">
        <f t="shared" si="43"/>
        <v>23361.308724832215</v>
      </c>
      <c r="R33" s="169">
        <f t="shared" si="43"/>
        <v>23361.308724832215</v>
      </c>
      <c r="S33" s="169">
        <f t="shared" si="43"/>
        <v>23361.308724832215</v>
      </c>
      <c r="T33" s="407">
        <f t="shared" si="43"/>
        <v>23361.308724832219</v>
      </c>
      <c r="U33" s="326"/>
      <c r="V33" s="169">
        <f t="shared" si="44"/>
        <v>23361.308724832215</v>
      </c>
      <c r="W33" s="169">
        <f t="shared" si="44"/>
        <v>23361.308724832215</v>
      </c>
      <c r="X33" s="169">
        <f t="shared" si="44"/>
        <v>23361.308724832215</v>
      </c>
      <c r="Y33" s="169">
        <f t="shared" si="44"/>
        <v>23361.308724832215</v>
      </c>
      <c r="Z33" s="407">
        <f t="shared" si="44"/>
        <v>23361.308724832215</v>
      </c>
      <c r="AA33" s="279"/>
      <c r="AB33" s="279"/>
      <c r="AC33" s="279"/>
      <c r="AD33" s="154"/>
      <c r="AE33" s="169">
        <f t="shared" si="45"/>
        <v>23361.308724832215</v>
      </c>
      <c r="AF33" s="169">
        <f t="shared" si="45"/>
        <v>23361.308724832215</v>
      </c>
      <c r="AG33" s="169">
        <f t="shared" si="45"/>
        <v>23361.308724832215</v>
      </c>
      <c r="AH33" s="169">
        <f t="shared" si="45"/>
        <v>23361.308724832215</v>
      </c>
      <c r="AI33" s="169">
        <f t="shared" si="45"/>
        <v>23361.308724832215</v>
      </c>
      <c r="AJ33" s="615"/>
      <c r="AK33" s="169" t="e">
        <f t="shared" si="46"/>
        <v>#DIV/0!</v>
      </c>
      <c r="AL33" s="169" t="e">
        <f t="shared" si="46"/>
        <v>#DIV/0!</v>
      </c>
      <c r="AM33" s="169" t="e">
        <f t="shared" si="46"/>
        <v>#DIV/0!</v>
      </c>
      <c r="AN33" s="169" t="e">
        <f t="shared" si="46"/>
        <v>#DIV/0!</v>
      </c>
      <c r="AO33" s="169" t="e">
        <f t="shared" si="46"/>
        <v>#DIV/0!</v>
      </c>
      <c r="AP33" s="407">
        <f t="shared" si="46"/>
        <v>23361.308724832215</v>
      </c>
      <c r="BI33" s="423"/>
      <c r="BJ33" s="423"/>
      <c r="BK33" s="423"/>
      <c r="BL33" s="423"/>
      <c r="BM33" s="423"/>
      <c r="BN33" s="423"/>
      <c r="BO33" s="423"/>
      <c r="BP33" s="423"/>
      <c r="BQ33" s="423"/>
      <c r="BR33" s="423"/>
      <c r="BS33" s="423"/>
      <c r="BT33" s="423"/>
    </row>
    <row r="34" spans="1:72" ht="20" outlineLevel="2" thickBot="1">
      <c r="A34" s="1038" t="s">
        <v>328</v>
      </c>
      <c r="B34" s="2"/>
      <c r="C34" s="2"/>
      <c r="D34" s="1061"/>
      <c r="E34" s="2"/>
      <c r="F34" s="508"/>
      <c r="G34" s="2"/>
      <c r="H34" s="154"/>
      <c r="I34" s="169"/>
      <c r="J34" s="154"/>
      <c r="K34" s="154"/>
      <c r="L34" s="154"/>
      <c r="M34" s="301"/>
      <c r="N34" s="279"/>
      <c r="O34" s="154"/>
      <c r="P34" s="154"/>
      <c r="Q34" s="154"/>
      <c r="R34" s="154"/>
      <c r="S34" s="154"/>
      <c r="T34" s="301"/>
      <c r="U34" s="326"/>
      <c r="V34" s="154"/>
      <c r="W34" s="154"/>
      <c r="X34" s="154"/>
      <c r="Y34" s="154"/>
      <c r="Z34" s="301"/>
      <c r="AA34" s="279"/>
      <c r="AB34" s="279"/>
      <c r="AC34" s="279"/>
      <c r="AD34" s="154"/>
      <c r="AE34" s="154"/>
      <c r="AF34" s="154"/>
      <c r="AG34" s="154"/>
      <c r="AH34" s="154"/>
      <c r="AI34" s="279"/>
      <c r="AJ34" s="615"/>
      <c r="AK34" s="154"/>
      <c r="AL34" s="154"/>
      <c r="AM34" s="154"/>
      <c r="AN34" s="154"/>
      <c r="AO34" s="681"/>
      <c r="AP34" s="301"/>
      <c r="BI34" s="423"/>
      <c r="BJ34" s="423"/>
      <c r="BK34" s="423"/>
      <c r="BL34" s="423"/>
      <c r="BM34" s="423"/>
      <c r="BN34" s="423"/>
      <c r="BO34" s="423"/>
      <c r="BP34" s="423"/>
      <c r="BQ34" s="423"/>
      <c r="BR34" s="423"/>
      <c r="BS34" s="423"/>
      <c r="BT34" s="423"/>
    </row>
    <row r="35" spans="1:72" s="969" customFormat="1" outlineLevel="1">
      <c r="A35" s="1039" t="s">
        <v>621</v>
      </c>
      <c r="B35" s="962"/>
      <c r="C35" s="962"/>
      <c r="D35" s="1063"/>
      <c r="E35" s="962"/>
      <c r="F35" s="1434"/>
      <c r="G35" s="962"/>
      <c r="H35" s="963"/>
      <c r="I35" s="964">
        <f>I36+I40+I41</f>
        <v>17430.56135042505</v>
      </c>
      <c r="J35" s="964">
        <f t="shared" ref="J35:M35" si="47">J36+J40+J41</f>
        <v>17141.137927212334</v>
      </c>
      <c r="K35" s="964">
        <f t="shared" si="47"/>
        <v>17131.436011645263</v>
      </c>
      <c r="L35" s="964">
        <f t="shared" si="47"/>
        <v>17131.436011645259</v>
      </c>
      <c r="M35" s="1215">
        <f t="shared" si="47"/>
        <v>17335.231501773462</v>
      </c>
      <c r="N35" s="966"/>
      <c r="O35" s="963"/>
      <c r="P35" s="964">
        <f>P50/P21</f>
        <v>10482.570689740489</v>
      </c>
      <c r="Q35" s="964">
        <f>Q50/Q21</f>
        <v>10499.999762562895</v>
      </c>
      <c r="R35" s="964">
        <f>R50/R21</f>
        <v>10490.297846995827</v>
      </c>
      <c r="S35" s="964">
        <f>S50/S21</f>
        <v>10490.297846995827</v>
      </c>
      <c r="T35" s="1215">
        <f>T50/T21</f>
        <v>10487.827885630513</v>
      </c>
      <c r="U35" s="1027"/>
      <c r="V35" s="964">
        <f>V50/V21</f>
        <v>5327.4924792646016</v>
      </c>
      <c r="W35" s="964">
        <f>W50/W21</f>
        <v>5344.9215520870112</v>
      </c>
      <c r="X35" s="964">
        <f>X50/X21</f>
        <v>5335.2196365199407</v>
      </c>
      <c r="Y35" s="964">
        <f>Y50/Y21</f>
        <v>5335.2196365199416</v>
      </c>
      <c r="Z35" s="1215">
        <f>Z50/Z21</f>
        <v>5332.7496751546278</v>
      </c>
      <c r="AA35" s="966"/>
      <c r="AB35" s="966"/>
      <c r="AC35" s="966"/>
      <c r="AD35" s="963"/>
      <c r="AE35" s="964">
        <f>AE50/AE21</f>
        <v>5305.0586448188387</v>
      </c>
      <c r="AF35" s="964">
        <f>AF50/AF21</f>
        <v>5305.0586448188387</v>
      </c>
      <c r="AG35" s="964">
        <f>AG50/AG21</f>
        <v>5305.0586448188396</v>
      </c>
      <c r="AH35" s="964">
        <f>AH50/AH21</f>
        <v>5305.0586448188378</v>
      </c>
      <c r="AI35" s="965">
        <f>AI50/AI21</f>
        <v>5305.0586448188387</v>
      </c>
      <c r="AJ35" s="967"/>
      <c r="AK35" s="964">
        <f t="shared" ref="AK35:AP35" si="48">AK50/AK21</f>
        <v>10658.803779752672</v>
      </c>
      <c r="AL35" s="964">
        <f t="shared" si="48"/>
        <v>10688.887237317198</v>
      </c>
      <c r="AM35" s="964">
        <f t="shared" si="48"/>
        <v>10675.391523530896</v>
      </c>
      <c r="AN35" s="964">
        <f t="shared" si="48"/>
        <v>10675.391523530894</v>
      </c>
      <c r="AO35" s="965">
        <f t="shared" si="48"/>
        <v>10670.835784039156</v>
      </c>
      <c r="AP35" s="1215">
        <f t="shared" si="48"/>
        <v>7800.7337094003942</v>
      </c>
      <c r="AQ35" s="968"/>
      <c r="AR35" s="968"/>
      <c r="AS35" s="968"/>
      <c r="AT35" s="968"/>
      <c r="AU35" s="968"/>
      <c r="AV35" s="968"/>
      <c r="AW35" s="968"/>
      <c r="AX35" s="968"/>
      <c r="AY35" s="968"/>
      <c r="AZ35" s="968"/>
      <c r="BA35" s="968"/>
      <c r="BB35" s="968"/>
    </row>
    <row r="36" spans="1:72" s="961" customFormat="1" outlineLevel="1">
      <c r="A36" s="1040" t="s">
        <v>564</v>
      </c>
      <c r="B36" s="955"/>
      <c r="C36" s="955"/>
      <c r="D36" s="1064"/>
      <c r="E36" s="955"/>
      <c r="F36" s="1435"/>
      <c r="G36" s="955"/>
      <c r="H36" s="956"/>
      <c r="I36" s="957">
        <f>SUM(I37:I39)</f>
        <v>14406.631692279212</v>
      </c>
      <c r="J36" s="957">
        <f t="shared" ref="J36:L36" si="49">SUM(J37:J39)</f>
        <v>14406.631692279212</v>
      </c>
      <c r="K36" s="957">
        <f t="shared" si="49"/>
        <v>14406.63169227921</v>
      </c>
      <c r="L36" s="957">
        <f t="shared" si="49"/>
        <v>14406.63169227921</v>
      </c>
      <c r="M36" s="1216">
        <f>SUM(M37:M39)</f>
        <v>14406.631692279212</v>
      </c>
      <c r="N36" s="958"/>
      <c r="O36" s="956"/>
      <c r="P36" s="957">
        <f>SUM(P37:P39)</f>
        <v>9619.018273712858</v>
      </c>
      <c r="Q36" s="957">
        <f t="shared" ref="Q36:S36" si="50">SUM(Q37:Q39)</f>
        <v>9619.0182737128562</v>
      </c>
      <c r="R36" s="957">
        <f t="shared" si="50"/>
        <v>9619.0182737128562</v>
      </c>
      <c r="S36" s="957">
        <f t="shared" si="50"/>
        <v>9619.0182737128562</v>
      </c>
      <c r="T36" s="1216">
        <f>SUM(T37:T39)</f>
        <v>9619.018273712858</v>
      </c>
      <c r="U36" s="1028"/>
      <c r="V36" s="957">
        <f>SUM(V37:V39)</f>
        <v>3940.4518657505218</v>
      </c>
      <c r="W36" s="957">
        <f t="shared" ref="W36:Y36" si="51">SUM(W37:W39)</f>
        <v>3940.4518657505218</v>
      </c>
      <c r="X36" s="957">
        <f t="shared" si="51"/>
        <v>3940.4518657505218</v>
      </c>
      <c r="Y36" s="957">
        <f t="shared" si="51"/>
        <v>3940.4518657505218</v>
      </c>
      <c r="Z36" s="1216">
        <f>SUM(Z37:Z39)</f>
        <v>3940.4518657505218</v>
      </c>
      <c r="AA36" s="958"/>
      <c r="AB36" s="958"/>
      <c r="AC36" s="958"/>
      <c r="AD36" s="956"/>
      <c r="AE36" s="957">
        <f>SUM(AE37:AE39)</f>
        <v>3940.4518657505214</v>
      </c>
      <c r="AF36" s="957">
        <f t="shared" ref="AF36:AH36" si="52">SUM(AF37:AF39)</f>
        <v>3940.4518657505214</v>
      </c>
      <c r="AG36" s="957">
        <f t="shared" si="52"/>
        <v>3940.4518657505214</v>
      </c>
      <c r="AH36" s="957">
        <f t="shared" si="52"/>
        <v>3940.4518657505214</v>
      </c>
      <c r="AI36" s="957">
        <f>SUM(AI37:AI39)</f>
        <v>3940.4518657505205</v>
      </c>
      <c r="AJ36" s="959"/>
      <c r="AK36" s="957">
        <f>SUM(AK37:AK39)</f>
        <v>9619.0182737128562</v>
      </c>
      <c r="AL36" s="957">
        <f t="shared" ref="AL36:AN36" si="53">SUM(AL37:AL39)</f>
        <v>9619.0182737128562</v>
      </c>
      <c r="AM36" s="957">
        <f t="shared" si="53"/>
        <v>9619.0182737128562</v>
      </c>
      <c r="AN36" s="957">
        <f t="shared" si="53"/>
        <v>9619.0182737128562</v>
      </c>
      <c r="AO36" s="957">
        <f>SUM(AO37:AO39)</f>
        <v>9619.0182737128562</v>
      </c>
      <c r="AP36" s="1216">
        <f t="shared" ref="AP36" si="54">AP51/AP21</f>
        <v>6400.8544135622942</v>
      </c>
      <c r="AQ36" s="960"/>
      <c r="AR36" s="960"/>
      <c r="AS36" s="960"/>
      <c r="AT36" s="960"/>
      <c r="AU36" s="960"/>
      <c r="AV36" s="960"/>
      <c r="AW36" s="960"/>
      <c r="AX36" s="960"/>
      <c r="AY36" s="960"/>
      <c r="AZ36" s="960"/>
      <c r="BA36" s="960"/>
      <c r="BB36" s="960"/>
    </row>
    <row r="37" spans="1:72" outlineLevel="2">
      <c r="A37" s="436" t="s">
        <v>609</v>
      </c>
      <c r="B37" s="2"/>
      <c r="C37" s="2"/>
      <c r="D37" s="1061"/>
      <c r="E37" s="2"/>
      <c r="F37" s="508"/>
      <c r="G37" s="2"/>
      <c r="H37" s="154"/>
      <c r="I37" s="169">
        <f>I52/I19</f>
        <v>13400</v>
      </c>
      <c r="J37" s="169">
        <f t="shared" ref="J37:M37" si="55">J52/J19</f>
        <v>13400</v>
      </c>
      <c r="K37" s="169">
        <f t="shared" si="55"/>
        <v>13399.999999999998</v>
      </c>
      <c r="L37" s="169">
        <f t="shared" si="55"/>
        <v>13399.999999999998</v>
      </c>
      <c r="M37" s="407">
        <f t="shared" si="55"/>
        <v>13400</v>
      </c>
      <c r="N37" s="279"/>
      <c r="O37" s="154"/>
      <c r="P37" s="169">
        <f>P52/P19</f>
        <v>8933.3333333333339</v>
      </c>
      <c r="Q37" s="169">
        <f t="shared" ref="Q37:T37" si="56">Q52/Q19</f>
        <v>8933.3333333333321</v>
      </c>
      <c r="R37" s="169">
        <f t="shared" si="56"/>
        <v>8933.3333333333321</v>
      </c>
      <c r="S37" s="169">
        <f t="shared" si="56"/>
        <v>8933.3333333333321</v>
      </c>
      <c r="T37" s="407">
        <f t="shared" si="56"/>
        <v>8933.3333333333339</v>
      </c>
      <c r="U37" s="362"/>
      <c r="V37" s="169">
        <f>V52/V19</f>
        <v>0</v>
      </c>
      <c r="W37" s="169">
        <f t="shared" ref="W37:Z37" si="57">W52/W19</f>
        <v>0</v>
      </c>
      <c r="X37" s="169">
        <f t="shared" si="57"/>
        <v>0</v>
      </c>
      <c r="Y37" s="169">
        <f t="shared" si="57"/>
        <v>0</v>
      </c>
      <c r="Z37" s="407">
        <f t="shared" si="57"/>
        <v>0</v>
      </c>
      <c r="AA37" s="279"/>
      <c r="AB37" s="279"/>
      <c r="AC37" s="279"/>
      <c r="AD37" s="154"/>
      <c r="AE37" s="169">
        <f>AE52/AE19</f>
        <v>0</v>
      </c>
      <c r="AF37" s="169">
        <f t="shared" ref="AF37:AI37" si="58">AF52/AF19</f>
        <v>0</v>
      </c>
      <c r="AG37" s="169">
        <f t="shared" si="58"/>
        <v>0</v>
      </c>
      <c r="AH37" s="169">
        <f t="shared" si="58"/>
        <v>0</v>
      </c>
      <c r="AI37" s="169">
        <f t="shared" si="58"/>
        <v>0</v>
      </c>
      <c r="AJ37" s="615"/>
      <c r="AK37" s="169">
        <f>AK52/AK19</f>
        <v>8933.3333333333321</v>
      </c>
      <c r="AL37" s="169">
        <f t="shared" ref="AL37:AO37" si="59">AL52/AL19</f>
        <v>8933.3333333333321</v>
      </c>
      <c r="AM37" s="169">
        <f t="shared" si="59"/>
        <v>8933.3333333333321</v>
      </c>
      <c r="AN37" s="169">
        <f t="shared" si="59"/>
        <v>8933.3333333333321</v>
      </c>
      <c r="AO37" s="169">
        <f t="shared" si="59"/>
        <v>8933.3333333333321</v>
      </c>
      <c r="AP37" s="407"/>
      <c r="BI37" s="423"/>
      <c r="BJ37" s="423"/>
      <c r="BK37" s="423"/>
      <c r="BL37" s="423"/>
      <c r="BM37" s="423"/>
      <c r="BN37" s="423"/>
      <c r="BO37" s="423"/>
      <c r="BP37" s="423"/>
      <c r="BQ37" s="423"/>
      <c r="BR37" s="423"/>
      <c r="BS37" s="423"/>
      <c r="BT37" s="423"/>
    </row>
    <row r="38" spans="1:72" outlineLevel="2">
      <c r="A38" s="436" t="s">
        <v>611</v>
      </c>
      <c r="B38" s="2"/>
      <c r="C38" s="2"/>
      <c r="D38" s="1061"/>
      <c r="E38" s="2"/>
      <c r="F38" s="508"/>
      <c r="G38" s="2"/>
      <c r="H38" s="154"/>
      <c r="I38" s="169">
        <f>I54/I21</f>
        <v>746.30864078922923</v>
      </c>
      <c r="J38" s="169">
        <f t="shared" ref="J38:M38" si="60">J54/J21</f>
        <v>746.30864078922923</v>
      </c>
      <c r="K38" s="169">
        <f t="shared" si="60"/>
        <v>746.30864078922923</v>
      </c>
      <c r="L38" s="169">
        <f t="shared" si="60"/>
        <v>746.30864078922923</v>
      </c>
      <c r="M38" s="407">
        <f t="shared" si="60"/>
        <v>746.30864078922912</v>
      </c>
      <c r="N38" s="279"/>
      <c r="O38" s="154"/>
      <c r="P38" s="169">
        <f>P54/P21</f>
        <v>508.36130015499896</v>
      </c>
      <c r="Q38" s="169">
        <f t="shared" ref="Q38:T38" si="61">Q54/Q21</f>
        <v>508.36130015499901</v>
      </c>
      <c r="R38" s="169">
        <f t="shared" si="61"/>
        <v>508.36130015499896</v>
      </c>
      <c r="S38" s="169">
        <f t="shared" si="61"/>
        <v>508.36130015499896</v>
      </c>
      <c r="T38" s="407">
        <f t="shared" si="61"/>
        <v>508.36130015499896</v>
      </c>
      <c r="U38" s="362"/>
      <c r="V38" s="169">
        <f>V54/V21</f>
        <v>2921.4193220612015</v>
      </c>
      <c r="W38" s="169">
        <f t="shared" ref="W38:Z38" si="62">W54/W21</f>
        <v>2921.4193220612015</v>
      </c>
      <c r="X38" s="169">
        <f t="shared" si="62"/>
        <v>2921.4193220612015</v>
      </c>
      <c r="Y38" s="169">
        <f t="shared" si="62"/>
        <v>2921.4193220612015</v>
      </c>
      <c r="Z38" s="407">
        <f t="shared" si="62"/>
        <v>2921.4193220612015</v>
      </c>
      <c r="AA38" s="279"/>
      <c r="AB38" s="279"/>
      <c r="AC38" s="279"/>
      <c r="AD38" s="154"/>
      <c r="AE38" s="169">
        <f>AE54/AE21</f>
        <v>2921.419322061201</v>
      </c>
      <c r="AF38" s="169">
        <f t="shared" ref="AF38:AI38" si="63">AF54/AF21</f>
        <v>2921.419322061201</v>
      </c>
      <c r="AG38" s="169">
        <f t="shared" si="63"/>
        <v>2921.419322061201</v>
      </c>
      <c r="AH38" s="169">
        <f t="shared" si="63"/>
        <v>2921.419322061201</v>
      </c>
      <c r="AI38" s="169">
        <f t="shared" si="63"/>
        <v>2921.4193220612005</v>
      </c>
      <c r="AJ38" s="615"/>
      <c r="AK38" s="169">
        <f>AK54/AK21</f>
        <v>508.36130015499907</v>
      </c>
      <c r="AL38" s="169">
        <f t="shared" ref="AL38:AO38" si="64">AL54/AL21</f>
        <v>508.36130015499907</v>
      </c>
      <c r="AM38" s="169">
        <f t="shared" si="64"/>
        <v>508.36130015499907</v>
      </c>
      <c r="AN38" s="169">
        <f t="shared" si="64"/>
        <v>508.36130015499901</v>
      </c>
      <c r="AO38" s="169">
        <f t="shared" si="64"/>
        <v>508.36130015499913</v>
      </c>
      <c r="AP38" s="407"/>
      <c r="BI38" s="423"/>
      <c r="BJ38" s="423"/>
      <c r="BK38" s="423"/>
      <c r="BL38" s="423"/>
      <c r="BM38" s="423"/>
      <c r="BN38" s="423"/>
      <c r="BO38" s="423"/>
      <c r="BP38" s="423"/>
      <c r="BQ38" s="423"/>
      <c r="BR38" s="423"/>
      <c r="BS38" s="423"/>
      <c r="BT38" s="423"/>
    </row>
    <row r="39" spans="1:72" outlineLevel="2">
      <c r="A39" s="436" t="s">
        <v>610</v>
      </c>
      <c r="B39" s="2"/>
      <c r="C39" s="2"/>
      <c r="D39" s="1061"/>
      <c r="E39" s="2"/>
      <c r="F39" s="508"/>
      <c r="G39" s="2"/>
      <c r="H39" s="154"/>
      <c r="I39" s="169">
        <f>I53/I21</f>
        <v>260.32305148998239</v>
      </c>
      <c r="J39" s="169">
        <f t="shared" ref="J39:M39" si="65">J53/J21</f>
        <v>260.32305148998233</v>
      </c>
      <c r="K39" s="169">
        <f t="shared" si="65"/>
        <v>260.32305148998233</v>
      </c>
      <c r="L39" s="169">
        <f t="shared" si="65"/>
        <v>260.32305148998233</v>
      </c>
      <c r="M39" s="407">
        <f t="shared" si="65"/>
        <v>260.32305148998233</v>
      </c>
      <c r="N39" s="279"/>
      <c r="O39" s="154"/>
      <c r="P39" s="169">
        <f>P53/P21</f>
        <v>177.32364022452583</v>
      </c>
      <c r="Q39" s="169">
        <f t="shared" ref="Q39:T39" si="66">Q53/Q21</f>
        <v>177.32364022452583</v>
      </c>
      <c r="R39" s="169">
        <f t="shared" si="66"/>
        <v>177.3236402245258</v>
      </c>
      <c r="S39" s="169">
        <f t="shared" si="66"/>
        <v>177.32364022452586</v>
      </c>
      <c r="T39" s="407">
        <f t="shared" si="66"/>
        <v>177.32364022452583</v>
      </c>
      <c r="U39" s="362"/>
      <c r="V39" s="169">
        <f>V53/V21</f>
        <v>1019.0325436893203</v>
      </c>
      <c r="W39" s="169">
        <f t="shared" ref="W39:Z39" si="67">W53/W21</f>
        <v>1019.0325436893204</v>
      </c>
      <c r="X39" s="169">
        <f t="shared" si="67"/>
        <v>1019.0325436893203</v>
      </c>
      <c r="Y39" s="169">
        <f t="shared" si="67"/>
        <v>1019.0325436893204</v>
      </c>
      <c r="Z39" s="407">
        <f t="shared" si="67"/>
        <v>1019.0325436893203</v>
      </c>
      <c r="AA39" s="279"/>
      <c r="AB39" s="279"/>
      <c r="AC39" s="279"/>
      <c r="AD39" s="154"/>
      <c r="AE39" s="169">
        <f>AE53/AE21</f>
        <v>1019.0325436893202</v>
      </c>
      <c r="AF39" s="169">
        <f t="shared" ref="AF39:AI39" si="68">AF53/AF21</f>
        <v>1019.0325436893203</v>
      </c>
      <c r="AG39" s="169">
        <f t="shared" si="68"/>
        <v>1019.0325436893204</v>
      </c>
      <c r="AH39" s="169">
        <f t="shared" si="68"/>
        <v>1019.0325436893202</v>
      </c>
      <c r="AI39" s="169">
        <f t="shared" si="68"/>
        <v>1019.0325436893202</v>
      </c>
      <c r="AJ39" s="615"/>
      <c r="AK39" s="169">
        <f>AK53/AK21</f>
        <v>177.32364022452578</v>
      </c>
      <c r="AL39" s="169">
        <f t="shared" ref="AL39:AO39" si="69">AL53/AL21</f>
        <v>177.32364022452583</v>
      </c>
      <c r="AM39" s="169">
        <f t="shared" si="69"/>
        <v>177.3236402245258</v>
      </c>
      <c r="AN39" s="169">
        <f t="shared" si="69"/>
        <v>177.32364022452583</v>
      </c>
      <c r="AO39" s="169">
        <f t="shared" si="69"/>
        <v>177.3236402245258</v>
      </c>
      <c r="AP39" s="407"/>
      <c r="BI39" s="423"/>
      <c r="BJ39" s="423"/>
      <c r="BK39" s="423"/>
      <c r="BL39" s="423"/>
      <c r="BM39" s="423"/>
      <c r="BN39" s="423"/>
      <c r="BO39" s="423"/>
      <c r="BP39" s="423"/>
      <c r="BQ39" s="423"/>
      <c r="BR39" s="423"/>
      <c r="BS39" s="423"/>
      <c r="BT39" s="423"/>
    </row>
    <row r="40" spans="1:72" s="961" customFormat="1" outlineLevel="1">
      <c r="A40" s="1040" t="s">
        <v>566</v>
      </c>
      <c r="B40" s="955"/>
      <c r="C40" s="955"/>
      <c r="D40" s="1064"/>
      <c r="E40" s="955"/>
      <c r="F40" s="1435"/>
      <c r="G40" s="955"/>
      <c r="H40" s="956"/>
      <c r="I40" s="957">
        <f>I55/I21</f>
        <v>1423.9296581458368</v>
      </c>
      <c r="J40" s="957">
        <f>J55/J21</f>
        <v>1134.5062349331213</v>
      </c>
      <c r="K40" s="957">
        <f>K55/K21</f>
        <v>1124.8043193660515</v>
      </c>
      <c r="L40" s="957">
        <f>L55/L21</f>
        <v>1124.8043193660512</v>
      </c>
      <c r="M40" s="1216">
        <f>M55/M21</f>
        <v>1328.5998094942486</v>
      </c>
      <c r="N40" s="958"/>
      <c r="O40" s="956"/>
      <c r="P40" s="957">
        <f>P55/P21</f>
        <v>1252.1786664392946</v>
      </c>
      <c r="Q40" s="957">
        <f>Q55/Q21</f>
        <v>1269.6077392617035</v>
      </c>
      <c r="R40" s="957">
        <f>R55/R21</f>
        <v>1259.9058236946339</v>
      </c>
      <c r="S40" s="957">
        <f>S55/S21</f>
        <v>1259.9058236946337</v>
      </c>
      <c r="T40" s="1216">
        <f>T55/T21</f>
        <v>1257.4358623293201</v>
      </c>
      <c r="U40" s="1028"/>
      <c r="V40" s="957">
        <f>V55/V21</f>
        <v>1387.0406135140795</v>
      </c>
      <c r="W40" s="957">
        <f>W55/W21</f>
        <v>1404.4696863364884</v>
      </c>
      <c r="X40" s="957">
        <f>X55/X21</f>
        <v>1394.7677707694186</v>
      </c>
      <c r="Y40" s="957">
        <f>Y55/Y21</f>
        <v>1394.7677707694186</v>
      </c>
      <c r="Z40" s="1216">
        <f>Z55/Z21</f>
        <v>1392.2978094041048</v>
      </c>
      <c r="AA40" s="958"/>
      <c r="AB40" s="958"/>
      <c r="AC40" s="958"/>
      <c r="AD40" s="956"/>
      <c r="AE40" s="957">
        <f>AE55/AE21</f>
        <v>1364.6067790683178</v>
      </c>
      <c r="AF40" s="957">
        <f>AF55/AF21</f>
        <v>1364.6067790683176</v>
      </c>
      <c r="AG40" s="957">
        <f>AG55/AG21</f>
        <v>1364.6067790683178</v>
      </c>
      <c r="AH40" s="957">
        <f>AH55/AH21</f>
        <v>1364.6067790683176</v>
      </c>
      <c r="AI40" s="957">
        <f>AI55/AI21</f>
        <v>1364.6067790683178</v>
      </c>
      <c r="AJ40" s="959"/>
      <c r="AK40" s="957">
        <f t="shared" ref="AK40:AP40" si="70">AK55/AK21</f>
        <v>1428.4117564514811</v>
      </c>
      <c r="AL40" s="957">
        <f t="shared" si="70"/>
        <v>1458.4952140160049</v>
      </c>
      <c r="AM40" s="957">
        <f t="shared" si="70"/>
        <v>1444.9995002297019</v>
      </c>
      <c r="AN40" s="957">
        <f t="shared" si="70"/>
        <v>1444.9995002297014</v>
      </c>
      <c r="AO40" s="957">
        <f t="shared" si="70"/>
        <v>1440.4437607379643</v>
      </c>
      <c r="AP40" s="1216">
        <f t="shared" si="70"/>
        <v>1399.8792958381002</v>
      </c>
      <c r="AQ40" s="960"/>
      <c r="AR40" s="960"/>
      <c r="AS40" s="960"/>
      <c r="AT40" s="960"/>
      <c r="AU40" s="960"/>
      <c r="AV40" s="960"/>
      <c r="AW40" s="960"/>
      <c r="AX40" s="960"/>
      <c r="AY40" s="960"/>
      <c r="AZ40" s="960"/>
      <c r="BA40" s="960"/>
      <c r="BB40" s="960"/>
    </row>
    <row r="41" spans="1:72" s="961" customFormat="1" outlineLevel="1">
      <c r="A41" s="1040" t="s">
        <v>501</v>
      </c>
      <c r="B41" s="955"/>
      <c r="C41" s="955"/>
      <c r="D41" s="1064"/>
      <c r="E41" s="955"/>
      <c r="F41" s="1435"/>
      <c r="G41" s="955"/>
      <c r="H41" s="956"/>
      <c r="I41" s="957">
        <f>I71/I21</f>
        <v>1600.0000000000002</v>
      </c>
      <c r="J41" s="957">
        <f>J71/J21</f>
        <v>1600</v>
      </c>
      <c r="K41" s="957">
        <f>K71/K21</f>
        <v>1600</v>
      </c>
      <c r="L41" s="957">
        <f>L71/L21</f>
        <v>1600</v>
      </c>
      <c r="M41" s="1216">
        <f>M71/M21</f>
        <v>1600.0000000000002</v>
      </c>
      <c r="N41" s="958"/>
      <c r="O41" s="956"/>
      <c r="P41" s="957">
        <f>P71/P21</f>
        <v>0</v>
      </c>
      <c r="Q41" s="957">
        <f>Q71/Q21</f>
        <v>0</v>
      </c>
      <c r="R41" s="957">
        <f>R71/R21</f>
        <v>0</v>
      </c>
      <c r="S41" s="957">
        <f>S71/S21</f>
        <v>0</v>
      </c>
      <c r="T41" s="1216">
        <f>T71/T21</f>
        <v>0</v>
      </c>
      <c r="U41" s="1028"/>
      <c r="V41" s="957">
        <f>V71/V21</f>
        <v>0</v>
      </c>
      <c r="W41" s="957">
        <f>W71/W21</f>
        <v>0</v>
      </c>
      <c r="X41" s="957">
        <f>X71/X21</f>
        <v>0</v>
      </c>
      <c r="Y41" s="957">
        <f>Y71/Y21</f>
        <v>0</v>
      </c>
      <c r="Z41" s="1216">
        <f>Z71/Z21</f>
        <v>0</v>
      </c>
      <c r="AA41" s="958"/>
      <c r="AB41" s="958"/>
      <c r="AC41" s="958"/>
      <c r="AD41" s="956"/>
      <c r="AE41" s="957">
        <f>AE71/AE21</f>
        <v>0</v>
      </c>
      <c r="AF41" s="957">
        <f>AF71/AF21</f>
        <v>0</v>
      </c>
      <c r="AG41" s="957">
        <f>AG71/AG21</f>
        <v>0</v>
      </c>
      <c r="AH41" s="957">
        <f>AH71/AH21</f>
        <v>0</v>
      </c>
      <c r="AI41" s="957">
        <f>AI71/AI21</f>
        <v>0</v>
      </c>
      <c r="AJ41" s="959"/>
      <c r="AK41" s="957">
        <f t="shared" ref="AK41:AP41" si="71">AK71/AK21</f>
        <v>0</v>
      </c>
      <c r="AL41" s="957">
        <f t="shared" si="71"/>
        <v>0</v>
      </c>
      <c r="AM41" s="957">
        <f t="shared" si="71"/>
        <v>0</v>
      </c>
      <c r="AN41" s="957">
        <f t="shared" si="71"/>
        <v>0</v>
      </c>
      <c r="AO41" s="957">
        <f t="shared" si="71"/>
        <v>0</v>
      </c>
      <c r="AP41" s="1216">
        <f t="shared" si="71"/>
        <v>0</v>
      </c>
      <c r="AQ41" s="960"/>
      <c r="AR41" s="960"/>
      <c r="AS41" s="960"/>
      <c r="AT41" s="960"/>
      <c r="AU41" s="960"/>
      <c r="AV41" s="960"/>
      <c r="AW41" s="960"/>
      <c r="AX41" s="960"/>
      <c r="AY41" s="960"/>
      <c r="AZ41" s="960"/>
      <c r="BA41" s="960"/>
      <c r="BB41" s="960"/>
    </row>
    <row r="42" spans="1:72" outlineLevel="1">
      <c r="A42" s="436"/>
      <c r="B42" s="2"/>
      <c r="C42" s="2"/>
      <c r="D42" s="1061"/>
      <c r="E42" s="2"/>
      <c r="F42" s="508"/>
      <c r="G42" s="2"/>
      <c r="H42" s="154"/>
      <c r="I42" s="169"/>
      <c r="J42" s="154"/>
      <c r="K42" s="154"/>
      <c r="L42" s="154"/>
      <c r="M42" s="301"/>
      <c r="N42" s="279"/>
      <c r="O42" s="154"/>
      <c r="P42" s="154"/>
      <c r="Q42" s="154"/>
      <c r="R42" s="154"/>
      <c r="S42" s="154"/>
      <c r="T42" s="301"/>
      <c r="U42" s="326"/>
      <c r="V42" s="154"/>
      <c r="W42" s="154"/>
      <c r="X42" s="154"/>
      <c r="Y42" s="154"/>
      <c r="Z42" s="301"/>
      <c r="AA42" s="279"/>
      <c r="AB42" s="279"/>
      <c r="AC42" s="279"/>
      <c r="AD42" s="154"/>
      <c r="AE42" s="154"/>
      <c r="AF42" s="154"/>
      <c r="AG42" s="154"/>
      <c r="AH42" s="154"/>
      <c r="AI42" s="279"/>
      <c r="AJ42" s="615"/>
      <c r="AK42" s="154"/>
      <c r="AL42" s="154"/>
      <c r="AM42" s="154"/>
      <c r="AN42" s="154"/>
      <c r="AO42" s="681"/>
      <c r="AP42" s="301"/>
      <c r="BI42" s="423"/>
      <c r="BJ42" s="423"/>
      <c r="BK42" s="423"/>
      <c r="BL42" s="423"/>
      <c r="BM42" s="423"/>
      <c r="BN42" s="423"/>
      <c r="BO42" s="423"/>
      <c r="BP42" s="423"/>
      <c r="BQ42" s="423"/>
      <c r="BR42" s="423"/>
      <c r="BS42" s="423"/>
      <c r="BT42" s="423"/>
    </row>
    <row r="43" spans="1:72" outlineLevel="1">
      <c r="A43" s="1036"/>
      <c r="H43" s="898"/>
      <c r="I43" s="784"/>
      <c r="J43" s="784"/>
      <c r="K43" s="784"/>
      <c r="L43" s="784"/>
      <c r="M43" s="301"/>
      <c r="N43" s="279"/>
      <c r="O43" s="940"/>
      <c r="P43" s="154"/>
      <c r="Q43" s="154"/>
      <c r="R43" s="154"/>
      <c r="S43" s="154"/>
      <c r="T43" s="903"/>
      <c r="U43" s="1029"/>
      <c r="V43" s="154"/>
      <c r="W43" s="154"/>
      <c r="X43" s="154"/>
      <c r="Y43" s="154"/>
      <c r="Z43" s="301"/>
      <c r="AA43" s="279"/>
      <c r="AB43" s="279"/>
      <c r="AC43" s="279"/>
      <c r="AD43" s="1229"/>
      <c r="AE43" s="154"/>
      <c r="AF43" s="154"/>
      <c r="AG43" s="154"/>
      <c r="AH43" s="154"/>
      <c r="AI43" s="154"/>
      <c r="AJ43" s="615"/>
      <c r="AK43" s="154"/>
      <c r="AL43" s="154"/>
      <c r="AM43" s="154"/>
      <c r="AN43" s="154"/>
      <c r="AO43" s="684"/>
      <c r="AP43" s="299"/>
      <c r="BI43" s="423"/>
      <c r="BJ43" s="423"/>
      <c r="BK43" s="423"/>
      <c r="BL43" s="423"/>
      <c r="BM43" s="423"/>
      <c r="BN43" s="423"/>
      <c r="BO43" s="423"/>
      <c r="BP43" s="423"/>
      <c r="BQ43" s="423"/>
      <c r="BR43" s="423"/>
      <c r="BS43" s="423"/>
      <c r="BT43" s="423"/>
    </row>
    <row r="44" spans="1:72" s="495" customFormat="1" ht="20" outlineLevel="1">
      <c r="A44" s="1086" t="s">
        <v>342</v>
      </c>
      <c r="B44" s="932"/>
      <c r="C44" s="932"/>
      <c r="D44" s="1065"/>
      <c r="E44" s="932"/>
      <c r="F44" s="1436"/>
      <c r="G44" s="932"/>
      <c r="H44" s="726"/>
      <c r="I44" s="1087">
        <f>SUM(I45:I49)</f>
        <v>56555524.126248688</v>
      </c>
      <c r="J44" s="1087">
        <f t="shared" ref="J44:L44" si="72">SUM(J45:J49)</f>
        <v>24072968.447433282</v>
      </c>
      <c r="K44" s="1087">
        <f t="shared" si="72"/>
        <v>1313891.3854473624</v>
      </c>
      <c r="L44" s="1087">
        <f t="shared" si="72"/>
        <v>2674707.4632321298</v>
      </c>
      <c r="M44" s="674">
        <f t="shared" si="9"/>
        <v>84617091.422361463</v>
      </c>
      <c r="N44" s="677"/>
      <c r="O44" s="1025"/>
      <c r="P44" s="1087">
        <f>SUM(P45:P49)</f>
        <v>94480712.769646078</v>
      </c>
      <c r="Q44" s="1087">
        <f t="shared" ref="Q44:S44" si="73">SUM(Q45:Q49)</f>
        <v>40132903.703792758</v>
      </c>
      <c r="R44" s="1087">
        <f t="shared" si="73"/>
        <v>2192935.6400447767</v>
      </c>
      <c r="S44" s="1087">
        <f t="shared" si="73"/>
        <v>4464190.4100911515</v>
      </c>
      <c r="T44" s="674">
        <f t="shared" ref="T44:T52" si="74">SUM(P44:S44)</f>
        <v>141270742.52357477</v>
      </c>
      <c r="U44" s="1030"/>
      <c r="V44" s="1087">
        <f>SUM(V45:V49)</f>
        <v>16440754.540248806</v>
      </c>
      <c r="W44" s="1087">
        <f t="shared" ref="W44:Y44" si="75">SUM(W45:W49)</f>
        <v>6983596.9632256897</v>
      </c>
      <c r="X44" s="1087">
        <f t="shared" si="75"/>
        <v>381596.57694837527</v>
      </c>
      <c r="Y44" s="1087">
        <f t="shared" si="75"/>
        <v>776821.60307347821</v>
      </c>
      <c r="Z44" s="674">
        <f t="shared" ref="Z44:Z52" si="76">SUM(V44:Y44)</f>
        <v>24582769.683496349</v>
      </c>
      <c r="AA44" s="677"/>
      <c r="AB44" s="677"/>
      <c r="AC44" s="677"/>
      <c r="AD44" s="1230"/>
      <c r="AE44" s="1087">
        <f>SUM(AE45:AE49)</f>
        <v>14304847.921491524</v>
      </c>
      <c r="AF44" s="1087">
        <f t="shared" ref="AF44:AH44" si="77">SUM(AF45:AF49)</f>
        <v>5562237.6275337106</v>
      </c>
      <c r="AG44" s="1087">
        <f t="shared" si="77"/>
        <v>319451.29823283362</v>
      </c>
      <c r="AH44" s="1087">
        <f t="shared" si="77"/>
        <v>650311.57140255417</v>
      </c>
      <c r="AI44" s="677">
        <f t="shared" ref="AI44:AI75" si="78">SUM(AE44:AH44)</f>
        <v>20836848.418660622</v>
      </c>
      <c r="AJ44" s="688"/>
      <c r="AK44" s="1087">
        <f>SUM(AK45:AK49)</f>
        <v>12274496.23772187</v>
      </c>
      <c r="AL44" s="1087">
        <f t="shared" ref="AL44:AN44" si="79">SUM(AL45:AL49)</f>
        <v>8168180.0436354261</v>
      </c>
      <c r="AM44" s="1087">
        <f t="shared" si="79"/>
        <v>357132.64947411773</v>
      </c>
      <c r="AN44" s="1087">
        <f t="shared" si="79"/>
        <v>727020.03642945399</v>
      </c>
      <c r="AO44" s="689">
        <f t="shared" ref="AO44:AO52" si="80">SUM(AK44:AN44)</f>
        <v>21526828.967260867</v>
      </c>
      <c r="AP44" s="674">
        <f>AO44+AI44</f>
        <v>42363677.385921493</v>
      </c>
      <c r="AQ44" s="493"/>
      <c r="AR44" s="493"/>
      <c r="AS44" s="493"/>
      <c r="AT44" s="493"/>
      <c r="AU44" s="493"/>
      <c r="AV44" s="493"/>
      <c r="AW44" s="493"/>
      <c r="AX44" s="493"/>
      <c r="AY44" s="493"/>
      <c r="AZ44" s="493"/>
      <c r="BA44" s="493"/>
      <c r="BB44" s="493"/>
    </row>
    <row r="45" spans="1:72" outlineLevel="2">
      <c r="A45" s="436" t="s">
        <v>327</v>
      </c>
      <c r="B45" s="2"/>
      <c r="C45" s="2"/>
      <c r="D45" s="1061"/>
      <c r="E45" s="2"/>
      <c r="F45" s="508"/>
      <c r="G45" s="2"/>
      <c r="H45" s="724"/>
      <c r="I45" s="169">
        <f t="shared" ref="I45:L49" si="81">I$21*I132*I142</f>
        <v>16330.246641369327</v>
      </c>
      <c r="J45" s="169">
        <f t="shared" si="81"/>
        <v>107671.79789270686</v>
      </c>
      <c r="K45" s="169">
        <f t="shared" si="81"/>
        <v>2842.1422607951204</v>
      </c>
      <c r="L45" s="169">
        <f t="shared" si="81"/>
        <v>5785.7896023329231</v>
      </c>
      <c r="M45" s="406">
        <f>SUM(I45:L45)</f>
        <v>132629.97639720424</v>
      </c>
      <c r="N45" s="671"/>
      <c r="O45" s="74"/>
      <c r="P45" s="169">
        <f t="shared" ref="P45:S49" si="82">P$21*P132*P142</f>
        <v>25624.564492132558</v>
      </c>
      <c r="Q45" s="169">
        <f t="shared" si="82"/>
        <v>168952.92457470062</v>
      </c>
      <c r="R45" s="169">
        <f t="shared" si="82"/>
        <v>4459.7402143984491</v>
      </c>
      <c r="S45" s="169">
        <f t="shared" si="82"/>
        <v>9078.7568650254125</v>
      </c>
      <c r="T45" s="406">
        <f t="shared" si="74"/>
        <v>208115.98614625703</v>
      </c>
      <c r="U45" s="362"/>
      <c r="V45" s="169">
        <f t="shared" ref="V45:Y49" si="83">V$21*V132*V142</f>
        <v>4458.9754106012006</v>
      </c>
      <c r="W45" s="169">
        <f t="shared" si="83"/>
        <v>29399.79473442565</v>
      </c>
      <c r="X45" s="169">
        <f t="shared" si="83"/>
        <v>776.04721671572281</v>
      </c>
      <c r="Y45" s="169">
        <f t="shared" si="83"/>
        <v>1579.8104054570072</v>
      </c>
      <c r="Z45" s="406">
        <f t="shared" si="76"/>
        <v>36214.627767199578</v>
      </c>
      <c r="AA45" s="671"/>
      <c r="AB45" s="671"/>
      <c r="AC45" s="671"/>
      <c r="AD45" s="154"/>
      <c r="AE45" s="169">
        <f t="shared" ref="AE45:AH49" si="84">AE$21*AE132*AE142</f>
        <v>0</v>
      </c>
      <c r="AF45" s="169">
        <f t="shared" si="84"/>
        <v>0</v>
      </c>
      <c r="AG45" s="169">
        <f t="shared" si="84"/>
        <v>0</v>
      </c>
      <c r="AH45" s="169">
        <f t="shared" si="84"/>
        <v>0</v>
      </c>
      <c r="AI45" s="671">
        <f t="shared" si="78"/>
        <v>0</v>
      </c>
      <c r="AJ45" s="615"/>
      <c r="AK45" s="169">
        <f t="shared" ref="AK45:AN49" si="85">AK$21*AK132*AK142</f>
        <v>25624.564492132562</v>
      </c>
      <c r="AL45" s="169">
        <f t="shared" si="85"/>
        <v>168952.92457470065</v>
      </c>
      <c r="AM45" s="169">
        <f t="shared" si="85"/>
        <v>4459.7402143984473</v>
      </c>
      <c r="AN45" s="169">
        <f t="shared" si="85"/>
        <v>9078.7568650254143</v>
      </c>
      <c r="AO45" s="687">
        <f t="shared" si="80"/>
        <v>208115.98614625708</v>
      </c>
      <c r="AP45" s="406">
        <f>AO45+AI45</f>
        <v>208115.98614625708</v>
      </c>
      <c r="BI45" s="423"/>
      <c r="BJ45" s="423"/>
      <c r="BK45" s="423"/>
      <c r="BL45" s="423"/>
      <c r="BM45" s="423"/>
      <c r="BN45" s="423"/>
      <c r="BO45" s="423"/>
      <c r="BP45" s="423"/>
      <c r="BQ45" s="423"/>
      <c r="BR45" s="423"/>
      <c r="BS45" s="423"/>
      <c r="BT45" s="423"/>
    </row>
    <row r="46" spans="1:72" outlineLevel="2">
      <c r="A46" s="436" t="s">
        <v>429</v>
      </c>
      <c r="B46" s="2"/>
      <c r="C46" s="2"/>
      <c r="D46" s="1061"/>
      <c r="E46" s="2"/>
      <c r="F46" s="508"/>
      <c r="G46" s="2"/>
      <c r="H46" s="724"/>
      <c r="I46" s="169">
        <f t="shared" si="81"/>
        <v>709938.6657969018</v>
      </c>
      <c r="J46" s="169">
        <f t="shared" si="81"/>
        <v>811262.91752202727</v>
      </c>
      <c r="K46" s="169">
        <f t="shared" si="81"/>
        <v>28940.81399914818</v>
      </c>
      <c r="L46" s="169">
        <f t="shared" si="81"/>
        <v>58915.228498265933</v>
      </c>
      <c r="M46" s="406">
        <f t="shared" si="9"/>
        <v>1609057.6258163431</v>
      </c>
      <c r="N46" s="671"/>
      <c r="O46" s="74"/>
      <c r="P46" s="169">
        <f t="shared" si="82"/>
        <v>1136173.3906386246</v>
      </c>
      <c r="Q46" s="169">
        <f t="shared" si="82"/>
        <v>1298330.9461891926</v>
      </c>
      <c r="R46" s="169">
        <f t="shared" si="82"/>
        <v>46316.371192917577</v>
      </c>
      <c r="S46" s="169">
        <f t="shared" si="82"/>
        <v>94286.898499867893</v>
      </c>
      <c r="T46" s="406">
        <f t="shared" si="74"/>
        <v>2575107.6065206029</v>
      </c>
      <c r="U46" s="362"/>
      <c r="V46" s="169">
        <f t="shared" si="83"/>
        <v>197707.52445734138</v>
      </c>
      <c r="W46" s="169">
        <f t="shared" si="83"/>
        <v>225924.84510937351</v>
      </c>
      <c r="X46" s="169">
        <f t="shared" si="83"/>
        <v>8059.5929862888252</v>
      </c>
      <c r="Y46" s="169">
        <f t="shared" si="83"/>
        <v>16407.02857923082</v>
      </c>
      <c r="Z46" s="406">
        <f t="shared" si="76"/>
        <v>448098.99113223451</v>
      </c>
      <c r="AA46" s="671"/>
      <c r="AB46" s="671"/>
      <c r="AC46" s="671"/>
      <c r="AD46" s="154"/>
      <c r="AE46" s="169">
        <f t="shared" si="84"/>
        <v>0</v>
      </c>
      <c r="AF46" s="169">
        <f t="shared" si="84"/>
        <v>0</v>
      </c>
      <c r="AG46" s="169">
        <f t="shared" si="84"/>
        <v>0</v>
      </c>
      <c r="AH46" s="169">
        <f t="shared" si="84"/>
        <v>0</v>
      </c>
      <c r="AI46" s="671">
        <f t="shared" si="78"/>
        <v>0</v>
      </c>
      <c r="AJ46" s="615"/>
      <c r="AK46" s="169">
        <f t="shared" si="85"/>
        <v>1136173.3906386246</v>
      </c>
      <c r="AL46" s="169">
        <f t="shared" si="85"/>
        <v>1298330.9461891926</v>
      </c>
      <c r="AM46" s="169">
        <f t="shared" si="85"/>
        <v>46316.371192917555</v>
      </c>
      <c r="AN46" s="169">
        <f t="shared" si="85"/>
        <v>94286.898499867893</v>
      </c>
      <c r="AO46" s="687">
        <f t="shared" si="80"/>
        <v>2575107.6065206029</v>
      </c>
      <c r="AP46" s="406">
        <f t="shared" ref="AP46:AP71" si="86">AO46+AI46</f>
        <v>2575107.6065206029</v>
      </c>
      <c r="BI46" s="423"/>
      <c r="BJ46" s="423"/>
      <c r="BK46" s="423"/>
      <c r="BL46" s="423"/>
      <c r="BM46" s="423"/>
      <c r="BN46" s="423"/>
      <c r="BO46" s="423"/>
      <c r="BP46" s="423"/>
      <c r="BQ46" s="423"/>
      <c r="BR46" s="423"/>
      <c r="BS46" s="423"/>
      <c r="BT46" s="423"/>
    </row>
    <row r="47" spans="1:72" outlineLevel="2">
      <c r="A47" s="436" t="s">
        <v>65</v>
      </c>
      <c r="B47" s="2"/>
      <c r="C47" s="2"/>
      <c r="D47" s="1061"/>
      <c r="E47" s="2"/>
      <c r="F47" s="508"/>
      <c r="G47" s="2"/>
      <c r="H47" s="724"/>
      <c r="I47" s="169">
        <f t="shared" si="81"/>
        <v>6750219.7008908717</v>
      </c>
      <c r="J47" s="169">
        <f t="shared" si="81"/>
        <v>4070345.4921116554</v>
      </c>
      <c r="K47" s="169">
        <f t="shared" si="81"/>
        <v>186091.07222814544</v>
      </c>
      <c r="L47" s="169">
        <f t="shared" si="81"/>
        <v>378828.2541787246</v>
      </c>
      <c r="M47" s="406">
        <f t="shared" si="9"/>
        <v>11385484.519409398</v>
      </c>
      <c r="N47" s="671"/>
      <c r="O47" s="74"/>
      <c r="P47" s="169">
        <f t="shared" si="82"/>
        <v>11112698.28259111</v>
      </c>
      <c r="Q47" s="169">
        <f t="shared" si="82"/>
        <v>6700896.1728715328</v>
      </c>
      <c r="R47" s="169">
        <f t="shared" si="82"/>
        <v>306356.53806680191</v>
      </c>
      <c r="S47" s="169">
        <f t="shared" si="82"/>
        <v>623654.38106456073</v>
      </c>
      <c r="T47" s="406">
        <f t="shared" si="74"/>
        <v>18743605.374594003</v>
      </c>
      <c r="U47" s="362"/>
      <c r="V47" s="169">
        <f t="shared" si="83"/>
        <v>1933740.1188893395</v>
      </c>
      <c r="W47" s="169">
        <f t="shared" si="83"/>
        <v>1166034.6958481797</v>
      </c>
      <c r="X47" s="169">
        <f t="shared" si="83"/>
        <v>53309.63851253708</v>
      </c>
      <c r="Y47" s="169">
        <f t="shared" si="83"/>
        <v>108523.19268623619</v>
      </c>
      <c r="Z47" s="406">
        <f t="shared" si="76"/>
        <v>3261607.6459362921</v>
      </c>
      <c r="AA47" s="671"/>
      <c r="AB47" s="671"/>
      <c r="AC47" s="671"/>
      <c r="AD47" s="154"/>
      <c r="AE47" s="169">
        <f t="shared" si="84"/>
        <v>0</v>
      </c>
      <c r="AF47" s="169">
        <f t="shared" si="84"/>
        <v>0</v>
      </c>
      <c r="AG47" s="169">
        <f t="shared" si="84"/>
        <v>0</v>
      </c>
      <c r="AH47" s="169">
        <f t="shared" si="84"/>
        <v>0</v>
      </c>
      <c r="AI47" s="671">
        <f t="shared" si="78"/>
        <v>0</v>
      </c>
      <c r="AJ47" s="615"/>
      <c r="AK47" s="169">
        <f t="shared" si="85"/>
        <v>11112698.282591112</v>
      </c>
      <c r="AL47" s="169">
        <f t="shared" si="85"/>
        <v>6700896.1728715328</v>
      </c>
      <c r="AM47" s="169">
        <f t="shared" si="85"/>
        <v>306356.53806680173</v>
      </c>
      <c r="AN47" s="169">
        <f t="shared" si="85"/>
        <v>623654.38106456073</v>
      </c>
      <c r="AO47" s="687">
        <f t="shared" si="80"/>
        <v>18743605.374594007</v>
      </c>
      <c r="AP47" s="406">
        <f t="shared" si="86"/>
        <v>18743605.374594007</v>
      </c>
      <c r="BI47" s="423"/>
      <c r="BJ47" s="423"/>
      <c r="BK47" s="423"/>
      <c r="BL47" s="423"/>
      <c r="BM47" s="423"/>
      <c r="BN47" s="423"/>
      <c r="BO47" s="423"/>
      <c r="BP47" s="423"/>
      <c r="BQ47" s="423"/>
      <c r="BR47" s="423"/>
      <c r="BS47" s="423"/>
      <c r="BT47" s="423"/>
    </row>
    <row r="48" spans="1:72" outlineLevel="2">
      <c r="A48" s="436" t="s">
        <v>66</v>
      </c>
      <c r="B48" s="2"/>
      <c r="C48" s="2"/>
      <c r="D48" s="1061"/>
      <c r="E48" s="2"/>
      <c r="F48" s="508"/>
      <c r="G48" s="2"/>
      <c r="H48" s="724"/>
      <c r="I48" s="169">
        <f t="shared" si="81"/>
        <v>49079035.512919545</v>
      </c>
      <c r="J48" s="169">
        <f t="shared" si="81"/>
        <v>19083688.239906892</v>
      </c>
      <c r="K48" s="169">
        <f t="shared" si="81"/>
        <v>1096017.3569592736</v>
      </c>
      <c r="L48" s="169">
        <f t="shared" si="81"/>
        <v>2231178.1909528063</v>
      </c>
      <c r="M48" s="406">
        <f t="shared" si="9"/>
        <v>71489919.300738513</v>
      </c>
      <c r="N48" s="671"/>
      <c r="O48" s="74"/>
      <c r="P48" s="169">
        <f t="shared" si="82"/>
        <v>82206216.531924203</v>
      </c>
      <c r="Q48" s="169">
        <f t="shared" si="82"/>
        <v>31964723.660157334</v>
      </c>
      <c r="R48" s="169">
        <f t="shared" si="82"/>
        <v>1835802.9905706591</v>
      </c>
      <c r="S48" s="169">
        <f t="shared" si="82"/>
        <v>3737170.3736616978</v>
      </c>
      <c r="T48" s="406">
        <f t="shared" si="74"/>
        <v>119743913.5563139</v>
      </c>
      <c r="U48" s="362"/>
      <c r="V48" s="169">
        <f t="shared" si="83"/>
        <v>14304847.921491524</v>
      </c>
      <c r="W48" s="169">
        <f t="shared" si="83"/>
        <v>5562237.6275337106</v>
      </c>
      <c r="X48" s="169">
        <f t="shared" si="83"/>
        <v>319451.29823283362</v>
      </c>
      <c r="Y48" s="169">
        <f t="shared" si="83"/>
        <v>650311.57140255417</v>
      </c>
      <c r="Z48" s="406">
        <f t="shared" si="76"/>
        <v>20836848.418660622</v>
      </c>
      <c r="AA48" s="671"/>
      <c r="AB48" s="671"/>
      <c r="AC48" s="671"/>
      <c r="AD48" s="154"/>
      <c r="AE48" s="169">
        <f t="shared" si="84"/>
        <v>14304847.921491524</v>
      </c>
      <c r="AF48" s="169">
        <f t="shared" si="84"/>
        <v>5562237.6275337106</v>
      </c>
      <c r="AG48" s="169">
        <f t="shared" si="84"/>
        <v>319451.29823283362</v>
      </c>
      <c r="AH48" s="169">
        <f t="shared" si="84"/>
        <v>650311.57140255417</v>
      </c>
      <c r="AI48" s="671">
        <f t="shared" si="78"/>
        <v>20836848.418660622</v>
      </c>
      <c r="AJ48" s="615"/>
      <c r="AK48" s="169">
        <f t="shared" si="85"/>
        <v>0</v>
      </c>
      <c r="AL48" s="169">
        <f t="shared" si="85"/>
        <v>0</v>
      </c>
      <c r="AM48" s="169">
        <f t="shared" si="85"/>
        <v>0</v>
      </c>
      <c r="AN48" s="169">
        <f t="shared" si="85"/>
        <v>0</v>
      </c>
      <c r="AO48" s="687">
        <f t="shared" si="80"/>
        <v>0</v>
      </c>
      <c r="AP48" s="406">
        <f t="shared" si="86"/>
        <v>20836848.418660622</v>
      </c>
      <c r="BI48" s="423"/>
      <c r="BJ48" s="423"/>
      <c r="BK48" s="423"/>
      <c r="BL48" s="423"/>
      <c r="BM48" s="423"/>
      <c r="BN48" s="423"/>
      <c r="BO48" s="423"/>
      <c r="BP48" s="423"/>
      <c r="BQ48" s="423"/>
      <c r="BR48" s="423"/>
      <c r="BS48" s="423"/>
      <c r="BT48" s="423"/>
    </row>
    <row r="49" spans="1:72" outlineLevel="2">
      <c r="A49" s="436" t="s">
        <v>328</v>
      </c>
      <c r="B49" s="2"/>
      <c r="C49" s="2"/>
      <c r="D49" s="1061"/>
      <c r="E49" s="2"/>
      <c r="F49" s="508"/>
      <c r="G49" s="2"/>
      <c r="H49" s="724"/>
      <c r="I49" s="169">
        <f t="shared" si="81"/>
        <v>0</v>
      </c>
      <c r="J49" s="169">
        <f t="shared" si="81"/>
        <v>0</v>
      </c>
      <c r="K49" s="169">
        <f t="shared" si="81"/>
        <v>0</v>
      </c>
      <c r="L49" s="169">
        <f t="shared" si="81"/>
        <v>0</v>
      </c>
      <c r="M49" s="406">
        <f t="shared" si="9"/>
        <v>0</v>
      </c>
      <c r="N49" s="671"/>
      <c r="O49" s="74"/>
      <c r="P49" s="169">
        <f t="shared" si="82"/>
        <v>0</v>
      </c>
      <c r="Q49" s="169">
        <f t="shared" si="82"/>
        <v>0</v>
      </c>
      <c r="R49" s="169">
        <f t="shared" si="82"/>
        <v>0</v>
      </c>
      <c r="S49" s="169">
        <f t="shared" si="82"/>
        <v>0</v>
      </c>
      <c r="T49" s="406">
        <f t="shared" si="74"/>
        <v>0</v>
      </c>
      <c r="U49" s="362"/>
      <c r="V49" s="169">
        <f t="shared" si="83"/>
        <v>0</v>
      </c>
      <c r="W49" s="169">
        <f t="shared" si="83"/>
        <v>0</v>
      </c>
      <c r="X49" s="169">
        <f t="shared" si="83"/>
        <v>0</v>
      </c>
      <c r="Y49" s="169">
        <f t="shared" si="83"/>
        <v>0</v>
      </c>
      <c r="Z49" s="406">
        <f t="shared" si="76"/>
        <v>0</v>
      </c>
      <c r="AA49" s="671"/>
      <c r="AB49" s="671"/>
      <c r="AC49" s="671"/>
      <c r="AD49" s="154"/>
      <c r="AE49" s="169">
        <f t="shared" si="84"/>
        <v>0</v>
      </c>
      <c r="AF49" s="169">
        <f t="shared" si="84"/>
        <v>0</v>
      </c>
      <c r="AG49" s="169">
        <f t="shared" si="84"/>
        <v>0</v>
      </c>
      <c r="AH49" s="169">
        <f t="shared" si="84"/>
        <v>0</v>
      </c>
      <c r="AI49" s="671">
        <f t="shared" si="78"/>
        <v>0</v>
      </c>
      <c r="AJ49" s="615"/>
      <c r="AK49" s="169">
        <f t="shared" si="85"/>
        <v>0</v>
      </c>
      <c r="AL49" s="169">
        <f t="shared" si="85"/>
        <v>0</v>
      </c>
      <c r="AM49" s="169">
        <f t="shared" si="85"/>
        <v>0</v>
      </c>
      <c r="AN49" s="169">
        <f t="shared" si="85"/>
        <v>0</v>
      </c>
      <c r="AO49" s="687">
        <f t="shared" si="80"/>
        <v>0</v>
      </c>
      <c r="AP49" s="406">
        <f t="shared" si="86"/>
        <v>0</v>
      </c>
      <c r="BI49" s="423"/>
      <c r="BJ49" s="423"/>
      <c r="BK49" s="423"/>
      <c r="BL49" s="423"/>
      <c r="BM49" s="423"/>
      <c r="BN49" s="423"/>
      <c r="BO49" s="423"/>
      <c r="BP49" s="423"/>
      <c r="BQ49" s="423"/>
      <c r="BR49" s="423"/>
      <c r="BS49" s="423"/>
      <c r="BT49" s="423"/>
    </row>
    <row r="50" spans="1:72" s="1101" customFormat="1" ht="20" outlineLevel="1">
      <c r="A50" s="1092" t="s">
        <v>343</v>
      </c>
      <c r="B50" s="1093"/>
      <c r="C50" s="1093"/>
      <c r="D50" s="1094"/>
      <c r="E50" s="1093"/>
      <c r="F50" s="1437"/>
      <c r="G50" s="1093"/>
      <c r="H50" s="1095"/>
      <c r="I50" s="1096">
        <f>I51+I55+I71</f>
        <v>44786492.346935034</v>
      </c>
      <c r="J50" s="1096">
        <f t="shared" ref="J50:L50" si="87">J51+J55+J71</f>
        <v>18381603.423225127</v>
      </c>
      <c r="K50" s="1096">
        <f t="shared" si="87"/>
        <v>1013169.3291237378</v>
      </c>
      <c r="L50" s="1096">
        <f t="shared" si="87"/>
        <v>2062523.2771447515</v>
      </c>
      <c r="M50" s="1088">
        <f t="shared" si="9"/>
        <v>66243788.376428649</v>
      </c>
      <c r="N50" s="1089"/>
      <c r="O50" s="1097"/>
      <c r="P50" s="1096">
        <f>P51+P55+P71</f>
        <v>41582768.856753051</v>
      </c>
      <c r="Q50" s="1096">
        <f t="shared" ref="Q50:S50" si="88">Q51+Q55+Q71</f>
        <v>17398898.005516235</v>
      </c>
      <c r="R50" s="1096">
        <f t="shared" si="88"/>
        <v>958688.94682465424</v>
      </c>
      <c r="S50" s="1096">
        <f t="shared" si="88"/>
        <v>1951616.7846073313</v>
      </c>
      <c r="T50" s="1088">
        <f t="shared" si="74"/>
        <v>61891972.593701266</v>
      </c>
      <c r="U50" s="1098"/>
      <c r="V50" s="1096">
        <f>V51+V55+V71</f>
        <v>3677452.1805035686</v>
      </c>
      <c r="W50" s="1096">
        <f t="shared" ref="W50:Y50" si="89">W51+W55+W71</f>
        <v>1541176.480789256</v>
      </c>
      <c r="X50" s="1096">
        <f t="shared" si="89"/>
        <v>84843.93222446795</v>
      </c>
      <c r="Y50" s="1096">
        <f t="shared" si="89"/>
        <v>172718.00488552405</v>
      </c>
      <c r="Z50" s="1088">
        <f t="shared" si="76"/>
        <v>5476190.5984028168</v>
      </c>
      <c r="AA50" s="1089"/>
      <c r="AB50" s="1089"/>
      <c r="AC50" s="1089"/>
      <c r="AD50" s="1231"/>
      <c r="AE50" s="1096">
        <f>AE51+AE55+AE71</f>
        <v>3248450.5907865162</v>
      </c>
      <c r="AF50" s="1096">
        <f t="shared" ref="AF50:AH50" si="90">AF51+AF55+AF71</f>
        <v>1263114.0300422646</v>
      </c>
      <c r="AG50" s="1096">
        <f t="shared" si="90"/>
        <v>72543.361814626551</v>
      </c>
      <c r="AH50" s="1096">
        <f t="shared" si="90"/>
        <v>147677.55797977542</v>
      </c>
      <c r="AI50" s="1088">
        <f t="shared" si="78"/>
        <v>4731785.5406231834</v>
      </c>
      <c r="AJ50" s="1099"/>
      <c r="AK50" s="1096">
        <f>AK51+AK55+AK71</f>
        <v>4774545.2504321747</v>
      </c>
      <c r="AL50" s="1096">
        <f t="shared" ref="AL50:AN50" si="91">AL51+AL55+AL71</f>
        <v>3086541.2807615343</v>
      </c>
      <c r="AM50" s="1096">
        <f t="shared" si="91"/>
        <v>136699.44499864528</v>
      </c>
      <c r="AN50" s="1096">
        <f t="shared" si="91"/>
        <v>278281.01303295646</v>
      </c>
      <c r="AO50" s="1088">
        <f t="shared" si="80"/>
        <v>8276066.9892253103</v>
      </c>
      <c r="AP50" s="1088">
        <f>AO50+AI50</f>
        <v>13007852.529848494</v>
      </c>
      <c r="AQ50" s="1100"/>
      <c r="AR50" s="1100"/>
      <c r="AS50" s="1100"/>
      <c r="AT50" s="1100"/>
      <c r="AU50" s="1100"/>
      <c r="AV50" s="1100"/>
      <c r="AW50" s="1100"/>
      <c r="AX50" s="1100"/>
      <c r="AY50" s="1100"/>
      <c r="AZ50" s="1100"/>
      <c r="BA50" s="1100"/>
      <c r="BB50" s="1100"/>
    </row>
    <row r="51" spans="1:72" s="1114" customFormat="1" ht="20" outlineLevel="1">
      <c r="A51" s="1102" t="s">
        <v>565</v>
      </c>
      <c r="B51" s="1103"/>
      <c r="C51" s="1103"/>
      <c r="D51" s="1104"/>
      <c r="E51" s="1103"/>
      <c r="F51" s="1438"/>
      <c r="G51" s="1103"/>
      <c r="H51" s="1105"/>
      <c r="I51" s="1106">
        <f>I52+I53+I54</f>
        <v>36615565.90673016</v>
      </c>
      <c r="J51" s="1106">
        <f t="shared" ref="J51:L51" si="92">J52+J53+J54</f>
        <v>15295109.809140446</v>
      </c>
      <c r="K51" s="1106">
        <f t="shared" si="92"/>
        <v>843548.48038289743</v>
      </c>
      <c r="L51" s="1106">
        <f t="shared" si="92"/>
        <v>1717223.692208041</v>
      </c>
      <c r="M51" s="1107">
        <f t="shared" si="9"/>
        <v>54471447.888461545</v>
      </c>
      <c r="N51" s="1108"/>
      <c r="O51" s="1109"/>
      <c r="P51" s="1106">
        <f>P52+P53+P54</f>
        <v>36615565.90673016</v>
      </c>
      <c r="Q51" s="1106">
        <f t="shared" ref="Q51:S51" si="93">Q52+Q53+Q54</f>
        <v>15295109.809140444</v>
      </c>
      <c r="R51" s="1106">
        <f t="shared" si="93"/>
        <v>843548.48038289743</v>
      </c>
      <c r="S51" s="1106">
        <f t="shared" si="93"/>
        <v>1717223.6922080407</v>
      </c>
      <c r="T51" s="1107">
        <f t="shared" si="74"/>
        <v>54471447.888461545</v>
      </c>
      <c r="U51" s="1110"/>
      <c r="V51" s="1106">
        <f>V52+V53+V54</f>
        <v>2720008.2144224634</v>
      </c>
      <c r="W51" s="1106">
        <f t="shared" ref="W51:Y51" si="94">W52+W53+W54</f>
        <v>1136205.9629865987</v>
      </c>
      <c r="X51" s="1106">
        <f t="shared" si="94"/>
        <v>62663.480382897258</v>
      </c>
      <c r="Y51" s="1106">
        <f t="shared" si="94"/>
        <v>127564.94220804085</v>
      </c>
      <c r="Z51" s="1107">
        <f t="shared" si="76"/>
        <v>4046442.6000000006</v>
      </c>
      <c r="AA51" s="1108"/>
      <c r="AB51" s="1108"/>
      <c r="AC51" s="1108"/>
      <c r="AD51" s="1232"/>
      <c r="AE51" s="1106">
        <f>AE52+AE53+AE54</f>
        <v>2412859.8849259708</v>
      </c>
      <c r="AF51" s="1106">
        <f t="shared" ref="AF51:AH51" si="95">AF52+AF53+AF54</f>
        <v>938206.41194922524</v>
      </c>
      <c r="AG51" s="1106">
        <f t="shared" si="95"/>
        <v>53883.216859334425</v>
      </c>
      <c r="AH51" s="1106">
        <f t="shared" si="95"/>
        <v>109690.83432078791</v>
      </c>
      <c r="AI51" s="1107">
        <f t="shared" si="78"/>
        <v>3514640.3480553185</v>
      </c>
      <c r="AJ51" s="1111"/>
      <c r="AK51" s="1106">
        <f>AK52+AK53+AK54</f>
        <v>4134697.0359090674</v>
      </c>
      <c r="AL51" s="1106">
        <f t="shared" ref="AL51:AN51" si="96">AL52+AL53+AL54</f>
        <v>2665383.7190897162</v>
      </c>
      <c r="AM51" s="1106">
        <f t="shared" si="96"/>
        <v>118196.08338709974</v>
      </c>
      <c r="AN51" s="1106">
        <f t="shared" si="96"/>
        <v>240613.45546659594</v>
      </c>
      <c r="AO51" s="1107">
        <f t="shared" si="80"/>
        <v>7158890.2938524801</v>
      </c>
      <c r="AP51" s="1112">
        <f t="shared" si="86"/>
        <v>10673530.641907798</v>
      </c>
      <c r="AQ51" s="1113"/>
      <c r="AR51" s="1113"/>
      <c r="AS51" s="1113"/>
      <c r="AT51" s="1113"/>
      <c r="AU51" s="1113"/>
      <c r="AV51" s="1113"/>
      <c r="AW51" s="1113"/>
      <c r="AX51" s="1113"/>
      <c r="AY51" s="1113"/>
      <c r="AZ51" s="1113"/>
      <c r="BA51" s="1113"/>
      <c r="BB51" s="1113"/>
    </row>
    <row r="52" spans="1:72" ht="20" outlineLevel="1">
      <c r="A52" s="826" t="s">
        <v>499</v>
      </c>
      <c r="B52" s="13"/>
      <c r="C52" s="13"/>
      <c r="D52" s="1066"/>
      <c r="E52" s="13"/>
      <c r="F52" s="297"/>
      <c r="G52" s="13"/>
      <c r="I52" s="169">
        <f>I19*I193</f>
        <v>33895557.692307696</v>
      </c>
      <c r="J52" s="169">
        <f>J19*J193</f>
        <v>14158903.846153848</v>
      </c>
      <c r="K52" s="169">
        <f>K19*K193</f>
        <v>780885.00000000012</v>
      </c>
      <c r="L52" s="169">
        <f>L19*L193</f>
        <v>1589658.75</v>
      </c>
      <c r="M52" s="406">
        <f t="shared" ref="M52:M75" si="97">SUM(I52:L52)</f>
        <v>50425005.288461544</v>
      </c>
      <c r="N52" s="671"/>
      <c r="P52" s="169">
        <f>P19*P193</f>
        <v>33895557.692307696</v>
      </c>
      <c r="Q52" s="169">
        <f>Q19*Q193</f>
        <v>14158903.846153846</v>
      </c>
      <c r="R52" s="169">
        <f>R19*R193</f>
        <v>780885.00000000012</v>
      </c>
      <c r="S52" s="169">
        <f>S19*S193</f>
        <v>1589658.7499999998</v>
      </c>
      <c r="T52" s="406">
        <f t="shared" si="74"/>
        <v>50425005.288461544</v>
      </c>
      <c r="U52" s="80"/>
      <c r="V52" s="169">
        <f>V19*V193</f>
        <v>0</v>
      </c>
      <c r="W52" s="169">
        <f>W19*W193</f>
        <v>0</v>
      </c>
      <c r="X52" s="169">
        <f>X19*X193</f>
        <v>0</v>
      </c>
      <c r="Y52" s="169">
        <f>Y19*Y193</f>
        <v>0</v>
      </c>
      <c r="Z52" s="406">
        <f t="shared" si="76"/>
        <v>0</v>
      </c>
      <c r="AA52" s="671"/>
      <c r="AB52" s="671"/>
      <c r="AC52" s="671"/>
      <c r="AE52" s="169">
        <f>AE19*AE193</f>
        <v>0</v>
      </c>
      <c r="AF52" s="169">
        <f>AF19*AF193</f>
        <v>0</v>
      </c>
      <c r="AG52" s="169">
        <f>AG19*AG193</f>
        <v>0</v>
      </c>
      <c r="AH52" s="169">
        <f>AH19*AH193</f>
        <v>0</v>
      </c>
      <c r="AI52" s="406">
        <f t="shared" si="78"/>
        <v>0</v>
      </c>
      <c r="AK52" s="169">
        <f>AK19*AK193</f>
        <v>3827548.7064125752</v>
      </c>
      <c r="AL52" s="169">
        <f>AL19*AL193</f>
        <v>2467384.1680523427</v>
      </c>
      <c r="AM52" s="169">
        <f>AM19*AM193</f>
        <v>109415.8198635369</v>
      </c>
      <c r="AN52" s="169">
        <f>AN19*AN193</f>
        <v>222739.34757934304</v>
      </c>
      <c r="AO52" s="406">
        <f t="shared" si="80"/>
        <v>6627088.0419077985</v>
      </c>
      <c r="AP52" s="406">
        <f t="shared" si="86"/>
        <v>6627088.0419077985</v>
      </c>
      <c r="AW52" s="80"/>
    </row>
    <row r="53" spans="1:72" ht="20" outlineLevel="1">
      <c r="A53" s="826" t="s">
        <v>500</v>
      </c>
      <c r="B53" s="13"/>
      <c r="C53" s="13"/>
      <c r="D53" s="1066"/>
      <c r="E53" s="13"/>
      <c r="F53" s="297"/>
      <c r="G53" s="13"/>
      <c r="I53" s="169">
        <f>I7*I204*I196</f>
        <v>703416</v>
      </c>
      <c r="J53" s="169">
        <f>J7*J204*J196</f>
        <v>293832</v>
      </c>
      <c r="K53" s="169">
        <f>K7*K204*K196</f>
        <v>16205.28</v>
      </c>
      <c r="L53" s="169">
        <f>L7*L204*L196</f>
        <v>32989.32</v>
      </c>
      <c r="M53" s="406">
        <f>SUM(I53:L53)</f>
        <v>1046442.6</v>
      </c>
      <c r="N53" s="671"/>
      <c r="P53" s="169">
        <f>P7*P204*P196</f>
        <v>703416</v>
      </c>
      <c r="Q53" s="169">
        <f>Q7*Q204*Q196</f>
        <v>293832</v>
      </c>
      <c r="R53" s="169">
        <f>R7*R204*R196</f>
        <v>16205.28</v>
      </c>
      <c r="S53" s="169">
        <f>S7*S204*S196</f>
        <v>32989.32</v>
      </c>
      <c r="T53" s="406">
        <f>SUM(P53:S53)</f>
        <v>1046442.6</v>
      </c>
      <c r="U53" s="80"/>
      <c r="V53" s="169">
        <f>V7*V204*V196</f>
        <v>703416</v>
      </c>
      <c r="W53" s="169">
        <f>W7*W204*W196</f>
        <v>293832</v>
      </c>
      <c r="X53" s="169">
        <f>X7*X204*X196</f>
        <v>16205.28</v>
      </c>
      <c r="Y53" s="169">
        <f>Y7*Y204*Y196</f>
        <v>32989.32</v>
      </c>
      <c r="Z53" s="406">
        <f>SUM(V53:Y53)</f>
        <v>1046442.6</v>
      </c>
      <c r="AA53" s="671"/>
      <c r="AB53" s="671"/>
      <c r="AC53" s="671"/>
      <c r="AE53" s="169">
        <f>AE7*AE204*AE196</f>
        <v>623984.97174224933</v>
      </c>
      <c r="AF53" s="169">
        <f>AF7*AF204*AF196</f>
        <v>242627.7236842105</v>
      </c>
      <c r="AG53" s="169">
        <f>AG7*AG204*AG196</f>
        <v>13934.633237265185</v>
      </c>
      <c r="AH53" s="169">
        <f>AH7*AH204*AH196</f>
        <v>28366.931947289831</v>
      </c>
      <c r="AI53" s="406">
        <f>SUM(AE53:AH53)</f>
        <v>908914.26061101491</v>
      </c>
      <c r="AK53" s="169">
        <f>AK7*AK204*AK196</f>
        <v>79431.028257750586</v>
      </c>
      <c r="AL53" s="169">
        <f>AL7*AL204*AL196</f>
        <v>51204.276315789481</v>
      </c>
      <c r="AM53" s="169">
        <f>AM7*AM204*AM196</f>
        <v>2270.6467627348165</v>
      </c>
      <c r="AN53" s="169">
        <f>AN7*AN204*AN196</f>
        <v>4622.3880527101637</v>
      </c>
      <c r="AO53" s="406">
        <f>SUM(AK53:AN53)</f>
        <v>137528.33938898504</v>
      </c>
      <c r="AP53" s="406">
        <f t="shared" si="86"/>
        <v>1046442.6</v>
      </c>
      <c r="AW53" s="80"/>
    </row>
    <row r="54" spans="1:72" s="424" customFormat="1" ht="20" outlineLevel="1">
      <c r="A54" s="1115" t="s">
        <v>496</v>
      </c>
      <c r="B54" s="305"/>
      <c r="C54" s="305"/>
      <c r="D54" s="1116"/>
      <c r="E54" s="305"/>
      <c r="F54" s="1439"/>
      <c r="G54" s="305"/>
      <c r="H54" s="1117"/>
      <c r="I54" s="373">
        <f>I194*I21</f>
        <v>2016592.2144224632</v>
      </c>
      <c r="J54" s="373">
        <f>J194*J21</f>
        <v>842373.96298659861</v>
      </c>
      <c r="K54" s="373">
        <f>K194*K21</f>
        <v>46458.200382897267</v>
      </c>
      <c r="L54" s="373">
        <f>L194*L21</f>
        <v>94575.622208040848</v>
      </c>
      <c r="M54" s="1091">
        <f>SUM(I54:L54)</f>
        <v>2999999.9999999995</v>
      </c>
      <c r="N54" s="1118"/>
      <c r="O54" s="287"/>
      <c r="P54" s="373">
        <f>P194*P21</f>
        <v>2016592.2144224634</v>
      </c>
      <c r="Q54" s="373">
        <f>Q194*Q21</f>
        <v>842373.96298659872</v>
      </c>
      <c r="R54" s="373">
        <f>R194*R21</f>
        <v>46458.200382897267</v>
      </c>
      <c r="S54" s="373">
        <f>S194*S21</f>
        <v>94575.622208040833</v>
      </c>
      <c r="T54" s="1091">
        <f>SUM(P54:S54)</f>
        <v>3000000</v>
      </c>
      <c r="U54" s="1119"/>
      <c r="V54" s="373">
        <f>V194*V21</f>
        <v>2016592.2144224634</v>
      </c>
      <c r="W54" s="373">
        <f>W194*W21</f>
        <v>842373.96298659861</v>
      </c>
      <c r="X54" s="373">
        <f>X194*X21</f>
        <v>46458.200382897259</v>
      </c>
      <c r="Y54" s="373">
        <f>Y194*Y21</f>
        <v>94575.622208040848</v>
      </c>
      <c r="Z54" s="1091">
        <f>SUM(V54:Y54)</f>
        <v>3000000</v>
      </c>
      <c r="AA54" s="1118"/>
      <c r="AB54" s="1118"/>
      <c r="AC54" s="1118"/>
      <c r="AD54" s="287"/>
      <c r="AE54" s="373">
        <f>AE194*AE21</f>
        <v>1788874.9131837217</v>
      </c>
      <c r="AF54" s="373">
        <f>AF194*AF21</f>
        <v>695578.68826501467</v>
      </c>
      <c r="AG54" s="373">
        <f>AG194*AG21</f>
        <v>39948.583622069236</v>
      </c>
      <c r="AH54" s="373">
        <f>AH194*AH21</f>
        <v>81323.902373498073</v>
      </c>
      <c r="AI54" s="1118">
        <f>SUM(AE54:AH54)</f>
        <v>2605726.0874443036</v>
      </c>
      <c r="AJ54" s="286"/>
      <c r="AK54" s="373">
        <f>AK194*AK21</f>
        <v>227717.30123874152</v>
      </c>
      <c r="AL54" s="373">
        <f>AL194*AL21</f>
        <v>146795.27472158385</v>
      </c>
      <c r="AM54" s="373">
        <f>AM194*AM21</f>
        <v>6509.6167608280211</v>
      </c>
      <c r="AN54" s="373">
        <f>AN194*AN21</f>
        <v>13251.719834542759</v>
      </c>
      <c r="AO54" s="1120">
        <f>SUM(AK54:AN54)</f>
        <v>394273.91255569615</v>
      </c>
      <c r="AP54" s="1091">
        <f t="shared" si="86"/>
        <v>2999999.9999999995</v>
      </c>
      <c r="AQ54" s="287"/>
      <c r="AR54" s="287"/>
      <c r="AS54" s="287"/>
      <c r="AT54" s="287"/>
      <c r="AU54" s="287"/>
      <c r="AV54" s="287"/>
      <c r="AW54" s="1119"/>
      <c r="AX54" s="287"/>
      <c r="AY54" s="287"/>
      <c r="AZ54" s="287"/>
      <c r="BA54" s="287"/>
      <c r="BB54" s="287"/>
      <c r="BI54" s="287"/>
      <c r="BJ54" s="287"/>
      <c r="BK54" s="287"/>
      <c r="BL54" s="287"/>
      <c r="BM54" s="287"/>
      <c r="BN54" s="287"/>
      <c r="BO54" s="287"/>
      <c r="BP54" s="287"/>
      <c r="BQ54" s="287"/>
      <c r="BR54" s="287"/>
      <c r="BS54" s="287"/>
      <c r="BT54" s="287"/>
    </row>
    <row r="55" spans="1:72" s="1114" customFormat="1" ht="20" outlineLevel="1">
      <c r="A55" s="1102" t="s">
        <v>119</v>
      </c>
      <c r="B55" s="1103"/>
      <c r="C55" s="1103"/>
      <c r="D55" s="1104"/>
      <c r="E55" s="1103"/>
      <c r="F55" s="1438"/>
      <c r="G55" s="1103"/>
      <c r="H55" s="1121"/>
      <c r="I55" s="1106">
        <f>I56+I65</f>
        <v>3847584.3713473668</v>
      </c>
      <c r="J55" s="1106">
        <f t="shared" ref="J55:L55" si="98">J56+J65</f>
        <v>1280540.5979796487</v>
      </c>
      <c r="K55" s="1106">
        <f t="shared" si="98"/>
        <v>70019.803610199015</v>
      </c>
      <c r="L55" s="1106">
        <f t="shared" si="98"/>
        <v>142540.31449219081</v>
      </c>
      <c r="M55" s="1107">
        <f t="shared" ref="M55" si="99">SUM(I55:L55)</f>
        <v>5340685.0874294061</v>
      </c>
      <c r="N55" s="1108"/>
      <c r="O55" s="1113"/>
      <c r="P55" s="1106">
        <f>P56+P65</f>
        <v>4967202.950022893</v>
      </c>
      <c r="Q55" s="1106">
        <f t="shared" ref="Q55:S55" si="100">Q56+Q65</f>
        <v>2103788.196375791</v>
      </c>
      <c r="R55" s="1106">
        <f t="shared" si="100"/>
        <v>115140.46644175684</v>
      </c>
      <c r="S55" s="1106">
        <f t="shared" si="100"/>
        <v>234393.09239929062</v>
      </c>
      <c r="T55" s="1107">
        <f t="shared" ref="T55" si="101">SUM(P55:S55)</f>
        <v>7420524.7052397318</v>
      </c>
      <c r="U55" s="1122"/>
      <c r="V55" s="1106">
        <f>V56+V65</f>
        <v>957443.96608110494</v>
      </c>
      <c r="W55" s="1106">
        <f t="shared" ref="W55:Y55" si="102">W56+W65</f>
        <v>404970.51780265727</v>
      </c>
      <c r="X55" s="1106">
        <f t="shared" si="102"/>
        <v>22180.451841570684</v>
      </c>
      <c r="Y55" s="1106">
        <f t="shared" si="102"/>
        <v>45153.062677483176</v>
      </c>
      <c r="Z55" s="1107">
        <f t="shared" ref="Z55" si="103">SUM(V55:Y55)</f>
        <v>1429747.998402816</v>
      </c>
      <c r="AA55" s="1108"/>
      <c r="AB55" s="1108"/>
      <c r="AC55" s="1108"/>
      <c r="AD55" s="1113"/>
      <c r="AE55" s="1106">
        <f>AE56+AE65</f>
        <v>835590.70586054551</v>
      </c>
      <c r="AF55" s="1106">
        <f t="shared" ref="AF55:AH55" si="104">AF56+AF65</f>
        <v>324907.61809303949</v>
      </c>
      <c r="AG55" s="1106">
        <f t="shared" si="104"/>
        <v>18660.144955292122</v>
      </c>
      <c r="AH55" s="1106">
        <f t="shared" si="104"/>
        <v>37986.723658987525</v>
      </c>
      <c r="AI55" s="1107">
        <f t="shared" ref="AI55" si="105">SUM(AE55:AH55)</f>
        <v>1217145.1925678647</v>
      </c>
      <c r="AJ55" s="1123"/>
      <c r="AK55" s="1106">
        <f>AK56+AK65</f>
        <v>639848.21452310774</v>
      </c>
      <c r="AL55" s="1106">
        <f t="shared" ref="AL55:AN55" si="106">AL56+AL65</f>
        <v>421157.56167181814</v>
      </c>
      <c r="AM55" s="1106">
        <f t="shared" si="106"/>
        <v>18503.361611545522</v>
      </c>
      <c r="AN55" s="1106">
        <f t="shared" si="106"/>
        <v>37667.557566360527</v>
      </c>
      <c r="AO55" s="1107">
        <f t="shared" ref="AO55" si="107">SUM(AK55:AN55)</f>
        <v>1117176.695372832</v>
      </c>
      <c r="AP55" s="1107">
        <f t="shared" si="86"/>
        <v>2334321.8879406964</v>
      </c>
      <c r="AQ55" s="1113"/>
      <c r="AR55" s="1113"/>
      <c r="AS55" s="1113"/>
      <c r="AT55" s="1113"/>
      <c r="AU55" s="1113"/>
      <c r="AV55" s="1113"/>
      <c r="AW55" s="1122"/>
      <c r="AX55" s="1113"/>
      <c r="AY55" s="1113"/>
      <c r="AZ55" s="1113"/>
      <c r="BA55" s="1113"/>
      <c r="BB55" s="1113"/>
      <c r="BI55" s="1113"/>
      <c r="BJ55" s="1113"/>
      <c r="BK55" s="1113"/>
      <c r="BL55" s="1113"/>
      <c r="BM55" s="1113"/>
      <c r="BN55" s="1113"/>
      <c r="BO55" s="1113"/>
      <c r="BP55" s="1113"/>
      <c r="BQ55" s="1113"/>
      <c r="BR55" s="1113"/>
      <c r="BS55" s="1113"/>
      <c r="BT55" s="1113"/>
    </row>
    <row r="56" spans="1:72" s="2" customFormat="1" ht="20" outlineLevel="1">
      <c r="A56" s="826" t="s">
        <v>506</v>
      </c>
      <c r="B56" s="13"/>
      <c r="C56" s="13"/>
      <c r="D56" s="1066"/>
      <c r="E56" s="13"/>
      <c r="F56" s="297"/>
      <c r="G56" s="13"/>
      <c r="I56" s="169">
        <f>I64+I63</f>
        <v>941846.79889267264</v>
      </c>
      <c r="J56" s="169">
        <f t="shared" ref="J56:L56" si="108">J64+J63</f>
        <v>47078.931290567722</v>
      </c>
      <c r="K56" s="169">
        <f t="shared" si="108"/>
        <v>2596.4743923888864</v>
      </c>
      <c r="L56" s="169">
        <f t="shared" si="108"/>
        <v>5285.6800130773754</v>
      </c>
      <c r="M56" s="406">
        <f>SUM(I56:L56)</f>
        <v>996807.88458870654</v>
      </c>
      <c r="N56" s="671"/>
      <c r="O56" s="1"/>
      <c r="P56" s="169">
        <f>P64+P63</f>
        <v>112704.10824105605</v>
      </c>
      <c r="Q56" s="169">
        <f t="shared" ref="Q56:S56" si="109">Q64+Q63</f>
        <v>47078.931290567722</v>
      </c>
      <c r="R56" s="169">
        <f t="shared" si="109"/>
        <v>2596.4743923888864</v>
      </c>
      <c r="S56" s="169">
        <f t="shared" si="109"/>
        <v>5285.6800130773754</v>
      </c>
      <c r="T56" s="406">
        <f>SUM(P56:S56)</f>
        <v>167665.19393709002</v>
      </c>
      <c r="U56" s="80"/>
      <c r="V56" s="169">
        <f>V64+V63</f>
        <v>112704.10824105605</v>
      </c>
      <c r="W56" s="169">
        <f t="shared" ref="W56:Y56" si="110">W64+W63</f>
        <v>47078.931290567722</v>
      </c>
      <c r="X56" s="169">
        <f t="shared" si="110"/>
        <v>2596.4743923888864</v>
      </c>
      <c r="Y56" s="169">
        <f t="shared" si="110"/>
        <v>5285.6800130773754</v>
      </c>
      <c r="Z56" s="406">
        <f>SUM(V56:Y56)</f>
        <v>167665.19393709002</v>
      </c>
      <c r="AA56" s="671"/>
      <c r="AB56" s="671"/>
      <c r="AC56" s="671"/>
      <c r="AD56" s="1"/>
      <c r="AE56" s="169">
        <f>AE64+AE63</f>
        <v>99977.353082714602</v>
      </c>
      <c r="AF56" s="169">
        <f t="shared" ref="AF56:AH56" si="111">AF64+AF63</f>
        <v>38874.778555486788</v>
      </c>
      <c r="AG56" s="169">
        <f t="shared" si="111"/>
        <v>2232.6623401687657</v>
      </c>
      <c r="AH56" s="169">
        <f t="shared" si="111"/>
        <v>4545.062621057843</v>
      </c>
      <c r="AI56" s="406">
        <f>SUM(AE56:AH56)</f>
        <v>145629.85659942799</v>
      </c>
      <c r="AJ56" s="28"/>
      <c r="AK56" s="169">
        <f>AK64+AK63</f>
        <v>12726.755158341446</v>
      </c>
      <c r="AL56" s="169">
        <f t="shared" ref="AL56:AN56" si="112">AL64+AL63</f>
        <v>8204.152735080921</v>
      </c>
      <c r="AM56" s="169">
        <f t="shared" si="112"/>
        <v>363.81205222012062</v>
      </c>
      <c r="AN56" s="169">
        <f t="shared" si="112"/>
        <v>740.61739201953128</v>
      </c>
      <c r="AO56" s="406">
        <f>SUM(AK56:AN56)</f>
        <v>22035.337337662018</v>
      </c>
      <c r="AP56" s="406">
        <f t="shared" si="86"/>
        <v>167665.19393709002</v>
      </c>
      <c r="AQ56" s="1"/>
      <c r="AR56" s="1"/>
      <c r="AS56" s="1"/>
      <c r="AT56" s="1"/>
      <c r="AU56" s="1"/>
      <c r="AV56" s="1"/>
      <c r="AW56" s="80"/>
      <c r="AX56" s="1"/>
      <c r="AY56" s="1"/>
      <c r="AZ56" s="1"/>
      <c r="BA56" s="1"/>
      <c r="BB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</row>
    <row r="57" spans="1:72" s="1373" customFormat="1" ht="40" outlineLevel="2">
      <c r="A57" s="1366" t="s">
        <v>510</v>
      </c>
      <c r="B57" s="71"/>
      <c r="C57" s="71"/>
      <c r="D57" s="1367"/>
      <c r="E57" s="71"/>
      <c r="F57" s="1440"/>
      <c r="G57" s="71"/>
      <c r="H57" s="1368"/>
      <c r="I57" s="255">
        <f>SUM(I58:I62)</f>
        <v>341500.92009552917</v>
      </c>
      <c r="J57" s="255">
        <f t="shared" ref="J57:L57" si="113">SUM(J58:J62)</f>
        <v>144964.32784225693</v>
      </c>
      <c r="K57" s="255">
        <f t="shared" si="113"/>
        <v>7924.0221766946725</v>
      </c>
      <c r="L57" s="255">
        <f t="shared" si="113"/>
        <v>16131.045145414151</v>
      </c>
      <c r="M57" s="1369">
        <f>SUM(I57:L57)</f>
        <v>510520.31525989488</v>
      </c>
      <c r="N57" s="255"/>
      <c r="O57" s="71"/>
      <c r="P57" s="255">
        <f>SUM(P58:P62)</f>
        <v>570531.84595424321</v>
      </c>
      <c r="Q57" s="255">
        <f t="shared" ref="Q57:S57" si="114">SUM(Q58:Q62)</f>
        <v>241717.66681678017</v>
      </c>
      <c r="R57" s="255">
        <f t="shared" si="114"/>
        <v>13226.891925968077</v>
      </c>
      <c r="S57" s="255">
        <f t="shared" si="114"/>
        <v>26926.172849292154</v>
      </c>
      <c r="T57" s="1369">
        <f>SUM(P57:S57)</f>
        <v>852402.57754628372</v>
      </c>
      <c r="U57" s="1370"/>
      <c r="V57" s="255">
        <f>SUM(V58:V62)</f>
        <v>99279.247179243044</v>
      </c>
      <c r="W57" s="255">
        <f t="shared" ref="W57:Y57" si="115">SUM(W58:W62)</f>
        <v>42061.715155191603</v>
      </c>
      <c r="X57" s="255">
        <f t="shared" si="115"/>
        <v>2301.6346628907272</v>
      </c>
      <c r="Y57" s="255">
        <f t="shared" si="115"/>
        <v>4685.4705637418365</v>
      </c>
      <c r="Z57" s="1369">
        <f>SUM(V57:Y57)</f>
        <v>148328.0675610672</v>
      </c>
      <c r="AA57" s="255"/>
      <c r="AB57" s="255"/>
      <c r="AC57" s="255"/>
      <c r="AD57" s="71"/>
      <c r="AE57" s="255">
        <f>SUM(AE58:AE62)</f>
        <v>86454.000247506265</v>
      </c>
      <c r="AF57" s="255">
        <f t="shared" ref="AF57:AH57" si="116">SUM(AF58:AF62)</f>
        <v>33616.414230103073</v>
      </c>
      <c r="AG57" s="255">
        <f t="shared" si="116"/>
        <v>1930.663140780036</v>
      </c>
      <c r="AH57" s="255">
        <f t="shared" si="116"/>
        <v>3930.2785365879295</v>
      </c>
      <c r="AI57" s="1369">
        <f>SUM(AE57:AH57)</f>
        <v>125931.35615497729</v>
      </c>
      <c r="AJ57" s="1371"/>
      <c r="AK57" s="255">
        <f>SUM(AK58:AK62)</f>
        <v>73703.336947871561</v>
      </c>
      <c r="AL57" s="255">
        <f t="shared" ref="AL57:AN57" si="117">SUM(AL58:AL62)</f>
        <v>48532.933753321566</v>
      </c>
      <c r="AM57" s="255">
        <f t="shared" si="117"/>
        <v>2131.8762311336232</v>
      </c>
      <c r="AN57" s="255">
        <f t="shared" si="117"/>
        <v>4339.8908990934469</v>
      </c>
      <c r="AO57" s="1369">
        <f>SUM(AK57:AN57)</f>
        <v>128708.0378314202</v>
      </c>
      <c r="AP57" s="1372">
        <f t="shared" si="86"/>
        <v>254639.39398639748</v>
      </c>
      <c r="AQ57" s="71"/>
      <c r="AR57" s="71"/>
      <c r="AS57" s="71"/>
      <c r="AT57" s="71"/>
      <c r="AU57" s="71"/>
      <c r="AV57" s="71"/>
      <c r="AW57" s="1370"/>
      <c r="AX57" s="71"/>
      <c r="AY57" s="71"/>
      <c r="AZ57" s="71"/>
      <c r="BA57" s="71"/>
      <c r="BB57" s="71"/>
      <c r="BI57" s="71"/>
      <c r="BJ57" s="71"/>
      <c r="BK57" s="71"/>
      <c r="BL57" s="71"/>
      <c r="BM57" s="71"/>
      <c r="BN57" s="71"/>
      <c r="BO57" s="71"/>
      <c r="BP57" s="71"/>
      <c r="BQ57" s="71"/>
      <c r="BR57" s="71"/>
      <c r="BS57" s="71"/>
      <c r="BT57" s="71"/>
    </row>
    <row r="58" spans="1:72" s="1373" customFormat="1" outlineLevel="2">
      <c r="A58" s="1374" t="s">
        <v>327</v>
      </c>
      <c r="B58" s="1368"/>
      <c r="C58" s="1368"/>
      <c r="D58" s="1375"/>
      <c r="E58" s="1368"/>
      <c r="F58" s="1441"/>
      <c r="G58" s="1368"/>
      <c r="H58" s="1368"/>
      <c r="I58" s="255">
        <f t="shared" ref="I58:L62" si="118">(I22*I$200*I167)</f>
        <v>74.718300553261997</v>
      </c>
      <c r="J58" s="255">
        <f t="shared" si="118"/>
        <v>492.6474126653336</v>
      </c>
      <c r="K58" s="255">
        <f t="shared" si="118"/>
        <v>13.004092609308593</v>
      </c>
      <c r="L58" s="255">
        <f t="shared" si="118"/>
        <v>26.472617097521063</v>
      </c>
      <c r="M58" s="1369">
        <f>SUM(I58:L58)</f>
        <v>606.84242292542524</v>
      </c>
      <c r="N58" s="255"/>
      <c r="O58" s="71"/>
      <c r="P58" s="255">
        <f t="shared" ref="P58:S62" si="119">(P22*P$200*P167)</f>
        <v>117.24402902888797</v>
      </c>
      <c r="Q58" s="255">
        <f t="shared" si="119"/>
        <v>773.03641977734048</v>
      </c>
      <c r="R58" s="255">
        <f t="shared" si="119"/>
        <v>20.405338452435693</v>
      </c>
      <c r="S58" s="255">
        <f t="shared" si="119"/>
        <v>41.539438992458365</v>
      </c>
      <c r="T58" s="1369">
        <f>SUM(P58:S58)</f>
        <v>952.22522625112254</v>
      </c>
      <c r="U58" s="1370"/>
      <c r="V58" s="255">
        <f t="shared" ref="V58:Y62" si="120">(V22*V$200*V167)</f>
        <v>20.40183912745659</v>
      </c>
      <c r="W58" s="255">
        <f t="shared" si="120"/>
        <v>134.51742324614557</v>
      </c>
      <c r="X58" s="255">
        <f t="shared" si="120"/>
        <v>3.5507687333512101</v>
      </c>
      <c r="Y58" s="255">
        <f t="shared" si="120"/>
        <v>7.2283506357506768</v>
      </c>
      <c r="Z58" s="1369">
        <f>SUM(V58:Y58)</f>
        <v>165.69838174270404</v>
      </c>
      <c r="AA58" s="255"/>
      <c r="AB58" s="255"/>
      <c r="AC58" s="255"/>
      <c r="AD58" s="71"/>
      <c r="AE58" s="255">
        <f t="shared" ref="AE58:AH62" si="121">(AE22*AE$200*AE167)</f>
        <v>0</v>
      </c>
      <c r="AF58" s="255">
        <f t="shared" si="121"/>
        <v>0</v>
      </c>
      <c r="AG58" s="255">
        <f t="shared" si="121"/>
        <v>0</v>
      </c>
      <c r="AH58" s="255">
        <f t="shared" si="121"/>
        <v>0</v>
      </c>
      <c r="AI58" s="1369">
        <f>SUM(AE58:AH58)</f>
        <v>0</v>
      </c>
      <c r="AJ58" s="1371"/>
      <c r="AK58" s="255">
        <f t="shared" ref="AK58:AN62" si="122">(AK22*AK$200*AK167)</f>
        <v>117.24402902888798</v>
      </c>
      <c r="AL58" s="255">
        <f t="shared" si="122"/>
        <v>773.03641977734048</v>
      </c>
      <c r="AM58" s="255">
        <f t="shared" si="122"/>
        <v>20.405338452435686</v>
      </c>
      <c r="AN58" s="255">
        <f t="shared" si="122"/>
        <v>41.539438992458372</v>
      </c>
      <c r="AO58" s="1369">
        <f>SUM(AK58:AN58)</f>
        <v>952.22522625112254</v>
      </c>
      <c r="AP58" s="1369">
        <f t="shared" si="86"/>
        <v>952.22522625112254</v>
      </c>
      <c r="AQ58" s="71"/>
      <c r="AR58" s="71"/>
      <c r="AS58" s="71"/>
      <c r="AT58" s="71"/>
      <c r="AU58" s="71"/>
      <c r="AV58" s="71"/>
      <c r="AW58" s="1370"/>
      <c r="AX58" s="71"/>
      <c r="AY58" s="71"/>
      <c r="AZ58" s="71"/>
      <c r="BA58" s="71"/>
      <c r="BB58" s="71"/>
      <c r="BI58" s="71"/>
      <c r="BJ58" s="71"/>
      <c r="BK58" s="71"/>
      <c r="BL58" s="71"/>
      <c r="BM58" s="71"/>
      <c r="BN58" s="71"/>
      <c r="BO58" s="71"/>
      <c r="BP58" s="71"/>
      <c r="BQ58" s="71"/>
      <c r="BR58" s="71"/>
      <c r="BS58" s="71"/>
      <c r="BT58" s="71"/>
    </row>
    <row r="59" spans="1:72" s="1373" customFormat="1" outlineLevel="2">
      <c r="A59" s="1374" t="s">
        <v>429</v>
      </c>
      <c r="B59" s="1368"/>
      <c r="C59" s="1368"/>
      <c r="D59" s="1375"/>
      <c r="E59" s="1368"/>
      <c r="F59" s="1441"/>
      <c r="G59" s="1368"/>
      <c r="H59" s="1368"/>
      <c r="I59" s="255">
        <f t="shared" si="118"/>
        <v>3922.2033245460102</v>
      </c>
      <c r="J59" s="255">
        <f t="shared" si="118"/>
        <v>4481.9901570145994</v>
      </c>
      <c r="K59" s="255">
        <f t="shared" si="118"/>
        <v>159.88952616788444</v>
      </c>
      <c r="L59" s="255">
        <f t="shared" si="118"/>
        <v>325.48939255605046</v>
      </c>
      <c r="M59" s="1369">
        <f t="shared" ref="M59:M64" si="123">SUM(I59:L59)</f>
        <v>8889.5724002845436</v>
      </c>
      <c r="N59" s="255"/>
      <c r="O59" s="71"/>
      <c r="P59" s="255">
        <f t="shared" si="119"/>
        <v>6277.0254174300435</v>
      </c>
      <c r="Q59" s="255">
        <f t="shared" si="119"/>
        <v>7172.8984472033544</v>
      </c>
      <c r="R59" s="255">
        <f t="shared" si="119"/>
        <v>255.88439371710177</v>
      </c>
      <c r="S59" s="255">
        <f t="shared" si="119"/>
        <v>520.90751578124275</v>
      </c>
      <c r="T59" s="1369">
        <f t="shared" ref="T59:T65" si="124">SUM(P59:S59)</f>
        <v>14226.715774131742</v>
      </c>
      <c r="U59" s="1370"/>
      <c r="V59" s="255">
        <f t="shared" si="120"/>
        <v>1092.276202260246</v>
      </c>
      <c r="W59" s="255">
        <f t="shared" si="120"/>
        <v>1248.1686394568458</v>
      </c>
      <c r="X59" s="255">
        <f t="shared" si="120"/>
        <v>44.526892150360865</v>
      </c>
      <c r="Y59" s="255">
        <f t="shared" si="120"/>
        <v>90.644030448948911</v>
      </c>
      <c r="Z59" s="1369">
        <f t="shared" ref="Z59:Z65" si="125">SUM(V59:Y59)</f>
        <v>2475.6157643164011</v>
      </c>
      <c r="AA59" s="255"/>
      <c r="AB59" s="255"/>
      <c r="AC59" s="255"/>
      <c r="AD59" s="71"/>
      <c r="AE59" s="255">
        <f t="shared" si="121"/>
        <v>0</v>
      </c>
      <c r="AF59" s="255">
        <f t="shared" si="121"/>
        <v>0</v>
      </c>
      <c r="AG59" s="255">
        <f t="shared" si="121"/>
        <v>0</v>
      </c>
      <c r="AH59" s="255">
        <f t="shared" si="121"/>
        <v>0</v>
      </c>
      <c r="AI59" s="1369">
        <f t="shared" ref="AI59:AI65" si="126">SUM(AE59:AH59)</f>
        <v>0</v>
      </c>
      <c r="AJ59" s="1371"/>
      <c r="AK59" s="255">
        <f t="shared" si="122"/>
        <v>6277.0254174300444</v>
      </c>
      <c r="AL59" s="255">
        <f t="shared" si="122"/>
        <v>7172.8984472033544</v>
      </c>
      <c r="AM59" s="255">
        <f t="shared" si="122"/>
        <v>255.88439371710169</v>
      </c>
      <c r="AN59" s="255">
        <f t="shared" si="122"/>
        <v>520.90751578124275</v>
      </c>
      <c r="AO59" s="1369">
        <f t="shared" ref="AO59:AO65" si="127">SUM(AK59:AN59)</f>
        <v>14226.715774131742</v>
      </c>
      <c r="AP59" s="1369">
        <f>AO59+AI59</f>
        <v>14226.715774131742</v>
      </c>
      <c r="AQ59" s="71"/>
      <c r="AR59" s="71"/>
      <c r="AS59" s="71"/>
      <c r="AT59" s="71"/>
      <c r="AU59" s="71"/>
      <c r="AV59" s="71"/>
      <c r="AW59" s="1370"/>
      <c r="AX59" s="71"/>
      <c r="AY59" s="71"/>
      <c r="AZ59" s="71"/>
      <c r="BA59" s="71"/>
      <c r="BB59" s="71"/>
      <c r="BI59" s="71"/>
      <c r="BJ59" s="71"/>
      <c r="BK59" s="71"/>
      <c r="BL59" s="71"/>
      <c r="BM59" s="71"/>
      <c r="BN59" s="71"/>
      <c r="BO59" s="71"/>
      <c r="BP59" s="71"/>
      <c r="BQ59" s="71"/>
      <c r="BR59" s="71"/>
      <c r="BS59" s="71"/>
      <c r="BT59" s="71"/>
    </row>
    <row r="60" spans="1:72" s="1373" customFormat="1" outlineLevel="2">
      <c r="A60" s="1374" t="s">
        <v>65</v>
      </c>
      <c r="B60" s="1368"/>
      <c r="C60" s="1368"/>
      <c r="D60" s="1375"/>
      <c r="E60" s="1368"/>
      <c r="F60" s="1441"/>
      <c r="G60" s="1368"/>
      <c r="H60" s="1368"/>
      <c r="I60" s="255">
        <f t="shared" si="118"/>
        <v>40885.749072158702</v>
      </c>
      <c r="J60" s="255">
        <f t="shared" si="118"/>
        <v>24653.882658886792</v>
      </c>
      <c r="K60" s="255">
        <f t="shared" si="118"/>
        <v>1127.1444813395888</v>
      </c>
      <c r="L60" s="255">
        <f t="shared" si="118"/>
        <v>2294.5441227270198</v>
      </c>
      <c r="M60" s="1369">
        <f t="shared" si="123"/>
        <v>68961.320335112105</v>
      </c>
      <c r="N60" s="255"/>
      <c r="O60" s="71"/>
      <c r="P60" s="255">
        <f t="shared" si="119"/>
        <v>67309.067501412632</v>
      </c>
      <c r="Q60" s="255">
        <f t="shared" si="119"/>
        <v>40586.998886340873</v>
      </c>
      <c r="R60" s="255">
        <f t="shared" si="119"/>
        <v>1855.5864989640863</v>
      </c>
      <c r="S60" s="255">
        <f t="shared" si="119"/>
        <v>3777.4439443197457</v>
      </c>
      <c r="T60" s="1369">
        <f t="shared" si="124"/>
        <v>113529.09683103733</v>
      </c>
      <c r="U60" s="1370"/>
      <c r="V60" s="255">
        <f t="shared" si="120"/>
        <v>11712.568890349074</v>
      </c>
      <c r="W60" s="255">
        <f t="shared" si="120"/>
        <v>7062.6148623855415</v>
      </c>
      <c r="X60" s="255">
        <f t="shared" si="120"/>
        <v>322.89386122697925</v>
      </c>
      <c r="Y60" s="255">
        <f t="shared" si="120"/>
        <v>657.31964606920758</v>
      </c>
      <c r="Z60" s="1369">
        <f t="shared" si="125"/>
        <v>19755.397260030801</v>
      </c>
      <c r="AA60" s="255"/>
      <c r="AB60" s="255"/>
      <c r="AC60" s="255"/>
      <c r="AD60" s="71"/>
      <c r="AE60" s="255">
        <f t="shared" si="121"/>
        <v>0</v>
      </c>
      <c r="AF60" s="255">
        <f t="shared" si="121"/>
        <v>0</v>
      </c>
      <c r="AG60" s="255">
        <f t="shared" si="121"/>
        <v>0</v>
      </c>
      <c r="AH60" s="255">
        <f t="shared" si="121"/>
        <v>0</v>
      </c>
      <c r="AI60" s="1369">
        <f t="shared" si="126"/>
        <v>0</v>
      </c>
      <c r="AJ60" s="1371"/>
      <c r="AK60" s="255">
        <f t="shared" si="122"/>
        <v>67309.067501412632</v>
      </c>
      <c r="AL60" s="255">
        <f t="shared" si="122"/>
        <v>40586.998886340873</v>
      </c>
      <c r="AM60" s="255">
        <f t="shared" si="122"/>
        <v>1855.5864989640856</v>
      </c>
      <c r="AN60" s="255">
        <f t="shared" si="122"/>
        <v>3777.4439443197457</v>
      </c>
      <c r="AO60" s="1369">
        <f t="shared" si="127"/>
        <v>113529.09683103733</v>
      </c>
      <c r="AP60" s="1369">
        <f t="shared" si="86"/>
        <v>113529.09683103733</v>
      </c>
      <c r="AQ60" s="71"/>
      <c r="AR60" s="71"/>
      <c r="AS60" s="71"/>
      <c r="AT60" s="71"/>
      <c r="AU60" s="71"/>
      <c r="AV60" s="71"/>
      <c r="AW60" s="1370"/>
      <c r="AX60" s="71"/>
      <c r="AY60" s="71"/>
      <c r="AZ60" s="71"/>
      <c r="BA60" s="71"/>
      <c r="BB60" s="71"/>
      <c r="BI60" s="71"/>
      <c r="BJ60" s="71"/>
      <c r="BK60" s="71"/>
      <c r="BL60" s="71"/>
      <c r="BM60" s="71"/>
      <c r="BN60" s="71"/>
      <c r="BO60" s="71"/>
      <c r="BP60" s="71"/>
      <c r="BQ60" s="71"/>
      <c r="BR60" s="71"/>
      <c r="BS60" s="71"/>
      <c r="BT60" s="71"/>
    </row>
    <row r="61" spans="1:72" s="1373" customFormat="1" outlineLevel="2">
      <c r="A61" s="1374" t="s">
        <v>66</v>
      </c>
      <c r="B61" s="1368"/>
      <c r="C61" s="1368"/>
      <c r="D61" s="1375"/>
      <c r="E61" s="1368"/>
      <c r="F61" s="1441"/>
      <c r="G61" s="1368"/>
      <c r="H61" s="1368"/>
      <c r="I61" s="255">
        <f t="shared" si="118"/>
        <v>296618.2493982712</v>
      </c>
      <c r="J61" s="255">
        <f t="shared" si="118"/>
        <v>115335.80761369021</v>
      </c>
      <c r="K61" s="255">
        <f t="shared" si="118"/>
        <v>6623.9840765778908</v>
      </c>
      <c r="L61" s="255">
        <f t="shared" si="118"/>
        <v>13484.53901303356</v>
      </c>
      <c r="M61" s="1369">
        <f t="shared" si="123"/>
        <v>432062.58010157285</v>
      </c>
      <c r="N61" s="255"/>
      <c r="O61" s="71"/>
      <c r="P61" s="255">
        <f t="shared" si="119"/>
        <v>496828.50900637161</v>
      </c>
      <c r="Q61" s="255">
        <f t="shared" si="119"/>
        <v>193184.73306345861</v>
      </c>
      <c r="R61" s="255">
        <f t="shared" si="119"/>
        <v>11095.015694834454</v>
      </c>
      <c r="S61" s="255">
        <f t="shared" si="119"/>
        <v>22586.281950198707</v>
      </c>
      <c r="T61" s="1369">
        <f t="shared" si="124"/>
        <v>723694.53971486329</v>
      </c>
      <c r="U61" s="1370"/>
      <c r="V61" s="255">
        <f t="shared" si="120"/>
        <v>86454.000247506265</v>
      </c>
      <c r="W61" s="255">
        <f t="shared" si="120"/>
        <v>33616.414230103073</v>
      </c>
      <c r="X61" s="255">
        <f t="shared" si="120"/>
        <v>1930.663140780036</v>
      </c>
      <c r="Y61" s="255">
        <f t="shared" si="120"/>
        <v>3930.2785365879295</v>
      </c>
      <c r="Z61" s="1369">
        <f t="shared" si="125"/>
        <v>125931.35615497729</v>
      </c>
      <c r="AA61" s="255"/>
      <c r="AB61" s="255"/>
      <c r="AC61" s="255"/>
      <c r="AD61" s="71"/>
      <c r="AE61" s="255">
        <f t="shared" si="121"/>
        <v>86454.000247506265</v>
      </c>
      <c r="AF61" s="255">
        <f t="shared" si="121"/>
        <v>33616.414230103073</v>
      </c>
      <c r="AG61" s="255">
        <f t="shared" si="121"/>
        <v>1930.663140780036</v>
      </c>
      <c r="AH61" s="255">
        <f t="shared" si="121"/>
        <v>3930.2785365879295</v>
      </c>
      <c r="AI61" s="1369">
        <f t="shared" si="126"/>
        <v>125931.35615497729</v>
      </c>
      <c r="AJ61" s="1371"/>
      <c r="AK61" s="255">
        <f t="shared" si="122"/>
        <v>0</v>
      </c>
      <c r="AL61" s="255">
        <f t="shared" si="122"/>
        <v>0</v>
      </c>
      <c r="AM61" s="255">
        <f t="shared" si="122"/>
        <v>0</v>
      </c>
      <c r="AN61" s="255">
        <f t="shared" si="122"/>
        <v>0</v>
      </c>
      <c r="AO61" s="1369">
        <f t="shared" si="127"/>
        <v>0</v>
      </c>
      <c r="AP61" s="1369">
        <f t="shared" si="86"/>
        <v>125931.35615497729</v>
      </c>
      <c r="AQ61" s="71"/>
      <c r="AR61" s="71"/>
      <c r="AS61" s="71"/>
      <c r="AT61" s="71"/>
      <c r="AU61" s="71"/>
      <c r="AV61" s="71"/>
      <c r="AW61" s="1370"/>
      <c r="AX61" s="71"/>
      <c r="AY61" s="71"/>
      <c r="AZ61" s="71"/>
      <c r="BA61" s="71"/>
      <c r="BB61" s="71"/>
      <c r="BI61" s="71"/>
      <c r="BJ61" s="71"/>
      <c r="BK61" s="71"/>
      <c r="BL61" s="71"/>
      <c r="BM61" s="71"/>
      <c r="BN61" s="71"/>
      <c r="BO61" s="71"/>
      <c r="BP61" s="71"/>
      <c r="BQ61" s="71"/>
      <c r="BR61" s="71"/>
      <c r="BS61" s="71"/>
      <c r="BT61" s="71"/>
    </row>
    <row r="62" spans="1:72" s="1373" customFormat="1" outlineLevel="2">
      <c r="A62" s="1374" t="s">
        <v>328</v>
      </c>
      <c r="B62" s="1368"/>
      <c r="C62" s="1368"/>
      <c r="D62" s="1375"/>
      <c r="E62" s="1368"/>
      <c r="F62" s="1441"/>
      <c r="G62" s="1368"/>
      <c r="H62" s="1368"/>
      <c r="I62" s="255">
        <f t="shared" si="118"/>
        <v>0</v>
      </c>
      <c r="J62" s="255">
        <f t="shared" si="118"/>
        <v>0</v>
      </c>
      <c r="K62" s="255">
        <f t="shared" si="118"/>
        <v>0</v>
      </c>
      <c r="L62" s="255">
        <f t="shared" si="118"/>
        <v>0</v>
      </c>
      <c r="M62" s="1369">
        <f t="shared" si="123"/>
        <v>0</v>
      </c>
      <c r="N62" s="255"/>
      <c r="O62" s="71"/>
      <c r="P62" s="255">
        <f t="shared" si="119"/>
        <v>0</v>
      </c>
      <c r="Q62" s="255">
        <f t="shared" si="119"/>
        <v>0</v>
      </c>
      <c r="R62" s="255">
        <f t="shared" si="119"/>
        <v>0</v>
      </c>
      <c r="S62" s="255">
        <f t="shared" si="119"/>
        <v>0</v>
      </c>
      <c r="T62" s="1369">
        <f t="shared" si="124"/>
        <v>0</v>
      </c>
      <c r="U62" s="1370"/>
      <c r="V62" s="255">
        <f t="shared" si="120"/>
        <v>0</v>
      </c>
      <c r="W62" s="255">
        <f t="shared" si="120"/>
        <v>0</v>
      </c>
      <c r="X62" s="255">
        <f t="shared" si="120"/>
        <v>0</v>
      </c>
      <c r="Y62" s="255">
        <f t="shared" si="120"/>
        <v>0</v>
      </c>
      <c r="Z62" s="1369">
        <f t="shared" si="125"/>
        <v>0</v>
      </c>
      <c r="AA62" s="255"/>
      <c r="AB62" s="255"/>
      <c r="AC62" s="255"/>
      <c r="AD62" s="71"/>
      <c r="AE62" s="255">
        <f t="shared" si="121"/>
        <v>0</v>
      </c>
      <c r="AF62" s="255">
        <f t="shared" si="121"/>
        <v>0</v>
      </c>
      <c r="AG62" s="255">
        <f t="shared" si="121"/>
        <v>0</v>
      </c>
      <c r="AH62" s="255">
        <f t="shared" si="121"/>
        <v>0</v>
      </c>
      <c r="AI62" s="1369">
        <f t="shared" si="126"/>
        <v>0</v>
      </c>
      <c r="AJ62" s="1371"/>
      <c r="AK62" s="255">
        <f t="shared" si="122"/>
        <v>0</v>
      </c>
      <c r="AL62" s="255">
        <f t="shared" si="122"/>
        <v>0</v>
      </c>
      <c r="AM62" s="255">
        <f t="shared" si="122"/>
        <v>0</v>
      </c>
      <c r="AN62" s="255">
        <f t="shared" si="122"/>
        <v>0</v>
      </c>
      <c r="AO62" s="1369">
        <f t="shared" si="127"/>
        <v>0</v>
      </c>
      <c r="AP62" s="1369">
        <f t="shared" si="86"/>
        <v>0</v>
      </c>
      <c r="AQ62" s="71"/>
      <c r="AR62" s="71"/>
      <c r="AS62" s="71"/>
      <c r="AT62" s="71"/>
      <c r="AU62" s="71"/>
      <c r="AV62" s="71"/>
      <c r="AW62" s="1370"/>
      <c r="AX62" s="71"/>
      <c r="AY62" s="71"/>
      <c r="AZ62" s="71"/>
      <c r="BA62" s="71"/>
      <c r="BB62" s="71"/>
      <c r="BI62" s="71"/>
      <c r="BJ62" s="71"/>
      <c r="BK62" s="71"/>
      <c r="BL62" s="71"/>
      <c r="BM62" s="71"/>
      <c r="BN62" s="71"/>
      <c r="BO62" s="71"/>
      <c r="BP62" s="71"/>
      <c r="BQ62" s="71"/>
      <c r="BR62" s="71"/>
      <c r="BS62" s="71"/>
      <c r="BT62" s="71"/>
    </row>
    <row r="63" spans="1:72" ht="40" outlineLevel="2">
      <c r="A63" s="826" t="s">
        <v>760</v>
      </c>
      <c r="B63" s="2"/>
      <c r="C63" s="2"/>
      <c r="D63" s="1061"/>
      <c r="E63" s="2"/>
      <c r="F63" s="508"/>
      <c r="G63" s="2"/>
      <c r="I63" s="169">
        <f>I211*I205*I201*I209*12</f>
        <v>904519.29889267264</v>
      </c>
      <c r="J63" s="169">
        <f t="shared" ref="J63:L63" si="128">J211*J205*J201*J209</f>
        <v>31486.431290567718</v>
      </c>
      <c r="K63" s="169">
        <f t="shared" si="128"/>
        <v>1736.5243923888863</v>
      </c>
      <c r="L63" s="169">
        <f t="shared" si="128"/>
        <v>3535.0675130773748</v>
      </c>
      <c r="M63" s="407">
        <f t="shared" si="123"/>
        <v>941277.32208870666</v>
      </c>
      <c r="N63" s="169"/>
      <c r="P63" s="169">
        <f>P211*P205*P201*P209</f>
        <v>75376.608241056048</v>
      </c>
      <c r="Q63" s="169">
        <f t="shared" ref="Q63:S63" si="129">Q211*Q205*Q201*Q209</f>
        <v>31486.431290567718</v>
      </c>
      <c r="R63" s="169">
        <f t="shared" si="129"/>
        <v>1736.5243923888863</v>
      </c>
      <c r="S63" s="169">
        <f t="shared" si="129"/>
        <v>3535.0675130773748</v>
      </c>
      <c r="T63" s="407">
        <f t="shared" si="124"/>
        <v>112134.63143709004</v>
      </c>
      <c r="U63" s="80"/>
      <c r="V63" s="169">
        <f>V211*V205*V201*V209</f>
        <v>75376.608241056048</v>
      </c>
      <c r="W63" s="169">
        <f t="shared" ref="W63:Y63" si="130">W211*W205*W201*W209</f>
        <v>31486.431290567718</v>
      </c>
      <c r="X63" s="169">
        <f t="shared" si="130"/>
        <v>1736.5243923888863</v>
      </c>
      <c r="Y63" s="169">
        <f t="shared" si="130"/>
        <v>3535.0675130773748</v>
      </c>
      <c r="Z63" s="407">
        <f t="shared" si="125"/>
        <v>112134.63143709004</v>
      </c>
      <c r="AA63" s="169"/>
      <c r="AB63" s="169"/>
      <c r="AC63" s="169"/>
      <c r="AE63" s="169">
        <f>AE211*AE205*AE201*AE209</f>
        <v>66864.94302563768</v>
      </c>
      <c r="AF63" s="169">
        <f t="shared" ref="AF63:AH63" si="131">AF211*AF205*AF201*AF209</f>
        <v>25999.486614697318</v>
      </c>
      <c r="AG63" s="169">
        <f t="shared" si="131"/>
        <v>1493.2065669648348</v>
      </c>
      <c r="AH63" s="169">
        <f t="shared" si="131"/>
        <v>3039.7419398926986</v>
      </c>
      <c r="AI63" s="407">
        <f t="shared" si="126"/>
        <v>97397.378147192532</v>
      </c>
      <c r="AK63" s="169">
        <f>AK211*AK205*AK201*AK209</f>
        <v>8511.6652154183594</v>
      </c>
      <c r="AL63" s="169">
        <f t="shared" ref="AL63:AN63" si="132">AL211*AL205*AL201*AL209</f>
        <v>5486.9446758703943</v>
      </c>
      <c r="AM63" s="169">
        <f t="shared" si="132"/>
        <v>243.31782542405131</v>
      </c>
      <c r="AN63" s="169">
        <f t="shared" si="132"/>
        <v>495.32557318467593</v>
      </c>
      <c r="AO63" s="407">
        <f t="shared" si="127"/>
        <v>14737.253289897482</v>
      </c>
      <c r="AP63" s="1168">
        <f t="shared" si="86"/>
        <v>112134.63143709002</v>
      </c>
      <c r="AW63" s="80"/>
    </row>
    <row r="64" spans="1:72" ht="20" outlineLevel="2">
      <c r="A64" s="826" t="s">
        <v>511</v>
      </c>
      <c r="I64" s="169">
        <f>I7*I203*I202</f>
        <v>37327.5</v>
      </c>
      <c r="J64" s="169">
        <f>J7*J203*J202</f>
        <v>15592.500000000002</v>
      </c>
      <c r="K64" s="169">
        <f>K7*K203*K202</f>
        <v>859.95</v>
      </c>
      <c r="L64" s="169">
        <f>L7*L203*L202</f>
        <v>1750.6125000000002</v>
      </c>
      <c r="M64" s="407">
        <f t="shared" si="123"/>
        <v>55530.5625</v>
      </c>
      <c r="N64" s="169"/>
      <c r="P64" s="169">
        <f>P7*P203*P202</f>
        <v>37327.5</v>
      </c>
      <c r="Q64" s="169">
        <f>Q7*Q203*Q202</f>
        <v>15592.500000000002</v>
      </c>
      <c r="R64" s="169">
        <f>R7*R203*R202</f>
        <v>859.95</v>
      </c>
      <c r="S64" s="169">
        <f>S7*S203*S202</f>
        <v>1750.6125000000002</v>
      </c>
      <c r="T64" s="407">
        <f t="shared" si="124"/>
        <v>55530.5625</v>
      </c>
      <c r="U64" s="80"/>
      <c r="V64" s="169">
        <f>V7*V203*V202</f>
        <v>37327.5</v>
      </c>
      <c r="W64" s="169">
        <f>W7*W203*W202</f>
        <v>15592.500000000002</v>
      </c>
      <c r="X64" s="169">
        <f>X7*X203*X202</f>
        <v>859.95</v>
      </c>
      <c r="Y64" s="169">
        <f>Y7*Y203*Y202</f>
        <v>1750.6125000000002</v>
      </c>
      <c r="Z64" s="407">
        <f t="shared" si="125"/>
        <v>55530.5625</v>
      </c>
      <c r="AA64" s="169"/>
      <c r="AB64" s="169"/>
      <c r="AC64" s="169"/>
      <c r="AE64" s="169">
        <f>AE7*AE203*AE202</f>
        <v>33112.410057076915</v>
      </c>
      <c r="AF64" s="169">
        <f>AF7*AF203*AF202</f>
        <v>12875.291940789473</v>
      </c>
      <c r="AG64" s="169">
        <f>AG7*AG203*AG202</f>
        <v>739.45577320393079</v>
      </c>
      <c r="AH64" s="169">
        <f>AH7*AH203*AH202</f>
        <v>1505.3206811651446</v>
      </c>
      <c r="AI64" s="407">
        <f t="shared" si="126"/>
        <v>48232.478452235468</v>
      </c>
      <c r="AK64" s="169">
        <f>AK7*AK203*AK202</f>
        <v>4215.0899429230867</v>
      </c>
      <c r="AL64" s="169">
        <f>AL7*AL203*AL202</f>
        <v>2717.2080592105267</v>
      </c>
      <c r="AM64" s="169">
        <f>AM7*AM203*AM202</f>
        <v>120.4942267960693</v>
      </c>
      <c r="AN64" s="169">
        <f>AN7*AN203*AN202</f>
        <v>245.29181883485538</v>
      </c>
      <c r="AO64" s="407">
        <f t="shared" si="127"/>
        <v>7298.0840477645388</v>
      </c>
      <c r="AP64" s="1168">
        <f t="shared" si="86"/>
        <v>55530.562500000007</v>
      </c>
      <c r="AW64" s="80"/>
    </row>
    <row r="65" spans="1:72" s="424" customFormat="1" ht="20" outlineLevel="1">
      <c r="A65" s="1115" t="s">
        <v>508</v>
      </c>
      <c r="B65" s="305"/>
      <c r="C65" s="305"/>
      <c r="D65" s="1116"/>
      <c r="E65" s="305"/>
      <c r="F65" s="1439"/>
      <c r="G65" s="305"/>
      <c r="H65" s="1117"/>
      <c r="I65" s="373">
        <f>SUM(I66:I70)</f>
        <v>2905737.5724546942</v>
      </c>
      <c r="J65" s="373">
        <f t="shared" ref="J65:L65" si="133">SUM(J66:J70)</f>
        <v>1233461.6666890811</v>
      </c>
      <c r="K65" s="373">
        <f t="shared" si="133"/>
        <v>67423.329217810126</v>
      </c>
      <c r="L65" s="373">
        <f t="shared" si="133"/>
        <v>137254.63447911345</v>
      </c>
      <c r="M65" s="1091">
        <f t="shared" si="97"/>
        <v>4343877.2028406989</v>
      </c>
      <c r="N65" s="1118"/>
      <c r="O65" s="287"/>
      <c r="P65" s="373">
        <f>SUM(P66:P70)</f>
        <v>4854498.8417818369</v>
      </c>
      <c r="Q65" s="373">
        <f t="shared" ref="Q65:S65" si="134">SUM(Q66:Q70)</f>
        <v>2056709.2650852231</v>
      </c>
      <c r="R65" s="373">
        <f t="shared" si="134"/>
        <v>112543.99204936795</v>
      </c>
      <c r="S65" s="373">
        <f t="shared" si="134"/>
        <v>229107.41238621325</v>
      </c>
      <c r="T65" s="1091">
        <f t="shared" si="124"/>
        <v>7252859.5113026416</v>
      </c>
      <c r="U65" s="1119"/>
      <c r="V65" s="373">
        <f>SUM(V66:V70)</f>
        <v>844739.85784004885</v>
      </c>
      <c r="W65" s="373">
        <f t="shared" ref="W65:Y65" si="135">SUM(W66:W70)</f>
        <v>357891.58651208953</v>
      </c>
      <c r="X65" s="373">
        <f t="shared" si="135"/>
        <v>19583.977449181799</v>
      </c>
      <c r="Y65" s="373">
        <f t="shared" si="135"/>
        <v>39867.382664405799</v>
      </c>
      <c r="Z65" s="1091">
        <f t="shared" si="125"/>
        <v>1262082.8044657258</v>
      </c>
      <c r="AA65" s="1118"/>
      <c r="AB65" s="1118"/>
      <c r="AC65" s="1118"/>
      <c r="AD65" s="287"/>
      <c r="AE65" s="373">
        <f>SUM(AE66:AE70)</f>
        <v>735613.35277783091</v>
      </c>
      <c r="AF65" s="373">
        <f t="shared" ref="AF65:AH65" si="136">SUM(AF66:AF70)</f>
        <v>286032.83953755273</v>
      </c>
      <c r="AG65" s="373">
        <f t="shared" si="136"/>
        <v>16427.482615123357</v>
      </c>
      <c r="AH65" s="373">
        <f t="shared" si="136"/>
        <v>33441.661037929684</v>
      </c>
      <c r="AI65" s="1091">
        <f t="shared" si="126"/>
        <v>1071515.3359684367</v>
      </c>
      <c r="AJ65" s="286"/>
      <c r="AK65" s="373">
        <f>SUM(AK66:AK70)</f>
        <v>627121.45936476626</v>
      </c>
      <c r="AL65" s="373">
        <f t="shared" ref="AL65:AN65" si="137">SUM(AL66:AL70)</f>
        <v>412953.40893673722</v>
      </c>
      <c r="AM65" s="373">
        <f t="shared" si="137"/>
        <v>18139.549559325402</v>
      </c>
      <c r="AN65" s="373">
        <f t="shared" si="137"/>
        <v>36926.940174340998</v>
      </c>
      <c r="AO65" s="1091">
        <f t="shared" si="127"/>
        <v>1095141.3580351698</v>
      </c>
      <c r="AP65" s="1091">
        <f>AO65+AI65</f>
        <v>2166656.6940036062</v>
      </c>
      <c r="AQ65" s="287"/>
      <c r="AR65" s="287"/>
      <c r="AS65" s="287"/>
      <c r="AT65" s="287"/>
      <c r="AU65" s="287"/>
      <c r="AV65" s="287"/>
      <c r="AW65" s="1119"/>
      <c r="AX65" s="287"/>
      <c r="AY65" s="287"/>
      <c r="AZ65" s="287"/>
      <c r="BA65" s="287"/>
      <c r="BB65" s="287"/>
      <c r="BI65" s="287"/>
      <c r="BJ65" s="287"/>
      <c r="BK65" s="287"/>
      <c r="BL65" s="287"/>
      <c r="BM65" s="287"/>
      <c r="BN65" s="287"/>
      <c r="BO65" s="287"/>
      <c r="BP65" s="287"/>
      <c r="BQ65" s="287"/>
      <c r="BR65" s="287"/>
      <c r="BS65" s="287"/>
      <c r="BT65" s="287"/>
    </row>
    <row r="66" spans="1:72" outlineLevel="2">
      <c r="A66" s="39" t="s">
        <v>327</v>
      </c>
      <c r="B66" s="2"/>
      <c r="C66" s="2"/>
      <c r="D66" s="1061"/>
      <c r="E66" s="2"/>
      <c r="F66" s="508"/>
      <c r="G66" s="2"/>
      <c r="I66" s="169">
        <f t="shared" ref="I66:L70" si="138">I22*I167*I$199</f>
        <v>635.75750603202562</v>
      </c>
      <c r="J66" s="169">
        <f t="shared" si="138"/>
        <v>4191.801581541311</v>
      </c>
      <c r="K66" s="169">
        <f t="shared" si="138"/>
        <v>110.64825383187325</v>
      </c>
      <c r="L66" s="169">
        <f t="shared" si="138"/>
        <v>225.24823101488477</v>
      </c>
      <c r="M66" s="407">
        <f>SUM(I66:L66)</f>
        <v>5163.4555724200945</v>
      </c>
      <c r="N66" s="169"/>
      <c r="P66" s="169">
        <f t="shared" ref="P66:S70" si="139">P22*P167*P$199</f>
        <v>997.59725449614859</v>
      </c>
      <c r="Q66" s="169">
        <f t="shared" si="139"/>
        <v>6577.5546642583822</v>
      </c>
      <c r="R66" s="169">
        <f t="shared" si="139"/>
        <v>173.62342275186495</v>
      </c>
      <c r="S66" s="169">
        <f t="shared" si="139"/>
        <v>353.44768203058214</v>
      </c>
      <c r="T66" s="407">
        <f>SUM(P66:S66)</f>
        <v>8102.223023536978</v>
      </c>
      <c r="U66" s="80"/>
      <c r="V66" s="169">
        <f t="shared" ref="V66:Y70" si="140">V22*V167*V$199</f>
        <v>173.59364795633243</v>
      </c>
      <c r="W66" s="169">
        <f t="shared" si="140"/>
        <v>1144.5718236038006</v>
      </c>
      <c r="X66" s="169">
        <f t="shared" si="140"/>
        <v>30.212516313893961</v>
      </c>
      <c r="Y66" s="169">
        <f t="shared" si="140"/>
        <v>61.504051067569854</v>
      </c>
      <c r="Z66" s="407">
        <f>SUM(V66:Y66)</f>
        <v>1409.8820389415969</v>
      </c>
      <c r="AA66" s="169"/>
      <c r="AB66" s="169"/>
      <c r="AC66" s="169"/>
      <c r="AE66" s="169">
        <f t="shared" ref="AE66:AH70" si="141">AE22*AE167*AE$199</f>
        <v>0</v>
      </c>
      <c r="AF66" s="169">
        <f t="shared" si="141"/>
        <v>0</v>
      </c>
      <c r="AG66" s="169">
        <f t="shared" si="141"/>
        <v>0</v>
      </c>
      <c r="AH66" s="169">
        <f t="shared" si="141"/>
        <v>0</v>
      </c>
      <c r="AI66" s="169">
        <f>SUM(AE66:AH66)</f>
        <v>0</v>
      </c>
      <c r="AK66" s="169">
        <f t="shared" ref="AK66:AN70" si="142">AK22*AK167*AK$199</f>
        <v>997.59725449614882</v>
      </c>
      <c r="AL66" s="169">
        <f t="shared" si="142"/>
        <v>6577.5546642583831</v>
      </c>
      <c r="AM66" s="169">
        <f t="shared" si="142"/>
        <v>173.62342275186487</v>
      </c>
      <c r="AN66" s="169">
        <f t="shared" si="142"/>
        <v>353.4476820305822</v>
      </c>
      <c r="AO66" s="371">
        <f>SUM(AK66:AN66)</f>
        <v>8102.2230235369789</v>
      </c>
      <c r="AP66" s="406">
        <f t="shared" si="86"/>
        <v>8102.2230235369789</v>
      </c>
      <c r="AW66" s="80"/>
    </row>
    <row r="67" spans="1:72" outlineLevel="2">
      <c r="A67" s="39" t="s">
        <v>429</v>
      </c>
      <c r="B67" s="2"/>
      <c r="C67" s="2"/>
      <c r="D67" s="1061"/>
      <c r="E67" s="2"/>
      <c r="F67" s="508"/>
      <c r="G67" s="2"/>
      <c r="I67" s="169">
        <f t="shared" si="138"/>
        <v>33372.951275656771</v>
      </c>
      <c r="J67" s="169">
        <f t="shared" si="138"/>
        <v>38136.023747655876</v>
      </c>
      <c r="K67" s="169">
        <f t="shared" si="138"/>
        <v>1360.4560816352605</v>
      </c>
      <c r="L67" s="169">
        <f t="shared" si="138"/>
        <v>2769.4998804717798</v>
      </c>
      <c r="M67" s="407">
        <f t="shared" ref="M67:M70" si="143">SUM(I67:L67)</f>
        <v>75638.930985419676</v>
      </c>
      <c r="N67" s="169"/>
      <c r="P67" s="169">
        <f t="shared" si="139"/>
        <v>53409.485964422645</v>
      </c>
      <c r="Q67" s="169">
        <f t="shared" si="139"/>
        <v>61032.223619222939</v>
      </c>
      <c r="R67" s="169">
        <f t="shared" si="139"/>
        <v>2177.2500549063866</v>
      </c>
      <c r="S67" s="169">
        <f t="shared" si="139"/>
        <v>4432.2590403451431</v>
      </c>
      <c r="T67" s="407">
        <f t="shared" ref="T67:T70" si="144">SUM(P67:S67)</f>
        <v>121051.21867889712</v>
      </c>
      <c r="U67" s="80"/>
      <c r="V67" s="169">
        <f t="shared" si="140"/>
        <v>9293.8783284035762</v>
      </c>
      <c r="W67" s="169">
        <f t="shared" si="140"/>
        <v>10620.324277354399</v>
      </c>
      <c r="X67" s="169">
        <f t="shared" si="140"/>
        <v>378.86710076725029</v>
      </c>
      <c r="Y67" s="169">
        <f t="shared" si="140"/>
        <v>771.26516941904538</v>
      </c>
      <c r="Z67" s="407">
        <f t="shared" ref="Z67:Z70" si="145">SUM(V67:Y67)</f>
        <v>21064.334875944271</v>
      </c>
      <c r="AA67" s="169"/>
      <c r="AB67" s="169"/>
      <c r="AC67" s="169"/>
      <c r="AE67" s="169">
        <f t="shared" si="141"/>
        <v>0</v>
      </c>
      <c r="AF67" s="169">
        <f t="shared" si="141"/>
        <v>0</v>
      </c>
      <c r="AG67" s="169">
        <f t="shared" si="141"/>
        <v>0</v>
      </c>
      <c r="AH67" s="169">
        <f t="shared" si="141"/>
        <v>0</v>
      </c>
      <c r="AI67" s="169">
        <f t="shared" ref="AI67:AI70" si="146">SUM(AE67:AH67)</f>
        <v>0</v>
      </c>
      <c r="AK67" s="169">
        <f t="shared" si="142"/>
        <v>53409.485964422653</v>
      </c>
      <c r="AL67" s="169">
        <f t="shared" si="142"/>
        <v>61032.223619222939</v>
      </c>
      <c r="AM67" s="169">
        <f t="shared" si="142"/>
        <v>2177.2500549063861</v>
      </c>
      <c r="AN67" s="169">
        <f t="shared" si="142"/>
        <v>4432.2590403451431</v>
      </c>
      <c r="AO67" s="371">
        <f t="shared" ref="AO67:AO70" si="147">SUM(AK67:AN67)</f>
        <v>121051.21867889713</v>
      </c>
      <c r="AP67" s="406">
        <f t="shared" si="86"/>
        <v>121051.21867889713</v>
      </c>
      <c r="AW67" s="80"/>
    </row>
    <row r="68" spans="1:72" outlineLevel="2">
      <c r="A68" s="39" t="s">
        <v>65</v>
      </c>
      <c r="B68" s="2"/>
      <c r="C68" s="2"/>
      <c r="D68" s="1061"/>
      <c r="E68" s="2"/>
      <c r="F68" s="508"/>
      <c r="G68" s="2"/>
      <c r="I68" s="169">
        <f t="shared" si="138"/>
        <v>347885.61396465037</v>
      </c>
      <c r="J68" s="169">
        <f t="shared" si="138"/>
        <v>209773.11899709416</v>
      </c>
      <c r="K68" s="169">
        <f t="shared" si="138"/>
        <v>9590.5629422527563</v>
      </c>
      <c r="L68" s="169">
        <f t="shared" si="138"/>
        <v>19523.645989585966</v>
      </c>
      <c r="M68" s="407">
        <f t="shared" si="143"/>
        <v>586772.94189358328</v>
      </c>
      <c r="N68" s="169"/>
      <c r="P68" s="169">
        <f t="shared" si="139"/>
        <v>572714.37614584737</v>
      </c>
      <c r="Q68" s="169">
        <f t="shared" si="139"/>
        <v>345343.63065325591</v>
      </c>
      <c r="R68" s="169">
        <f t="shared" si="139"/>
        <v>15788.676081667158</v>
      </c>
      <c r="S68" s="169">
        <f t="shared" si="139"/>
        <v>32141.233451965272</v>
      </c>
      <c r="T68" s="407">
        <f t="shared" si="144"/>
        <v>965987.91633273568</v>
      </c>
      <c r="U68" s="80"/>
      <c r="V68" s="169">
        <f t="shared" si="140"/>
        <v>99659.033085857998</v>
      </c>
      <c r="W68" s="169">
        <f t="shared" si="140"/>
        <v>60093.85087357858</v>
      </c>
      <c r="X68" s="169">
        <f t="shared" si="140"/>
        <v>2747.4152169772988</v>
      </c>
      <c r="Y68" s="169">
        <f t="shared" si="140"/>
        <v>5592.9524059895002</v>
      </c>
      <c r="Z68" s="407">
        <f t="shared" si="145"/>
        <v>168093.25158240338</v>
      </c>
      <c r="AA68" s="169"/>
      <c r="AB68" s="169"/>
      <c r="AC68" s="169"/>
      <c r="AE68" s="169">
        <f t="shared" si="141"/>
        <v>0</v>
      </c>
      <c r="AF68" s="169">
        <f t="shared" si="141"/>
        <v>0</v>
      </c>
      <c r="AG68" s="169">
        <f t="shared" si="141"/>
        <v>0</v>
      </c>
      <c r="AH68" s="169">
        <f t="shared" si="141"/>
        <v>0</v>
      </c>
      <c r="AI68" s="169">
        <f t="shared" si="146"/>
        <v>0</v>
      </c>
      <c r="AK68" s="169">
        <f t="shared" si="142"/>
        <v>572714.37614584749</v>
      </c>
      <c r="AL68" s="169">
        <f t="shared" si="142"/>
        <v>345343.63065325591</v>
      </c>
      <c r="AM68" s="169">
        <f t="shared" si="142"/>
        <v>15788.676081667152</v>
      </c>
      <c r="AN68" s="169">
        <f t="shared" si="142"/>
        <v>32141.233451965272</v>
      </c>
      <c r="AO68" s="371">
        <f t="shared" si="147"/>
        <v>965987.91633273591</v>
      </c>
      <c r="AP68" s="406">
        <f t="shared" si="86"/>
        <v>965987.91633273591</v>
      </c>
      <c r="AW68" s="80"/>
    </row>
    <row r="69" spans="1:72" outlineLevel="2">
      <c r="A69" s="39" t="s">
        <v>66</v>
      </c>
      <c r="B69" s="2"/>
      <c r="C69" s="2"/>
      <c r="D69" s="1061"/>
      <c r="E69" s="2"/>
      <c r="F69" s="508"/>
      <c r="G69" s="2"/>
      <c r="I69" s="169">
        <f t="shared" si="138"/>
        <v>2523843.2497083549</v>
      </c>
      <c r="J69" s="169">
        <f t="shared" si="138"/>
        <v>981360.72236278967</v>
      </c>
      <c r="K69" s="169">
        <f t="shared" si="138"/>
        <v>56361.661940090242</v>
      </c>
      <c r="L69" s="169">
        <f t="shared" si="138"/>
        <v>114736.24037804082</v>
      </c>
      <c r="M69" s="407">
        <f t="shared" si="143"/>
        <v>3676301.8743892759</v>
      </c>
      <c r="N69" s="169"/>
      <c r="P69" s="169">
        <f t="shared" si="139"/>
        <v>4227377.3824170707</v>
      </c>
      <c r="Q69" s="169">
        <f t="shared" si="139"/>
        <v>1643755.856148486</v>
      </c>
      <c r="R69" s="169">
        <f t="shared" si="139"/>
        <v>94404.442490042551</v>
      </c>
      <c r="S69" s="169">
        <f t="shared" si="139"/>
        <v>192180.47221187226</v>
      </c>
      <c r="T69" s="407">
        <f t="shared" si="144"/>
        <v>6157718.1532674711</v>
      </c>
      <c r="U69" s="80"/>
      <c r="V69" s="169">
        <f t="shared" si="140"/>
        <v>735613.35277783091</v>
      </c>
      <c r="W69" s="169">
        <f t="shared" si="140"/>
        <v>286032.83953755273</v>
      </c>
      <c r="X69" s="169">
        <f t="shared" si="140"/>
        <v>16427.482615123357</v>
      </c>
      <c r="Y69" s="169">
        <f t="shared" si="140"/>
        <v>33441.661037929684</v>
      </c>
      <c r="Z69" s="407">
        <f t="shared" si="145"/>
        <v>1071515.3359684367</v>
      </c>
      <c r="AA69" s="169"/>
      <c r="AB69" s="169"/>
      <c r="AC69" s="169"/>
      <c r="AE69" s="169">
        <f t="shared" si="141"/>
        <v>735613.35277783091</v>
      </c>
      <c r="AF69" s="169">
        <f t="shared" si="141"/>
        <v>286032.83953755273</v>
      </c>
      <c r="AG69" s="169">
        <f t="shared" si="141"/>
        <v>16427.482615123357</v>
      </c>
      <c r="AH69" s="169">
        <f t="shared" si="141"/>
        <v>33441.661037929684</v>
      </c>
      <c r="AI69" s="169">
        <f t="shared" si="146"/>
        <v>1071515.3359684367</v>
      </c>
      <c r="AK69" s="169">
        <f t="shared" si="142"/>
        <v>0</v>
      </c>
      <c r="AL69" s="169">
        <f t="shared" si="142"/>
        <v>0</v>
      </c>
      <c r="AM69" s="169">
        <f t="shared" si="142"/>
        <v>0</v>
      </c>
      <c r="AN69" s="169">
        <f t="shared" si="142"/>
        <v>0</v>
      </c>
      <c r="AO69" s="371">
        <f t="shared" si="147"/>
        <v>0</v>
      </c>
      <c r="AP69" s="406">
        <f t="shared" si="86"/>
        <v>1071515.3359684367</v>
      </c>
      <c r="AW69" s="80"/>
    </row>
    <row r="70" spans="1:72" outlineLevel="2">
      <c r="A70" s="39" t="s">
        <v>328</v>
      </c>
      <c r="B70" s="2"/>
      <c r="C70" s="2"/>
      <c r="D70" s="1061"/>
      <c r="E70" s="2"/>
      <c r="F70" s="508"/>
      <c r="G70" s="2"/>
      <c r="I70" s="169">
        <f t="shared" si="138"/>
        <v>0</v>
      </c>
      <c r="J70" s="169">
        <f t="shared" si="138"/>
        <v>0</v>
      </c>
      <c r="K70" s="169">
        <f t="shared" si="138"/>
        <v>0</v>
      </c>
      <c r="L70" s="169">
        <f t="shared" si="138"/>
        <v>0</v>
      </c>
      <c r="M70" s="407">
        <f t="shared" si="143"/>
        <v>0</v>
      </c>
      <c r="N70" s="169"/>
      <c r="P70" s="169">
        <f t="shared" si="139"/>
        <v>0</v>
      </c>
      <c r="Q70" s="169">
        <f t="shared" si="139"/>
        <v>0</v>
      </c>
      <c r="R70" s="169">
        <f t="shared" si="139"/>
        <v>0</v>
      </c>
      <c r="S70" s="169">
        <f t="shared" si="139"/>
        <v>0</v>
      </c>
      <c r="T70" s="407">
        <f t="shared" si="144"/>
        <v>0</v>
      </c>
      <c r="U70" s="80"/>
      <c r="V70" s="169">
        <f t="shared" si="140"/>
        <v>0</v>
      </c>
      <c r="W70" s="169">
        <f t="shared" si="140"/>
        <v>0</v>
      </c>
      <c r="X70" s="169">
        <f t="shared" si="140"/>
        <v>0</v>
      </c>
      <c r="Y70" s="169">
        <f t="shared" si="140"/>
        <v>0</v>
      </c>
      <c r="Z70" s="407">
        <f t="shared" si="145"/>
        <v>0</v>
      </c>
      <c r="AA70" s="169"/>
      <c r="AB70" s="169"/>
      <c r="AC70" s="169"/>
      <c r="AE70" s="169">
        <f t="shared" si="141"/>
        <v>0</v>
      </c>
      <c r="AF70" s="169">
        <f t="shared" si="141"/>
        <v>0</v>
      </c>
      <c r="AG70" s="169">
        <f t="shared" si="141"/>
        <v>0</v>
      </c>
      <c r="AH70" s="169">
        <f t="shared" si="141"/>
        <v>0</v>
      </c>
      <c r="AI70" s="169">
        <f t="shared" si="146"/>
        <v>0</v>
      </c>
      <c r="AK70" s="169">
        <f t="shared" si="142"/>
        <v>0</v>
      </c>
      <c r="AL70" s="169">
        <f t="shared" si="142"/>
        <v>0</v>
      </c>
      <c r="AM70" s="169">
        <f t="shared" si="142"/>
        <v>0</v>
      </c>
      <c r="AN70" s="169">
        <f t="shared" si="142"/>
        <v>0</v>
      </c>
      <c r="AO70" s="371">
        <f t="shared" si="147"/>
        <v>0</v>
      </c>
      <c r="AP70" s="406">
        <f t="shared" si="86"/>
        <v>0</v>
      </c>
      <c r="AW70" s="80"/>
    </row>
    <row r="71" spans="1:72" s="1181" customFormat="1" ht="20" outlineLevel="1">
      <c r="A71" s="1176" t="s">
        <v>501</v>
      </c>
      <c r="B71" s="103"/>
      <c r="C71" s="103"/>
      <c r="D71" s="1177"/>
      <c r="E71" s="103"/>
      <c r="F71" s="1325"/>
      <c r="G71" s="103"/>
      <c r="H71" s="257"/>
      <c r="I71" s="275">
        <f>I21*I214</f>
        <v>4323342.0688575087</v>
      </c>
      <c r="J71" s="275">
        <f>J21*J214</f>
        <v>1805953.0161050353</v>
      </c>
      <c r="K71" s="275">
        <f>K21*K214</f>
        <v>99601.04513064136</v>
      </c>
      <c r="L71" s="275">
        <f>L21*L214</f>
        <v>202759.27044451988</v>
      </c>
      <c r="M71" s="1178">
        <f>SUM(I71:L71)</f>
        <v>6431655.400537705</v>
      </c>
      <c r="N71" s="276"/>
      <c r="O71" s="25"/>
      <c r="P71" s="275">
        <f>P21*P214</f>
        <v>0</v>
      </c>
      <c r="Q71" s="275">
        <f>Q21*Q214</f>
        <v>0</v>
      </c>
      <c r="R71" s="275">
        <f>R21*R214</f>
        <v>0</v>
      </c>
      <c r="S71" s="275">
        <f>S21*S214</f>
        <v>0</v>
      </c>
      <c r="T71" s="1178">
        <f>SUM(P71:S71)</f>
        <v>0</v>
      </c>
      <c r="U71" s="277"/>
      <c r="V71" s="275">
        <f>V19*V214</f>
        <v>0</v>
      </c>
      <c r="W71" s="275">
        <f>W19*W214</f>
        <v>0</v>
      </c>
      <c r="X71" s="275">
        <f>X19*X214</f>
        <v>0</v>
      </c>
      <c r="Y71" s="275">
        <f>Y19*Y214</f>
        <v>0</v>
      </c>
      <c r="Z71" s="1312">
        <f>SUM(V71:Y71)</f>
        <v>0</v>
      </c>
      <c r="AA71" s="275"/>
      <c r="AB71" s="275"/>
      <c r="AC71" s="275"/>
      <c r="AD71" s="25"/>
      <c r="AE71" s="275">
        <f>AE19*AE214</f>
        <v>0</v>
      </c>
      <c r="AF71" s="275">
        <f>AF19*AF214</f>
        <v>0</v>
      </c>
      <c r="AG71" s="275">
        <f>AG19*AG214</f>
        <v>0</v>
      </c>
      <c r="AH71" s="275">
        <f>AH19*AH214</f>
        <v>0</v>
      </c>
      <c r="AI71" s="275">
        <f>SUM(AE71:AH71)</f>
        <v>0</v>
      </c>
      <c r="AJ71" s="1179"/>
      <c r="AK71" s="275">
        <f>AK21*AK214</f>
        <v>0</v>
      </c>
      <c r="AL71" s="275">
        <f>AL21*AL214</f>
        <v>0</v>
      </c>
      <c r="AM71" s="275">
        <f>AM21*AM214</f>
        <v>0</v>
      </c>
      <c r="AN71" s="275">
        <f>AN21*AN214</f>
        <v>0</v>
      </c>
      <c r="AO71" s="1180">
        <f>SUM(AK71:AN71)</f>
        <v>0</v>
      </c>
      <c r="AP71" s="406">
        <f t="shared" si="86"/>
        <v>0</v>
      </c>
      <c r="AQ71" s="25"/>
      <c r="AR71" s="25"/>
      <c r="AS71" s="25"/>
      <c r="AT71" s="25"/>
      <c r="AU71" s="25"/>
      <c r="AV71" s="25"/>
      <c r="AW71" s="277"/>
      <c r="AX71" s="25"/>
      <c r="AY71" s="25"/>
      <c r="AZ71" s="25"/>
      <c r="BA71" s="25"/>
      <c r="BB71" s="25"/>
      <c r="BI71" s="25"/>
      <c r="BJ71" s="25"/>
      <c r="BK71" s="25"/>
      <c r="BL71" s="25"/>
      <c r="BM71" s="25"/>
      <c r="BN71" s="25"/>
      <c r="BO71" s="25"/>
      <c r="BP71" s="25"/>
      <c r="BQ71" s="25"/>
      <c r="BR71" s="25"/>
      <c r="BS71" s="25"/>
      <c r="BT71" s="25"/>
    </row>
    <row r="72" spans="1:72" outlineLevel="1">
      <c r="A72" s="13"/>
      <c r="B72" s="13"/>
      <c r="C72" s="13"/>
      <c r="D72" s="13"/>
      <c r="E72" s="13"/>
      <c r="F72" s="297"/>
      <c r="G72" s="13"/>
      <c r="I72" s="169"/>
      <c r="J72" s="169"/>
      <c r="K72" s="169"/>
      <c r="L72" s="169"/>
      <c r="M72" s="406"/>
      <c r="N72" s="671"/>
      <c r="P72" s="169"/>
      <c r="Q72" s="169"/>
      <c r="R72" s="169"/>
      <c r="S72" s="169"/>
      <c r="T72" s="406"/>
      <c r="U72" s="80"/>
      <c r="V72" s="169"/>
      <c r="W72" s="169"/>
      <c r="X72" s="169"/>
      <c r="Y72" s="169"/>
      <c r="Z72" s="407"/>
      <c r="AA72" s="169"/>
      <c r="AB72" s="169"/>
      <c r="AC72" s="169"/>
      <c r="AE72" s="169"/>
      <c r="AF72" s="169"/>
      <c r="AG72" s="169"/>
      <c r="AH72" s="169"/>
      <c r="AI72" s="169"/>
      <c r="AJ72" s="1"/>
      <c r="AK72" s="169"/>
      <c r="AL72" s="169"/>
      <c r="AM72" s="169"/>
      <c r="AN72" s="169"/>
      <c r="AO72" s="671"/>
      <c r="AP72" s="406"/>
      <c r="AW72" s="80"/>
    </row>
    <row r="73" spans="1:72" outlineLevel="1"/>
    <row r="74" spans="1:72" outlineLevel="1">
      <c r="A74" s="13"/>
      <c r="B74" s="13"/>
      <c r="C74" s="13"/>
      <c r="D74" s="13"/>
      <c r="E74" s="13"/>
      <c r="F74" s="297"/>
      <c r="G74" s="13"/>
      <c r="I74" s="169"/>
      <c r="J74" s="169"/>
      <c r="K74" s="169"/>
      <c r="L74" s="169"/>
      <c r="M74" s="406"/>
      <c r="N74" s="671"/>
      <c r="P74" s="169"/>
      <c r="Q74" s="169"/>
      <c r="R74" s="169"/>
      <c r="S74" s="169"/>
      <c r="T74" s="406"/>
      <c r="U74" s="80"/>
      <c r="V74" s="169"/>
      <c r="W74" s="169"/>
      <c r="X74" s="169"/>
      <c r="Y74" s="169"/>
      <c r="Z74" s="407"/>
      <c r="AA74" s="169"/>
      <c r="AB74" s="169"/>
      <c r="AC74" s="169"/>
      <c r="AE74" s="169"/>
      <c r="AF74" s="169"/>
      <c r="AG74" s="169"/>
      <c r="AH74" s="169"/>
      <c r="AI74" s="169"/>
      <c r="AJ74" s="1"/>
      <c r="AK74" s="169"/>
      <c r="AL74" s="169"/>
      <c r="AM74" s="169"/>
      <c r="AN74" s="169"/>
      <c r="AO74" s="671"/>
      <c r="AP74" s="406"/>
      <c r="AW74" s="80"/>
    </row>
    <row r="75" spans="1:72" s="1185" customFormat="1" ht="60" outlineLevel="1">
      <c r="A75" s="1182" t="s">
        <v>614</v>
      </c>
      <c r="B75" s="1183"/>
      <c r="C75" s="1183"/>
      <c r="D75" s="1184"/>
      <c r="E75" s="1183"/>
      <c r="F75" s="1442"/>
      <c r="G75" s="1183"/>
      <c r="I75" s="1186">
        <f>I44-I50</f>
        <v>11769031.779313654</v>
      </c>
      <c r="J75" s="1186">
        <f>J44-J50</f>
        <v>5691365.0242081545</v>
      </c>
      <c r="K75" s="1186">
        <f>K44-K50</f>
        <v>300722.05632362468</v>
      </c>
      <c r="L75" s="1186">
        <f>L44-L50</f>
        <v>612184.1860873783</v>
      </c>
      <c r="M75" s="1187">
        <f t="shared" si="97"/>
        <v>18373303.045932811</v>
      </c>
      <c r="N75" s="1188"/>
      <c r="O75" s="1188"/>
      <c r="P75" s="1186">
        <f>P44-P50</f>
        <v>52897943.912893027</v>
      </c>
      <c r="Q75" s="1186">
        <f>Q44-Q50</f>
        <v>22734005.698276524</v>
      </c>
      <c r="R75" s="1186">
        <f>R44-R50</f>
        <v>1234246.6932201225</v>
      </c>
      <c r="S75" s="1186">
        <f>S44-S50</f>
        <v>2512573.6254838202</v>
      </c>
      <c r="T75" s="1187">
        <f t="shared" ref="T75" si="148">SUM(P75:S75)</f>
        <v>79378769.929873496</v>
      </c>
      <c r="U75" s="1188"/>
      <c r="V75" s="1186">
        <f>V44-V50</f>
        <v>12763302.359745238</v>
      </c>
      <c r="W75" s="1186">
        <f>W44-W50</f>
        <v>5442420.4824364334</v>
      </c>
      <c r="X75" s="1186">
        <f>X44-X50</f>
        <v>296752.64472390735</v>
      </c>
      <c r="Y75" s="1186">
        <f>Y44-Y50</f>
        <v>604103.59818795417</v>
      </c>
      <c r="Z75" s="1187">
        <f t="shared" ref="Z75" si="149">SUM(V75:Y75)</f>
        <v>19106579.085093532</v>
      </c>
      <c r="AA75" s="1189"/>
      <c r="AB75" s="1189"/>
      <c r="AC75" s="1189"/>
      <c r="AD75" s="1188"/>
      <c r="AE75" s="1186">
        <f>AE44-AE50</f>
        <v>11056397.330705008</v>
      </c>
      <c r="AF75" s="1186">
        <f>AF44-AF50</f>
        <v>4299123.597491446</v>
      </c>
      <c r="AG75" s="1186">
        <f>AG44-AG50</f>
        <v>246907.93641820707</v>
      </c>
      <c r="AH75" s="1186">
        <f>AH44-AH50</f>
        <v>502634.01342277875</v>
      </c>
      <c r="AI75" s="1190">
        <f t="shared" si="78"/>
        <v>16105062.878037438</v>
      </c>
      <c r="AJ75" s="1191"/>
      <c r="AK75" s="1186">
        <f>AK44-AK50</f>
        <v>7499950.9872896951</v>
      </c>
      <c r="AL75" s="1186">
        <f>AL44-AL50</f>
        <v>5081638.7628738917</v>
      </c>
      <c r="AM75" s="1186">
        <f>AM44-AM50</f>
        <v>220433.20447547245</v>
      </c>
      <c r="AN75" s="1186">
        <f>AN44-AN50</f>
        <v>448739.02339649753</v>
      </c>
      <c r="AO75" s="1192">
        <f t="shared" ref="AO75" si="150">SUM(AK75:AN75)</f>
        <v>13250761.978035556</v>
      </c>
      <c r="AP75" s="1187">
        <f>AO75+AI75</f>
        <v>29355824.856072992</v>
      </c>
      <c r="AQ75" s="1188"/>
      <c r="AR75" s="1188"/>
      <c r="AS75" s="1188"/>
      <c r="AT75" s="1188"/>
      <c r="AU75" s="1188"/>
      <c r="AV75" s="1188"/>
      <c r="AW75" s="1188"/>
      <c r="AX75" s="1188"/>
      <c r="AY75" s="1188"/>
      <c r="AZ75" s="1188"/>
      <c r="BA75" s="1188"/>
      <c r="BB75" s="1188"/>
      <c r="BI75" s="1188"/>
      <c r="BJ75" s="1188"/>
      <c r="BK75" s="1188"/>
      <c r="BL75" s="1188"/>
      <c r="BM75" s="1188"/>
      <c r="BN75" s="1188"/>
      <c r="BO75" s="1188"/>
      <c r="BP75" s="1188"/>
      <c r="BQ75" s="1188"/>
      <c r="BR75" s="1188"/>
      <c r="BS75" s="1188"/>
      <c r="BT75" s="1188"/>
    </row>
    <row r="76" spans="1:72" outlineLevel="1">
      <c r="I76" s="139"/>
      <c r="AP76" s="406"/>
    </row>
    <row r="77" spans="1:72" s="679" customFormat="1" ht="60" outlineLevel="1">
      <c r="A77" s="568" t="s">
        <v>613</v>
      </c>
      <c r="B77" s="932"/>
      <c r="C77" s="932"/>
      <c r="D77" s="1065"/>
      <c r="E77" s="932"/>
      <c r="F77" s="1436"/>
      <c r="G77" s="932"/>
      <c r="I77" s="492">
        <f>I19*I186</f>
        <v>0</v>
      </c>
      <c r="J77" s="492">
        <f>J19*J186</f>
        <v>0</v>
      </c>
      <c r="K77" s="492">
        <f>K6*K186</f>
        <v>5200000.0000000093</v>
      </c>
      <c r="L77" s="492">
        <f>L6*L186</f>
        <v>49320000</v>
      </c>
      <c r="M77" s="674">
        <f>SUM(I77:L77)</f>
        <v>54520000.000000007</v>
      </c>
      <c r="N77" s="677"/>
      <c r="O77" s="493"/>
      <c r="P77" s="492">
        <f>P21*P187</f>
        <v>31734787.267364468</v>
      </c>
      <c r="Q77" s="492">
        <f>Q21*Q187</f>
        <v>13256303.542063639</v>
      </c>
      <c r="R77" s="492">
        <f>R6*R186</f>
        <v>6240000.0000000112</v>
      </c>
      <c r="S77" s="492">
        <f>S6*S186</f>
        <v>59184000</v>
      </c>
      <c r="T77" s="674">
        <f>SUM(P77:S77)</f>
        <v>110415090.80942813</v>
      </c>
      <c r="U77" s="494"/>
      <c r="V77" s="492">
        <f>V21*V187</f>
        <v>5522225.9925347818</v>
      </c>
      <c r="W77" s="492">
        <f>W21*W187</f>
        <v>2306752.6297930097</v>
      </c>
      <c r="X77" s="492">
        <f>X6*X186</f>
        <v>6240000.0000000112</v>
      </c>
      <c r="Y77" s="492">
        <f>Y6*Y186</f>
        <v>59184000</v>
      </c>
      <c r="Z77" s="674">
        <f>SUM(V77:Y77)</f>
        <v>73252978.622327805</v>
      </c>
      <c r="AA77" s="677"/>
      <c r="AB77" s="677"/>
      <c r="AC77" s="677"/>
      <c r="AD77" s="493"/>
      <c r="AE77" s="492">
        <f>AE21*AE187</f>
        <v>4898646.0784317264</v>
      </c>
      <c r="AF77" s="492">
        <f>AF21*AF187</f>
        <v>1904769.1867095632</v>
      </c>
      <c r="AG77" s="492">
        <f>AG6*AG186</f>
        <v>5365665.4744956521</v>
      </c>
      <c r="AH77" s="492">
        <f>AH6*AH186</f>
        <v>50891273.308100976</v>
      </c>
      <c r="AI77" s="677">
        <f>SUM(AE77:AH77)</f>
        <v>63060354.047737919</v>
      </c>
      <c r="AJ77" s="691"/>
      <c r="AK77" s="492">
        <f>AK21*AK187</f>
        <v>3583550.5365071753</v>
      </c>
      <c r="AL77" s="492">
        <f>AL21*AL187</f>
        <v>2310093.6232057959</v>
      </c>
      <c r="AM77" s="492">
        <f>AM6*AM186</f>
        <v>874334.52550435893</v>
      </c>
      <c r="AN77" s="492">
        <f>AN6*AN186</f>
        <v>8292726.6918990249</v>
      </c>
      <c r="AO77" s="689">
        <f>SUM(AK77:AN77)</f>
        <v>15060705.377116356</v>
      </c>
      <c r="AP77" s="674">
        <f>AO77+AI77</f>
        <v>78121059.424854279</v>
      </c>
      <c r="AQ77" s="493"/>
      <c r="AR77" s="493"/>
      <c r="AS77" s="493"/>
      <c r="AT77" s="493"/>
      <c r="AU77" s="493"/>
      <c r="AV77" s="493"/>
      <c r="AW77" s="494"/>
      <c r="AX77" s="493"/>
      <c r="AY77" s="493"/>
      <c r="AZ77" s="493"/>
      <c r="BA77" s="493"/>
      <c r="BB77" s="493"/>
      <c r="BI77" s="493"/>
      <c r="BJ77" s="493"/>
      <c r="BK77" s="493"/>
      <c r="BL77" s="493"/>
      <c r="BM77" s="493"/>
      <c r="BN77" s="493"/>
      <c r="BO77" s="493"/>
      <c r="BP77" s="493"/>
      <c r="BQ77" s="493"/>
      <c r="BR77" s="493"/>
      <c r="BS77" s="493"/>
      <c r="BT77" s="493"/>
    </row>
    <row r="78" spans="1:72" outlineLevel="1">
      <c r="I78" s="139"/>
      <c r="AP78" s="406"/>
    </row>
    <row r="79" spans="1:72" s="727" customFormat="1" ht="21" outlineLevel="1" thickBot="1">
      <c r="A79" s="569" t="s">
        <v>612</v>
      </c>
      <c r="B79" s="933"/>
      <c r="C79" s="933"/>
      <c r="D79" s="1067"/>
      <c r="E79" s="933"/>
      <c r="F79" s="1443"/>
      <c r="G79" s="933"/>
      <c r="I79" s="571">
        <f>I75+I77</f>
        <v>11769031.779313654</v>
      </c>
      <c r="J79" s="571">
        <f>J75+J77</f>
        <v>5691365.0242081545</v>
      </c>
      <c r="K79" s="571">
        <f>K75+K77</f>
        <v>5500722.0563236345</v>
      </c>
      <c r="L79" s="571">
        <f>L75+L77</f>
        <v>49932184.186087377</v>
      </c>
      <c r="M79" s="874">
        <f>SUM(I79:L79)</f>
        <v>72893303.045932829</v>
      </c>
      <c r="N79" s="574"/>
      <c r="O79" s="574"/>
      <c r="P79" s="571">
        <f>P75+P77</f>
        <v>84632731.180257499</v>
      </c>
      <c r="Q79" s="571">
        <f>Q75+Q77</f>
        <v>35990309.240340158</v>
      </c>
      <c r="R79" s="571">
        <f>R75+R77</f>
        <v>7474246.6932201339</v>
      </c>
      <c r="S79" s="571">
        <f>S75+S77</f>
        <v>61696573.625483818</v>
      </c>
      <c r="T79" s="874">
        <f>SUM(P79:S79)</f>
        <v>189793860.73930162</v>
      </c>
      <c r="U79" s="575"/>
      <c r="V79" s="571">
        <f>V75+V77</f>
        <v>18285528.352280021</v>
      </c>
      <c r="W79" s="571">
        <f>W75+W77</f>
        <v>7749173.1122294432</v>
      </c>
      <c r="X79" s="571">
        <f>X75+X77</f>
        <v>6536752.6447239183</v>
      </c>
      <c r="Y79" s="571">
        <f>Y75+Y77</f>
        <v>59788103.598187953</v>
      </c>
      <c r="Z79" s="874">
        <f>SUM(V79:Y79)</f>
        <v>92359557.707421333</v>
      </c>
      <c r="AA79" s="872"/>
      <c r="AB79" s="872"/>
      <c r="AC79" s="872"/>
      <c r="AD79" s="574"/>
      <c r="AE79" s="571">
        <f>AE75+AE77</f>
        <v>15955043.409136735</v>
      </c>
      <c r="AF79" s="571">
        <f>AF75+AF77</f>
        <v>6203892.7842010092</v>
      </c>
      <c r="AG79" s="571">
        <f>AG75+AG77</f>
        <v>5612573.4109138595</v>
      </c>
      <c r="AH79" s="571">
        <f>AH75+AH77</f>
        <v>51393907.321523756</v>
      </c>
      <c r="AI79" s="869">
        <f>SUM(AE79:AH79)</f>
        <v>79165416.925775364</v>
      </c>
      <c r="AJ79" s="692"/>
      <c r="AK79" s="571">
        <f>AK75+AK77</f>
        <v>11083501.523796871</v>
      </c>
      <c r="AL79" s="571">
        <f>AL75+AL77</f>
        <v>7391732.3860796876</v>
      </c>
      <c r="AM79" s="571">
        <f>AM75+AM77</f>
        <v>1094767.7299798313</v>
      </c>
      <c r="AN79" s="571">
        <f>AN75+AN77</f>
        <v>8741465.7152955215</v>
      </c>
      <c r="AO79" s="870">
        <f>SUM(AK79:AN79)</f>
        <v>28311467.355151914</v>
      </c>
      <c r="AP79" s="874">
        <f>AO79+AI79</f>
        <v>107476884.28092727</v>
      </c>
      <c r="AQ79" s="574"/>
      <c r="AR79" s="574"/>
      <c r="AS79" s="574"/>
      <c r="AT79" s="574"/>
      <c r="AU79" s="574"/>
      <c r="AV79" s="574"/>
      <c r="AW79" s="575"/>
      <c r="AX79" s="574"/>
      <c r="AY79" s="574"/>
      <c r="AZ79" s="574"/>
      <c r="BA79" s="574"/>
      <c r="BB79" s="574"/>
      <c r="BI79" s="574"/>
      <c r="BJ79" s="574"/>
      <c r="BK79" s="574"/>
      <c r="BL79" s="574"/>
      <c r="BM79" s="574"/>
      <c r="BN79" s="574"/>
      <c r="BO79" s="574"/>
      <c r="BP79" s="574"/>
      <c r="BQ79" s="574"/>
      <c r="BR79" s="574"/>
      <c r="BS79" s="574"/>
      <c r="BT79" s="574"/>
    </row>
    <row r="80" spans="1:72" outlineLevel="1">
      <c r="T80" s="1244">
        <f>T79/M79</f>
        <v>2.6037215053858285</v>
      </c>
    </row>
    <row r="81" spans="1:72" outlineLevel="1">
      <c r="A81" s="1432"/>
      <c r="M81" s="1431"/>
      <c r="T81" s="1244"/>
    </row>
    <row r="82" spans="1:72">
      <c r="A82" s="1"/>
      <c r="D82" s="1"/>
      <c r="T82" s="1244"/>
      <c r="AJ82" s="1"/>
      <c r="AO82" s="1"/>
    </row>
    <row r="83" spans="1:72" s="1424" customFormat="1" ht="20">
      <c r="A83" s="1422" t="s">
        <v>781</v>
      </c>
      <c r="B83" s="1423"/>
      <c r="C83" s="1423"/>
      <c r="D83" s="1423"/>
      <c r="E83" s="1423"/>
      <c r="F83" s="1425"/>
      <c r="G83" s="1423"/>
      <c r="I83" s="1423"/>
      <c r="J83" s="1423"/>
      <c r="K83" s="1423"/>
      <c r="L83" s="1423"/>
      <c r="M83" s="1425"/>
      <c r="N83" s="1423"/>
      <c r="O83" s="1423"/>
      <c r="P83" s="1423"/>
      <c r="Q83" s="1423"/>
      <c r="R83" s="1423"/>
      <c r="S83" s="1423"/>
      <c r="T83" s="1426"/>
      <c r="U83" s="1423"/>
      <c r="V83" s="1423"/>
      <c r="W83" s="1423"/>
      <c r="X83" s="1423"/>
      <c r="Y83" s="1423"/>
      <c r="Z83" s="1425"/>
      <c r="AA83" s="1423"/>
      <c r="AB83" s="1423"/>
      <c r="AC83" s="1423"/>
      <c r="AD83" s="1423"/>
      <c r="AE83" s="1423"/>
      <c r="AF83" s="1423"/>
      <c r="AG83" s="1423"/>
      <c r="AH83" s="1423"/>
      <c r="AI83" s="1423"/>
      <c r="AJ83" s="1423"/>
      <c r="AK83" s="1423"/>
      <c r="AL83" s="1423"/>
      <c r="AM83" s="1423"/>
      <c r="AN83" s="1423"/>
      <c r="AO83" s="1423"/>
      <c r="AP83" s="1425"/>
      <c r="AQ83" s="1423"/>
      <c r="AR83" s="1423"/>
      <c r="AS83" s="1423"/>
      <c r="AT83" s="1423"/>
      <c r="AU83" s="1423"/>
      <c r="AV83" s="1423"/>
      <c r="AW83" s="1423"/>
      <c r="AX83" s="1423"/>
      <c r="AY83" s="1423"/>
      <c r="AZ83" s="1423"/>
      <c r="BA83" s="1423"/>
      <c r="BB83" s="1423"/>
      <c r="BI83" s="1423"/>
      <c r="BJ83" s="1423"/>
      <c r="BK83" s="1423"/>
      <c r="BL83" s="1423"/>
      <c r="BM83" s="1423"/>
      <c r="BN83" s="1423"/>
      <c r="BO83" s="1423"/>
      <c r="BP83" s="1423"/>
      <c r="BQ83" s="1423"/>
      <c r="BR83" s="1423"/>
      <c r="BS83" s="1423"/>
      <c r="BT83" s="1423"/>
    </row>
    <row r="84" spans="1:72" s="1022" customFormat="1" ht="20" outlineLevel="1">
      <c r="A84" s="104" t="s">
        <v>791</v>
      </c>
      <c r="B84" s="104"/>
      <c r="C84" s="104"/>
      <c r="D84" s="104"/>
      <c r="E84" s="104"/>
      <c r="F84" s="880">
        <f>F86+F89</f>
        <v>74539972.593701273</v>
      </c>
      <c r="G84" s="104"/>
      <c r="I84" s="104"/>
      <c r="J84" s="104"/>
      <c r="K84" s="104"/>
      <c r="L84" s="104"/>
      <c r="M84" s="880">
        <f>M86+M89</f>
        <v>78891788.376428664</v>
      </c>
      <c r="N84" s="104"/>
      <c r="O84" s="104"/>
      <c r="P84" s="104"/>
      <c r="Q84" s="104"/>
      <c r="R84" s="104"/>
      <c r="S84" s="104"/>
      <c r="T84" s="880">
        <f>T86+T89</f>
        <v>84503972.593701273</v>
      </c>
      <c r="U84" s="104"/>
      <c r="V84" s="104"/>
      <c r="W84" s="104"/>
      <c r="X84" s="104"/>
      <c r="Y84" s="104"/>
      <c r="Z84" s="1399"/>
      <c r="AA84" s="104"/>
      <c r="AB84" s="104"/>
      <c r="AC84" s="104"/>
      <c r="AD84" s="104"/>
      <c r="AE84" s="104"/>
      <c r="AF84" s="104"/>
      <c r="AG84" s="104"/>
      <c r="AH84" s="104"/>
      <c r="AI84" s="104"/>
      <c r="AJ84" s="104"/>
      <c r="AK84" s="104"/>
      <c r="AL84" s="104"/>
      <c r="AM84" s="104"/>
      <c r="AN84" s="104"/>
      <c r="AO84" s="104"/>
      <c r="AP84" s="1399"/>
      <c r="AQ84" s="104"/>
      <c r="AR84" s="104"/>
      <c r="AS84" s="104"/>
      <c r="AT84" s="104"/>
      <c r="AU84" s="104"/>
      <c r="AV84" s="104"/>
      <c r="AW84" s="104"/>
      <c r="AX84" s="104"/>
      <c r="AY84" s="104"/>
      <c r="AZ84" s="104"/>
      <c r="BA84" s="104"/>
      <c r="BB84" s="104"/>
      <c r="BI84" s="104"/>
      <c r="BJ84" s="104"/>
      <c r="BK84" s="104"/>
      <c r="BL84" s="104"/>
      <c r="BM84" s="104"/>
      <c r="BN84" s="104"/>
      <c r="BO84" s="104"/>
      <c r="BP84" s="104"/>
      <c r="BQ84" s="104"/>
      <c r="BR84" s="104"/>
      <c r="BS84" s="104"/>
      <c r="BT84" s="104"/>
    </row>
    <row r="85" spans="1:72" s="1022" customFormat="1" ht="20">
      <c r="A85" s="104" t="s">
        <v>788</v>
      </c>
      <c r="B85" s="104"/>
      <c r="C85" s="104"/>
      <c r="D85" s="104"/>
      <c r="E85" s="104"/>
      <c r="F85" s="880">
        <f>F86+F90</f>
        <v>24114967.30523973</v>
      </c>
      <c r="G85" s="104"/>
      <c r="I85" s="104"/>
      <c r="J85" s="104"/>
      <c r="K85" s="104"/>
      <c r="L85" s="104"/>
      <c r="M85" s="880">
        <f>M86+M90</f>
        <v>22035127.687429406</v>
      </c>
      <c r="N85" s="104"/>
      <c r="O85" s="104"/>
      <c r="P85" s="104"/>
      <c r="Q85" s="104"/>
      <c r="R85" s="104"/>
      <c r="S85" s="104"/>
      <c r="T85" s="880">
        <f>T86+T90</f>
        <v>34078967.305239737</v>
      </c>
      <c r="U85" s="104"/>
      <c r="V85" s="104"/>
      <c r="W85" s="104"/>
      <c r="X85" s="104"/>
      <c r="Y85" s="104"/>
      <c r="Z85" s="1399"/>
      <c r="AA85" s="104"/>
      <c r="AB85" s="104"/>
      <c r="AC85" s="104"/>
      <c r="AD85" s="104"/>
      <c r="AE85" s="104"/>
      <c r="AF85" s="104"/>
      <c r="AG85" s="104"/>
      <c r="AH85" s="104"/>
      <c r="AI85" s="104"/>
      <c r="AJ85" s="104"/>
      <c r="AK85" s="104"/>
      <c r="AL85" s="104"/>
      <c r="AM85" s="104"/>
      <c r="AN85" s="104"/>
      <c r="AO85" s="104"/>
      <c r="AP85" s="1399"/>
      <c r="AQ85" s="104"/>
      <c r="AR85" s="104"/>
      <c r="AS85" s="104"/>
      <c r="AT85" s="104"/>
      <c r="AU85" s="104"/>
      <c r="AV85" s="104"/>
      <c r="AW85" s="104"/>
      <c r="AX85" s="104"/>
      <c r="AY85" s="104"/>
      <c r="AZ85" s="104"/>
      <c r="BA85" s="104"/>
      <c r="BB85" s="104"/>
      <c r="BI85" s="104"/>
      <c r="BJ85" s="104"/>
      <c r="BK85" s="104"/>
      <c r="BL85" s="104"/>
      <c r="BM85" s="104"/>
      <c r="BN85" s="104"/>
      <c r="BO85" s="104"/>
      <c r="BP85" s="104"/>
      <c r="BQ85" s="104"/>
      <c r="BR85" s="104"/>
      <c r="BS85" s="104"/>
      <c r="BT85" s="104"/>
    </row>
    <row r="86" spans="1:72" s="1403" customFormat="1" ht="40">
      <c r="A86" s="1484" t="s">
        <v>806</v>
      </c>
      <c r="B86" s="1485"/>
      <c r="C86" s="1485"/>
      <c r="D86" s="1485"/>
      <c r="E86" s="1485"/>
      <c r="F86" s="1486">
        <f>M86</f>
        <v>4636000</v>
      </c>
      <c r="G86" s="1485"/>
      <c r="H86" s="1487"/>
      <c r="I86" s="1485"/>
      <c r="J86" s="1485"/>
      <c r="K86" s="1485"/>
      <c r="L86" s="1485"/>
      <c r="M86" s="1486">
        <f>M87+M88</f>
        <v>4636000</v>
      </c>
      <c r="N86" s="1485"/>
      <c r="O86" s="1485"/>
      <c r="P86" s="1485"/>
      <c r="Q86" s="1485"/>
      <c r="R86" s="1485"/>
      <c r="S86" s="1485"/>
      <c r="T86" s="1488">
        <f>T87+T88</f>
        <v>8812000</v>
      </c>
      <c r="U86" s="1402"/>
      <c r="V86" s="1402"/>
      <c r="W86" s="1402"/>
      <c r="X86" s="1402"/>
      <c r="Y86" s="1402"/>
      <c r="Z86" s="1405"/>
      <c r="AA86" s="1402"/>
      <c r="AB86" s="1402"/>
      <c r="AC86" s="1402"/>
      <c r="AD86" s="1402"/>
      <c r="AE86" s="1402"/>
      <c r="AF86" s="1402"/>
      <c r="AG86" s="1402"/>
      <c r="AH86" s="1402"/>
      <c r="AI86" s="1402"/>
      <c r="AJ86" s="1402"/>
      <c r="AK86" s="1402"/>
      <c r="AL86" s="1402"/>
      <c r="AM86" s="1402"/>
      <c r="AN86" s="1402"/>
      <c r="AO86" s="1402"/>
      <c r="AP86" s="1405"/>
      <c r="AQ86" s="1402"/>
      <c r="AR86" s="1402"/>
      <c r="AS86" s="1402"/>
      <c r="AT86" s="1402"/>
      <c r="AU86" s="1402"/>
      <c r="AV86" s="1402"/>
      <c r="AW86" s="1402"/>
      <c r="AX86" s="1402"/>
      <c r="AY86" s="1402"/>
      <c r="AZ86" s="1402"/>
      <c r="BA86" s="1402"/>
      <c r="BB86" s="1402"/>
      <c r="BI86" s="1402"/>
      <c r="BJ86" s="1402"/>
      <c r="BK86" s="1402"/>
      <c r="BL86" s="1402"/>
      <c r="BM86" s="1402"/>
      <c r="BN86" s="1402"/>
      <c r="BO86" s="1402"/>
      <c r="BP86" s="1402"/>
      <c r="BQ86" s="1402"/>
      <c r="BR86" s="1402"/>
      <c r="BS86" s="1402"/>
      <c r="BT86" s="1402"/>
    </row>
    <row r="87" spans="1:72" ht="40">
      <c r="A87" s="1090" t="s">
        <v>805</v>
      </c>
      <c r="B87" s="13"/>
      <c r="C87" s="13"/>
      <c r="D87" s="13"/>
      <c r="E87" s="13"/>
      <c r="F87" s="1149">
        <v>100000</v>
      </c>
      <c r="G87" s="13"/>
      <c r="I87" s="169"/>
      <c r="J87" s="169"/>
      <c r="K87" s="169"/>
      <c r="L87" s="169"/>
      <c r="M87" s="1149">
        <v>100000</v>
      </c>
      <c r="N87" s="671"/>
      <c r="P87" s="169"/>
      <c r="Q87" s="169"/>
      <c r="R87" s="169"/>
      <c r="S87" s="169"/>
      <c r="T87" s="1158">
        <v>100000</v>
      </c>
      <c r="U87" s="80"/>
      <c r="V87" s="169"/>
      <c r="W87" s="169"/>
      <c r="X87" s="169"/>
      <c r="Y87" s="169"/>
      <c r="Z87" s="407"/>
      <c r="AA87" s="169"/>
      <c r="AB87" s="169"/>
      <c r="AC87" s="169"/>
      <c r="AE87" s="169"/>
      <c r="AF87" s="169"/>
      <c r="AG87" s="169"/>
      <c r="AH87" s="169"/>
      <c r="AI87" s="169"/>
      <c r="AJ87" s="1"/>
      <c r="AK87" s="169"/>
      <c r="AL87" s="169"/>
      <c r="AM87" s="169"/>
      <c r="AN87" s="169"/>
      <c r="AO87" s="671"/>
      <c r="AP87" s="406"/>
      <c r="AW87" s="80"/>
    </row>
    <row r="88" spans="1:72" s="61" customFormat="1" ht="23" customHeight="1">
      <c r="A88" s="28" t="s">
        <v>804</v>
      </c>
      <c r="B88" s="13"/>
      <c r="C88" s="13"/>
      <c r="D88" s="13"/>
      <c r="E88" s="13"/>
      <c r="F88" s="1400">
        <f>M88</f>
        <v>4536000</v>
      </c>
      <c r="G88" s="13"/>
      <c r="I88" s="13"/>
      <c r="J88" s="13"/>
      <c r="K88" s="13"/>
      <c r="L88" s="13"/>
      <c r="M88" s="1400">
        <f>378000*12</f>
        <v>4536000</v>
      </c>
      <c r="N88" s="13"/>
      <c r="O88" s="13"/>
      <c r="P88" s="13"/>
      <c r="Q88" s="13"/>
      <c r="R88" s="13"/>
      <c r="S88" s="13"/>
      <c r="T88" s="371">
        <f>726000*12</f>
        <v>8712000</v>
      </c>
      <c r="U88" s="13"/>
      <c r="V88" s="13"/>
      <c r="W88" s="13"/>
      <c r="X88" s="13"/>
      <c r="Y88" s="13"/>
      <c r="Z88" s="297"/>
      <c r="AA88" s="13"/>
      <c r="AB88" s="13"/>
      <c r="AC88" s="13"/>
      <c r="AD88" s="13"/>
      <c r="AE88" s="13"/>
      <c r="AF88" s="13"/>
      <c r="AG88" s="13"/>
      <c r="AH88" s="13"/>
      <c r="AI88" s="13"/>
      <c r="AJ88" s="13"/>
      <c r="AK88" s="13"/>
      <c r="AL88" s="13"/>
      <c r="AM88" s="13"/>
      <c r="AN88" s="13"/>
      <c r="AO88" s="13"/>
      <c r="AP88" s="297"/>
      <c r="AQ88" s="13"/>
      <c r="AR88" s="13"/>
      <c r="AS88" s="13"/>
      <c r="AT88" s="13"/>
      <c r="AU88" s="13"/>
      <c r="AV88" s="13"/>
      <c r="AW88" s="13"/>
      <c r="AX88" s="13"/>
      <c r="AY88" s="13"/>
      <c r="AZ88" s="13"/>
      <c r="BA88" s="13"/>
      <c r="BB88" s="13"/>
      <c r="BI88" s="13"/>
      <c r="BJ88" s="13"/>
      <c r="BK88" s="13"/>
      <c r="BL88" s="13"/>
      <c r="BM88" s="13"/>
      <c r="BN88" s="13"/>
      <c r="BO88" s="13"/>
      <c r="BP88" s="13"/>
      <c r="BQ88" s="13"/>
      <c r="BR88" s="13"/>
      <c r="BS88" s="13"/>
      <c r="BT88" s="13"/>
    </row>
    <row r="89" spans="1:72" s="1487" customFormat="1" ht="20" outlineLevel="1">
      <c r="A89" s="1484" t="s">
        <v>812</v>
      </c>
      <c r="B89" s="1485"/>
      <c r="C89" s="1485"/>
      <c r="D89" s="1485"/>
      <c r="E89" s="1485"/>
      <c r="F89" s="1486">
        <f>F90+F100</f>
        <v>69903972.593701273</v>
      </c>
      <c r="G89" s="1485"/>
      <c r="I89" s="1485"/>
      <c r="J89" s="1485"/>
      <c r="K89" s="1485"/>
      <c r="L89" s="1485"/>
      <c r="M89" s="1486">
        <f>M90+M100</f>
        <v>74255788.376428664</v>
      </c>
      <c r="N89" s="1485"/>
      <c r="O89" s="1485"/>
      <c r="P89" s="1485"/>
      <c r="Q89" s="1485"/>
      <c r="R89" s="1485"/>
      <c r="S89" s="1485"/>
      <c r="T89" s="1486">
        <f>T90+T100</f>
        <v>75691972.593701273</v>
      </c>
      <c r="U89" s="1485"/>
      <c r="V89" s="1485"/>
      <c r="W89" s="1485"/>
      <c r="X89" s="1485"/>
      <c r="Y89" s="1485"/>
      <c r="Z89" s="1490"/>
      <c r="AA89" s="1485"/>
      <c r="AB89" s="1485"/>
      <c r="AC89" s="1485"/>
      <c r="AD89" s="1485"/>
      <c r="AE89" s="1485"/>
      <c r="AF89" s="1485"/>
      <c r="AG89" s="1485"/>
      <c r="AH89" s="1485"/>
      <c r="AI89" s="1485"/>
      <c r="AJ89" s="1485"/>
      <c r="AK89" s="1485"/>
      <c r="AL89" s="1485"/>
      <c r="AM89" s="1485"/>
      <c r="AN89" s="1485"/>
      <c r="AO89" s="1485"/>
      <c r="AP89" s="1490"/>
      <c r="AQ89" s="1485"/>
      <c r="AR89" s="1485"/>
      <c r="AS89" s="1485"/>
      <c r="AT89" s="1485"/>
      <c r="AU89" s="1485"/>
      <c r="AV89" s="1485"/>
      <c r="AW89" s="1485"/>
      <c r="AX89" s="1485"/>
      <c r="AY89" s="1485"/>
      <c r="AZ89" s="1485"/>
      <c r="BA89" s="1485"/>
      <c r="BB89" s="1485"/>
      <c r="BI89" s="1485"/>
      <c r="BJ89" s="1485"/>
      <c r="BK89" s="1485"/>
      <c r="BL89" s="1485"/>
      <c r="BM89" s="1485"/>
      <c r="BN89" s="1485"/>
      <c r="BO89" s="1485"/>
      <c r="BP89" s="1485"/>
      <c r="BQ89" s="1485"/>
      <c r="BR89" s="1485"/>
      <c r="BS89" s="1485"/>
      <c r="BT89" s="1485"/>
    </row>
    <row r="90" spans="1:72" s="1403" customFormat="1" ht="20">
      <c r="A90" s="1484" t="s">
        <v>807</v>
      </c>
      <c r="B90" s="1402"/>
      <c r="C90" s="1402"/>
      <c r="D90" s="1402"/>
      <c r="E90" s="1402"/>
      <c r="F90" s="1404">
        <f>F91+F95+F98+F99</f>
        <v>19478967.30523973</v>
      </c>
      <c r="G90" s="1402"/>
      <c r="I90" s="1402"/>
      <c r="J90" s="1402"/>
      <c r="K90" s="1402"/>
      <c r="L90" s="1402"/>
      <c r="M90" s="1404">
        <f>M91+M95+M98+M99</f>
        <v>17399127.687429406</v>
      </c>
      <c r="N90" s="1402"/>
      <c r="O90" s="1402"/>
      <c r="P90" s="1402"/>
      <c r="Q90" s="1402"/>
      <c r="R90" s="1402"/>
      <c r="S90" s="1402"/>
      <c r="T90" s="1404">
        <f>T91+T95+T98+T99</f>
        <v>25266967.305239733</v>
      </c>
      <c r="U90" s="1516">
        <f>T90-M90</f>
        <v>7867839.6178103276</v>
      </c>
      <c r="V90" s="1402"/>
      <c r="W90" s="1402"/>
      <c r="X90" s="1402"/>
      <c r="Y90" s="1402"/>
      <c r="Z90" s="1405"/>
      <c r="AA90" s="1402"/>
      <c r="AB90" s="1402"/>
      <c r="AC90" s="1402"/>
      <c r="AD90" s="1402"/>
      <c r="AE90" s="1402"/>
      <c r="AF90" s="1402"/>
      <c r="AG90" s="1402"/>
      <c r="AH90" s="1402"/>
      <c r="AI90" s="1402"/>
      <c r="AJ90" s="1402"/>
      <c r="AK90" s="1402"/>
      <c r="AL90" s="1402"/>
      <c r="AM90" s="1402"/>
      <c r="AN90" s="1402"/>
      <c r="AO90" s="1402"/>
      <c r="AP90" s="1405"/>
      <c r="AQ90" s="1402"/>
      <c r="AR90" s="1402"/>
      <c r="AS90" s="1402"/>
      <c r="AT90" s="1402"/>
      <c r="AU90" s="1402"/>
      <c r="AV90" s="1402"/>
      <c r="AW90" s="1402"/>
      <c r="AX90" s="1402"/>
      <c r="AY90" s="1402"/>
      <c r="AZ90" s="1402"/>
      <c r="BA90" s="1402"/>
      <c r="BB90" s="1402"/>
      <c r="BI90" s="1402"/>
      <c r="BJ90" s="1402"/>
      <c r="BK90" s="1402"/>
      <c r="BL90" s="1402"/>
      <c r="BM90" s="1402"/>
      <c r="BN90" s="1402"/>
      <c r="BO90" s="1402"/>
      <c r="BP90" s="1402"/>
      <c r="BQ90" s="1402"/>
      <c r="BR90" s="1402"/>
      <c r="BS90" s="1402"/>
      <c r="BT90" s="1402"/>
    </row>
    <row r="91" spans="1:72" s="1493" customFormat="1" ht="20">
      <c r="A91" s="1491" t="s">
        <v>786</v>
      </c>
      <c r="B91" s="1492"/>
      <c r="C91" s="1492"/>
      <c r="D91" s="1492"/>
      <c r="E91" s="1492"/>
      <c r="F91" s="1428">
        <f>M91</f>
        <v>7046442.5999999996</v>
      </c>
      <c r="G91" s="1492"/>
      <c r="I91" s="1492"/>
      <c r="J91" s="1492"/>
      <c r="K91" s="1492"/>
      <c r="L91" s="1492"/>
      <c r="M91" s="1428">
        <f>SUM(M92:M94)</f>
        <v>7046442.5999999996</v>
      </c>
      <c r="N91" s="1492"/>
      <c r="O91" s="1492"/>
      <c r="P91" s="1492"/>
      <c r="Q91" s="1492"/>
      <c r="R91" s="1492"/>
      <c r="S91" s="1492"/>
      <c r="T91" s="1428">
        <f>SUM(T92:T94)</f>
        <v>7046442.5999999996</v>
      </c>
      <c r="U91" s="1492"/>
      <c r="V91" s="1492"/>
      <c r="W91" s="1492"/>
      <c r="X91" s="1492"/>
      <c r="Y91" s="1492"/>
      <c r="Z91" s="1461"/>
      <c r="AA91" s="1492"/>
      <c r="AB91" s="1492"/>
      <c r="AC91" s="1492"/>
      <c r="AD91" s="1492"/>
      <c r="AE91" s="1492"/>
      <c r="AF91" s="1492"/>
      <c r="AG91" s="1492"/>
      <c r="AH91" s="1492"/>
      <c r="AI91" s="1492"/>
      <c r="AJ91" s="1492"/>
      <c r="AK91" s="1492"/>
      <c r="AL91" s="1492"/>
      <c r="AM91" s="1492"/>
      <c r="AN91" s="1492"/>
      <c r="AO91" s="1492"/>
      <c r="AP91" s="1461"/>
      <c r="AQ91" s="1492"/>
      <c r="AR91" s="1492"/>
      <c r="AS91" s="1492"/>
      <c r="AT91" s="1492"/>
      <c r="AU91" s="1492"/>
      <c r="AV91" s="1492"/>
      <c r="AW91" s="1492"/>
      <c r="AX91" s="1492"/>
      <c r="AY91" s="1492"/>
      <c r="AZ91" s="1492"/>
      <c r="BA91" s="1492"/>
      <c r="BB91" s="1492"/>
      <c r="BI91" s="1492"/>
      <c r="BJ91" s="1492"/>
      <c r="BK91" s="1492"/>
      <c r="BL91" s="1492"/>
      <c r="BM91" s="1492"/>
      <c r="BN91" s="1492"/>
      <c r="BO91" s="1492"/>
      <c r="BP91" s="1492"/>
      <c r="BQ91" s="1492"/>
      <c r="BR91" s="1492"/>
      <c r="BS91" s="1492"/>
      <c r="BT91" s="1492"/>
    </row>
    <row r="92" spans="1:72">
      <c r="A92" s="992" t="s">
        <v>808</v>
      </c>
      <c r="B92" s="13"/>
      <c r="C92" s="13"/>
      <c r="D92" s="13"/>
      <c r="E92" s="13"/>
      <c r="F92" s="407">
        <f>M92</f>
        <v>4500000</v>
      </c>
      <c r="G92" s="13"/>
      <c r="I92" s="169"/>
      <c r="J92" s="169"/>
      <c r="K92" s="169"/>
      <c r="L92" s="169"/>
      <c r="M92" s="407">
        <v>4500000</v>
      </c>
      <c r="N92" s="671"/>
      <c r="P92" s="169"/>
      <c r="Q92" s="169"/>
      <c r="R92" s="169"/>
      <c r="S92" s="169"/>
      <c r="T92" s="407">
        <v>4500000</v>
      </c>
      <c r="U92" s="80"/>
      <c r="V92" s="169"/>
      <c r="W92" s="169"/>
      <c r="X92" s="169"/>
      <c r="Y92" s="169"/>
      <c r="Z92" s="407"/>
      <c r="AA92" s="169"/>
      <c r="AB92" s="169"/>
      <c r="AC92" s="169"/>
      <c r="AE92" s="169"/>
      <c r="AF92" s="169"/>
      <c r="AG92" s="169"/>
      <c r="AH92" s="169"/>
      <c r="AI92" s="169"/>
      <c r="AJ92" s="1"/>
      <c r="AK92" s="169"/>
      <c r="AL92" s="169"/>
      <c r="AM92" s="169"/>
      <c r="AN92" s="169"/>
      <c r="AO92" s="671"/>
      <c r="AP92" s="406"/>
      <c r="AW92" s="80"/>
    </row>
    <row r="93" spans="1:72">
      <c r="A93" s="992" t="s">
        <v>809</v>
      </c>
      <c r="B93" s="13"/>
      <c r="C93" s="13"/>
      <c r="D93" s="13"/>
      <c r="E93" s="13"/>
      <c r="F93" s="407">
        <f t="shared" ref="F93:F98" si="151">M93</f>
        <v>1500000</v>
      </c>
      <c r="G93" s="13"/>
      <c r="I93" s="169"/>
      <c r="J93" s="169"/>
      <c r="K93" s="169"/>
      <c r="L93" s="169"/>
      <c r="M93" s="407">
        <v>1500000</v>
      </c>
      <c r="N93" s="671"/>
      <c r="P93" s="169"/>
      <c r="Q93" s="169"/>
      <c r="R93" s="169"/>
      <c r="S93" s="169"/>
      <c r="T93" s="407">
        <f>M93</f>
        <v>1500000</v>
      </c>
      <c r="U93" s="80"/>
      <c r="V93" s="169"/>
      <c r="W93" s="169"/>
      <c r="X93" s="169"/>
      <c r="Y93" s="169"/>
      <c r="Z93" s="407"/>
      <c r="AA93" s="169"/>
      <c r="AB93" s="169"/>
      <c r="AC93" s="169"/>
      <c r="AE93" s="169"/>
      <c r="AF93" s="169"/>
      <c r="AG93" s="169"/>
      <c r="AH93" s="169"/>
      <c r="AI93" s="169"/>
      <c r="AJ93" s="1"/>
      <c r="AK93" s="169"/>
      <c r="AL93" s="169"/>
      <c r="AM93" s="169"/>
      <c r="AN93" s="169"/>
      <c r="AO93" s="671"/>
      <c r="AP93" s="406"/>
      <c r="AW93" s="80"/>
    </row>
    <row r="94" spans="1:72" ht="60">
      <c r="A94" s="990" t="s">
        <v>811</v>
      </c>
      <c r="B94" s="13"/>
      <c r="C94" s="13"/>
      <c r="D94" s="13"/>
      <c r="E94" s="13"/>
      <c r="F94" s="1369">
        <f t="shared" si="151"/>
        <v>1046442.6</v>
      </c>
      <c r="G94" s="1517"/>
      <c r="H94" s="139"/>
      <c r="I94" s="1150"/>
      <c r="J94" s="1150"/>
      <c r="K94" s="1150"/>
      <c r="L94" s="1150"/>
      <c r="M94" s="1369">
        <f>M53</f>
        <v>1046442.6</v>
      </c>
      <c r="N94" s="671"/>
      <c r="P94" s="169"/>
      <c r="Q94" s="169"/>
      <c r="R94" s="169"/>
      <c r="S94" s="169"/>
      <c r="T94" s="407">
        <f>T53</f>
        <v>1046442.6</v>
      </c>
      <c r="U94" s="80"/>
      <c r="V94" s="169"/>
      <c r="W94" s="169"/>
      <c r="X94" s="169"/>
      <c r="Y94" s="169"/>
      <c r="Z94" s="407"/>
      <c r="AA94" s="169"/>
      <c r="AB94" s="169"/>
      <c r="AC94" s="169"/>
      <c r="AE94" s="169"/>
      <c r="AF94" s="169"/>
      <c r="AG94" s="169"/>
      <c r="AH94" s="169"/>
      <c r="AI94" s="169"/>
      <c r="AJ94" s="1"/>
      <c r="AK94" s="169"/>
      <c r="AL94" s="169"/>
      <c r="AM94" s="169"/>
      <c r="AN94" s="169"/>
      <c r="AO94" s="671"/>
      <c r="AP94" s="406"/>
      <c r="AW94" s="80"/>
    </row>
    <row r="95" spans="1:72" s="1501" customFormat="1">
      <c r="A95" s="1494" t="s">
        <v>785</v>
      </c>
      <c r="B95" s="1492"/>
      <c r="C95" s="1492"/>
      <c r="D95" s="1492"/>
      <c r="E95" s="1492"/>
      <c r="F95" s="1429">
        <f>F96+F97</f>
        <v>500000</v>
      </c>
      <c r="G95" s="1492"/>
      <c r="H95" s="1495"/>
      <c r="I95" s="1496"/>
      <c r="J95" s="1496"/>
      <c r="K95" s="1496"/>
      <c r="L95" s="1496"/>
      <c r="M95" s="1429">
        <f>M96+M97</f>
        <v>500000</v>
      </c>
      <c r="N95" s="1497"/>
      <c r="O95" s="1498"/>
      <c r="P95" s="1496"/>
      <c r="Q95" s="1496"/>
      <c r="R95" s="1496"/>
      <c r="S95" s="1496"/>
      <c r="T95" s="1429">
        <f>T96+T97</f>
        <v>1800000</v>
      </c>
      <c r="U95" s="1499"/>
      <c r="V95" s="1496"/>
      <c r="W95" s="1496"/>
      <c r="X95" s="1496"/>
      <c r="Y95" s="1496"/>
      <c r="Z95" s="1430"/>
      <c r="AA95" s="1496"/>
      <c r="AB95" s="1496"/>
      <c r="AC95" s="1496"/>
      <c r="AD95" s="1498"/>
      <c r="AE95" s="1496"/>
      <c r="AF95" s="1496"/>
      <c r="AG95" s="1496"/>
      <c r="AH95" s="1496"/>
      <c r="AI95" s="1496"/>
      <c r="AJ95" s="1498"/>
      <c r="AK95" s="1496"/>
      <c r="AL95" s="1496"/>
      <c r="AM95" s="1496"/>
      <c r="AN95" s="1496"/>
      <c r="AO95" s="1497"/>
      <c r="AP95" s="1428"/>
      <c r="AQ95" s="1498"/>
      <c r="AR95" s="1498"/>
      <c r="AS95" s="1498"/>
      <c r="AT95" s="1498"/>
      <c r="AU95" s="1498"/>
      <c r="AV95" s="1498"/>
      <c r="AW95" s="1500"/>
      <c r="AX95" s="1498"/>
      <c r="AY95" s="1498"/>
      <c r="AZ95" s="1498"/>
      <c r="BA95" s="1498"/>
      <c r="BB95" s="1498"/>
      <c r="BI95" s="1498"/>
      <c r="BJ95" s="1498"/>
      <c r="BK95" s="1498"/>
      <c r="BL95" s="1498"/>
      <c r="BM95" s="1498"/>
      <c r="BN95" s="1498"/>
      <c r="BO95" s="1498"/>
      <c r="BP95" s="1498"/>
      <c r="BQ95" s="1498"/>
      <c r="BR95" s="1498"/>
      <c r="BS95" s="1498"/>
      <c r="BT95" s="1498"/>
    </row>
    <row r="96" spans="1:72" ht="20">
      <c r="A96" s="28" t="s">
        <v>782</v>
      </c>
      <c r="B96" s="13"/>
      <c r="C96" s="13"/>
      <c r="D96" s="13"/>
      <c r="E96" s="13"/>
      <c r="F96" s="407">
        <f>M96</f>
        <v>500000</v>
      </c>
      <c r="G96" s="13"/>
      <c r="I96" s="169"/>
      <c r="J96" s="169"/>
      <c r="K96" s="169"/>
      <c r="L96" s="169"/>
      <c r="M96" s="407">
        <v>500000</v>
      </c>
      <c r="N96" s="671"/>
      <c r="P96" s="169"/>
      <c r="Q96" s="169"/>
      <c r="R96" s="169"/>
      <c r="S96" s="169"/>
      <c r="T96" s="407">
        <v>1800000</v>
      </c>
      <c r="U96" s="80"/>
      <c r="V96" s="169"/>
      <c r="W96" s="169"/>
      <c r="X96" s="169"/>
      <c r="Y96" s="169"/>
      <c r="Z96" s="407"/>
      <c r="AA96" s="169"/>
      <c r="AB96" s="169"/>
      <c r="AC96" s="169"/>
      <c r="AE96" s="169"/>
      <c r="AF96" s="169"/>
      <c r="AG96" s="169"/>
      <c r="AH96" s="169"/>
      <c r="AI96" s="169"/>
      <c r="AJ96" s="1"/>
      <c r="AK96" s="169"/>
      <c r="AL96" s="169"/>
      <c r="AM96" s="169"/>
      <c r="AN96" s="169"/>
      <c r="AO96" s="671"/>
      <c r="AP96" s="406"/>
      <c r="AW96" s="80"/>
    </row>
    <row r="97" spans="1:72" outlineLevel="1">
      <c r="A97" s="841" t="s">
        <v>783</v>
      </c>
      <c r="B97" s="13"/>
      <c r="C97" s="13"/>
      <c r="D97" s="13"/>
      <c r="E97" s="13"/>
      <c r="F97" s="1149">
        <f t="shared" si="151"/>
        <v>0</v>
      </c>
      <c r="G97" s="13"/>
      <c r="I97" s="169"/>
      <c r="J97" s="169"/>
      <c r="K97" s="169"/>
      <c r="L97" s="169"/>
      <c r="M97" s="1149">
        <v>0</v>
      </c>
      <c r="N97" s="671"/>
      <c r="P97" s="169"/>
      <c r="Q97" s="169"/>
      <c r="R97" s="169"/>
      <c r="S97" s="169"/>
      <c r="T97" s="1149">
        <v>0</v>
      </c>
      <c r="U97" s="80"/>
      <c r="V97" s="169"/>
      <c r="W97" s="169"/>
      <c r="X97" s="169"/>
      <c r="Y97" s="169"/>
      <c r="Z97" s="407"/>
      <c r="AA97" s="169"/>
      <c r="AB97" s="169"/>
      <c r="AC97" s="169"/>
      <c r="AE97" s="169"/>
      <c r="AF97" s="169"/>
      <c r="AG97" s="169"/>
      <c r="AH97" s="169"/>
      <c r="AI97" s="169"/>
      <c r="AJ97" s="1"/>
      <c r="AK97" s="169"/>
      <c r="AL97" s="169"/>
      <c r="AM97" s="169"/>
      <c r="AN97" s="169"/>
      <c r="AO97" s="671"/>
      <c r="AP97" s="406"/>
      <c r="AW97" s="80"/>
    </row>
    <row r="98" spans="1:72" s="1501" customFormat="1" ht="20">
      <c r="A98" s="1491" t="s">
        <v>810</v>
      </c>
      <c r="B98" s="1492"/>
      <c r="C98" s="1492"/>
      <c r="D98" s="1492"/>
      <c r="E98" s="1492"/>
      <c r="F98" s="1468">
        <f t="shared" si="151"/>
        <v>4512000</v>
      </c>
      <c r="G98" s="1502"/>
      <c r="H98" s="1503"/>
      <c r="I98" s="1504"/>
      <c r="J98" s="1504"/>
      <c r="K98" s="1504"/>
      <c r="L98" s="1504"/>
      <c r="M98" s="1468">
        <f>376000*12</f>
        <v>4512000</v>
      </c>
      <c r="N98" s="1505"/>
      <c r="O98" s="1506"/>
      <c r="P98" s="1504"/>
      <c r="Q98" s="1504"/>
      <c r="R98" s="1504"/>
      <c r="S98" s="1504"/>
      <c r="T98" s="1468">
        <f>750000*12</f>
        <v>9000000</v>
      </c>
      <c r="U98" s="1500"/>
      <c r="V98" s="1496"/>
      <c r="W98" s="1496"/>
      <c r="X98" s="1496"/>
      <c r="Y98" s="1496"/>
      <c r="Z98" s="1430"/>
      <c r="AA98" s="1496"/>
      <c r="AB98" s="1496"/>
      <c r="AC98" s="1496"/>
      <c r="AD98" s="1498"/>
      <c r="AE98" s="1496"/>
      <c r="AF98" s="1496"/>
      <c r="AG98" s="1496"/>
      <c r="AH98" s="1496"/>
      <c r="AI98" s="1496"/>
      <c r="AJ98" s="1498"/>
      <c r="AK98" s="1496"/>
      <c r="AL98" s="1496"/>
      <c r="AM98" s="1496"/>
      <c r="AN98" s="1496"/>
      <c r="AO98" s="1497"/>
      <c r="AP98" s="1428"/>
      <c r="AQ98" s="1498"/>
      <c r="AR98" s="1498"/>
      <c r="AS98" s="1498"/>
      <c r="AT98" s="1498"/>
      <c r="AU98" s="1498"/>
      <c r="AV98" s="1498"/>
      <c r="AW98" s="1500"/>
      <c r="AX98" s="1498"/>
      <c r="AY98" s="1498"/>
      <c r="AZ98" s="1498"/>
      <c r="BA98" s="1498"/>
      <c r="BB98" s="1498"/>
      <c r="BI98" s="1498"/>
      <c r="BJ98" s="1498"/>
      <c r="BK98" s="1498"/>
      <c r="BL98" s="1498"/>
      <c r="BM98" s="1498"/>
      <c r="BN98" s="1498"/>
      <c r="BO98" s="1498"/>
      <c r="BP98" s="1498"/>
      <c r="BQ98" s="1498"/>
      <c r="BR98" s="1498"/>
      <c r="BS98" s="1498"/>
      <c r="BT98" s="1498"/>
    </row>
    <row r="99" spans="1:72" s="1515" customFormat="1" ht="40">
      <c r="A99" s="1507" t="s">
        <v>784</v>
      </c>
      <c r="B99" s="1508"/>
      <c r="C99" s="1508"/>
      <c r="D99" s="1509"/>
      <c r="E99" s="1508"/>
      <c r="F99" s="1510">
        <f>T99</f>
        <v>7420524.7052397318</v>
      </c>
      <c r="G99" s="1511"/>
      <c r="H99" s="1512"/>
      <c r="I99" s="1511"/>
      <c r="J99" s="1511"/>
      <c r="K99" s="1511"/>
      <c r="L99" s="1511"/>
      <c r="M99" s="1510">
        <f>M55</f>
        <v>5340685.0874294061</v>
      </c>
      <c r="N99" s="1511"/>
      <c r="O99" s="1511"/>
      <c r="P99" s="1511"/>
      <c r="Q99" s="1511"/>
      <c r="R99" s="1511"/>
      <c r="S99" s="1511"/>
      <c r="T99" s="1510">
        <f>T55</f>
        <v>7420524.7052397318</v>
      </c>
      <c r="U99" s="1508"/>
      <c r="V99" s="1508"/>
      <c r="W99" s="1508"/>
      <c r="X99" s="1508"/>
      <c r="Y99" s="1508"/>
      <c r="Z99" s="1513"/>
      <c r="AA99" s="1508"/>
      <c r="AB99" s="1508"/>
      <c r="AC99" s="1508"/>
      <c r="AD99" s="1508"/>
      <c r="AE99" s="1508"/>
      <c r="AF99" s="1508"/>
      <c r="AG99" s="1508"/>
      <c r="AH99" s="1508"/>
      <c r="AI99" s="1508"/>
      <c r="AJ99" s="1507"/>
      <c r="AK99" s="1508"/>
      <c r="AL99" s="1508"/>
      <c r="AM99" s="1508"/>
      <c r="AN99" s="1508"/>
      <c r="AO99" s="1514"/>
      <c r="AP99" s="1513"/>
      <c r="AQ99" s="1508"/>
      <c r="AR99" s="1508"/>
      <c r="AS99" s="1508"/>
      <c r="AT99" s="1508"/>
      <c r="AU99" s="1508"/>
      <c r="AV99" s="1508"/>
      <c r="AW99" s="1508"/>
      <c r="AX99" s="1508"/>
      <c r="AY99" s="1508"/>
      <c r="AZ99" s="1508"/>
      <c r="BA99" s="1508"/>
      <c r="BB99" s="1508"/>
      <c r="BI99" s="1508"/>
      <c r="BJ99" s="1508"/>
      <c r="BK99" s="1508"/>
      <c r="BL99" s="1508"/>
      <c r="BM99" s="1508"/>
      <c r="BN99" s="1508"/>
      <c r="BO99" s="1508"/>
      <c r="BP99" s="1508"/>
      <c r="BQ99" s="1508"/>
      <c r="BR99" s="1508"/>
      <c r="BS99" s="1508"/>
      <c r="BT99" s="1508"/>
    </row>
    <row r="100" spans="1:72" s="1459" customFormat="1" ht="20" outlineLevel="1">
      <c r="A100" s="1457" t="s">
        <v>789</v>
      </c>
      <c r="B100" s="1457"/>
      <c r="C100" s="1457"/>
      <c r="D100" s="1457"/>
      <c r="E100" s="1457"/>
      <c r="F100" s="1458">
        <f>F101+F102</f>
        <v>50425005.288461544</v>
      </c>
      <c r="G100" s="1457"/>
      <c r="I100" s="1457"/>
      <c r="J100" s="1457"/>
      <c r="K100" s="1457"/>
      <c r="L100" s="1457"/>
      <c r="M100" s="1458">
        <f>M101+M102</f>
        <v>56856660.688999251</v>
      </c>
      <c r="N100" s="1457"/>
      <c r="O100" s="1457"/>
      <c r="P100" s="1457"/>
      <c r="Q100" s="1457"/>
      <c r="R100" s="1457"/>
      <c r="S100" s="1457"/>
      <c r="T100" s="1458">
        <f>T101+T102</f>
        <v>50425005.288461544</v>
      </c>
      <c r="U100" s="1457"/>
      <c r="V100" s="1457"/>
      <c r="W100" s="1457"/>
      <c r="X100" s="1457"/>
      <c r="Y100" s="1457"/>
      <c r="Z100" s="1460"/>
      <c r="AA100" s="1457"/>
      <c r="AB100" s="1457"/>
      <c r="AC100" s="1457"/>
      <c r="AD100" s="1457"/>
      <c r="AE100" s="1457"/>
      <c r="AF100" s="1457"/>
      <c r="AG100" s="1457"/>
      <c r="AH100" s="1457"/>
      <c r="AI100" s="1457"/>
      <c r="AJ100" s="1457"/>
      <c r="AK100" s="1457"/>
      <c r="AL100" s="1457"/>
      <c r="AM100" s="1457"/>
      <c r="AN100" s="1457"/>
      <c r="AO100" s="1457"/>
      <c r="AP100" s="1460"/>
      <c r="AQ100" s="1457"/>
      <c r="AR100" s="1457"/>
      <c r="AS100" s="1457"/>
      <c r="AT100" s="1457"/>
      <c r="AU100" s="1457"/>
      <c r="AV100" s="1457"/>
      <c r="AW100" s="1457"/>
      <c r="AX100" s="1457"/>
      <c r="AY100" s="1457"/>
      <c r="AZ100" s="1457"/>
      <c r="BA100" s="1457"/>
      <c r="BB100" s="1457"/>
      <c r="BI100" s="1457"/>
      <c r="BJ100" s="1457"/>
      <c r="BK100" s="1457"/>
      <c r="BL100" s="1457"/>
      <c r="BM100" s="1457"/>
      <c r="BN100" s="1457"/>
      <c r="BO100" s="1457"/>
      <c r="BP100" s="1457"/>
      <c r="BQ100" s="1457"/>
      <c r="BR100" s="1457"/>
      <c r="BS100" s="1457"/>
      <c r="BT100" s="1457"/>
    </row>
    <row r="101" spans="1:72" ht="20" outlineLevel="1">
      <c r="A101" s="13" t="s">
        <v>790</v>
      </c>
      <c r="F101" s="406">
        <f>T101</f>
        <v>50425005.288461544</v>
      </c>
      <c r="M101" s="406">
        <f>M52</f>
        <v>50425005.288461544</v>
      </c>
      <c r="T101" s="406">
        <f>T52</f>
        <v>50425005.288461544</v>
      </c>
    </row>
    <row r="102" spans="1:72" ht="20" outlineLevel="1">
      <c r="A102" s="161" t="s">
        <v>787</v>
      </c>
      <c r="F102" s="406">
        <f>T102</f>
        <v>0</v>
      </c>
      <c r="M102" s="406">
        <f>M71</f>
        <v>6431655.400537705</v>
      </c>
      <c r="T102" s="406">
        <f>T71</f>
        <v>0</v>
      </c>
    </row>
    <row r="103" spans="1:72" s="887" customFormat="1" ht="20">
      <c r="A103" s="104" t="s">
        <v>792</v>
      </c>
      <c r="B103" s="14"/>
      <c r="C103" s="14"/>
      <c r="D103" s="1406"/>
      <c r="E103" s="14"/>
      <c r="F103" s="880">
        <f>T44</f>
        <v>141270742.52357477</v>
      </c>
      <c r="G103" s="14"/>
      <c r="H103" s="888"/>
      <c r="I103" s="14"/>
      <c r="J103" s="14"/>
      <c r="K103" s="14"/>
      <c r="L103" s="14"/>
      <c r="M103" s="880">
        <f>M44</f>
        <v>84617091.422361463</v>
      </c>
      <c r="N103" s="14"/>
      <c r="O103" s="14"/>
      <c r="P103" s="14"/>
      <c r="Q103" s="14"/>
      <c r="R103" s="14"/>
      <c r="S103" s="14"/>
      <c r="T103" s="880">
        <f>T44</f>
        <v>141270742.52357477</v>
      </c>
      <c r="U103" s="14"/>
      <c r="V103" s="14"/>
      <c r="W103" s="14"/>
      <c r="X103" s="14"/>
      <c r="Y103" s="14"/>
      <c r="Z103" s="893"/>
      <c r="AA103" s="14"/>
      <c r="AB103" s="14"/>
      <c r="AC103" s="14"/>
      <c r="AD103" s="14"/>
      <c r="AE103" s="14"/>
      <c r="AF103" s="14"/>
      <c r="AG103" s="14"/>
      <c r="AH103" s="14"/>
      <c r="AI103" s="14"/>
      <c r="AJ103" s="1407"/>
      <c r="AK103" s="14"/>
      <c r="AL103" s="14"/>
      <c r="AM103" s="14"/>
      <c r="AN103" s="14"/>
      <c r="AO103" s="1408"/>
      <c r="AP103" s="893"/>
      <c r="AQ103" s="14"/>
      <c r="AR103" s="14"/>
      <c r="AS103" s="14"/>
      <c r="AT103" s="14"/>
      <c r="AU103" s="14"/>
      <c r="AV103" s="14"/>
      <c r="AW103" s="14"/>
      <c r="AX103" s="14"/>
      <c r="AY103" s="14"/>
      <c r="AZ103" s="14"/>
      <c r="BA103" s="14"/>
      <c r="BB103" s="14"/>
      <c r="BI103" s="14"/>
      <c r="BJ103" s="14"/>
      <c r="BK103" s="14"/>
      <c r="BL103" s="14"/>
      <c r="BM103" s="14"/>
      <c r="BN103" s="14"/>
      <c r="BO103" s="14"/>
      <c r="BP103" s="14"/>
      <c r="BQ103" s="14"/>
      <c r="BR103" s="14"/>
      <c r="BS103" s="14"/>
      <c r="BT103" s="14"/>
    </row>
    <row r="104" spans="1:72" ht="20">
      <c r="A104" s="13" t="s">
        <v>815</v>
      </c>
      <c r="F104" s="1151">
        <f>F91/F103</f>
        <v>4.9878994575427493E-2</v>
      </c>
      <c r="M104" s="1151">
        <f>M91/M103</f>
        <v>8.3274460059470451E-2</v>
      </c>
      <c r="T104" s="1151">
        <f>T91/T103</f>
        <v>4.9878994575427493E-2</v>
      </c>
    </row>
    <row r="105" spans="1:72" ht="20">
      <c r="A105" s="13" t="s">
        <v>814</v>
      </c>
      <c r="F105" s="1314">
        <f>F95/F103</f>
        <v>3.5393032631407155E-3</v>
      </c>
      <c r="M105" s="1314">
        <f>M95/M103</f>
        <v>5.9089717171236485E-3</v>
      </c>
      <c r="T105" s="1151">
        <f>(T95+(T98-M98))/T103</f>
        <v>4.4510277837257639E-2</v>
      </c>
    </row>
    <row r="106" spans="1:72" ht="20">
      <c r="A106" s="161" t="s">
        <v>813</v>
      </c>
      <c r="F106" s="1151">
        <f>(F98+F99)/F103</f>
        <v>8.4465647253524373E-2</v>
      </c>
      <c r="M106" s="1151">
        <f>(M98+M99)/M103</f>
        <v>0.11643847503869262</v>
      </c>
      <c r="T106" s="1151">
        <f>(T98-M98+T99)/T103</f>
        <v>8.4295760696893623E-2</v>
      </c>
    </row>
    <row r="107" spans="1:72" s="1421" customFormat="1" ht="40" outlineLevel="1">
      <c r="A107" s="1401" t="s">
        <v>801</v>
      </c>
      <c r="B107" s="1414"/>
      <c r="C107" s="1414"/>
      <c r="D107" s="1415"/>
      <c r="E107" s="1414"/>
      <c r="F107" s="1417">
        <f>F103-F84</f>
        <v>66730769.929873496</v>
      </c>
      <c r="G107" s="1414"/>
      <c r="H107" s="1416"/>
      <c r="I107" s="1414"/>
      <c r="J107" s="1414"/>
      <c r="K107" s="1414"/>
      <c r="L107" s="1414"/>
      <c r="M107" s="1417">
        <f>M103-M84</f>
        <v>5725303.0459327996</v>
      </c>
      <c r="N107" s="1414"/>
      <c r="O107" s="1414"/>
      <c r="P107" s="1414"/>
      <c r="Q107" s="1414"/>
      <c r="R107" s="1414"/>
      <c r="S107" s="1414"/>
      <c r="T107" s="1417">
        <f>T103-T84</f>
        <v>56766769.929873496</v>
      </c>
      <c r="U107" s="1414"/>
      <c r="V107" s="1414"/>
      <c r="W107" s="1414"/>
      <c r="X107" s="1414"/>
      <c r="Y107" s="1414"/>
      <c r="Z107" s="1418"/>
      <c r="AA107" s="1414"/>
      <c r="AB107" s="1414"/>
      <c r="AC107" s="1414"/>
      <c r="AD107" s="1414"/>
      <c r="AE107" s="1414"/>
      <c r="AF107" s="1414"/>
      <c r="AG107" s="1414"/>
      <c r="AH107" s="1414"/>
      <c r="AI107" s="1414"/>
      <c r="AJ107" s="1419"/>
      <c r="AK107" s="1414"/>
      <c r="AL107" s="1414"/>
      <c r="AM107" s="1414"/>
      <c r="AN107" s="1414"/>
      <c r="AO107" s="1420"/>
      <c r="AP107" s="1418"/>
      <c r="AQ107" s="1414"/>
      <c r="AR107" s="1414"/>
      <c r="AS107" s="1414"/>
      <c r="AT107" s="1414"/>
      <c r="AU107" s="1414"/>
      <c r="AV107" s="1414"/>
      <c r="AW107" s="1414"/>
      <c r="AX107" s="1414"/>
      <c r="AY107" s="1414"/>
      <c r="AZ107" s="1414"/>
      <c r="BA107" s="1414"/>
      <c r="BB107" s="1414"/>
      <c r="BI107" s="1414"/>
      <c r="BJ107" s="1414"/>
      <c r="BK107" s="1414"/>
      <c r="BL107" s="1414"/>
      <c r="BM107" s="1414"/>
      <c r="BN107" s="1414"/>
      <c r="BO107" s="1414"/>
      <c r="BP107" s="1414"/>
      <c r="BQ107" s="1414"/>
      <c r="BR107" s="1414"/>
      <c r="BS107" s="1414"/>
      <c r="BT107" s="1414"/>
    </row>
    <row r="108" spans="1:72" s="1421" customFormat="1" ht="60" outlineLevel="1">
      <c r="A108" s="1401" t="s">
        <v>613</v>
      </c>
      <c r="B108" s="1414"/>
      <c r="C108" s="1414"/>
      <c r="D108" s="1415"/>
      <c r="E108" s="1414"/>
      <c r="F108" s="1417">
        <f>T108</f>
        <v>110415090.80942813</v>
      </c>
      <c r="G108" s="1414"/>
      <c r="H108" s="1416"/>
      <c r="I108" s="1414"/>
      <c r="J108" s="1414"/>
      <c r="K108" s="1414"/>
      <c r="L108" s="1414"/>
      <c r="M108" s="1417">
        <f>M77</f>
        <v>54520000.000000007</v>
      </c>
      <c r="N108" s="1414"/>
      <c r="O108" s="1414"/>
      <c r="P108" s="1414"/>
      <c r="Q108" s="1414"/>
      <c r="R108" s="1414"/>
      <c r="S108" s="1414"/>
      <c r="T108" s="1417">
        <f>T77</f>
        <v>110415090.80942813</v>
      </c>
      <c r="U108" s="1414"/>
      <c r="V108" s="1414"/>
      <c r="W108" s="1414"/>
      <c r="X108" s="1414"/>
      <c r="Y108" s="1414"/>
      <c r="Z108" s="1418"/>
      <c r="AA108" s="1414"/>
      <c r="AB108" s="1414"/>
      <c r="AC108" s="1414"/>
      <c r="AD108" s="1414"/>
      <c r="AE108" s="1414"/>
      <c r="AF108" s="1414"/>
      <c r="AG108" s="1414"/>
      <c r="AH108" s="1414"/>
      <c r="AI108" s="1414"/>
      <c r="AJ108" s="1419"/>
      <c r="AK108" s="1414"/>
      <c r="AL108" s="1414"/>
      <c r="AM108" s="1414"/>
      <c r="AN108" s="1414"/>
      <c r="AO108" s="1420"/>
      <c r="AP108" s="1418"/>
      <c r="AQ108" s="1414"/>
      <c r="AR108" s="1414"/>
      <c r="AS108" s="1414"/>
      <c r="AT108" s="1414"/>
      <c r="AU108" s="1414"/>
      <c r="AV108" s="1414"/>
      <c r="AW108" s="1414"/>
      <c r="AX108" s="1414"/>
      <c r="AY108" s="1414"/>
      <c r="AZ108" s="1414"/>
      <c r="BA108" s="1414"/>
      <c r="BB108" s="1414"/>
      <c r="BI108" s="1414"/>
      <c r="BJ108" s="1414"/>
      <c r="BK108" s="1414"/>
      <c r="BL108" s="1414"/>
      <c r="BM108" s="1414"/>
      <c r="BN108" s="1414"/>
      <c r="BO108" s="1414"/>
      <c r="BP108" s="1414"/>
      <c r="BQ108" s="1414"/>
      <c r="BR108" s="1414"/>
      <c r="BS108" s="1414"/>
      <c r="BT108" s="1414"/>
    </row>
    <row r="109" spans="1:72" s="1464" customFormat="1" ht="20" outlineLevel="1">
      <c r="A109" s="1401" t="s">
        <v>612</v>
      </c>
      <c r="B109" s="1401"/>
      <c r="C109" s="1401"/>
      <c r="D109" s="1462"/>
      <c r="E109" s="1401"/>
      <c r="F109" s="1463">
        <f>F107+F108</f>
        <v>177145860.73930162</v>
      </c>
      <c r="G109" s="1401"/>
      <c r="I109" s="1401"/>
      <c r="J109" s="1401"/>
      <c r="K109" s="1401"/>
      <c r="L109" s="1401"/>
      <c r="M109" s="1463">
        <f>M107+M108</f>
        <v>60245303.045932807</v>
      </c>
      <c r="N109" s="1401"/>
      <c r="O109" s="1401"/>
      <c r="P109" s="1401"/>
      <c r="Q109" s="1401"/>
      <c r="R109" s="1401"/>
      <c r="S109" s="1401"/>
      <c r="T109" s="1463">
        <f>T107+T108</f>
        <v>167181860.73930162</v>
      </c>
      <c r="U109" s="1401"/>
      <c r="V109" s="1401"/>
      <c r="W109" s="1401"/>
      <c r="X109" s="1401"/>
      <c r="Y109" s="1401"/>
      <c r="Z109" s="1465"/>
      <c r="AA109" s="1401"/>
      <c r="AB109" s="1401"/>
      <c r="AC109" s="1401"/>
      <c r="AD109" s="1401"/>
      <c r="AE109" s="1401"/>
      <c r="AF109" s="1401"/>
      <c r="AG109" s="1401"/>
      <c r="AH109" s="1401"/>
      <c r="AI109" s="1401"/>
      <c r="AJ109" s="1466"/>
      <c r="AK109" s="1401"/>
      <c r="AL109" s="1401"/>
      <c r="AM109" s="1401"/>
      <c r="AN109" s="1401"/>
      <c r="AO109" s="1467"/>
      <c r="AP109" s="1465"/>
      <c r="AQ109" s="1401"/>
      <c r="AR109" s="1401"/>
      <c r="AS109" s="1401"/>
      <c r="AT109" s="1401"/>
      <c r="AU109" s="1401"/>
      <c r="AV109" s="1401"/>
      <c r="AW109" s="1401"/>
      <c r="AX109" s="1401"/>
      <c r="AY109" s="1401"/>
      <c r="AZ109" s="1401"/>
      <c r="BA109" s="1401"/>
      <c r="BB109" s="1401"/>
      <c r="BI109" s="1401"/>
      <c r="BJ109" s="1401"/>
      <c r="BK109" s="1401"/>
      <c r="BL109" s="1401"/>
      <c r="BM109" s="1401"/>
      <c r="BN109" s="1401"/>
      <c r="BO109" s="1401"/>
      <c r="BP109" s="1401"/>
      <c r="BQ109" s="1401"/>
      <c r="BR109" s="1401"/>
      <c r="BS109" s="1401"/>
      <c r="BT109" s="1401"/>
    </row>
    <row r="110" spans="1:72">
      <c r="A110" s="1432"/>
      <c r="M110" s="1431"/>
      <c r="N110" s="169"/>
      <c r="T110" s="1246"/>
      <c r="U110" s="939"/>
    </row>
    <row r="111" spans="1:72" s="1022" customFormat="1" ht="40">
      <c r="A111" s="1409" t="s">
        <v>817</v>
      </c>
      <c r="B111" s="104"/>
      <c r="C111" s="104"/>
      <c r="D111" s="1410"/>
      <c r="E111" s="104"/>
      <c r="F111" s="880">
        <f>F90/100*10+F90</f>
        <v>21426864.035763703</v>
      </c>
      <c r="G111" s="104"/>
      <c r="I111" s="104"/>
      <c r="J111" s="104"/>
      <c r="K111" s="104"/>
      <c r="L111" s="104"/>
      <c r="M111" s="880">
        <f>M90/100*10+M90</f>
        <v>19139040.456172347</v>
      </c>
      <c r="N111" s="883"/>
      <c r="O111" s="104"/>
      <c r="P111" s="104"/>
      <c r="Q111" s="104"/>
      <c r="R111" s="104"/>
      <c r="S111" s="104"/>
      <c r="T111" s="880">
        <f>T90/100*10+T90</f>
        <v>27793664.035763707</v>
      </c>
      <c r="U111" s="1411"/>
      <c r="V111" s="104"/>
      <c r="W111" s="104"/>
      <c r="X111" s="104"/>
      <c r="Y111" s="104"/>
      <c r="Z111" s="1399"/>
      <c r="AA111" s="104"/>
      <c r="AB111" s="104"/>
      <c r="AC111" s="104"/>
      <c r="AD111" s="104"/>
      <c r="AE111" s="104"/>
      <c r="AF111" s="104"/>
      <c r="AG111" s="104"/>
      <c r="AH111" s="104"/>
      <c r="AI111" s="104"/>
      <c r="AJ111" s="1412"/>
      <c r="AK111" s="104"/>
      <c r="AL111" s="104"/>
      <c r="AM111" s="104"/>
      <c r="AN111" s="104"/>
      <c r="AO111" s="1413"/>
      <c r="AP111" s="1399"/>
      <c r="AQ111" s="104"/>
      <c r="AR111" s="104"/>
      <c r="AS111" s="104"/>
      <c r="AT111" s="104"/>
      <c r="AU111" s="104"/>
      <c r="AV111" s="104"/>
      <c r="AW111" s="104"/>
      <c r="AX111" s="104"/>
      <c r="AY111" s="104"/>
      <c r="AZ111" s="104"/>
      <c r="BA111" s="104"/>
      <c r="BB111" s="104"/>
      <c r="BI111" s="104"/>
      <c r="BJ111" s="104"/>
      <c r="BK111" s="104"/>
      <c r="BL111" s="104"/>
      <c r="BM111" s="104"/>
      <c r="BN111" s="104"/>
      <c r="BO111" s="104"/>
      <c r="BP111" s="104"/>
      <c r="BQ111" s="104"/>
      <c r="BR111" s="104"/>
      <c r="BS111" s="104"/>
      <c r="BT111" s="104"/>
    </row>
    <row r="112" spans="1:72" s="61" customFormat="1" ht="40">
      <c r="A112" s="87" t="s">
        <v>802</v>
      </c>
      <c r="B112" s="1"/>
      <c r="C112" s="1"/>
      <c r="D112" s="1057"/>
      <c r="E112" s="1"/>
      <c r="F112" s="1151">
        <f>F111/F103</f>
        <v>0.15167233960130183</v>
      </c>
      <c r="G112" s="1"/>
      <c r="H112" s="2"/>
      <c r="I112" s="1"/>
      <c r="J112" s="1"/>
      <c r="K112" s="1"/>
      <c r="L112" s="1"/>
      <c r="M112" s="1151">
        <f>M111/M103</f>
        <v>0.2261840974968154</v>
      </c>
      <c r="N112" s="169"/>
      <c r="O112" s="1"/>
      <c r="P112" s="1"/>
      <c r="Q112" s="1"/>
      <c r="R112" s="1"/>
      <c r="S112" s="1"/>
      <c r="T112" s="1151">
        <f>T111/T103</f>
        <v>0.19674041163283046</v>
      </c>
      <c r="U112" s="1427"/>
      <c r="V112" s="13"/>
      <c r="W112" s="13"/>
      <c r="X112" s="13"/>
      <c r="Y112" s="13"/>
      <c r="Z112" s="297"/>
      <c r="AA112" s="13"/>
      <c r="AB112" s="13"/>
      <c r="AC112" s="13"/>
      <c r="AD112" s="13"/>
      <c r="AE112" s="13"/>
      <c r="AF112" s="13"/>
      <c r="AG112" s="13"/>
      <c r="AH112" s="13"/>
      <c r="AI112" s="13"/>
      <c r="AJ112" s="826"/>
      <c r="AK112" s="13"/>
      <c r="AL112" s="13"/>
      <c r="AM112" s="13"/>
      <c r="AN112" s="13"/>
      <c r="AO112" s="614"/>
      <c r="AP112" s="297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I112" s="13"/>
      <c r="BJ112" s="13"/>
      <c r="BK112" s="13"/>
      <c r="BL112" s="13"/>
      <c r="BM112" s="13"/>
      <c r="BN112" s="13"/>
      <c r="BO112" s="13"/>
      <c r="BP112" s="13"/>
      <c r="BQ112" s="13"/>
      <c r="BR112" s="13"/>
      <c r="BS112" s="13"/>
      <c r="BT112" s="13"/>
    </row>
    <row r="113" spans="1:72" s="1022" customFormat="1" ht="20">
      <c r="A113" s="1409" t="s">
        <v>818</v>
      </c>
      <c r="B113" s="104"/>
      <c r="C113" s="104"/>
      <c r="D113" s="1410"/>
      <c r="E113" s="104"/>
      <c r="F113" s="1518">
        <f>F86</f>
        <v>4636000</v>
      </c>
      <c r="G113" s="104"/>
      <c r="I113" s="104"/>
      <c r="J113" s="104"/>
      <c r="K113" s="104"/>
      <c r="L113" s="104"/>
      <c r="M113" s="1518">
        <f>M86</f>
        <v>4636000</v>
      </c>
      <c r="N113" s="883"/>
      <c r="O113" s="104"/>
      <c r="P113" s="104"/>
      <c r="Q113" s="104"/>
      <c r="R113" s="104"/>
      <c r="S113" s="104"/>
      <c r="T113" s="1518">
        <f>T86</f>
        <v>8812000</v>
      </c>
      <c r="U113" s="1411"/>
      <c r="V113" s="104"/>
      <c r="W113" s="104"/>
      <c r="X113" s="104"/>
      <c r="Y113" s="104"/>
      <c r="Z113" s="1399"/>
      <c r="AA113" s="104"/>
      <c r="AB113" s="104"/>
      <c r="AC113" s="104"/>
      <c r="AD113" s="104"/>
      <c r="AE113" s="104"/>
      <c r="AF113" s="104"/>
      <c r="AG113" s="104"/>
      <c r="AH113" s="104"/>
      <c r="AI113" s="104"/>
      <c r="AJ113" s="1412"/>
      <c r="AK113" s="104"/>
      <c r="AL113" s="104"/>
      <c r="AM113" s="104"/>
      <c r="AN113" s="104"/>
      <c r="AO113" s="1413"/>
      <c r="AP113" s="1399"/>
      <c r="AQ113" s="104"/>
      <c r="AR113" s="104"/>
      <c r="AS113" s="104"/>
      <c r="AT113" s="104"/>
      <c r="AU113" s="104"/>
      <c r="AV113" s="104"/>
      <c r="AW113" s="104"/>
      <c r="AX113" s="104"/>
      <c r="AY113" s="104"/>
      <c r="AZ113" s="104"/>
      <c r="BA113" s="104"/>
      <c r="BB113" s="104"/>
      <c r="BI113" s="104"/>
      <c r="BJ113" s="104"/>
      <c r="BK113" s="104"/>
      <c r="BL113" s="104"/>
      <c r="BM113" s="104"/>
      <c r="BN113" s="104"/>
      <c r="BO113" s="104"/>
      <c r="BP113" s="104"/>
      <c r="BQ113" s="104"/>
      <c r="BR113" s="104"/>
      <c r="BS113" s="104"/>
      <c r="BT113" s="104"/>
    </row>
    <row r="114" spans="1:72" s="1022" customFormat="1" ht="20">
      <c r="A114" s="1409" t="s">
        <v>816</v>
      </c>
      <c r="B114" s="104"/>
      <c r="C114" s="104"/>
      <c r="D114" s="1410"/>
      <c r="E114" s="104"/>
      <c r="F114" s="1518">
        <f>F111-F113</f>
        <v>16790864.035763703</v>
      </c>
      <c r="G114" s="104"/>
      <c r="I114" s="104"/>
      <c r="J114" s="104"/>
      <c r="K114" s="104"/>
      <c r="L114" s="104"/>
      <c r="M114" s="1518">
        <f>M111-M113</f>
        <v>14503040.456172347</v>
      </c>
      <c r="N114" s="883"/>
      <c r="O114" s="104"/>
      <c r="P114" s="104"/>
      <c r="Q114" s="104"/>
      <c r="R114" s="104"/>
      <c r="S114" s="104"/>
      <c r="T114" s="1518">
        <f>T111-T113</f>
        <v>18981664.035763707</v>
      </c>
      <c r="U114" s="1411"/>
      <c r="V114" s="104"/>
      <c r="W114" s="104"/>
      <c r="X114" s="104"/>
      <c r="Y114" s="104"/>
      <c r="Z114" s="1399"/>
      <c r="AA114" s="104"/>
      <c r="AB114" s="104"/>
      <c r="AC114" s="104"/>
      <c r="AD114" s="104"/>
      <c r="AE114" s="104"/>
      <c r="AF114" s="104"/>
      <c r="AG114" s="104"/>
      <c r="AH114" s="104"/>
      <c r="AI114" s="104"/>
      <c r="AJ114" s="1412"/>
      <c r="AK114" s="104"/>
      <c r="AL114" s="104"/>
      <c r="AM114" s="104"/>
      <c r="AN114" s="104"/>
      <c r="AO114" s="1413"/>
      <c r="AP114" s="1399"/>
      <c r="AQ114" s="104"/>
      <c r="AR114" s="104"/>
      <c r="AS114" s="104"/>
      <c r="AT114" s="104"/>
      <c r="AU114" s="104"/>
      <c r="AV114" s="104"/>
      <c r="AW114" s="104"/>
      <c r="AX114" s="104"/>
      <c r="AY114" s="104"/>
      <c r="AZ114" s="104"/>
      <c r="BA114" s="104"/>
      <c r="BB114" s="104"/>
      <c r="BI114" s="104"/>
      <c r="BJ114" s="104"/>
      <c r="BK114" s="104"/>
      <c r="BL114" s="104"/>
      <c r="BM114" s="104"/>
      <c r="BN114" s="104"/>
      <c r="BO114" s="104"/>
      <c r="BP114" s="104"/>
      <c r="BQ114" s="104"/>
      <c r="BR114" s="104"/>
      <c r="BS114" s="104"/>
      <c r="BT114" s="104"/>
    </row>
    <row r="115" spans="1:72" s="61" customFormat="1" ht="40">
      <c r="A115" s="87" t="s">
        <v>802</v>
      </c>
      <c r="B115" s="1"/>
      <c r="C115" s="1"/>
      <c r="D115" s="1057"/>
      <c r="E115" s="1"/>
      <c r="F115" s="1151">
        <f>F114/F103</f>
        <v>0.11885591974546111</v>
      </c>
      <c r="G115" s="1"/>
      <c r="H115" s="2"/>
      <c r="I115" s="1"/>
      <c r="J115" s="1"/>
      <c r="K115" s="1"/>
      <c r="L115" s="1"/>
      <c r="M115" s="1151">
        <f>M114/M103</f>
        <v>0.17139611173564492</v>
      </c>
      <c r="N115" s="169"/>
      <c r="O115" s="1"/>
      <c r="P115" s="1"/>
      <c r="Q115" s="1"/>
      <c r="R115" s="1"/>
      <c r="S115" s="1"/>
      <c r="T115" s="1151">
        <f>T114/T103</f>
        <v>0.1343637309232385</v>
      </c>
      <c r="U115" s="1427"/>
      <c r="V115" s="13"/>
      <c r="W115" s="13"/>
      <c r="X115" s="13"/>
      <c r="Y115" s="13"/>
      <c r="Z115" s="297"/>
      <c r="AA115" s="13"/>
      <c r="AB115" s="13"/>
      <c r="AC115" s="13"/>
      <c r="AD115" s="13"/>
      <c r="AE115" s="13"/>
      <c r="AF115" s="13"/>
      <c r="AG115" s="13"/>
      <c r="AH115" s="13"/>
      <c r="AI115" s="13"/>
      <c r="AJ115" s="826"/>
      <c r="AK115" s="13"/>
      <c r="AL115" s="13"/>
      <c r="AM115" s="13"/>
      <c r="AN115" s="13"/>
      <c r="AO115" s="614"/>
      <c r="AP115" s="297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I115" s="13"/>
      <c r="BJ115" s="13"/>
      <c r="BK115" s="13"/>
      <c r="BL115" s="13"/>
      <c r="BM115" s="13"/>
      <c r="BN115" s="13"/>
      <c r="BO115" s="13"/>
      <c r="BP115" s="13"/>
      <c r="BQ115" s="13"/>
      <c r="BR115" s="13"/>
      <c r="BS115" s="13"/>
      <c r="BT115" s="13"/>
    </row>
    <row r="116" spans="1:72" s="1319" customFormat="1" ht="20">
      <c r="A116" s="1532" t="s">
        <v>821</v>
      </c>
      <c r="B116" s="1320"/>
      <c r="C116" s="1320"/>
      <c r="D116" s="1533"/>
      <c r="E116" s="1320"/>
      <c r="F116" s="1534">
        <f>100%-F115</f>
        <v>0.88114408025453894</v>
      </c>
      <c r="G116" s="1320"/>
      <c r="I116" s="1320"/>
      <c r="J116" s="1320"/>
      <c r="K116" s="1320"/>
      <c r="L116" s="1320"/>
      <c r="M116" s="1534">
        <f>100%-M115</f>
        <v>0.82860388826435505</v>
      </c>
      <c r="N116" s="672"/>
      <c r="O116" s="1320"/>
      <c r="P116" s="1320"/>
      <c r="Q116" s="1320"/>
      <c r="R116" s="1320"/>
      <c r="S116" s="1320"/>
      <c r="T116" s="1534">
        <f>100%-T115</f>
        <v>0.8656362690767615</v>
      </c>
      <c r="U116" s="1529"/>
      <c r="V116" s="1320"/>
      <c r="W116" s="1320"/>
      <c r="X116" s="1320"/>
      <c r="Y116" s="1320"/>
      <c r="Z116" s="1321"/>
      <c r="AA116" s="1320"/>
      <c r="AB116" s="1320"/>
      <c r="AC116" s="1320"/>
      <c r="AD116" s="1320"/>
      <c r="AE116" s="1320"/>
      <c r="AF116" s="1320"/>
      <c r="AG116" s="1320"/>
      <c r="AH116" s="1320"/>
      <c r="AI116" s="1320"/>
      <c r="AJ116" s="1530"/>
      <c r="AK116" s="1320"/>
      <c r="AL116" s="1320"/>
      <c r="AM116" s="1320"/>
      <c r="AN116" s="1320"/>
      <c r="AO116" s="1531"/>
      <c r="AP116" s="1321"/>
      <c r="AQ116" s="1320"/>
      <c r="AR116" s="1320"/>
      <c r="AS116" s="1320"/>
      <c r="AT116" s="1320"/>
      <c r="AU116" s="1320"/>
      <c r="AV116" s="1320"/>
      <c r="AW116" s="1320"/>
      <c r="AX116" s="1320"/>
      <c r="AY116" s="1320"/>
      <c r="AZ116" s="1320"/>
      <c r="BA116" s="1320"/>
      <c r="BB116" s="1320"/>
      <c r="BI116" s="1320"/>
      <c r="BJ116" s="1320"/>
      <c r="BK116" s="1320"/>
      <c r="BL116" s="1320"/>
      <c r="BM116" s="1320"/>
      <c r="BN116" s="1320"/>
      <c r="BO116" s="1320"/>
      <c r="BP116" s="1320"/>
      <c r="BQ116" s="1320"/>
      <c r="BR116" s="1320"/>
      <c r="BS116" s="1320"/>
      <c r="BT116" s="1320"/>
    </row>
    <row r="117" spans="1:72" s="61" customFormat="1">
      <c r="A117" s="87"/>
      <c r="B117" s="1"/>
      <c r="C117" s="1"/>
      <c r="D117" s="1057"/>
      <c r="E117" s="1"/>
      <c r="F117" s="1151"/>
      <c r="G117" s="1"/>
      <c r="H117" s="2"/>
      <c r="I117" s="1"/>
      <c r="J117" s="1"/>
      <c r="K117" s="1"/>
      <c r="L117" s="1"/>
      <c r="M117" s="1151"/>
      <c r="N117" s="169"/>
      <c r="O117" s="1"/>
      <c r="P117" s="1"/>
      <c r="Q117" s="1"/>
      <c r="R117" s="1"/>
      <c r="S117" s="1"/>
      <c r="T117" s="1151"/>
      <c r="U117" s="1427"/>
      <c r="V117" s="13"/>
      <c r="W117" s="13"/>
      <c r="X117" s="13"/>
      <c r="Y117" s="13"/>
      <c r="Z117" s="297"/>
      <c r="AA117" s="13"/>
      <c r="AB117" s="13"/>
      <c r="AC117" s="13"/>
      <c r="AD117" s="13"/>
      <c r="AE117" s="13"/>
      <c r="AF117" s="13"/>
      <c r="AG117" s="13"/>
      <c r="AH117" s="13"/>
      <c r="AI117" s="13"/>
      <c r="AJ117" s="826"/>
      <c r="AK117" s="13"/>
      <c r="AL117" s="13"/>
      <c r="AM117" s="13"/>
      <c r="AN117" s="13"/>
      <c r="AO117" s="614"/>
      <c r="AP117" s="297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I117" s="13"/>
      <c r="BJ117" s="13"/>
      <c r="BK117" s="13"/>
      <c r="BL117" s="13"/>
      <c r="BM117" s="13"/>
      <c r="BN117" s="13"/>
      <c r="BO117" s="13"/>
      <c r="BP117" s="13"/>
      <c r="BQ117" s="13"/>
      <c r="BR117" s="13"/>
      <c r="BS117" s="13"/>
      <c r="BT117" s="13"/>
    </row>
    <row r="118" spans="1:72" s="148" customFormat="1" ht="20">
      <c r="A118" s="1049" t="s">
        <v>819</v>
      </c>
      <c r="B118" s="259"/>
      <c r="C118" s="259"/>
      <c r="D118" s="1079"/>
      <c r="E118" s="259"/>
      <c r="F118" s="1524">
        <f>F108</f>
        <v>110415090.80942813</v>
      </c>
      <c r="G118" s="259"/>
      <c r="I118" s="259"/>
      <c r="J118" s="259"/>
      <c r="K118" s="259"/>
      <c r="L118" s="259"/>
      <c r="M118" s="1524">
        <f>M108</f>
        <v>54520000.000000007</v>
      </c>
      <c r="N118" s="1525"/>
      <c r="O118" s="259"/>
      <c r="P118" s="259"/>
      <c r="Q118" s="259"/>
      <c r="R118" s="259"/>
      <c r="S118" s="259"/>
      <c r="T118" s="1524">
        <f>T108</f>
        <v>110415090.80942813</v>
      </c>
      <c r="U118" s="1526"/>
      <c r="V118" s="259"/>
      <c r="W118" s="259"/>
      <c r="X118" s="259"/>
      <c r="Y118" s="259"/>
      <c r="Z118" s="1450"/>
      <c r="AA118" s="259"/>
      <c r="AB118" s="259"/>
      <c r="AC118" s="259"/>
      <c r="AD118" s="259"/>
      <c r="AE118" s="259"/>
      <c r="AF118" s="259"/>
      <c r="AG118" s="259"/>
      <c r="AH118" s="259"/>
      <c r="AI118" s="259"/>
      <c r="AJ118" s="1527"/>
      <c r="AK118" s="259"/>
      <c r="AL118" s="259"/>
      <c r="AM118" s="259"/>
      <c r="AN118" s="259"/>
      <c r="AO118" s="1528"/>
      <c r="AP118" s="1450"/>
      <c r="AQ118" s="259"/>
      <c r="AR118" s="259"/>
      <c r="AS118" s="259"/>
      <c r="AT118" s="259"/>
      <c r="AU118" s="259"/>
      <c r="AV118" s="259"/>
      <c r="AW118" s="259"/>
      <c r="AX118" s="259"/>
      <c r="AY118" s="259"/>
      <c r="AZ118" s="259"/>
      <c r="BA118" s="259"/>
      <c r="BB118" s="259"/>
      <c r="BI118" s="259"/>
      <c r="BJ118" s="259"/>
      <c r="BK118" s="259"/>
      <c r="BL118" s="259"/>
      <c r="BM118" s="259"/>
      <c r="BN118" s="259"/>
      <c r="BO118" s="259"/>
      <c r="BP118" s="259"/>
      <c r="BQ118" s="259"/>
      <c r="BR118" s="259"/>
      <c r="BS118" s="259"/>
      <c r="BT118" s="259"/>
    </row>
    <row r="119" spans="1:72" s="61" customFormat="1">
      <c r="A119" s="87"/>
      <c r="B119" s="1"/>
      <c r="C119" s="1"/>
      <c r="D119" s="1057"/>
      <c r="E119" s="1"/>
      <c r="F119" s="1151"/>
      <c r="G119" s="1"/>
      <c r="H119" s="2"/>
      <c r="I119" s="1"/>
      <c r="J119" s="1"/>
      <c r="K119" s="1"/>
      <c r="L119" s="1"/>
      <c r="M119" s="1151"/>
      <c r="N119" s="169"/>
      <c r="O119" s="1"/>
      <c r="P119" s="1"/>
      <c r="Q119" s="1"/>
      <c r="R119" s="1"/>
      <c r="S119" s="1"/>
      <c r="T119" s="1151"/>
      <c r="U119" s="1427"/>
      <c r="V119" s="13"/>
      <c r="W119" s="13"/>
      <c r="X119" s="13"/>
      <c r="Y119" s="13"/>
      <c r="Z119" s="297"/>
      <c r="AA119" s="13"/>
      <c r="AB119" s="13"/>
      <c r="AC119" s="13"/>
      <c r="AD119" s="13"/>
      <c r="AE119" s="13"/>
      <c r="AF119" s="13"/>
      <c r="AG119" s="13"/>
      <c r="AH119" s="13"/>
      <c r="AI119" s="13"/>
      <c r="AJ119" s="826"/>
      <c r="AK119" s="13"/>
      <c r="AL119" s="13"/>
      <c r="AM119" s="13"/>
      <c r="AN119" s="13"/>
      <c r="AO119" s="614"/>
      <c r="AP119" s="297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I119" s="13"/>
      <c r="BJ119" s="13"/>
      <c r="BK119" s="13"/>
      <c r="BL119" s="13"/>
      <c r="BM119" s="13"/>
      <c r="BN119" s="13"/>
      <c r="BO119" s="13"/>
      <c r="BP119" s="13"/>
      <c r="BQ119" s="13"/>
      <c r="BR119" s="13"/>
      <c r="BS119" s="13"/>
      <c r="BT119" s="13"/>
    </row>
    <row r="120" spans="1:72" s="148" customFormat="1" ht="20">
      <c r="A120" s="1049" t="s">
        <v>820</v>
      </c>
      <c r="B120" s="259"/>
      <c r="C120" s="259"/>
      <c r="D120" s="1079"/>
      <c r="E120" s="259"/>
      <c r="F120" s="1524">
        <f>F118+F114</f>
        <v>127205954.84519184</v>
      </c>
      <c r="G120" s="259"/>
      <c r="I120" s="259"/>
      <c r="J120" s="259"/>
      <c r="K120" s="259"/>
      <c r="L120" s="259"/>
      <c r="M120" s="1524">
        <f>M118+M114</f>
        <v>69023040.456172347</v>
      </c>
      <c r="N120" s="1525"/>
      <c r="O120" s="259"/>
      <c r="P120" s="259"/>
      <c r="Q120" s="259"/>
      <c r="R120" s="259"/>
      <c r="S120" s="259"/>
      <c r="T120" s="1524">
        <f>T118+T114</f>
        <v>129396754.84519184</v>
      </c>
      <c r="U120" s="1526"/>
      <c r="V120" s="259"/>
      <c r="W120" s="259"/>
      <c r="X120" s="259"/>
      <c r="Y120" s="259"/>
      <c r="Z120" s="1450"/>
      <c r="AA120" s="259"/>
      <c r="AB120" s="259"/>
      <c r="AC120" s="259"/>
      <c r="AD120" s="259"/>
      <c r="AE120" s="259"/>
      <c r="AF120" s="259"/>
      <c r="AG120" s="259"/>
      <c r="AH120" s="259"/>
      <c r="AI120" s="259"/>
      <c r="AJ120" s="1527"/>
      <c r="AK120" s="259"/>
      <c r="AL120" s="259"/>
      <c r="AM120" s="259"/>
      <c r="AN120" s="259"/>
      <c r="AO120" s="1528"/>
      <c r="AP120" s="1450"/>
      <c r="AQ120" s="259"/>
      <c r="AR120" s="259"/>
      <c r="AS120" s="259"/>
      <c r="AT120" s="259"/>
      <c r="AU120" s="259"/>
      <c r="AV120" s="259"/>
      <c r="AW120" s="259"/>
      <c r="AX120" s="259"/>
      <c r="AY120" s="259"/>
      <c r="AZ120" s="259"/>
      <c r="BA120" s="259"/>
      <c r="BB120" s="259"/>
      <c r="BI120" s="259"/>
      <c r="BJ120" s="259"/>
      <c r="BK120" s="259"/>
      <c r="BL120" s="259"/>
      <c r="BM120" s="259"/>
      <c r="BN120" s="259"/>
      <c r="BO120" s="259"/>
      <c r="BP120" s="259"/>
      <c r="BQ120" s="259"/>
      <c r="BR120" s="259"/>
      <c r="BS120" s="259"/>
      <c r="BT120" s="259"/>
    </row>
    <row r="121" spans="1:72" s="61" customFormat="1">
      <c r="A121" s="87"/>
      <c r="B121" s="1"/>
      <c r="C121" s="1"/>
      <c r="D121" s="1057"/>
      <c r="E121" s="1"/>
      <c r="F121" s="1151"/>
      <c r="G121" s="1"/>
      <c r="H121" s="2"/>
      <c r="I121" s="1"/>
      <c r="J121" s="1"/>
      <c r="K121" s="1"/>
      <c r="L121" s="1"/>
      <c r="M121" s="1151"/>
      <c r="N121" s="169"/>
      <c r="O121" s="1"/>
      <c r="P121" s="1"/>
      <c r="Q121" s="1"/>
      <c r="R121" s="1"/>
      <c r="S121" s="1"/>
      <c r="T121" s="1151"/>
      <c r="U121" s="1427"/>
      <c r="V121" s="13"/>
      <c r="W121" s="13"/>
      <c r="X121" s="13"/>
      <c r="Y121" s="13"/>
      <c r="Z121" s="297"/>
      <c r="AA121" s="13"/>
      <c r="AB121" s="13"/>
      <c r="AC121" s="13"/>
      <c r="AD121" s="13"/>
      <c r="AE121" s="13"/>
      <c r="AF121" s="13"/>
      <c r="AG121" s="13"/>
      <c r="AH121" s="13"/>
      <c r="AI121" s="13"/>
      <c r="AJ121" s="826"/>
      <c r="AK121" s="13"/>
      <c r="AL121" s="13"/>
      <c r="AM121" s="13"/>
      <c r="AN121" s="13"/>
      <c r="AO121" s="614"/>
      <c r="AP121" s="297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I121" s="13"/>
      <c r="BJ121" s="13"/>
      <c r="BK121" s="13"/>
      <c r="BL121" s="13"/>
      <c r="BM121" s="13"/>
      <c r="BN121" s="13"/>
      <c r="BO121" s="13"/>
      <c r="BP121" s="13"/>
      <c r="BQ121" s="13"/>
      <c r="BR121" s="13"/>
      <c r="BS121" s="13"/>
      <c r="BT121" s="13"/>
    </row>
    <row r="122" spans="1:72" s="61" customFormat="1">
      <c r="A122" s="87"/>
      <c r="B122" s="1"/>
      <c r="C122" s="1"/>
      <c r="D122" s="1057"/>
      <c r="E122" s="1"/>
      <c r="F122" s="1151"/>
      <c r="G122" s="1"/>
      <c r="H122" s="2"/>
      <c r="I122" s="1"/>
      <c r="J122" s="1"/>
      <c r="K122" s="1"/>
      <c r="L122" s="1"/>
      <c r="M122" s="1151"/>
      <c r="N122" s="169"/>
      <c r="O122" s="1"/>
      <c r="P122" s="1"/>
      <c r="Q122" s="1"/>
      <c r="R122" s="1"/>
      <c r="S122" s="1"/>
      <c r="T122" s="1151"/>
      <c r="U122" s="1427"/>
      <c r="V122" s="13"/>
      <c r="W122" s="13"/>
      <c r="X122" s="13"/>
      <c r="Y122" s="13"/>
      <c r="Z122" s="297"/>
      <c r="AA122" s="13"/>
      <c r="AB122" s="13"/>
      <c r="AC122" s="13"/>
      <c r="AD122" s="13"/>
      <c r="AE122" s="13"/>
      <c r="AF122" s="13"/>
      <c r="AG122" s="13"/>
      <c r="AH122" s="13"/>
      <c r="AI122" s="13"/>
      <c r="AJ122" s="826"/>
      <c r="AK122" s="13"/>
      <c r="AL122" s="13"/>
      <c r="AM122" s="13"/>
      <c r="AN122" s="13"/>
      <c r="AO122" s="614"/>
      <c r="AP122" s="297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I122" s="13"/>
      <c r="BJ122" s="13"/>
      <c r="BK122" s="13"/>
      <c r="BL122" s="13"/>
      <c r="BM122" s="13"/>
      <c r="BN122" s="13"/>
      <c r="BO122" s="13"/>
      <c r="BP122" s="13"/>
      <c r="BQ122" s="13"/>
      <c r="BR122" s="13"/>
      <c r="BS122" s="13"/>
      <c r="BT122" s="13"/>
    </row>
    <row r="123" spans="1:72">
      <c r="A123" s="1519">
        <v>0.15</v>
      </c>
      <c r="B123" s="971"/>
      <c r="C123" s="971"/>
      <c r="D123" s="1520"/>
      <c r="E123" s="971"/>
      <c r="F123" s="1521">
        <f>0.15*F103</f>
        <v>21190611.378536213</v>
      </c>
      <c r="G123" s="971"/>
      <c r="H123" s="1522"/>
      <c r="I123" s="971"/>
      <c r="J123" s="971"/>
      <c r="K123" s="971"/>
      <c r="L123" s="971"/>
      <c r="M123" s="1521">
        <f>0.15*M103</f>
        <v>12692563.713354219</v>
      </c>
      <c r="N123" s="1523"/>
      <c r="O123" s="971"/>
      <c r="P123" s="971"/>
      <c r="Q123" s="971"/>
      <c r="R123" s="971"/>
      <c r="S123" s="971"/>
      <c r="T123" s="1521">
        <f>0.15*T103</f>
        <v>21190611.378536213</v>
      </c>
      <c r="U123" s="939"/>
    </row>
    <row r="124" spans="1:72">
      <c r="A124" s="1519">
        <v>0.3</v>
      </c>
      <c r="B124" s="971"/>
      <c r="C124" s="971"/>
      <c r="D124" s="1520"/>
      <c r="E124" s="971"/>
      <c r="F124" s="1521">
        <f>0.3*F103</f>
        <v>42381222.757072426</v>
      </c>
      <c r="G124" s="971"/>
      <c r="H124" s="1522"/>
      <c r="I124" s="971"/>
      <c r="J124" s="971"/>
      <c r="K124" s="971"/>
      <c r="L124" s="971"/>
      <c r="M124" s="1521">
        <f>0.3*M103</f>
        <v>25385127.426708438</v>
      </c>
      <c r="N124" s="1523"/>
      <c r="O124" s="971"/>
      <c r="P124" s="971"/>
      <c r="Q124" s="971"/>
      <c r="R124" s="971"/>
      <c r="S124" s="971"/>
      <c r="T124" s="1521">
        <f>0.3*T103</f>
        <v>42381222.757072426</v>
      </c>
      <c r="U124" s="939"/>
    </row>
    <row r="125" spans="1:72">
      <c r="A125" s="1432"/>
      <c r="M125" s="1431"/>
      <c r="N125" s="169"/>
      <c r="T125" s="1246"/>
      <c r="U125" s="939"/>
    </row>
    <row r="126" spans="1:72">
      <c r="A126" s="423"/>
      <c r="B126" s="423"/>
      <c r="C126" s="423"/>
      <c r="D126" s="423"/>
      <c r="E126" s="423"/>
      <c r="F126" s="423"/>
      <c r="G126" s="423"/>
      <c r="H126" s="423"/>
      <c r="I126" s="423"/>
      <c r="J126" s="423"/>
      <c r="K126" s="423"/>
      <c r="L126" s="423"/>
      <c r="M126" s="423"/>
      <c r="N126" s="423"/>
      <c r="O126" s="423"/>
      <c r="P126" s="423"/>
      <c r="Q126" s="423"/>
      <c r="R126" s="423"/>
      <c r="S126" s="423"/>
      <c r="T126" s="423"/>
      <c r="U126" s="939"/>
    </row>
    <row r="127" spans="1:72" outlineLevel="1">
      <c r="M127" s="407"/>
      <c r="N127" s="169"/>
      <c r="T127" s="1246"/>
      <c r="U127" s="939"/>
    </row>
    <row r="128" spans="1:72" s="425" customFormat="1" ht="20" outlineLevel="1">
      <c r="A128" s="558" t="s">
        <v>295</v>
      </c>
      <c r="B128" s="355"/>
      <c r="C128" s="355"/>
      <c r="D128" s="1068"/>
      <c r="E128" s="355"/>
      <c r="F128" s="498"/>
      <c r="G128" s="355"/>
      <c r="H128" s="452"/>
      <c r="I128" s="355"/>
      <c r="J128" s="355"/>
      <c r="K128" s="355"/>
      <c r="L128" s="355"/>
      <c r="M128" s="498"/>
      <c r="N128" s="355"/>
      <c r="O128" s="43"/>
      <c r="P128" s="43"/>
      <c r="Q128" s="43"/>
      <c r="R128" s="43"/>
      <c r="S128" s="43"/>
      <c r="T128" s="503"/>
      <c r="U128" s="43"/>
      <c r="V128" s="43"/>
      <c r="W128" s="43"/>
      <c r="X128" s="43"/>
      <c r="Y128" s="43"/>
      <c r="Z128" s="503"/>
      <c r="AA128" s="43"/>
      <c r="AB128" s="43"/>
      <c r="AC128" s="43"/>
      <c r="AD128" s="355"/>
      <c r="AE128" s="355"/>
      <c r="AF128" s="355"/>
      <c r="AG128" s="355"/>
      <c r="AH128" s="355"/>
      <c r="AI128" s="355"/>
      <c r="AJ128" s="820"/>
      <c r="AK128" s="355"/>
      <c r="AL128" s="355"/>
      <c r="AM128" s="355"/>
      <c r="AN128" s="355"/>
      <c r="AO128" s="821"/>
      <c r="AP128" s="498"/>
      <c r="AQ128" s="355"/>
      <c r="AR128" s="355"/>
      <c r="AS128" s="355"/>
      <c r="AT128" s="355"/>
      <c r="AU128" s="355"/>
      <c r="AV128" s="355"/>
      <c r="AW128" s="43"/>
      <c r="AX128" s="43"/>
      <c r="AY128" s="43"/>
      <c r="AZ128" s="43"/>
      <c r="BA128" s="43"/>
      <c r="BB128" s="43"/>
      <c r="BI128" s="43"/>
      <c r="BJ128" s="43"/>
      <c r="BK128" s="43"/>
      <c r="BL128" s="43"/>
      <c r="BM128" s="43"/>
      <c r="BN128" s="43"/>
      <c r="BO128" s="43"/>
      <c r="BP128" s="43"/>
      <c r="BQ128" s="43"/>
      <c r="BR128" s="43"/>
      <c r="BS128" s="43"/>
      <c r="BT128" s="43"/>
    </row>
    <row r="129" spans="1:72" s="418" customFormat="1" ht="20" outlineLevel="2">
      <c r="A129" s="1041" t="s">
        <v>332</v>
      </c>
      <c r="B129" s="417"/>
      <c r="C129" s="417"/>
      <c r="D129" s="1069"/>
      <c r="E129" s="417"/>
      <c r="F129" s="1444"/>
      <c r="G129" s="417"/>
      <c r="I129" s="419"/>
      <c r="J129" s="420"/>
      <c r="K129" s="420"/>
      <c r="L129" s="420"/>
      <c r="M129" s="500"/>
      <c r="N129" s="420"/>
      <c r="O129" s="421"/>
      <c r="P129" s="421"/>
      <c r="Q129" s="421"/>
      <c r="R129" s="421"/>
      <c r="S129" s="421"/>
      <c r="T129" s="531"/>
      <c r="U129" s="421"/>
      <c r="V129" s="420"/>
      <c r="W129" s="420"/>
      <c r="X129" s="420"/>
      <c r="Y129" s="420"/>
      <c r="Z129" s="500"/>
      <c r="AA129" s="420"/>
      <c r="AB129" s="420"/>
      <c r="AC129" s="420"/>
      <c r="AD129" s="420"/>
      <c r="AE129" s="420"/>
      <c r="AF129" s="420"/>
      <c r="AG129" s="420"/>
      <c r="AH129" s="420"/>
      <c r="AI129" s="420"/>
      <c r="AJ129" s="822"/>
      <c r="AK129" s="420"/>
      <c r="AL129" s="420"/>
      <c r="AM129" s="420"/>
      <c r="AN129" s="420"/>
      <c r="AO129" s="823"/>
      <c r="AP129" s="500"/>
      <c r="AQ129" s="417"/>
      <c r="AR129" s="417"/>
      <c r="AS129" s="417"/>
      <c r="AT129" s="417"/>
      <c r="AU129" s="417"/>
      <c r="AV129" s="417"/>
      <c r="AW129" s="421"/>
      <c r="AX129" s="421"/>
      <c r="AY129" s="421"/>
      <c r="AZ129" s="421"/>
      <c r="BA129" s="421"/>
      <c r="BB129" s="421"/>
      <c r="BI129" s="421"/>
      <c r="BJ129" s="421"/>
      <c r="BK129" s="421"/>
      <c r="BL129" s="421"/>
      <c r="BM129" s="421"/>
      <c r="BN129" s="421"/>
      <c r="BO129" s="421"/>
      <c r="BP129" s="421"/>
      <c r="BQ129" s="421"/>
      <c r="BR129" s="421"/>
      <c r="BS129" s="421"/>
      <c r="BT129" s="421"/>
    </row>
    <row r="130" spans="1:72" s="801" customFormat="1" outlineLevel="2">
      <c r="A130" s="1042" t="s">
        <v>507</v>
      </c>
      <c r="B130" s="934"/>
      <c r="C130" s="934"/>
      <c r="D130" s="1070"/>
      <c r="E130" s="934"/>
      <c r="F130" s="1445"/>
      <c r="G130" s="934"/>
      <c r="I130" s="802"/>
      <c r="J130" s="803"/>
      <c r="K130" s="803"/>
      <c r="L130" s="803"/>
      <c r="M130" s="804"/>
      <c r="N130" s="803"/>
      <c r="O130" s="806"/>
      <c r="P130" s="806"/>
      <c r="Q130" s="806"/>
      <c r="R130" s="806"/>
      <c r="S130" s="806"/>
      <c r="T130" s="807"/>
      <c r="U130" s="806"/>
      <c r="V130" s="803"/>
      <c r="W130" s="803"/>
      <c r="X130" s="803"/>
      <c r="Y130" s="803"/>
      <c r="Z130" s="804"/>
      <c r="AA130" s="803"/>
      <c r="AB130" s="803"/>
      <c r="AC130" s="803"/>
      <c r="AD130" s="803"/>
      <c r="AE130" s="803"/>
      <c r="AF130" s="803"/>
      <c r="AG130" s="803"/>
      <c r="AH130" s="803"/>
      <c r="AI130" s="803"/>
      <c r="AJ130" s="824"/>
      <c r="AK130" s="803"/>
      <c r="AL130" s="803"/>
      <c r="AM130" s="803"/>
      <c r="AN130" s="803"/>
      <c r="AO130" s="825"/>
      <c r="AP130" s="804"/>
      <c r="AQ130" s="809"/>
      <c r="AR130" s="809"/>
      <c r="AS130" s="809"/>
      <c r="AT130" s="809"/>
      <c r="AU130" s="809"/>
      <c r="AV130" s="809"/>
      <c r="AW130" s="806"/>
      <c r="AX130" s="806"/>
      <c r="AY130" s="806"/>
      <c r="AZ130" s="806"/>
      <c r="BA130" s="806"/>
      <c r="BB130" s="806"/>
      <c r="BI130" s="806"/>
      <c r="BJ130" s="806"/>
      <c r="BK130" s="806"/>
      <c r="BL130" s="806"/>
      <c r="BM130" s="806"/>
      <c r="BN130" s="806"/>
      <c r="BO130" s="806"/>
      <c r="BP130" s="806"/>
      <c r="BQ130" s="806"/>
      <c r="BR130" s="806"/>
      <c r="BS130" s="806"/>
      <c r="BT130" s="806"/>
    </row>
    <row r="131" spans="1:72" ht="40" outlineLevel="2">
      <c r="A131" s="161" t="s">
        <v>422</v>
      </c>
      <c r="B131" s="13"/>
      <c r="C131" s="13"/>
      <c r="D131" s="1066"/>
      <c r="E131" s="13"/>
      <c r="F131" s="297"/>
      <c r="G131" s="13"/>
      <c r="H131" s="61"/>
      <c r="I131" s="344" t="s">
        <v>403</v>
      </c>
      <c r="J131" s="13"/>
      <c r="K131" s="13"/>
      <c r="L131" s="13"/>
      <c r="M131" s="297"/>
      <c r="N131" s="13"/>
      <c r="P131" s="344" t="s">
        <v>403</v>
      </c>
      <c r="V131" s="344" t="s">
        <v>403</v>
      </c>
      <c r="AD131" s="13"/>
      <c r="AE131" s="13"/>
      <c r="AF131" s="13"/>
      <c r="AG131" s="13"/>
      <c r="AH131" s="13"/>
      <c r="AI131" s="13"/>
      <c r="AJ131" s="826"/>
      <c r="AK131" s="13"/>
      <c r="AL131" s="13"/>
      <c r="AM131" s="13"/>
      <c r="AN131" s="13"/>
      <c r="AO131" s="614"/>
      <c r="AP131" s="297"/>
      <c r="AQ131" s="13"/>
      <c r="AR131" s="13"/>
      <c r="AS131" s="13"/>
      <c r="AT131" s="13"/>
      <c r="AU131" s="13"/>
      <c r="AV131" s="13"/>
    </row>
    <row r="132" spans="1:72" outlineLevel="2">
      <c r="A132" s="1043" t="s">
        <v>327</v>
      </c>
      <c r="B132" s="2"/>
      <c r="C132" s="2"/>
      <c r="D132" s="1061"/>
      <c r="E132" s="2"/>
      <c r="F132" s="508"/>
      <c r="G132" s="2"/>
      <c r="H132" s="61"/>
      <c r="I132" s="764">
        <f>'База селлеров'!B38</f>
        <v>1.0916349572702888E-4</v>
      </c>
      <c r="J132" s="408">
        <f>'База селлеров'!C38</f>
        <v>1.7230576441102756E-3</v>
      </c>
      <c r="K132" s="408">
        <f>'База селлеров'!D38</f>
        <v>8.2468141254904686E-4</v>
      </c>
      <c r="L132" s="408">
        <f>'База селлеров'!E38</f>
        <v>8.2468141254904686E-4</v>
      </c>
      <c r="M132" s="468"/>
      <c r="N132" s="13"/>
      <c r="P132" s="408">
        <f t="shared" ref="P132:S136" si="152">I132</f>
        <v>1.0916349572702888E-4</v>
      </c>
      <c r="Q132" s="409">
        <f t="shared" si="152"/>
        <v>1.7230576441102756E-3</v>
      </c>
      <c r="R132" s="409">
        <f t="shared" si="152"/>
        <v>8.2468141254904686E-4</v>
      </c>
      <c r="S132" s="410">
        <f t="shared" si="152"/>
        <v>8.2468141254904686E-4</v>
      </c>
      <c r="V132" s="408">
        <f t="shared" ref="V132:Y136" si="153">P132</f>
        <v>1.0916349572702888E-4</v>
      </c>
      <c r="W132" s="409">
        <f t="shared" si="153"/>
        <v>1.7230576441102756E-3</v>
      </c>
      <c r="X132" s="409">
        <f t="shared" si="153"/>
        <v>8.2468141254904686E-4</v>
      </c>
      <c r="Y132" s="410">
        <f t="shared" si="153"/>
        <v>8.2468141254904686E-4</v>
      </c>
      <c r="AD132" s="13"/>
      <c r="AE132" s="408">
        <v>0</v>
      </c>
      <c r="AF132" s="409">
        <v>0</v>
      </c>
      <c r="AG132" s="409">
        <v>0</v>
      </c>
      <c r="AH132" s="410">
        <v>0</v>
      </c>
      <c r="AI132" s="13"/>
      <c r="AJ132" s="826"/>
      <c r="AK132" s="1160">
        <f>V132/(V132+V133+V134)</f>
        <v>9.6671730423974599E-4</v>
      </c>
      <c r="AL132" s="1161">
        <f>W132/(W132+W133+W134)</f>
        <v>9.8876404494382016E-3</v>
      </c>
      <c r="AM132" s="1161">
        <f>X132/(X132+X133+X134)</f>
        <v>5.8856328604175697E-3</v>
      </c>
      <c r="AN132" s="1162">
        <f>Y132/(Y132+Y133+Y134)</f>
        <v>5.8856328604175697E-3</v>
      </c>
      <c r="AO132" s="614"/>
      <c r="AP132" s="297"/>
      <c r="AQ132" s="13"/>
      <c r="AR132" s="13"/>
      <c r="AS132" s="13"/>
      <c r="AT132" s="13"/>
      <c r="AU132" s="13"/>
      <c r="AV132" s="13"/>
    </row>
    <row r="133" spans="1:72" outlineLevel="2">
      <c r="A133" s="436" t="s">
        <v>429</v>
      </c>
      <c r="B133" s="2"/>
      <c r="C133" s="2"/>
      <c r="D133" s="1061"/>
      <c r="E133" s="2"/>
      <c r="F133" s="508"/>
      <c r="G133" s="2"/>
      <c r="I133" s="402">
        <f>'База селлеров'!B39</f>
        <v>7.5010916349572705E-3</v>
      </c>
      <c r="J133" s="362">
        <f>'База селлеров'!C39</f>
        <v>2.0520050125313282E-2</v>
      </c>
      <c r="K133" s="362">
        <f>'База селлеров'!D39</f>
        <v>1.3273030313552554E-2</v>
      </c>
      <c r="L133" s="362">
        <f>K133</f>
        <v>1.3273030313552554E-2</v>
      </c>
      <c r="M133" s="297"/>
      <c r="N133" s="13"/>
      <c r="P133" s="283">
        <f t="shared" si="152"/>
        <v>7.5010916349572705E-3</v>
      </c>
      <c r="Q133" s="74">
        <f t="shared" si="152"/>
        <v>2.0520050125313282E-2</v>
      </c>
      <c r="R133" s="74">
        <f t="shared" si="152"/>
        <v>1.3273030313552554E-2</v>
      </c>
      <c r="S133" s="289">
        <f t="shared" si="152"/>
        <v>1.3273030313552554E-2</v>
      </c>
      <c r="T133" s="532"/>
      <c r="U133" s="2"/>
      <c r="V133" s="283">
        <f t="shared" si="153"/>
        <v>7.5010916349572705E-3</v>
      </c>
      <c r="W133" s="74">
        <f t="shared" si="153"/>
        <v>2.0520050125313282E-2</v>
      </c>
      <c r="X133" s="74">
        <f t="shared" si="153"/>
        <v>1.3273030313552554E-2</v>
      </c>
      <c r="Y133" s="289">
        <f t="shared" si="153"/>
        <v>1.3273030313552554E-2</v>
      </c>
      <c r="AE133" s="283">
        <v>0</v>
      </c>
      <c r="AF133" s="74">
        <v>0</v>
      </c>
      <c r="AG133" s="74">
        <v>0</v>
      </c>
      <c r="AH133" s="289">
        <v>0</v>
      </c>
      <c r="AK133" s="1163">
        <f>V133/(V132+V133+V134)</f>
        <v>6.6427289048473975E-2</v>
      </c>
      <c r="AL133" s="1164">
        <f>W133/(W132+W133+W134)</f>
        <v>0.11775280898876403</v>
      </c>
      <c r="AM133" s="1164">
        <f>X133/(X132+X133+X134)</f>
        <v>9.4727712037668041E-2</v>
      </c>
      <c r="AN133" s="1165">
        <f>Y133/(Y132+Y133+Y134)</f>
        <v>9.4727712037668041E-2</v>
      </c>
      <c r="AQ133" s="2"/>
      <c r="AR133" s="2"/>
      <c r="AS133" s="2"/>
      <c r="AT133" s="2"/>
      <c r="AU133" s="2"/>
      <c r="AV133" s="2"/>
    </row>
    <row r="134" spans="1:72" outlineLevel="2">
      <c r="A134" s="436" t="s">
        <v>65</v>
      </c>
      <c r="B134" s="2"/>
      <c r="C134" s="2"/>
      <c r="D134" s="1061"/>
      <c r="E134" s="2"/>
      <c r="F134" s="508"/>
      <c r="G134" s="2"/>
      <c r="I134" s="402">
        <f>'База селлеров'!B40</f>
        <v>0.10531158380637515</v>
      </c>
      <c r="J134" s="362">
        <f>'База селлеров'!C40</f>
        <v>0.15202067669172933</v>
      </c>
      <c r="K134" s="362">
        <f>'База селлеров'!D40</f>
        <v>0.12602000069446856</v>
      </c>
      <c r="L134" s="362">
        <f>'База селлеров'!E40</f>
        <v>0.12602000069446856</v>
      </c>
      <c r="M134" s="297"/>
      <c r="N134" s="13"/>
      <c r="P134" s="283">
        <f t="shared" si="152"/>
        <v>0.10531158380637515</v>
      </c>
      <c r="Q134" s="74">
        <f t="shared" si="152"/>
        <v>0.15202067669172933</v>
      </c>
      <c r="R134" s="74">
        <f t="shared" si="152"/>
        <v>0.12602000069446856</v>
      </c>
      <c r="S134" s="289">
        <f t="shared" si="152"/>
        <v>0.12602000069446856</v>
      </c>
      <c r="T134" s="532"/>
      <c r="U134" s="2"/>
      <c r="V134" s="283">
        <f t="shared" si="153"/>
        <v>0.10531158380637515</v>
      </c>
      <c r="W134" s="74">
        <f t="shared" si="153"/>
        <v>0.15202067669172933</v>
      </c>
      <c r="X134" s="74">
        <f t="shared" si="153"/>
        <v>0.12602000069446856</v>
      </c>
      <c r="Y134" s="289">
        <f t="shared" si="153"/>
        <v>0.12602000069446856</v>
      </c>
      <c r="AE134" s="283">
        <v>0</v>
      </c>
      <c r="AF134" s="74">
        <v>0</v>
      </c>
      <c r="AG134" s="74">
        <v>0</v>
      </c>
      <c r="AH134" s="289">
        <v>0</v>
      </c>
      <c r="AK134" s="1163">
        <f>V134/(V132+V133+V134)</f>
        <v>0.93260599364728636</v>
      </c>
      <c r="AL134" s="1164">
        <f>W134/(W132+W133+W134)</f>
        <v>0.8723595505617977</v>
      </c>
      <c r="AM134" s="1164">
        <f>X134/(X132+X133+X134)</f>
        <v>0.89938665510191429</v>
      </c>
      <c r="AN134" s="1165">
        <f>Y134/(Y132+Y133+Y134)</f>
        <v>0.89938665510191429</v>
      </c>
      <c r="AQ134" s="2"/>
      <c r="AR134" s="2"/>
      <c r="AS134" s="2"/>
      <c r="AT134" s="2"/>
      <c r="AU134" s="2"/>
      <c r="AV134" s="2"/>
    </row>
    <row r="135" spans="1:72" outlineLevel="2">
      <c r="A135" s="436" t="s">
        <v>66</v>
      </c>
      <c r="B135" s="2"/>
      <c r="C135" s="2"/>
      <c r="D135" s="1061"/>
      <c r="E135" s="2"/>
      <c r="F135" s="508"/>
      <c r="G135" s="2"/>
      <c r="I135" s="402">
        <f>'База селлеров'!B41</f>
        <v>0.88707816106294057</v>
      </c>
      <c r="J135" s="362">
        <f>'База селлеров'!C41</f>
        <v>0.82573621553884713</v>
      </c>
      <c r="K135" s="362">
        <f>'База селлеров'!D41</f>
        <v>0.85988228757942986</v>
      </c>
      <c r="L135" s="362">
        <f>'База селлеров'!E41</f>
        <v>0.85988228757942986</v>
      </c>
      <c r="M135" s="297"/>
      <c r="N135" s="13"/>
      <c r="P135" s="283">
        <f t="shared" si="152"/>
        <v>0.88707816106294057</v>
      </c>
      <c r="Q135" s="74">
        <f t="shared" si="152"/>
        <v>0.82573621553884713</v>
      </c>
      <c r="R135" s="74">
        <f t="shared" si="152"/>
        <v>0.85988228757942986</v>
      </c>
      <c r="S135" s="289">
        <f t="shared" si="152"/>
        <v>0.85988228757942986</v>
      </c>
      <c r="T135" s="532"/>
      <c r="U135" s="2"/>
      <c r="V135" s="283">
        <f t="shared" si="153"/>
        <v>0.88707816106294057</v>
      </c>
      <c r="W135" s="74">
        <f t="shared" si="153"/>
        <v>0.82573621553884713</v>
      </c>
      <c r="X135" s="74">
        <f t="shared" si="153"/>
        <v>0.85988228757942986</v>
      </c>
      <c r="Y135" s="289">
        <f t="shared" si="153"/>
        <v>0.85988228757942986</v>
      </c>
      <c r="AE135" s="283">
        <v>1</v>
      </c>
      <c r="AF135" s="74">
        <v>1</v>
      </c>
      <c r="AG135" s="74">
        <v>1</v>
      </c>
      <c r="AH135" s="289">
        <v>1</v>
      </c>
      <c r="AK135" s="283">
        <v>0</v>
      </c>
      <c r="AL135" s="74">
        <v>0</v>
      </c>
      <c r="AM135" s="74">
        <v>0</v>
      </c>
      <c r="AN135" s="289">
        <v>0</v>
      </c>
      <c r="AQ135" s="2"/>
      <c r="AR135" s="2"/>
      <c r="AS135" s="2"/>
      <c r="AT135" s="2"/>
      <c r="AU135" s="2"/>
      <c r="AV135" s="2"/>
    </row>
    <row r="136" spans="1:72" outlineLevel="2">
      <c r="A136" s="436" t="s">
        <v>328</v>
      </c>
      <c r="B136" s="2"/>
      <c r="C136" s="2"/>
      <c r="D136" s="1061"/>
      <c r="E136" s="2"/>
      <c r="F136" s="508"/>
      <c r="G136" s="2"/>
      <c r="I136" s="643">
        <v>0</v>
      </c>
      <c r="J136" s="644">
        <v>0</v>
      </c>
      <c r="K136" s="644">
        <v>0</v>
      </c>
      <c r="L136" s="644">
        <v>0</v>
      </c>
      <c r="M136" s="297"/>
      <c r="N136" s="13"/>
      <c r="P136" s="283">
        <f t="shared" si="152"/>
        <v>0</v>
      </c>
      <c r="Q136" s="74">
        <f t="shared" si="152"/>
        <v>0</v>
      </c>
      <c r="R136" s="74">
        <f t="shared" si="152"/>
        <v>0</v>
      </c>
      <c r="S136" s="289">
        <f t="shared" si="152"/>
        <v>0</v>
      </c>
      <c r="T136" s="532"/>
      <c r="U136" s="2"/>
      <c r="V136" s="283">
        <f t="shared" si="153"/>
        <v>0</v>
      </c>
      <c r="W136" s="74">
        <f t="shared" si="153"/>
        <v>0</v>
      </c>
      <c r="X136" s="74">
        <f t="shared" si="153"/>
        <v>0</v>
      </c>
      <c r="Y136" s="289">
        <f t="shared" si="153"/>
        <v>0</v>
      </c>
      <c r="AE136" s="283">
        <v>0</v>
      </c>
      <c r="AF136" s="74">
        <v>0</v>
      </c>
      <c r="AG136" s="74">
        <v>0</v>
      </c>
      <c r="AH136" s="289">
        <v>0</v>
      </c>
      <c r="AK136" s="283">
        <f t="shared" ref="AK136" si="154">AE136</f>
        <v>0</v>
      </c>
      <c r="AL136" s="74">
        <f>AF136</f>
        <v>0</v>
      </c>
      <c r="AM136" s="74">
        <f t="shared" ref="AM136:AN136" si="155">AG136</f>
        <v>0</v>
      </c>
      <c r="AN136" s="289">
        <f t="shared" si="155"/>
        <v>0</v>
      </c>
      <c r="AQ136" s="2"/>
      <c r="AR136" s="2"/>
      <c r="AS136" s="2"/>
      <c r="AT136" s="2"/>
      <c r="AU136" s="2"/>
      <c r="AV136" s="2"/>
    </row>
    <row r="137" spans="1:72" outlineLevel="2">
      <c r="A137" s="1044"/>
      <c r="B137" s="2"/>
      <c r="C137" s="2"/>
      <c r="D137" s="1061"/>
      <c r="E137" s="2"/>
      <c r="F137" s="508"/>
      <c r="G137" s="2"/>
      <c r="I137" s="403"/>
      <c r="J137" s="404"/>
      <c r="K137" s="424"/>
      <c r="L137" s="404"/>
      <c r="M137" s="501"/>
      <c r="N137" s="362"/>
      <c r="P137" s="286"/>
      <c r="Q137" s="287"/>
      <c r="R137" s="287"/>
      <c r="S137" s="288"/>
      <c r="U137" s="2"/>
      <c r="V137" s="286"/>
      <c r="W137" s="287"/>
      <c r="X137" s="287"/>
      <c r="Y137" s="288"/>
      <c r="AE137" s="286"/>
      <c r="AF137" s="287"/>
      <c r="AG137" s="287"/>
      <c r="AH137" s="288"/>
      <c r="AK137" s="286"/>
      <c r="AL137" s="287"/>
      <c r="AM137" s="287"/>
      <c r="AN137" s="288"/>
      <c r="AQ137" s="2"/>
      <c r="AR137" s="2"/>
      <c r="AS137" s="2"/>
      <c r="AT137" s="2"/>
      <c r="AU137" s="2"/>
      <c r="AV137" s="2"/>
    </row>
    <row r="138" spans="1:72" outlineLevel="2">
      <c r="A138" s="161"/>
      <c r="B138" s="13"/>
      <c r="C138" s="13"/>
      <c r="D138" s="1066"/>
      <c r="E138" s="13"/>
      <c r="F138" s="297"/>
      <c r="G138" s="13"/>
      <c r="I138" s="400"/>
      <c r="J138" s="154"/>
      <c r="K138" s="401"/>
      <c r="L138" s="154"/>
      <c r="M138" s="299"/>
      <c r="N138" s="154"/>
      <c r="V138" s="154"/>
      <c r="W138" s="154"/>
      <c r="X138" s="154"/>
      <c r="Y138" s="154"/>
      <c r="Z138" s="299"/>
      <c r="AA138" s="154"/>
      <c r="AB138" s="154"/>
      <c r="AC138" s="154"/>
      <c r="AD138" s="154"/>
      <c r="AE138" s="154"/>
      <c r="AF138" s="154"/>
      <c r="AG138" s="154"/>
      <c r="AH138" s="154"/>
      <c r="AI138" s="154"/>
      <c r="AJ138" s="615"/>
      <c r="AK138" s="154"/>
      <c r="AL138" s="154"/>
      <c r="AM138" s="154"/>
      <c r="AN138" s="154"/>
      <c r="AO138" s="684"/>
      <c r="AP138" s="299"/>
      <c r="AQ138" s="13"/>
      <c r="AR138" s="13"/>
      <c r="AS138" s="13"/>
      <c r="AT138" s="13"/>
      <c r="AU138" s="13"/>
      <c r="AV138" s="13"/>
    </row>
    <row r="139" spans="1:72" outlineLevel="2">
      <c r="A139" s="161"/>
      <c r="B139" s="13"/>
      <c r="C139" s="13"/>
      <c r="D139" s="1066"/>
      <c r="E139" s="13"/>
      <c r="F139" s="297"/>
      <c r="G139" s="13"/>
      <c r="I139" s="400"/>
      <c r="J139" s="154"/>
      <c r="K139" s="154"/>
      <c r="L139" s="154"/>
      <c r="M139" s="299"/>
      <c r="N139" s="154"/>
      <c r="V139" s="154"/>
      <c r="W139" s="154"/>
      <c r="X139" s="154"/>
      <c r="Y139" s="154"/>
      <c r="Z139" s="299"/>
      <c r="AA139" s="154"/>
      <c r="AB139" s="154"/>
      <c r="AC139" s="154"/>
      <c r="AD139" s="154"/>
      <c r="AE139" s="154"/>
      <c r="AF139" s="154"/>
      <c r="AG139" s="154"/>
      <c r="AH139" s="154"/>
      <c r="AI139" s="154"/>
      <c r="AJ139" s="615"/>
      <c r="AK139" s="154"/>
      <c r="AL139" s="154"/>
      <c r="AM139" s="154"/>
      <c r="AN139" s="154"/>
      <c r="AO139" s="684"/>
      <c r="AP139" s="299"/>
      <c r="AQ139" s="13"/>
      <c r="AR139" s="13"/>
      <c r="AS139" s="13"/>
      <c r="AT139" s="13"/>
      <c r="AU139" s="13"/>
      <c r="AV139" s="13"/>
    </row>
    <row r="140" spans="1:72" s="425" customFormat="1" ht="80" outlineLevel="2">
      <c r="A140" s="382" t="s">
        <v>348</v>
      </c>
      <c r="B140" s="452"/>
      <c r="C140" s="452"/>
      <c r="D140" s="1071"/>
      <c r="E140" s="452"/>
      <c r="F140" s="1446"/>
      <c r="G140" s="452"/>
      <c r="H140" s="356"/>
      <c r="I140" s="399" t="s">
        <v>404</v>
      </c>
      <c r="J140" s="43"/>
      <c r="K140" s="43"/>
      <c r="L140" s="43"/>
      <c r="M140" s="503"/>
      <c r="N140" s="43"/>
      <c r="O140" s="71" t="s">
        <v>363</v>
      </c>
      <c r="P140" s="399" t="s">
        <v>334</v>
      </c>
      <c r="Q140" s="43"/>
      <c r="R140" s="43"/>
      <c r="S140" s="43"/>
      <c r="T140" s="503"/>
      <c r="U140" s="43"/>
      <c r="V140" s="399" t="s">
        <v>334</v>
      </c>
      <c r="W140" s="43"/>
      <c r="X140" s="43"/>
      <c r="Y140" s="43"/>
      <c r="Z140" s="503"/>
      <c r="AA140" s="43"/>
      <c r="AB140" s="43"/>
      <c r="AC140" s="43"/>
      <c r="AD140" s="43"/>
      <c r="AE140" s="43"/>
      <c r="AF140" s="43"/>
      <c r="AG140" s="43"/>
      <c r="AH140" s="43"/>
      <c r="AI140" s="43"/>
      <c r="AJ140" s="827"/>
      <c r="AK140" s="43"/>
      <c r="AL140" s="43"/>
      <c r="AM140" s="43"/>
      <c r="AN140" s="43"/>
      <c r="AO140" s="828"/>
      <c r="AP140" s="503"/>
      <c r="AQ140" s="43"/>
      <c r="AR140" s="43"/>
      <c r="AS140" s="43"/>
      <c r="AT140" s="43"/>
      <c r="AU140" s="43"/>
      <c r="AV140" s="43"/>
      <c r="AW140" s="43"/>
      <c r="AX140" s="43"/>
      <c r="AY140" s="43"/>
      <c r="AZ140" s="43"/>
      <c r="BA140" s="43"/>
      <c r="BB140" s="43"/>
      <c r="BI140" s="43"/>
      <c r="BJ140" s="43"/>
      <c r="BK140" s="43"/>
      <c r="BL140" s="43"/>
      <c r="BM140" s="43"/>
      <c r="BN140" s="43"/>
      <c r="BO140" s="43"/>
      <c r="BP140" s="43"/>
      <c r="BQ140" s="43"/>
      <c r="BR140" s="43"/>
      <c r="BS140" s="43"/>
      <c r="BT140" s="43"/>
    </row>
    <row r="141" spans="1:72" outlineLevel="2">
      <c r="A141" s="436" t="s">
        <v>64</v>
      </c>
      <c r="B141" s="2"/>
      <c r="C141" s="2"/>
      <c r="D141" s="1061"/>
      <c r="E141" s="2"/>
      <c r="F141" s="508"/>
      <c r="G141" s="2"/>
      <c r="I141" s="423"/>
      <c r="M141" s="504"/>
      <c r="N141" s="423"/>
      <c r="V141" s="423"/>
    </row>
    <row r="142" spans="1:72" outlineLevel="2">
      <c r="A142" s="1043" t="s">
        <v>327</v>
      </c>
      <c r="B142" s="2"/>
      <c r="C142" s="2"/>
      <c r="D142" s="1061"/>
      <c r="E142" s="2"/>
      <c r="F142" s="508"/>
      <c r="G142" s="2"/>
      <c r="I142" s="367">
        <f t="shared" ref="I142:L147" si="156">I151/2</f>
        <v>55362.5</v>
      </c>
      <c r="J142" s="368">
        <f t="shared" si="156"/>
        <v>55362.5</v>
      </c>
      <c r="K142" s="368">
        <f t="shared" si="156"/>
        <v>55362.5</v>
      </c>
      <c r="L142" s="369">
        <f t="shared" si="156"/>
        <v>55362.5</v>
      </c>
      <c r="M142" s="504"/>
      <c r="N142" s="423"/>
      <c r="O142" s="423"/>
      <c r="P142" s="367">
        <f>P159/2*P167</f>
        <v>59174.344262295082</v>
      </c>
      <c r="Q142" s="368">
        <f>P142</f>
        <v>59174.344262295082</v>
      </c>
      <c r="R142" s="368">
        <f>Q142</f>
        <v>59174.344262295082</v>
      </c>
      <c r="S142" s="369">
        <f>R142</f>
        <v>59174.344262295082</v>
      </c>
      <c r="V142" s="413">
        <f t="shared" ref="V142:V147" si="157">P142</f>
        <v>59174.344262295082</v>
      </c>
      <c r="W142" s="368">
        <f>V142</f>
        <v>59174.344262295082</v>
      </c>
      <c r="X142" s="368">
        <f t="shared" ref="X142:Y142" si="158">W142</f>
        <v>59174.344262295082</v>
      </c>
      <c r="Y142" s="369">
        <f t="shared" si="158"/>
        <v>59174.344262295082</v>
      </c>
      <c r="AE142" s="413">
        <f>V142</f>
        <v>59174.344262295082</v>
      </c>
      <c r="AF142" s="368">
        <f>AE142</f>
        <v>59174.344262295082</v>
      </c>
      <c r="AG142" s="368">
        <f t="shared" ref="AG142:AH147" si="159">AF142</f>
        <v>59174.344262295082</v>
      </c>
      <c r="AH142" s="369">
        <f t="shared" si="159"/>
        <v>59174.344262295082</v>
      </c>
      <c r="AK142" s="413">
        <f>AE142</f>
        <v>59174.344262295082</v>
      </c>
      <c r="AL142" s="368">
        <f>AK142</f>
        <v>59174.344262295082</v>
      </c>
      <c r="AM142" s="368">
        <f t="shared" ref="AM142:AN147" si="160">AL142</f>
        <v>59174.344262295082</v>
      </c>
      <c r="AN142" s="369">
        <f t="shared" si="160"/>
        <v>59174.344262295082</v>
      </c>
    </row>
    <row r="143" spans="1:72" outlineLevel="2">
      <c r="A143" s="436" t="s">
        <v>62</v>
      </c>
      <c r="B143" s="2"/>
      <c r="C143" s="2"/>
      <c r="D143" s="1061"/>
      <c r="E143" s="2"/>
      <c r="F143" s="508"/>
      <c r="G143" s="2"/>
      <c r="I143" s="370">
        <f t="shared" si="156"/>
        <v>35026.5</v>
      </c>
      <c r="J143" s="169">
        <f t="shared" si="156"/>
        <v>35026.5</v>
      </c>
      <c r="K143" s="169">
        <f t="shared" si="156"/>
        <v>35026.5</v>
      </c>
      <c r="L143" s="371">
        <f t="shared" si="156"/>
        <v>35026.5</v>
      </c>
      <c r="M143" s="504"/>
      <c r="N143" s="423"/>
      <c r="O143" s="423"/>
      <c r="P143" s="370">
        <f t="shared" ref="P143:P147" si="161">P160/2*P168</f>
        <v>38183.394849785407</v>
      </c>
      <c r="Q143" s="169">
        <f t="shared" ref="Q143:S147" si="162">P143</f>
        <v>38183.394849785407</v>
      </c>
      <c r="R143" s="169">
        <f t="shared" si="162"/>
        <v>38183.394849785407</v>
      </c>
      <c r="S143" s="371">
        <f t="shared" si="162"/>
        <v>38183.394849785407</v>
      </c>
      <c r="V143" s="414">
        <f t="shared" si="157"/>
        <v>38183.394849785407</v>
      </c>
      <c r="W143" s="169">
        <f t="shared" ref="W143:Y147" si="163">V143</f>
        <v>38183.394849785407</v>
      </c>
      <c r="X143" s="169">
        <f t="shared" si="163"/>
        <v>38183.394849785407</v>
      </c>
      <c r="Y143" s="371">
        <f t="shared" si="163"/>
        <v>38183.394849785407</v>
      </c>
      <c r="AD143" s="154"/>
      <c r="AE143" s="414">
        <f t="shared" ref="AE143:AE147" si="164">V143</f>
        <v>38183.394849785407</v>
      </c>
      <c r="AF143" s="169">
        <f t="shared" ref="AF143:AF147" si="165">AE143</f>
        <v>38183.394849785407</v>
      </c>
      <c r="AG143" s="169">
        <f t="shared" si="159"/>
        <v>38183.394849785407</v>
      </c>
      <c r="AH143" s="371">
        <f t="shared" si="159"/>
        <v>38183.394849785407</v>
      </c>
      <c r="AI143" s="154"/>
      <c r="AJ143" s="615"/>
      <c r="AK143" s="414">
        <f t="shared" ref="AK143:AK147" si="166">AE143</f>
        <v>38183.394849785407</v>
      </c>
      <c r="AL143" s="169">
        <f t="shared" ref="AL143:AL147" si="167">AK143</f>
        <v>38183.394849785407</v>
      </c>
      <c r="AM143" s="169">
        <f t="shared" si="160"/>
        <v>38183.394849785407</v>
      </c>
      <c r="AN143" s="371">
        <f t="shared" si="160"/>
        <v>38183.394849785407</v>
      </c>
      <c r="AO143" s="684"/>
      <c r="AP143" s="299"/>
      <c r="AQ143" s="2"/>
      <c r="AR143" s="2"/>
      <c r="AS143" s="2"/>
      <c r="AT143" s="2"/>
      <c r="AU143" s="2"/>
      <c r="AV143" s="2"/>
    </row>
    <row r="144" spans="1:72" outlineLevel="2">
      <c r="A144" s="436" t="s">
        <v>65</v>
      </c>
      <c r="B144" s="2"/>
      <c r="C144" s="2"/>
      <c r="D144" s="1061"/>
      <c r="E144" s="2"/>
      <c r="F144" s="508"/>
      <c r="G144" s="2"/>
      <c r="I144" s="370">
        <f t="shared" si="156"/>
        <v>23721.5</v>
      </c>
      <c r="J144" s="169">
        <f t="shared" si="156"/>
        <v>23721.5</v>
      </c>
      <c r="K144" s="169">
        <f t="shared" si="156"/>
        <v>23721.5</v>
      </c>
      <c r="L144" s="371">
        <f t="shared" si="156"/>
        <v>23721.5</v>
      </c>
      <c r="M144" s="504"/>
      <c r="N144" s="423"/>
      <c r="O144" s="423"/>
      <c r="P144" s="370">
        <f t="shared" si="161"/>
        <v>26600.988439306362</v>
      </c>
      <c r="Q144" s="169">
        <f t="shared" si="162"/>
        <v>26600.988439306362</v>
      </c>
      <c r="R144" s="169">
        <f t="shared" si="162"/>
        <v>26600.988439306362</v>
      </c>
      <c r="S144" s="371">
        <f t="shared" si="162"/>
        <v>26600.988439306362</v>
      </c>
      <c r="V144" s="414">
        <f t="shared" si="157"/>
        <v>26600.988439306362</v>
      </c>
      <c r="W144" s="169">
        <f t="shared" si="163"/>
        <v>26600.988439306362</v>
      </c>
      <c r="X144" s="169">
        <f t="shared" si="163"/>
        <v>26600.988439306362</v>
      </c>
      <c r="Y144" s="371">
        <f t="shared" si="163"/>
        <v>26600.988439306362</v>
      </c>
      <c r="AD144" s="154"/>
      <c r="AE144" s="414">
        <f t="shared" si="164"/>
        <v>26600.988439306362</v>
      </c>
      <c r="AF144" s="169">
        <f t="shared" si="165"/>
        <v>26600.988439306362</v>
      </c>
      <c r="AG144" s="169">
        <f t="shared" si="159"/>
        <v>26600.988439306362</v>
      </c>
      <c r="AH144" s="371">
        <f t="shared" si="159"/>
        <v>26600.988439306362</v>
      </c>
      <c r="AI144" s="154"/>
      <c r="AJ144" s="615"/>
      <c r="AK144" s="414">
        <f t="shared" si="166"/>
        <v>26600.988439306362</v>
      </c>
      <c r="AL144" s="169">
        <f t="shared" si="167"/>
        <v>26600.988439306362</v>
      </c>
      <c r="AM144" s="169">
        <f t="shared" si="160"/>
        <v>26600.988439306362</v>
      </c>
      <c r="AN144" s="371">
        <f t="shared" si="160"/>
        <v>26600.988439306362</v>
      </c>
      <c r="AO144" s="684"/>
      <c r="AP144" s="299"/>
      <c r="AQ144" s="2"/>
      <c r="AR144" s="2"/>
      <c r="AS144" s="2"/>
      <c r="AT144" s="2"/>
      <c r="AU144" s="2"/>
      <c r="AV144" s="2"/>
    </row>
    <row r="145" spans="1:72" outlineLevel="2">
      <c r="A145" s="436" t="s">
        <v>66</v>
      </c>
      <c r="B145" s="2"/>
      <c r="C145" s="2"/>
      <c r="D145" s="1061"/>
      <c r="E145" s="2"/>
      <c r="F145" s="508"/>
      <c r="G145" s="2"/>
      <c r="I145" s="370">
        <f t="shared" si="156"/>
        <v>20475.5</v>
      </c>
      <c r="J145" s="169">
        <f t="shared" si="156"/>
        <v>20475.5</v>
      </c>
      <c r="K145" s="169">
        <f t="shared" si="156"/>
        <v>20475.5</v>
      </c>
      <c r="L145" s="371">
        <f t="shared" si="156"/>
        <v>20475.5</v>
      </c>
      <c r="M145" s="504"/>
      <c r="N145" s="423"/>
      <c r="O145" s="423"/>
      <c r="P145" s="370">
        <f t="shared" si="161"/>
        <v>23361.308724832215</v>
      </c>
      <c r="Q145" s="169">
        <f t="shared" si="162"/>
        <v>23361.308724832215</v>
      </c>
      <c r="R145" s="169">
        <f t="shared" si="162"/>
        <v>23361.308724832215</v>
      </c>
      <c r="S145" s="371">
        <f t="shared" si="162"/>
        <v>23361.308724832215</v>
      </c>
      <c r="V145" s="414">
        <f t="shared" si="157"/>
        <v>23361.308724832215</v>
      </c>
      <c r="W145" s="169">
        <f t="shared" si="163"/>
        <v>23361.308724832215</v>
      </c>
      <c r="X145" s="169">
        <f t="shared" si="163"/>
        <v>23361.308724832215</v>
      </c>
      <c r="Y145" s="371">
        <f t="shared" si="163"/>
        <v>23361.308724832215</v>
      </c>
      <c r="AD145" s="154"/>
      <c r="AE145" s="414">
        <f t="shared" si="164"/>
        <v>23361.308724832215</v>
      </c>
      <c r="AF145" s="169">
        <f t="shared" si="165"/>
        <v>23361.308724832215</v>
      </c>
      <c r="AG145" s="169">
        <f t="shared" si="159"/>
        <v>23361.308724832215</v>
      </c>
      <c r="AH145" s="371">
        <f t="shared" si="159"/>
        <v>23361.308724832215</v>
      </c>
      <c r="AI145" s="154"/>
      <c r="AJ145" s="615"/>
      <c r="AK145" s="414">
        <f t="shared" si="166"/>
        <v>23361.308724832215</v>
      </c>
      <c r="AL145" s="169">
        <f t="shared" si="167"/>
        <v>23361.308724832215</v>
      </c>
      <c r="AM145" s="169">
        <f t="shared" si="160"/>
        <v>23361.308724832215</v>
      </c>
      <c r="AN145" s="371">
        <f t="shared" si="160"/>
        <v>23361.308724832215</v>
      </c>
      <c r="AO145" s="684"/>
      <c r="AP145" s="299"/>
      <c r="AQ145" s="2"/>
      <c r="AR145" s="2"/>
      <c r="AS145" s="2"/>
      <c r="AT145" s="2"/>
      <c r="AU145" s="2"/>
      <c r="AV145" s="2"/>
    </row>
    <row r="146" spans="1:72" outlineLevel="2">
      <c r="A146" s="436" t="s">
        <v>328</v>
      </c>
      <c r="B146" s="2"/>
      <c r="C146" s="2"/>
      <c r="D146" s="1061"/>
      <c r="E146" s="2"/>
      <c r="F146" s="508"/>
      <c r="G146" s="2"/>
      <c r="I146" s="370">
        <f t="shared" si="156"/>
        <v>16914</v>
      </c>
      <c r="J146" s="169">
        <f t="shared" si="156"/>
        <v>16914</v>
      </c>
      <c r="K146" s="169">
        <f t="shared" si="156"/>
        <v>16914</v>
      </c>
      <c r="L146" s="371">
        <f t="shared" si="156"/>
        <v>16914</v>
      </c>
      <c r="M146" s="504"/>
      <c r="N146" s="423"/>
      <c r="O146" s="423"/>
      <c r="P146" s="370">
        <f t="shared" si="161"/>
        <v>19667.441860465118</v>
      </c>
      <c r="Q146" s="169">
        <f t="shared" si="162"/>
        <v>19667.441860465118</v>
      </c>
      <c r="R146" s="169">
        <f t="shared" si="162"/>
        <v>19667.441860465118</v>
      </c>
      <c r="S146" s="371">
        <f t="shared" si="162"/>
        <v>19667.441860465118</v>
      </c>
      <c r="V146" s="414">
        <f t="shared" si="157"/>
        <v>19667.441860465118</v>
      </c>
      <c r="W146" s="169">
        <f t="shared" si="163"/>
        <v>19667.441860465118</v>
      </c>
      <c r="X146" s="169">
        <f t="shared" si="163"/>
        <v>19667.441860465118</v>
      </c>
      <c r="Y146" s="371">
        <f t="shared" si="163"/>
        <v>19667.441860465118</v>
      </c>
      <c r="AD146" s="154"/>
      <c r="AE146" s="414">
        <f t="shared" si="164"/>
        <v>19667.441860465118</v>
      </c>
      <c r="AF146" s="169">
        <f t="shared" si="165"/>
        <v>19667.441860465118</v>
      </c>
      <c r="AG146" s="169">
        <f t="shared" si="159"/>
        <v>19667.441860465118</v>
      </c>
      <c r="AH146" s="371">
        <f t="shared" si="159"/>
        <v>19667.441860465118</v>
      </c>
      <c r="AI146" s="154"/>
      <c r="AJ146" s="615"/>
      <c r="AK146" s="414">
        <f t="shared" si="166"/>
        <v>19667.441860465118</v>
      </c>
      <c r="AL146" s="169">
        <f t="shared" si="167"/>
        <v>19667.441860465118</v>
      </c>
      <c r="AM146" s="169">
        <f t="shared" si="160"/>
        <v>19667.441860465118</v>
      </c>
      <c r="AN146" s="371">
        <f t="shared" si="160"/>
        <v>19667.441860465118</v>
      </c>
      <c r="AO146" s="684"/>
      <c r="AP146" s="299"/>
      <c r="AQ146" s="2"/>
      <c r="AR146" s="2"/>
      <c r="AS146" s="2"/>
      <c r="AT146" s="2"/>
      <c r="AU146" s="2"/>
      <c r="AV146" s="2"/>
    </row>
    <row r="147" spans="1:72" outlineLevel="2">
      <c r="A147" s="1044" t="s">
        <v>329</v>
      </c>
      <c r="B147" s="2"/>
      <c r="C147" s="2"/>
      <c r="D147" s="1061"/>
      <c r="E147" s="2"/>
      <c r="F147" s="508"/>
      <c r="G147" s="2"/>
      <c r="I147" s="372">
        <f t="shared" si="156"/>
        <v>10790.5</v>
      </c>
      <c r="J147" s="373">
        <f t="shared" si="156"/>
        <v>10790.5</v>
      </c>
      <c r="K147" s="373">
        <f t="shared" si="156"/>
        <v>10790.5</v>
      </c>
      <c r="L147" s="374">
        <f t="shared" si="156"/>
        <v>10790.5</v>
      </c>
      <c r="M147" s="504"/>
      <c r="N147" s="423"/>
      <c r="O147" s="423"/>
      <c r="P147" s="372">
        <f t="shared" si="161"/>
        <v>13126.58762886598</v>
      </c>
      <c r="Q147" s="373">
        <f t="shared" si="162"/>
        <v>13126.58762886598</v>
      </c>
      <c r="R147" s="373">
        <f t="shared" si="162"/>
        <v>13126.58762886598</v>
      </c>
      <c r="S147" s="374">
        <f t="shared" si="162"/>
        <v>13126.58762886598</v>
      </c>
      <c r="V147" s="415">
        <f t="shared" si="157"/>
        <v>13126.58762886598</v>
      </c>
      <c r="W147" s="373">
        <f t="shared" si="163"/>
        <v>13126.58762886598</v>
      </c>
      <c r="X147" s="373">
        <f t="shared" si="163"/>
        <v>13126.58762886598</v>
      </c>
      <c r="Y147" s="374">
        <f t="shared" si="163"/>
        <v>13126.58762886598</v>
      </c>
      <c r="AD147" s="154"/>
      <c r="AE147" s="415">
        <f t="shared" si="164"/>
        <v>13126.58762886598</v>
      </c>
      <c r="AF147" s="373">
        <f t="shared" si="165"/>
        <v>13126.58762886598</v>
      </c>
      <c r="AG147" s="373">
        <f t="shared" si="159"/>
        <v>13126.58762886598</v>
      </c>
      <c r="AH147" s="374">
        <f t="shared" si="159"/>
        <v>13126.58762886598</v>
      </c>
      <c r="AI147" s="154"/>
      <c r="AJ147" s="615"/>
      <c r="AK147" s="415">
        <f t="shared" si="166"/>
        <v>13126.58762886598</v>
      </c>
      <c r="AL147" s="373">
        <f t="shared" si="167"/>
        <v>13126.58762886598</v>
      </c>
      <c r="AM147" s="373">
        <f t="shared" si="160"/>
        <v>13126.58762886598</v>
      </c>
      <c r="AN147" s="374">
        <f t="shared" si="160"/>
        <v>13126.58762886598</v>
      </c>
      <c r="AO147" s="684"/>
      <c r="AP147" s="299"/>
      <c r="AQ147" s="2"/>
      <c r="AR147" s="2"/>
      <c r="AS147" s="2"/>
      <c r="AT147" s="2"/>
      <c r="AU147" s="2"/>
      <c r="AV147" s="2"/>
    </row>
    <row r="148" spans="1:72" outlineLevel="2">
      <c r="A148" s="436"/>
      <c r="B148" s="2"/>
      <c r="C148" s="2"/>
      <c r="D148" s="1061"/>
      <c r="E148" s="2"/>
      <c r="F148" s="508"/>
      <c r="G148" s="2"/>
      <c r="I148" s="169"/>
      <c r="J148" s="169"/>
      <c r="K148" s="169"/>
      <c r="L148" s="169"/>
      <c r="M148" s="407"/>
      <c r="N148" s="169"/>
      <c r="O148" s="423"/>
      <c r="P148" s="169"/>
      <c r="Q148" s="169"/>
      <c r="R148" s="169"/>
      <c r="S148" s="169"/>
      <c r="V148" s="169"/>
      <c r="W148" s="169"/>
      <c r="X148" s="169"/>
      <c r="Y148" s="169"/>
      <c r="AD148" s="154"/>
      <c r="AE148" s="154"/>
      <c r="AF148" s="154"/>
      <c r="AG148" s="154"/>
      <c r="AH148" s="154"/>
      <c r="AI148" s="154"/>
      <c r="AJ148" s="615"/>
      <c r="AK148" s="154"/>
      <c r="AL148" s="154"/>
      <c r="AM148" s="154"/>
      <c r="AN148" s="154"/>
      <c r="AO148" s="684"/>
      <c r="AP148" s="299"/>
      <c r="AQ148" s="2"/>
      <c r="AR148" s="2"/>
      <c r="AS148" s="2"/>
      <c r="AT148" s="2"/>
      <c r="AU148" s="2"/>
      <c r="AV148" s="2"/>
    </row>
    <row r="149" spans="1:72" s="489" customFormat="1" outlineLevel="2">
      <c r="A149" s="551" t="s">
        <v>347</v>
      </c>
      <c r="B149" s="148"/>
      <c r="C149" s="148"/>
      <c r="D149" s="1072"/>
      <c r="E149" s="148"/>
      <c r="F149" s="507"/>
      <c r="G149" s="148"/>
      <c r="H149" s="728"/>
      <c r="I149" s="506"/>
      <c r="J149" s="148"/>
      <c r="K149" s="148"/>
      <c r="L149" s="148"/>
      <c r="M149" s="507"/>
      <c r="N149" s="148"/>
      <c r="O149" s="21"/>
      <c r="P149" s="534"/>
      <c r="Q149" s="21"/>
      <c r="R149" s="21"/>
      <c r="S149" s="21"/>
      <c r="T149" s="535"/>
      <c r="U149" s="148"/>
      <c r="V149" s="405"/>
      <c r="W149" s="405"/>
      <c r="X149" s="405"/>
      <c r="Y149" s="405"/>
      <c r="Z149" s="1313"/>
      <c r="AA149" s="405"/>
      <c r="AB149" s="405"/>
      <c r="AC149" s="405"/>
      <c r="AD149" s="148"/>
      <c r="AE149" s="148"/>
      <c r="AF149" s="148"/>
      <c r="AG149" s="148"/>
      <c r="AH149" s="148"/>
      <c r="AI149" s="148"/>
      <c r="AJ149" s="829"/>
      <c r="AK149" s="148"/>
      <c r="AL149" s="148"/>
      <c r="AM149" s="148"/>
      <c r="AN149" s="148"/>
      <c r="AO149" s="830"/>
      <c r="AP149" s="507"/>
      <c r="AQ149" s="148"/>
      <c r="AR149" s="148"/>
      <c r="AS149" s="148"/>
      <c r="AT149" s="148"/>
      <c r="AU149" s="148"/>
      <c r="AV149" s="148"/>
      <c r="AW149" s="21"/>
      <c r="AX149" s="21"/>
      <c r="AY149" s="21"/>
      <c r="AZ149" s="21"/>
      <c r="BA149" s="21"/>
      <c r="BB149" s="21"/>
      <c r="BI149" s="21"/>
      <c r="BJ149" s="21"/>
      <c r="BK149" s="21"/>
      <c r="BL149" s="21"/>
      <c r="BM149" s="21"/>
      <c r="BN149" s="21"/>
      <c r="BO149" s="21"/>
      <c r="BP149" s="21"/>
      <c r="BQ149" s="21"/>
      <c r="BR149" s="21"/>
      <c r="BS149" s="21"/>
      <c r="BT149" s="21"/>
    </row>
    <row r="150" spans="1:72" outlineLevel="2">
      <c r="A150" s="436" t="s">
        <v>64</v>
      </c>
      <c r="B150" s="2"/>
      <c r="C150" s="2"/>
      <c r="D150" s="1061"/>
      <c r="E150" s="2"/>
      <c r="F150" s="508"/>
      <c r="G150" s="2"/>
      <c r="J150" s="2"/>
      <c r="K150" s="2"/>
      <c r="L150" s="2"/>
      <c r="M150" s="508"/>
      <c r="N150" s="2"/>
      <c r="U150" s="61"/>
      <c r="V150" s="326"/>
      <c r="W150" s="326"/>
      <c r="X150" s="326"/>
      <c r="Y150" s="326"/>
      <c r="Z150" s="1314"/>
      <c r="AA150" s="326"/>
      <c r="AB150" s="326"/>
      <c r="AC150" s="326"/>
      <c r="AD150" s="61"/>
      <c r="AE150" s="61"/>
      <c r="AF150" s="61"/>
      <c r="AG150" s="61"/>
      <c r="AH150" s="61"/>
      <c r="AI150" s="61"/>
      <c r="AJ150" s="831"/>
      <c r="AK150" s="61"/>
      <c r="AL150" s="61"/>
      <c r="AM150" s="61"/>
      <c r="AN150" s="61"/>
      <c r="AO150" s="832"/>
      <c r="AP150" s="560"/>
      <c r="AQ150" s="2"/>
      <c r="AR150" s="2"/>
      <c r="AS150" s="2"/>
      <c r="AT150" s="2"/>
      <c r="AU150" s="2"/>
      <c r="AV150" s="2"/>
    </row>
    <row r="151" spans="1:72" outlineLevel="2">
      <c r="A151" s="1043" t="s">
        <v>327</v>
      </c>
      <c r="B151" s="2"/>
      <c r="C151" s="2"/>
      <c r="D151" s="1061"/>
      <c r="E151" s="2"/>
      <c r="F151" s="508"/>
      <c r="G151" s="2"/>
      <c r="I151" s="386">
        <f>'MPS др метрики'!C110</f>
        <v>110725</v>
      </c>
      <c r="J151" s="426">
        <f t="shared" ref="J151:L156" si="168">I151</f>
        <v>110725</v>
      </c>
      <c r="K151" s="426">
        <f t="shared" si="168"/>
        <v>110725</v>
      </c>
      <c r="L151" s="486">
        <f t="shared" si="168"/>
        <v>110725</v>
      </c>
      <c r="M151" s="508"/>
      <c r="N151" s="2"/>
      <c r="P151" s="386">
        <f t="shared" ref="P151:P156" si="169">I151</f>
        <v>110725</v>
      </c>
      <c r="Q151" s="387">
        <f>P151</f>
        <v>110725</v>
      </c>
      <c r="R151" s="387">
        <f t="shared" ref="R151:S151" si="170">Q151</f>
        <v>110725</v>
      </c>
      <c r="S151" s="388">
        <f t="shared" si="170"/>
        <v>110725</v>
      </c>
      <c r="U151" s="61"/>
      <c r="V151" s="386">
        <f t="shared" ref="V151:Y156" si="171">P151</f>
        <v>110725</v>
      </c>
      <c r="W151" s="387">
        <f t="shared" si="171"/>
        <v>110725</v>
      </c>
      <c r="X151" s="387">
        <f t="shared" si="171"/>
        <v>110725</v>
      </c>
      <c r="Y151" s="388">
        <f t="shared" si="171"/>
        <v>110725</v>
      </c>
      <c r="Z151" s="1314"/>
      <c r="AA151" s="326"/>
      <c r="AB151" s="326"/>
      <c r="AC151" s="326"/>
      <c r="AD151" s="61"/>
      <c r="AE151" s="386">
        <f t="shared" ref="AE151:AH156" si="172">V151</f>
        <v>110725</v>
      </c>
      <c r="AF151" s="387">
        <f t="shared" si="172"/>
        <v>110725</v>
      </c>
      <c r="AG151" s="387">
        <f t="shared" si="172"/>
        <v>110725</v>
      </c>
      <c r="AH151" s="388">
        <f t="shared" si="172"/>
        <v>110725</v>
      </c>
      <c r="AI151" s="61"/>
      <c r="AJ151" s="831"/>
      <c r="AK151" s="386">
        <f t="shared" ref="AK151:AN156" si="173">AE151</f>
        <v>110725</v>
      </c>
      <c r="AL151" s="387">
        <f t="shared" si="173"/>
        <v>110725</v>
      </c>
      <c r="AM151" s="387">
        <f t="shared" si="173"/>
        <v>110725</v>
      </c>
      <c r="AN151" s="388">
        <f t="shared" si="173"/>
        <v>110725</v>
      </c>
      <c r="AO151" s="832"/>
      <c r="AP151" s="560"/>
      <c r="AQ151" s="2"/>
      <c r="AR151" s="2"/>
      <c r="AS151" s="2"/>
      <c r="AT151" s="2"/>
      <c r="AU151" s="2"/>
      <c r="AV151" s="2"/>
    </row>
    <row r="152" spans="1:72" s="2" customFormat="1" outlineLevel="2">
      <c r="A152" s="436" t="s">
        <v>62</v>
      </c>
      <c r="D152" s="1061"/>
      <c r="F152" s="508"/>
      <c r="I152" s="389">
        <f>'MPS др метрики'!C111</f>
        <v>70053</v>
      </c>
      <c r="J152" s="427">
        <f t="shared" si="168"/>
        <v>70053</v>
      </c>
      <c r="K152" s="427">
        <f t="shared" si="168"/>
        <v>70053</v>
      </c>
      <c r="L152" s="487">
        <f t="shared" si="168"/>
        <v>70053</v>
      </c>
      <c r="M152" s="508"/>
      <c r="O152" s="1"/>
      <c r="P152" s="389">
        <f t="shared" si="169"/>
        <v>70053</v>
      </c>
      <c r="Q152" s="291">
        <f t="shared" ref="Q152:S156" si="174">P152</f>
        <v>70053</v>
      </c>
      <c r="R152" s="291">
        <f t="shared" si="174"/>
        <v>70053</v>
      </c>
      <c r="S152" s="390">
        <f t="shared" si="174"/>
        <v>70053</v>
      </c>
      <c r="T152" s="295"/>
      <c r="U152" s="61"/>
      <c r="V152" s="389">
        <f t="shared" si="171"/>
        <v>70053</v>
      </c>
      <c r="W152" s="291">
        <f t="shared" si="171"/>
        <v>70053</v>
      </c>
      <c r="X152" s="291">
        <f t="shared" si="171"/>
        <v>70053</v>
      </c>
      <c r="Y152" s="390">
        <f t="shared" si="171"/>
        <v>70053</v>
      </c>
      <c r="Z152" s="1314"/>
      <c r="AA152" s="326"/>
      <c r="AB152" s="326"/>
      <c r="AC152" s="326"/>
      <c r="AD152" s="61"/>
      <c r="AE152" s="389">
        <f t="shared" si="172"/>
        <v>70053</v>
      </c>
      <c r="AF152" s="291">
        <f t="shared" si="172"/>
        <v>70053</v>
      </c>
      <c r="AG152" s="291">
        <f t="shared" si="172"/>
        <v>70053</v>
      </c>
      <c r="AH152" s="390">
        <f t="shared" si="172"/>
        <v>70053</v>
      </c>
      <c r="AI152" s="61"/>
      <c r="AJ152" s="831"/>
      <c r="AK152" s="389">
        <f t="shared" si="173"/>
        <v>70053</v>
      </c>
      <c r="AL152" s="291">
        <f t="shared" si="173"/>
        <v>70053</v>
      </c>
      <c r="AM152" s="291">
        <f t="shared" si="173"/>
        <v>70053</v>
      </c>
      <c r="AN152" s="390">
        <f t="shared" si="173"/>
        <v>70053</v>
      </c>
      <c r="AO152" s="832"/>
      <c r="AP152" s="560"/>
      <c r="AW152" s="1"/>
      <c r="AX152" s="1"/>
      <c r="AY152" s="1"/>
      <c r="AZ152" s="1"/>
      <c r="BA152" s="1"/>
      <c r="BB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</row>
    <row r="153" spans="1:72" s="2" customFormat="1" outlineLevel="2">
      <c r="A153" s="436" t="s">
        <v>65</v>
      </c>
      <c r="D153" s="1061"/>
      <c r="F153" s="508"/>
      <c r="I153" s="389">
        <f>'MPS др метрики'!C112</f>
        <v>47443</v>
      </c>
      <c r="J153" s="427">
        <f t="shared" si="168"/>
        <v>47443</v>
      </c>
      <c r="K153" s="427">
        <f t="shared" si="168"/>
        <v>47443</v>
      </c>
      <c r="L153" s="487">
        <f t="shared" si="168"/>
        <v>47443</v>
      </c>
      <c r="M153" s="508"/>
      <c r="O153" s="1"/>
      <c r="P153" s="389">
        <f t="shared" si="169"/>
        <v>47443</v>
      </c>
      <c r="Q153" s="291">
        <f t="shared" si="174"/>
        <v>47443</v>
      </c>
      <c r="R153" s="291">
        <f t="shared" si="174"/>
        <v>47443</v>
      </c>
      <c r="S153" s="390">
        <f t="shared" si="174"/>
        <v>47443</v>
      </c>
      <c r="T153" s="295"/>
      <c r="U153" s="61"/>
      <c r="V153" s="389">
        <f t="shared" si="171"/>
        <v>47443</v>
      </c>
      <c r="W153" s="291">
        <f t="shared" si="171"/>
        <v>47443</v>
      </c>
      <c r="X153" s="291">
        <f t="shared" si="171"/>
        <v>47443</v>
      </c>
      <c r="Y153" s="390">
        <f t="shared" si="171"/>
        <v>47443</v>
      </c>
      <c r="Z153" s="1314"/>
      <c r="AA153" s="326"/>
      <c r="AB153" s="326"/>
      <c r="AC153" s="326"/>
      <c r="AD153" s="61"/>
      <c r="AE153" s="389">
        <f t="shared" si="172"/>
        <v>47443</v>
      </c>
      <c r="AF153" s="291">
        <f t="shared" si="172"/>
        <v>47443</v>
      </c>
      <c r="AG153" s="291">
        <f t="shared" si="172"/>
        <v>47443</v>
      </c>
      <c r="AH153" s="390">
        <f t="shared" si="172"/>
        <v>47443</v>
      </c>
      <c r="AI153" s="61"/>
      <c r="AJ153" s="831"/>
      <c r="AK153" s="389">
        <f t="shared" si="173"/>
        <v>47443</v>
      </c>
      <c r="AL153" s="291">
        <f t="shared" si="173"/>
        <v>47443</v>
      </c>
      <c r="AM153" s="291">
        <f t="shared" si="173"/>
        <v>47443</v>
      </c>
      <c r="AN153" s="390">
        <f t="shared" si="173"/>
        <v>47443</v>
      </c>
      <c r="AO153" s="832"/>
      <c r="AP153" s="560"/>
      <c r="AW153" s="1"/>
      <c r="AX153" s="1"/>
      <c r="AY153" s="1"/>
      <c r="AZ153" s="1"/>
      <c r="BA153" s="1"/>
      <c r="BB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</row>
    <row r="154" spans="1:72" s="2" customFormat="1" outlineLevel="2">
      <c r="A154" s="436" t="s">
        <v>66</v>
      </c>
      <c r="D154" s="1061"/>
      <c r="F154" s="508"/>
      <c r="I154" s="389">
        <f>'MPS др метрики'!C113</f>
        <v>40951</v>
      </c>
      <c r="J154" s="427">
        <f t="shared" si="168"/>
        <v>40951</v>
      </c>
      <c r="K154" s="427">
        <f t="shared" si="168"/>
        <v>40951</v>
      </c>
      <c r="L154" s="487">
        <f t="shared" si="168"/>
        <v>40951</v>
      </c>
      <c r="M154" s="508"/>
      <c r="O154" s="1"/>
      <c r="P154" s="389">
        <f t="shared" si="169"/>
        <v>40951</v>
      </c>
      <c r="Q154" s="291">
        <f t="shared" si="174"/>
        <v>40951</v>
      </c>
      <c r="R154" s="291">
        <f t="shared" si="174"/>
        <v>40951</v>
      </c>
      <c r="S154" s="390">
        <f t="shared" si="174"/>
        <v>40951</v>
      </c>
      <c r="T154" s="295"/>
      <c r="U154" s="61"/>
      <c r="V154" s="389">
        <f t="shared" si="171"/>
        <v>40951</v>
      </c>
      <c r="W154" s="291">
        <f t="shared" si="171"/>
        <v>40951</v>
      </c>
      <c r="X154" s="291">
        <f t="shared" si="171"/>
        <v>40951</v>
      </c>
      <c r="Y154" s="390">
        <f t="shared" si="171"/>
        <v>40951</v>
      </c>
      <c r="Z154" s="1314"/>
      <c r="AA154" s="326"/>
      <c r="AB154" s="326"/>
      <c r="AC154" s="326"/>
      <c r="AD154" s="61"/>
      <c r="AE154" s="389">
        <f t="shared" si="172"/>
        <v>40951</v>
      </c>
      <c r="AF154" s="291">
        <f t="shared" si="172"/>
        <v>40951</v>
      </c>
      <c r="AG154" s="291">
        <f t="shared" si="172"/>
        <v>40951</v>
      </c>
      <c r="AH154" s="390">
        <f t="shared" si="172"/>
        <v>40951</v>
      </c>
      <c r="AI154" s="61"/>
      <c r="AJ154" s="831"/>
      <c r="AK154" s="389">
        <f t="shared" si="173"/>
        <v>40951</v>
      </c>
      <c r="AL154" s="291">
        <f t="shared" si="173"/>
        <v>40951</v>
      </c>
      <c r="AM154" s="291">
        <f t="shared" si="173"/>
        <v>40951</v>
      </c>
      <c r="AN154" s="390">
        <f t="shared" si="173"/>
        <v>40951</v>
      </c>
      <c r="AO154" s="832"/>
      <c r="AP154" s="560"/>
      <c r="AW154" s="1"/>
      <c r="AX154" s="1"/>
      <c r="AY154" s="1"/>
      <c r="AZ154" s="1"/>
      <c r="BA154" s="1"/>
      <c r="BB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</row>
    <row r="155" spans="1:72" s="2" customFormat="1" outlineLevel="2">
      <c r="A155" s="436" t="s">
        <v>328</v>
      </c>
      <c r="D155" s="1061"/>
      <c r="F155" s="508"/>
      <c r="I155" s="389">
        <f>'MPS др метрики'!C114</f>
        <v>33828</v>
      </c>
      <c r="J155" s="427">
        <f t="shared" si="168"/>
        <v>33828</v>
      </c>
      <c r="K155" s="427">
        <f t="shared" si="168"/>
        <v>33828</v>
      </c>
      <c r="L155" s="487">
        <f t="shared" si="168"/>
        <v>33828</v>
      </c>
      <c r="M155" s="508"/>
      <c r="O155" s="1"/>
      <c r="P155" s="389">
        <f t="shared" si="169"/>
        <v>33828</v>
      </c>
      <c r="Q155" s="291">
        <f t="shared" si="174"/>
        <v>33828</v>
      </c>
      <c r="R155" s="291">
        <f t="shared" si="174"/>
        <v>33828</v>
      </c>
      <c r="S155" s="390">
        <f t="shared" si="174"/>
        <v>33828</v>
      </c>
      <c r="T155" s="295"/>
      <c r="U155" s="61"/>
      <c r="V155" s="389">
        <f t="shared" si="171"/>
        <v>33828</v>
      </c>
      <c r="W155" s="291">
        <f t="shared" si="171"/>
        <v>33828</v>
      </c>
      <c r="X155" s="291">
        <f t="shared" si="171"/>
        <v>33828</v>
      </c>
      <c r="Y155" s="390">
        <f t="shared" si="171"/>
        <v>33828</v>
      </c>
      <c r="Z155" s="1314"/>
      <c r="AA155" s="326"/>
      <c r="AB155" s="326"/>
      <c r="AC155" s="326"/>
      <c r="AD155" s="61"/>
      <c r="AE155" s="389">
        <f t="shared" si="172"/>
        <v>33828</v>
      </c>
      <c r="AF155" s="291">
        <f t="shared" si="172"/>
        <v>33828</v>
      </c>
      <c r="AG155" s="291">
        <f t="shared" si="172"/>
        <v>33828</v>
      </c>
      <c r="AH155" s="390">
        <f t="shared" si="172"/>
        <v>33828</v>
      </c>
      <c r="AI155" s="61"/>
      <c r="AJ155" s="831"/>
      <c r="AK155" s="389">
        <f t="shared" si="173"/>
        <v>33828</v>
      </c>
      <c r="AL155" s="291">
        <f t="shared" si="173"/>
        <v>33828</v>
      </c>
      <c r="AM155" s="291">
        <f t="shared" si="173"/>
        <v>33828</v>
      </c>
      <c r="AN155" s="390">
        <f t="shared" si="173"/>
        <v>33828</v>
      </c>
      <c r="AO155" s="832"/>
      <c r="AP155" s="560"/>
      <c r="AW155" s="1"/>
      <c r="AX155" s="1"/>
      <c r="AY155" s="1"/>
      <c r="AZ155" s="1"/>
      <c r="BA155" s="1"/>
      <c r="BB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</row>
    <row r="156" spans="1:72" s="2" customFormat="1" outlineLevel="2">
      <c r="A156" s="1044" t="s">
        <v>329</v>
      </c>
      <c r="D156" s="1061"/>
      <c r="F156" s="508"/>
      <c r="H156" s="139"/>
      <c r="I156" s="391">
        <f>'MPS др метрики'!C115</f>
        <v>21581</v>
      </c>
      <c r="J156" s="428">
        <f t="shared" si="168"/>
        <v>21581</v>
      </c>
      <c r="K156" s="428">
        <f t="shared" si="168"/>
        <v>21581</v>
      </c>
      <c r="L156" s="488">
        <f t="shared" si="168"/>
        <v>21581</v>
      </c>
      <c r="M156" s="508"/>
      <c r="O156" s="1"/>
      <c r="P156" s="391">
        <f t="shared" si="169"/>
        <v>21581</v>
      </c>
      <c r="Q156" s="392">
        <f t="shared" si="174"/>
        <v>21581</v>
      </c>
      <c r="R156" s="392">
        <f t="shared" si="174"/>
        <v>21581</v>
      </c>
      <c r="S156" s="393">
        <f t="shared" si="174"/>
        <v>21581</v>
      </c>
      <c r="T156" s="295"/>
      <c r="U156" s="1"/>
      <c r="V156" s="391">
        <f t="shared" si="171"/>
        <v>21581</v>
      </c>
      <c r="W156" s="392">
        <f t="shared" si="171"/>
        <v>21581</v>
      </c>
      <c r="X156" s="392">
        <f t="shared" si="171"/>
        <v>21581</v>
      </c>
      <c r="Y156" s="393">
        <f t="shared" si="171"/>
        <v>21581</v>
      </c>
      <c r="Z156" s="1314"/>
      <c r="AA156" s="326"/>
      <c r="AB156" s="326"/>
      <c r="AC156" s="326"/>
      <c r="AD156" s="61"/>
      <c r="AE156" s="391">
        <f t="shared" si="172"/>
        <v>21581</v>
      </c>
      <c r="AF156" s="392">
        <f t="shared" si="172"/>
        <v>21581</v>
      </c>
      <c r="AG156" s="392">
        <f t="shared" si="172"/>
        <v>21581</v>
      </c>
      <c r="AH156" s="393">
        <f t="shared" si="172"/>
        <v>21581</v>
      </c>
      <c r="AI156" s="61"/>
      <c r="AJ156" s="831"/>
      <c r="AK156" s="391">
        <f t="shared" si="173"/>
        <v>21581</v>
      </c>
      <c r="AL156" s="392">
        <f t="shared" si="173"/>
        <v>21581</v>
      </c>
      <c r="AM156" s="392">
        <f t="shared" si="173"/>
        <v>21581</v>
      </c>
      <c r="AN156" s="393">
        <f t="shared" si="173"/>
        <v>21581</v>
      </c>
      <c r="AO156" s="832"/>
      <c r="AP156" s="560"/>
      <c r="AQ156" s="84"/>
      <c r="AR156" s="84"/>
      <c r="AS156" s="84"/>
      <c r="AT156" s="84"/>
      <c r="AU156" s="84"/>
      <c r="AV156" s="84"/>
      <c r="AW156" s="1"/>
      <c r="AX156" s="1"/>
      <c r="AY156" s="1"/>
      <c r="AZ156" s="1"/>
      <c r="BA156" s="1"/>
      <c r="BB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</row>
    <row r="157" spans="1:72" s="2" customFormat="1" outlineLevel="2">
      <c r="A157" s="436"/>
      <c r="D157" s="1061"/>
      <c r="F157" s="508"/>
      <c r="H157" s="139"/>
      <c r="I157" s="1"/>
      <c r="J157" s="427"/>
      <c r="K157" s="427"/>
      <c r="L157" s="427"/>
      <c r="M157" s="510"/>
      <c r="N157" s="427"/>
      <c r="O157" s="1"/>
      <c r="P157" s="291"/>
      <c r="Q157" s="291"/>
      <c r="R157" s="291"/>
      <c r="S157" s="291"/>
      <c r="T157" s="295"/>
      <c r="U157" s="1"/>
      <c r="V157" s="291"/>
      <c r="W157" s="291"/>
      <c r="X157" s="291"/>
      <c r="Y157" s="291"/>
      <c r="Z157" s="1314"/>
      <c r="AA157" s="326"/>
      <c r="AB157" s="326"/>
      <c r="AC157" s="326"/>
      <c r="AD157" s="61"/>
      <c r="AE157" s="61"/>
      <c r="AF157" s="61"/>
      <c r="AG157" s="61"/>
      <c r="AH157" s="61"/>
      <c r="AI157" s="61"/>
      <c r="AJ157" s="831"/>
      <c r="AK157" s="61"/>
      <c r="AL157" s="61"/>
      <c r="AM157" s="61"/>
      <c r="AN157" s="61"/>
      <c r="AO157" s="832"/>
      <c r="AP157" s="560"/>
      <c r="AQ157" s="84"/>
      <c r="AR157" s="84"/>
      <c r="AS157" s="84"/>
      <c r="AT157" s="84"/>
      <c r="AU157" s="84"/>
      <c r="AV157" s="84"/>
      <c r="AW157" s="1"/>
      <c r="AX157" s="1"/>
      <c r="AY157" s="1"/>
      <c r="AZ157" s="1"/>
      <c r="BA157" s="1"/>
      <c r="BB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</row>
    <row r="158" spans="1:72" s="2" customFormat="1" outlineLevel="2">
      <c r="A158" s="436" t="s">
        <v>333</v>
      </c>
      <c r="D158" s="1061"/>
      <c r="F158" s="508"/>
      <c r="H158" s="139"/>
      <c r="I158" s="1"/>
      <c r="J158" s="427"/>
      <c r="K158" s="427"/>
      <c r="L158" s="427"/>
      <c r="M158" s="510"/>
      <c r="N158" s="427"/>
      <c r="O158" s="1"/>
      <c r="P158" s="291"/>
      <c r="Q158" s="291"/>
      <c r="R158" s="291"/>
      <c r="S158" s="291"/>
      <c r="T158" s="295"/>
      <c r="U158" s="1"/>
      <c r="V158" s="291"/>
      <c r="W158" s="291"/>
      <c r="X158" s="291"/>
      <c r="Y158" s="291"/>
      <c r="Z158" s="1314"/>
      <c r="AA158" s="326"/>
      <c r="AB158" s="326"/>
      <c r="AC158" s="326"/>
      <c r="AD158" s="61"/>
      <c r="AE158" s="61"/>
      <c r="AF158" s="61"/>
      <c r="AG158" s="61"/>
      <c r="AH158" s="61"/>
      <c r="AI158" s="61"/>
      <c r="AJ158" s="831"/>
      <c r="AK158" s="61"/>
      <c r="AL158" s="61"/>
      <c r="AM158" s="61"/>
      <c r="AN158" s="61"/>
      <c r="AO158" s="832"/>
      <c r="AP158" s="560"/>
      <c r="AQ158" s="84"/>
      <c r="AR158" s="84"/>
      <c r="AS158" s="84"/>
      <c r="AT158" s="84"/>
      <c r="AU158" s="84"/>
      <c r="AV158" s="84"/>
      <c r="AW158" s="1"/>
      <c r="AX158" s="1"/>
      <c r="AY158" s="1"/>
      <c r="AZ158" s="1"/>
      <c r="BA158" s="1"/>
      <c r="BB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</row>
    <row r="159" spans="1:72" s="2" customFormat="1" outlineLevel="2">
      <c r="A159" s="1043" t="s">
        <v>327</v>
      </c>
      <c r="D159" s="1061"/>
      <c r="F159" s="508"/>
      <c r="H159" s="139"/>
      <c r="I159" s="367">
        <f t="shared" ref="I159:L164" si="175">I151/I175</f>
        <v>10890.983606557378</v>
      </c>
      <c r="J159" s="368">
        <f t="shared" si="175"/>
        <v>10890.983606557378</v>
      </c>
      <c r="K159" s="368">
        <f t="shared" si="175"/>
        <v>10890.983606557378</v>
      </c>
      <c r="L159" s="369">
        <f t="shared" si="175"/>
        <v>10890.983606557378</v>
      </c>
      <c r="M159" s="407"/>
      <c r="N159" s="169"/>
      <c r="O159" s="1"/>
      <c r="P159" s="389">
        <f t="shared" ref="P159:P164" si="176">I159</f>
        <v>10890.983606557378</v>
      </c>
      <c r="Q159" s="387">
        <f>P159</f>
        <v>10890.983606557378</v>
      </c>
      <c r="R159" s="387">
        <f t="shared" ref="R159:S159" si="177">Q159</f>
        <v>10890.983606557378</v>
      </c>
      <c r="S159" s="388">
        <f t="shared" si="177"/>
        <v>10890.983606557378</v>
      </c>
      <c r="T159" s="295"/>
      <c r="U159" s="1"/>
      <c r="V159" s="386">
        <f t="shared" ref="V159:V164" si="178">P159</f>
        <v>10890.983606557378</v>
      </c>
      <c r="W159" s="387">
        <f>V159</f>
        <v>10890.983606557378</v>
      </c>
      <c r="X159" s="387">
        <f t="shared" ref="X159:Y159" si="179">W159</f>
        <v>10890.983606557378</v>
      </c>
      <c r="Y159" s="388">
        <f t="shared" si="179"/>
        <v>10890.983606557378</v>
      </c>
      <c r="Z159" s="1314"/>
      <c r="AA159" s="326"/>
      <c r="AB159" s="326"/>
      <c r="AC159" s="326"/>
      <c r="AD159" s="61"/>
      <c r="AE159" s="386">
        <f t="shared" ref="AE159:AE164" si="180">V159</f>
        <v>10890.983606557378</v>
      </c>
      <c r="AF159" s="387">
        <f>AE159</f>
        <v>10890.983606557378</v>
      </c>
      <c r="AG159" s="387">
        <f t="shared" ref="AG159:AH164" si="181">AF159</f>
        <v>10890.983606557378</v>
      </c>
      <c r="AH159" s="388">
        <f t="shared" si="181"/>
        <v>10890.983606557378</v>
      </c>
      <c r="AI159" s="61"/>
      <c r="AJ159" s="831"/>
      <c r="AK159" s="386">
        <f t="shared" ref="AK159:AK164" si="182">AE159</f>
        <v>10890.983606557378</v>
      </c>
      <c r="AL159" s="387">
        <f>AK159</f>
        <v>10890.983606557378</v>
      </c>
      <c r="AM159" s="387">
        <f t="shared" ref="AM159:AN164" si="183">AL159</f>
        <v>10890.983606557378</v>
      </c>
      <c r="AN159" s="388">
        <f t="shared" si="183"/>
        <v>10890.983606557378</v>
      </c>
      <c r="AO159" s="832"/>
      <c r="AP159" s="560"/>
      <c r="AQ159" s="84"/>
      <c r="AR159" s="84"/>
      <c r="AS159" s="84"/>
      <c r="AT159" s="84"/>
      <c r="AU159" s="84"/>
      <c r="AV159" s="84"/>
      <c r="AW159" s="1"/>
      <c r="AX159" s="1"/>
      <c r="AY159" s="1"/>
      <c r="AZ159" s="1"/>
      <c r="BA159" s="1"/>
      <c r="BB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</row>
    <row r="160" spans="1:72" s="2" customFormat="1" outlineLevel="2">
      <c r="A160" s="436" t="s">
        <v>62</v>
      </c>
      <c r="D160" s="1061"/>
      <c r="F160" s="508"/>
      <c r="H160" s="139"/>
      <c r="I160" s="370">
        <f t="shared" si="175"/>
        <v>9019.69957081545</v>
      </c>
      <c r="J160" s="169">
        <f t="shared" si="175"/>
        <v>9019.69957081545</v>
      </c>
      <c r="K160" s="169">
        <f t="shared" si="175"/>
        <v>9019.69957081545</v>
      </c>
      <c r="L160" s="371">
        <f t="shared" si="175"/>
        <v>9019.69957081545</v>
      </c>
      <c r="M160" s="407"/>
      <c r="N160" s="169"/>
      <c r="O160" s="1"/>
      <c r="P160" s="389">
        <f t="shared" si="176"/>
        <v>9019.69957081545</v>
      </c>
      <c r="Q160" s="291">
        <f t="shared" ref="Q160:S164" si="184">P160</f>
        <v>9019.69957081545</v>
      </c>
      <c r="R160" s="291">
        <f t="shared" si="184"/>
        <v>9019.69957081545</v>
      </c>
      <c r="S160" s="390">
        <f t="shared" si="184"/>
        <v>9019.69957081545</v>
      </c>
      <c r="T160" s="295"/>
      <c r="U160" s="1"/>
      <c r="V160" s="389">
        <f t="shared" si="178"/>
        <v>9019.69957081545</v>
      </c>
      <c r="W160" s="291">
        <f t="shared" ref="W160:Y164" si="185">V160</f>
        <v>9019.69957081545</v>
      </c>
      <c r="X160" s="291">
        <f t="shared" si="185"/>
        <v>9019.69957081545</v>
      </c>
      <c r="Y160" s="390">
        <f t="shared" si="185"/>
        <v>9019.69957081545</v>
      </c>
      <c r="Z160" s="1314"/>
      <c r="AA160" s="326"/>
      <c r="AB160" s="326"/>
      <c r="AC160" s="326"/>
      <c r="AD160" s="61"/>
      <c r="AE160" s="389">
        <f t="shared" si="180"/>
        <v>9019.69957081545</v>
      </c>
      <c r="AF160" s="291">
        <f t="shared" ref="AF160:AF164" si="186">AE160</f>
        <v>9019.69957081545</v>
      </c>
      <c r="AG160" s="291">
        <f t="shared" si="181"/>
        <v>9019.69957081545</v>
      </c>
      <c r="AH160" s="390">
        <f t="shared" si="181"/>
        <v>9019.69957081545</v>
      </c>
      <c r="AI160" s="61"/>
      <c r="AJ160" s="831"/>
      <c r="AK160" s="389">
        <f t="shared" si="182"/>
        <v>9019.69957081545</v>
      </c>
      <c r="AL160" s="291">
        <f t="shared" ref="AL160:AL164" si="187">AK160</f>
        <v>9019.69957081545</v>
      </c>
      <c r="AM160" s="291">
        <f t="shared" si="183"/>
        <v>9019.69957081545</v>
      </c>
      <c r="AN160" s="390">
        <f t="shared" si="183"/>
        <v>9019.69957081545</v>
      </c>
      <c r="AO160" s="832"/>
      <c r="AP160" s="560"/>
      <c r="AQ160" s="84"/>
      <c r="AR160" s="84"/>
      <c r="AS160" s="84"/>
      <c r="AT160" s="84"/>
      <c r="AU160" s="84"/>
      <c r="AV160" s="84"/>
      <c r="AW160" s="1"/>
      <c r="AX160" s="1"/>
      <c r="AY160" s="1"/>
      <c r="AZ160" s="1"/>
      <c r="BA160" s="1"/>
      <c r="BB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</row>
    <row r="161" spans="1:72" s="2" customFormat="1" outlineLevel="2">
      <c r="A161" s="436" t="s">
        <v>65</v>
      </c>
      <c r="D161" s="1061"/>
      <c r="F161" s="508"/>
      <c r="H161" s="139"/>
      <c r="I161" s="370">
        <f t="shared" si="175"/>
        <v>8227.1098265895962</v>
      </c>
      <c r="J161" s="169">
        <f t="shared" si="175"/>
        <v>8227.1098265895962</v>
      </c>
      <c r="K161" s="169">
        <f t="shared" si="175"/>
        <v>8227.1098265895962</v>
      </c>
      <c r="L161" s="371">
        <f t="shared" si="175"/>
        <v>8227.1098265895962</v>
      </c>
      <c r="M161" s="407"/>
      <c r="N161" s="169"/>
      <c r="O161" s="1"/>
      <c r="P161" s="389">
        <f t="shared" si="176"/>
        <v>8227.1098265895962</v>
      </c>
      <c r="Q161" s="291">
        <f t="shared" si="184"/>
        <v>8227.1098265895962</v>
      </c>
      <c r="R161" s="291">
        <f t="shared" si="184"/>
        <v>8227.1098265895962</v>
      </c>
      <c r="S161" s="390">
        <f t="shared" si="184"/>
        <v>8227.1098265895962</v>
      </c>
      <c r="T161" s="295"/>
      <c r="U161" s="1"/>
      <c r="V161" s="389">
        <f t="shared" si="178"/>
        <v>8227.1098265895962</v>
      </c>
      <c r="W161" s="291">
        <f t="shared" si="185"/>
        <v>8227.1098265895962</v>
      </c>
      <c r="X161" s="291">
        <f t="shared" si="185"/>
        <v>8227.1098265895962</v>
      </c>
      <c r="Y161" s="390">
        <f t="shared" si="185"/>
        <v>8227.1098265895962</v>
      </c>
      <c r="Z161" s="1314"/>
      <c r="AA161" s="326"/>
      <c r="AB161" s="326"/>
      <c r="AC161" s="326"/>
      <c r="AD161" s="61"/>
      <c r="AE161" s="389">
        <f t="shared" si="180"/>
        <v>8227.1098265895962</v>
      </c>
      <c r="AF161" s="291">
        <f t="shared" si="186"/>
        <v>8227.1098265895962</v>
      </c>
      <c r="AG161" s="291">
        <f t="shared" si="181"/>
        <v>8227.1098265895962</v>
      </c>
      <c r="AH161" s="390">
        <f t="shared" si="181"/>
        <v>8227.1098265895962</v>
      </c>
      <c r="AI161" s="61"/>
      <c r="AJ161" s="831"/>
      <c r="AK161" s="389">
        <f t="shared" si="182"/>
        <v>8227.1098265895962</v>
      </c>
      <c r="AL161" s="291">
        <f t="shared" si="187"/>
        <v>8227.1098265895962</v>
      </c>
      <c r="AM161" s="291">
        <f t="shared" si="183"/>
        <v>8227.1098265895962</v>
      </c>
      <c r="AN161" s="390">
        <f t="shared" si="183"/>
        <v>8227.1098265895962</v>
      </c>
      <c r="AO161" s="832"/>
      <c r="AP161" s="560"/>
      <c r="AQ161" s="84"/>
      <c r="AR161" s="84"/>
      <c r="AS161" s="84"/>
      <c r="AT161" s="84"/>
      <c r="AU161" s="84"/>
      <c r="AV161" s="84"/>
      <c r="AW161" s="1"/>
      <c r="AX161" s="1"/>
      <c r="AY161" s="1"/>
      <c r="AZ161" s="1"/>
      <c r="BA161" s="1"/>
      <c r="BB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</row>
    <row r="162" spans="1:72" s="2" customFormat="1" outlineLevel="2">
      <c r="A162" s="436" t="s">
        <v>66</v>
      </c>
      <c r="D162" s="1061"/>
      <c r="F162" s="508"/>
      <c r="H162" s="139"/>
      <c r="I162" s="370">
        <f t="shared" si="175"/>
        <v>8245.1677852348985</v>
      </c>
      <c r="J162" s="169">
        <f t="shared" si="175"/>
        <v>8245.1677852348985</v>
      </c>
      <c r="K162" s="169">
        <f t="shared" si="175"/>
        <v>8245.1677852348985</v>
      </c>
      <c r="L162" s="371">
        <f t="shared" si="175"/>
        <v>8245.1677852348985</v>
      </c>
      <c r="M162" s="407"/>
      <c r="N162" s="169"/>
      <c r="O162" s="1"/>
      <c r="P162" s="389">
        <f t="shared" si="176"/>
        <v>8245.1677852348985</v>
      </c>
      <c r="Q162" s="291">
        <f t="shared" si="184"/>
        <v>8245.1677852348985</v>
      </c>
      <c r="R162" s="291">
        <f t="shared" si="184"/>
        <v>8245.1677852348985</v>
      </c>
      <c r="S162" s="390">
        <f t="shared" si="184"/>
        <v>8245.1677852348985</v>
      </c>
      <c r="T162" s="295"/>
      <c r="U162" s="1"/>
      <c r="V162" s="389">
        <f t="shared" si="178"/>
        <v>8245.1677852348985</v>
      </c>
      <c r="W162" s="291">
        <f t="shared" si="185"/>
        <v>8245.1677852348985</v>
      </c>
      <c r="X162" s="291">
        <f t="shared" si="185"/>
        <v>8245.1677852348985</v>
      </c>
      <c r="Y162" s="390">
        <f t="shared" si="185"/>
        <v>8245.1677852348985</v>
      </c>
      <c r="Z162" s="1314"/>
      <c r="AA162" s="326"/>
      <c r="AB162" s="326"/>
      <c r="AC162" s="326"/>
      <c r="AD162" s="61"/>
      <c r="AE162" s="389">
        <f t="shared" si="180"/>
        <v>8245.1677852348985</v>
      </c>
      <c r="AF162" s="291">
        <f t="shared" si="186"/>
        <v>8245.1677852348985</v>
      </c>
      <c r="AG162" s="291">
        <f t="shared" si="181"/>
        <v>8245.1677852348985</v>
      </c>
      <c r="AH162" s="390">
        <f t="shared" si="181"/>
        <v>8245.1677852348985</v>
      </c>
      <c r="AI162" s="61"/>
      <c r="AJ162" s="831"/>
      <c r="AK162" s="389">
        <f t="shared" si="182"/>
        <v>8245.1677852348985</v>
      </c>
      <c r="AL162" s="291">
        <f t="shared" si="187"/>
        <v>8245.1677852348985</v>
      </c>
      <c r="AM162" s="291">
        <f t="shared" si="183"/>
        <v>8245.1677852348985</v>
      </c>
      <c r="AN162" s="390">
        <f t="shared" si="183"/>
        <v>8245.1677852348985</v>
      </c>
      <c r="AO162" s="832"/>
      <c r="AP162" s="560"/>
      <c r="AQ162" s="84"/>
      <c r="AR162" s="84"/>
      <c r="AS162" s="84"/>
      <c r="AT162" s="84"/>
      <c r="AU162" s="84"/>
      <c r="AV162" s="84"/>
      <c r="AW162" s="1"/>
      <c r="AX162" s="1"/>
      <c r="AY162" s="1"/>
      <c r="AZ162" s="1"/>
      <c r="BA162" s="1"/>
      <c r="BB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</row>
    <row r="163" spans="1:72" s="2" customFormat="1" outlineLevel="2">
      <c r="A163" s="436" t="s">
        <v>328</v>
      </c>
      <c r="D163" s="1061"/>
      <c r="F163" s="508"/>
      <c r="H163" s="139"/>
      <c r="I163" s="370">
        <f t="shared" si="175"/>
        <v>7866.9767441860467</v>
      </c>
      <c r="J163" s="169">
        <f t="shared" si="175"/>
        <v>7866.9767441860467</v>
      </c>
      <c r="K163" s="169">
        <f t="shared" si="175"/>
        <v>7866.9767441860467</v>
      </c>
      <c r="L163" s="371">
        <f t="shared" si="175"/>
        <v>7866.9767441860467</v>
      </c>
      <c r="M163" s="407"/>
      <c r="N163" s="169"/>
      <c r="O163" s="1"/>
      <c r="P163" s="389">
        <f t="shared" si="176"/>
        <v>7866.9767441860467</v>
      </c>
      <c r="Q163" s="291">
        <f t="shared" si="184"/>
        <v>7866.9767441860467</v>
      </c>
      <c r="R163" s="291">
        <f t="shared" si="184"/>
        <v>7866.9767441860467</v>
      </c>
      <c r="S163" s="390">
        <f t="shared" si="184"/>
        <v>7866.9767441860467</v>
      </c>
      <c r="T163" s="295"/>
      <c r="U163" s="1"/>
      <c r="V163" s="389">
        <f t="shared" si="178"/>
        <v>7866.9767441860467</v>
      </c>
      <c r="W163" s="291">
        <f t="shared" si="185"/>
        <v>7866.9767441860467</v>
      </c>
      <c r="X163" s="291">
        <f t="shared" si="185"/>
        <v>7866.9767441860467</v>
      </c>
      <c r="Y163" s="390">
        <f t="shared" si="185"/>
        <v>7866.9767441860467</v>
      </c>
      <c r="Z163" s="1314"/>
      <c r="AA163" s="326"/>
      <c r="AB163" s="326"/>
      <c r="AC163" s="326"/>
      <c r="AD163" s="61"/>
      <c r="AE163" s="389">
        <f t="shared" si="180"/>
        <v>7866.9767441860467</v>
      </c>
      <c r="AF163" s="291">
        <f t="shared" si="186"/>
        <v>7866.9767441860467</v>
      </c>
      <c r="AG163" s="291">
        <f t="shared" si="181"/>
        <v>7866.9767441860467</v>
      </c>
      <c r="AH163" s="390">
        <f t="shared" si="181"/>
        <v>7866.9767441860467</v>
      </c>
      <c r="AI163" s="61"/>
      <c r="AJ163" s="831"/>
      <c r="AK163" s="389">
        <f t="shared" si="182"/>
        <v>7866.9767441860467</v>
      </c>
      <c r="AL163" s="291">
        <f t="shared" si="187"/>
        <v>7866.9767441860467</v>
      </c>
      <c r="AM163" s="291">
        <f t="shared" si="183"/>
        <v>7866.9767441860467</v>
      </c>
      <c r="AN163" s="390">
        <f t="shared" si="183"/>
        <v>7866.9767441860467</v>
      </c>
      <c r="AO163" s="832"/>
      <c r="AP163" s="560"/>
      <c r="AQ163" s="84"/>
      <c r="AR163" s="84"/>
      <c r="AS163" s="84"/>
      <c r="AT163" s="84"/>
      <c r="AU163" s="84"/>
      <c r="AV163" s="84"/>
      <c r="AW163" s="1"/>
      <c r="AX163" s="1"/>
      <c r="AY163" s="1"/>
      <c r="AZ163" s="1"/>
      <c r="BA163" s="1"/>
      <c r="BB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</row>
    <row r="164" spans="1:72" s="2" customFormat="1" outlineLevel="2">
      <c r="A164" s="1044" t="s">
        <v>329</v>
      </c>
      <c r="D164" s="1061"/>
      <c r="F164" s="508"/>
      <c r="H164" s="139"/>
      <c r="I164" s="372">
        <f t="shared" si="175"/>
        <v>6674.5360824742265</v>
      </c>
      <c r="J164" s="373">
        <f t="shared" si="175"/>
        <v>6674.5360824742265</v>
      </c>
      <c r="K164" s="373">
        <f t="shared" si="175"/>
        <v>6674.5360824742265</v>
      </c>
      <c r="L164" s="374">
        <f t="shared" si="175"/>
        <v>6674.5360824742265</v>
      </c>
      <c r="M164" s="407"/>
      <c r="N164" s="169"/>
      <c r="O164" s="1"/>
      <c r="P164" s="391">
        <f t="shared" si="176"/>
        <v>6674.5360824742265</v>
      </c>
      <c r="Q164" s="392">
        <f t="shared" si="184"/>
        <v>6674.5360824742265</v>
      </c>
      <c r="R164" s="392">
        <f t="shared" si="184"/>
        <v>6674.5360824742265</v>
      </c>
      <c r="S164" s="393">
        <f t="shared" si="184"/>
        <v>6674.5360824742265</v>
      </c>
      <c r="T164" s="295"/>
      <c r="U164" s="1"/>
      <c r="V164" s="391">
        <f t="shared" si="178"/>
        <v>6674.5360824742265</v>
      </c>
      <c r="W164" s="392">
        <f t="shared" si="185"/>
        <v>6674.5360824742265</v>
      </c>
      <c r="X164" s="392">
        <f t="shared" si="185"/>
        <v>6674.5360824742265</v>
      </c>
      <c r="Y164" s="393">
        <f t="shared" si="185"/>
        <v>6674.5360824742265</v>
      </c>
      <c r="Z164" s="1314"/>
      <c r="AA164" s="326"/>
      <c r="AB164" s="326"/>
      <c r="AC164" s="326"/>
      <c r="AD164" s="61"/>
      <c r="AE164" s="391">
        <f t="shared" si="180"/>
        <v>6674.5360824742265</v>
      </c>
      <c r="AF164" s="392">
        <f t="shared" si="186"/>
        <v>6674.5360824742265</v>
      </c>
      <c r="AG164" s="392">
        <f t="shared" si="181"/>
        <v>6674.5360824742265</v>
      </c>
      <c r="AH164" s="393">
        <f t="shared" si="181"/>
        <v>6674.5360824742265</v>
      </c>
      <c r="AI164" s="61"/>
      <c r="AJ164" s="831"/>
      <c r="AK164" s="391">
        <f t="shared" si="182"/>
        <v>6674.5360824742265</v>
      </c>
      <c r="AL164" s="392">
        <f t="shared" si="187"/>
        <v>6674.5360824742265</v>
      </c>
      <c r="AM164" s="392">
        <f t="shared" si="183"/>
        <v>6674.5360824742265</v>
      </c>
      <c r="AN164" s="393">
        <f t="shared" si="183"/>
        <v>6674.5360824742265</v>
      </c>
      <c r="AO164" s="832"/>
      <c r="AP164" s="560"/>
      <c r="AQ164" s="84"/>
      <c r="AR164" s="84"/>
      <c r="AS164" s="84"/>
      <c r="AT164" s="84"/>
      <c r="AU164" s="84"/>
      <c r="AV164" s="84"/>
      <c r="AW164" s="1"/>
      <c r="AX164" s="1"/>
      <c r="AY164" s="1"/>
      <c r="AZ164" s="1"/>
      <c r="BA164" s="1"/>
      <c r="BB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</row>
    <row r="165" spans="1:72" outlineLevel="2">
      <c r="A165" s="436"/>
      <c r="B165" s="2"/>
      <c r="C165" s="2"/>
      <c r="D165" s="1061"/>
      <c r="E165" s="2"/>
      <c r="F165" s="508"/>
      <c r="G165" s="2"/>
      <c r="I165" s="290"/>
      <c r="J165" s="429"/>
      <c r="K165" s="429"/>
      <c r="L165" s="429"/>
      <c r="M165" s="511"/>
      <c r="N165" s="429"/>
      <c r="O165" s="423"/>
      <c r="P165" s="169"/>
      <c r="Q165" s="169"/>
      <c r="R165" s="169"/>
      <c r="S165" s="169"/>
      <c r="V165" s="169"/>
      <c r="W165" s="169"/>
      <c r="X165" s="169"/>
      <c r="Y165" s="169"/>
      <c r="AD165" s="154"/>
      <c r="AE165" s="154"/>
      <c r="AF165" s="154"/>
      <c r="AG165" s="154"/>
      <c r="AH165" s="154"/>
      <c r="AI165" s="154"/>
      <c r="AJ165" s="615"/>
      <c r="AK165" s="154"/>
      <c r="AL165" s="154"/>
      <c r="AM165" s="154"/>
      <c r="AN165" s="154"/>
      <c r="AO165" s="684"/>
      <c r="AP165" s="299"/>
      <c r="AQ165" s="2"/>
      <c r="AR165" s="2"/>
      <c r="AS165" s="2"/>
      <c r="AT165" s="2"/>
      <c r="AU165" s="2"/>
      <c r="AV165" s="2"/>
    </row>
    <row r="166" spans="1:72" s="425" customFormat="1" outlineLevel="2">
      <c r="A166" s="382" t="s">
        <v>345</v>
      </c>
      <c r="B166" s="452"/>
      <c r="C166" s="452"/>
      <c r="D166" s="1071"/>
      <c r="E166" s="452"/>
      <c r="F166" s="1446"/>
      <c r="G166" s="452"/>
      <c r="H166" s="356"/>
      <c r="I166" s="343"/>
      <c r="J166" s="430"/>
      <c r="K166" s="430"/>
      <c r="L166" s="430"/>
      <c r="M166" s="512"/>
      <c r="N166" s="430"/>
      <c r="P166" s="399" t="s">
        <v>334</v>
      </c>
      <c r="Q166" s="354"/>
      <c r="R166" s="354"/>
      <c r="S166" s="354"/>
      <c r="T166" s="503"/>
      <c r="U166" s="43"/>
      <c r="V166" s="399" t="s">
        <v>334</v>
      </c>
      <c r="W166" s="354"/>
      <c r="X166" s="354"/>
      <c r="Y166" s="354"/>
      <c r="Z166" s="503"/>
      <c r="AA166" s="43"/>
      <c r="AB166" s="43"/>
      <c r="AC166" s="43"/>
      <c r="AD166" s="633"/>
      <c r="AE166" s="633"/>
      <c r="AF166" s="633"/>
      <c r="AG166" s="633"/>
      <c r="AH166" s="633"/>
      <c r="AI166" s="633"/>
      <c r="AJ166" s="833"/>
      <c r="AK166" s="633"/>
      <c r="AL166" s="633"/>
      <c r="AM166" s="633"/>
      <c r="AN166" s="633"/>
      <c r="AO166" s="834"/>
      <c r="AP166" s="562"/>
      <c r="AQ166" s="356"/>
      <c r="AR166" s="356"/>
      <c r="AS166" s="356"/>
      <c r="AT166" s="356"/>
      <c r="AU166" s="356"/>
      <c r="AV166" s="356"/>
      <c r="AW166" s="43"/>
      <c r="AX166" s="43"/>
      <c r="AY166" s="43"/>
      <c r="AZ166" s="43"/>
      <c r="BA166" s="43"/>
      <c r="BB166" s="43"/>
      <c r="BI166" s="43"/>
      <c r="BJ166" s="43"/>
      <c r="BK166" s="43"/>
      <c r="BL166" s="43"/>
      <c r="BM166" s="43"/>
      <c r="BN166" s="43"/>
      <c r="BO166" s="43"/>
      <c r="BP166" s="43"/>
      <c r="BQ166" s="43"/>
      <c r="BR166" s="43"/>
      <c r="BS166" s="43"/>
      <c r="BT166" s="43"/>
    </row>
    <row r="167" spans="1:72" outlineLevel="2">
      <c r="A167" s="1043" t="s">
        <v>327</v>
      </c>
      <c r="B167" s="2"/>
      <c r="C167" s="2"/>
      <c r="D167" s="1061"/>
      <c r="E167" s="2"/>
      <c r="F167" s="508"/>
      <c r="G167" s="2"/>
      <c r="I167" s="378">
        <f t="shared" ref="I167:I172" si="188">I175</f>
        <v>10.166666666666666</v>
      </c>
      <c r="J167" s="431">
        <f t="shared" ref="J167:L173" si="189">I167</f>
        <v>10.166666666666666</v>
      </c>
      <c r="K167" s="431">
        <f t="shared" si="189"/>
        <v>10.166666666666666</v>
      </c>
      <c r="L167" s="432">
        <f t="shared" si="189"/>
        <v>10.166666666666666</v>
      </c>
      <c r="M167" s="511"/>
      <c r="N167" s="429"/>
      <c r="O167" s="423"/>
      <c r="P167" s="378">
        <f>I167+0.7</f>
        <v>10.866666666666665</v>
      </c>
      <c r="Q167" s="394">
        <f>P167</f>
        <v>10.866666666666665</v>
      </c>
      <c r="R167" s="394">
        <f t="shared" ref="R167:S167" si="190">Q167</f>
        <v>10.866666666666665</v>
      </c>
      <c r="S167" s="395">
        <f t="shared" si="190"/>
        <v>10.866666666666665</v>
      </c>
      <c r="V167" s="378">
        <f t="shared" ref="V167:V173" si="191">P167</f>
        <v>10.866666666666665</v>
      </c>
      <c r="W167" s="394">
        <f>V167</f>
        <v>10.866666666666665</v>
      </c>
      <c r="X167" s="394">
        <f t="shared" ref="X167:Y167" si="192">W167</f>
        <v>10.866666666666665</v>
      </c>
      <c r="Y167" s="395">
        <f t="shared" si="192"/>
        <v>10.866666666666665</v>
      </c>
      <c r="AD167" s="154"/>
      <c r="AE167" s="378">
        <f>V167</f>
        <v>10.866666666666665</v>
      </c>
      <c r="AF167" s="394">
        <f>AE167</f>
        <v>10.866666666666665</v>
      </c>
      <c r="AG167" s="394">
        <f t="shared" ref="AG167:AH173" si="193">AF167</f>
        <v>10.866666666666665</v>
      </c>
      <c r="AH167" s="395">
        <f t="shared" si="193"/>
        <v>10.866666666666665</v>
      </c>
      <c r="AI167" s="154"/>
      <c r="AJ167" s="615"/>
      <c r="AK167" s="378">
        <f>AE167</f>
        <v>10.866666666666665</v>
      </c>
      <c r="AL167" s="394">
        <f>AK167</f>
        <v>10.866666666666665</v>
      </c>
      <c r="AM167" s="394">
        <f t="shared" ref="AM167:AN173" si="194">AL167</f>
        <v>10.866666666666665</v>
      </c>
      <c r="AN167" s="395">
        <f t="shared" si="194"/>
        <v>10.866666666666665</v>
      </c>
      <c r="AO167" s="684"/>
      <c r="AP167" s="299"/>
      <c r="AQ167" s="2"/>
      <c r="AR167" s="2"/>
      <c r="AS167" s="2"/>
      <c r="AT167" s="2"/>
      <c r="AU167" s="2"/>
      <c r="AV167" s="2"/>
    </row>
    <row r="168" spans="1:72" outlineLevel="2">
      <c r="A168" s="436" t="s">
        <v>62</v>
      </c>
      <c r="B168" s="2"/>
      <c r="C168" s="2"/>
      <c r="D168" s="1061"/>
      <c r="E168" s="2"/>
      <c r="F168" s="508"/>
      <c r="G168" s="2"/>
      <c r="I168" s="379">
        <f t="shared" si="188"/>
        <v>7.7666666666666666</v>
      </c>
      <c r="J168" s="429">
        <f t="shared" si="189"/>
        <v>7.7666666666666666</v>
      </c>
      <c r="K168" s="429">
        <f t="shared" si="189"/>
        <v>7.7666666666666666</v>
      </c>
      <c r="L168" s="433">
        <f t="shared" si="189"/>
        <v>7.7666666666666666</v>
      </c>
      <c r="M168" s="511"/>
      <c r="N168" s="429"/>
      <c r="O168" s="423"/>
      <c r="P168" s="379">
        <f t="shared" ref="P168:P172" si="195">I168+0.7</f>
        <v>8.4666666666666668</v>
      </c>
      <c r="Q168" s="290">
        <f t="shared" ref="Q168:S173" si="196">P168</f>
        <v>8.4666666666666668</v>
      </c>
      <c r="R168" s="290">
        <f t="shared" si="196"/>
        <v>8.4666666666666668</v>
      </c>
      <c r="S168" s="396">
        <f t="shared" si="196"/>
        <v>8.4666666666666668</v>
      </c>
      <c r="V168" s="379">
        <f t="shared" si="191"/>
        <v>8.4666666666666668</v>
      </c>
      <c r="W168" s="290">
        <f t="shared" ref="W168:Y173" si="197">V168</f>
        <v>8.4666666666666668</v>
      </c>
      <c r="X168" s="290">
        <f t="shared" si="197"/>
        <v>8.4666666666666668</v>
      </c>
      <c r="Y168" s="396">
        <f t="shared" si="197"/>
        <v>8.4666666666666668</v>
      </c>
      <c r="AD168" s="154"/>
      <c r="AE168" s="379">
        <f t="shared" ref="AE168:AE173" si="198">V168</f>
        <v>8.4666666666666668</v>
      </c>
      <c r="AF168" s="290">
        <f t="shared" ref="AF168:AF173" si="199">AE168</f>
        <v>8.4666666666666668</v>
      </c>
      <c r="AG168" s="290">
        <f t="shared" si="193"/>
        <v>8.4666666666666668</v>
      </c>
      <c r="AH168" s="396">
        <f t="shared" si="193"/>
        <v>8.4666666666666668</v>
      </c>
      <c r="AI168" s="154"/>
      <c r="AJ168" s="615"/>
      <c r="AK168" s="379">
        <f t="shared" ref="AK168:AK173" si="200">AE168</f>
        <v>8.4666666666666668</v>
      </c>
      <c r="AL168" s="290">
        <f t="shared" ref="AL168:AL173" si="201">AK168</f>
        <v>8.4666666666666668</v>
      </c>
      <c r="AM168" s="290">
        <f t="shared" si="194"/>
        <v>8.4666666666666668</v>
      </c>
      <c r="AN168" s="396">
        <f t="shared" si="194"/>
        <v>8.4666666666666668</v>
      </c>
      <c r="AO168" s="684"/>
      <c r="AP168" s="299"/>
      <c r="AQ168" s="2"/>
      <c r="AR168" s="2"/>
      <c r="AS168" s="2"/>
      <c r="AT168" s="2"/>
      <c r="AU168" s="2"/>
      <c r="AV168" s="2"/>
    </row>
    <row r="169" spans="1:72" outlineLevel="2">
      <c r="A169" s="436" t="s">
        <v>65</v>
      </c>
      <c r="B169" s="2"/>
      <c r="C169" s="2"/>
      <c r="D169" s="1061"/>
      <c r="E169" s="2"/>
      <c r="F169" s="508"/>
      <c r="G169" s="2"/>
      <c r="I169" s="379">
        <f t="shared" si="188"/>
        <v>5.7666666666666666</v>
      </c>
      <c r="J169" s="429">
        <f t="shared" si="189"/>
        <v>5.7666666666666666</v>
      </c>
      <c r="K169" s="429">
        <f t="shared" si="189"/>
        <v>5.7666666666666666</v>
      </c>
      <c r="L169" s="433">
        <f t="shared" si="189"/>
        <v>5.7666666666666666</v>
      </c>
      <c r="M169" s="511"/>
      <c r="N169" s="429"/>
      <c r="O169" s="423"/>
      <c r="P169" s="379">
        <f t="shared" si="195"/>
        <v>6.4666666666666668</v>
      </c>
      <c r="Q169" s="290">
        <f t="shared" si="196"/>
        <v>6.4666666666666668</v>
      </c>
      <c r="R169" s="290">
        <f t="shared" si="196"/>
        <v>6.4666666666666668</v>
      </c>
      <c r="S169" s="396">
        <f t="shared" si="196"/>
        <v>6.4666666666666668</v>
      </c>
      <c r="V169" s="379">
        <f t="shared" si="191"/>
        <v>6.4666666666666668</v>
      </c>
      <c r="W169" s="290">
        <f t="shared" si="197"/>
        <v>6.4666666666666668</v>
      </c>
      <c r="X169" s="290">
        <f t="shared" si="197"/>
        <v>6.4666666666666668</v>
      </c>
      <c r="Y169" s="396">
        <f t="shared" si="197"/>
        <v>6.4666666666666668</v>
      </c>
      <c r="AD169" s="154"/>
      <c r="AE169" s="379">
        <f t="shared" si="198"/>
        <v>6.4666666666666668</v>
      </c>
      <c r="AF169" s="290">
        <f t="shared" si="199"/>
        <v>6.4666666666666668</v>
      </c>
      <c r="AG169" s="290">
        <f t="shared" si="193"/>
        <v>6.4666666666666668</v>
      </c>
      <c r="AH169" s="396">
        <f t="shared" si="193"/>
        <v>6.4666666666666668</v>
      </c>
      <c r="AI169" s="154"/>
      <c r="AJ169" s="615"/>
      <c r="AK169" s="379">
        <f t="shared" si="200"/>
        <v>6.4666666666666668</v>
      </c>
      <c r="AL169" s="290">
        <f t="shared" si="201"/>
        <v>6.4666666666666668</v>
      </c>
      <c r="AM169" s="290">
        <f t="shared" si="194"/>
        <v>6.4666666666666668</v>
      </c>
      <c r="AN169" s="396">
        <f t="shared" si="194"/>
        <v>6.4666666666666668</v>
      </c>
      <c r="AO169" s="684"/>
      <c r="AP169" s="299"/>
      <c r="AQ169" s="2"/>
      <c r="AR169" s="2"/>
      <c r="AS169" s="2"/>
      <c r="AT169" s="2"/>
      <c r="AU169" s="2"/>
      <c r="AV169" s="2"/>
    </row>
    <row r="170" spans="1:72" outlineLevel="2">
      <c r="A170" s="436" t="s">
        <v>66</v>
      </c>
      <c r="B170" s="2"/>
      <c r="C170" s="2"/>
      <c r="D170" s="1061"/>
      <c r="E170" s="2"/>
      <c r="F170" s="508"/>
      <c r="G170" s="2"/>
      <c r="I170" s="379">
        <f t="shared" si="188"/>
        <v>4.9666666666666668</v>
      </c>
      <c r="J170" s="429">
        <f t="shared" si="189"/>
        <v>4.9666666666666668</v>
      </c>
      <c r="K170" s="429">
        <f t="shared" si="189"/>
        <v>4.9666666666666668</v>
      </c>
      <c r="L170" s="433">
        <f t="shared" si="189"/>
        <v>4.9666666666666668</v>
      </c>
      <c r="M170" s="511"/>
      <c r="N170" s="429"/>
      <c r="O170" s="423"/>
      <c r="P170" s="379">
        <f t="shared" si="195"/>
        <v>5.666666666666667</v>
      </c>
      <c r="Q170" s="290">
        <f t="shared" si="196"/>
        <v>5.666666666666667</v>
      </c>
      <c r="R170" s="290">
        <f t="shared" si="196"/>
        <v>5.666666666666667</v>
      </c>
      <c r="S170" s="396">
        <f t="shared" si="196"/>
        <v>5.666666666666667</v>
      </c>
      <c r="V170" s="379">
        <f t="shared" si="191"/>
        <v>5.666666666666667</v>
      </c>
      <c r="W170" s="290">
        <f t="shared" si="197"/>
        <v>5.666666666666667</v>
      </c>
      <c r="X170" s="290">
        <f t="shared" si="197"/>
        <v>5.666666666666667</v>
      </c>
      <c r="Y170" s="396">
        <f t="shared" si="197"/>
        <v>5.666666666666667</v>
      </c>
      <c r="AD170" s="154"/>
      <c r="AE170" s="379">
        <f t="shared" si="198"/>
        <v>5.666666666666667</v>
      </c>
      <c r="AF170" s="290">
        <f t="shared" si="199"/>
        <v>5.666666666666667</v>
      </c>
      <c r="AG170" s="290">
        <f t="shared" si="193"/>
        <v>5.666666666666667</v>
      </c>
      <c r="AH170" s="396">
        <f t="shared" si="193"/>
        <v>5.666666666666667</v>
      </c>
      <c r="AI170" s="154"/>
      <c r="AJ170" s="615"/>
      <c r="AK170" s="379">
        <f t="shared" si="200"/>
        <v>5.666666666666667</v>
      </c>
      <c r="AL170" s="290">
        <f t="shared" si="201"/>
        <v>5.666666666666667</v>
      </c>
      <c r="AM170" s="290">
        <f t="shared" si="194"/>
        <v>5.666666666666667</v>
      </c>
      <c r="AN170" s="396">
        <f t="shared" si="194"/>
        <v>5.666666666666667</v>
      </c>
      <c r="AO170" s="684"/>
      <c r="AP170" s="299"/>
      <c r="AQ170" s="2"/>
      <c r="AR170" s="2"/>
      <c r="AS170" s="2"/>
      <c r="AT170" s="2"/>
      <c r="AU170" s="2"/>
      <c r="AV170" s="2"/>
    </row>
    <row r="171" spans="1:72" outlineLevel="2">
      <c r="A171" s="436" t="s">
        <v>328</v>
      </c>
      <c r="B171" s="2"/>
      <c r="C171" s="2"/>
      <c r="D171" s="1061"/>
      <c r="E171" s="2"/>
      <c r="F171" s="508"/>
      <c r="G171" s="2"/>
      <c r="I171" s="379">
        <f t="shared" si="188"/>
        <v>4.3</v>
      </c>
      <c r="J171" s="429">
        <f t="shared" si="189"/>
        <v>4.3</v>
      </c>
      <c r="K171" s="429">
        <f t="shared" si="189"/>
        <v>4.3</v>
      </c>
      <c r="L171" s="433">
        <f t="shared" si="189"/>
        <v>4.3</v>
      </c>
      <c r="M171" s="511"/>
      <c r="N171" s="429"/>
      <c r="O171" s="423"/>
      <c r="P171" s="379">
        <f t="shared" si="195"/>
        <v>5</v>
      </c>
      <c r="Q171" s="290">
        <f t="shared" si="196"/>
        <v>5</v>
      </c>
      <c r="R171" s="290">
        <f t="shared" si="196"/>
        <v>5</v>
      </c>
      <c r="S171" s="396">
        <f t="shared" si="196"/>
        <v>5</v>
      </c>
      <c r="V171" s="379">
        <f t="shared" si="191"/>
        <v>5</v>
      </c>
      <c r="W171" s="290">
        <f t="shared" si="197"/>
        <v>5</v>
      </c>
      <c r="X171" s="290">
        <f t="shared" si="197"/>
        <v>5</v>
      </c>
      <c r="Y171" s="396">
        <f t="shared" si="197"/>
        <v>5</v>
      </c>
      <c r="AD171" s="154"/>
      <c r="AE171" s="379">
        <f t="shared" si="198"/>
        <v>5</v>
      </c>
      <c r="AF171" s="290">
        <f t="shared" si="199"/>
        <v>5</v>
      </c>
      <c r="AG171" s="290">
        <f t="shared" si="193"/>
        <v>5</v>
      </c>
      <c r="AH171" s="396">
        <f t="shared" si="193"/>
        <v>5</v>
      </c>
      <c r="AI171" s="154"/>
      <c r="AJ171" s="615"/>
      <c r="AK171" s="379">
        <f t="shared" si="200"/>
        <v>5</v>
      </c>
      <c r="AL171" s="290">
        <f t="shared" si="201"/>
        <v>5</v>
      </c>
      <c r="AM171" s="290">
        <f t="shared" si="194"/>
        <v>5</v>
      </c>
      <c r="AN171" s="396">
        <f t="shared" si="194"/>
        <v>5</v>
      </c>
      <c r="AO171" s="684"/>
      <c r="AP171" s="299"/>
      <c r="AQ171" s="2"/>
      <c r="AR171" s="2"/>
      <c r="AS171" s="2"/>
      <c r="AT171" s="2"/>
      <c r="AU171" s="2"/>
      <c r="AV171" s="2"/>
    </row>
    <row r="172" spans="1:72" outlineLevel="2">
      <c r="A172" s="1044" t="s">
        <v>329</v>
      </c>
      <c r="B172" s="2"/>
      <c r="C172" s="2"/>
      <c r="D172" s="1061"/>
      <c r="E172" s="2"/>
      <c r="F172" s="508"/>
      <c r="G172" s="2"/>
      <c r="I172" s="380">
        <f t="shared" si="188"/>
        <v>3.2333333333333334</v>
      </c>
      <c r="J172" s="434">
        <f t="shared" si="189"/>
        <v>3.2333333333333334</v>
      </c>
      <c r="K172" s="434">
        <f t="shared" si="189"/>
        <v>3.2333333333333334</v>
      </c>
      <c r="L172" s="435">
        <f t="shared" si="189"/>
        <v>3.2333333333333334</v>
      </c>
      <c r="M172" s="511"/>
      <c r="N172" s="429"/>
      <c r="O172" s="423"/>
      <c r="P172" s="380">
        <f t="shared" si="195"/>
        <v>3.9333333333333336</v>
      </c>
      <c r="Q172" s="397">
        <f t="shared" si="196"/>
        <v>3.9333333333333336</v>
      </c>
      <c r="R172" s="397">
        <f t="shared" si="196"/>
        <v>3.9333333333333336</v>
      </c>
      <c r="S172" s="398">
        <f t="shared" si="196"/>
        <v>3.9333333333333336</v>
      </c>
      <c r="V172" s="380">
        <f t="shared" si="191"/>
        <v>3.9333333333333336</v>
      </c>
      <c r="W172" s="397">
        <f t="shared" si="197"/>
        <v>3.9333333333333336</v>
      </c>
      <c r="X172" s="397">
        <f t="shared" si="197"/>
        <v>3.9333333333333336</v>
      </c>
      <c r="Y172" s="398">
        <f t="shared" si="197"/>
        <v>3.9333333333333336</v>
      </c>
      <c r="AD172" s="154"/>
      <c r="AE172" s="380">
        <f t="shared" si="198"/>
        <v>3.9333333333333336</v>
      </c>
      <c r="AF172" s="397">
        <f t="shared" si="199"/>
        <v>3.9333333333333336</v>
      </c>
      <c r="AG172" s="397">
        <f t="shared" si="193"/>
        <v>3.9333333333333336</v>
      </c>
      <c r="AH172" s="398">
        <f t="shared" si="193"/>
        <v>3.9333333333333336</v>
      </c>
      <c r="AI172" s="154"/>
      <c r="AJ172" s="615"/>
      <c r="AK172" s="380">
        <f t="shared" si="200"/>
        <v>3.9333333333333336</v>
      </c>
      <c r="AL172" s="397">
        <f t="shared" si="201"/>
        <v>3.9333333333333336</v>
      </c>
      <c r="AM172" s="397">
        <f t="shared" si="194"/>
        <v>3.9333333333333336</v>
      </c>
      <c r="AN172" s="398">
        <f t="shared" si="194"/>
        <v>3.9333333333333336</v>
      </c>
      <c r="AO172" s="684"/>
      <c r="AP172" s="299"/>
      <c r="AQ172" s="2"/>
      <c r="AR172" s="2"/>
      <c r="AS172" s="2"/>
      <c r="AT172" s="2"/>
      <c r="AU172" s="2"/>
      <c r="AV172" s="2"/>
    </row>
    <row r="173" spans="1:72" s="762" customFormat="1" outlineLevel="2">
      <c r="A173" s="1045"/>
      <c r="B173" s="400"/>
      <c r="C173" s="400"/>
      <c r="D173" s="1073"/>
      <c r="E173" s="400"/>
      <c r="F173" s="760"/>
      <c r="G173" s="400"/>
      <c r="H173" s="400"/>
      <c r="I173" s="154">
        <f>AVERAGE(I167:I172)</f>
        <v>6.0333333333333323</v>
      </c>
      <c r="J173" s="400">
        <f t="shared" si="189"/>
        <v>6.0333333333333323</v>
      </c>
      <c r="K173" s="400">
        <f t="shared" si="189"/>
        <v>6.0333333333333323</v>
      </c>
      <c r="L173" s="400">
        <f t="shared" si="189"/>
        <v>6.0333333333333323</v>
      </c>
      <c r="M173" s="760"/>
      <c r="N173" s="400"/>
      <c r="P173" s="154">
        <f t="shared" ref="P173" si="202">I173+1</f>
        <v>7.0333333333333323</v>
      </c>
      <c r="Q173" s="154">
        <f t="shared" si="196"/>
        <v>7.0333333333333323</v>
      </c>
      <c r="R173" s="154">
        <f t="shared" si="196"/>
        <v>7.0333333333333323</v>
      </c>
      <c r="S173" s="154">
        <f t="shared" si="196"/>
        <v>7.0333333333333323</v>
      </c>
      <c r="T173" s="299"/>
      <c r="U173" s="154"/>
      <c r="V173" s="154">
        <f t="shared" si="191"/>
        <v>7.0333333333333323</v>
      </c>
      <c r="W173" s="154">
        <f t="shared" si="197"/>
        <v>7.0333333333333323</v>
      </c>
      <c r="X173" s="154">
        <f t="shared" si="197"/>
        <v>7.0333333333333323</v>
      </c>
      <c r="Y173" s="154">
        <f t="shared" si="197"/>
        <v>7.0333333333333323</v>
      </c>
      <c r="Z173" s="299"/>
      <c r="AA173" s="154"/>
      <c r="AB173" s="154"/>
      <c r="AC173" s="154"/>
      <c r="AD173" s="154"/>
      <c r="AE173" s="154">
        <f t="shared" si="198"/>
        <v>7.0333333333333323</v>
      </c>
      <c r="AF173" s="154">
        <f t="shared" si="199"/>
        <v>7.0333333333333323</v>
      </c>
      <c r="AG173" s="154">
        <f t="shared" si="193"/>
        <v>7.0333333333333323</v>
      </c>
      <c r="AH173" s="154">
        <f t="shared" si="193"/>
        <v>7.0333333333333323</v>
      </c>
      <c r="AI173" s="154"/>
      <c r="AJ173" s="615"/>
      <c r="AK173" s="154">
        <f t="shared" si="200"/>
        <v>7.0333333333333323</v>
      </c>
      <c r="AL173" s="154">
        <f t="shared" si="201"/>
        <v>7.0333333333333323</v>
      </c>
      <c r="AM173" s="154">
        <f t="shared" si="194"/>
        <v>7.0333333333333323</v>
      </c>
      <c r="AN173" s="154">
        <f t="shared" si="194"/>
        <v>7.0333333333333323</v>
      </c>
      <c r="AO173" s="684"/>
      <c r="AP173" s="299"/>
      <c r="AQ173" s="400"/>
      <c r="AR173" s="400"/>
      <c r="AS173" s="400"/>
      <c r="AT173" s="400"/>
      <c r="AU173" s="400"/>
      <c r="AV173" s="400"/>
      <c r="AW173" s="154"/>
      <c r="AX173" s="154"/>
      <c r="AY173" s="154"/>
      <c r="AZ173" s="154"/>
      <c r="BA173" s="154"/>
      <c r="BB173" s="154"/>
      <c r="BI173" s="154"/>
      <c r="BJ173" s="154"/>
      <c r="BK173" s="154"/>
      <c r="BL173" s="154"/>
      <c r="BM173" s="154"/>
      <c r="BN173" s="154"/>
      <c r="BO173" s="154"/>
      <c r="BP173" s="154"/>
      <c r="BQ173" s="154"/>
      <c r="BR173" s="154"/>
      <c r="BS173" s="154"/>
      <c r="BT173" s="154"/>
    </row>
    <row r="174" spans="1:72" s="425" customFormat="1" outlineLevel="2">
      <c r="A174" s="382" t="s">
        <v>346</v>
      </c>
      <c r="B174" s="452"/>
      <c r="C174" s="452"/>
      <c r="D174" s="1071"/>
      <c r="E174" s="452"/>
      <c r="F174" s="1446"/>
      <c r="G174" s="452"/>
      <c r="H174" s="356"/>
      <c r="I174" s="354"/>
      <c r="J174" s="354"/>
      <c r="K174" s="354"/>
      <c r="L174" s="354"/>
      <c r="M174" s="512"/>
      <c r="N174" s="430"/>
      <c r="P174" s="354"/>
      <c r="Q174" s="354"/>
      <c r="R174" s="354"/>
      <c r="S174" s="354"/>
      <c r="T174" s="503"/>
      <c r="U174" s="43"/>
      <c r="V174" s="354"/>
      <c r="W174" s="354"/>
      <c r="X174" s="354"/>
      <c r="Y174" s="354"/>
      <c r="Z174" s="503"/>
      <c r="AA174" s="43"/>
      <c r="AB174" s="43"/>
      <c r="AC174" s="43"/>
      <c r="AD174" s="633"/>
      <c r="AE174" s="633"/>
      <c r="AF174" s="633"/>
      <c r="AG174" s="633"/>
      <c r="AH174" s="633"/>
      <c r="AI174" s="633"/>
      <c r="AJ174" s="833"/>
      <c r="AK174" s="633"/>
      <c r="AL174" s="633"/>
      <c r="AM174" s="633"/>
      <c r="AN174" s="633"/>
      <c r="AO174" s="834"/>
      <c r="AP174" s="562"/>
      <c r="AQ174" s="356"/>
      <c r="AR174" s="356"/>
      <c r="AS174" s="356"/>
      <c r="AT174" s="356"/>
      <c r="AU174" s="356"/>
      <c r="AV174" s="356"/>
      <c r="AW174" s="43"/>
      <c r="AX174" s="43"/>
      <c r="AY174" s="43"/>
      <c r="AZ174" s="43"/>
      <c r="BA174" s="43"/>
      <c r="BB174" s="43"/>
      <c r="BI174" s="43"/>
      <c r="BJ174" s="43"/>
      <c r="BK174" s="43"/>
      <c r="BL174" s="43"/>
      <c r="BM174" s="43"/>
      <c r="BN174" s="43"/>
      <c r="BO174" s="43"/>
      <c r="BP174" s="43"/>
      <c r="BQ174" s="43"/>
      <c r="BR174" s="43"/>
      <c r="BS174" s="43"/>
      <c r="BT174" s="43"/>
    </row>
    <row r="175" spans="1:72" outlineLevel="2">
      <c r="A175" s="1043" t="s">
        <v>327</v>
      </c>
      <c r="B175" s="2"/>
      <c r="C175" s="2"/>
      <c r="D175" s="1061"/>
      <c r="E175" s="2"/>
      <c r="F175" s="508"/>
      <c r="G175" s="2"/>
      <c r="I175" s="378">
        <f>'MPS др метрики'!E110</f>
        <v>10.166666666666666</v>
      </c>
      <c r="J175" s="431">
        <f t="shared" ref="J175:L180" si="203">I175</f>
        <v>10.166666666666666</v>
      </c>
      <c r="K175" s="431">
        <f t="shared" si="203"/>
        <v>10.166666666666666</v>
      </c>
      <c r="L175" s="431">
        <f t="shared" si="203"/>
        <v>10.166666666666666</v>
      </c>
      <c r="M175" s="511"/>
      <c r="N175" s="429"/>
      <c r="O175" s="423"/>
      <c r="P175" s="378">
        <f t="shared" ref="P175:S180" si="204">I175</f>
        <v>10.166666666666666</v>
      </c>
      <c r="Q175" s="394">
        <f t="shared" si="204"/>
        <v>10.166666666666666</v>
      </c>
      <c r="R175" s="394">
        <f t="shared" si="204"/>
        <v>10.166666666666666</v>
      </c>
      <c r="S175" s="395">
        <f t="shared" si="204"/>
        <v>10.166666666666666</v>
      </c>
      <c r="V175" s="378">
        <f t="shared" ref="V175:Y180" si="205">P175</f>
        <v>10.166666666666666</v>
      </c>
      <c r="W175" s="394">
        <f t="shared" si="205"/>
        <v>10.166666666666666</v>
      </c>
      <c r="X175" s="394">
        <f t="shared" si="205"/>
        <v>10.166666666666666</v>
      </c>
      <c r="Y175" s="395">
        <f t="shared" si="205"/>
        <v>10.166666666666666</v>
      </c>
      <c r="AD175" s="154"/>
      <c r="AE175" s="378">
        <f t="shared" ref="AE175:AH180" si="206">V175</f>
        <v>10.166666666666666</v>
      </c>
      <c r="AF175" s="394">
        <f t="shared" si="206"/>
        <v>10.166666666666666</v>
      </c>
      <c r="AG175" s="394">
        <f t="shared" si="206"/>
        <v>10.166666666666666</v>
      </c>
      <c r="AH175" s="395">
        <f t="shared" si="206"/>
        <v>10.166666666666666</v>
      </c>
      <c r="AI175" s="154"/>
      <c r="AJ175" s="615"/>
      <c r="AK175" s="378">
        <f t="shared" ref="AK175:AN180" si="207">AE175</f>
        <v>10.166666666666666</v>
      </c>
      <c r="AL175" s="394">
        <f t="shared" si="207"/>
        <v>10.166666666666666</v>
      </c>
      <c r="AM175" s="394">
        <f t="shared" si="207"/>
        <v>10.166666666666666</v>
      </c>
      <c r="AN175" s="395">
        <f t="shared" si="207"/>
        <v>10.166666666666666</v>
      </c>
      <c r="AO175" s="684"/>
      <c r="AP175" s="299"/>
      <c r="AQ175" s="2"/>
      <c r="AR175" s="2"/>
      <c r="AS175" s="2"/>
      <c r="AT175" s="2"/>
      <c r="AU175" s="2"/>
      <c r="AV175" s="2"/>
    </row>
    <row r="176" spans="1:72" outlineLevel="2">
      <c r="A176" s="436" t="s">
        <v>62</v>
      </c>
      <c r="B176" s="2"/>
      <c r="C176" s="2"/>
      <c r="D176" s="1061"/>
      <c r="E176" s="2"/>
      <c r="F176" s="508"/>
      <c r="G176" s="2"/>
      <c r="I176" s="379">
        <f>'MPS др метрики'!E111</f>
        <v>7.7666666666666666</v>
      </c>
      <c r="J176" s="429">
        <f t="shared" si="203"/>
        <v>7.7666666666666666</v>
      </c>
      <c r="K176" s="429">
        <f t="shared" si="203"/>
        <v>7.7666666666666666</v>
      </c>
      <c r="L176" s="429">
        <f t="shared" si="203"/>
        <v>7.7666666666666666</v>
      </c>
      <c r="M176" s="511"/>
      <c r="N176" s="429"/>
      <c r="O176" s="423"/>
      <c r="P176" s="379">
        <f t="shared" si="204"/>
        <v>7.7666666666666666</v>
      </c>
      <c r="Q176" s="290">
        <f t="shared" si="204"/>
        <v>7.7666666666666666</v>
      </c>
      <c r="R176" s="290">
        <f t="shared" si="204"/>
        <v>7.7666666666666666</v>
      </c>
      <c r="S176" s="396">
        <f t="shared" si="204"/>
        <v>7.7666666666666666</v>
      </c>
      <c r="V176" s="379">
        <f t="shared" si="205"/>
        <v>7.7666666666666666</v>
      </c>
      <c r="W176" s="290">
        <f t="shared" si="205"/>
        <v>7.7666666666666666</v>
      </c>
      <c r="X176" s="290">
        <f t="shared" si="205"/>
        <v>7.7666666666666666</v>
      </c>
      <c r="Y176" s="396">
        <f t="shared" si="205"/>
        <v>7.7666666666666666</v>
      </c>
      <c r="AD176" s="154"/>
      <c r="AE176" s="379">
        <f t="shared" si="206"/>
        <v>7.7666666666666666</v>
      </c>
      <c r="AF176" s="290">
        <f t="shared" si="206"/>
        <v>7.7666666666666666</v>
      </c>
      <c r="AG176" s="290">
        <f t="shared" si="206"/>
        <v>7.7666666666666666</v>
      </c>
      <c r="AH176" s="396">
        <f t="shared" si="206"/>
        <v>7.7666666666666666</v>
      </c>
      <c r="AI176" s="154"/>
      <c r="AJ176" s="615"/>
      <c r="AK176" s="379">
        <f t="shared" si="207"/>
        <v>7.7666666666666666</v>
      </c>
      <c r="AL176" s="290">
        <f t="shared" si="207"/>
        <v>7.7666666666666666</v>
      </c>
      <c r="AM176" s="290">
        <f t="shared" si="207"/>
        <v>7.7666666666666666</v>
      </c>
      <c r="AN176" s="396">
        <f t="shared" si="207"/>
        <v>7.7666666666666666</v>
      </c>
      <c r="AO176" s="684"/>
      <c r="AP176" s="299"/>
      <c r="AQ176" s="2"/>
      <c r="AR176" s="2"/>
      <c r="AS176" s="2"/>
      <c r="AT176" s="2"/>
      <c r="AU176" s="2"/>
      <c r="AV176" s="2"/>
    </row>
    <row r="177" spans="1:72" outlineLevel="2">
      <c r="A177" s="436" t="s">
        <v>65</v>
      </c>
      <c r="B177" s="2"/>
      <c r="C177" s="2"/>
      <c r="D177" s="1061"/>
      <c r="E177" s="2"/>
      <c r="F177" s="508"/>
      <c r="G177" s="2"/>
      <c r="I177" s="379">
        <f>'MPS др метрики'!E112</f>
        <v>5.7666666666666666</v>
      </c>
      <c r="J177" s="429">
        <f t="shared" si="203"/>
        <v>5.7666666666666666</v>
      </c>
      <c r="K177" s="429">
        <f t="shared" si="203"/>
        <v>5.7666666666666666</v>
      </c>
      <c r="L177" s="429">
        <f t="shared" si="203"/>
        <v>5.7666666666666666</v>
      </c>
      <c r="M177" s="511"/>
      <c r="N177" s="429"/>
      <c r="O177" s="423"/>
      <c r="P177" s="379">
        <f t="shared" si="204"/>
        <v>5.7666666666666666</v>
      </c>
      <c r="Q177" s="290">
        <f t="shared" si="204"/>
        <v>5.7666666666666666</v>
      </c>
      <c r="R177" s="290">
        <f t="shared" si="204"/>
        <v>5.7666666666666666</v>
      </c>
      <c r="S177" s="396">
        <f t="shared" si="204"/>
        <v>5.7666666666666666</v>
      </c>
      <c r="V177" s="379">
        <f t="shared" si="205"/>
        <v>5.7666666666666666</v>
      </c>
      <c r="W177" s="290">
        <f t="shared" si="205"/>
        <v>5.7666666666666666</v>
      </c>
      <c r="X177" s="290">
        <f t="shared" si="205"/>
        <v>5.7666666666666666</v>
      </c>
      <c r="Y177" s="396">
        <f t="shared" si="205"/>
        <v>5.7666666666666666</v>
      </c>
      <c r="AD177" s="154"/>
      <c r="AE177" s="379">
        <f t="shared" si="206"/>
        <v>5.7666666666666666</v>
      </c>
      <c r="AF177" s="290">
        <f t="shared" si="206"/>
        <v>5.7666666666666666</v>
      </c>
      <c r="AG177" s="290">
        <f t="shared" si="206"/>
        <v>5.7666666666666666</v>
      </c>
      <c r="AH177" s="396">
        <f t="shared" si="206"/>
        <v>5.7666666666666666</v>
      </c>
      <c r="AI177" s="154"/>
      <c r="AJ177" s="615"/>
      <c r="AK177" s="379">
        <f t="shared" si="207"/>
        <v>5.7666666666666666</v>
      </c>
      <c r="AL177" s="290">
        <f t="shared" si="207"/>
        <v>5.7666666666666666</v>
      </c>
      <c r="AM177" s="290">
        <f t="shared" si="207"/>
        <v>5.7666666666666666</v>
      </c>
      <c r="AN177" s="396">
        <f t="shared" si="207"/>
        <v>5.7666666666666666</v>
      </c>
      <c r="AO177" s="684"/>
      <c r="AP177" s="299"/>
      <c r="AQ177" s="2"/>
      <c r="AR177" s="2"/>
      <c r="AS177" s="2"/>
      <c r="AT177" s="2"/>
      <c r="AU177" s="2"/>
      <c r="AV177" s="2"/>
    </row>
    <row r="178" spans="1:72" outlineLevel="2">
      <c r="A178" s="436" t="s">
        <v>66</v>
      </c>
      <c r="B178" s="2"/>
      <c r="C178" s="2"/>
      <c r="D178" s="1061"/>
      <c r="E178" s="2"/>
      <c r="F178" s="508"/>
      <c r="G178" s="2"/>
      <c r="I178" s="379">
        <f>'MPS др метрики'!E113</f>
        <v>4.9666666666666668</v>
      </c>
      <c r="J178" s="429">
        <f t="shared" si="203"/>
        <v>4.9666666666666668</v>
      </c>
      <c r="K178" s="429">
        <f t="shared" si="203"/>
        <v>4.9666666666666668</v>
      </c>
      <c r="L178" s="429">
        <f t="shared" si="203"/>
        <v>4.9666666666666668</v>
      </c>
      <c r="M178" s="511"/>
      <c r="N178" s="429"/>
      <c r="O178" s="423"/>
      <c r="P178" s="379">
        <f t="shared" si="204"/>
        <v>4.9666666666666668</v>
      </c>
      <c r="Q178" s="290">
        <f t="shared" si="204"/>
        <v>4.9666666666666668</v>
      </c>
      <c r="R178" s="290">
        <f t="shared" si="204"/>
        <v>4.9666666666666668</v>
      </c>
      <c r="S178" s="396">
        <f t="shared" si="204"/>
        <v>4.9666666666666668</v>
      </c>
      <c r="V178" s="379">
        <f t="shared" si="205"/>
        <v>4.9666666666666668</v>
      </c>
      <c r="W178" s="290">
        <f t="shared" si="205"/>
        <v>4.9666666666666668</v>
      </c>
      <c r="X178" s="290">
        <f t="shared" si="205"/>
        <v>4.9666666666666668</v>
      </c>
      <c r="Y178" s="396">
        <f t="shared" si="205"/>
        <v>4.9666666666666668</v>
      </c>
      <c r="AD178" s="154"/>
      <c r="AE178" s="379">
        <f t="shared" si="206"/>
        <v>4.9666666666666668</v>
      </c>
      <c r="AF178" s="290">
        <f t="shared" si="206"/>
        <v>4.9666666666666668</v>
      </c>
      <c r="AG178" s="290">
        <f t="shared" si="206"/>
        <v>4.9666666666666668</v>
      </c>
      <c r="AH178" s="396">
        <f t="shared" si="206"/>
        <v>4.9666666666666668</v>
      </c>
      <c r="AI178" s="154"/>
      <c r="AJ178" s="615"/>
      <c r="AK178" s="379">
        <f t="shared" si="207"/>
        <v>4.9666666666666668</v>
      </c>
      <c r="AL178" s="290">
        <f t="shared" si="207"/>
        <v>4.9666666666666668</v>
      </c>
      <c r="AM178" s="290">
        <f t="shared" si="207"/>
        <v>4.9666666666666668</v>
      </c>
      <c r="AN178" s="396">
        <f t="shared" si="207"/>
        <v>4.9666666666666668</v>
      </c>
      <c r="AO178" s="684"/>
      <c r="AP178" s="299"/>
      <c r="AQ178" s="2"/>
      <c r="AR178" s="2"/>
      <c r="AS178" s="2"/>
      <c r="AT178" s="2"/>
      <c r="AU178" s="2"/>
      <c r="AV178" s="2"/>
    </row>
    <row r="179" spans="1:72" outlineLevel="2">
      <c r="A179" s="436" t="s">
        <v>328</v>
      </c>
      <c r="B179" s="2"/>
      <c r="C179" s="2"/>
      <c r="D179" s="1061"/>
      <c r="E179" s="2"/>
      <c r="F179" s="508"/>
      <c r="G179" s="2"/>
      <c r="I179" s="379">
        <f>'MPS др метрики'!E114</f>
        <v>4.3</v>
      </c>
      <c r="J179" s="429">
        <f t="shared" si="203"/>
        <v>4.3</v>
      </c>
      <c r="K179" s="429">
        <f t="shared" si="203"/>
        <v>4.3</v>
      </c>
      <c r="L179" s="429">
        <f t="shared" si="203"/>
        <v>4.3</v>
      </c>
      <c r="M179" s="511"/>
      <c r="N179" s="429"/>
      <c r="O179" s="423"/>
      <c r="P179" s="379">
        <f t="shared" si="204"/>
        <v>4.3</v>
      </c>
      <c r="Q179" s="290">
        <f t="shared" si="204"/>
        <v>4.3</v>
      </c>
      <c r="R179" s="290">
        <f t="shared" si="204"/>
        <v>4.3</v>
      </c>
      <c r="S179" s="396">
        <f t="shared" si="204"/>
        <v>4.3</v>
      </c>
      <c r="V179" s="379">
        <f t="shared" si="205"/>
        <v>4.3</v>
      </c>
      <c r="W179" s="290">
        <f t="shared" si="205"/>
        <v>4.3</v>
      </c>
      <c r="X179" s="290">
        <f t="shared" si="205"/>
        <v>4.3</v>
      </c>
      <c r="Y179" s="396">
        <f t="shared" si="205"/>
        <v>4.3</v>
      </c>
      <c r="AD179" s="154"/>
      <c r="AE179" s="379">
        <f t="shared" si="206"/>
        <v>4.3</v>
      </c>
      <c r="AF179" s="290">
        <f t="shared" si="206"/>
        <v>4.3</v>
      </c>
      <c r="AG179" s="290">
        <f t="shared" si="206"/>
        <v>4.3</v>
      </c>
      <c r="AH179" s="396">
        <f t="shared" si="206"/>
        <v>4.3</v>
      </c>
      <c r="AI179" s="154"/>
      <c r="AJ179" s="615"/>
      <c r="AK179" s="379">
        <f t="shared" si="207"/>
        <v>4.3</v>
      </c>
      <c r="AL179" s="290">
        <f t="shared" si="207"/>
        <v>4.3</v>
      </c>
      <c r="AM179" s="290">
        <f t="shared" si="207"/>
        <v>4.3</v>
      </c>
      <c r="AN179" s="396">
        <f t="shared" si="207"/>
        <v>4.3</v>
      </c>
      <c r="AO179" s="684"/>
      <c r="AP179" s="299"/>
      <c r="AQ179" s="2"/>
      <c r="AR179" s="2"/>
      <c r="AS179" s="2"/>
      <c r="AT179" s="2"/>
      <c r="AU179" s="2"/>
      <c r="AV179" s="2"/>
    </row>
    <row r="180" spans="1:72" outlineLevel="2">
      <c r="A180" s="1044" t="s">
        <v>329</v>
      </c>
      <c r="B180" s="2"/>
      <c r="C180" s="2"/>
      <c r="D180" s="1061"/>
      <c r="E180" s="2"/>
      <c r="F180" s="508"/>
      <c r="G180" s="2"/>
      <c r="I180" s="380">
        <f>'MPS др метрики'!E115</f>
        <v>3.2333333333333334</v>
      </c>
      <c r="J180" s="434">
        <f t="shared" si="203"/>
        <v>3.2333333333333334</v>
      </c>
      <c r="K180" s="434">
        <f t="shared" si="203"/>
        <v>3.2333333333333334</v>
      </c>
      <c r="L180" s="434">
        <f t="shared" si="203"/>
        <v>3.2333333333333334</v>
      </c>
      <c r="M180" s="511"/>
      <c r="N180" s="429"/>
      <c r="O180" s="423"/>
      <c r="P180" s="380">
        <f t="shared" si="204"/>
        <v>3.2333333333333334</v>
      </c>
      <c r="Q180" s="397">
        <f t="shared" si="204"/>
        <v>3.2333333333333334</v>
      </c>
      <c r="R180" s="397">
        <f t="shared" si="204"/>
        <v>3.2333333333333334</v>
      </c>
      <c r="S180" s="398">
        <f t="shared" si="204"/>
        <v>3.2333333333333334</v>
      </c>
      <c r="V180" s="380">
        <f t="shared" si="205"/>
        <v>3.2333333333333334</v>
      </c>
      <c r="W180" s="397">
        <f t="shared" si="205"/>
        <v>3.2333333333333334</v>
      </c>
      <c r="X180" s="397">
        <f t="shared" si="205"/>
        <v>3.2333333333333334</v>
      </c>
      <c r="Y180" s="398">
        <f t="shared" si="205"/>
        <v>3.2333333333333334</v>
      </c>
      <c r="AD180" s="154"/>
      <c r="AE180" s="380">
        <f t="shared" si="206"/>
        <v>3.2333333333333334</v>
      </c>
      <c r="AF180" s="397">
        <f t="shared" si="206"/>
        <v>3.2333333333333334</v>
      </c>
      <c r="AG180" s="397">
        <f t="shared" si="206"/>
        <v>3.2333333333333334</v>
      </c>
      <c r="AH180" s="398">
        <f t="shared" si="206"/>
        <v>3.2333333333333334</v>
      </c>
      <c r="AI180" s="154"/>
      <c r="AJ180" s="615"/>
      <c r="AK180" s="380">
        <f t="shared" si="207"/>
        <v>3.2333333333333334</v>
      </c>
      <c r="AL180" s="397">
        <f t="shared" si="207"/>
        <v>3.2333333333333334</v>
      </c>
      <c r="AM180" s="397">
        <f t="shared" si="207"/>
        <v>3.2333333333333334</v>
      </c>
      <c r="AN180" s="398">
        <f t="shared" si="207"/>
        <v>3.2333333333333334</v>
      </c>
      <c r="AO180" s="684"/>
      <c r="AP180" s="299"/>
      <c r="AQ180" s="2"/>
      <c r="AR180" s="2"/>
      <c r="AS180" s="2"/>
      <c r="AT180" s="2"/>
      <c r="AU180" s="2"/>
      <c r="AV180" s="2"/>
    </row>
    <row r="181" spans="1:72" outlineLevel="2">
      <c r="A181" s="436"/>
      <c r="B181" s="2"/>
      <c r="C181" s="2"/>
      <c r="D181" s="1061"/>
      <c r="E181" s="2"/>
      <c r="F181" s="508"/>
      <c r="G181" s="2"/>
      <c r="I181" s="169"/>
      <c r="J181" s="169"/>
      <c r="K181" s="169"/>
      <c r="L181" s="169"/>
      <c r="M181" s="407"/>
      <c r="N181" s="169"/>
      <c r="O181" s="423"/>
      <c r="P181" s="169"/>
      <c r="Q181" s="169"/>
      <c r="R181" s="169"/>
      <c r="S181" s="169"/>
      <c r="V181" s="169"/>
      <c r="W181" s="169"/>
      <c r="X181" s="169"/>
      <c r="Y181" s="169"/>
      <c r="AD181" s="154"/>
      <c r="AE181" s="154"/>
      <c r="AF181" s="154"/>
      <c r="AG181" s="154"/>
      <c r="AH181" s="154"/>
      <c r="AI181" s="154"/>
      <c r="AJ181" s="615"/>
      <c r="AK181" s="154"/>
      <c r="AL181" s="154"/>
      <c r="AM181" s="154"/>
      <c r="AN181" s="154"/>
      <c r="AO181" s="684"/>
      <c r="AP181" s="299"/>
      <c r="AQ181" s="2"/>
      <c r="AR181" s="2"/>
      <c r="AS181" s="2"/>
      <c r="AT181" s="2"/>
      <c r="AU181" s="2"/>
      <c r="AV181" s="2"/>
    </row>
    <row r="182" spans="1:72" outlineLevel="2">
      <c r="A182" s="436"/>
      <c r="B182" s="2"/>
      <c r="C182" s="2"/>
      <c r="D182" s="1061"/>
      <c r="E182" s="2"/>
      <c r="F182" s="508"/>
      <c r="G182" s="2"/>
      <c r="I182" s="169"/>
      <c r="AQ182" s="2"/>
      <c r="AR182" s="2"/>
      <c r="AS182" s="2"/>
      <c r="AT182" s="2"/>
      <c r="AU182" s="2"/>
      <c r="AV182" s="2"/>
    </row>
    <row r="183" spans="1:72" s="418" customFormat="1" ht="20" outlineLevel="2">
      <c r="A183" s="1041" t="s">
        <v>349</v>
      </c>
      <c r="B183" s="417"/>
      <c r="C183" s="417"/>
      <c r="D183" s="1069"/>
      <c r="E183" s="417"/>
      <c r="F183" s="1444"/>
      <c r="G183" s="417"/>
      <c r="I183" s="419"/>
      <c r="J183" s="420"/>
      <c r="K183" s="420"/>
      <c r="L183" s="420"/>
      <c r="M183" s="500"/>
      <c r="N183" s="420"/>
      <c r="P183" s="421"/>
      <c r="Q183" s="421"/>
      <c r="R183" s="421"/>
      <c r="S183" s="421"/>
      <c r="T183" s="531"/>
      <c r="U183" s="421"/>
      <c r="V183" s="420"/>
      <c r="W183" s="420"/>
      <c r="X183" s="420"/>
      <c r="Y183" s="420"/>
      <c r="Z183" s="500"/>
      <c r="AA183" s="420"/>
      <c r="AB183" s="420"/>
      <c r="AC183" s="420"/>
      <c r="AD183" s="420"/>
      <c r="AE183" s="420"/>
      <c r="AF183" s="420"/>
      <c r="AG183" s="420"/>
      <c r="AH183" s="420"/>
      <c r="AI183" s="420"/>
      <c r="AJ183" s="822"/>
      <c r="AK183" s="420"/>
      <c r="AL183" s="420"/>
      <c r="AM183" s="420"/>
      <c r="AN183" s="420"/>
      <c r="AO183" s="823"/>
      <c r="AP183" s="500"/>
      <c r="AQ183" s="417"/>
      <c r="AR183" s="417"/>
      <c r="AS183" s="417"/>
      <c r="AT183" s="417"/>
      <c r="AU183" s="417"/>
      <c r="AV183" s="417"/>
      <c r="AW183" s="421"/>
      <c r="AX183" s="421"/>
      <c r="AY183" s="421"/>
      <c r="AZ183" s="421"/>
      <c r="BA183" s="421"/>
      <c r="BB183" s="421"/>
      <c r="BI183" s="421"/>
      <c r="BJ183" s="421"/>
      <c r="BK183" s="421"/>
      <c r="BL183" s="421"/>
      <c r="BM183" s="421"/>
      <c r="BN183" s="421"/>
      <c r="BO183" s="421"/>
      <c r="BP183" s="421"/>
      <c r="BQ183" s="421"/>
      <c r="BR183" s="421"/>
      <c r="BS183" s="421"/>
      <c r="BT183" s="421"/>
    </row>
    <row r="184" spans="1:72" ht="20" outlineLevel="2">
      <c r="A184" s="87" t="s">
        <v>350</v>
      </c>
      <c r="H184" s="729"/>
      <c r="I184" s="169">
        <v>60000</v>
      </c>
      <c r="J184" s="169">
        <f>I184</f>
        <v>60000</v>
      </c>
      <c r="K184" s="169">
        <f t="shared" ref="K184:L186" si="208">J184</f>
        <v>60000</v>
      </c>
      <c r="L184" s="169">
        <f t="shared" si="208"/>
        <v>60000</v>
      </c>
      <c r="M184" s="407"/>
      <c r="N184" s="169"/>
      <c r="P184" s="169">
        <f t="shared" ref="P184:S185" si="209">I184</f>
        <v>60000</v>
      </c>
      <c r="Q184" s="169">
        <f t="shared" si="209"/>
        <v>60000</v>
      </c>
      <c r="R184" s="169">
        <f t="shared" si="209"/>
        <v>60000</v>
      </c>
      <c r="S184" s="169">
        <f t="shared" si="209"/>
        <v>60000</v>
      </c>
      <c r="T184" s="407"/>
      <c r="U184" s="788"/>
      <c r="V184" s="169">
        <f t="shared" ref="V184:Y185" si="210">P184</f>
        <v>60000</v>
      </c>
      <c r="W184" s="169">
        <f t="shared" si="210"/>
        <v>60000</v>
      </c>
      <c r="X184" s="169">
        <f t="shared" si="210"/>
        <v>60000</v>
      </c>
      <c r="Y184" s="169">
        <f t="shared" si="210"/>
        <v>60000</v>
      </c>
      <c r="AD184" s="788"/>
      <c r="AE184" s="169">
        <f t="shared" ref="AE184:AH185" si="211">V184</f>
        <v>60000</v>
      </c>
      <c r="AF184" s="169">
        <f t="shared" si="211"/>
        <v>60000</v>
      </c>
      <c r="AG184" s="169">
        <f t="shared" si="211"/>
        <v>60000</v>
      </c>
      <c r="AH184" s="169">
        <f t="shared" si="211"/>
        <v>60000</v>
      </c>
      <c r="AJ184" s="835"/>
      <c r="AK184" s="169">
        <f>AE184</f>
        <v>60000</v>
      </c>
      <c r="AL184" s="169">
        <f t="shared" ref="AL184:AN185" si="212">AF184</f>
        <v>60000</v>
      </c>
      <c r="AM184" s="169">
        <f t="shared" si="212"/>
        <v>60000</v>
      </c>
      <c r="AN184" s="169">
        <f t="shared" si="212"/>
        <v>60000</v>
      </c>
      <c r="AQ184" s="13"/>
      <c r="AR184" s="13"/>
      <c r="AS184" s="13"/>
      <c r="AT184" s="13"/>
      <c r="AU184" s="13"/>
      <c r="AV184" s="13"/>
    </row>
    <row r="185" spans="1:72" ht="20" outlineLevel="2">
      <c r="A185" s="87" t="s">
        <v>351</v>
      </c>
      <c r="H185" s="729"/>
      <c r="I185" s="169">
        <v>40000</v>
      </c>
      <c r="J185" s="169">
        <f>I185</f>
        <v>40000</v>
      </c>
      <c r="K185" s="169">
        <f t="shared" si="208"/>
        <v>40000</v>
      </c>
      <c r="L185" s="169">
        <f t="shared" si="208"/>
        <v>40000</v>
      </c>
      <c r="M185" s="407"/>
      <c r="N185" s="169"/>
      <c r="P185" s="169">
        <f t="shared" si="209"/>
        <v>40000</v>
      </c>
      <c r="Q185" s="169">
        <f t="shared" si="209"/>
        <v>40000</v>
      </c>
      <c r="R185" s="169">
        <f t="shared" si="209"/>
        <v>40000</v>
      </c>
      <c r="S185" s="169">
        <f t="shared" si="209"/>
        <v>40000</v>
      </c>
      <c r="T185" s="407"/>
      <c r="U185" s="788"/>
      <c r="V185" s="169">
        <f t="shared" si="210"/>
        <v>40000</v>
      </c>
      <c r="W185" s="169">
        <f t="shared" si="210"/>
        <v>40000</v>
      </c>
      <c r="X185" s="169">
        <f t="shared" si="210"/>
        <v>40000</v>
      </c>
      <c r="Y185" s="169">
        <f t="shared" si="210"/>
        <v>40000</v>
      </c>
      <c r="AD185" s="788"/>
      <c r="AE185" s="169">
        <f t="shared" si="211"/>
        <v>40000</v>
      </c>
      <c r="AF185" s="169">
        <f t="shared" si="211"/>
        <v>40000</v>
      </c>
      <c r="AG185" s="169">
        <f t="shared" si="211"/>
        <v>40000</v>
      </c>
      <c r="AH185" s="169">
        <f t="shared" si="211"/>
        <v>40000</v>
      </c>
      <c r="AJ185" s="835"/>
      <c r="AK185" s="169">
        <f>AE185</f>
        <v>40000</v>
      </c>
      <c r="AL185" s="169">
        <f t="shared" si="212"/>
        <v>40000</v>
      </c>
      <c r="AM185" s="169">
        <f t="shared" si="212"/>
        <v>40000</v>
      </c>
      <c r="AN185" s="169">
        <f t="shared" si="212"/>
        <v>40000</v>
      </c>
      <c r="AQ185" s="13"/>
      <c r="AR185" s="13"/>
      <c r="AS185" s="13"/>
      <c r="AT185" s="13"/>
      <c r="AU185" s="13"/>
      <c r="AV185" s="13"/>
    </row>
    <row r="186" spans="1:72" s="425" customFormat="1" ht="40" outlineLevel="2">
      <c r="A186" s="529" t="s">
        <v>352</v>
      </c>
      <c r="B186" s="43"/>
      <c r="C186" s="43"/>
      <c r="D186" s="1074"/>
      <c r="E186" s="43"/>
      <c r="F186" s="503"/>
      <c r="G186" s="43"/>
      <c r="H186" s="730"/>
      <c r="I186" s="354">
        <v>0</v>
      </c>
      <c r="J186" s="354">
        <f>I186</f>
        <v>0</v>
      </c>
      <c r="K186" s="354">
        <f>K185</f>
        <v>40000</v>
      </c>
      <c r="L186" s="354">
        <f t="shared" si="208"/>
        <v>40000</v>
      </c>
      <c r="M186" s="515"/>
      <c r="N186" s="354"/>
      <c r="P186" s="422">
        <f>P185+P187</f>
        <v>48000</v>
      </c>
      <c r="Q186" s="422">
        <f t="shared" ref="Q186:S186" si="213">Q185+Q187</f>
        <v>48000</v>
      </c>
      <c r="R186" s="422">
        <f t="shared" si="213"/>
        <v>48000</v>
      </c>
      <c r="S186" s="422">
        <f t="shared" si="213"/>
        <v>48000</v>
      </c>
      <c r="T186" s="515"/>
      <c r="U186" s="360"/>
      <c r="V186" s="354">
        <f>P186</f>
        <v>48000</v>
      </c>
      <c r="W186" s="354">
        <f>V186</f>
        <v>48000</v>
      </c>
      <c r="X186" s="354">
        <f t="shared" ref="X186:Y187" si="214">W186</f>
        <v>48000</v>
      </c>
      <c r="Y186" s="354">
        <f t="shared" si="214"/>
        <v>48000</v>
      </c>
      <c r="Z186" s="503"/>
      <c r="AA186" s="43"/>
      <c r="AB186" s="43"/>
      <c r="AC186" s="43"/>
      <c r="AD186" s="360"/>
      <c r="AE186" s="354">
        <f>V186</f>
        <v>48000</v>
      </c>
      <c r="AF186" s="354">
        <f>AE186</f>
        <v>48000</v>
      </c>
      <c r="AG186" s="354">
        <f t="shared" ref="AG186:AH187" si="215">AF186</f>
        <v>48000</v>
      </c>
      <c r="AH186" s="354">
        <f t="shared" si="215"/>
        <v>48000</v>
      </c>
      <c r="AI186" s="43"/>
      <c r="AJ186" s="836"/>
      <c r="AK186" s="354">
        <f>AE186</f>
        <v>48000</v>
      </c>
      <c r="AL186" s="354">
        <f>AK186</f>
        <v>48000</v>
      </c>
      <c r="AM186" s="354">
        <f t="shared" ref="AM186:AN187" si="216">AL186</f>
        <v>48000</v>
      </c>
      <c r="AN186" s="354">
        <f t="shared" si="216"/>
        <v>48000</v>
      </c>
      <c r="AO186" s="828"/>
      <c r="AP186" s="503"/>
      <c r="AQ186" s="355"/>
      <c r="AR186" s="355"/>
      <c r="AS186" s="355"/>
      <c r="AT186" s="355"/>
      <c r="AU186" s="355"/>
      <c r="AV186" s="355"/>
      <c r="AW186" s="43"/>
      <c r="AX186" s="43"/>
      <c r="AY186" s="43"/>
      <c r="AZ186" s="43"/>
      <c r="BA186" s="43"/>
      <c r="BB186" s="43"/>
      <c r="BI186" s="43"/>
      <c r="BJ186" s="43"/>
      <c r="BK186" s="43"/>
      <c r="BL186" s="43"/>
      <c r="BM186" s="43"/>
      <c r="BN186" s="43"/>
      <c r="BO186" s="43"/>
      <c r="BP186" s="43"/>
      <c r="BQ186" s="43"/>
      <c r="BR186" s="43"/>
      <c r="BS186" s="43"/>
      <c r="BT186" s="43"/>
    </row>
    <row r="187" spans="1:72" ht="60" outlineLevel="2">
      <c r="H187" s="729"/>
      <c r="I187" s="169"/>
      <c r="J187" s="169"/>
      <c r="K187" s="169"/>
      <c r="L187" s="169"/>
      <c r="M187" s="407"/>
      <c r="N187" s="169"/>
      <c r="O187" s="1026" t="s">
        <v>366</v>
      </c>
      <c r="P187" s="345">
        <f>P185*P188-P185</f>
        <v>8000</v>
      </c>
      <c r="Q187" s="345">
        <f>P187</f>
        <v>8000</v>
      </c>
      <c r="R187" s="345">
        <f t="shared" ref="R187:S188" si="217">Q187</f>
        <v>8000</v>
      </c>
      <c r="S187" s="345">
        <f t="shared" si="217"/>
        <v>8000</v>
      </c>
      <c r="T187" s="407"/>
      <c r="U187" s="1031" t="s">
        <v>353</v>
      </c>
      <c r="V187" s="345">
        <f>P187</f>
        <v>8000</v>
      </c>
      <c r="W187" s="345">
        <f>V187</f>
        <v>8000</v>
      </c>
      <c r="X187" s="345">
        <f t="shared" si="214"/>
        <v>8000</v>
      </c>
      <c r="Y187" s="345">
        <f t="shared" si="214"/>
        <v>8000</v>
      </c>
      <c r="AD187" s="1031" t="s">
        <v>353</v>
      </c>
      <c r="AE187" s="345">
        <f>V187</f>
        <v>8000</v>
      </c>
      <c r="AF187" s="345">
        <f>AE187</f>
        <v>8000</v>
      </c>
      <c r="AG187" s="345">
        <f t="shared" si="215"/>
        <v>8000</v>
      </c>
      <c r="AH187" s="345">
        <f t="shared" si="215"/>
        <v>8000</v>
      </c>
      <c r="AJ187" s="837" t="s">
        <v>353</v>
      </c>
      <c r="AK187" s="345">
        <f>AE187</f>
        <v>8000</v>
      </c>
      <c r="AL187" s="345">
        <f>AK187</f>
        <v>8000</v>
      </c>
      <c r="AM187" s="345">
        <f t="shared" si="216"/>
        <v>8000</v>
      </c>
      <c r="AN187" s="345">
        <f t="shared" si="216"/>
        <v>8000</v>
      </c>
      <c r="AQ187" s="13"/>
      <c r="AR187" s="13"/>
      <c r="AS187" s="13"/>
      <c r="AT187" s="13"/>
      <c r="AU187" s="13"/>
      <c r="AV187" s="13"/>
    </row>
    <row r="188" spans="1:72" outlineLevel="2">
      <c r="I188" s="2"/>
      <c r="J188" s="2"/>
      <c r="K188" s="2"/>
      <c r="L188" s="2"/>
      <c r="O188" s="450"/>
      <c r="P188" s="490">
        <v>1.2</v>
      </c>
      <c r="Q188" s="490">
        <f>P188</f>
        <v>1.2</v>
      </c>
      <c r="R188" s="490">
        <f t="shared" si="217"/>
        <v>1.2</v>
      </c>
      <c r="S188" s="490">
        <f t="shared" si="217"/>
        <v>1.2</v>
      </c>
      <c r="U188" s="450"/>
      <c r="V188" s="490">
        <f>P188</f>
        <v>1.2</v>
      </c>
      <c r="W188" s="490">
        <f>Q188</f>
        <v>1.2</v>
      </c>
      <c r="X188" s="490">
        <f>R188</f>
        <v>1.2</v>
      </c>
      <c r="Y188" s="449">
        <f>S188</f>
        <v>1.2</v>
      </c>
      <c r="AD188" s="450"/>
      <c r="AE188" s="490">
        <f>V188</f>
        <v>1.2</v>
      </c>
      <c r="AF188" s="490">
        <f>W188</f>
        <v>1.2</v>
      </c>
      <c r="AG188" s="490">
        <f>X188</f>
        <v>1.2</v>
      </c>
      <c r="AH188" s="449">
        <f>Y188</f>
        <v>1.2</v>
      </c>
      <c r="AJ188" s="838"/>
      <c r="AK188" s="490">
        <f>AE188</f>
        <v>1.2</v>
      </c>
      <c r="AL188" s="490">
        <f t="shared" ref="AL188:AN188" si="218">AF188</f>
        <v>1.2</v>
      </c>
      <c r="AM188" s="490">
        <f t="shared" si="218"/>
        <v>1.2</v>
      </c>
      <c r="AN188" s="449">
        <f t="shared" si="218"/>
        <v>1.2</v>
      </c>
    </row>
    <row r="189" spans="1:72" outlineLevel="2">
      <c r="I189" s="2"/>
      <c r="P189" s="344" t="s">
        <v>365</v>
      </c>
      <c r="U189" s="450"/>
      <c r="V189" s="451" t="s">
        <v>354</v>
      </c>
      <c r="W189" s="450"/>
      <c r="X189" s="450"/>
      <c r="Y189" s="450"/>
      <c r="AD189" s="450"/>
      <c r="AE189" s="451" t="s">
        <v>354</v>
      </c>
      <c r="AF189" s="450"/>
      <c r="AG189" s="450"/>
      <c r="AH189" s="450"/>
      <c r="AJ189" s="838"/>
      <c r="AK189" s="451" t="s">
        <v>354</v>
      </c>
      <c r="AL189" s="450"/>
      <c r="AM189" s="450"/>
      <c r="AN189" s="450"/>
    </row>
    <row r="190" spans="1:72" outlineLevel="2">
      <c r="I190" s="2"/>
      <c r="P190" s="423"/>
      <c r="S190" s="139"/>
    </row>
    <row r="191" spans="1:72" s="418" customFormat="1" ht="20" outlineLevel="2">
      <c r="A191" s="1041" t="s">
        <v>335</v>
      </c>
      <c r="B191" s="417"/>
      <c r="C191" s="417"/>
      <c r="D191" s="1069"/>
      <c r="E191" s="417"/>
      <c r="F191" s="1444"/>
      <c r="G191" s="417"/>
      <c r="I191" s="419"/>
      <c r="J191" s="420"/>
      <c r="K191" s="420"/>
      <c r="L191" s="420"/>
      <c r="M191" s="500"/>
      <c r="N191" s="420"/>
      <c r="O191" s="421"/>
      <c r="P191" s="421"/>
      <c r="Q191" s="421"/>
      <c r="R191" s="421"/>
      <c r="S191" s="421"/>
      <c r="T191" s="531"/>
      <c r="U191" s="421"/>
      <c r="V191" s="465"/>
      <c r="W191" s="420"/>
      <c r="X191" s="420"/>
      <c r="Y191" s="420"/>
      <c r="Z191" s="500"/>
      <c r="AA191" s="420"/>
      <c r="AB191" s="420"/>
      <c r="AC191" s="420"/>
      <c r="AD191" s="420"/>
      <c r="AE191" s="420"/>
      <c r="AF191" s="420"/>
      <c r="AG191" s="420"/>
      <c r="AH191" s="420"/>
      <c r="AI191" s="420"/>
      <c r="AJ191" s="822"/>
      <c r="AK191" s="420"/>
      <c r="AL191" s="420"/>
      <c r="AM191" s="420"/>
      <c r="AN191" s="420"/>
      <c r="AO191" s="823"/>
      <c r="AP191" s="500"/>
      <c r="AQ191" s="417"/>
      <c r="AR191" s="417"/>
      <c r="AS191" s="417"/>
      <c r="AT191" s="417"/>
      <c r="AU191" s="417"/>
      <c r="AV191" s="417"/>
      <c r="AW191" s="421"/>
      <c r="AX191" s="421"/>
      <c r="AY191" s="421"/>
      <c r="AZ191" s="421"/>
      <c r="BA191" s="421"/>
      <c r="BB191" s="421"/>
      <c r="BI191" s="421"/>
      <c r="BJ191" s="421"/>
      <c r="BK191" s="421"/>
      <c r="BL191" s="421"/>
      <c r="BM191" s="421"/>
      <c r="BN191" s="421"/>
      <c r="BO191" s="421"/>
      <c r="BP191" s="421"/>
      <c r="BQ191" s="421"/>
      <c r="BR191" s="421"/>
      <c r="BS191" s="421"/>
      <c r="BT191" s="421"/>
    </row>
    <row r="192" spans="1:72" s="446" customFormat="1" ht="20" outlineLevel="2">
      <c r="A192" s="565" t="s">
        <v>358</v>
      </c>
      <c r="B192" s="383"/>
      <c r="C192" s="383"/>
      <c r="D192" s="1075"/>
      <c r="E192" s="383"/>
      <c r="F192" s="523"/>
      <c r="G192" s="383"/>
      <c r="I192" s="814"/>
      <c r="J192" s="814"/>
      <c r="K192" s="814"/>
      <c r="L192" s="814"/>
      <c r="M192" s="523"/>
      <c r="N192" s="383"/>
      <c r="O192" s="445"/>
      <c r="P192" s="815">
        <f>I192</f>
        <v>0</v>
      </c>
      <c r="Q192" s="815">
        <f>P192</f>
        <v>0</v>
      </c>
      <c r="R192" s="815">
        <f t="shared" ref="R192:S192" si="219">Q192</f>
        <v>0</v>
      </c>
      <c r="S192" s="815">
        <f t="shared" si="219"/>
        <v>0</v>
      </c>
      <c r="T192" s="547"/>
      <c r="U192" s="385"/>
      <c r="V192" s="816">
        <f>V193+V194</f>
        <v>2921.4193220612015</v>
      </c>
      <c r="W192" s="816">
        <f>W193+W194</f>
        <v>2921.4193220612015</v>
      </c>
      <c r="X192" s="816">
        <f>X193+X194</f>
        <v>2921.4193220612015</v>
      </c>
      <c r="Y192" s="816">
        <f>Y193+Y194</f>
        <v>2921.4193220612015</v>
      </c>
      <c r="Z192" s="1315"/>
      <c r="AA192" s="815"/>
      <c r="AB192" s="815"/>
      <c r="AC192" s="815"/>
      <c r="AD192" s="383"/>
      <c r="AE192" s="816"/>
      <c r="AF192" s="816"/>
      <c r="AG192" s="816"/>
      <c r="AH192" s="816"/>
      <c r="AI192" s="815"/>
      <c r="AJ192" s="839"/>
      <c r="AK192" s="815"/>
      <c r="AL192" s="815"/>
      <c r="AM192" s="815"/>
      <c r="AN192" s="815"/>
      <c r="AO192" s="840"/>
      <c r="AP192" s="523"/>
      <c r="AQ192" s="383"/>
      <c r="AR192" s="383"/>
      <c r="AS192" s="383"/>
      <c r="AT192" s="383"/>
      <c r="AU192" s="383"/>
      <c r="AV192" s="383"/>
      <c r="AW192" s="385"/>
      <c r="AX192" s="385"/>
      <c r="AY192" s="385"/>
      <c r="AZ192" s="385"/>
      <c r="BA192" s="385"/>
      <c r="BB192" s="385"/>
      <c r="BI192" s="445" t="s">
        <v>141</v>
      </c>
      <c r="BJ192" s="385"/>
      <c r="BK192" s="385"/>
      <c r="BL192" s="385"/>
      <c r="BM192" s="385"/>
      <c r="BN192" s="385"/>
      <c r="BO192" s="385" t="s">
        <v>33</v>
      </c>
      <c r="BP192" s="385"/>
      <c r="BQ192" s="385"/>
      <c r="BR192" s="385"/>
      <c r="BS192" s="385"/>
      <c r="BT192" s="385"/>
    </row>
    <row r="193" spans="1:72" ht="20" outlineLevel="2">
      <c r="A193" s="1046" t="s">
        <v>479</v>
      </c>
      <c r="B193" s="935"/>
      <c r="C193" s="935"/>
      <c r="D193" s="1076"/>
      <c r="E193" s="935"/>
      <c r="F193" s="1447"/>
      <c r="G193" s="935"/>
      <c r="H193" s="423"/>
      <c r="I193" s="169">
        <f>I219</f>
        <v>13400</v>
      </c>
      <c r="J193" s="169">
        <f>I193</f>
        <v>13400</v>
      </c>
      <c r="K193" s="169">
        <f t="shared" ref="K193:L193" si="220">J193</f>
        <v>13400</v>
      </c>
      <c r="L193" s="169">
        <f t="shared" si="220"/>
        <v>13400</v>
      </c>
      <c r="M193" s="297"/>
      <c r="N193" s="13"/>
      <c r="O193" s="788"/>
      <c r="P193" s="275">
        <f>P219</f>
        <v>8933.3333333333321</v>
      </c>
      <c r="Q193" s="275">
        <f>P193</f>
        <v>8933.3333333333321</v>
      </c>
      <c r="R193" s="275">
        <f>Q193</f>
        <v>8933.3333333333321</v>
      </c>
      <c r="S193" s="275">
        <f>R193</f>
        <v>8933.3333333333321</v>
      </c>
      <c r="V193" s="169">
        <v>0</v>
      </c>
      <c r="W193" s="169">
        <v>0</v>
      </c>
      <c r="X193" s="169">
        <v>0</v>
      </c>
      <c r="Y193" s="169">
        <v>0</v>
      </c>
      <c r="Z193" s="407">
        <v>0</v>
      </c>
      <c r="AA193" s="169"/>
      <c r="AB193" s="169"/>
      <c r="AC193" s="169"/>
      <c r="AD193" s="13"/>
      <c r="AE193" s="169">
        <f>V193</f>
        <v>0</v>
      </c>
      <c r="AF193" s="169">
        <f>W193</f>
        <v>0</v>
      </c>
      <c r="AG193" s="169">
        <f>X193</f>
        <v>0</v>
      </c>
      <c r="AH193" s="169">
        <f>Y193</f>
        <v>0</v>
      </c>
      <c r="AI193" s="169"/>
      <c r="AJ193" s="826"/>
      <c r="AK193" s="275">
        <f>P193</f>
        <v>8933.3333333333321</v>
      </c>
      <c r="AL193" s="275">
        <f>Q193</f>
        <v>8933.3333333333321</v>
      </c>
      <c r="AM193" s="275">
        <f>R193</f>
        <v>8933.3333333333321</v>
      </c>
      <c r="AN193" s="275">
        <f>S193</f>
        <v>8933.3333333333321</v>
      </c>
      <c r="AO193" s="614"/>
      <c r="AP193" s="297"/>
      <c r="AQ193" s="13"/>
      <c r="AR193" s="13"/>
      <c r="AS193" s="13"/>
      <c r="AT193" s="13"/>
      <c r="AU193" s="13"/>
      <c r="AV193" s="13"/>
      <c r="BI193" s="788"/>
    </row>
    <row r="194" spans="1:72" ht="20" outlineLevel="2">
      <c r="A194" s="1047" t="s">
        <v>505</v>
      </c>
      <c r="B194" s="359"/>
      <c r="C194" s="359"/>
      <c r="D194" s="1077"/>
      <c r="E194" s="359"/>
      <c r="F194" s="1448"/>
      <c r="G194" s="359"/>
      <c r="H194" s="423"/>
      <c r="I194" s="427">
        <f>M194</f>
        <v>746.30864078922923</v>
      </c>
      <c r="J194" s="427">
        <f>M194</f>
        <v>746.30864078922923</v>
      </c>
      <c r="K194" s="427">
        <f>M194</f>
        <v>746.30864078922923</v>
      </c>
      <c r="L194" s="427">
        <f>M194</f>
        <v>746.30864078922923</v>
      </c>
      <c r="M194" s="510">
        <f>3000000/M21</f>
        <v>746.30864078922923</v>
      </c>
      <c r="N194" s="427"/>
      <c r="P194" s="427">
        <f>T194</f>
        <v>508.36130015499896</v>
      </c>
      <c r="Q194" s="427">
        <f>T194</f>
        <v>508.36130015499896</v>
      </c>
      <c r="R194" s="427">
        <f>T194</f>
        <v>508.36130015499896</v>
      </c>
      <c r="S194" s="427">
        <f>T194</f>
        <v>508.36130015499896</v>
      </c>
      <c r="T194" s="510">
        <f>3000000/T21</f>
        <v>508.36130015499896</v>
      </c>
      <c r="V194" s="427">
        <f>Z194</f>
        <v>2921.4193220612015</v>
      </c>
      <c r="W194" s="427">
        <f>Z194</f>
        <v>2921.4193220612015</v>
      </c>
      <c r="X194" s="427">
        <f>Z194</f>
        <v>2921.4193220612015</v>
      </c>
      <c r="Y194" s="427">
        <f>Z194</f>
        <v>2921.4193220612015</v>
      </c>
      <c r="Z194" s="510">
        <f>3000000/Z21</f>
        <v>2921.4193220612015</v>
      </c>
      <c r="AA194" s="427"/>
      <c r="AB194" s="427"/>
      <c r="AC194" s="427"/>
      <c r="AD194" s="423"/>
      <c r="AE194" s="427">
        <f>AI194</f>
        <v>2921.419322061201</v>
      </c>
      <c r="AF194" s="427">
        <f>AI194</f>
        <v>2921.419322061201</v>
      </c>
      <c r="AG194" s="427">
        <f>AI194</f>
        <v>2921.419322061201</v>
      </c>
      <c r="AH194" s="427">
        <f>AI194</f>
        <v>2921.419322061201</v>
      </c>
      <c r="AI194" s="427">
        <f>3000000*AI195/AI21</f>
        <v>2921.419322061201</v>
      </c>
      <c r="AJ194" s="841"/>
      <c r="AK194" s="427">
        <f>AO194</f>
        <v>508.36130015499907</v>
      </c>
      <c r="AL194" s="427">
        <f>AO194</f>
        <v>508.36130015499907</v>
      </c>
      <c r="AM194" s="427">
        <f>AO194</f>
        <v>508.36130015499907</v>
      </c>
      <c r="AN194" s="427">
        <f>AO194</f>
        <v>508.36130015499907</v>
      </c>
      <c r="AO194" s="487">
        <f>3000000*AO195/AO21</f>
        <v>508.36130015499907</v>
      </c>
      <c r="AP194" s="504"/>
      <c r="AQ194" s="423"/>
      <c r="AR194" s="423"/>
      <c r="AS194" s="423"/>
      <c r="AT194" s="423"/>
      <c r="AU194" s="423"/>
      <c r="AV194" s="423"/>
      <c r="AW194" s="423"/>
      <c r="AX194" s="423"/>
      <c r="AY194" s="423"/>
      <c r="AZ194" s="423"/>
      <c r="BA194" s="423"/>
      <c r="BB194" s="423"/>
      <c r="BI194" s="423"/>
    </row>
    <row r="195" spans="1:72" outlineLevel="2">
      <c r="A195" s="1047"/>
      <c r="B195" s="359"/>
      <c r="C195" s="359"/>
      <c r="D195" s="1077"/>
      <c r="E195" s="359"/>
      <c r="F195" s="1448"/>
      <c r="G195" s="359"/>
      <c r="H195" s="423"/>
      <c r="I195" s="427"/>
      <c r="J195" s="427"/>
      <c r="K195" s="427"/>
      <c r="L195" s="427"/>
      <c r="M195" s="510"/>
      <c r="N195" s="427"/>
      <c r="P195" s="427"/>
      <c r="Q195" s="427"/>
      <c r="R195" s="427"/>
      <c r="S195" s="427"/>
      <c r="T195" s="510"/>
      <c r="V195" s="427"/>
      <c r="W195" s="427"/>
      <c r="X195" s="427"/>
      <c r="Y195" s="427"/>
      <c r="Z195" s="510"/>
      <c r="AA195" s="427"/>
      <c r="AB195" s="427"/>
      <c r="AC195" s="427"/>
      <c r="AD195" s="423"/>
      <c r="AE195" s="427"/>
      <c r="AF195" s="427"/>
      <c r="AG195" s="427"/>
      <c r="AH195" s="427"/>
      <c r="AI195" s="817">
        <f>AI7/AP7</f>
        <v>0.86857536248143463</v>
      </c>
      <c r="AJ195" s="841"/>
      <c r="AK195" s="427"/>
      <c r="AL195" s="427"/>
      <c r="AM195" s="427"/>
      <c r="AN195" s="427"/>
      <c r="AO195" s="842">
        <f>100%-AI195</f>
        <v>0.13142463751856537</v>
      </c>
      <c r="AP195" s="504"/>
      <c r="AQ195" s="423"/>
      <c r="AR195" s="423"/>
      <c r="AS195" s="423"/>
      <c r="AT195" s="423"/>
      <c r="AU195" s="423"/>
      <c r="AV195" s="423"/>
      <c r="AW195" s="423"/>
      <c r="AX195" s="423"/>
      <c r="AY195" s="423"/>
      <c r="AZ195" s="423"/>
      <c r="BA195" s="423"/>
      <c r="BB195" s="423"/>
      <c r="BI195" s="423"/>
    </row>
    <row r="196" spans="1:72" ht="40" outlineLevel="2">
      <c r="A196" s="161" t="s">
        <v>504</v>
      </c>
      <c r="B196" s="13"/>
      <c r="C196" s="13"/>
      <c r="D196" s="1066"/>
      <c r="E196" s="13"/>
      <c r="F196" s="297"/>
      <c r="G196" s="13"/>
      <c r="H196" s="423"/>
      <c r="I196" s="255">
        <f>I228*4</f>
        <v>84.8</v>
      </c>
      <c r="J196" s="255">
        <f>I196</f>
        <v>84.8</v>
      </c>
      <c r="K196" s="255">
        <f>J196</f>
        <v>84.8</v>
      </c>
      <c r="L196" s="255">
        <f>K196</f>
        <v>84.8</v>
      </c>
      <c r="M196" s="407"/>
      <c r="N196" s="169"/>
      <c r="P196" s="255">
        <f>I196</f>
        <v>84.8</v>
      </c>
      <c r="Q196" s="1166">
        <f>P196</f>
        <v>84.8</v>
      </c>
      <c r="R196" s="1166">
        <f t="shared" ref="R196:S196" si="221">Q196</f>
        <v>84.8</v>
      </c>
      <c r="S196" s="1166">
        <f t="shared" si="221"/>
        <v>84.8</v>
      </c>
      <c r="V196" s="255">
        <f>P196</f>
        <v>84.8</v>
      </c>
      <c r="W196" s="1166">
        <f>V196</f>
        <v>84.8</v>
      </c>
      <c r="X196" s="1166">
        <f t="shared" ref="X196:Y196" si="222">W196</f>
        <v>84.8</v>
      </c>
      <c r="Y196" s="1166">
        <f t="shared" si="222"/>
        <v>84.8</v>
      </c>
      <c r="AD196" s="423"/>
      <c r="AE196" s="255">
        <f>V196</f>
        <v>84.8</v>
      </c>
      <c r="AF196" s="1166">
        <f>AE196</f>
        <v>84.8</v>
      </c>
      <c r="AG196" s="1166">
        <f t="shared" ref="AG196:AH196" si="223">AF196</f>
        <v>84.8</v>
      </c>
      <c r="AH196" s="1166">
        <f t="shared" si="223"/>
        <v>84.8</v>
      </c>
      <c r="AI196" s="423"/>
      <c r="AJ196" s="841"/>
      <c r="AK196" s="255">
        <f>AE196</f>
        <v>84.8</v>
      </c>
      <c r="AL196" s="1166">
        <f>AK196</f>
        <v>84.8</v>
      </c>
      <c r="AM196" s="1166">
        <f t="shared" ref="AM196:AN196" si="224">AL196</f>
        <v>84.8</v>
      </c>
      <c r="AN196" s="1166">
        <f t="shared" si="224"/>
        <v>84.8</v>
      </c>
      <c r="AO196" s="423"/>
      <c r="AP196" s="504"/>
      <c r="AQ196" s="423"/>
      <c r="AR196" s="423"/>
      <c r="AS196" s="423"/>
      <c r="AT196" s="423"/>
      <c r="AU196" s="423"/>
      <c r="AV196" s="423"/>
      <c r="AW196" s="423"/>
      <c r="AX196" s="423"/>
      <c r="AY196" s="423"/>
      <c r="AZ196" s="423"/>
      <c r="BA196" s="423"/>
      <c r="BB196" s="423"/>
      <c r="BI196" s="423"/>
    </row>
    <row r="197" spans="1:72" s="440" customFormat="1" outlineLevel="2">
      <c r="A197" s="1048"/>
      <c r="B197" s="439"/>
      <c r="C197" s="439"/>
      <c r="D197" s="1078"/>
      <c r="E197" s="439"/>
      <c r="F197" s="1449"/>
      <c r="G197" s="439"/>
      <c r="I197" s="441"/>
      <c r="J197" s="442"/>
      <c r="K197" s="442"/>
      <c r="L197" s="442"/>
      <c r="M197" s="520"/>
      <c r="N197" s="442"/>
      <c r="O197" s="443"/>
      <c r="P197" s="443"/>
      <c r="Q197" s="443"/>
      <c r="R197" s="443"/>
      <c r="S197" s="443"/>
      <c r="T197" s="543"/>
      <c r="U197" s="443"/>
      <c r="V197" s="442"/>
      <c r="W197" s="442"/>
      <c r="X197" s="442"/>
      <c r="Y197" s="442"/>
      <c r="Z197" s="520"/>
      <c r="AA197" s="442"/>
      <c r="AB197" s="442"/>
      <c r="AC197" s="442"/>
      <c r="AD197" s="442"/>
      <c r="AE197" s="442"/>
      <c r="AF197" s="442"/>
      <c r="AG197" s="442"/>
      <c r="AH197" s="442"/>
      <c r="AI197" s="442"/>
      <c r="AJ197" s="843"/>
      <c r="AK197" s="442"/>
      <c r="AL197" s="442"/>
      <c r="AM197" s="442"/>
      <c r="AN197" s="442"/>
      <c r="AO197" s="844"/>
      <c r="AP197" s="520"/>
      <c r="AQ197" s="439"/>
      <c r="AR197" s="439"/>
      <c r="AS197" s="439"/>
      <c r="AT197" s="439"/>
      <c r="AU197" s="439"/>
      <c r="AV197" s="439"/>
      <c r="AW197" s="443"/>
      <c r="AX197" s="443"/>
      <c r="AY197" s="443"/>
      <c r="AZ197" s="443"/>
      <c r="BA197" s="443"/>
      <c r="BB197" s="443"/>
      <c r="BI197" s="443"/>
      <c r="BJ197" s="443"/>
      <c r="BK197" s="443"/>
      <c r="BL197" s="443"/>
      <c r="BM197" s="443"/>
      <c r="BN197" s="443"/>
      <c r="BO197" s="443"/>
      <c r="BP197" s="443"/>
      <c r="BQ197" s="443"/>
      <c r="BR197" s="443"/>
      <c r="BS197" s="443"/>
      <c r="BT197" s="443"/>
    </row>
    <row r="198" spans="1:72" s="775" customFormat="1" ht="20" outlineLevel="2">
      <c r="A198" s="558" t="s">
        <v>361</v>
      </c>
      <c r="B198" s="355"/>
      <c r="C198" s="355"/>
      <c r="D198" s="1068"/>
      <c r="E198" s="355"/>
      <c r="F198" s="498"/>
      <c r="G198" s="355"/>
      <c r="I198" s="354">
        <f>I199</f>
        <v>212</v>
      </c>
      <c r="J198" s="354">
        <f t="shared" ref="J198:L203" si="225">I198</f>
        <v>212</v>
      </c>
      <c r="K198" s="354">
        <f t="shared" si="225"/>
        <v>212</v>
      </c>
      <c r="L198" s="354">
        <f t="shared" si="225"/>
        <v>212</v>
      </c>
      <c r="M198" s="776"/>
      <c r="N198" s="780"/>
      <c r="O198" s="43"/>
      <c r="P198" s="777">
        <f>I198</f>
        <v>212</v>
      </c>
      <c r="Q198" s="777">
        <f>J198</f>
        <v>212</v>
      </c>
      <c r="R198" s="777">
        <f>K198</f>
        <v>212</v>
      </c>
      <c r="S198" s="777">
        <f>L198</f>
        <v>212</v>
      </c>
      <c r="T198" s="778"/>
      <c r="U198" s="783"/>
      <c r="V198" s="777">
        <f>P198</f>
        <v>212</v>
      </c>
      <c r="W198" s="777">
        <f>Q198</f>
        <v>212</v>
      </c>
      <c r="X198" s="777">
        <f>R198</f>
        <v>212</v>
      </c>
      <c r="Y198" s="777">
        <f>S198</f>
        <v>212</v>
      </c>
      <c r="Z198" s="776"/>
      <c r="AA198" s="780"/>
      <c r="AB198" s="780"/>
      <c r="AC198" s="780"/>
      <c r="AD198" s="780"/>
      <c r="AE198" s="777">
        <f t="shared" ref="AE198:AH205" si="226">V198</f>
        <v>212</v>
      </c>
      <c r="AF198" s="777">
        <f t="shared" si="226"/>
        <v>212</v>
      </c>
      <c r="AG198" s="777">
        <f t="shared" si="226"/>
        <v>212</v>
      </c>
      <c r="AH198" s="777">
        <f t="shared" si="226"/>
        <v>212</v>
      </c>
      <c r="AI198" s="780"/>
      <c r="AJ198" s="845"/>
      <c r="AK198" s="354">
        <f>P198</f>
        <v>212</v>
      </c>
      <c r="AL198" s="354">
        <f>Q198</f>
        <v>212</v>
      </c>
      <c r="AM198" s="354">
        <f>R198</f>
        <v>212</v>
      </c>
      <c r="AN198" s="354">
        <f>S198</f>
        <v>212</v>
      </c>
      <c r="AO198" s="846"/>
      <c r="AP198" s="776"/>
      <c r="AQ198" s="782"/>
      <c r="AR198" s="782"/>
      <c r="AS198" s="782"/>
      <c r="AT198" s="782"/>
      <c r="AU198" s="782"/>
      <c r="AV198" s="782"/>
      <c r="AW198" s="783"/>
      <c r="AX198" s="783"/>
      <c r="AY198" s="783"/>
      <c r="AZ198" s="783"/>
      <c r="BA198" s="783"/>
      <c r="BB198" s="783"/>
      <c r="BI198" s="783"/>
      <c r="BJ198" s="783"/>
      <c r="BK198" s="783"/>
      <c r="BL198" s="783"/>
      <c r="BM198" s="783"/>
      <c r="BN198" s="783"/>
      <c r="BO198" s="783"/>
      <c r="BP198" s="783"/>
      <c r="BQ198" s="783"/>
      <c r="BR198" s="783"/>
      <c r="BS198" s="783"/>
      <c r="BT198" s="783"/>
    </row>
    <row r="199" spans="1:72" s="440" customFormat="1" ht="20" outlineLevel="2">
      <c r="A199" s="161" t="s">
        <v>502</v>
      </c>
      <c r="B199" s="13"/>
      <c r="C199" s="13"/>
      <c r="D199" s="1066"/>
      <c r="E199" s="13"/>
      <c r="F199" s="297"/>
      <c r="G199" s="13"/>
      <c r="I199" s="169">
        <f>I229</f>
        <v>212</v>
      </c>
      <c r="J199" s="169">
        <f t="shared" si="225"/>
        <v>212</v>
      </c>
      <c r="K199" s="169">
        <f t="shared" si="225"/>
        <v>212</v>
      </c>
      <c r="L199" s="169">
        <f t="shared" si="225"/>
        <v>212</v>
      </c>
      <c r="M199" s="520"/>
      <c r="N199" s="442"/>
      <c r="O199" s="443"/>
      <c r="P199" s="169">
        <f>P229</f>
        <v>212</v>
      </c>
      <c r="Q199" s="169">
        <f>Q229</f>
        <v>212</v>
      </c>
      <c r="R199" s="169">
        <f>R229</f>
        <v>212</v>
      </c>
      <c r="S199" s="169">
        <f>S229</f>
        <v>212</v>
      </c>
      <c r="T199" s="543"/>
      <c r="U199" s="443"/>
      <c r="V199" s="169">
        <f>V229</f>
        <v>212</v>
      </c>
      <c r="W199" s="169">
        <f>W229</f>
        <v>212</v>
      </c>
      <c r="X199" s="169">
        <f>X229</f>
        <v>212</v>
      </c>
      <c r="Y199" s="169">
        <f>Y229</f>
        <v>212</v>
      </c>
      <c r="Z199" s="520"/>
      <c r="AA199" s="442"/>
      <c r="AB199" s="442"/>
      <c r="AC199" s="442"/>
      <c r="AD199" s="442"/>
      <c r="AE199" s="169">
        <f t="shared" si="226"/>
        <v>212</v>
      </c>
      <c r="AF199" s="169">
        <f t="shared" si="226"/>
        <v>212</v>
      </c>
      <c r="AG199" s="169">
        <f t="shared" si="226"/>
        <v>212</v>
      </c>
      <c r="AH199" s="169">
        <f t="shared" si="226"/>
        <v>212</v>
      </c>
      <c r="AI199" s="442"/>
      <c r="AJ199" s="843"/>
      <c r="AK199" s="169">
        <f>AE199</f>
        <v>212</v>
      </c>
      <c r="AL199" s="169">
        <f t="shared" ref="AL199:AN199" si="227">AF199</f>
        <v>212</v>
      </c>
      <c r="AM199" s="169">
        <f t="shared" si="227"/>
        <v>212</v>
      </c>
      <c r="AN199" s="169">
        <f t="shared" si="227"/>
        <v>212</v>
      </c>
      <c r="AO199" s="844"/>
      <c r="AP199" s="520"/>
      <c r="AQ199" s="439"/>
      <c r="AR199" s="439"/>
      <c r="AS199" s="439"/>
      <c r="AT199" s="439"/>
      <c r="AU199" s="439"/>
      <c r="AV199" s="439"/>
      <c r="AW199" s="443"/>
      <c r="AX199" s="443"/>
      <c r="AY199" s="443"/>
      <c r="AZ199" s="443"/>
      <c r="BA199" s="443"/>
      <c r="BB199" s="443"/>
      <c r="BI199" s="443"/>
      <c r="BJ199" s="443"/>
      <c r="BK199" s="443"/>
      <c r="BL199" s="443"/>
      <c r="BM199" s="443"/>
      <c r="BN199" s="443"/>
      <c r="BO199" s="443"/>
      <c r="BP199" s="443"/>
      <c r="BQ199" s="443"/>
      <c r="BR199" s="443"/>
      <c r="BS199" s="443"/>
      <c r="BT199" s="443"/>
    </row>
    <row r="200" spans="1:72" s="440" customFormat="1" ht="40" outlineLevel="2">
      <c r="A200" s="161" t="s">
        <v>582</v>
      </c>
      <c r="B200" s="13"/>
      <c r="C200" s="13"/>
      <c r="D200" s="1066"/>
      <c r="E200" s="13"/>
      <c r="F200" s="297"/>
      <c r="G200" s="13"/>
      <c r="I200" s="169">
        <f>2.7*I210</f>
        <v>24.915600000000005</v>
      </c>
      <c r="J200" s="169">
        <f t="shared" si="225"/>
        <v>24.915600000000005</v>
      </c>
      <c r="K200" s="169">
        <f t="shared" si="225"/>
        <v>24.915600000000005</v>
      </c>
      <c r="L200" s="169">
        <f t="shared" si="225"/>
        <v>24.915600000000005</v>
      </c>
      <c r="M200" s="520"/>
      <c r="N200" s="442"/>
      <c r="O200" s="443"/>
      <c r="P200" s="169">
        <f t="shared" ref="P200:P205" si="228">I200</f>
        <v>24.915600000000005</v>
      </c>
      <c r="Q200" s="169">
        <f>P200</f>
        <v>24.915600000000005</v>
      </c>
      <c r="R200" s="169">
        <f t="shared" ref="R200:S202" si="229">Q200</f>
        <v>24.915600000000005</v>
      </c>
      <c r="S200" s="169">
        <f t="shared" si="229"/>
        <v>24.915600000000005</v>
      </c>
      <c r="T200" s="543"/>
      <c r="U200" s="443"/>
      <c r="V200" s="169">
        <f t="shared" ref="V200:V205" si="230">P200</f>
        <v>24.915600000000005</v>
      </c>
      <c r="W200" s="169">
        <f>V200</f>
        <v>24.915600000000005</v>
      </c>
      <c r="X200" s="169">
        <f t="shared" ref="X200:Y202" si="231">W200</f>
        <v>24.915600000000005</v>
      </c>
      <c r="Y200" s="169">
        <f t="shared" si="231"/>
        <v>24.915600000000005</v>
      </c>
      <c r="Z200" s="520"/>
      <c r="AA200" s="442"/>
      <c r="AB200" s="442"/>
      <c r="AC200" s="442"/>
      <c r="AD200" s="442"/>
      <c r="AE200" s="169">
        <f t="shared" si="226"/>
        <v>24.915600000000005</v>
      </c>
      <c r="AF200" s="169">
        <f>AE200</f>
        <v>24.915600000000005</v>
      </c>
      <c r="AG200" s="169">
        <f t="shared" ref="AG200:AH200" si="232">AF200</f>
        <v>24.915600000000005</v>
      </c>
      <c r="AH200" s="169">
        <f t="shared" si="232"/>
        <v>24.915600000000005</v>
      </c>
      <c r="AI200" s="442"/>
      <c r="AJ200" s="843"/>
      <c r="AK200" s="169">
        <f>AE200</f>
        <v>24.915600000000005</v>
      </c>
      <c r="AL200" s="169">
        <f>AK200</f>
        <v>24.915600000000005</v>
      </c>
      <c r="AM200" s="169">
        <f t="shared" ref="AM200:AN200" si="233">AL200</f>
        <v>24.915600000000005</v>
      </c>
      <c r="AN200" s="169">
        <f t="shared" si="233"/>
        <v>24.915600000000005</v>
      </c>
      <c r="AO200" s="844"/>
      <c r="AP200" s="520"/>
      <c r="AQ200" s="439"/>
      <c r="AR200" s="439"/>
      <c r="AS200" s="439"/>
      <c r="AT200" s="439"/>
      <c r="AU200" s="439"/>
      <c r="AV200" s="439"/>
      <c r="AW200" s="443"/>
      <c r="AX200" s="443"/>
      <c r="AY200" s="443"/>
      <c r="AZ200" s="443"/>
      <c r="BA200" s="443"/>
      <c r="BB200" s="443"/>
      <c r="BI200" s="443"/>
      <c r="BJ200" s="443"/>
      <c r="BK200" s="443"/>
      <c r="BL200" s="443"/>
      <c r="BM200" s="443"/>
      <c r="BN200" s="443"/>
      <c r="BO200" s="443"/>
      <c r="BP200" s="443"/>
      <c r="BQ200" s="443"/>
      <c r="BR200" s="443"/>
      <c r="BS200" s="443"/>
      <c r="BT200" s="443"/>
    </row>
    <row r="201" spans="1:72" s="440" customFormat="1" ht="40" outlineLevel="2">
      <c r="A201" s="161" t="s">
        <v>583</v>
      </c>
      <c r="B201" s="13"/>
      <c r="C201" s="13"/>
      <c r="D201" s="1066"/>
      <c r="E201" s="13"/>
      <c r="F201" s="297"/>
      <c r="G201" s="13"/>
      <c r="I201" s="1317">
        <f>2.7*I209</f>
        <v>5.6052000000000008</v>
      </c>
      <c r="J201" s="1317">
        <f t="shared" si="225"/>
        <v>5.6052000000000008</v>
      </c>
      <c r="K201" s="1317">
        <f t="shared" si="225"/>
        <v>5.6052000000000008</v>
      </c>
      <c r="L201" s="1317">
        <f t="shared" si="225"/>
        <v>5.6052000000000008</v>
      </c>
      <c r="M201" s="520"/>
      <c r="N201" s="442"/>
      <c r="O201" s="443"/>
      <c r="P201" s="169">
        <f t="shared" si="228"/>
        <v>5.6052000000000008</v>
      </c>
      <c r="Q201" s="169">
        <f>P201</f>
        <v>5.6052000000000008</v>
      </c>
      <c r="R201" s="169">
        <f t="shared" si="229"/>
        <v>5.6052000000000008</v>
      </c>
      <c r="S201" s="169">
        <f t="shared" si="229"/>
        <v>5.6052000000000008</v>
      </c>
      <c r="T201" s="543"/>
      <c r="U201" s="443"/>
      <c r="V201" s="169">
        <f t="shared" si="230"/>
        <v>5.6052000000000008</v>
      </c>
      <c r="W201" s="169">
        <f>V201</f>
        <v>5.6052000000000008</v>
      </c>
      <c r="X201" s="169">
        <f t="shared" si="231"/>
        <v>5.6052000000000008</v>
      </c>
      <c r="Y201" s="169">
        <f t="shared" si="231"/>
        <v>5.6052000000000008</v>
      </c>
      <c r="Z201" s="520"/>
      <c r="AA201" s="442"/>
      <c r="AB201" s="442"/>
      <c r="AC201" s="442"/>
      <c r="AD201" s="442"/>
      <c r="AE201" s="169">
        <f t="shared" si="226"/>
        <v>5.6052000000000008</v>
      </c>
      <c r="AF201" s="169">
        <f t="shared" ref="AF201:AH202" si="234">AE201</f>
        <v>5.6052000000000008</v>
      </c>
      <c r="AG201" s="169">
        <f t="shared" si="234"/>
        <v>5.6052000000000008</v>
      </c>
      <c r="AH201" s="169">
        <f t="shared" si="234"/>
        <v>5.6052000000000008</v>
      </c>
      <c r="AI201" s="442"/>
      <c r="AJ201" s="843"/>
      <c r="AK201" s="169">
        <f t="shared" ref="AK201:AK202" si="235">AE201</f>
        <v>5.6052000000000008</v>
      </c>
      <c r="AL201" s="169">
        <f t="shared" ref="AL201:AN202" si="236">AK201</f>
        <v>5.6052000000000008</v>
      </c>
      <c r="AM201" s="169">
        <f t="shared" si="236"/>
        <v>5.6052000000000008</v>
      </c>
      <c r="AN201" s="169">
        <f t="shared" si="236"/>
        <v>5.6052000000000008</v>
      </c>
      <c r="AO201" s="844"/>
      <c r="AP201" s="520"/>
      <c r="AQ201" s="439"/>
      <c r="AR201" s="439"/>
      <c r="AS201" s="439"/>
      <c r="AT201" s="439"/>
      <c r="AU201" s="439"/>
      <c r="AV201" s="439"/>
      <c r="AW201" s="443"/>
      <c r="AX201" s="443"/>
      <c r="AY201" s="443"/>
      <c r="AZ201" s="443"/>
      <c r="BA201" s="443"/>
      <c r="BB201" s="443"/>
      <c r="BI201" s="443"/>
      <c r="BJ201" s="443"/>
      <c r="BK201" s="443"/>
      <c r="BL201" s="443"/>
      <c r="BM201" s="443"/>
      <c r="BN201" s="443"/>
      <c r="BO201" s="443"/>
      <c r="BP201" s="443"/>
      <c r="BQ201" s="443"/>
      <c r="BR201" s="443"/>
      <c r="BS201" s="443"/>
      <c r="BT201" s="443"/>
    </row>
    <row r="202" spans="1:72" s="440" customFormat="1" ht="40" outlineLevel="2">
      <c r="A202" s="161" t="s">
        <v>581</v>
      </c>
      <c r="B202" s="13"/>
      <c r="C202" s="13"/>
      <c r="D202" s="1066"/>
      <c r="E202" s="13"/>
      <c r="F202" s="297"/>
      <c r="G202" s="13"/>
      <c r="I202" s="1317">
        <f>2.7*1</f>
        <v>2.7</v>
      </c>
      <c r="J202" s="1317">
        <f t="shared" si="225"/>
        <v>2.7</v>
      </c>
      <c r="K202" s="1317">
        <f t="shared" si="225"/>
        <v>2.7</v>
      </c>
      <c r="L202" s="1317">
        <f t="shared" si="225"/>
        <v>2.7</v>
      </c>
      <c r="M202" s="520"/>
      <c r="N202" s="442"/>
      <c r="O202" s="443"/>
      <c r="P202" s="169">
        <f t="shared" si="228"/>
        <v>2.7</v>
      </c>
      <c r="Q202" s="169">
        <f>P202</f>
        <v>2.7</v>
      </c>
      <c r="R202" s="169">
        <f t="shared" si="229"/>
        <v>2.7</v>
      </c>
      <c r="S202" s="169">
        <f t="shared" si="229"/>
        <v>2.7</v>
      </c>
      <c r="T202" s="543"/>
      <c r="U202" s="443"/>
      <c r="V202" s="169">
        <f t="shared" si="230"/>
        <v>2.7</v>
      </c>
      <c r="W202" s="169">
        <f>V202</f>
        <v>2.7</v>
      </c>
      <c r="X202" s="169">
        <f t="shared" si="231"/>
        <v>2.7</v>
      </c>
      <c r="Y202" s="169">
        <f t="shared" si="231"/>
        <v>2.7</v>
      </c>
      <c r="Z202" s="520"/>
      <c r="AA202" s="442"/>
      <c r="AB202" s="442"/>
      <c r="AC202" s="442"/>
      <c r="AD202" s="442"/>
      <c r="AE202" s="169">
        <f t="shared" si="226"/>
        <v>2.7</v>
      </c>
      <c r="AF202" s="169">
        <f t="shared" si="234"/>
        <v>2.7</v>
      </c>
      <c r="AG202" s="169">
        <f t="shared" si="234"/>
        <v>2.7</v>
      </c>
      <c r="AH202" s="169">
        <f t="shared" si="234"/>
        <v>2.7</v>
      </c>
      <c r="AI202" s="442"/>
      <c r="AJ202" s="843"/>
      <c r="AK202" s="169">
        <f t="shared" si="235"/>
        <v>2.7</v>
      </c>
      <c r="AL202" s="169">
        <f t="shared" si="236"/>
        <v>2.7</v>
      </c>
      <c r="AM202" s="169">
        <f t="shared" si="236"/>
        <v>2.7</v>
      </c>
      <c r="AN202" s="169">
        <f t="shared" si="236"/>
        <v>2.7</v>
      </c>
      <c r="AO202" s="844"/>
      <c r="AP202" s="520"/>
      <c r="AQ202" s="439"/>
      <c r="AR202" s="439"/>
      <c r="AS202" s="439"/>
      <c r="AT202" s="439"/>
      <c r="AU202" s="439"/>
      <c r="AV202" s="439"/>
      <c r="AW202" s="443"/>
      <c r="AX202" s="443"/>
      <c r="AY202" s="443"/>
      <c r="AZ202" s="443"/>
      <c r="BA202" s="443"/>
      <c r="BB202" s="443"/>
      <c r="BI202" s="443"/>
      <c r="BJ202" s="443"/>
      <c r="BK202" s="443"/>
      <c r="BL202" s="443"/>
      <c r="BM202" s="443"/>
      <c r="BN202" s="443"/>
      <c r="BO202" s="443"/>
      <c r="BP202" s="443"/>
      <c r="BQ202" s="443"/>
      <c r="BR202" s="443"/>
      <c r="BS202" s="443"/>
      <c r="BT202" s="443"/>
    </row>
    <row r="203" spans="1:72" s="440" customFormat="1" ht="20" outlineLevel="2">
      <c r="A203" s="161" t="s">
        <v>647</v>
      </c>
      <c r="B203" s="13"/>
      <c r="C203" s="13"/>
      <c r="D203" s="1066"/>
      <c r="E203" s="13"/>
      <c r="F203" s="297"/>
      <c r="G203" s="13"/>
      <c r="I203" s="812">
        <v>0.35</v>
      </c>
      <c r="J203" s="812">
        <f t="shared" si="225"/>
        <v>0.35</v>
      </c>
      <c r="K203" s="812">
        <f t="shared" si="225"/>
        <v>0.35</v>
      </c>
      <c r="L203" s="812">
        <f t="shared" si="225"/>
        <v>0.35</v>
      </c>
      <c r="M203" s="520"/>
      <c r="N203" s="442"/>
      <c r="O203" s="443"/>
      <c r="P203" s="812">
        <f t="shared" si="228"/>
        <v>0.35</v>
      </c>
      <c r="Q203" s="644">
        <f>J203</f>
        <v>0.35</v>
      </c>
      <c r="R203" s="644">
        <f>K203</f>
        <v>0.35</v>
      </c>
      <c r="S203" s="644">
        <f>L203</f>
        <v>0.35</v>
      </c>
      <c r="T203" s="543"/>
      <c r="U203" s="443"/>
      <c r="V203" s="812">
        <f t="shared" si="230"/>
        <v>0.35</v>
      </c>
      <c r="W203" s="644">
        <f>Q203</f>
        <v>0.35</v>
      </c>
      <c r="X203" s="644">
        <f>R203</f>
        <v>0.35</v>
      </c>
      <c r="Y203" s="644">
        <f>S203</f>
        <v>0.35</v>
      </c>
      <c r="Z203" s="520"/>
      <c r="AA203" s="442"/>
      <c r="AB203" s="442"/>
      <c r="AC203" s="442"/>
      <c r="AD203" s="442"/>
      <c r="AE203" s="812">
        <f t="shared" si="226"/>
        <v>0.35</v>
      </c>
      <c r="AF203" s="644">
        <f>W203</f>
        <v>0.35</v>
      </c>
      <c r="AG203" s="644">
        <f t="shared" ref="AG203:AH203" si="237">X203</f>
        <v>0.35</v>
      </c>
      <c r="AH203" s="644">
        <f t="shared" si="237"/>
        <v>0.35</v>
      </c>
      <c r="AI203" s="442"/>
      <c r="AJ203" s="843"/>
      <c r="AK203" s="811">
        <f>AE203</f>
        <v>0.35</v>
      </c>
      <c r="AL203" s="644">
        <f>AF203</f>
        <v>0.35</v>
      </c>
      <c r="AM203" s="644">
        <f t="shared" ref="AM203:AN203" si="238">AG203</f>
        <v>0.35</v>
      </c>
      <c r="AN203" s="644">
        <f t="shared" si="238"/>
        <v>0.35</v>
      </c>
      <c r="AO203" s="844"/>
      <c r="AP203" s="520"/>
      <c r="AQ203" s="439"/>
      <c r="AR203" s="439"/>
      <c r="AS203" s="439"/>
      <c r="AT203" s="439"/>
      <c r="AU203" s="439"/>
      <c r="AV203" s="439"/>
      <c r="AW203" s="443"/>
      <c r="AX203" s="443"/>
      <c r="AY203" s="443"/>
      <c r="AZ203" s="443"/>
      <c r="BA203" s="443"/>
      <c r="BB203" s="443"/>
      <c r="BI203" s="443"/>
      <c r="BJ203" s="443"/>
      <c r="BK203" s="443"/>
      <c r="BL203" s="443"/>
      <c r="BM203" s="443"/>
      <c r="BN203" s="443"/>
      <c r="BO203" s="443"/>
      <c r="BP203" s="443"/>
      <c r="BQ203" s="443"/>
      <c r="BR203" s="443"/>
      <c r="BS203" s="443"/>
      <c r="BT203" s="443"/>
    </row>
    <row r="204" spans="1:72" s="440" customFormat="1" ht="20" outlineLevel="2">
      <c r="A204" s="161" t="s">
        <v>603</v>
      </c>
      <c r="B204" s="13"/>
      <c r="C204" s="13"/>
      <c r="D204" s="1066"/>
      <c r="E204" s="13"/>
      <c r="F204" s="297"/>
      <c r="G204" s="13"/>
      <c r="I204" s="812">
        <f>60%*I203</f>
        <v>0.21</v>
      </c>
      <c r="J204" s="812">
        <f t="shared" ref="J204:L204" si="239">60%*J203</f>
        <v>0.21</v>
      </c>
      <c r="K204" s="812">
        <f t="shared" si="239"/>
        <v>0.21</v>
      </c>
      <c r="L204" s="812">
        <f t="shared" si="239"/>
        <v>0.21</v>
      </c>
      <c r="M204" s="520"/>
      <c r="N204" s="442"/>
      <c r="O204" s="443"/>
      <c r="P204" s="812">
        <f t="shared" si="228"/>
        <v>0.21</v>
      </c>
      <c r="Q204" s="812">
        <f t="shared" ref="Q204:S205" si="240">P204</f>
        <v>0.21</v>
      </c>
      <c r="R204" s="812">
        <f t="shared" si="240"/>
        <v>0.21</v>
      </c>
      <c r="S204" s="812">
        <f t="shared" si="240"/>
        <v>0.21</v>
      </c>
      <c r="T204" s="543"/>
      <c r="U204" s="443"/>
      <c r="V204" s="812">
        <f t="shared" si="230"/>
        <v>0.21</v>
      </c>
      <c r="W204" s="812">
        <f t="shared" ref="W204:Y205" si="241">V204</f>
        <v>0.21</v>
      </c>
      <c r="X204" s="812">
        <f t="shared" si="241"/>
        <v>0.21</v>
      </c>
      <c r="Y204" s="812">
        <f t="shared" si="241"/>
        <v>0.21</v>
      </c>
      <c r="Z204" s="520"/>
      <c r="AA204" s="442"/>
      <c r="AB204" s="442"/>
      <c r="AC204" s="442"/>
      <c r="AD204" s="442"/>
      <c r="AE204" s="812">
        <f t="shared" si="226"/>
        <v>0.21</v>
      </c>
      <c r="AF204" s="812">
        <f t="shared" ref="AF204:AH205" si="242">AE204</f>
        <v>0.21</v>
      </c>
      <c r="AG204" s="812">
        <f t="shared" si="242"/>
        <v>0.21</v>
      </c>
      <c r="AH204" s="812">
        <f t="shared" si="242"/>
        <v>0.21</v>
      </c>
      <c r="AI204" s="442"/>
      <c r="AJ204" s="843"/>
      <c r="AK204" s="811">
        <f>AE204</f>
        <v>0.21</v>
      </c>
      <c r="AL204" s="811">
        <f t="shared" ref="AL204:AN205" si="243">AK204</f>
        <v>0.21</v>
      </c>
      <c r="AM204" s="811">
        <f t="shared" si="243"/>
        <v>0.21</v>
      </c>
      <c r="AN204" s="811">
        <f t="shared" si="243"/>
        <v>0.21</v>
      </c>
      <c r="AO204" s="844"/>
      <c r="AP204" s="520"/>
      <c r="AQ204" s="439"/>
      <c r="AR204" s="439"/>
      <c r="AS204" s="439"/>
      <c r="AT204" s="439"/>
      <c r="AU204" s="439"/>
      <c r="AV204" s="439"/>
      <c r="AW204" s="443"/>
      <c r="AX204" s="443"/>
      <c r="AY204" s="443"/>
      <c r="AZ204" s="443"/>
      <c r="BA204" s="443"/>
      <c r="BB204" s="443"/>
      <c r="BI204" s="443"/>
      <c r="BJ204" s="443"/>
      <c r="BK204" s="443"/>
      <c r="BL204" s="443"/>
      <c r="BM204" s="443"/>
      <c r="BN204" s="443"/>
      <c r="BO204" s="443"/>
      <c r="BP204" s="443"/>
      <c r="BQ204" s="443"/>
      <c r="BR204" s="443"/>
      <c r="BS204" s="443"/>
      <c r="BT204" s="443"/>
    </row>
    <row r="205" spans="1:72" s="440" customFormat="1" ht="20" outlineLevel="2">
      <c r="A205" s="161" t="s">
        <v>597</v>
      </c>
      <c r="B205" s="13"/>
      <c r="C205" s="13"/>
      <c r="D205" s="1066"/>
      <c r="E205" s="13"/>
      <c r="F205" s="297"/>
      <c r="G205" s="13"/>
      <c r="I205" s="812">
        <f>I245</f>
        <v>0.62</v>
      </c>
      <c r="J205" s="812">
        <f>I205</f>
        <v>0.62</v>
      </c>
      <c r="K205" s="812">
        <f t="shared" ref="K205:L205" si="244">J205</f>
        <v>0.62</v>
      </c>
      <c r="L205" s="812">
        <f t="shared" si="244"/>
        <v>0.62</v>
      </c>
      <c r="M205" s="520"/>
      <c r="N205" s="442"/>
      <c r="O205" s="443"/>
      <c r="P205" s="812">
        <f t="shared" si="228"/>
        <v>0.62</v>
      </c>
      <c r="Q205" s="812">
        <f t="shared" si="240"/>
        <v>0.62</v>
      </c>
      <c r="R205" s="812">
        <f t="shared" si="240"/>
        <v>0.62</v>
      </c>
      <c r="S205" s="812">
        <f t="shared" si="240"/>
        <v>0.62</v>
      </c>
      <c r="T205" s="543"/>
      <c r="U205" s="443"/>
      <c r="V205" s="812">
        <f t="shared" si="230"/>
        <v>0.62</v>
      </c>
      <c r="W205" s="812">
        <f t="shared" si="241"/>
        <v>0.62</v>
      </c>
      <c r="X205" s="812">
        <f t="shared" si="241"/>
        <v>0.62</v>
      </c>
      <c r="Y205" s="812">
        <f t="shared" si="241"/>
        <v>0.62</v>
      </c>
      <c r="Z205" s="520"/>
      <c r="AA205" s="442"/>
      <c r="AB205" s="442"/>
      <c r="AC205" s="442"/>
      <c r="AD205" s="442"/>
      <c r="AE205" s="812">
        <f t="shared" si="226"/>
        <v>0.62</v>
      </c>
      <c r="AF205" s="812">
        <f t="shared" si="242"/>
        <v>0.62</v>
      </c>
      <c r="AG205" s="812">
        <f t="shared" si="242"/>
        <v>0.62</v>
      </c>
      <c r="AH205" s="812">
        <f t="shared" si="242"/>
        <v>0.62</v>
      </c>
      <c r="AI205" s="442"/>
      <c r="AJ205" s="843"/>
      <c r="AK205" s="811">
        <f>AE205</f>
        <v>0.62</v>
      </c>
      <c r="AL205" s="811">
        <f t="shared" si="243"/>
        <v>0.62</v>
      </c>
      <c r="AM205" s="811">
        <f t="shared" si="243"/>
        <v>0.62</v>
      </c>
      <c r="AN205" s="811">
        <f t="shared" si="243"/>
        <v>0.62</v>
      </c>
      <c r="AO205" s="844"/>
      <c r="AP205" s="520"/>
      <c r="AQ205" s="439"/>
      <c r="AR205" s="439"/>
      <c r="AS205" s="439"/>
      <c r="AT205" s="439"/>
      <c r="AU205" s="439"/>
      <c r="AV205" s="439"/>
      <c r="AW205" s="443"/>
      <c r="AX205" s="443"/>
      <c r="AY205" s="443"/>
      <c r="AZ205" s="443"/>
      <c r="BA205" s="443"/>
      <c r="BB205" s="443"/>
      <c r="BI205" s="443"/>
      <c r="BJ205" s="443"/>
      <c r="BK205" s="443"/>
      <c r="BL205" s="443"/>
      <c r="BM205" s="443"/>
      <c r="BN205" s="443"/>
      <c r="BO205" s="443"/>
      <c r="BP205" s="443"/>
      <c r="BQ205" s="443"/>
      <c r="BR205" s="443"/>
      <c r="BS205" s="443"/>
      <c r="BT205" s="443"/>
    </row>
    <row r="206" spans="1:72" s="440" customFormat="1" outlineLevel="2">
      <c r="A206" s="13"/>
      <c r="B206" s="13"/>
      <c r="C206" s="13"/>
      <c r="D206" s="1066"/>
      <c r="E206" s="13"/>
      <c r="F206" s="297"/>
      <c r="G206" s="13"/>
      <c r="I206" s="812"/>
      <c r="J206" s="812"/>
      <c r="K206" s="812"/>
      <c r="L206" s="812"/>
      <c r="M206" s="520"/>
      <c r="N206" s="442"/>
      <c r="O206" s="443"/>
      <c r="P206" s="812"/>
      <c r="Q206" s="812"/>
      <c r="R206" s="812"/>
      <c r="S206" s="812"/>
      <c r="T206" s="543"/>
      <c r="U206" s="443"/>
      <c r="V206" s="812"/>
      <c r="W206" s="812"/>
      <c r="X206" s="812"/>
      <c r="Y206" s="812"/>
      <c r="Z206" s="520"/>
      <c r="AA206" s="442"/>
      <c r="AB206" s="442"/>
      <c r="AC206" s="442"/>
      <c r="AD206" s="442"/>
      <c r="AE206" s="812"/>
      <c r="AF206" s="812"/>
      <c r="AG206" s="812"/>
      <c r="AH206" s="812"/>
      <c r="AI206" s="442"/>
      <c r="AJ206" s="843"/>
      <c r="AK206" s="811"/>
      <c r="AL206" s="811"/>
      <c r="AM206" s="811"/>
      <c r="AN206" s="811"/>
      <c r="AO206" s="844"/>
      <c r="AP206" s="520"/>
      <c r="AQ206" s="439"/>
      <c r="AR206" s="439"/>
      <c r="AS206" s="439"/>
      <c r="AT206" s="439"/>
      <c r="AU206" s="439"/>
      <c r="AV206" s="439"/>
      <c r="AW206" s="443"/>
      <c r="AX206" s="443"/>
      <c r="AY206" s="443"/>
      <c r="AZ206" s="443"/>
      <c r="BA206" s="443"/>
      <c r="BB206" s="443"/>
      <c r="BI206" s="443"/>
      <c r="BJ206" s="443"/>
      <c r="BK206" s="443"/>
      <c r="BL206" s="443"/>
      <c r="BM206" s="443"/>
      <c r="BN206" s="443"/>
      <c r="BO206" s="443"/>
      <c r="BP206" s="443"/>
      <c r="BQ206" s="443"/>
      <c r="BR206" s="443"/>
      <c r="BS206" s="443"/>
      <c r="BT206" s="443"/>
    </row>
    <row r="207" spans="1:72" s="440" customFormat="1" ht="20" outlineLevel="2">
      <c r="A207" s="1" t="s">
        <v>584</v>
      </c>
      <c r="B207" s="13"/>
      <c r="C207" s="13"/>
      <c r="D207" s="1066"/>
      <c r="E207" s="13"/>
      <c r="F207" s="297"/>
      <c r="G207" s="13"/>
      <c r="I207" s="812"/>
      <c r="J207" s="812"/>
      <c r="K207" s="812"/>
      <c r="L207" s="812"/>
      <c r="M207" s="520"/>
      <c r="N207" s="442"/>
      <c r="O207" s="443"/>
      <c r="P207" s="812"/>
      <c r="Q207" s="812"/>
      <c r="R207" s="812"/>
      <c r="S207" s="812"/>
      <c r="T207" s="543"/>
      <c r="U207" s="443"/>
      <c r="V207" s="812"/>
      <c r="W207" s="812"/>
      <c r="X207" s="812"/>
      <c r="Y207" s="812"/>
      <c r="Z207" s="520"/>
      <c r="AA207" s="442"/>
      <c r="AB207" s="442"/>
      <c r="AC207" s="442"/>
      <c r="AD207" s="442"/>
      <c r="AE207" s="812"/>
      <c r="AF207" s="812"/>
      <c r="AG207" s="812"/>
      <c r="AH207" s="812"/>
      <c r="AI207" s="442"/>
      <c r="AJ207" s="843"/>
      <c r="AK207" s="811"/>
      <c r="AL207" s="811"/>
      <c r="AM207" s="811"/>
      <c r="AN207" s="811"/>
      <c r="AO207" s="844"/>
      <c r="AP207" s="520"/>
      <c r="AQ207" s="439"/>
      <c r="AR207" s="439"/>
      <c r="AS207" s="439"/>
      <c r="AT207" s="439"/>
      <c r="AU207" s="439"/>
      <c r="AV207" s="439"/>
      <c r="AW207" s="443"/>
      <c r="AX207" s="443"/>
      <c r="AY207" s="443"/>
      <c r="AZ207" s="443"/>
      <c r="BA207" s="443"/>
      <c r="BB207" s="443"/>
      <c r="BI207" s="443"/>
      <c r="BJ207" s="443"/>
      <c r="BK207" s="443"/>
      <c r="BL207" s="443"/>
      <c r="BM207" s="443"/>
      <c r="BN207" s="443"/>
      <c r="BO207" s="443"/>
      <c r="BP207" s="443"/>
      <c r="BQ207" s="443"/>
      <c r="BR207" s="443"/>
      <c r="BS207" s="443"/>
      <c r="BT207" s="443"/>
    </row>
    <row r="208" spans="1:72" s="440" customFormat="1" outlineLevel="2">
      <c r="A208" s="2" t="s">
        <v>577</v>
      </c>
      <c r="B208" s="13"/>
      <c r="C208" s="13"/>
      <c r="D208" s="1066"/>
      <c r="E208" s="13"/>
      <c r="F208" s="297"/>
      <c r="G208" s="13"/>
      <c r="I208" s="939">
        <f>I241+(I241/100*20)</f>
        <v>1.8</v>
      </c>
      <c r="J208" s="1143">
        <f>I208</f>
        <v>1.8</v>
      </c>
      <c r="K208" s="1143">
        <f t="shared" ref="K208:L208" si="245">J208</f>
        <v>1.8</v>
      </c>
      <c r="L208" s="1143">
        <f t="shared" si="245"/>
        <v>1.8</v>
      </c>
      <c r="M208" s="520"/>
      <c r="N208" s="442"/>
      <c r="O208" s="443"/>
      <c r="P208" s="1143">
        <f>I208</f>
        <v>1.8</v>
      </c>
      <c r="Q208" s="1143">
        <f>P208</f>
        <v>1.8</v>
      </c>
      <c r="R208" s="1143">
        <f t="shared" ref="R208:S208" si="246">Q208</f>
        <v>1.8</v>
      </c>
      <c r="S208" s="1143">
        <f t="shared" si="246"/>
        <v>1.8</v>
      </c>
      <c r="T208" s="543"/>
      <c r="U208" s="443"/>
      <c r="V208" s="1144">
        <f>P208</f>
        <v>1.8</v>
      </c>
      <c r="W208" s="1144">
        <f>Q208</f>
        <v>1.8</v>
      </c>
      <c r="X208" s="1144">
        <f t="shared" ref="X208:Y210" si="247">R208</f>
        <v>1.8</v>
      </c>
      <c r="Y208" s="1144">
        <f t="shared" si="247"/>
        <v>1.8</v>
      </c>
      <c r="Z208" s="520"/>
      <c r="AA208" s="442"/>
      <c r="AB208" s="442"/>
      <c r="AC208" s="442"/>
      <c r="AD208" s="442"/>
      <c r="AE208" s="1143">
        <f>V208</f>
        <v>1.8</v>
      </c>
      <c r="AF208" s="1143">
        <f t="shared" ref="AF208:AH210" si="248">W208</f>
        <v>1.8</v>
      </c>
      <c r="AG208" s="1143">
        <f t="shared" si="248"/>
        <v>1.8</v>
      </c>
      <c r="AH208" s="1143">
        <f t="shared" si="248"/>
        <v>1.8</v>
      </c>
      <c r="AI208" s="442"/>
      <c r="AJ208" s="843"/>
      <c r="AK208" s="1146">
        <f>AE208</f>
        <v>1.8</v>
      </c>
      <c r="AL208" s="1146">
        <f>AK208</f>
        <v>1.8</v>
      </c>
      <c r="AM208" s="1146">
        <f t="shared" ref="AM208:AN208" si="249">AL208</f>
        <v>1.8</v>
      </c>
      <c r="AN208" s="1146">
        <f t="shared" si="249"/>
        <v>1.8</v>
      </c>
      <c r="AO208" s="844"/>
      <c r="AP208" s="520"/>
      <c r="AQ208" s="439"/>
      <c r="AR208" s="439"/>
      <c r="AS208" s="439"/>
      <c r="AT208" s="439"/>
      <c r="AU208" s="439"/>
      <c r="AV208" s="439"/>
      <c r="AW208" s="443"/>
      <c r="AX208" s="443"/>
      <c r="AY208" s="443"/>
      <c r="AZ208" s="443"/>
      <c r="BA208" s="443"/>
      <c r="BB208" s="443"/>
      <c r="BI208" s="443"/>
      <c r="BJ208" s="443"/>
      <c r="BK208" s="443"/>
      <c r="BL208" s="443"/>
      <c r="BM208" s="443"/>
      <c r="BN208" s="443"/>
      <c r="BO208" s="443"/>
      <c r="BP208" s="443"/>
      <c r="BQ208" s="443"/>
      <c r="BR208" s="443"/>
      <c r="BS208" s="443"/>
      <c r="BT208" s="443"/>
    </row>
    <row r="209" spans="1:72" s="440" customFormat="1" outlineLevel="2">
      <c r="A209" s="2" t="s">
        <v>578</v>
      </c>
      <c r="B209" s="13"/>
      <c r="C209" s="13"/>
      <c r="D209" s="1066"/>
      <c r="E209" s="13"/>
      <c r="F209" s="297"/>
      <c r="G209" s="13"/>
      <c r="I209" s="939">
        <f>I242+(I242/100*20)</f>
        <v>2.0760000000000001</v>
      </c>
      <c r="J209" s="1143">
        <f t="shared" ref="J209:L210" si="250">I209</f>
        <v>2.0760000000000001</v>
      </c>
      <c r="K209" s="1143">
        <f t="shared" si="250"/>
        <v>2.0760000000000001</v>
      </c>
      <c r="L209" s="1143">
        <f t="shared" si="250"/>
        <v>2.0760000000000001</v>
      </c>
      <c r="M209" s="520"/>
      <c r="N209" s="442"/>
      <c r="O209" s="443"/>
      <c r="P209" s="1143">
        <f t="shared" ref="P209:P210" si="251">I209</f>
        <v>2.0760000000000001</v>
      </c>
      <c r="Q209" s="1143">
        <f t="shared" ref="Q209:S212" si="252">P209</f>
        <v>2.0760000000000001</v>
      </c>
      <c r="R209" s="1143">
        <f t="shared" si="252"/>
        <v>2.0760000000000001</v>
      </c>
      <c r="S209" s="1143">
        <f t="shared" si="252"/>
        <v>2.0760000000000001</v>
      </c>
      <c r="T209" s="543"/>
      <c r="U209" s="443"/>
      <c r="V209" s="1144">
        <f t="shared" ref="V209:W210" si="253">P209</f>
        <v>2.0760000000000001</v>
      </c>
      <c r="W209" s="1144">
        <f t="shared" si="253"/>
        <v>2.0760000000000001</v>
      </c>
      <c r="X209" s="1144">
        <f t="shared" si="247"/>
        <v>2.0760000000000001</v>
      </c>
      <c r="Y209" s="1144">
        <f t="shared" si="247"/>
        <v>2.0760000000000001</v>
      </c>
      <c r="Z209" s="520"/>
      <c r="AA209" s="442"/>
      <c r="AB209" s="442"/>
      <c r="AC209" s="442"/>
      <c r="AD209" s="442"/>
      <c r="AE209" s="1143">
        <f t="shared" ref="AE209:AE210" si="254">V209</f>
        <v>2.0760000000000001</v>
      </c>
      <c r="AF209" s="1143">
        <f t="shared" si="248"/>
        <v>2.0760000000000001</v>
      </c>
      <c r="AG209" s="1143">
        <f t="shared" si="248"/>
        <v>2.0760000000000001</v>
      </c>
      <c r="AH209" s="1143">
        <f t="shared" si="248"/>
        <v>2.0760000000000001</v>
      </c>
      <c r="AI209" s="442"/>
      <c r="AJ209" s="843"/>
      <c r="AK209" s="1146">
        <f t="shared" ref="AK209:AK210" si="255">AE209</f>
        <v>2.0760000000000001</v>
      </c>
      <c r="AL209" s="1146">
        <f t="shared" ref="AL209:AN210" si="256">AK209</f>
        <v>2.0760000000000001</v>
      </c>
      <c r="AM209" s="1146">
        <f t="shared" si="256"/>
        <v>2.0760000000000001</v>
      </c>
      <c r="AN209" s="1146">
        <f t="shared" si="256"/>
        <v>2.0760000000000001</v>
      </c>
      <c r="AO209" s="844"/>
      <c r="AP209" s="520"/>
      <c r="AQ209" s="439"/>
      <c r="AR209" s="439"/>
      <c r="AS209" s="439"/>
      <c r="AT209" s="439"/>
      <c r="AU209" s="439"/>
      <c r="AV209" s="439"/>
      <c r="AW209" s="443"/>
      <c r="AX209" s="443"/>
      <c r="AY209" s="443"/>
      <c r="AZ209" s="443"/>
      <c r="BA209" s="443"/>
      <c r="BB209" s="443"/>
      <c r="BI209" s="443"/>
      <c r="BJ209" s="443"/>
      <c r="BK209" s="443"/>
      <c r="BL209" s="443"/>
      <c r="BM209" s="443"/>
      <c r="BN209" s="443"/>
      <c r="BO209" s="443"/>
      <c r="BP209" s="443"/>
      <c r="BQ209" s="443"/>
      <c r="BR209" s="443"/>
      <c r="BS209" s="443"/>
      <c r="BT209" s="443"/>
    </row>
    <row r="210" spans="1:72" s="440" customFormat="1" outlineLevel="2">
      <c r="A210" s="2" t="s">
        <v>579</v>
      </c>
      <c r="B210" s="13"/>
      <c r="C210" s="13"/>
      <c r="D210" s="1066"/>
      <c r="E210" s="13"/>
      <c r="F210" s="297"/>
      <c r="G210" s="13"/>
      <c r="I210" s="939">
        <f>I243+(I243/100*20)</f>
        <v>9.2280000000000015</v>
      </c>
      <c r="J210" s="1143">
        <f t="shared" si="250"/>
        <v>9.2280000000000015</v>
      </c>
      <c r="K210" s="1143">
        <f t="shared" si="250"/>
        <v>9.2280000000000015</v>
      </c>
      <c r="L210" s="1143">
        <f t="shared" si="250"/>
        <v>9.2280000000000015</v>
      </c>
      <c r="M210" s="520"/>
      <c r="N210" s="442"/>
      <c r="O210" s="443"/>
      <c r="P210" s="1143">
        <f t="shared" si="251"/>
        <v>9.2280000000000015</v>
      </c>
      <c r="Q210" s="1143">
        <f t="shared" si="252"/>
        <v>9.2280000000000015</v>
      </c>
      <c r="R210" s="1143">
        <f t="shared" si="252"/>
        <v>9.2280000000000015</v>
      </c>
      <c r="S210" s="1143">
        <f t="shared" si="252"/>
        <v>9.2280000000000015</v>
      </c>
      <c r="T210" s="543"/>
      <c r="U210" s="443"/>
      <c r="V210" s="1144">
        <f t="shared" si="253"/>
        <v>9.2280000000000015</v>
      </c>
      <c r="W210" s="1144">
        <f t="shared" si="253"/>
        <v>9.2280000000000015</v>
      </c>
      <c r="X210" s="1144">
        <f t="shared" si="247"/>
        <v>9.2280000000000015</v>
      </c>
      <c r="Y210" s="1144">
        <f t="shared" si="247"/>
        <v>9.2280000000000015</v>
      </c>
      <c r="Z210" s="520"/>
      <c r="AA210" s="442"/>
      <c r="AB210" s="442"/>
      <c r="AC210" s="442"/>
      <c r="AD210" s="442"/>
      <c r="AE210" s="1143">
        <f t="shared" si="254"/>
        <v>9.2280000000000015</v>
      </c>
      <c r="AF210" s="1143">
        <f t="shared" si="248"/>
        <v>9.2280000000000015</v>
      </c>
      <c r="AG210" s="1143">
        <f t="shared" si="248"/>
        <v>9.2280000000000015</v>
      </c>
      <c r="AH210" s="1143">
        <f t="shared" si="248"/>
        <v>9.2280000000000015</v>
      </c>
      <c r="AI210" s="442"/>
      <c r="AJ210" s="843"/>
      <c r="AK210" s="1146">
        <f t="shared" si="255"/>
        <v>9.2280000000000015</v>
      </c>
      <c r="AL210" s="1146">
        <f t="shared" si="256"/>
        <v>9.2280000000000015</v>
      </c>
      <c r="AM210" s="1146">
        <f t="shared" si="256"/>
        <v>9.2280000000000015</v>
      </c>
      <c r="AN210" s="1146">
        <f t="shared" si="256"/>
        <v>9.2280000000000015</v>
      </c>
      <c r="AO210" s="844"/>
      <c r="AP210" s="520"/>
      <c r="AQ210" s="439"/>
      <c r="AR210" s="439"/>
      <c r="AS210" s="439"/>
      <c r="AT210" s="439"/>
      <c r="AU210" s="439"/>
      <c r="AV210" s="439"/>
      <c r="AW210" s="443"/>
      <c r="AX210" s="443"/>
      <c r="AY210" s="443"/>
      <c r="AZ210" s="443"/>
      <c r="BA210" s="443"/>
      <c r="BB210" s="443"/>
      <c r="BI210" s="443"/>
      <c r="BJ210" s="443"/>
      <c r="BK210" s="443"/>
      <c r="BL210" s="443"/>
      <c r="BM210" s="443"/>
      <c r="BN210" s="443"/>
      <c r="BO210" s="443"/>
      <c r="BP210" s="443"/>
      <c r="BQ210" s="443"/>
      <c r="BR210" s="443"/>
      <c r="BS210" s="443"/>
      <c r="BT210" s="443"/>
    </row>
    <row r="211" spans="1:72" s="440" customFormat="1" ht="20" outlineLevel="2">
      <c r="A211" s="87" t="s">
        <v>761</v>
      </c>
      <c r="B211" s="423"/>
      <c r="C211" s="1"/>
      <c r="D211" s="1057"/>
      <c r="E211" s="1"/>
      <c r="F211" s="295"/>
      <c r="G211" s="1"/>
      <c r="H211" s="2"/>
      <c r="I211" s="1365">
        <f>I212*I213</f>
        <v>10447.838225909381</v>
      </c>
      <c r="J211" s="1365">
        <f t="shared" ref="J211:L211" si="257">J212*J213</f>
        <v>4364.2868538608809</v>
      </c>
      <c r="K211" s="1365">
        <f t="shared" si="257"/>
        <v>240.6970325462668</v>
      </c>
      <c r="L211" s="1365">
        <f t="shared" si="257"/>
        <v>489.99038768347157</v>
      </c>
      <c r="M211" s="299">
        <f>SUM(I211:L211)</f>
        <v>15542.812500000002</v>
      </c>
      <c r="N211" s="442"/>
      <c r="O211" s="443"/>
      <c r="P211" s="1365">
        <f>P212*P213</f>
        <v>10447.838225909381</v>
      </c>
      <c r="Q211" s="1365">
        <f t="shared" ref="Q211:S211" si="258">Q212*Q213</f>
        <v>4364.2868538608809</v>
      </c>
      <c r="R211" s="1365">
        <f t="shared" si="258"/>
        <v>240.6970325462668</v>
      </c>
      <c r="S211" s="1365">
        <f t="shared" si="258"/>
        <v>489.99038768347157</v>
      </c>
      <c r="T211" s="299">
        <f>SUM(P211:S211)</f>
        <v>15542.812500000002</v>
      </c>
      <c r="U211" s="443"/>
      <c r="V211" s="1365">
        <f>V212*V213</f>
        <v>10447.838225909381</v>
      </c>
      <c r="W211" s="1365">
        <f t="shared" ref="W211:Y211" si="259">W212*W213</f>
        <v>4364.2868538608809</v>
      </c>
      <c r="X211" s="1365">
        <f t="shared" si="259"/>
        <v>240.6970325462668</v>
      </c>
      <c r="Y211" s="1365">
        <f t="shared" si="259"/>
        <v>489.99038768347157</v>
      </c>
      <c r="Z211" s="299">
        <f>SUM(V211:Y211)</f>
        <v>15542.812500000002</v>
      </c>
      <c r="AA211" s="442"/>
      <c r="AB211" s="442"/>
      <c r="AC211" s="442"/>
      <c r="AD211" s="299"/>
      <c r="AE211" s="1365">
        <f>AE212*AE213</f>
        <v>9268.0491205227881</v>
      </c>
      <c r="AF211" s="1365">
        <f t="shared" ref="AF211:AH211" si="260">AF212*AF213</f>
        <v>3603.7497102330244</v>
      </c>
      <c r="AG211" s="1365">
        <f t="shared" si="260"/>
        <v>206.97111495946433</v>
      </c>
      <c r="AH211" s="1365">
        <f t="shared" si="260"/>
        <v>421.33405545319516</v>
      </c>
      <c r="AI211" s="299">
        <f>SUM(AE211:AH211)</f>
        <v>13500.104001168471</v>
      </c>
      <c r="AJ211" s="843"/>
      <c r="AK211" s="1365">
        <f>AK212*AK213</f>
        <v>1179.7891053865922</v>
      </c>
      <c r="AL211" s="1365">
        <f t="shared" ref="AL211:AN211" si="261">AL212*AL213</f>
        <v>760.53714362785581</v>
      </c>
      <c r="AM211" s="1365">
        <f t="shared" si="261"/>
        <v>33.725917586802424</v>
      </c>
      <c r="AN211" s="1365">
        <f t="shared" si="261"/>
        <v>68.656332230276377</v>
      </c>
      <c r="AO211" s="299">
        <f>SUM(AK211:AN211)</f>
        <v>2042.7084988315266</v>
      </c>
      <c r="AP211" s="299">
        <f>AI211+AO211</f>
        <v>15542.812499999998</v>
      </c>
      <c r="AQ211" s="439"/>
      <c r="AR211" s="439"/>
      <c r="AS211" s="439"/>
      <c r="AT211" s="439"/>
      <c r="AU211" s="439"/>
      <c r="AV211" s="439"/>
      <c r="AW211" s="443"/>
      <c r="AX211" s="443"/>
      <c r="AY211" s="443"/>
      <c r="AZ211" s="443"/>
      <c r="BA211" s="443"/>
      <c r="BB211" s="443"/>
      <c r="BI211" s="443"/>
      <c r="BJ211" s="443"/>
      <c r="BK211" s="443"/>
      <c r="BL211" s="443"/>
      <c r="BM211" s="443"/>
      <c r="BN211" s="443"/>
      <c r="BO211" s="443"/>
      <c r="BP211" s="443"/>
      <c r="BQ211" s="443"/>
      <c r="BR211" s="443"/>
      <c r="BS211" s="443"/>
      <c r="BT211" s="443"/>
    </row>
    <row r="212" spans="1:72" s="440" customFormat="1" ht="20" outlineLevel="2">
      <c r="A212" s="87" t="s">
        <v>605</v>
      </c>
      <c r="B212" s="13"/>
      <c r="C212" s="13"/>
      <c r="D212" s="1066"/>
      <c r="E212" s="13"/>
      <c r="F212" s="297"/>
      <c r="G212" s="13"/>
      <c r="I212" s="154">
        <v>15542.8125</v>
      </c>
      <c r="J212" s="1145">
        <f t="shared" ref="J212:L212" si="262">I212</f>
        <v>15542.8125</v>
      </c>
      <c r="K212" s="1145">
        <f t="shared" si="262"/>
        <v>15542.8125</v>
      </c>
      <c r="L212" s="1145">
        <f t="shared" si="262"/>
        <v>15542.8125</v>
      </c>
      <c r="M212" s="520" t="s">
        <v>762</v>
      </c>
      <c r="N212" s="442"/>
      <c r="O212" s="443"/>
      <c r="P212" s="154">
        <v>15542.8125</v>
      </c>
      <c r="Q212" s="1145">
        <f t="shared" si="252"/>
        <v>15542.8125</v>
      </c>
      <c r="R212" s="1145">
        <f t="shared" si="252"/>
        <v>15542.8125</v>
      </c>
      <c r="S212" s="1145">
        <f t="shared" si="252"/>
        <v>15542.8125</v>
      </c>
      <c r="T212" s="543"/>
      <c r="U212" s="443"/>
      <c r="V212" s="154">
        <v>15542.8125</v>
      </c>
      <c r="W212" s="1145">
        <f t="shared" ref="W212:Y212" si="263">V212</f>
        <v>15542.8125</v>
      </c>
      <c r="X212" s="1145">
        <f t="shared" si="263"/>
        <v>15542.8125</v>
      </c>
      <c r="Y212" s="1145">
        <f t="shared" si="263"/>
        <v>15542.8125</v>
      </c>
      <c r="Z212" s="520"/>
      <c r="AA212" s="442"/>
      <c r="AB212" s="442"/>
      <c r="AC212" s="442"/>
      <c r="AD212" s="442"/>
      <c r="AE212" s="1145">
        <f>V212*$AI$212</f>
        <v>13500.104001168473</v>
      </c>
      <c r="AF212" s="1145">
        <f>W212*$AI$212</f>
        <v>13500.104001168473</v>
      </c>
      <c r="AG212" s="1145">
        <f>X212*$AI$212</f>
        <v>13500.104001168473</v>
      </c>
      <c r="AH212" s="1145">
        <f>Y212*$AI$212</f>
        <v>13500.104001168473</v>
      </c>
      <c r="AI212" s="812">
        <f>AI7/AP7</f>
        <v>0.86857536248143463</v>
      </c>
      <c r="AJ212" s="843"/>
      <c r="AK212" s="1148">
        <f>V212*$AO$212</f>
        <v>2042.7084988315269</v>
      </c>
      <c r="AL212" s="1148">
        <f>W212*$AO$212</f>
        <v>2042.7084988315269</v>
      </c>
      <c r="AM212" s="1148">
        <f>X212*$AO$212</f>
        <v>2042.7084988315269</v>
      </c>
      <c r="AN212" s="1148">
        <f>Y212*$AO$212</f>
        <v>2042.7084988315269</v>
      </c>
      <c r="AO212" s="1147">
        <f>100%-AI212</f>
        <v>0.13142463751856537</v>
      </c>
      <c r="AP212" s="520"/>
      <c r="AQ212" s="439"/>
      <c r="AR212" s="439"/>
      <c r="AS212" s="439"/>
      <c r="AT212" s="439"/>
      <c r="AU212" s="439"/>
      <c r="AV212" s="439"/>
      <c r="AW212" s="443"/>
      <c r="AX212" s="443"/>
      <c r="AY212" s="443"/>
      <c r="AZ212" s="443"/>
      <c r="BA212" s="443"/>
      <c r="BB212" s="443"/>
      <c r="BI212" s="443"/>
      <c r="BJ212" s="443"/>
      <c r="BK212" s="443"/>
      <c r="BL212" s="443"/>
      <c r="BM212" s="443"/>
      <c r="BN212" s="443"/>
      <c r="BO212" s="443"/>
      <c r="BP212" s="443"/>
      <c r="BQ212" s="443"/>
      <c r="BR212" s="443"/>
      <c r="BS212" s="443"/>
      <c r="BT212" s="443"/>
    </row>
    <row r="213" spans="1:72" s="440" customFormat="1" outlineLevel="2">
      <c r="B213" s="13"/>
      <c r="C213" s="13"/>
      <c r="D213" s="1066"/>
      <c r="E213" s="13"/>
      <c r="F213" s="297"/>
      <c r="G213" s="13"/>
      <c r="I213" s="812">
        <f>I5/$M5</f>
        <v>0.6721974048074878</v>
      </c>
      <c r="J213" s="812">
        <f>J5/$M5</f>
        <v>0.28079132099553289</v>
      </c>
      <c r="K213" s="812">
        <f>K5/$M5</f>
        <v>1.5486066794299088E-2</v>
      </c>
      <c r="L213" s="812">
        <f>L5/$M5</f>
        <v>3.1525207402680278E-2</v>
      </c>
      <c r="M213" s="520"/>
      <c r="N213" s="442"/>
      <c r="O213" s="443"/>
      <c r="P213" s="812">
        <f>P5/$T5</f>
        <v>0.6721974048074878</v>
      </c>
      <c r="Q213" s="812">
        <f>Q5/$T5</f>
        <v>0.28079132099553289</v>
      </c>
      <c r="R213" s="812">
        <f>R5/$T5</f>
        <v>1.5486066794299088E-2</v>
      </c>
      <c r="S213" s="812">
        <f>S5/$T5</f>
        <v>3.1525207402680278E-2</v>
      </c>
      <c r="T213" s="543"/>
      <c r="U213" s="443"/>
      <c r="V213" s="812">
        <f>V5/$Z5</f>
        <v>0.6721974048074878</v>
      </c>
      <c r="W213" s="812">
        <f>W5/$Z5</f>
        <v>0.28079132099553289</v>
      </c>
      <c r="X213" s="812">
        <f>X5/$Z5</f>
        <v>1.5486066794299088E-2</v>
      </c>
      <c r="Y213" s="812">
        <f>Y5/$Z5</f>
        <v>3.1525207402680278E-2</v>
      </c>
      <c r="Z213" s="520"/>
      <c r="AA213" s="442"/>
      <c r="AB213" s="442"/>
      <c r="AC213" s="442"/>
      <c r="AD213" s="442"/>
      <c r="AE213" s="812">
        <f>AE5/$AI5</f>
        <v>0.68651686829380065</v>
      </c>
      <c r="AF213" s="812">
        <f>AF5/$AI5</f>
        <v>0.26694236651222164</v>
      </c>
      <c r="AG213" s="812">
        <f>AG5/$AI5</f>
        <v>1.5331075593310274E-2</v>
      </c>
      <c r="AH213" s="812">
        <f>AH5/$AI5</f>
        <v>3.1209689600667334E-2</v>
      </c>
      <c r="AI213" s="442"/>
      <c r="AJ213" s="843"/>
      <c r="AK213" s="812">
        <f>AK5/$AO5</f>
        <v>0.5775611674702763</v>
      </c>
      <c r="AL213" s="812">
        <f>AL5/$AO5</f>
        <v>0.3723180003720058</v>
      </c>
      <c r="AM213" s="812">
        <f>AM5/$AO5</f>
        <v>1.6510391769601181E-2</v>
      </c>
      <c r="AN213" s="812">
        <f>AN5/$AO5</f>
        <v>3.3610440388116697E-2</v>
      </c>
      <c r="AO213" s="844"/>
      <c r="AP213" s="520"/>
      <c r="AQ213" s="439"/>
      <c r="AR213" s="439"/>
      <c r="AS213" s="439"/>
      <c r="AT213" s="439"/>
      <c r="AU213" s="439"/>
      <c r="AV213" s="439"/>
      <c r="AW213" s="443"/>
      <c r="AX213" s="443"/>
      <c r="AY213" s="443"/>
      <c r="AZ213" s="443"/>
      <c r="BA213" s="443"/>
      <c r="BB213" s="443"/>
      <c r="BI213" s="443"/>
      <c r="BJ213" s="443"/>
      <c r="BK213" s="443"/>
      <c r="BL213" s="443"/>
      <c r="BM213" s="443"/>
      <c r="BN213" s="443"/>
      <c r="BO213" s="443"/>
      <c r="BP213" s="443"/>
      <c r="BQ213" s="443"/>
      <c r="BR213" s="443"/>
      <c r="BS213" s="443"/>
      <c r="BT213" s="443"/>
    </row>
    <row r="214" spans="1:72" s="425" customFormat="1" ht="40" outlineLevel="2">
      <c r="A214" s="558" t="s">
        <v>356</v>
      </c>
      <c r="B214" s="355"/>
      <c r="C214" s="355"/>
      <c r="D214" s="1068"/>
      <c r="E214" s="355"/>
      <c r="F214" s="498"/>
      <c r="G214" s="355"/>
      <c r="H214" s="452"/>
      <c r="I214" s="438">
        <f>I225</f>
        <v>1600</v>
      </c>
      <c r="J214" s="354">
        <f>I214</f>
        <v>1600</v>
      </c>
      <c r="K214" s="354">
        <f t="shared" ref="K214:L214" si="264">J214</f>
        <v>1600</v>
      </c>
      <c r="L214" s="354">
        <f t="shared" si="264"/>
        <v>1600</v>
      </c>
      <c r="M214" s="498"/>
      <c r="N214" s="355"/>
      <c r="O214" s="463"/>
      <c r="P214" s="361">
        <v>0</v>
      </c>
      <c r="Q214" s="361">
        <f>P214</f>
        <v>0</v>
      </c>
      <c r="R214" s="361">
        <f t="shared" ref="R214:S214" si="265">Q214</f>
        <v>0</v>
      </c>
      <c r="S214" s="361">
        <f t="shared" si="265"/>
        <v>0</v>
      </c>
      <c r="T214" s="503"/>
      <c r="U214" s="43"/>
      <c r="V214" s="361">
        <v>0</v>
      </c>
      <c r="W214" s="361">
        <f>V214</f>
        <v>0</v>
      </c>
      <c r="X214" s="361">
        <f t="shared" ref="X214:Y214" si="266">W214</f>
        <v>0</v>
      </c>
      <c r="Y214" s="361">
        <f t="shared" si="266"/>
        <v>0</v>
      </c>
      <c r="Z214" s="1316"/>
      <c r="AA214" s="361"/>
      <c r="AB214" s="361"/>
      <c r="AC214" s="361"/>
      <c r="AD214" s="355"/>
      <c r="AE214" s="361">
        <v>0</v>
      </c>
      <c r="AF214" s="361">
        <f>AE214</f>
        <v>0</v>
      </c>
      <c r="AG214" s="361">
        <f t="shared" ref="AG214:AI214" si="267">AF214</f>
        <v>0</v>
      </c>
      <c r="AH214" s="361">
        <f t="shared" si="267"/>
        <v>0</v>
      </c>
      <c r="AI214" s="361">
        <f t="shared" si="267"/>
        <v>0</v>
      </c>
      <c r="AJ214" s="820"/>
      <c r="AK214" s="361">
        <f>P214</f>
        <v>0</v>
      </c>
      <c r="AL214" s="361">
        <f>Q214</f>
        <v>0</v>
      </c>
      <c r="AM214" s="361">
        <f>R214</f>
        <v>0</v>
      </c>
      <c r="AN214" s="361">
        <f>S214</f>
        <v>0</v>
      </c>
      <c r="AO214" s="821"/>
      <c r="AP214" s="498"/>
      <c r="AQ214" s="355"/>
      <c r="AR214" s="355"/>
      <c r="AS214" s="355"/>
      <c r="AT214" s="355"/>
      <c r="AU214" s="355"/>
      <c r="AV214" s="355"/>
      <c r="AW214" s="43"/>
      <c r="AX214" s="43"/>
      <c r="AY214" s="43"/>
      <c r="AZ214" s="43"/>
      <c r="BA214" s="43"/>
      <c r="BB214" s="43"/>
      <c r="BI214" s="463" t="s">
        <v>141</v>
      </c>
      <c r="BJ214" s="43"/>
      <c r="BK214" s="43"/>
      <c r="BL214" s="43"/>
      <c r="BM214" s="43"/>
      <c r="BN214" s="43"/>
      <c r="BO214" s="43" t="s">
        <v>33</v>
      </c>
      <c r="BP214" s="43"/>
      <c r="BQ214" s="43"/>
      <c r="BR214" s="43"/>
      <c r="BS214" s="43"/>
      <c r="BT214" s="43"/>
    </row>
    <row r="215" spans="1:72" s="440" customFormat="1" outlineLevel="2">
      <c r="A215" s="161"/>
      <c r="B215" s="13"/>
      <c r="C215" s="13"/>
      <c r="D215" s="1066"/>
      <c r="E215" s="13"/>
      <c r="F215" s="297"/>
      <c r="G215" s="13"/>
      <c r="I215" s="812"/>
      <c r="J215" s="442"/>
      <c r="K215" s="442"/>
      <c r="L215" s="442"/>
      <c r="M215" s="520"/>
      <c r="N215" s="442"/>
      <c r="O215" s="443"/>
      <c r="P215" s="443"/>
      <c r="Q215" s="443"/>
      <c r="R215" s="443"/>
      <c r="S215" s="443"/>
      <c r="T215" s="543"/>
      <c r="U215" s="443"/>
      <c r="V215" s="442"/>
      <c r="W215" s="442"/>
      <c r="X215" s="442"/>
      <c r="Y215" s="442"/>
      <c r="Z215" s="520"/>
      <c r="AA215" s="442"/>
      <c r="AB215" s="442"/>
      <c r="AC215" s="442"/>
      <c r="AD215" s="442"/>
      <c r="AE215" s="442"/>
      <c r="AF215" s="442"/>
      <c r="AG215" s="442"/>
      <c r="AH215" s="442"/>
      <c r="AI215" s="442"/>
      <c r="AJ215" s="843"/>
      <c r="AK215" s="442"/>
      <c r="AL215" s="442"/>
      <c r="AM215" s="442"/>
      <c r="AN215" s="442"/>
      <c r="AO215" s="844"/>
      <c r="AP215" s="520"/>
      <c r="AQ215" s="439"/>
      <c r="AR215" s="439"/>
      <c r="AS215" s="439"/>
      <c r="AT215" s="439"/>
      <c r="AU215" s="439"/>
      <c r="AV215" s="439"/>
      <c r="AW215" s="443"/>
      <c r="AX215" s="443"/>
      <c r="AY215" s="443"/>
      <c r="AZ215" s="443"/>
      <c r="BA215" s="443"/>
      <c r="BB215" s="443"/>
      <c r="BI215" s="443"/>
      <c r="BJ215" s="443"/>
      <c r="BK215" s="443"/>
      <c r="BL215" s="443"/>
      <c r="BM215" s="443"/>
      <c r="BN215" s="443"/>
      <c r="BO215" s="443"/>
      <c r="BP215" s="443"/>
      <c r="BQ215" s="443"/>
      <c r="BR215" s="443"/>
      <c r="BS215" s="443"/>
      <c r="BT215" s="443"/>
    </row>
    <row r="216" spans="1:72" s="440" customFormat="1" outlineLevel="2">
      <c r="A216" s="161"/>
      <c r="B216" s="13"/>
      <c r="C216" s="13"/>
      <c r="D216" s="1066"/>
      <c r="E216" s="13"/>
      <c r="F216" s="297"/>
      <c r="G216" s="13"/>
      <c r="I216" s="812"/>
      <c r="J216" s="442"/>
      <c r="K216" s="442"/>
      <c r="L216" s="442"/>
      <c r="M216" s="520"/>
      <c r="N216" s="442"/>
      <c r="O216" s="443"/>
      <c r="P216" s="443"/>
      <c r="Q216" s="443"/>
      <c r="R216" s="443"/>
      <c r="S216" s="443"/>
      <c r="T216" s="543"/>
      <c r="U216" s="443"/>
      <c r="V216" s="442"/>
      <c r="W216" s="442"/>
      <c r="X216" s="442"/>
      <c r="Y216" s="442"/>
      <c r="Z216" s="520"/>
      <c r="AA216" s="442"/>
      <c r="AB216" s="442"/>
      <c r="AC216" s="442"/>
      <c r="AD216" s="442"/>
      <c r="AE216" s="442"/>
      <c r="AF216" s="442"/>
      <c r="AG216" s="442"/>
      <c r="AH216" s="442"/>
      <c r="AI216" s="442"/>
      <c r="AJ216" s="843"/>
      <c r="AK216" s="442"/>
      <c r="AL216" s="442"/>
      <c r="AM216" s="442"/>
      <c r="AN216" s="442"/>
      <c r="AO216" s="844"/>
      <c r="AP216" s="520"/>
      <c r="AQ216" s="439"/>
      <c r="AR216" s="439"/>
      <c r="AS216" s="439"/>
      <c r="AT216" s="439"/>
      <c r="AU216" s="439"/>
      <c r="AV216" s="439"/>
      <c r="AW216" s="443"/>
      <c r="AX216" s="443"/>
      <c r="AY216" s="443"/>
      <c r="AZ216" s="443"/>
      <c r="BA216" s="443"/>
      <c r="BB216" s="443"/>
      <c r="BI216" s="443"/>
      <c r="BJ216" s="443"/>
      <c r="BK216" s="443"/>
      <c r="BL216" s="443"/>
      <c r="BM216" s="443"/>
      <c r="BN216" s="443"/>
      <c r="BO216" s="443"/>
      <c r="BP216" s="443"/>
      <c r="BQ216" s="443"/>
      <c r="BR216" s="443"/>
      <c r="BS216" s="443"/>
      <c r="BT216" s="443"/>
    </row>
    <row r="217" spans="1:72" s="446" customFormat="1" ht="20" outlineLevel="2">
      <c r="A217" s="565" t="s">
        <v>362</v>
      </c>
      <c r="B217" s="383"/>
      <c r="C217" s="383"/>
      <c r="D217" s="1075"/>
      <c r="E217" s="383"/>
      <c r="F217" s="523"/>
      <c r="G217" s="383"/>
      <c r="H217" s="731"/>
      <c r="I217" s="384"/>
      <c r="J217" s="383"/>
      <c r="K217" s="383"/>
      <c r="L217" s="383"/>
      <c r="M217" s="523"/>
      <c r="N217" s="383"/>
      <c r="O217" s="445"/>
      <c r="P217" s="385"/>
      <c r="Q217" s="385"/>
      <c r="R217" s="385"/>
      <c r="S217" s="385"/>
      <c r="T217" s="547"/>
      <c r="U217" s="385"/>
      <c r="V217" s="385"/>
      <c r="W217" s="385"/>
      <c r="X217" s="385"/>
      <c r="Y217" s="385"/>
      <c r="Z217" s="547"/>
      <c r="AA217" s="385"/>
      <c r="AB217" s="385"/>
      <c r="AC217" s="385"/>
      <c r="AD217" s="383"/>
      <c r="AE217" s="383"/>
      <c r="AF217" s="383"/>
      <c r="AG217" s="383"/>
      <c r="AH217" s="383"/>
      <c r="AI217" s="383"/>
      <c r="AJ217" s="839"/>
      <c r="AK217" s="383"/>
      <c r="AL217" s="383"/>
      <c r="AM217" s="383"/>
      <c r="AN217" s="383"/>
      <c r="AO217" s="840"/>
      <c r="AP217" s="523"/>
      <c r="AQ217" s="383"/>
      <c r="AR217" s="383"/>
      <c r="AS217" s="383"/>
      <c r="AT217" s="383"/>
      <c r="AU217" s="383"/>
      <c r="AV217" s="383"/>
      <c r="AW217" s="385"/>
      <c r="AX217" s="385"/>
      <c r="AY217" s="385"/>
      <c r="AZ217" s="385"/>
      <c r="BA217" s="385"/>
      <c r="BB217" s="385"/>
      <c r="BI217" s="445" t="s">
        <v>141</v>
      </c>
      <c r="BJ217" s="385"/>
      <c r="BK217" s="385"/>
      <c r="BL217" s="385"/>
      <c r="BM217" s="385"/>
      <c r="BN217" s="385"/>
      <c r="BO217" s="385" t="s">
        <v>33</v>
      </c>
      <c r="BP217" s="385"/>
      <c r="BQ217" s="385"/>
      <c r="BR217" s="385"/>
      <c r="BS217" s="385"/>
      <c r="BT217" s="385"/>
    </row>
    <row r="218" spans="1:72" s="489" customFormat="1" ht="20" outlineLevel="2">
      <c r="A218" s="1049" t="s">
        <v>357</v>
      </c>
      <c r="B218" s="259"/>
      <c r="C218" s="259"/>
      <c r="D218" s="1079"/>
      <c r="E218" s="259"/>
      <c r="F218" s="1450"/>
      <c r="G218" s="259"/>
      <c r="H218" s="728"/>
      <c r="I218" s="773">
        <v>37600</v>
      </c>
      <c r="J218" s="773">
        <f>I218</f>
        <v>37600</v>
      </c>
      <c r="K218" s="773">
        <f t="shared" ref="K218:L222" si="268">J218</f>
        <v>37600</v>
      </c>
      <c r="L218" s="773">
        <f t="shared" si="268"/>
        <v>37600</v>
      </c>
      <c r="M218" s="767"/>
      <c r="N218" s="722"/>
      <c r="O218" s="21"/>
      <c r="P218" s="768">
        <f t="shared" ref="P218:S223" si="269">I218</f>
        <v>37600</v>
      </c>
      <c r="Q218" s="768">
        <f t="shared" si="269"/>
        <v>37600</v>
      </c>
      <c r="R218" s="768">
        <f t="shared" si="269"/>
        <v>37600</v>
      </c>
      <c r="S218" s="768">
        <f t="shared" si="269"/>
        <v>37600</v>
      </c>
      <c r="T218" s="767"/>
      <c r="U218" s="21"/>
      <c r="V218" s="768">
        <f>P218</f>
        <v>37600</v>
      </c>
      <c r="W218" s="722">
        <f>Q218</f>
        <v>37600</v>
      </c>
      <c r="X218" s="722">
        <f>R218</f>
        <v>37600</v>
      </c>
      <c r="Y218" s="722">
        <f>S218</f>
        <v>37600</v>
      </c>
      <c r="Z218" s="770"/>
      <c r="AJ218" s="847"/>
      <c r="AO218" s="848"/>
      <c r="AP218" s="770"/>
      <c r="BJ218" s="21"/>
      <c r="BK218" s="21"/>
      <c r="BL218" s="21"/>
      <c r="BM218" s="21"/>
      <c r="BN218" s="21"/>
      <c r="BO218" s="21" t="s">
        <v>33</v>
      </c>
      <c r="BP218" s="21"/>
      <c r="BQ218" s="21"/>
      <c r="BR218" s="21"/>
      <c r="BS218" s="21"/>
      <c r="BT218" s="21"/>
    </row>
    <row r="219" spans="1:72" s="489" customFormat="1" ht="20" outlineLevel="2">
      <c r="A219" s="1050" t="s">
        <v>323</v>
      </c>
      <c r="B219" s="936"/>
      <c r="C219" s="936"/>
      <c r="D219" s="1080"/>
      <c r="E219" s="936"/>
      <c r="F219" s="1451"/>
      <c r="G219" s="936"/>
      <c r="H219" s="728"/>
      <c r="I219" s="774">
        <v>13400</v>
      </c>
      <c r="J219" s="773">
        <f>I219</f>
        <v>13400</v>
      </c>
      <c r="K219" s="773">
        <f t="shared" si="268"/>
        <v>13400</v>
      </c>
      <c r="L219" s="773">
        <f t="shared" si="268"/>
        <v>13400</v>
      </c>
      <c r="M219" s="767"/>
      <c r="N219" s="722"/>
      <c r="O219" s="728"/>
      <c r="P219" s="275">
        <f>I219*(H19/O19)</f>
        <v>8933.3333333333321</v>
      </c>
      <c r="Q219" s="275">
        <f>P219</f>
        <v>8933.3333333333321</v>
      </c>
      <c r="R219" s="275">
        <f>Q219</f>
        <v>8933.3333333333321</v>
      </c>
      <c r="S219" s="275">
        <f>R219</f>
        <v>8933.3333333333321</v>
      </c>
      <c r="T219" s="767"/>
      <c r="U219" s="728"/>
      <c r="V219" s="722">
        <v>13100</v>
      </c>
      <c r="W219" s="722">
        <f>V219</f>
        <v>13100</v>
      </c>
      <c r="X219" s="722">
        <f t="shared" ref="X219:Y219" si="270">W219</f>
        <v>13100</v>
      </c>
      <c r="Y219" s="722">
        <f t="shared" si="270"/>
        <v>13100</v>
      </c>
      <c r="Z219" s="770"/>
      <c r="AJ219" s="847"/>
      <c r="AO219" s="848"/>
      <c r="AP219" s="770"/>
      <c r="BJ219" s="21"/>
      <c r="BK219" s="21"/>
      <c r="BL219" s="21"/>
      <c r="BM219" s="21"/>
      <c r="BN219" s="21"/>
      <c r="BO219" s="21"/>
      <c r="BP219" s="21"/>
      <c r="BQ219" s="21"/>
      <c r="BR219" s="21"/>
      <c r="BS219" s="21"/>
      <c r="BT219" s="21"/>
    </row>
    <row r="220" spans="1:72" ht="20" outlineLevel="2">
      <c r="A220" s="485" t="s">
        <v>284</v>
      </c>
      <c r="B220" s="80"/>
      <c r="C220" s="80"/>
      <c r="D220" s="1081"/>
      <c r="E220" s="80"/>
      <c r="F220" s="1452"/>
      <c r="G220" s="80"/>
      <c r="H220" s="423"/>
      <c r="I220" s="1">
        <v>5700</v>
      </c>
      <c r="J220" s="169">
        <f>I220</f>
        <v>5700</v>
      </c>
      <c r="K220" s="169">
        <f t="shared" si="268"/>
        <v>5700</v>
      </c>
      <c r="L220" s="169">
        <f t="shared" si="268"/>
        <v>5700</v>
      </c>
      <c r="M220" s="407"/>
      <c r="N220" s="169"/>
      <c r="O220" s="423"/>
      <c r="U220" s="423"/>
      <c r="V220" s="1">
        <f t="shared" ref="V220:Y221" si="271">P220</f>
        <v>0</v>
      </c>
      <c r="W220" s="1">
        <f t="shared" si="271"/>
        <v>0</v>
      </c>
      <c r="X220" s="1">
        <f t="shared" si="271"/>
        <v>0</v>
      </c>
      <c r="Y220" s="1">
        <f t="shared" si="271"/>
        <v>0</v>
      </c>
      <c r="Z220" s="504"/>
      <c r="AA220" s="423"/>
      <c r="AB220" s="423"/>
      <c r="AC220" s="423"/>
      <c r="AD220" s="423"/>
      <c r="AE220" s="423"/>
      <c r="AF220" s="423"/>
      <c r="AG220" s="423"/>
      <c r="AH220" s="423"/>
      <c r="AI220" s="423"/>
      <c r="AJ220" s="841"/>
      <c r="AK220" s="423"/>
      <c r="AL220" s="423"/>
      <c r="AM220" s="423"/>
      <c r="AN220" s="423"/>
      <c r="AO220" s="849"/>
      <c r="AP220" s="504"/>
      <c r="AQ220" s="423"/>
      <c r="AR220" s="423"/>
      <c r="AS220" s="423"/>
      <c r="AT220" s="423"/>
      <c r="AU220" s="423"/>
      <c r="AV220" s="423"/>
      <c r="AW220" s="423"/>
      <c r="AX220" s="423"/>
      <c r="AY220" s="423"/>
      <c r="AZ220" s="423"/>
      <c r="BA220" s="423"/>
      <c r="BB220" s="423"/>
      <c r="BI220" s="423"/>
      <c r="BO220" s="14"/>
    </row>
    <row r="221" spans="1:72" ht="20" outlineLevel="2">
      <c r="A221" s="485" t="s">
        <v>498</v>
      </c>
      <c r="B221" s="80"/>
      <c r="C221" s="80"/>
      <c r="D221" s="1081"/>
      <c r="E221" s="80"/>
      <c r="F221" s="1452"/>
      <c r="G221" s="80"/>
      <c r="H221" s="423"/>
      <c r="I221" s="1">
        <v>7800</v>
      </c>
      <c r="J221" s="169">
        <f>I221</f>
        <v>7800</v>
      </c>
      <c r="K221" s="169">
        <f t="shared" si="268"/>
        <v>7800</v>
      </c>
      <c r="L221" s="169">
        <f t="shared" si="268"/>
        <v>7800</v>
      </c>
      <c r="M221" s="407"/>
      <c r="N221" s="169"/>
      <c r="O221" s="423"/>
      <c r="U221" s="423"/>
      <c r="V221" s="1">
        <f t="shared" si="271"/>
        <v>0</v>
      </c>
      <c r="W221" s="1">
        <f t="shared" si="271"/>
        <v>0</v>
      </c>
      <c r="X221" s="1">
        <f t="shared" si="271"/>
        <v>0</v>
      </c>
      <c r="Y221" s="1">
        <f t="shared" si="271"/>
        <v>0</v>
      </c>
      <c r="Z221" s="504"/>
      <c r="AA221" s="423"/>
      <c r="AB221" s="423"/>
      <c r="AC221" s="423"/>
      <c r="AD221" s="423"/>
      <c r="AE221" s="423"/>
      <c r="AF221" s="423"/>
      <c r="AG221" s="423"/>
      <c r="AH221" s="423"/>
      <c r="AI221" s="423"/>
      <c r="AJ221" s="841"/>
      <c r="AK221" s="423"/>
      <c r="AL221" s="423"/>
      <c r="AM221" s="423"/>
      <c r="AN221" s="423"/>
      <c r="AO221" s="849"/>
      <c r="AP221" s="504"/>
      <c r="AQ221" s="423"/>
      <c r="AR221" s="423"/>
      <c r="AS221" s="423"/>
      <c r="AT221" s="423"/>
      <c r="AU221" s="423"/>
      <c r="AV221" s="423"/>
      <c r="AW221" s="423"/>
      <c r="AX221" s="423"/>
      <c r="AY221" s="423"/>
      <c r="AZ221" s="423"/>
      <c r="BA221" s="423"/>
      <c r="BB221" s="423"/>
      <c r="BI221" s="423"/>
      <c r="BO221" s="14"/>
    </row>
    <row r="222" spans="1:72" s="489" customFormat="1" ht="20" outlineLevel="2">
      <c r="A222" s="1051" t="s">
        <v>321</v>
      </c>
      <c r="B222" s="628"/>
      <c r="C222" s="628"/>
      <c r="D222" s="1082"/>
      <c r="E222" s="628"/>
      <c r="F222" s="1453"/>
      <c r="G222" s="628"/>
      <c r="I222" s="722">
        <v>20900</v>
      </c>
      <c r="J222" s="722">
        <f>I222</f>
        <v>20900</v>
      </c>
      <c r="K222" s="722">
        <f t="shared" si="268"/>
        <v>20900</v>
      </c>
      <c r="L222" s="722">
        <f t="shared" si="268"/>
        <v>20900</v>
      </c>
      <c r="M222" s="767"/>
      <c r="N222" s="722"/>
      <c r="P222" s="722">
        <f t="shared" si="269"/>
        <v>20900</v>
      </c>
      <c r="Q222" s="722">
        <f>P222</f>
        <v>20900</v>
      </c>
      <c r="R222" s="722">
        <f t="shared" ref="R222:S222" si="272">Q222</f>
        <v>20900</v>
      </c>
      <c r="S222" s="722">
        <f t="shared" si="272"/>
        <v>20900</v>
      </c>
      <c r="T222" s="535"/>
      <c r="U222" s="21"/>
      <c r="V222" s="722">
        <f>P222</f>
        <v>20900</v>
      </c>
      <c r="W222" s="722">
        <f>V222</f>
        <v>20900</v>
      </c>
      <c r="X222" s="722">
        <f t="shared" ref="X222:Y222" si="273">W222</f>
        <v>20900</v>
      </c>
      <c r="Y222" s="722">
        <f t="shared" si="273"/>
        <v>20900</v>
      </c>
      <c r="Z222" s="535"/>
      <c r="AA222" s="21"/>
      <c r="AB222" s="21"/>
      <c r="AC222" s="21"/>
      <c r="AJ222" s="847"/>
      <c r="AO222" s="848"/>
      <c r="AP222" s="770"/>
      <c r="BJ222" s="21"/>
      <c r="BK222" s="21"/>
      <c r="BL222" s="21"/>
      <c r="BM222" s="21"/>
      <c r="BN222" s="21"/>
      <c r="BO222" s="21"/>
      <c r="BP222" s="21"/>
      <c r="BQ222" s="21"/>
      <c r="BR222" s="21"/>
      <c r="BS222" s="21"/>
      <c r="BT222" s="21"/>
    </row>
    <row r="223" spans="1:72" s="489" customFormat="1" ht="20" outlineLevel="2">
      <c r="A223" s="1051" t="s">
        <v>491</v>
      </c>
      <c r="B223" s="628"/>
      <c r="C223" s="628"/>
      <c r="D223" s="1082"/>
      <c r="E223" s="628"/>
      <c r="F223" s="1453"/>
      <c r="G223" s="628"/>
      <c r="I223" s="722"/>
      <c r="J223" s="722"/>
      <c r="K223" s="722"/>
      <c r="L223" s="722"/>
      <c r="M223" s="767"/>
      <c r="N223" s="722"/>
      <c r="P223" s="722">
        <f t="shared" si="269"/>
        <v>0</v>
      </c>
      <c r="Q223" s="722">
        <f>J223</f>
        <v>0</v>
      </c>
      <c r="R223" s="722">
        <f>K223</f>
        <v>0</v>
      </c>
      <c r="S223" s="722">
        <f>L223</f>
        <v>0</v>
      </c>
      <c r="T223" s="535"/>
      <c r="V223" s="722">
        <f>P223</f>
        <v>0</v>
      </c>
      <c r="W223" s="722">
        <f>Q223</f>
        <v>0</v>
      </c>
      <c r="X223" s="722">
        <f>R223</f>
        <v>0</v>
      </c>
      <c r="Y223" s="722">
        <f>S223</f>
        <v>0</v>
      </c>
      <c r="Z223" s="535"/>
      <c r="AA223" s="21"/>
      <c r="AB223" s="21"/>
      <c r="AC223" s="21"/>
      <c r="AJ223" s="847"/>
      <c r="AO223" s="848"/>
      <c r="AP223" s="770"/>
      <c r="BJ223" s="21"/>
      <c r="BK223" s="21"/>
      <c r="BL223" s="21"/>
      <c r="BM223" s="21"/>
      <c r="BN223" s="21"/>
      <c r="BO223" s="21"/>
      <c r="BP223" s="21"/>
      <c r="BQ223" s="21"/>
      <c r="BR223" s="21"/>
      <c r="BS223" s="21"/>
      <c r="BT223" s="21"/>
    </row>
    <row r="224" spans="1:72" outlineLevel="2">
      <c r="A224" s="1052"/>
      <c r="B224" s="273"/>
      <c r="C224" s="273"/>
      <c r="D224" s="1083"/>
      <c r="E224" s="273"/>
      <c r="F224" s="1454"/>
      <c r="G224" s="273"/>
      <c r="H224" s="423"/>
      <c r="I224" s="169"/>
      <c r="J224" s="169"/>
      <c r="K224" s="169"/>
      <c r="L224" s="169"/>
      <c r="M224" s="407"/>
      <c r="N224" s="169"/>
      <c r="O224" s="423"/>
      <c r="U224" s="423"/>
      <c r="AD224" s="423"/>
      <c r="AE224" s="423"/>
      <c r="AF224" s="423"/>
      <c r="AG224" s="423"/>
      <c r="AH224" s="423"/>
      <c r="AI224" s="423"/>
      <c r="AJ224" s="841"/>
      <c r="AK224" s="423"/>
      <c r="AL224" s="423"/>
      <c r="AM224" s="423"/>
      <c r="AN224" s="423"/>
      <c r="AO224" s="849"/>
      <c r="AP224" s="504"/>
      <c r="AQ224" s="423"/>
      <c r="AR224" s="423"/>
      <c r="AS224" s="423"/>
      <c r="AT224" s="423"/>
      <c r="AU224" s="423"/>
      <c r="AV224" s="423"/>
      <c r="AW224" s="423"/>
      <c r="AX224" s="423"/>
      <c r="AY224" s="423"/>
      <c r="AZ224" s="423"/>
      <c r="BA224" s="423"/>
      <c r="BB224" s="423"/>
      <c r="BI224" s="423"/>
      <c r="BO224" s="14"/>
    </row>
    <row r="225" spans="1:72" s="489" customFormat="1" ht="20" outlineLevel="2">
      <c r="A225" s="1049" t="s">
        <v>355</v>
      </c>
      <c r="B225" s="259"/>
      <c r="C225" s="259"/>
      <c r="D225" s="1079"/>
      <c r="E225" s="259"/>
      <c r="F225" s="1450"/>
      <c r="G225" s="259"/>
      <c r="H225" s="728"/>
      <c r="I225" s="722">
        <v>1600</v>
      </c>
      <c r="J225" s="722">
        <f>I225</f>
        <v>1600</v>
      </c>
      <c r="K225" s="722">
        <f t="shared" ref="K225:L225" si="274">J225</f>
        <v>1600</v>
      </c>
      <c r="L225" s="722">
        <f t="shared" si="274"/>
        <v>1600</v>
      </c>
      <c r="M225" s="767"/>
      <c r="N225" s="722"/>
      <c r="O225" s="21"/>
      <c r="P225" s="772">
        <f>I225</f>
        <v>1600</v>
      </c>
      <c r="Q225" s="722">
        <f>J225</f>
        <v>1600</v>
      </c>
      <c r="R225" s="722">
        <f>K225</f>
        <v>1600</v>
      </c>
      <c r="S225" s="722">
        <f>L225</f>
        <v>1600</v>
      </c>
      <c r="T225" s="767"/>
      <c r="U225" s="21"/>
      <c r="V225" s="772">
        <f>P225</f>
        <v>1600</v>
      </c>
      <c r="W225" s="722">
        <f>Q225</f>
        <v>1600</v>
      </c>
      <c r="X225" s="722">
        <f>R225</f>
        <v>1600</v>
      </c>
      <c r="Y225" s="722">
        <f>S225</f>
        <v>1600</v>
      </c>
      <c r="Z225" s="535"/>
      <c r="AA225" s="21"/>
      <c r="AB225" s="21"/>
      <c r="AC225" s="21"/>
      <c r="AJ225" s="847"/>
      <c r="AO225" s="848"/>
      <c r="AP225" s="770"/>
      <c r="BJ225" s="21"/>
      <c r="BK225" s="21"/>
      <c r="BL225" s="21"/>
      <c r="BM225" s="21"/>
      <c r="BN225" s="21"/>
      <c r="BO225" s="21" t="s">
        <v>33</v>
      </c>
      <c r="BP225" s="21"/>
      <c r="BQ225" s="21"/>
      <c r="BR225" s="21"/>
      <c r="BS225" s="21"/>
      <c r="BT225" s="21"/>
    </row>
    <row r="226" spans="1:72" outlineLevel="2">
      <c r="A226" s="1047"/>
      <c r="B226" s="359"/>
      <c r="C226" s="359"/>
      <c r="D226" s="1077"/>
      <c r="E226" s="359"/>
      <c r="F226" s="1448"/>
      <c r="G226" s="359"/>
      <c r="H226" s="423"/>
      <c r="J226" s="169"/>
      <c r="K226" s="169"/>
      <c r="L226" s="169"/>
      <c r="M226" s="407"/>
      <c r="N226" s="169"/>
      <c r="V226" s="423"/>
      <c r="AD226" s="423"/>
      <c r="AE226" s="423"/>
      <c r="AF226" s="423"/>
      <c r="AG226" s="423"/>
      <c r="AH226" s="423"/>
      <c r="AI226" s="423"/>
      <c r="AJ226" s="841"/>
      <c r="AK226" s="423"/>
      <c r="AL226" s="423"/>
      <c r="AM226" s="423"/>
      <c r="AN226" s="423"/>
      <c r="AO226" s="849"/>
      <c r="AP226" s="504"/>
      <c r="AQ226" s="423"/>
      <c r="AR226" s="423"/>
      <c r="AS226" s="423"/>
      <c r="AT226" s="423"/>
      <c r="AU226" s="423"/>
      <c r="AV226" s="423"/>
      <c r="AW226" s="423"/>
      <c r="AX226" s="423"/>
      <c r="AY226" s="423"/>
      <c r="AZ226" s="423"/>
      <c r="BA226" s="423"/>
      <c r="BB226" s="423"/>
      <c r="BI226" s="423"/>
    </row>
    <row r="227" spans="1:72" outlineLevel="2"/>
    <row r="228" spans="1:72" ht="20" outlineLevel="2">
      <c r="A228" s="558" t="s">
        <v>580</v>
      </c>
      <c r="B228" s="355"/>
      <c r="C228" s="355"/>
      <c r="D228" s="1068"/>
      <c r="E228" s="355"/>
      <c r="F228" s="498"/>
      <c r="G228" s="355"/>
      <c r="H228" s="423"/>
      <c r="I228" s="785">
        <f>I229/10</f>
        <v>21.2</v>
      </c>
      <c r="J228" s="785">
        <f>I228</f>
        <v>21.2</v>
      </c>
      <c r="K228" s="785">
        <f t="shared" ref="K228:L229" si="275">J228</f>
        <v>21.2</v>
      </c>
      <c r="L228" s="785">
        <f t="shared" si="275"/>
        <v>21.2</v>
      </c>
      <c r="M228" s="407"/>
      <c r="N228" s="169"/>
      <c r="P228" s="785">
        <f>L228</f>
        <v>21.2</v>
      </c>
      <c r="Q228" s="785">
        <f>P228</f>
        <v>21.2</v>
      </c>
      <c r="R228" s="785">
        <f t="shared" ref="R228:S229" si="276">Q228</f>
        <v>21.2</v>
      </c>
      <c r="S228" s="785">
        <f t="shared" si="276"/>
        <v>21.2</v>
      </c>
      <c r="V228" s="785">
        <f>I228</f>
        <v>21.2</v>
      </c>
      <c r="W228" s="785">
        <f>Q228</f>
        <v>21.2</v>
      </c>
      <c r="X228" s="785">
        <f>R228</f>
        <v>21.2</v>
      </c>
      <c r="Y228" s="785">
        <f>S228</f>
        <v>21.2</v>
      </c>
      <c r="AD228" s="423"/>
      <c r="AE228" s="423"/>
      <c r="AF228" s="423"/>
      <c r="AG228" s="423"/>
      <c r="AH228" s="423"/>
      <c r="AI228" s="423"/>
      <c r="AJ228" s="841"/>
      <c r="AK228" s="423"/>
      <c r="AL228" s="423"/>
      <c r="AM228" s="423"/>
      <c r="AN228" s="423"/>
      <c r="AO228" s="849"/>
      <c r="AP228" s="504"/>
      <c r="AQ228" s="423"/>
      <c r="AR228" s="423"/>
      <c r="AS228" s="423"/>
      <c r="AT228" s="423"/>
      <c r="AU228" s="423"/>
      <c r="AV228" s="423"/>
      <c r="AW228" s="423"/>
      <c r="AX228" s="423"/>
      <c r="AY228" s="423"/>
      <c r="AZ228" s="423"/>
      <c r="BA228" s="423"/>
      <c r="BB228" s="423"/>
      <c r="BI228" s="423"/>
    </row>
    <row r="229" spans="1:72" s="489" customFormat="1" ht="20" outlineLevel="2">
      <c r="A229" s="1049" t="s">
        <v>495</v>
      </c>
      <c r="B229" s="259"/>
      <c r="C229" s="259"/>
      <c r="D229" s="1079"/>
      <c r="E229" s="259"/>
      <c r="F229" s="1450"/>
      <c r="G229" s="259"/>
      <c r="I229" s="722">
        <f>'MPS др метрики'!H58</f>
        <v>212</v>
      </c>
      <c r="J229" s="722">
        <f>I229</f>
        <v>212</v>
      </c>
      <c r="K229" s="722">
        <f t="shared" si="275"/>
        <v>212</v>
      </c>
      <c r="L229" s="722">
        <f t="shared" si="275"/>
        <v>212</v>
      </c>
      <c r="M229" s="767"/>
      <c r="N229" s="722"/>
      <c r="O229" s="21"/>
      <c r="P229" s="722">
        <f>I229</f>
        <v>212</v>
      </c>
      <c r="Q229" s="722">
        <f>P229</f>
        <v>212</v>
      </c>
      <c r="R229" s="722">
        <f t="shared" si="276"/>
        <v>212</v>
      </c>
      <c r="S229" s="722">
        <f t="shared" si="276"/>
        <v>212</v>
      </c>
      <c r="T229" s="535"/>
      <c r="U229" s="1"/>
      <c r="V229" s="722">
        <f>P229</f>
        <v>212</v>
      </c>
      <c r="W229" s="722">
        <f>V229</f>
        <v>212</v>
      </c>
      <c r="X229" s="722">
        <f t="shared" ref="X229:Y229" si="277">W229</f>
        <v>212</v>
      </c>
      <c r="Y229" s="722">
        <f t="shared" si="277"/>
        <v>212</v>
      </c>
      <c r="Z229" s="535"/>
      <c r="AA229" s="21"/>
      <c r="AB229" s="21"/>
      <c r="AC229" s="21"/>
      <c r="AD229" s="423"/>
      <c r="AE229" s="722"/>
      <c r="AF229" s="722"/>
      <c r="AG229" s="722"/>
      <c r="AH229" s="722"/>
      <c r="AJ229" s="847"/>
      <c r="AK229" s="722"/>
      <c r="AL229" s="722"/>
      <c r="AM229" s="722"/>
      <c r="AN229" s="722"/>
      <c r="AO229" s="848"/>
      <c r="AP229" s="770"/>
      <c r="BJ229" s="21"/>
      <c r="BK229" s="21"/>
      <c r="BL229" s="21"/>
      <c r="BM229" s="21"/>
      <c r="BN229" s="21"/>
      <c r="BO229" s="21"/>
      <c r="BP229" s="21"/>
      <c r="BQ229" s="21"/>
      <c r="BR229" s="21"/>
      <c r="BS229" s="21"/>
      <c r="BT229" s="21"/>
    </row>
    <row r="230" spans="1:72" outlineLevel="2">
      <c r="A230" s="1047"/>
      <c r="B230" s="359"/>
      <c r="C230" s="359"/>
      <c r="D230" s="1077"/>
      <c r="E230" s="359"/>
      <c r="F230" s="1448"/>
      <c r="G230" s="359"/>
      <c r="H230" s="423"/>
      <c r="I230" s="652"/>
      <c r="J230" s="169"/>
      <c r="K230" s="169"/>
      <c r="L230" s="169"/>
      <c r="M230" s="407"/>
      <c r="N230" s="169"/>
      <c r="V230" s="423"/>
      <c r="AD230" s="423"/>
      <c r="AE230" s="423"/>
      <c r="AF230" s="423"/>
      <c r="AG230" s="423"/>
      <c r="AH230" s="423"/>
      <c r="AI230" s="423"/>
      <c r="AJ230" s="841"/>
      <c r="AK230" s="423"/>
      <c r="AL230" s="423"/>
      <c r="AM230" s="423"/>
      <c r="AN230" s="423"/>
      <c r="AO230" s="849"/>
      <c r="AP230" s="504"/>
      <c r="AQ230" s="423"/>
      <c r="AR230" s="423"/>
      <c r="AS230" s="423"/>
      <c r="AT230" s="423"/>
      <c r="AU230" s="423"/>
      <c r="AV230" s="423"/>
      <c r="AW230" s="423"/>
      <c r="AX230" s="423"/>
      <c r="AY230" s="423"/>
      <c r="AZ230" s="423"/>
      <c r="BA230" s="423"/>
      <c r="BB230" s="423"/>
      <c r="BI230" s="423"/>
    </row>
    <row r="231" spans="1:72" s="456" customFormat="1" ht="20" outlineLevel="2">
      <c r="A231" s="1053" t="s">
        <v>360</v>
      </c>
      <c r="B231" s="455"/>
      <c r="C231" s="455"/>
      <c r="D231" s="1084"/>
      <c r="E231" s="455"/>
      <c r="F231" s="1455"/>
      <c r="G231" s="455"/>
      <c r="I231" s="457"/>
      <c r="J231" s="458"/>
      <c r="K231" s="458"/>
      <c r="L231" s="458"/>
      <c r="M231" s="525"/>
      <c r="N231" s="458"/>
      <c r="O231" s="457"/>
      <c r="P231" s="457"/>
      <c r="Q231" s="457"/>
      <c r="R231" s="457"/>
      <c r="S231" s="457"/>
      <c r="T231" s="549"/>
      <c r="U231" s="457"/>
      <c r="W231" s="457"/>
      <c r="X231" s="457"/>
      <c r="Y231" s="457"/>
      <c r="Z231" s="549"/>
      <c r="AA231" s="457"/>
      <c r="AB231" s="457"/>
      <c r="AC231" s="457"/>
      <c r="AJ231" s="850"/>
      <c r="AO231" s="851"/>
      <c r="AP231" s="566"/>
      <c r="BJ231" s="457"/>
      <c r="BK231" s="457"/>
      <c r="BL231" s="457"/>
      <c r="BM231" s="457"/>
      <c r="BN231" s="457"/>
      <c r="BO231" s="457"/>
      <c r="BP231" s="457"/>
      <c r="BQ231" s="457"/>
      <c r="BR231" s="457"/>
      <c r="BS231" s="457"/>
      <c r="BT231" s="457"/>
    </row>
    <row r="232" spans="1:72" s="2" customFormat="1" outlineLevel="2">
      <c r="A232" s="89" t="s">
        <v>359</v>
      </c>
      <c r="B232" s="15"/>
      <c r="C232" s="15"/>
      <c r="D232" s="1085"/>
      <c r="E232" s="15"/>
      <c r="F232" s="1456"/>
      <c r="G232" s="15"/>
      <c r="H232" s="526"/>
      <c r="I232" s="526">
        <v>400000</v>
      </c>
      <c r="J232" s="526">
        <v>400000</v>
      </c>
      <c r="K232" s="526">
        <v>400000</v>
      </c>
      <c r="L232" s="526">
        <v>400000</v>
      </c>
      <c r="M232" s="295"/>
      <c r="N232" s="1"/>
      <c r="O232" s="1"/>
      <c r="P232" s="1"/>
      <c r="Q232" s="1"/>
      <c r="R232" s="1"/>
      <c r="S232" s="1"/>
      <c r="T232" s="295"/>
      <c r="U232" s="1"/>
      <c r="V232" s="1"/>
      <c r="W232" s="1"/>
      <c r="X232" s="1"/>
      <c r="Y232" s="1"/>
      <c r="Z232" s="295"/>
      <c r="AA232" s="1"/>
      <c r="AB232" s="1"/>
      <c r="AC232" s="1"/>
      <c r="AD232" s="1"/>
      <c r="AE232" s="1"/>
      <c r="AF232" s="1"/>
      <c r="AG232" s="1"/>
      <c r="AH232" s="1"/>
      <c r="AI232" s="1"/>
      <c r="AJ232" s="28"/>
      <c r="AK232" s="1"/>
      <c r="AL232" s="1"/>
      <c r="AM232" s="1"/>
      <c r="AN232" s="1"/>
      <c r="AO232" s="24"/>
      <c r="AP232" s="295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</row>
    <row r="233" spans="1:72" s="2" customFormat="1" outlineLevel="2">
      <c r="A233" s="89" t="s">
        <v>371</v>
      </c>
      <c r="B233" s="15"/>
      <c r="C233" s="15"/>
      <c r="D233" s="1085"/>
      <c r="E233" s="15"/>
      <c r="F233" s="1456"/>
      <c r="G233" s="15"/>
      <c r="H233" s="15"/>
      <c r="I233" s="15">
        <v>547</v>
      </c>
      <c r="J233" s="15">
        <v>547</v>
      </c>
      <c r="K233" s="15">
        <v>547</v>
      </c>
      <c r="L233" s="15">
        <v>547</v>
      </c>
      <c r="M233" s="295"/>
      <c r="N233" s="1"/>
      <c r="O233" s="1"/>
      <c r="P233" s="1"/>
      <c r="Q233" s="1"/>
      <c r="R233" s="1"/>
      <c r="S233" s="1"/>
      <c r="T233" s="295"/>
      <c r="U233" s="1"/>
      <c r="V233" s="1"/>
      <c r="W233" s="1"/>
      <c r="X233" s="1"/>
      <c r="Y233" s="1"/>
      <c r="Z233" s="295"/>
      <c r="AA233" s="1"/>
      <c r="AB233" s="1"/>
      <c r="AC233" s="1"/>
      <c r="AD233" s="1"/>
      <c r="AE233" s="1"/>
      <c r="AF233" s="1"/>
      <c r="AG233" s="1"/>
      <c r="AH233" s="1"/>
      <c r="AI233" s="1"/>
      <c r="AJ233" s="28"/>
      <c r="AK233" s="1"/>
      <c r="AL233" s="1"/>
      <c r="AM233" s="1"/>
      <c r="AN233" s="1"/>
      <c r="AO233" s="24"/>
      <c r="AP233" s="295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1"/>
    </row>
    <row r="234" spans="1:72" ht="20" outlineLevel="2">
      <c r="A234" s="87" t="s">
        <v>372</v>
      </c>
      <c r="H234" s="527"/>
      <c r="I234" s="527">
        <f>I232/I233</f>
        <v>731.26142595978058</v>
      </c>
      <c r="J234" s="527">
        <f t="shared" ref="J234:L234" si="278">J232/J233</f>
        <v>731.26142595978058</v>
      </c>
      <c r="K234" s="527">
        <f t="shared" si="278"/>
        <v>731.26142595978058</v>
      </c>
      <c r="L234" s="527">
        <f t="shared" si="278"/>
        <v>731.26142595978058</v>
      </c>
    </row>
    <row r="235" spans="1:72" outlineLevel="2"/>
    <row r="236" spans="1:72" outlineLevel="2">
      <c r="A236" s="89" t="s">
        <v>492</v>
      </c>
      <c r="B236" s="15"/>
      <c r="C236" s="15"/>
      <c r="D236" s="1085"/>
      <c r="E236" s="15"/>
      <c r="F236" s="1456"/>
      <c r="G236" s="15"/>
      <c r="H236" s="527"/>
      <c r="I236" s="15">
        <v>3697</v>
      </c>
      <c r="J236" s="15">
        <v>3697</v>
      </c>
      <c r="K236" s="15">
        <v>3697</v>
      </c>
      <c r="L236" s="15">
        <v>3697</v>
      </c>
    </row>
    <row r="237" spans="1:72" ht="20" outlineLevel="2">
      <c r="A237" s="87" t="s">
        <v>489</v>
      </c>
      <c r="H237" s="527"/>
      <c r="I237" s="766">
        <f>I232/I236</f>
        <v>108.19583446037328</v>
      </c>
      <c r="J237" s="766">
        <f>J232/J236</f>
        <v>108.19583446037328</v>
      </c>
      <c r="K237" s="766">
        <f>K232/K236</f>
        <v>108.19583446037328</v>
      </c>
      <c r="L237" s="766">
        <f>L232/L236</f>
        <v>108.19583446037328</v>
      </c>
    </row>
    <row r="238" spans="1:72" outlineLevel="2">
      <c r="H238" s="527"/>
      <c r="I238" s="766"/>
      <c r="J238" s="766"/>
      <c r="K238" s="766"/>
      <c r="L238" s="766"/>
    </row>
    <row r="239" spans="1:72" ht="40" outlineLevel="2">
      <c r="A239" s="87" t="s">
        <v>494</v>
      </c>
      <c r="H239" s="527"/>
      <c r="I239" s="423"/>
      <c r="J239" s="766">
        <v>81</v>
      </c>
      <c r="K239" s="766">
        <v>81</v>
      </c>
      <c r="L239" s="766">
        <v>81</v>
      </c>
      <c r="P239" s="766">
        <v>81</v>
      </c>
      <c r="Q239" s="766">
        <v>81</v>
      </c>
      <c r="R239" s="766">
        <v>81</v>
      </c>
      <c r="S239" s="766">
        <v>81</v>
      </c>
      <c r="V239" s="766">
        <v>81</v>
      </c>
      <c r="W239" s="766">
        <v>81</v>
      </c>
      <c r="X239" s="766">
        <v>81</v>
      </c>
      <c r="Y239" s="766">
        <v>81</v>
      </c>
      <c r="AE239" s="766"/>
      <c r="AF239" s="766"/>
      <c r="AG239" s="766"/>
      <c r="AH239" s="766"/>
    </row>
    <row r="240" spans="1:72" outlineLevel="2">
      <c r="I240" s="423"/>
    </row>
    <row r="241" spans="1:20" outlineLevel="2">
      <c r="A241" s="1133" t="s">
        <v>577</v>
      </c>
      <c r="B241" s="423"/>
      <c r="I241" s="1127">
        <v>1.5</v>
      </c>
      <c r="J241" s="1131">
        <f>I241</f>
        <v>1.5</v>
      </c>
      <c r="K241" s="1131">
        <f t="shared" ref="K241:L241" si="279">J241</f>
        <v>1.5</v>
      </c>
      <c r="L241" s="592">
        <f t="shared" si="279"/>
        <v>1.5</v>
      </c>
    </row>
    <row r="242" spans="1:20" outlineLevel="2">
      <c r="A242" s="1134" t="s">
        <v>578</v>
      </c>
      <c r="B242" s="423"/>
      <c r="I242" s="1129">
        <v>1.73</v>
      </c>
      <c r="J242" s="93">
        <f t="shared" ref="J242:L243" si="280">I242</f>
        <v>1.73</v>
      </c>
      <c r="K242" s="93">
        <f t="shared" si="280"/>
        <v>1.73</v>
      </c>
      <c r="L242" s="595">
        <f t="shared" si="280"/>
        <v>1.73</v>
      </c>
    </row>
    <row r="243" spans="1:20" outlineLevel="2">
      <c r="A243" s="1135" t="s">
        <v>579</v>
      </c>
      <c r="B243" s="423"/>
      <c r="I243" s="1130">
        <v>7.69</v>
      </c>
      <c r="J243" s="1132">
        <f t="shared" si="280"/>
        <v>7.69</v>
      </c>
      <c r="K243" s="1132">
        <f t="shared" si="280"/>
        <v>7.69</v>
      </c>
      <c r="L243" s="597">
        <f t="shared" si="280"/>
        <v>7.69</v>
      </c>
    </row>
    <row r="244" spans="1:20" outlineLevel="2">
      <c r="I244" s="423"/>
    </row>
    <row r="245" spans="1:20" ht="20" outlineLevel="2">
      <c r="A245" s="87" t="s">
        <v>598</v>
      </c>
      <c r="I245" s="1142">
        <v>0.62</v>
      </c>
    </row>
    <row r="246" spans="1:20" ht="20" outlineLevel="2">
      <c r="A246" s="87" t="s">
        <v>599</v>
      </c>
      <c r="B246" s="423"/>
      <c r="I246" s="154">
        <v>15542.8125</v>
      </c>
    </row>
    <row r="247" spans="1:20" outlineLevel="2">
      <c r="A247" s="423"/>
      <c r="B247" s="423"/>
    </row>
    <row r="248" spans="1:20" outlineLevel="1">
      <c r="T248" s="1152">
        <f>T79-M79</f>
        <v>116900557.69336879</v>
      </c>
    </row>
    <row r="249" spans="1:20" outlineLevel="1">
      <c r="T249" s="1152">
        <f>T77-M77</f>
        <v>55895090.809428118</v>
      </c>
    </row>
  </sheetData>
  <mergeCells count="7">
    <mergeCell ref="AD3:AI3"/>
    <mergeCell ref="AJ3:AO3"/>
    <mergeCell ref="E1:F1"/>
    <mergeCell ref="E2:F2"/>
    <mergeCell ref="H2:M2"/>
    <mergeCell ref="O2:T2"/>
    <mergeCell ref="AD2:AP2"/>
  </mergeCells>
  <pageMargins left="0.7" right="0.7" top="0.75" bottom="0.75" header="0.3" footer="0.3"/>
  <legacy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75FB09-5DA8-714D-B745-338D2F0949E9}">
  <sheetPr codeName="Лист15"/>
  <dimension ref="A1:BR202"/>
  <sheetViews>
    <sheetView topLeftCell="A55" workbookViewId="0">
      <selection activeCell="A63" sqref="A63:XFD63"/>
    </sheetView>
  </sheetViews>
  <sheetFormatPr baseColWidth="10" defaultColWidth="10.83203125" defaultRowHeight="19" outlineLevelRow="1" outlineLevelCol="1"/>
  <cols>
    <col min="1" max="1" width="49.5" style="87" customWidth="1"/>
    <col min="2" max="2" width="18.33203125" style="1" hidden="1" customWidth="1" outlineLevel="1"/>
    <col min="3" max="3" width="14.33203125" style="1" hidden="1" customWidth="1" outlineLevel="1"/>
    <col min="4" max="4" width="15.33203125" style="1057" customWidth="1" collapsed="1"/>
    <col min="5" max="5" width="14.33203125" style="1" hidden="1" customWidth="1" outlineLevel="1"/>
    <col min="6" max="6" width="12.1640625" style="2" customWidth="1" collapsed="1"/>
    <col min="7" max="10" width="19.33203125" style="1" hidden="1" customWidth="1" outlineLevel="1"/>
    <col min="11" max="11" width="26.5" style="295" customWidth="1" collapsed="1"/>
    <col min="12" max="12" width="10.1640625" style="1" customWidth="1"/>
    <col min="13" max="13" width="13.5" style="1" customWidth="1"/>
    <col min="14" max="17" width="16" style="1" hidden="1" customWidth="1" outlineLevel="1"/>
    <col min="18" max="18" width="22" style="295" customWidth="1" collapsed="1"/>
    <col min="19" max="19" width="12.6640625" style="1" customWidth="1"/>
    <col min="20" max="22" width="17" style="1" hidden="1" customWidth="1" outlineLevel="1"/>
    <col min="23" max="23" width="17.33203125" style="1" hidden="1" customWidth="1" outlineLevel="1"/>
    <col min="24" max="24" width="16.6640625" style="295" customWidth="1" collapsed="1"/>
    <col min="25" max="27" width="10" style="1" hidden="1" customWidth="1" outlineLevel="1"/>
    <col min="28" max="28" width="12.5" style="1" customWidth="1" collapsed="1"/>
    <col min="29" max="32" width="14.33203125" style="1" hidden="1" customWidth="1" outlineLevel="1"/>
    <col min="33" max="33" width="14.33203125" style="1" customWidth="1" collapsed="1"/>
    <col min="34" max="34" width="12.5" style="28" customWidth="1"/>
    <col min="35" max="38" width="14.33203125" style="1" hidden="1" customWidth="1" outlineLevel="1"/>
    <col min="39" max="39" width="14.33203125" style="24" customWidth="1" collapsed="1"/>
    <col min="40" max="40" width="16.33203125" style="295" customWidth="1"/>
    <col min="41" max="45" width="11.83203125" style="1" customWidth="1"/>
    <col min="46" max="46" width="13.83203125" style="1" customWidth="1"/>
    <col min="47" max="47" width="16.33203125" style="1" customWidth="1"/>
    <col min="48" max="52" width="17" style="1" customWidth="1"/>
    <col min="53" max="58" width="10.83203125" style="423"/>
    <col min="59" max="70" width="17" style="1" customWidth="1"/>
    <col min="71" max="16384" width="10.83203125" style="423"/>
  </cols>
  <sheetData>
    <row r="1" spans="1:70" s="61" customFormat="1" ht="41" thickBot="1">
      <c r="A1" s="87" t="s">
        <v>766</v>
      </c>
      <c r="B1" s="13"/>
      <c r="C1" s="13"/>
      <c r="D1" s="1066"/>
      <c r="E1" s="13"/>
      <c r="F1" s="1319" t="s">
        <v>648</v>
      </c>
      <c r="G1" s="1320"/>
      <c r="H1" s="1320"/>
      <c r="I1" s="1320"/>
      <c r="J1" s="1320"/>
      <c r="K1" s="1321"/>
      <c r="L1" s="1324" t="s">
        <v>649</v>
      </c>
      <c r="M1" s="103"/>
      <c r="N1" s="103"/>
      <c r="O1" s="103"/>
      <c r="P1" s="103"/>
      <c r="Q1" s="103"/>
      <c r="R1" s="1325"/>
      <c r="S1" s="1324" t="s">
        <v>649</v>
      </c>
      <c r="T1" s="103"/>
      <c r="U1" s="103"/>
      <c r="V1" s="103"/>
      <c r="W1" s="103"/>
      <c r="X1" s="1325"/>
      <c r="Y1" s="103"/>
      <c r="Z1" s="103"/>
      <c r="AA1" s="103"/>
      <c r="AB1" s="1324" t="s">
        <v>649</v>
      </c>
      <c r="AC1" s="103"/>
      <c r="AD1" s="103"/>
      <c r="AE1" s="103"/>
      <c r="AF1" s="103"/>
      <c r="AG1" s="103"/>
      <c r="AH1" s="103"/>
      <c r="AI1" s="103"/>
      <c r="AJ1" s="103"/>
      <c r="AK1" s="103"/>
      <c r="AL1" s="103"/>
      <c r="AM1" s="103"/>
      <c r="AN1" s="1325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</row>
    <row r="2" spans="1:70" s="799" customFormat="1" ht="100">
      <c r="A2" s="1388" t="s">
        <v>765</v>
      </c>
      <c r="B2" s="1"/>
      <c r="C2" s="1"/>
      <c r="D2" s="1054"/>
      <c r="E2" s="1022"/>
      <c r="F2" s="2104" t="s">
        <v>314</v>
      </c>
      <c r="G2" s="2104"/>
      <c r="H2" s="2104"/>
      <c r="I2" s="2104"/>
      <c r="J2" s="2104"/>
      <c r="K2" s="2105"/>
      <c r="L2" s="1035"/>
      <c r="M2" s="2106" t="s">
        <v>315</v>
      </c>
      <c r="N2" s="2106"/>
      <c r="O2" s="2106"/>
      <c r="P2" s="2106"/>
      <c r="Q2" s="2106"/>
      <c r="R2" s="2107"/>
      <c r="S2" s="309" t="s">
        <v>401</v>
      </c>
      <c r="T2" s="670"/>
      <c r="U2" s="310"/>
      <c r="V2" s="310"/>
      <c r="W2" s="310"/>
      <c r="X2" s="1311"/>
      <c r="Z2" s="86"/>
      <c r="AA2" s="86"/>
      <c r="AB2" s="2096" t="s">
        <v>601</v>
      </c>
      <c r="AC2" s="2097"/>
      <c r="AD2" s="2097"/>
      <c r="AE2" s="2097"/>
      <c r="AF2" s="2097"/>
      <c r="AG2" s="2097"/>
      <c r="AH2" s="2097"/>
      <c r="AI2" s="2097"/>
      <c r="AJ2" s="2097"/>
      <c r="AK2" s="2097"/>
      <c r="AL2" s="2097"/>
      <c r="AM2" s="2097"/>
      <c r="AN2" s="2098"/>
      <c r="AO2" s="134"/>
      <c r="AP2" s="85"/>
      <c r="AQ2" s="86"/>
      <c r="AR2" s="86"/>
      <c r="AS2" s="86"/>
      <c r="AT2" s="1211"/>
      <c r="AU2" s="1212"/>
      <c r="AV2" s="85"/>
      <c r="AW2" s="86"/>
      <c r="AX2" s="86"/>
      <c r="AY2" s="86"/>
      <c r="AZ2" s="1211"/>
    </row>
    <row r="3" spans="1:70" s="454" customFormat="1" ht="20" thickBot="1">
      <c r="A3" s="91"/>
      <c r="B3" s="88"/>
      <c r="C3" s="88"/>
      <c r="D3" s="1055"/>
      <c r="E3" s="88"/>
      <c r="F3" s="859"/>
      <c r="G3" s="88"/>
      <c r="H3" s="860"/>
      <c r="I3" s="860"/>
      <c r="J3" s="860"/>
      <c r="K3" s="861"/>
      <c r="L3" s="860"/>
      <c r="M3" s="859"/>
      <c r="N3" s="88"/>
      <c r="O3" s="860"/>
      <c r="P3" s="860"/>
      <c r="Q3" s="860"/>
      <c r="R3" s="861"/>
      <c r="S3" s="859"/>
      <c r="T3" s="88"/>
      <c r="U3" s="860"/>
      <c r="V3" s="860"/>
      <c r="W3" s="860"/>
      <c r="X3" s="861"/>
      <c r="Y3" s="860"/>
      <c r="Z3" s="860"/>
      <c r="AA3" s="860"/>
      <c r="AB3" s="2090" t="s">
        <v>447</v>
      </c>
      <c r="AC3" s="2091"/>
      <c r="AD3" s="2091"/>
      <c r="AE3" s="2091"/>
      <c r="AF3" s="2091"/>
      <c r="AG3" s="2092"/>
      <c r="AH3" s="2093" t="s">
        <v>446</v>
      </c>
      <c r="AI3" s="2094"/>
      <c r="AJ3" s="2094"/>
      <c r="AK3" s="2094"/>
      <c r="AL3" s="2094"/>
      <c r="AM3" s="2095"/>
      <c r="AN3" s="861"/>
      <c r="AO3" s="867"/>
      <c r="AP3" s="88"/>
      <c r="AQ3" s="860"/>
      <c r="AR3" s="860"/>
      <c r="AS3" s="860"/>
      <c r="AT3" s="868"/>
      <c r="AU3" s="867"/>
      <c r="AV3" s="88"/>
      <c r="AW3" s="860"/>
      <c r="AX3" s="860"/>
      <c r="AY3" s="860"/>
      <c r="AZ3" s="868"/>
    </row>
    <row r="4" spans="1:70" s="578" customFormat="1" ht="120">
      <c r="A4" s="576" t="s">
        <v>39</v>
      </c>
      <c r="B4" s="970" t="s">
        <v>536</v>
      </c>
      <c r="C4" s="970" t="s">
        <v>536</v>
      </c>
      <c r="D4" s="1056" t="s">
        <v>554</v>
      </c>
      <c r="E4" s="1221" t="s">
        <v>622</v>
      </c>
      <c r="F4" s="627" t="s">
        <v>402</v>
      </c>
      <c r="G4" s="347" t="s">
        <v>37</v>
      </c>
      <c r="H4" s="347" t="s">
        <v>214</v>
      </c>
      <c r="I4" s="347" t="s">
        <v>210</v>
      </c>
      <c r="J4" s="347" t="s">
        <v>209</v>
      </c>
      <c r="K4" s="348" t="s">
        <v>420</v>
      </c>
      <c r="L4" s="1221" t="s">
        <v>622</v>
      </c>
      <c r="M4" s="627" t="s">
        <v>402</v>
      </c>
      <c r="N4" s="347" t="s">
        <v>301</v>
      </c>
      <c r="O4" s="347" t="s">
        <v>302</v>
      </c>
      <c r="P4" s="347" t="s">
        <v>303</v>
      </c>
      <c r="Q4" s="347" t="s">
        <v>304</v>
      </c>
      <c r="R4" s="348" t="s">
        <v>420</v>
      </c>
      <c r="S4" s="627" t="s">
        <v>402</v>
      </c>
      <c r="T4" s="347" t="s">
        <v>301</v>
      </c>
      <c r="U4" s="347" t="s">
        <v>302</v>
      </c>
      <c r="V4" s="347" t="s">
        <v>303</v>
      </c>
      <c r="W4" s="347" t="s">
        <v>304</v>
      </c>
      <c r="X4" s="348" t="s">
        <v>420</v>
      </c>
      <c r="Y4" s="1019" t="s">
        <v>557</v>
      </c>
      <c r="Z4" s="1019" t="s">
        <v>556</v>
      </c>
      <c r="AA4" s="1019" t="s">
        <v>555</v>
      </c>
      <c r="AB4" s="659" t="s">
        <v>402</v>
      </c>
      <c r="AC4" s="85" t="s">
        <v>301</v>
      </c>
      <c r="AD4" s="85" t="s">
        <v>302</v>
      </c>
      <c r="AE4" s="85" t="s">
        <v>303</v>
      </c>
      <c r="AF4" s="85" t="s">
        <v>304</v>
      </c>
      <c r="AG4" s="660" t="s">
        <v>443</v>
      </c>
      <c r="AH4" s="661" t="s">
        <v>402</v>
      </c>
      <c r="AI4" s="85" t="s">
        <v>301</v>
      </c>
      <c r="AJ4" s="85" t="s">
        <v>302</v>
      </c>
      <c r="AK4" s="85" t="s">
        <v>303</v>
      </c>
      <c r="AL4" s="85" t="s">
        <v>304</v>
      </c>
      <c r="AM4" s="660" t="s">
        <v>444</v>
      </c>
      <c r="AN4" s="680" t="s">
        <v>445</v>
      </c>
      <c r="AO4" s="1213"/>
      <c r="AP4" s="347"/>
      <c r="AQ4" s="347"/>
      <c r="AR4" s="347"/>
      <c r="AS4" s="347"/>
      <c r="AT4" s="412"/>
      <c r="AU4" s="1214"/>
      <c r="AV4" s="347"/>
      <c r="AW4" s="347"/>
      <c r="AX4" s="347"/>
      <c r="AY4" s="347"/>
      <c r="AZ4" s="412"/>
    </row>
    <row r="5" spans="1:70" ht="20">
      <c r="A5" s="87" t="s">
        <v>45</v>
      </c>
      <c r="B5" s="971"/>
      <c r="C5" s="971"/>
      <c r="E5" s="662"/>
      <c r="F5" s="789">
        <v>1</v>
      </c>
      <c r="G5" s="1">
        <f>'База селлеров'!B63</f>
        <v>79000</v>
      </c>
      <c r="H5" s="1">
        <f>'База селлеров'!C63</f>
        <v>33000</v>
      </c>
      <c r="I5" s="1">
        <f>'База селлеров'!D67</f>
        <v>1820.0000000000002</v>
      </c>
      <c r="J5" s="1">
        <f>'База селлеров'!E67</f>
        <v>3705</v>
      </c>
      <c r="K5" s="297">
        <f>SUM(G5:J5)</f>
        <v>117525</v>
      </c>
      <c r="L5" s="13"/>
      <c r="M5" s="74">
        <f>F5</f>
        <v>1</v>
      </c>
      <c r="N5" s="1">
        <f>G5</f>
        <v>79000</v>
      </c>
      <c r="O5" s="1">
        <f>H5</f>
        <v>33000</v>
      </c>
      <c r="P5" s="1">
        <f>I5</f>
        <v>1820.0000000000002</v>
      </c>
      <c r="Q5" s="1">
        <f>J5</f>
        <v>3705</v>
      </c>
      <c r="R5" s="297">
        <f>SUM(N5:Q5)</f>
        <v>117525</v>
      </c>
      <c r="S5" s="74">
        <f>M5</f>
        <v>1</v>
      </c>
      <c r="T5" s="1">
        <f>N5</f>
        <v>79000</v>
      </c>
      <c r="U5" s="1">
        <f>O5</f>
        <v>33000</v>
      </c>
      <c r="V5" s="1">
        <f>P5</f>
        <v>1820.0000000000002</v>
      </c>
      <c r="W5" s="1">
        <f>Q5</f>
        <v>3705</v>
      </c>
      <c r="X5" s="297">
        <f>SUM(T5:W5)</f>
        <v>117525</v>
      </c>
      <c r="Y5" s="663"/>
      <c r="Z5" s="663"/>
      <c r="AA5" s="663"/>
      <c r="AB5" s="87"/>
      <c r="AC5" s="154">
        <f>T5*T88</f>
        <v>70079.174723972304</v>
      </c>
      <c r="AD5" s="154">
        <f>U5*U88</f>
        <v>27249.295112781954</v>
      </c>
      <c r="AE5" s="154">
        <f>V5*V88</f>
        <v>1564.9857633945626</v>
      </c>
      <c r="AF5" s="154">
        <f>W5*W88</f>
        <v>3185.8638754817875</v>
      </c>
      <c r="AG5" s="681">
        <f>SUM(AC5:AF5)</f>
        <v>102079.31947563062</v>
      </c>
      <c r="AI5" s="154">
        <f>T5-AC5</f>
        <v>8920.8252760276955</v>
      </c>
      <c r="AJ5" s="154">
        <f>U5-AD5</f>
        <v>5750.7048872180458</v>
      </c>
      <c r="AK5" s="154">
        <f>V5-AE5</f>
        <v>255.01423660543765</v>
      </c>
      <c r="AL5" s="154">
        <f>W5-AF5</f>
        <v>519.13612451821245</v>
      </c>
      <c r="AM5" s="681">
        <f>SUM(AI5:AL5)</f>
        <v>15445.680524369391</v>
      </c>
      <c r="AN5" s="301">
        <f>AG5+AM5</f>
        <v>117525.00000000001</v>
      </c>
      <c r="AT5" s="24"/>
      <c r="AU5" s="28"/>
      <c r="AV5" s="1">
        <f>T5</f>
        <v>79000</v>
      </c>
      <c r="AW5" s="1">
        <f>U5</f>
        <v>33000</v>
      </c>
      <c r="AX5" s="1">
        <f>V5</f>
        <v>1820.0000000000002</v>
      </c>
      <c r="AY5" s="1">
        <f>W5</f>
        <v>3705</v>
      </c>
      <c r="AZ5" s="24">
        <f>X5</f>
        <v>117525</v>
      </c>
      <c r="BG5" s="423"/>
      <c r="BH5" s="423"/>
      <c r="BI5" s="423"/>
      <c r="BJ5" s="423"/>
      <c r="BK5" s="423"/>
      <c r="BL5" s="423"/>
      <c r="BM5" s="423"/>
      <c r="BN5" s="423"/>
      <c r="BO5" s="423"/>
      <c r="BP5" s="423"/>
      <c r="BQ5" s="423"/>
      <c r="BR5" s="423"/>
    </row>
    <row r="6" spans="1:70" s="272" customFormat="1" ht="20" hidden="1" outlineLevel="1">
      <c r="A6" s="349" t="s">
        <v>318</v>
      </c>
      <c r="B6" s="971"/>
      <c r="C6" s="971"/>
      <c r="D6" s="1058"/>
      <c r="E6" s="662"/>
      <c r="F6" s="790"/>
      <c r="G6" s="662"/>
      <c r="H6" s="662"/>
      <c r="I6" s="285">
        <f>'База селлеров'!D69</f>
        <v>130.00000000000023</v>
      </c>
      <c r="J6" s="285">
        <f>'База селлеров'!E69</f>
        <v>1233</v>
      </c>
      <c r="K6" s="350"/>
      <c r="L6" s="663"/>
      <c r="M6" s="1021"/>
      <c r="N6" s="662"/>
      <c r="O6" s="662"/>
      <c r="P6" s="285">
        <f>I6</f>
        <v>130.00000000000023</v>
      </c>
      <c r="Q6" s="285">
        <f>J6</f>
        <v>1233</v>
      </c>
      <c r="R6" s="350"/>
      <c r="S6" s="1021"/>
      <c r="T6" s="662"/>
      <c r="U6" s="662"/>
      <c r="V6" s="285">
        <f>P6</f>
        <v>130.00000000000023</v>
      </c>
      <c r="W6" s="285">
        <f>Q6</f>
        <v>1233</v>
      </c>
      <c r="X6" s="350"/>
      <c r="Y6" s="663"/>
      <c r="Z6" s="663"/>
      <c r="AA6" s="663"/>
      <c r="AB6" s="351"/>
      <c r="AC6" s="662"/>
      <c r="AD6" s="662"/>
      <c r="AE6" s="285">
        <f>V6*V88</f>
        <v>111.78469738532608</v>
      </c>
      <c r="AF6" s="285">
        <f>W6*W88</f>
        <v>1060.234860585437</v>
      </c>
      <c r="AG6" s="352"/>
      <c r="AH6" s="470"/>
      <c r="AI6" s="663"/>
      <c r="AJ6" s="662"/>
      <c r="AK6" s="285">
        <f>V6-AE6</f>
        <v>18.215302614674144</v>
      </c>
      <c r="AL6" s="285">
        <f>W6-AF6</f>
        <v>172.76513941456301</v>
      </c>
      <c r="AM6" s="352"/>
      <c r="AN6" s="637"/>
      <c r="AO6" s="662"/>
      <c r="AP6" s="662"/>
      <c r="AQ6" s="662"/>
      <c r="AR6" s="662"/>
      <c r="AS6" s="662"/>
      <c r="AT6" s="352"/>
      <c r="AU6" s="470"/>
      <c r="AV6" s="662"/>
      <c r="AW6" s="662"/>
      <c r="AX6" s="662"/>
      <c r="AY6" s="662"/>
      <c r="AZ6" s="352"/>
    </row>
    <row r="7" spans="1:70" ht="20" collapsed="1">
      <c r="A7" s="416" t="s">
        <v>325</v>
      </c>
      <c r="B7" s="971"/>
      <c r="C7" s="972">
        <v>1</v>
      </c>
      <c r="D7" s="1059" t="s">
        <v>542</v>
      </c>
      <c r="E7" s="1020"/>
      <c r="F7" s="791">
        <v>0.5</v>
      </c>
      <c r="G7" s="1">
        <f>G5*$F$7</f>
        <v>39500</v>
      </c>
      <c r="H7" s="1">
        <f>H5*$F$7</f>
        <v>16500</v>
      </c>
      <c r="I7" s="1">
        <f>I5*$F$7</f>
        <v>910.00000000000011</v>
      </c>
      <c r="J7" s="1">
        <f>J5*$F$7</f>
        <v>1852.5</v>
      </c>
      <c r="K7" s="297">
        <f>SUM(G7:J7)</f>
        <v>58762.5</v>
      </c>
      <c r="L7" s="13"/>
      <c r="M7" s="791">
        <f>F7</f>
        <v>0.5</v>
      </c>
      <c r="N7" s="1">
        <f>G7</f>
        <v>39500</v>
      </c>
      <c r="O7" s="1">
        <f>H7</f>
        <v>16500</v>
      </c>
      <c r="P7" s="1">
        <f>I7</f>
        <v>910.00000000000011</v>
      </c>
      <c r="Q7" s="1">
        <f>J7</f>
        <v>1852.5</v>
      </c>
      <c r="R7" s="297">
        <f>SUM(N7:Q7)</f>
        <v>58762.5</v>
      </c>
      <c r="S7" s="791">
        <f>M7</f>
        <v>0.5</v>
      </c>
      <c r="T7" s="1">
        <f>N7</f>
        <v>39500</v>
      </c>
      <c r="U7" s="1">
        <f>O7</f>
        <v>16500</v>
      </c>
      <c r="V7" s="1">
        <f>P7</f>
        <v>910.00000000000011</v>
      </c>
      <c r="W7" s="1">
        <f>Q7</f>
        <v>1852.5</v>
      </c>
      <c r="X7" s="297">
        <f>SUM(T7:W7)</f>
        <v>58762.5</v>
      </c>
      <c r="Y7" s="663"/>
      <c r="Z7" s="663"/>
      <c r="AA7" s="663"/>
      <c r="AB7" s="296">
        <f>S7</f>
        <v>0.5</v>
      </c>
      <c r="AC7" s="154">
        <f>$AB$7*AC5</f>
        <v>35039.587361986152</v>
      </c>
      <c r="AD7" s="154">
        <f t="shared" ref="AD7:AF7" si="0">$AB$7*AD5</f>
        <v>13624.647556390977</v>
      </c>
      <c r="AE7" s="154">
        <f t="shared" si="0"/>
        <v>782.49288169728129</v>
      </c>
      <c r="AF7" s="154">
        <f t="shared" si="0"/>
        <v>1592.9319377408938</v>
      </c>
      <c r="AG7" s="681">
        <f>SUM(AC7:AF7)</f>
        <v>51039.659737815309</v>
      </c>
      <c r="AH7" s="283">
        <f>M7</f>
        <v>0.5</v>
      </c>
      <c r="AI7" s="154">
        <f>$AH$7*AI5</f>
        <v>4460.4126380138478</v>
      </c>
      <c r="AJ7" s="154">
        <f t="shared" ref="AJ7:AL7" si="1">$AH$7*AJ5</f>
        <v>2875.3524436090229</v>
      </c>
      <c r="AK7" s="154">
        <f t="shared" si="1"/>
        <v>127.50711830271882</v>
      </c>
      <c r="AL7" s="154">
        <f t="shared" si="1"/>
        <v>259.56806225910623</v>
      </c>
      <c r="AM7" s="681">
        <f>SUM(AI7:AL7)</f>
        <v>7722.8402621846953</v>
      </c>
      <c r="AN7" s="301">
        <f>AG7+AM7</f>
        <v>58762.500000000007</v>
      </c>
      <c r="AT7" s="24"/>
      <c r="AU7" s="28"/>
      <c r="AY7" s="1">
        <f>AY5</f>
        <v>3705</v>
      </c>
      <c r="AZ7" s="24">
        <f>AZ5</f>
        <v>117525</v>
      </c>
      <c r="BG7" s="423"/>
      <c r="BH7" s="423"/>
      <c r="BI7" s="423"/>
      <c r="BJ7" s="423"/>
      <c r="BK7" s="423"/>
      <c r="BL7" s="423"/>
      <c r="BM7" s="423"/>
      <c r="BN7" s="423"/>
      <c r="BO7" s="423"/>
      <c r="BP7" s="423"/>
      <c r="BQ7" s="423"/>
      <c r="BR7" s="423"/>
    </row>
    <row r="8" spans="1:70" ht="20" hidden="1" outlineLevel="1">
      <c r="A8" s="87" t="s">
        <v>0</v>
      </c>
      <c r="B8" s="971"/>
      <c r="C8" s="971"/>
      <c r="E8" s="662"/>
      <c r="F8" s="790"/>
      <c r="G8" s="285"/>
      <c r="H8" s="285"/>
      <c r="I8" s="285"/>
      <c r="J8" s="285"/>
      <c r="K8" s="346"/>
      <c r="L8" s="285"/>
      <c r="M8" s="74"/>
      <c r="N8" s="154"/>
      <c r="O8" s="154"/>
      <c r="P8" s="154"/>
      <c r="Q8" s="154"/>
      <c r="R8" s="299"/>
      <c r="Y8" s="662"/>
      <c r="Z8" s="662"/>
      <c r="AA8" s="662"/>
      <c r="AB8" s="87"/>
      <c r="AG8" s="24"/>
      <c r="AT8" s="24"/>
      <c r="AU8" s="28"/>
      <c r="AZ8" s="24"/>
      <c r="BG8" s="423"/>
      <c r="BH8" s="423"/>
      <c r="BI8" s="423"/>
      <c r="BJ8" s="423"/>
      <c r="BK8" s="423"/>
      <c r="BL8" s="423"/>
      <c r="BM8" s="423"/>
      <c r="BN8" s="423"/>
      <c r="BO8" s="423"/>
      <c r="BP8" s="423"/>
      <c r="BQ8" s="423"/>
      <c r="BR8" s="423"/>
    </row>
    <row r="9" spans="1:70" ht="20" hidden="1" outlineLevel="1">
      <c r="A9" s="87" t="s">
        <v>55</v>
      </c>
      <c r="B9" s="971"/>
      <c r="C9" s="971"/>
      <c r="E9" s="662"/>
      <c r="F9" s="789"/>
      <c r="K9" s="297"/>
      <c r="L9" s="13"/>
      <c r="M9" s="74"/>
      <c r="Y9" s="662"/>
      <c r="Z9" s="662"/>
      <c r="AA9" s="662"/>
      <c r="AB9" s="87"/>
      <c r="AG9" s="24"/>
      <c r="AT9" s="24"/>
      <c r="AU9" s="28"/>
      <c r="AZ9" s="24"/>
      <c r="BG9" s="423"/>
      <c r="BH9" s="423"/>
      <c r="BI9" s="423"/>
      <c r="BJ9" s="423"/>
      <c r="BK9" s="423"/>
      <c r="BL9" s="423"/>
      <c r="BM9" s="423"/>
      <c r="BN9" s="423"/>
      <c r="BO9" s="423"/>
      <c r="BP9" s="423"/>
      <c r="BQ9" s="423"/>
      <c r="BR9" s="423"/>
    </row>
    <row r="10" spans="1:70" ht="20" hidden="1" outlineLevel="1">
      <c r="A10" s="87" t="s">
        <v>53</v>
      </c>
      <c r="B10" s="971"/>
      <c r="C10" s="971"/>
      <c r="E10" s="662"/>
      <c r="F10" s="789"/>
      <c r="K10" s="297"/>
      <c r="L10" s="13"/>
      <c r="M10" s="74"/>
      <c r="Y10" s="662"/>
      <c r="Z10" s="662"/>
      <c r="AA10" s="662"/>
      <c r="AB10" s="87"/>
      <c r="AG10" s="24"/>
      <c r="AT10" s="24"/>
      <c r="AU10" s="28"/>
      <c r="AZ10" s="24"/>
      <c r="BG10" s="423"/>
      <c r="BH10" s="423"/>
      <c r="BI10" s="423"/>
      <c r="BJ10" s="423"/>
      <c r="BK10" s="423"/>
      <c r="BL10" s="423"/>
      <c r="BM10" s="423"/>
      <c r="BN10" s="423"/>
      <c r="BO10" s="423"/>
      <c r="BP10" s="423"/>
      <c r="BQ10" s="423"/>
      <c r="BR10" s="423"/>
    </row>
    <row r="11" spans="1:70" ht="20" hidden="1" outlineLevel="1">
      <c r="A11" s="87" t="s">
        <v>38</v>
      </c>
      <c r="B11" s="971"/>
      <c r="C11" s="971"/>
      <c r="E11" s="662"/>
      <c r="F11" s="789"/>
      <c r="K11" s="297"/>
      <c r="L11" s="13"/>
      <c r="M11" s="74"/>
      <c r="Y11" s="662"/>
      <c r="Z11" s="662"/>
      <c r="AA11" s="662"/>
      <c r="AB11" s="87"/>
      <c r="AG11" s="24"/>
      <c r="AT11" s="24"/>
      <c r="AU11" s="28"/>
      <c r="AZ11" s="24"/>
      <c r="BG11" s="423"/>
      <c r="BH11" s="423"/>
      <c r="BI11" s="423"/>
      <c r="BJ11" s="423"/>
      <c r="BK11" s="423"/>
      <c r="BL11" s="423"/>
      <c r="BM11" s="423"/>
      <c r="BN11" s="423"/>
      <c r="BO11" s="423"/>
      <c r="BP11" s="423"/>
      <c r="BQ11" s="423"/>
      <c r="BR11" s="423"/>
    </row>
    <row r="12" spans="1:70" ht="20" hidden="1" outlineLevel="1">
      <c r="A12" s="87" t="s">
        <v>124</v>
      </c>
      <c r="B12" s="971"/>
      <c r="C12" s="971"/>
      <c r="E12" s="662"/>
      <c r="F12" s="790"/>
      <c r="G12" s="285"/>
      <c r="H12" s="285"/>
      <c r="I12" s="285"/>
      <c r="J12" s="285"/>
      <c r="K12" s="346"/>
      <c r="L12" s="285"/>
      <c r="M12" s="74"/>
      <c r="N12" s="154"/>
      <c r="O12" s="154"/>
      <c r="P12" s="154"/>
      <c r="Q12" s="154"/>
      <c r="R12" s="299"/>
      <c r="Y12" s="662"/>
      <c r="Z12" s="662"/>
      <c r="AA12" s="662"/>
      <c r="AB12" s="87"/>
      <c r="AG12" s="24"/>
      <c r="AT12" s="24"/>
      <c r="AU12" s="28"/>
      <c r="AZ12" s="24"/>
      <c r="BG12" s="423"/>
      <c r="BH12" s="423"/>
      <c r="BI12" s="423"/>
      <c r="BJ12" s="423"/>
      <c r="BK12" s="423"/>
      <c r="BL12" s="423"/>
      <c r="BM12" s="423"/>
      <c r="BN12" s="423"/>
      <c r="BO12" s="423"/>
      <c r="BP12" s="423"/>
      <c r="BQ12" s="423"/>
      <c r="BR12" s="423"/>
    </row>
    <row r="13" spans="1:70" ht="40" collapsed="1">
      <c r="A13" s="349" t="s">
        <v>538</v>
      </c>
      <c r="B13" s="971"/>
      <c r="C13" s="971"/>
      <c r="D13" s="1059" t="s">
        <v>539</v>
      </c>
      <c r="E13" s="662"/>
      <c r="F13" s="790">
        <f>G13/G7</f>
        <v>0.25</v>
      </c>
      <c r="G13" s="285">
        <f>G7-G14</f>
        <v>9875</v>
      </c>
      <c r="H13" s="285">
        <f t="shared" ref="H13:J13" si="2">H7-H14</f>
        <v>4125</v>
      </c>
      <c r="I13" s="285">
        <f t="shared" si="2"/>
        <v>227.5</v>
      </c>
      <c r="J13" s="285">
        <f t="shared" si="2"/>
        <v>463.125</v>
      </c>
      <c r="K13" s="473">
        <f>SUM(G13:J13)</f>
        <v>14690.625</v>
      </c>
      <c r="L13" s="950"/>
      <c r="M13" s="790">
        <f>N13/N7</f>
        <v>0.25</v>
      </c>
      <c r="N13" s="285">
        <f>N7-N14</f>
        <v>9875</v>
      </c>
      <c r="O13" s="285">
        <f t="shared" ref="O13:Q13" si="3">O7-O14</f>
        <v>4125</v>
      </c>
      <c r="P13" s="285">
        <f t="shared" si="3"/>
        <v>227.5</v>
      </c>
      <c r="Q13" s="285">
        <f t="shared" si="3"/>
        <v>463.125</v>
      </c>
      <c r="R13" s="473">
        <f>SUM(N13:Q13)</f>
        <v>14690.625</v>
      </c>
      <c r="S13" s="1" t="s">
        <v>1</v>
      </c>
      <c r="T13" s="1" t="s">
        <v>1</v>
      </c>
      <c r="U13" s="1" t="s">
        <v>1</v>
      </c>
      <c r="V13" s="1" t="s">
        <v>1</v>
      </c>
      <c r="W13" s="1" t="s">
        <v>1</v>
      </c>
      <c r="X13" s="295" t="s">
        <v>1</v>
      </c>
      <c r="Y13" s="662"/>
      <c r="Z13" s="662"/>
      <c r="AA13" s="662"/>
      <c r="AB13" s="87"/>
      <c r="AG13" s="24"/>
      <c r="AH13" s="156">
        <f t="shared" ref="AH13:AH20" si="4">M13</f>
        <v>0.25</v>
      </c>
      <c r="AI13" s="285">
        <f>AI7-AI14</f>
        <v>1115.1031595034619</v>
      </c>
      <c r="AJ13" s="285">
        <f t="shared" ref="AJ13:AL13" si="5">AJ7-AJ14</f>
        <v>718.83811090225572</v>
      </c>
      <c r="AK13" s="285">
        <f t="shared" si="5"/>
        <v>31.876779575679706</v>
      </c>
      <c r="AL13" s="285">
        <f t="shared" si="5"/>
        <v>64.892015564776557</v>
      </c>
      <c r="AM13" s="682">
        <f>SUM(AI13:AL13)</f>
        <v>1930.7100655461738</v>
      </c>
      <c r="AN13" s="346">
        <f>AG13+AM13</f>
        <v>1930.7100655461738</v>
      </c>
      <c r="AT13" s="24"/>
      <c r="AU13" s="28"/>
      <c r="AZ13" s="24"/>
      <c r="BG13" s="423"/>
      <c r="BH13" s="423"/>
      <c r="BI13" s="423"/>
      <c r="BJ13" s="423"/>
      <c r="BK13" s="423"/>
      <c r="BL13" s="423"/>
      <c r="BM13" s="423"/>
      <c r="BN13" s="423"/>
      <c r="BO13" s="423"/>
      <c r="BP13" s="423"/>
      <c r="BQ13" s="423"/>
      <c r="BR13" s="423"/>
    </row>
    <row r="14" spans="1:70" ht="20">
      <c r="A14" s="128" t="s">
        <v>600</v>
      </c>
      <c r="B14" s="971" t="s">
        <v>539</v>
      </c>
      <c r="C14" s="972">
        <v>0.13</v>
      </c>
      <c r="D14" s="1059" t="s">
        <v>539</v>
      </c>
      <c r="E14" s="1020"/>
      <c r="F14" s="1023">
        <v>0.75</v>
      </c>
      <c r="G14" s="154">
        <f>$G$7*F14</f>
        <v>29625</v>
      </c>
      <c r="H14" s="154">
        <f>$H$7*F14</f>
        <v>12375</v>
      </c>
      <c r="I14" s="154">
        <f>$I$7*F14</f>
        <v>682.50000000000011</v>
      </c>
      <c r="J14" s="154">
        <f>$J$7*F14</f>
        <v>1389.375</v>
      </c>
      <c r="K14" s="301">
        <f>SUM(G14:J14)</f>
        <v>44071.875</v>
      </c>
      <c r="L14" s="279"/>
      <c r="M14" s="1023">
        <f>F14</f>
        <v>0.75</v>
      </c>
      <c r="N14" s="154">
        <f>$N$7*M14</f>
        <v>29625</v>
      </c>
      <c r="O14" s="154">
        <f>$O$7*M14</f>
        <v>12375</v>
      </c>
      <c r="P14" s="154">
        <f>$P$7*M14</f>
        <v>682.50000000000011</v>
      </c>
      <c r="Q14" s="154">
        <f>$Q$7*M14</f>
        <v>1389.375</v>
      </c>
      <c r="R14" s="301">
        <f>SUM(N14:Q14)</f>
        <v>44071.875</v>
      </c>
      <c r="S14" s="1" t="s">
        <v>1</v>
      </c>
      <c r="T14" s="1" t="s">
        <v>1</v>
      </c>
      <c r="U14" s="1" t="s">
        <v>1</v>
      </c>
      <c r="V14" s="1" t="s">
        <v>1</v>
      </c>
      <c r="W14" s="1" t="s">
        <v>1</v>
      </c>
      <c r="X14" s="295" t="s">
        <v>1</v>
      </c>
      <c r="Y14" s="662"/>
      <c r="Z14" s="662"/>
      <c r="AA14" s="662"/>
      <c r="AB14" s="342"/>
      <c r="AC14" s="154"/>
      <c r="AD14" s="154"/>
      <c r="AE14" s="154"/>
      <c r="AF14" s="154"/>
      <c r="AG14" s="684"/>
      <c r="AH14" s="156">
        <f t="shared" si="4"/>
        <v>0.75</v>
      </c>
      <c r="AI14" s="154">
        <f>$AI$7*AH14</f>
        <v>3345.3094785103858</v>
      </c>
      <c r="AJ14" s="154">
        <f>$AJ$7*AH14</f>
        <v>2156.5143327067672</v>
      </c>
      <c r="AK14" s="154">
        <f>$AK$7*AH14</f>
        <v>95.630338727039117</v>
      </c>
      <c r="AL14" s="154">
        <f>$AL$7*AH14</f>
        <v>194.67604669432967</v>
      </c>
      <c r="AM14" s="681">
        <f>SUM(AI14:AL14)</f>
        <v>5792.1301966385217</v>
      </c>
      <c r="AN14" s="301">
        <f t="shared" ref="AN14:AN26" si="6">AG14+AM14</f>
        <v>5792.1301966385217</v>
      </c>
      <c r="AT14" s="24"/>
      <c r="AU14" s="28"/>
      <c r="AZ14" s="24"/>
      <c r="BG14" s="423"/>
      <c r="BH14" s="423"/>
      <c r="BI14" s="423"/>
      <c r="BJ14" s="423"/>
      <c r="BK14" s="423"/>
      <c r="BL14" s="423"/>
      <c r="BM14" s="423"/>
      <c r="BN14" s="423"/>
      <c r="BO14" s="423"/>
      <c r="BP14" s="423"/>
      <c r="BQ14" s="423"/>
      <c r="BR14" s="423"/>
    </row>
    <row r="15" spans="1:70" ht="20">
      <c r="A15" s="128" t="s">
        <v>171</v>
      </c>
      <c r="B15" s="971" t="s">
        <v>540</v>
      </c>
      <c r="C15" s="972">
        <v>1</v>
      </c>
      <c r="D15" s="1059" t="s">
        <v>543</v>
      </c>
      <c r="E15" s="1020"/>
      <c r="F15" s="74">
        <v>1</v>
      </c>
      <c r="G15" s="154">
        <f>$G$14*F15</f>
        <v>29625</v>
      </c>
      <c r="H15" s="154">
        <f>$H$14*F15</f>
        <v>12375</v>
      </c>
      <c r="I15" s="154">
        <f>$I$14*F15</f>
        <v>682.50000000000011</v>
      </c>
      <c r="J15" s="154">
        <f>$J$14*F15</f>
        <v>1389.375</v>
      </c>
      <c r="K15" s="301">
        <f t="shared" ref="K15:K51" si="7">SUM(G15:J15)</f>
        <v>44071.875</v>
      </c>
      <c r="L15" s="279"/>
      <c r="M15" s="74">
        <f t="shared" ref="M15:M18" si="8">F15</f>
        <v>1</v>
      </c>
      <c r="N15" s="154">
        <f t="shared" ref="N15:N18" si="9">$N$7*M15</f>
        <v>39500</v>
      </c>
      <c r="O15" s="154">
        <f t="shared" ref="O15:O18" si="10">$O$7*M15</f>
        <v>16500</v>
      </c>
      <c r="P15" s="154">
        <f t="shared" ref="P15:P18" si="11">$P$7*M15</f>
        <v>910.00000000000011</v>
      </c>
      <c r="Q15" s="154">
        <f t="shared" ref="Q15:Q18" si="12">$Q$7*M15</f>
        <v>1852.5</v>
      </c>
      <c r="R15" s="301">
        <f t="shared" ref="R15:R26" si="13">SUM(N15:Q15)</f>
        <v>58762.5</v>
      </c>
      <c r="S15" s="1" t="s">
        <v>1</v>
      </c>
      <c r="T15" s="1" t="s">
        <v>1</v>
      </c>
      <c r="U15" s="1" t="s">
        <v>1</v>
      </c>
      <c r="V15" s="1" t="s">
        <v>1</v>
      </c>
      <c r="W15" s="1" t="s">
        <v>1</v>
      </c>
      <c r="X15" s="295" t="s">
        <v>1</v>
      </c>
      <c r="Y15" s="662"/>
      <c r="Z15" s="662"/>
      <c r="AA15" s="662"/>
      <c r="AB15" s="342"/>
      <c r="AC15" s="154"/>
      <c r="AD15" s="154"/>
      <c r="AE15" s="154"/>
      <c r="AF15" s="154"/>
      <c r="AG15" s="684"/>
      <c r="AH15" s="156">
        <f t="shared" si="4"/>
        <v>1</v>
      </c>
      <c r="AI15" s="154">
        <f>$AI$7*AH15</f>
        <v>4460.4126380138478</v>
      </c>
      <c r="AJ15" s="154">
        <f>$AJ$7*AH15</f>
        <v>2875.3524436090229</v>
      </c>
      <c r="AK15" s="154">
        <f>$AK$7*AH15</f>
        <v>127.50711830271882</v>
      </c>
      <c r="AL15" s="154">
        <f>$AL$7*AH15</f>
        <v>259.56806225910623</v>
      </c>
      <c r="AM15" s="681">
        <f t="shared" ref="AM15:AM26" si="14">SUM(AI15:AL15)</f>
        <v>7722.8402621846953</v>
      </c>
      <c r="AN15" s="301">
        <f t="shared" si="6"/>
        <v>7722.8402621846953</v>
      </c>
      <c r="AT15" s="24"/>
      <c r="AU15" s="28"/>
      <c r="AZ15" s="24"/>
      <c r="BG15" s="423"/>
      <c r="BH15" s="423"/>
      <c r="BI15" s="423"/>
      <c r="BJ15" s="423"/>
      <c r="BK15" s="423"/>
      <c r="BL15" s="423"/>
      <c r="BM15" s="423"/>
      <c r="BN15" s="423"/>
      <c r="BO15" s="423"/>
      <c r="BP15" s="423"/>
      <c r="BQ15" s="423"/>
      <c r="BR15" s="423"/>
    </row>
    <row r="16" spans="1:70" ht="20">
      <c r="A16" s="128" t="s">
        <v>211</v>
      </c>
      <c r="B16" s="971" t="s">
        <v>540</v>
      </c>
      <c r="C16" s="973">
        <v>0.4</v>
      </c>
      <c r="D16" s="1059" t="s">
        <v>543</v>
      </c>
      <c r="E16" s="1021"/>
      <c r="F16" s="74">
        <f>'Воронка MPS_обработано'!N10</f>
        <v>0.4</v>
      </c>
      <c r="G16" s="154">
        <f t="shared" ref="G16:G18" si="15">$G$14*F16</f>
        <v>11850</v>
      </c>
      <c r="H16" s="154">
        <f t="shared" ref="H16:H18" si="16">$H$14*F16</f>
        <v>4950</v>
      </c>
      <c r="I16" s="154">
        <f t="shared" ref="I16:I18" si="17">$I$14*F16</f>
        <v>273.00000000000006</v>
      </c>
      <c r="J16" s="154">
        <f t="shared" ref="J16:J18" si="18">$J$14*F16</f>
        <v>555.75</v>
      </c>
      <c r="K16" s="301">
        <f t="shared" si="7"/>
        <v>17628.75</v>
      </c>
      <c r="L16" s="279"/>
      <c r="M16" s="74">
        <f t="shared" si="8"/>
        <v>0.4</v>
      </c>
      <c r="N16" s="154">
        <f t="shared" si="9"/>
        <v>15800</v>
      </c>
      <c r="O16" s="154">
        <f t="shared" si="10"/>
        <v>6600</v>
      </c>
      <c r="P16" s="154">
        <f t="shared" si="11"/>
        <v>364.00000000000006</v>
      </c>
      <c r="Q16" s="154">
        <f t="shared" si="12"/>
        <v>741</v>
      </c>
      <c r="R16" s="301">
        <f t="shared" si="13"/>
        <v>23505</v>
      </c>
      <c r="S16" s="1" t="s">
        <v>1</v>
      </c>
      <c r="T16" s="1" t="s">
        <v>1</v>
      </c>
      <c r="U16" s="1" t="s">
        <v>1</v>
      </c>
      <c r="V16" s="1" t="s">
        <v>1</v>
      </c>
      <c r="W16" s="1" t="s">
        <v>1</v>
      </c>
      <c r="X16" s="295" t="s">
        <v>1</v>
      </c>
      <c r="Y16" s="662"/>
      <c r="Z16" s="662"/>
      <c r="AA16" s="662"/>
      <c r="AB16" s="342"/>
      <c r="AC16" s="154"/>
      <c r="AD16" s="154"/>
      <c r="AE16" s="154"/>
      <c r="AF16" s="154"/>
      <c r="AG16" s="684"/>
      <c r="AH16" s="156">
        <f t="shared" si="4"/>
        <v>0.4</v>
      </c>
      <c r="AI16" s="154">
        <f>$AI$7*AH16</f>
        <v>1784.1650552055391</v>
      </c>
      <c r="AJ16" s="154">
        <f>$AJ$7*AH16</f>
        <v>1150.1409774436092</v>
      </c>
      <c r="AK16" s="154">
        <f>$AK$7*AH16</f>
        <v>51.002847321087529</v>
      </c>
      <c r="AL16" s="154">
        <f>$AL$7*AH16</f>
        <v>103.8272249036425</v>
      </c>
      <c r="AM16" s="681">
        <f t="shared" si="14"/>
        <v>3089.136104873879</v>
      </c>
      <c r="AN16" s="301">
        <f t="shared" si="6"/>
        <v>3089.136104873879</v>
      </c>
      <c r="AT16" s="24"/>
      <c r="AU16" s="28"/>
      <c r="AZ16" s="24"/>
      <c r="BG16" s="423"/>
      <c r="BH16" s="423"/>
      <c r="BI16" s="423"/>
      <c r="BJ16" s="423"/>
      <c r="BK16" s="423"/>
      <c r="BL16" s="423"/>
      <c r="BM16" s="423"/>
      <c r="BN16" s="423"/>
      <c r="BO16" s="423"/>
      <c r="BP16" s="423"/>
      <c r="BQ16" s="423"/>
      <c r="BR16" s="423"/>
    </row>
    <row r="17" spans="1:70" ht="20">
      <c r="A17" s="128" t="s">
        <v>212</v>
      </c>
      <c r="B17" s="971" t="s">
        <v>540</v>
      </c>
      <c r="C17" s="973">
        <v>0.29799999999999999</v>
      </c>
      <c r="D17" s="1059" t="s">
        <v>543</v>
      </c>
      <c r="E17" s="1021"/>
      <c r="F17" s="326">
        <f>'Воронка MPS_обработано'!N11</f>
        <v>0.29799999999999999</v>
      </c>
      <c r="G17" s="154">
        <f t="shared" si="15"/>
        <v>8828.25</v>
      </c>
      <c r="H17" s="154">
        <f t="shared" si="16"/>
        <v>3687.75</v>
      </c>
      <c r="I17" s="154">
        <f t="shared" si="17"/>
        <v>203.38500000000002</v>
      </c>
      <c r="J17" s="154">
        <f t="shared" si="18"/>
        <v>414.03375</v>
      </c>
      <c r="K17" s="301">
        <f t="shared" si="7"/>
        <v>13133.418750000001</v>
      </c>
      <c r="L17" s="279"/>
      <c r="M17" s="74">
        <f t="shared" si="8"/>
        <v>0.29799999999999999</v>
      </c>
      <c r="N17" s="154">
        <f t="shared" si="9"/>
        <v>11771</v>
      </c>
      <c r="O17" s="154">
        <f t="shared" si="10"/>
        <v>4917</v>
      </c>
      <c r="P17" s="154">
        <f t="shared" si="11"/>
        <v>271.18</v>
      </c>
      <c r="Q17" s="154">
        <f t="shared" si="12"/>
        <v>552.04499999999996</v>
      </c>
      <c r="R17" s="301">
        <f t="shared" si="13"/>
        <v>17511.224999999999</v>
      </c>
      <c r="S17" s="1" t="s">
        <v>1</v>
      </c>
      <c r="T17" s="1" t="s">
        <v>1</v>
      </c>
      <c r="U17" s="1" t="s">
        <v>1</v>
      </c>
      <c r="V17" s="1" t="s">
        <v>1</v>
      </c>
      <c r="W17" s="1" t="s">
        <v>1</v>
      </c>
      <c r="X17" s="295" t="s">
        <v>1</v>
      </c>
      <c r="Y17" s="662"/>
      <c r="Z17" s="662"/>
      <c r="AA17" s="662"/>
      <c r="AB17" s="342"/>
      <c r="AC17" s="154"/>
      <c r="AD17" s="154"/>
      <c r="AE17" s="154"/>
      <c r="AF17" s="154"/>
      <c r="AG17" s="684"/>
      <c r="AH17" s="156">
        <f t="shared" si="4"/>
        <v>0.29799999999999999</v>
      </c>
      <c r="AI17" s="154">
        <f>$AI$7*AH17</f>
        <v>1329.2029661281265</v>
      </c>
      <c r="AJ17" s="154">
        <f>$AJ$7*AH17</f>
        <v>856.85502819548879</v>
      </c>
      <c r="AK17" s="154">
        <f>$AK$7*AH17</f>
        <v>37.997121254210207</v>
      </c>
      <c r="AL17" s="154">
        <f>$AL$7*AH17</f>
        <v>77.35128255321365</v>
      </c>
      <c r="AM17" s="681">
        <f t="shared" si="14"/>
        <v>2301.4063981310392</v>
      </c>
      <c r="AN17" s="301">
        <f t="shared" si="6"/>
        <v>2301.4063981310392</v>
      </c>
      <c r="AT17" s="24"/>
      <c r="AU17" s="28"/>
      <c r="AZ17" s="24"/>
      <c r="BG17" s="423"/>
      <c r="BH17" s="423"/>
      <c r="BI17" s="423"/>
      <c r="BJ17" s="423"/>
      <c r="BK17" s="423"/>
      <c r="BL17" s="423"/>
      <c r="BM17" s="423"/>
      <c r="BN17" s="423"/>
      <c r="BO17" s="423"/>
      <c r="BP17" s="423"/>
      <c r="BQ17" s="423"/>
      <c r="BR17" s="423"/>
    </row>
    <row r="18" spans="1:70" ht="20">
      <c r="A18" s="128" t="s">
        <v>213</v>
      </c>
      <c r="B18" s="971" t="s">
        <v>540</v>
      </c>
      <c r="C18" s="973">
        <v>0.45500000000000002</v>
      </c>
      <c r="D18" s="1059" t="s">
        <v>543</v>
      </c>
      <c r="E18" s="1021"/>
      <c r="F18" s="326">
        <f>'Воронка MPS_обработано'!N12</f>
        <v>0.45500000000000002</v>
      </c>
      <c r="G18" s="154">
        <f t="shared" si="15"/>
        <v>13479.375</v>
      </c>
      <c r="H18" s="154">
        <f t="shared" si="16"/>
        <v>5630.625</v>
      </c>
      <c r="I18" s="154">
        <f t="shared" si="17"/>
        <v>310.53750000000008</v>
      </c>
      <c r="J18" s="154">
        <f t="shared" si="18"/>
        <v>632.16562499999998</v>
      </c>
      <c r="K18" s="301">
        <f t="shared" si="7"/>
        <v>20052.703125</v>
      </c>
      <c r="L18" s="279"/>
      <c r="M18" s="74">
        <f t="shared" si="8"/>
        <v>0.45500000000000002</v>
      </c>
      <c r="N18" s="154">
        <f t="shared" si="9"/>
        <v>17972.5</v>
      </c>
      <c r="O18" s="154">
        <f t="shared" si="10"/>
        <v>7507.5</v>
      </c>
      <c r="P18" s="154">
        <f t="shared" si="11"/>
        <v>414.05000000000007</v>
      </c>
      <c r="Q18" s="154">
        <f t="shared" si="12"/>
        <v>842.88750000000005</v>
      </c>
      <c r="R18" s="301">
        <f t="shared" si="13"/>
        <v>26736.9375</v>
      </c>
      <c r="S18" s="1" t="s">
        <v>1</v>
      </c>
      <c r="T18" s="1" t="s">
        <v>1</v>
      </c>
      <c r="U18" s="1" t="s">
        <v>1</v>
      </c>
      <c r="V18" s="1" t="s">
        <v>1</v>
      </c>
      <c r="W18" s="1" t="s">
        <v>1</v>
      </c>
      <c r="X18" s="295" t="s">
        <v>1</v>
      </c>
      <c r="Y18" s="662"/>
      <c r="Z18" s="662"/>
      <c r="AA18" s="662"/>
      <c r="AB18" s="342"/>
      <c r="AC18" s="154"/>
      <c r="AD18" s="154"/>
      <c r="AE18" s="154"/>
      <c r="AF18" s="154"/>
      <c r="AG18" s="684"/>
      <c r="AH18" s="156">
        <f t="shared" si="4"/>
        <v>0.45500000000000002</v>
      </c>
      <c r="AI18" s="154">
        <f>$AI$7*AH18</f>
        <v>2029.4877502963009</v>
      </c>
      <c r="AJ18" s="154">
        <f>$AJ$7*AH18</f>
        <v>1308.2853618421054</v>
      </c>
      <c r="AK18" s="154">
        <f>$AK$7*AH18</f>
        <v>58.015738827737067</v>
      </c>
      <c r="AL18" s="154">
        <f>$AL$7*AH18</f>
        <v>118.10346832789334</v>
      </c>
      <c r="AM18" s="681">
        <f t="shared" si="14"/>
        <v>3513.892319294037</v>
      </c>
      <c r="AN18" s="301">
        <f t="shared" si="6"/>
        <v>3513.892319294037</v>
      </c>
      <c r="AT18" s="24"/>
      <c r="AU18" s="28"/>
      <c r="AZ18" s="24"/>
      <c r="BG18" s="423"/>
      <c r="BH18" s="423"/>
      <c r="BI18" s="423"/>
      <c r="BJ18" s="423"/>
      <c r="BK18" s="423"/>
      <c r="BL18" s="423"/>
      <c r="BM18" s="423"/>
      <c r="BN18" s="423"/>
      <c r="BO18" s="423"/>
      <c r="BP18" s="423"/>
      <c r="BQ18" s="423"/>
      <c r="BR18" s="423"/>
    </row>
    <row r="19" spans="1:70" ht="40">
      <c r="A19" s="416" t="s">
        <v>337</v>
      </c>
      <c r="B19" s="971" t="s">
        <v>539</v>
      </c>
      <c r="C19" s="974" t="s">
        <v>541</v>
      </c>
      <c r="D19" s="1059" t="s">
        <v>543</v>
      </c>
      <c r="E19" s="74">
        <f>K19/K7</f>
        <v>6.4038461538461544E-2</v>
      </c>
      <c r="F19" s="723">
        <f>'Воронка MPS_обработано'!N14</f>
        <v>8.5384615384615392E-2</v>
      </c>
      <c r="G19" s="154">
        <f>$G$14*F19</f>
        <v>2529.5192307692309</v>
      </c>
      <c r="H19" s="154">
        <f>$H$14*F19</f>
        <v>1056.6346153846155</v>
      </c>
      <c r="I19" s="154">
        <f>$I$14*F19</f>
        <v>58.275000000000013</v>
      </c>
      <c r="J19" s="154">
        <f>$J$14*F19</f>
        <v>118.63125000000001</v>
      </c>
      <c r="K19" s="301">
        <f t="shared" si="7"/>
        <v>3763.0600961538466</v>
      </c>
      <c r="L19" s="326">
        <f>R19/R7</f>
        <v>9.6057692307692316E-2</v>
      </c>
      <c r="M19" s="1024">
        <f>F19*1.5</f>
        <v>0.12807692307692309</v>
      </c>
      <c r="N19" s="154">
        <f>N14*$M$19</f>
        <v>3794.2788461538466</v>
      </c>
      <c r="O19" s="154">
        <f t="shared" ref="O19:Q19" si="19">O14*$M$19</f>
        <v>1584.9519230769233</v>
      </c>
      <c r="P19" s="154">
        <f t="shared" si="19"/>
        <v>87.412500000000023</v>
      </c>
      <c r="Q19" s="154">
        <f t="shared" si="19"/>
        <v>177.94687500000001</v>
      </c>
      <c r="R19" s="301">
        <f t="shared" si="13"/>
        <v>5644.5901442307695</v>
      </c>
      <c r="S19" s="1228">
        <f>'Воронка Селлер as is'!F12</f>
        <v>1.7475398710553106E-2</v>
      </c>
      <c r="T19" s="154">
        <f>$S$19*T7</f>
        <v>690.27824906684771</v>
      </c>
      <c r="U19" s="154">
        <f t="shared" ref="U19:W19" si="20">$S$19*U7</f>
        <v>288.34407872412623</v>
      </c>
      <c r="V19" s="154">
        <f t="shared" si="20"/>
        <v>15.902612826603328</v>
      </c>
      <c r="W19" s="154">
        <f t="shared" si="20"/>
        <v>32.373176111299628</v>
      </c>
      <c r="X19" s="301">
        <f>SUM(T19:W19)</f>
        <v>1026.8981167288769</v>
      </c>
      <c r="Y19" s="1034">
        <f>AG19/$AG$7</f>
        <v>1.7475398710553106E-2</v>
      </c>
      <c r="Z19" s="1032">
        <f>AM19/$AM$7</f>
        <v>9.605769230769233E-2</v>
      </c>
      <c r="AA19" s="1034">
        <f>AN19/AN7</f>
        <v>2.7803048161934605E-2</v>
      </c>
      <c r="AB19" s="927">
        <f>S19</f>
        <v>1.7475398710553106E-2</v>
      </c>
      <c r="AC19" s="154">
        <f>$S$19*AC7</f>
        <v>612.33075980396575</v>
      </c>
      <c r="AD19" s="154">
        <f t="shared" ref="AD19:AF19" si="21">$S$19*AD7</f>
        <v>238.0961483386954</v>
      </c>
      <c r="AE19" s="154">
        <f t="shared" si="21"/>
        <v>13.674375095829653</v>
      </c>
      <c r="AF19" s="154">
        <f t="shared" si="21"/>
        <v>27.837120730796077</v>
      </c>
      <c r="AG19" s="681">
        <f>SUM(AC19:AF19)</f>
        <v>891.93840396928692</v>
      </c>
      <c r="AH19" s="928">
        <f t="shared" si="4"/>
        <v>0.12807692307692309</v>
      </c>
      <c r="AI19" s="154">
        <f>AI14*$AH$19</f>
        <v>428.4569447476764</v>
      </c>
      <c r="AJ19" s="154">
        <f>AJ14*$AH$19</f>
        <v>276.19972030436674</v>
      </c>
      <c r="AK19" s="154">
        <f t="shared" ref="AK19:AL19" si="22">AK14*$AH$19</f>
        <v>12.248039536963088</v>
      </c>
      <c r="AL19" s="154">
        <f t="shared" si="22"/>
        <v>24.933509057389148</v>
      </c>
      <c r="AM19" s="681">
        <f t="shared" si="14"/>
        <v>741.83821364639539</v>
      </c>
      <c r="AN19" s="301">
        <f t="shared" si="6"/>
        <v>1633.7766176156824</v>
      </c>
      <c r="AT19" s="24"/>
      <c r="AU19" s="28"/>
      <c r="AZ19" s="24"/>
      <c r="BG19" s="423"/>
      <c r="BH19" s="423"/>
      <c r="BI19" s="423"/>
      <c r="BJ19" s="423"/>
      <c r="BK19" s="423"/>
      <c r="BL19" s="423"/>
      <c r="BM19" s="423"/>
      <c r="BN19" s="423"/>
      <c r="BO19" s="423"/>
      <c r="BP19" s="423"/>
      <c r="BQ19" s="423"/>
      <c r="BR19" s="423"/>
    </row>
    <row r="20" spans="1:70" ht="20">
      <c r="A20" s="416" t="s">
        <v>338</v>
      </c>
      <c r="B20" s="938"/>
      <c r="C20" s="939"/>
      <c r="D20" s="1060" t="s">
        <v>539</v>
      </c>
      <c r="E20" s="160">
        <f>K20/K7</f>
        <v>4.3688496776382764E-3</v>
      </c>
      <c r="F20" s="724">
        <f>S19</f>
        <v>1.7475398710553106E-2</v>
      </c>
      <c r="G20" s="154">
        <f>G13*$F$20</f>
        <v>172.56956226671193</v>
      </c>
      <c r="H20" s="154">
        <f t="shared" ref="H20:J20" si="23">H13*$F$20</f>
        <v>72.086019681031559</v>
      </c>
      <c r="I20" s="154">
        <f t="shared" si="23"/>
        <v>3.9756532066508314</v>
      </c>
      <c r="J20" s="154">
        <f t="shared" si="23"/>
        <v>8.093294027824907</v>
      </c>
      <c r="K20" s="301">
        <f t="shared" si="7"/>
        <v>256.72452918221921</v>
      </c>
      <c r="L20" s="326">
        <f>R20/R7</f>
        <v>4.3688496776382764E-3</v>
      </c>
      <c r="M20" s="724">
        <f>S19</f>
        <v>1.7475398710553106E-2</v>
      </c>
      <c r="N20" s="154">
        <f>N13*$M$20</f>
        <v>172.56956226671193</v>
      </c>
      <c r="O20" s="154">
        <f t="shared" ref="O20:Q20" si="24">O13*$M$20</f>
        <v>72.086019681031559</v>
      </c>
      <c r="P20" s="154">
        <f t="shared" si="24"/>
        <v>3.9756532066508314</v>
      </c>
      <c r="Q20" s="154">
        <f t="shared" si="24"/>
        <v>8.093294027824907</v>
      </c>
      <c r="R20" s="301">
        <f t="shared" si="13"/>
        <v>256.72452918221921</v>
      </c>
      <c r="S20" s="326"/>
      <c r="T20" s="154"/>
      <c r="U20" s="154"/>
      <c r="V20" s="154"/>
      <c r="W20" s="154"/>
      <c r="X20" s="301"/>
      <c r="Y20" s="1034">
        <f t="shared" ref="Y20:Y21" si="25">AG20/$AG$7</f>
        <v>0</v>
      </c>
      <c r="Z20" s="1032">
        <f t="shared" ref="Z20:Z21" si="26">AM20/$AM$7</f>
        <v>4.3688496776382773E-3</v>
      </c>
      <c r="AA20" s="1034">
        <f>AN20/AN7</f>
        <v>5.7417448525671144E-4</v>
      </c>
      <c r="AB20" s="342"/>
      <c r="AC20" s="154"/>
      <c r="AD20" s="154"/>
      <c r="AE20" s="154"/>
      <c r="AF20" s="154"/>
      <c r="AG20" s="684"/>
      <c r="AH20" s="156">
        <f t="shared" si="4"/>
        <v>1.7475398710553106E-2</v>
      </c>
      <c r="AI20" s="154">
        <f>AI13*$AH$20</f>
        <v>19.486872315720493</v>
      </c>
      <c r="AJ20" s="154">
        <f>AJ13*$AH$20</f>
        <v>12.56198259635771</v>
      </c>
      <c r="AK20" s="154">
        <f t="shared" ref="AK20:AL20" si="27">AK13*$AH$20</f>
        <v>0.55705943269341873</v>
      </c>
      <c r="AL20" s="154">
        <f t="shared" si="27"/>
        <v>1.1340138451258883</v>
      </c>
      <c r="AM20" s="681">
        <f t="shared" si="14"/>
        <v>33.739928189897512</v>
      </c>
      <c r="AN20" s="301">
        <f t="shared" si="6"/>
        <v>33.739928189897512</v>
      </c>
      <c r="AP20" s="84"/>
      <c r="AT20" s="24"/>
      <c r="AU20" s="28"/>
      <c r="AZ20" s="24"/>
      <c r="BG20" s="423"/>
      <c r="BH20" s="423"/>
      <c r="BI20" s="423"/>
      <c r="BJ20" s="423"/>
      <c r="BK20" s="423"/>
      <c r="BL20" s="423"/>
      <c r="BM20" s="423"/>
      <c r="BN20" s="423"/>
      <c r="BO20" s="423"/>
      <c r="BP20" s="423"/>
      <c r="BQ20" s="423"/>
      <c r="BR20" s="423"/>
    </row>
    <row r="21" spans="1:70" s="454" customFormat="1" ht="21" thickBot="1">
      <c r="A21" s="453" t="s">
        <v>339</v>
      </c>
      <c r="B21" s="88"/>
      <c r="C21" s="88"/>
      <c r="D21" s="1055"/>
      <c r="E21" s="1220">
        <f>K21/K7</f>
        <v>6.8407311216099817E-2</v>
      </c>
      <c r="F21" s="363"/>
      <c r="G21" s="363">
        <f>SUM(G19:G20)</f>
        <v>2702.0887930359427</v>
      </c>
      <c r="H21" s="363">
        <f t="shared" ref="H21:J21" si="28">SUM(H19:H20)</f>
        <v>1128.720635065647</v>
      </c>
      <c r="I21" s="363">
        <f t="shared" si="28"/>
        <v>62.250653206650846</v>
      </c>
      <c r="J21" s="363">
        <f t="shared" si="28"/>
        <v>126.72454402782492</v>
      </c>
      <c r="K21" s="364">
        <f t="shared" si="7"/>
        <v>4019.7846253360653</v>
      </c>
      <c r="L21" s="1219">
        <f>R21/R7</f>
        <v>0.10042654198533059</v>
      </c>
      <c r="M21" s="363"/>
      <c r="N21" s="363">
        <f>SUM(N19:N20)</f>
        <v>3966.8484084205584</v>
      </c>
      <c r="O21" s="363">
        <f t="shared" ref="O21:Q21" si="29">SUM(O19:O20)</f>
        <v>1657.0379427579549</v>
      </c>
      <c r="P21" s="363">
        <f t="shared" si="29"/>
        <v>91.388153206650856</v>
      </c>
      <c r="Q21" s="363">
        <f t="shared" si="29"/>
        <v>186.0401690278249</v>
      </c>
      <c r="R21" s="364">
        <f t="shared" si="13"/>
        <v>5901.3146734129887</v>
      </c>
      <c r="S21" s="951"/>
      <c r="T21" s="363">
        <f>T19</f>
        <v>690.27824906684771</v>
      </c>
      <c r="U21" s="363">
        <f t="shared" ref="U21:W21" si="30">U19</f>
        <v>288.34407872412623</v>
      </c>
      <c r="V21" s="363">
        <f t="shared" si="30"/>
        <v>15.902612826603328</v>
      </c>
      <c r="W21" s="363">
        <f t="shared" si="30"/>
        <v>32.373176111299628</v>
      </c>
      <c r="X21" s="364">
        <f>SUM(T21:W21)</f>
        <v>1026.8981167288769</v>
      </c>
      <c r="Y21" s="1033">
        <f t="shared" si="25"/>
        <v>1.7475398710553106E-2</v>
      </c>
      <c r="Z21" s="1033">
        <f t="shared" si="26"/>
        <v>0.10042654198533059</v>
      </c>
      <c r="AA21" s="1219">
        <f>AN21/AN7</f>
        <v>2.8377222647191315E-2</v>
      </c>
      <c r="AB21" s="474"/>
      <c r="AC21" s="363">
        <f>AC19</f>
        <v>612.33075980396575</v>
      </c>
      <c r="AD21" s="363">
        <f t="shared" ref="AD21:AF21" si="31">AD19</f>
        <v>238.0961483386954</v>
      </c>
      <c r="AE21" s="363">
        <f t="shared" si="31"/>
        <v>13.674375095829653</v>
      </c>
      <c r="AF21" s="363">
        <f t="shared" si="31"/>
        <v>27.837120730796077</v>
      </c>
      <c r="AG21" s="683">
        <f>SUM(AC21:AF21)</f>
        <v>891.93840396928692</v>
      </c>
      <c r="AH21" s="664"/>
      <c r="AI21" s="363">
        <f>SUM(AI19:AI20)</f>
        <v>447.94381706339692</v>
      </c>
      <c r="AJ21" s="363">
        <f t="shared" ref="AJ21:AL21" si="32">SUM(AJ19:AJ20)</f>
        <v>288.76170290072446</v>
      </c>
      <c r="AK21" s="363">
        <f t="shared" si="32"/>
        <v>12.805098969656507</v>
      </c>
      <c r="AL21" s="363">
        <f t="shared" si="32"/>
        <v>26.067522902515037</v>
      </c>
      <c r="AM21" s="683">
        <f t="shared" si="14"/>
        <v>775.57814183629284</v>
      </c>
      <c r="AN21" s="364">
        <f t="shared" si="6"/>
        <v>1667.5165458055799</v>
      </c>
      <c r="AO21" s="88"/>
      <c r="AP21" s="88"/>
      <c r="AQ21" s="88"/>
      <c r="AR21" s="88"/>
      <c r="AS21" s="88"/>
      <c r="AT21" s="131"/>
      <c r="AU21" s="133"/>
      <c r="AV21" s="88"/>
      <c r="AW21" s="88"/>
      <c r="AX21" s="88"/>
      <c r="AY21" s="88"/>
      <c r="AZ21" s="131"/>
    </row>
    <row r="22" spans="1:70" hidden="1" outlineLevel="1">
      <c r="A22" s="436" t="s">
        <v>327</v>
      </c>
      <c r="B22" s="2"/>
      <c r="C22" s="2"/>
      <c r="D22" s="1061"/>
      <c r="E22" s="2"/>
      <c r="F22" s="811"/>
      <c r="G22" s="154">
        <f t="shared" ref="G22:J26" si="33">G$21*G85</f>
        <v>0.29496945841263178</v>
      </c>
      <c r="H22" s="154">
        <f t="shared" si="33"/>
        <v>1.9448507183148678</v>
      </c>
      <c r="I22" s="154">
        <f t="shared" si="33"/>
        <v>5.133695661856167E-2</v>
      </c>
      <c r="J22" s="154">
        <f t="shared" si="33"/>
        <v>0.10450737597350053</v>
      </c>
      <c r="K22" s="301">
        <f t="shared" si="7"/>
        <v>2.3956645093195621</v>
      </c>
      <c r="L22" s="279"/>
      <c r="M22" s="154"/>
      <c r="N22" s="154">
        <f t="shared" ref="N22:Q26" si="34">N$21*N85</f>
        <v>0.43303503928238896</v>
      </c>
      <c r="O22" s="154">
        <f t="shared" si="34"/>
        <v>2.8551718938498594</v>
      </c>
      <c r="P22" s="154">
        <f t="shared" si="34"/>
        <v>7.536611127670953E-2</v>
      </c>
      <c r="Q22" s="154">
        <f t="shared" si="34"/>
        <v>0.15342386938473007</v>
      </c>
      <c r="R22" s="301">
        <f t="shared" si="13"/>
        <v>3.5169969137936881</v>
      </c>
      <c r="S22" s="326"/>
      <c r="T22" s="154">
        <f t="shared" ref="T22:W26" si="35">T$21*T85</f>
        <v>7.5353186692469806E-2</v>
      </c>
      <c r="U22" s="154">
        <f t="shared" si="35"/>
        <v>0.49683346897954078</v>
      </c>
      <c r="V22" s="154">
        <f t="shared" si="35"/>
        <v>1.3114589209063823E-2</v>
      </c>
      <c r="W22" s="154">
        <f t="shared" si="35"/>
        <v>2.6697556604165638E-2</v>
      </c>
      <c r="X22" s="301">
        <f t="shared" ref="X22:X26" si="36">SUM(T22:W22)</f>
        <v>0.61199880148524</v>
      </c>
      <c r="Y22" s="279"/>
      <c r="Z22" s="279"/>
      <c r="AA22" s="279"/>
      <c r="AB22" s="154"/>
      <c r="AC22" s="154">
        <f t="shared" ref="AC22:AF26" si="37">AC$21*AC85</f>
        <v>0</v>
      </c>
      <c r="AD22" s="154">
        <f t="shared" si="37"/>
        <v>0</v>
      </c>
      <c r="AE22" s="154">
        <f t="shared" si="37"/>
        <v>0</v>
      </c>
      <c r="AF22" s="154">
        <f t="shared" si="37"/>
        <v>0</v>
      </c>
      <c r="AG22" s="279">
        <f t="shared" ref="AG22:AG26" si="38">SUM(AC22:AF22)</f>
        <v>0</v>
      </c>
      <c r="AH22" s="615"/>
      <c r="AI22" s="154">
        <f t="shared" ref="AI22:AL26" si="39">AI$21*AI85</f>
        <v>0.43303503928238901</v>
      </c>
      <c r="AJ22" s="154">
        <f t="shared" si="39"/>
        <v>2.8551718938498598</v>
      </c>
      <c r="AK22" s="154">
        <f t="shared" si="39"/>
        <v>7.5366111276709502E-2</v>
      </c>
      <c r="AL22" s="154">
        <f t="shared" si="39"/>
        <v>0.1534238693847301</v>
      </c>
      <c r="AM22" s="681">
        <f t="shared" si="14"/>
        <v>3.5169969137936885</v>
      </c>
      <c r="AN22" s="301">
        <f t="shared" si="6"/>
        <v>3.5169969137936885</v>
      </c>
      <c r="BG22" s="423"/>
      <c r="BH22" s="423"/>
      <c r="BI22" s="423"/>
      <c r="BJ22" s="423"/>
      <c r="BK22" s="423"/>
      <c r="BL22" s="423"/>
      <c r="BM22" s="423"/>
      <c r="BN22" s="423"/>
      <c r="BO22" s="423"/>
      <c r="BP22" s="423"/>
      <c r="BQ22" s="423"/>
      <c r="BR22" s="423"/>
    </row>
    <row r="23" spans="1:70" hidden="1" outlineLevel="1">
      <c r="A23" s="436" t="s">
        <v>429</v>
      </c>
      <c r="B23" s="2"/>
      <c r="C23" s="2"/>
      <c r="D23" s="1061"/>
      <c r="E23" s="2"/>
      <c r="F23" s="154"/>
      <c r="G23" s="154">
        <f t="shared" si="33"/>
        <v>20.268615642353698</v>
      </c>
      <c r="H23" s="154">
        <f t="shared" si="33"/>
        <v>23.161404009022519</v>
      </c>
      <c r="I23" s="154">
        <f t="shared" si="33"/>
        <v>0.82625480705032417</v>
      </c>
      <c r="J23" s="154">
        <f t="shared" si="33"/>
        <v>1.6820187143524454</v>
      </c>
      <c r="K23" s="301">
        <f t="shared" si="7"/>
        <v>45.938293172778984</v>
      </c>
      <c r="L23" s="279"/>
      <c r="M23" s="154"/>
      <c r="N23" s="154">
        <f t="shared" si="34"/>
        <v>29.755693413547011</v>
      </c>
      <c r="O23" s="154">
        <f t="shared" si="34"/>
        <v>34.002501644939237</v>
      </c>
      <c r="P23" s="154">
        <f t="shared" si="34"/>
        <v>1.2129977278114619</v>
      </c>
      <c r="Q23" s="154">
        <f t="shared" si="34"/>
        <v>2.469316803044761</v>
      </c>
      <c r="R23" s="301">
        <f t="shared" si="13"/>
        <v>67.440509589342469</v>
      </c>
      <c r="S23" s="326"/>
      <c r="T23" s="154">
        <f t="shared" si="35"/>
        <v>5.1778403998682823</v>
      </c>
      <c r="U23" s="154">
        <f t="shared" si="35"/>
        <v>5.9168349487563496</v>
      </c>
      <c r="V23" s="154">
        <f t="shared" si="35"/>
        <v>0.21107586211219562</v>
      </c>
      <c r="W23" s="154">
        <f t="shared" si="35"/>
        <v>0.42969014787125537</v>
      </c>
      <c r="X23" s="301">
        <f t="shared" si="36"/>
        <v>11.735441358608083</v>
      </c>
      <c r="Y23" s="279"/>
      <c r="Z23" s="279"/>
      <c r="AA23" s="279"/>
      <c r="AB23" s="154"/>
      <c r="AC23" s="154">
        <f t="shared" si="37"/>
        <v>0</v>
      </c>
      <c r="AD23" s="154">
        <f t="shared" si="37"/>
        <v>0</v>
      </c>
      <c r="AE23" s="154">
        <f t="shared" si="37"/>
        <v>0</v>
      </c>
      <c r="AF23" s="154">
        <f t="shared" si="37"/>
        <v>0</v>
      </c>
      <c r="AG23" s="279">
        <f t="shared" si="38"/>
        <v>0</v>
      </c>
      <c r="AH23" s="615"/>
      <c r="AI23" s="154">
        <f t="shared" si="39"/>
        <v>29.755693413547014</v>
      </c>
      <c r="AJ23" s="154">
        <f t="shared" si="39"/>
        <v>34.002501644939237</v>
      </c>
      <c r="AK23" s="154">
        <f t="shared" si="39"/>
        <v>1.2129977278114614</v>
      </c>
      <c r="AL23" s="154">
        <f t="shared" si="39"/>
        <v>2.469316803044761</v>
      </c>
      <c r="AM23" s="681">
        <f t="shared" si="14"/>
        <v>67.440509589342469</v>
      </c>
      <c r="AN23" s="301">
        <f t="shared" si="6"/>
        <v>67.440509589342469</v>
      </c>
      <c r="BG23" s="423"/>
      <c r="BH23" s="423"/>
      <c r="BI23" s="423"/>
      <c r="BJ23" s="423"/>
      <c r="BK23" s="423"/>
      <c r="BL23" s="423"/>
      <c r="BM23" s="423"/>
      <c r="BN23" s="423"/>
      <c r="BO23" s="423"/>
      <c r="BP23" s="423"/>
      <c r="BQ23" s="423"/>
      <c r="BR23" s="423"/>
    </row>
    <row r="24" spans="1:70" hidden="1" outlineLevel="1">
      <c r="A24" s="436" t="s">
        <v>65</v>
      </c>
      <c r="B24" s="2"/>
      <c r="C24" s="2"/>
      <c r="D24" s="1061"/>
      <c r="E24" s="2"/>
      <c r="F24" s="154"/>
      <c r="G24" s="154">
        <f t="shared" si="33"/>
        <v>284.56125038007173</v>
      </c>
      <c r="H24" s="154">
        <f t="shared" si="33"/>
        <v>171.58887473859812</v>
      </c>
      <c r="I24" s="154">
        <f t="shared" si="33"/>
        <v>7.8448273603332606</v>
      </c>
      <c r="J24" s="154">
        <f t="shared" si="33"/>
        <v>15.969827126392708</v>
      </c>
      <c r="K24" s="301">
        <f t="shared" si="7"/>
        <v>479.96477960539585</v>
      </c>
      <c r="L24" s="279"/>
      <c r="M24" s="154"/>
      <c r="N24" s="154">
        <f t="shared" si="34"/>
        <v>417.7550886105675</v>
      </c>
      <c r="O24" s="154">
        <f t="shared" si="34"/>
        <v>251.90402936193536</v>
      </c>
      <c r="P24" s="154">
        <f t="shared" si="34"/>
        <v>11.516735130568341</v>
      </c>
      <c r="Q24" s="154">
        <f t="shared" si="34"/>
        <v>23.444782230085544</v>
      </c>
      <c r="R24" s="301">
        <f t="shared" si="13"/>
        <v>704.62063533315677</v>
      </c>
      <c r="S24" s="326"/>
      <c r="T24" s="154">
        <f t="shared" si="35"/>
        <v>72.694295676321232</v>
      </c>
      <c r="U24" s="154">
        <f t="shared" si="35"/>
        <v>43.834261967694943</v>
      </c>
      <c r="V24" s="154">
        <f t="shared" si="35"/>
        <v>2.0040472794524158</v>
      </c>
      <c r="W24" s="154">
        <f t="shared" si="35"/>
        <v>4.0796676760281319</v>
      </c>
      <c r="X24" s="301">
        <f t="shared" si="36"/>
        <v>122.61227259949673</v>
      </c>
      <c r="Y24" s="279"/>
      <c r="Z24" s="279"/>
      <c r="AA24" s="279"/>
      <c r="AB24" s="154"/>
      <c r="AC24" s="154">
        <f t="shared" si="37"/>
        <v>0</v>
      </c>
      <c r="AD24" s="154">
        <f t="shared" si="37"/>
        <v>0</v>
      </c>
      <c r="AE24" s="154">
        <f t="shared" si="37"/>
        <v>0</v>
      </c>
      <c r="AF24" s="154">
        <f t="shared" si="37"/>
        <v>0</v>
      </c>
      <c r="AG24" s="279">
        <f t="shared" si="38"/>
        <v>0</v>
      </c>
      <c r="AH24" s="615"/>
      <c r="AI24" s="154">
        <f t="shared" si="39"/>
        <v>417.75508861056755</v>
      </c>
      <c r="AJ24" s="154">
        <f t="shared" si="39"/>
        <v>251.90402936193536</v>
      </c>
      <c r="AK24" s="154">
        <f t="shared" si="39"/>
        <v>11.516735130568335</v>
      </c>
      <c r="AL24" s="154">
        <f t="shared" si="39"/>
        <v>23.444782230085544</v>
      </c>
      <c r="AM24" s="681">
        <f t="shared" si="14"/>
        <v>704.62063533315688</v>
      </c>
      <c r="AN24" s="301">
        <f t="shared" si="6"/>
        <v>704.62063533315688</v>
      </c>
      <c r="BG24" s="423"/>
      <c r="BH24" s="423"/>
      <c r="BI24" s="423"/>
      <c r="BJ24" s="423"/>
      <c r="BK24" s="423"/>
      <c r="BL24" s="423"/>
      <c r="BM24" s="423"/>
      <c r="BN24" s="423"/>
      <c r="BO24" s="423"/>
      <c r="BP24" s="423"/>
      <c r="BQ24" s="423"/>
      <c r="BR24" s="423"/>
    </row>
    <row r="25" spans="1:70" hidden="1" outlineLevel="1">
      <c r="A25" s="436" t="s">
        <v>66</v>
      </c>
      <c r="B25" s="2"/>
      <c r="C25" s="2"/>
      <c r="D25" s="1061"/>
      <c r="E25" s="2"/>
      <c r="F25" s="811"/>
      <c r="G25" s="154">
        <f t="shared" si="33"/>
        <v>2396.9639575551046</v>
      </c>
      <c r="H25" s="154">
        <f t="shared" si="33"/>
        <v>932.02550559971155</v>
      </c>
      <c r="I25" s="154">
        <f t="shared" si="33"/>
        <v>53.528234082648702</v>
      </c>
      <c r="J25" s="154">
        <f t="shared" si="33"/>
        <v>108.96819081110627</v>
      </c>
      <c r="K25" s="301">
        <f t="shared" si="7"/>
        <v>3491.4858880485708</v>
      </c>
      <c r="L25" s="279"/>
      <c r="M25" s="154"/>
      <c r="N25" s="154">
        <f t="shared" si="34"/>
        <v>3518.9045913571617</v>
      </c>
      <c r="O25" s="154">
        <f t="shared" si="34"/>
        <v>1368.2762398572304</v>
      </c>
      <c r="P25" s="154">
        <f t="shared" si="34"/>
        <v>78.583054236994343</v>
      </c>
      <c r="Q25" s="154">
        <f t="shared" si="34"/>
        <v>159.97264612530986</v>
      </c>
      <c r="R25" s="301">
        <f t="shared" si="13"/>
        <v>5125.7365315766956</v>
      </c>
      <c r="S25" s="326"/>
      <c r="T25" s="154">
        <f t="shared" si="35"/>
        <v>612.33075980396575</v>
      </c>
      <c r="U25" s="154">
        <f t="shared" si="35"/>
        <v>238.0961483386954</v>
      </c>
      <c r="V25" s="154">
        <f t="shared" si="35"/>
        <v>13.674375095829653</v>
      </c>
      <c r="W25" s="154">
        <f t="shared" si="35"/>
        <v>27.837120730796077</v>
      </c>
      <c r="X25" s="301">
        <f t="shared" si="36"/>
        <v>891.93840396928692</v>
      </c>
      <c r="Y25" s="279"/>
      <c r="Z25" s="279"/>
      <c r="AA25" s="279"/>
      <c r="AB25" s="154"/>
      <c r="AC25" s="154">
        <f t="shared" si="37"/>
        <v>612.33075980396575</v>
      </c>
      <c r="AD25" s="154">
        <f t="shared" si="37"/>
        <v>238.0961483386954</v>
      </c>
      <c r="AE25" s="154">
        <f t="shared" si="37"/>
        <v>13.674375095829653</v>
      </c>
      <c r="AF25" s="154">
        <f t="shared" si="37"/>
        <v>27.837120730796077</v>
      </c>
      <c r="AG25" s="279">
        <f t="shared" si="38"/>
        <v>891.93840396928692</v>
      </c>
      <c r="AH25" s="615"/>
      <c r="AI25" s="154">
        <f t="shared" si="39"/>
        <v>0</v>
      </c>
      <c r="AJ25" s="154">
        <f t="shared" si="39"/>
        <v>0</v>
      </c>
      <c r="AK25" s="154">
        <f t="shared" si="39"/>
        <v>0</v>
      </c>
      <c r="AL25" s="154">
        <f t="shared" si="39"/>
        <v>0</v>
      </c>
      <c r="AM25" s="681">
        <f t="shared" si="14"/>
        <v>0</v>
      </c>
      <c r="AN25" s="301">
        <f t="shared" si="6"/>
        <v>891.93840396928692</v>
      </c>
      <c r="BG25" s="423"/>
      <c r="BH25" s="423"/>
      <c r="BI25" s="423"/>
      <c r="BJ25" s="423"/>
      <c r="BK25" s="423"/>
      <c r="BL25" s="423"/>
      <c r="BM25" s="423"/>
      <c r="BN25" s="423"/>
      <c r="BO25" s="423"/>
      <c r="BP25" s="423"/>
      <c r="BQ25" s="423"/>
      <c r="BR25" s="423"/>
    </row>
    <row r="26" spans="1:70" s="454" customFormat="1" ht="20" hidden="1" outlineLevel="1" thickBot="1">
      <c r="A26" s="1038" t="s">
        <v>328</v>
      </c>
      <c r="B26" s="930"/>
      <c r="C26" s="930"/>
      <c r="D26" s="1062"/>
      <c r="E26" s="930"/>
      <c r="F26" s="363"/>
      <c r="G26" s="363">
        <f t="shared" si="33"/>
        <v>0</v>
      </c>
      <c r="H26" s="363">
        <f t="shared" si="33"/>
        <v>0</v>
      </c>
      <c r="I26" s="363">
        <f t="shared" si="33"/>
        <v>0</v>
      </c>
      <c r="J26" s="363">
        <f t="shared" si="33"/>
        <v>0</v>
      </c>
      <c r="K26" s="364">
        <f t="shared" si="7"/>
        <v>0</v>
      </c>
      <c r="L26" s="626"/>
      <c r="M26" s="363"/>
      <c r="N26" s="363">
        <f t="shared" si="34"/>
        <v>0</v>
      </c>
      <c r="O26" s="363">
        <f t="shared" si="34"/>
        <v>0</v>
      </c>
      <c r="P26" s="363">
        <f t="shared" si="34"/>
        <v>0</v>
      </c>
      <c r="Q26" s="363">
        <f t="shared" si="34"/>
        <v>0</v>
      </c>
      <c r="R26" s="364">
        <f t="shared" si="13"/>
        <v>0</v>
      </c>
      <c r="S26" s="949"/>
      <c r="T26" s="363">
        <f t="shared" si="35"/>
        <v>0</v>
      </c>
      <c r="U26" s="363">
        <f t="shared" si="35"/>
        <v>0</v>
      </c>
      <c r="V26" s="363">
        <f t="shared" si="35"/>
        <v>0</v>
      </c>
      <c r="W26" s="363">
        <f t="shared" si="35"/>
        <v>0</v>
      </c>
      <c r="X26" s="364">
        <f t="shared" si="36"/>
        <v>0</v>
      </c>
      <c r="Y26" s="626"/>
      <c r="Z26" s="626"/>
      <c r="AA26" s="626"/>
      <c r="AB26" s="363"/>
      <c r="AC26" s="363">
        <f t="shared" si="37"/>
        <v>0</v>
      </c>
      <c r="AD26" s="363">
        <f t="shared" si="37"/>
        <v>0</v>
      </c>
      <c r="AE26" s="363">
        <f t="shared" si="37"/>
        <v>0</v>
      </c>
      <c r="AF26" s="363">
        <f t="shared" si="37"/>
        <v>0</v>
      </c>
      <c r="AG26" s="626">
        <f t="shared" si="38"/>
        <v>0</v>
      </c>
      <c r="AH26" s="664"/>
      <c r="AI26" s="363">
        <f t="shared" si="39"/>
        <v>0</v>
      </c>
      <c r="AJ26" s="363">
        <f t="shared" si="39"/>
        <v>0</v>
      </c>
      <c r="AK26" s="363">
        <f t="shared" si="39"/>
        <v>0</v>
      </c>
      <c r="AL26" s="363">
        <f t="shared" si="39"/>
        <v>0</v>
      </c>
      <c r="AM26" s="683">
        <f t="shared" si="14"/>
        <v>0</v>
      </c>
      <c r="AN26" s="364">
        <f t="shared" si="6"/>
        <v>0</v>
      </c>
      <c r="AO26" s="88"/>
      <c r="AP26" s="88"/>
      <c r="AQ26" s="88"/>
      <c r="AR26" s="88"/>
      <c r="AS26" s="88"/>
      <c r="AT26" s="88"/>
      <c r="AU26" s="88"/>
      <c r="AV26" s="88"/>
      <c r="AW26" s="88"/>
      <c r="AX26" s="88"/>
      <c r="AY26" s="88"/>
      <c r="AZ26" s="88"/>
    </row>
    <row r="27" spans="1:70" collapsed="1">
      <c r="A27" s="436"/>
      <c r="B27" s="2"/>
      <c r="C27" s="2"/>
      <c r="D27" s="1061"/>
      <c r="E27" s="2"/>
      <c r="F27" s="154"/>
      <c r="G27" s="154"/>
      <c r="H27" s="154"/>
      <c r="I27" s="154"/>
      <c r="J27" s="154"/>
      <c r="K27" s="301"/>
      <c r="L27" s="279"/>
      <c r="M27" s="1217">
        <f>M19/F19</f>
        <v>1.5</v>
      </c>
      <c r="N27" s="154"/>
      <c r="O27" s="154"/>
      <c r="P27" s="154"/>
      <c r="Q27" s="154"/>
      <c r="R27" s="1218"/>
      <c r="S27" s="326"/>
      <c r="T27" s="154"/>
      <c r="U27" s="154"/>
      <c r="V27" s="154"/>
      <c r="W27" s="154"/>
      <c r="X27" s="301"/>
      <c r="Y27" s="279"/>
      <c r="Z27" s="279"/>
      <c r="AA27" s="279"/>
      <c r="AB27" s="154"/>
      <c r="AC27" s="154"/>
      <c r="AD27" s="154"/>
      <c r="AE27" s="154"/>
      <c r="AF27" s="154"/>
      <c r="AG27" s="279"/>
      <c r="AH27" s="615"/>
      <c r="AI27" s="154"/>
      <c r="AJ27" s="154"/>
      <c r="AK27" s="154"/>
      <c r="AL27" s="154"/>
      <c r="AM27" s="681"/>
      <c r="AN27" s="301"/>
      <c r="BG27" s="423"/>
      <c r="BH27" s="423"/>
      <c r="BI27" s="423"/>
      <c r="BJ27" s="423"/>
      <c r="BK27" s="423"/>
      <c r="BL27" s="423"/>
      <c r="BM27" s="423"/>
      <c r="BN27" s="423"/>
      <c r="BO27" s="423"/>
      <c r="BP27" s="423"/>
      <c r="BQ27" s="423"/>
      <c r="BR27" s="423"/>
    </row>
    <row r="28" spans="1:70">
      <c r="A28" s="436"/>
      <c r="B28" s="2"/>
      <c r="C28" s="2"/>
      <c r="D28" s="1061"/>
      <c r="E28" s="2"/>
      <c r="F28" s="154"/>
      <c r="G28" s="154"/>
      <c r="H28" s="154"/>
      <c r="I28" s="154"/>
      <c r="J28" s="154"/>
      <c r="K28" s="301"/>
      <c r="L28" s="279"/>
      <c r="M28" s="1245">
        <f>(M19-F19)/F19</f>
        <v>0.5</v>
      </c>
      <c r="N28" s="154"/>
      <c r="O28" s="154"/>
      <c r="P28" s="154"/>
      <c r="Q28" s="154"/>
      <c r="R28" s="301"/>
      <c r="S28" s="326"/>
      <c r="T28" s="154"/>
      <c r="U28" s="154"/>
      <c r="V28" s="154"/>
      <c r="W28" s="154"/>
      <c r="X28" s="301"/>
      <c r="Y28" s="279"/>
      <c r="Z28" s="279"/>
      <c r="AA28" s="279"/>
      <c r="AB28" s="154"/>
      <c r="AC28" s="154"/>
      <c r="AD28" s="154"/>
      <c r="AE28" s="154"/>
      <c r="AF28" s="154"/>
      <c r="AG28" s="279"/>
      <c r="AH28" s="615"/>
      <c r="AI28" s="154"/>
      <c r="AJ28" s="154"/>
      <c r="AK28" s="154"/>
      <c r="AL28" s="154"/>
      <c r="AM28" s="681"/>
      <c r="AN28" s="301"/>
      <c r="BG28" s="423"/>
      <c r="BH28" s="423"/>
      <c r="BI28" s="423"/>
      <c r="BJ28" s="423"/>
      <c r="BK28" s="423"/>
      <c r="BL28" s="423"/>
      <c r="BM28" s="423"/>
      <c r="BN28" s="423"/>
      <c r="BO28" s="423"/>
      <c r="BP28" s="423"/>
      <c r="BQ28" s="423"/>
      <c r="BR28" s="423"/>
    </row>
    <row r="29" spans="1:70" s="969" customFormat="1" ht="20">
      <c r="A29" s="416" t="s">
        <v>63</v>
      </c>
      <c r="B29" s="962"/>
      <c r="C29" s="962"/>
      <c r="D29" s="1063"/>
      <c r="E29" s="962"/>
      <c r="F29" s="963"/>
      <c r="G29" s="964">
        <f t="shared" ref="G29:K33" si="40">G44/G21</f>
        <v>20930.298172291186</v>
      </c>
      <c r="H29" s="964">
        <f t="shared" si="40"/>
        <v>21327.658677944863</v>
      </c>
      <c r="I29" s="964">
        <f t="shared" si="40"/>
        <v>21106.467446786352</v>
      </c>
      <c r="J29" s="964">
        <f t="shared" si="40"/>
        <v>21106.467446786348</v>
      </c>
      <c r="K29" s="1215">
        <f t="shared" si="40"/>
        <v>21050.155495653511</v>
      </c>
      <c r="L29" s="966"/>
      <c r="M29" s="963"/>
      <c r="N29" s="964">
        <f t="shared" ref="N29:R33" si="41">N44/N21</f>
        <v>23817.575828985246</v>
      </c>
      <c r="O29" s="964">
        <f t="shared" si="41"/>
        <v>24219.664902178411</v>
      </c>
      <c r="P29" s="964">
        <f t="shared" si="41"/>
        <v>23995.841507881392</v>
      </c>
      <c r="Q29" s="964">
        <f t="shared" si="41"/>
        <v>23995.841507881396</v>
      </c>
      <c r="R29" s="1215">
        <f t="shared" si="41"/>
        <v>23938.859447715524</v>
      </c>
      <c r="S29" s="1027"/>
      <c r="T29" s="964">
        <f t="shared" ref="T29:X33" si="42">T44/T21</f>
        <v>23817.575828985242</v>
      </c>
      <c r="U29" s="964">
        <f t="shared" si="42"/>
        <v>24219.664902178414</v>
      </c>
      <c r="V29" s="964">
        <f t="shared" si="42"/>
        <v>23995.8415078814</v>
      </c>
      <c r="W29" s="964">
        <f t="shared" si="42"/>
        <v>23995.8415078814</v>
      </c>
      <c r="X29" s="1215">
        <f t="shared" si="42"/>
        <v>23938.85944771552</v>
      </c>
      <c r="Y29" s="966"/>
      <c r="Z29" s="966"/>
      <c r="AA29" s="966"/>
      <c r="AB29" s="963"/>
      <c r="AC29" s="964">
        <f t="shared" ref="AC29:AG33" si="43">AC44/AC21</f>
        <v>23361.308724832215</v>
      </c>
      <c r="AD29" s="964">
        <f t="shared" si="43"/>
        <v>23361.308724832215</v>
      </c>
      <c r="AE29" s="964">
        <f t="shared" si="43"/>
        <v>23361.308724832215</v>
      </c>
      <c r="AF29" s="964">
        <f t="shared" si="43"/>
        <v>23361.308724832215</v>
      </c>
      <c r="AG29" s="965">
        <f t="shared" si="43"/>
        <v>23361.308724832215</v>
      </c>
      <c r="AH29" s="967"/>
      <c r="AI29" s="964">
        <f t="shared" ref="AI29:AN33" si="44">AI44/AI21</f>
        <v>27401.865524543395</v>
      </c>
      <c r="AJ29" s="964">
        <f t="shared" si="44"/>
        <v>28286.922959599062</v>
      </c>
      <c r="AK29" s="964">
        <f t="shared" si="44"/>
        <v>27889.878111867314</v>
      </c>
      <c r="AL29" s="964">
        <f t="shared" si="44"/>
        <v>27889.878111867311</v>
      </c>
      <c r="AM29" s="965">
        <f t="shared" si="44"/>
        <v>27755.847935957816</v>
      </c>
      <c r="AN29" s="1215">
        <f t="shared" si="44"/>
        <v>25405.251595542959</v>
      </c>
      <c r="AO29" s="968"/>
      <c r="AP29" s="968"/>
      <c r="AQ29" s="968"/>
      <c r="AR29" s="968"/>
      <c r="AS29" s="968"/>
      <c r="AT29" s="968"/>
      <c r="AU29" s="968"/>
      <c r="AV29" s="968"/>
      <c r="AW29" s="968"/>
      <c r="AX29" s="968"/>
      <c r="AY29" s="968"/>
      <c r="AZ29" s="968"/>
    </row>
    <row r="30" spans="1:70" hidden="1" outlineLevel="1">
      <c r="A30" s="1037" t="s">
        <v>327</v>
      </c>
      <c r="B30" s="2"/>
      <c r="C30" s="2"/>
      <c r="D30" s="1061"/>
      <c r="E30" s="2"/>
      <c r="F30" s="154"/>
      <c r="G30" s="169">
        <f t="shared" si="40"/>
        <v>55362.5</v>
      </c>
      <c r="H30" s="169">
        <f t="shared" si="40"/>
        <v>55362.5</v>
      </c>
      <c r="I30" s="169">
        <f t="shared" si="40"/>
        <v>55362.5</v>
      </c>
      <c r="J30" s="169">
        <f t="shared" si="40"/>
        <v>55362.5</v>
      </c>
      <c r="K30" s="407">
        <f t="shared" si="40"/>
        <v>55362.499999999993</v>
      </c>
      <c r="L30" s="279"/>
      <c r="M30" s="154"/>
      <c r="N30" s="169">
        <f t="shared" si="41"/>
        <v>59174.344262295082</v>
      </c>
      <c r="O30" s="169">
        <f t="shared" si="41"/>
        <v>59174.34426229509</v>
      </c>
      <c r="P30" s="169">
        <f t="shared" si="41"/>
        <v>59174.344262295082</v>
      </c>
      <c r="Q30" s="169">
        <f t="shared" si="41"/>
        <v>59174.344262295082</v>
      </c>
      <c r="R30" s="407">
        <f t="shared" si="41"/>
        <v>59174.344262295082</v>
      </c>
      <c r="S30" s="326"/>
      <c r="T30" s="169">
        <f t="shared" si="42"/>
        <v>59174.344262295075</v>
      </c>
      <c r="U30" s="169">
        <f t="shared" si="42"/>
        <v>59174.344262295082</v>
      </c>
      <c r="V30" s="169">
        <f t="shared" si="42"/>
        <v>59174.344262295082</v>
      </c>
      <c r="W30" s="169">
        <f t="shared" si="42"/>
        <v>59174.344262295082</v>
      </c>
      <c r="X30" s="407">
        <f t="shared" si="42"/>
        <v>59174.344262295082</v>
      </c>
      <c r="Y30" s="279"/>
      <c r="Z30" s="279"/>
      <c r="AA30" s="279"/>
      <c r="AB30" s="154"/>
      <c r="AC30" s="169" t="e">
        <f t="shared" si="43"/>
        <v>#DIV/0!</v>
      </c>
      <c r="AD30" s="169" t="e">
        <f t="shared" si="43"/>
        <v>#DIV/0!</v>
      </c>
      <c r="AE30" s="169" t="e">
        <f t="shared" si="43"/>
        <v>#DIV/0!</v>
      </c>
      <c r="AF30" s="169" t="e">
        <f t="shared" si="43"/>
        <v>#DIV/0!</v>
      </c>
      <c r="AG30" s="169" t="e">
        <f t="shared" si="43"/>
        <v>#DIV/0!</v>
      </c>
      <c r="AH30" s="615"/>
      <c r="AI30" s="169">
        <f t="shared" si="44"/>
        <v>59174.344262295082</v>
      </c>
      <c r="AJ30" s="169">
        <f t="shared" si="44"/>
        <v>59174.34426229509</v>
      </c>
      <c r="AK30" s="169">
        <f t="shared" si="44"/>
        <v>59174.344262295075</v>
      </c>
      <c r="AL30" s="169">
        <f t="shared" si="44"/>
        <v>59174.34426229509</v>
      </c>
      <c r="AM30" s="169">
        <f t="shared" si="44"/>
        <v>59174.34426229509</v>
      </c>
      <c r="AN30" s="407">
        <f t="shared" si="44"/>
        <v>59174.34426229509</v>
      </c>
      <c r="BG30" s="423"/>
      <c r="BH30" s="423"/>
      <c r="BI30" s="423"/>
      <c r="BJ30" s="423"/>
      <c r="BK30" s="423"/>
      <c r="BL30" s="423"/>
      <c r="BM30" s="423"/>
      <c r="BN30" s="423"/>
      <c r="BO30" s="423"/>
      <c r="BP30" s="423"/>
      <c r="BQ30" s="423"/>
      <c r="BR30" s="423"/>
    </row>
    <row r="31" spans="1:70" hidden="1" outlineLevel="1">
      <c r="A31" s="436" t="s">
        <v>429</v>
      </c>
      <c r="B31" s="2"/>
      <c r="C31" s="2"/>
      <c r="D31" s="1061"/>
      <c r="E31" s="2"/>
      <c r="F31" s="154"/>
      <c r="G31" s="169">
        <f t="shared" si="40"/>
        <v>35026.5</v>
      </c>
      <c r="H31" s="169">
        <f t="shared" si="40"/>
        <v>35026.5</v>
      </c>
      <c r="I31" s="169">
        <f t="shared" si="40"/>
        <v>35026.5</v>
      </c>
      <c r="J31" s="169">
        <f t="shared" si="40"/>
        <v>35026.5</v>
      </c>
      <c r="K31" s="407">
        <f t="shared" si="40"/>
        <v>35026.5</v>
      </c>
      <c r="L31" s="279"/>
      <c r="M31" s="154"/>
      <c r="N31" s="169">
        <f t="shared" si="41"/>
        <v>38183.394849785407</v>
      </c>
      <c r="O31" s="169">
        <f t="shared" si="41"/>
        <v>38183.394849785407</v>
      </c>
      <c r="P31" s="169">
        <f t="shared" si="41"/>
        <v>38183.394849785407</v>
      </c>
      <c r="Q31" s="169">
        <f t="shared" si="41"/>
        <v>38183.394849785407</v>
      </c>
      <c r="R31" s="407">
        <f t="shared" si="41"/>
        <v>38183.394849785414</v>
      </c>
      <c r="S31" s="326"/>
      <c r="T31" s="169">
        <f t="shared" si="42"/>
        <v>38183.394849785407</v>
      </c>
      <c r="U31" s="169">
        <f t="shared" si="42"/>
        <v>38183.394849785407</v>
      </c>
      <c r="V31" s="169">
        <f t="shared" si="42"/>
        <v>38183.394849785407</v>
      </c>
      <c r="W31" s="169">
        <f t="shared" si="42"/>
        <v>38183.3948497854</v>
      </c>
      <c r="X31" s="407">
        <f t="shared" si="42"/>
        <v>38183.394849785407</v>
      </c>
      <c r="Y31" s="279"/>
      <c r="Z31" s="279"/>
      <c r="AA31" s="279"/>
      <c r="AB31" s="154"/>
      <c r="AC31" s="169" t="e">
        <f t="shared" si="43"/>
        <v>#DIV/0!</v>
      </c>
      <c r="AD31" s="169" t="e">
        <f t="shared" si="43"/>
        <v>#DIV/0!</v>
      </c>
      <c r="AE31" s="169" t="e">
        <f t="shared" si="43"/>
        <v>#DIV/0!</v>
      </c>
      <c r="AF31" s="169" t="e">
        <f t="shared" si="43"/>
        <v>#DIV/0!</v>
      </c>
      <c r="AG31" s="169" t="e">
        <f t="shared" si="43"/>
        <v>#DIV/0!</v>
      </c>
      <c r="AH31" s="615"/>
      <c r="AI31" s="169">
        <f t="shared" si="44"/>
        <v>38183.394849785407</v>
      </c>
      <c r="AJ31" s="169">
        <f t="shared" si="44"/>
        <v>38183.394849785407</v>
      </c>
      <c r="AK31" s="169">
        <f t="shared" si="44"/>
        <v>38183.394849785407</v>
      </c>
      <c r="AL31" s="169">
        <f t="shared" si="44"/>
        <v>38183.394849785407</v>
      </c>
      <c r="AM31" s="169">
        <f t="shared" si="44"/>
        <v>38183.394849785414</v>
      </c>
      <c r="AN31" s="407">
        <f t="shared" si="44"/>
        <v>38183.394849785414</v>
      </c>
      <c r="BG31" s="423"/>
      <c r="BH31" s="423"/>
      <c r="BI31" s="423"/>
      <c r="BJ31" s="423"/>
      <c r="BK31" s="423"/>
      <c r="BL31" s="423"/>
      <c r="BM31" s="423"/>
      <c r="BN31" s="423"/>
      <c r="BO31" s="423"/>
      <c r="BP31" s="423"/>
      <c r="BQ31" s="423"/>
      <c r="BR31" s="423"/>
    </row>
    <row r="32" spans="1:70" hidden="1" outlineLevel="1">
      <c r="A32" s="436" t="s">
        <v>65</v>
      </c>
      <c r="B32" s="2"/>
      <c r="C32" s="2"/>
      <c r="D32" s="1061"/>
      <c r="E32" s="2"/>
      <c r="F32" s="154"/>
      <c r="G32" s="169">
        <f t="shared" si="40"/>
        <v>23721.5</v>
      </c>
      <c r="H32" s="169">
        <f t="shared" si="40"/>
        <v>23721.5</v>
      </c>
      <c r="I32" s="169">
        <f t="shared" si="40"/>
        <v>23721.5</v>
      </c>
      <c r="J32" s="169">
        <f t="shared" si="40"/>
        <v>23721.5</v>
      </c>
      <c r="K32" s="407">
        <f t="shared" si="40"/>
        <v>23721.5</v>
      </c>
      <c r="L32" s="279"/>
      <c r="M32" s="154"/>
      <c r="N32" s="169">
        <f t="shared" si="41"/>
        <v>26600.988439306358</v>
      </c>
      <c r="O32" s="169">
        <f t="shared" si="41"/>
        <v>26600.988439306362</v>
      </c>
      <c r="P32" s="169">
        <f t="shared" si="41"/>
        <v>26600.988439306366</v>
      </c>
      <c r="Q32" s="169">
        <f t="shared" si="41"/>
        <v>26600.988439306358</v>
      </c>
      <c r="R32" s="407">
        <f t="shared" si="41"/>
        <v>26600.988439306355</v>
      </c>
      <c r="S32" s="326"/>
      <c r="T32" s="169">
        <f t="shared" si="42"/>
        <v>26600.988439306362</v>
      </c>
      <c r="U32" s="169">
        <f t="shared" si="42"/>
        <v>26600.988439306362</v>
      </c>
      <c r="V32" s="169">
        <f t="shared" si="42"/>
        <v>26600.988439306362</v>
      </c>
      <c r="W32" s="169">
        <f t="shared" si="42"/>
        <v>26600.988439306362</v>
      </c>
      <c r="X32" s="407">
        <f t="shared" si="42"/>
        <v>26600.988439306355</v>
      </c>
      <c r="Y32" s="279"/>
      <c r="Z32" s="279"/>
      <c r="AA32" s="279"/>
      <c r="AB32" s="154"/>
      <c r="AC32" s="169" t="e">
        <f t="shared" si="43"/>
        <v>#DIV/0!</v>
      </c>
      <c r="AD32" s="169" t="e">
        <f t="shared" si="43"/>
        <v>#DIV/0!</v>
      </c>
      <c r="AE32" s="169" t="e">
        <f t="shared" si="43"/>
        <v>#DIV/0!</v>
      </c>
      <c r="AF32" s="169" t="e">
        <f t="shared" si="43"/>
        <v>#DIV/0!</v>
      </c>
      <c r="AG32" s="169" t="e">
        <f t="shared" si="43"/>
        <v>#DIV/0!</v>
      </c>
      <c r="AH32" s="615"/>
      <c r="AI32" s="169">
        <f t="shared" si="44"/>
        <v>26600.988439306362</v>
      </c>
      <c r="AJ32" s="169">
        <f t="shared" si="44"/>
        <v>26600.988439306362</v>
      </c>
      <c r="AK32" s="169">
        <f t="shared" si="44"/>
        <v>26600.988439306362</v>
      </c>
      <c r="AL32" s="169">
        <f t="shared" si="44"/>
        <v>26600.988439306358</v>
      </c>
      <c r="AM32" s="169">
        <f t="shared" si="44"/>
        <v>26600.988439306358</v>
      </c>
      <c r="AN32" s="407">
        <f t="shared" si="44"/>
        <v>26600.988439306358</v>
      </c>
      <c r="BG32" s="423"/>
      <c r="BH32" s="423"/>
      <c r="BI32" s="423"/>
      <c r="BJ32" s="423"/>
      <c r="BK32" s="423"/>
      <c r="BL32" s="423"/>
      <c r="BM32" s="423"/>
      <c r="BN32" s="423"/>
      <c r="BO32" s="423"/>
      <c r="BP32" s="423"/>
      <c r="BQ32" s="423"/>
      <c r="BR32" s="423"/>
    </row>
    <row r="33" spans="1:70" hidden="1" outlineLevel="1">
      <c r="A33" s="436" t="s">
        <v>66</v>
      </c>
      <c r="B33" s="2"/>
      <c r="C33" s="2"/>
      <c r="D33" s="1061"/>
      <c r="E33" s="2"/>
      <c r="F33" s="154"/>
      <c r="G33" s="169">
        <f t="shared" si="40"/>
        <v>20475.5</v>
      </c>
      <c r="H33" s="169">
        <f t="shared" si="40"/>
        <v>20475.5</v>
      </c>
      <c r="I33" s="169">
        <f t="shared" si="40"/>
        <v>20475.5</v>
      </c>
      <c r="J33" s="169">
        <f t="shared" si="40"/>
        <v>20475.5</v>
      </c>
      <c r="K33" s="407">
        <f t="shared" si="40"/>
        <v>20475.5</v>
      </c>
      <c r="L33" s="279"/>
      <c r="M33" s="154"/>
      <c r="N33" s="169">
        <f t="shared" si="41"/>
        <v>23361.308724832215</v>
      </c>
      <c r="O33" s="169">
        <f t="shared" si="41"/>
        <v>23361.308724832215</v>
      </c>
      <c r="P33" s="169">
        <f t="shared" si="41"/>
        <v>23361.308724832215</v>
      </c>
      <c r="Q33" s="169">
        <f t="shared" si="41"/>
        <v>23361.308724832215</v>
      </c>
      <c r="R33" s="407">
        <f t="shared" si="41"/>
        <v>23361.308724832219</v>
      </c>
      <c r="S33" s="326"/>
      <c r="T33" s="169">
        <f t="shared" si="42"/>
        <v>23361.308724832215</v>
      </c>
      <c r="U33" s="169">
        <f t="shared" si="42"/>
        <v>23361.308724832215</v>
      </c>
      <c r="V33" s="169">
        <f t="shared" si="42"/>
        <v>23361.308724832215</v>
      </c>
      <c r="W33" s="169">
        <f t="shared" si="42"/>
        <v>23361.308724832215</v>
      </c>
      <c r="X33" s="407">
        <f t="shared" si="42"/>
        <v>23361.308724832215</v>
      </c>
      <c r="Y33" s="279"/>
      <c r="Z33" s="279"/>
      <c r="AA33" s="279"/>
      <c r="AB33" s="154"/>
      <c r="AC33" s="169">
        <f t="shared" si="43"/>
        <v>23361.308724832215</v>
      </c>
      <c r="AD33" s="169">
        <f t="shared" si="43"/>
        <v>23361.308724832215</v>
      </c>
      <c r="AE33" s="169">
        <f t="shared" si="43"/>
        <v>23361.308724832215</v>
      </c>
      <c r="AF33" s="169">
        <f t="shared" si="43"/>
        <v>23361.308724832215</v>
      </c>
      <c r="AG33" s="169">
        <f t="shared" si="43"/>
        <v>23361.308724832215</v>
      </c>
      <c r="AH33" s="615"/>
      <c r="AI33" s="169" t="e">
        <f t="shared" si="44"/>
        <v>#DIV/0!</v>
      </c>
      <c r="AJ33" s="169" t="e">
        <f t="shared" si="44"/>
        <v>#DIV/0!</v>
      </c>
      <c r="AK33" s="169" t="e">
        <f t="shared" si="44"/>
        <v>#DIV/0!</v>
      </c>
      <c r="AL33" s="169" t="e">
        <f t="shared" si="44"/>
        <v>#DIV/0!</v>
      </c>
      <c r="AM33" s="169" t="e">
        <f t="shared" si="44"/>
        <v>#DIV/0!</v>
      </c>
      <c r="AN33" s="407">
        <f t="shared" si="44"/>
        <v>23361.308724832215</v>
      </c>
      <c r="BG33" s="423"/>
      <c r="BH33" s="423"/>
      <c r="BI33" s="423"/>
      <c r="BJ33" s="423"/>
      <c r="BK33" s="423"/>
      <c r="BL33" s="423"/>
      <c r="BM33" s="423"/>
      <c r="BN33" s="423"/>
      <c r="BO33" s="423"/>
      <c r="BP33" s="423"/>
      <c r="BQ33" s="423"/>
      <c r="BR33" s="423"/>
    </row>
    <row r="34" spans="1:70" ht="20" hidden="1" outlineLevel="1" thickBot="1">
      <c r="A34" s="1038" t="s">
        <v>328</v>
      </c>
      <c r="B34" s="2"/>
      <c r="C34" s="2"/>
      <c r="D34" s="1061"/>
      <c r="E34" s="2"/>
      <c r="F34" s="154"/>
      <c r="G34" s="169"/>
      <c r="H34" s="154"/>
      <c r="I34" s="154"/>
      <c r="J34" s="154"/>
      <c r="K34" s="301"/>
      <c r="L34" s="279"/>
      <c r="M34" s="154"/>
      <c r="N34" s="154"/>
      <c r="O34" s="154"/>
      <c r="P34" s="154"/>
      <c r="Q34" s="154"/>
      <c r="R34" s="301"/>
      <c r="S34" s="326"/>
      <c r="T34" s="154"/>
      <c r="U34" s="154"/>
      <c r="V34" s="154"/>
      <c r="W34" s="154"/>
      <c r="X34" s="301"/>
      <c r="Y34" s="279"/>
      <c r="Z34" s="279"/>
      <c r="AA34" s="279"/>
      <c r="AB34" s="154"/>
      <c r="AC34" s="154"/>
      <c r="AD34" s="154"/>
      <c r="AE34" s="154"/>
      <c r="AF34" s="154"/>
      <c r="AG34" s="279"/>
      <c r="AH34" s="615"/>
      <c r="AI34" s="154"/>
      <c r="AJ34" s="154"/>
      <c r="AK34" s="154"/>
      <c r="AL34" s="154"/>
      <c r="AM34" s="681"/>
      <c r="AN34" s="301"/>
      <c r="BG34" s="423"/>
      <c r="BH34" s="423"/>
      <c r="BI34" s="423"/>
      <c r="BJ34" s="423"/>
      <c r="BK34" s="423"/>
      <c r="BL34" s="423"/>
      <c r="BM34" s="423"/>
      <c r="BN34" s="423"/>
      <c r="BO34" s="423"/>
      <c r="BP34" s="423"/>
      <c r="BQ34" s="423"/>
      <c r="BR34" s="423"/>
    </row>
    <row r="35" spans="1:70" s="969" customFormat="1" collapsed="1">
      <c r="A35" s="1039" t="s">
        <v>621</v>
      </c>
      <c r="B35" s="962"/>
      <c r="C35" s="962"/>
      <c r="D35" s="1063"/>
      <c r="E35" s="962"/>
      <c r="F35" s="963"/>
      <c r="G35" s="964">
        <f>G36+G40+G41</f>
        <v>17430.56135042505</v>
      </c>
      <c r="H35" s="964">
        <f t="shared" ref="H35:K35" si="45">H36+H40+H41</f>
        <v>17141.137927212334</v>
      </c>
      <c r="I35" s="964">
        <f t="shared" si="45"/>
        <v>17131.436011645263</v>
      </c>
      <c r="J35" s="964">
        <f t="shared" si="45"/>
        <v>17131.436011645259</v>
      </c>
      <c r="K35" s="1215">
        <f t="shared" si="45"/>
        <v>17335.231501773462</v>
      </c>
      <c r="L35" s="966"/>
      <c r="M35" s="963"/>
      <c r="N35" s="964">
        <f>N50/N21</f>
        <v>10482.570689740489</v>
      </c>
      <c r="O35" s="964">
        <f>O50/O21</f>
        <v>10499.999762562895</v>
      </c>
      <c r="P35" s="964">
        <f>P50/P21</f>
        <v>10490.297846995827</v>
      </c>
      <c r="Q35" s="964">
        <f>Q50/Q21</f>
        <v>10490.297846995827</v>
      </c>
      <c r="R35" s="1215">
        <f>R50/R21</f>
        <v>10487.827885630513</v>
      </c>
      <c r="S35" s="1027"/>
      <c r="T35" s="964">
        <f>T50/T21</f>
        <v>5327.4924792646016</v>
      </c>
      <c r="U35" s="964">
        <f>U50/U21</f>
        <v>5344.9215520870112</v>
      </c>
      <c r="V35" s="964">
        <f>V50/V21</f>
        <v>5335.2196365199407</v>
      </c>
      <c r="W35" s="964">
        <f>W50/W21</f>
        <v>5335.2196365199416</v>
      </c>
      <c r="X35" s="1215">
        <f>X50/X21</f>
        <v>5332.7496751546278</v>
      </c>
      <c r="Y35" s="966"/>
      <c r="Z35" s="966"/>
      <c r="AA35" s="966"/>
      <c r="AB35" s="963"/>
      <c r="AC35" s="964">
        <f>AC50/AC21</f>
        <v>5305.0586448188387</v>
      </c>
      <c r="AD35" s="964">
        <f>AD50/AD21</f>
        <v>5305.0586448188387</v>
      </c>
      <c r="AE35" s="964">
        <f>AE50/AE21</f>
        <v>5305.0586448188396</v>
      </c>
      <c r="AF35" s="964">
        <f>AF50/AF21</f>
        <v>5305.0586448188378</v>
      </c>
      <c r="AG35" s="965">
        <f>AG50/AG21</f>
        <v>5305.0586448188387</v>
      </c>
      <c r="AH35" s="967"/>
      <c r="AI35" s="964">
        <f t="shared" ref="AI35:AN35" si="46">AI50/AI21</f>
        <v>10658.803779752672</v>
      </c>
      <c r="AJ35" s="964">
        <f t="shared" si="46"/>
        <v>10688.887237317198</v>
      </c>
      <c r="AK35" s="964">
        <f t="shared" si="46"/>
        <v>10675.391523530896</v>
      </c>
      <c r="AL35" s="964">
        <f t="shared" si="46"/>
        <v>10675.391523530894</v>
      </c>
      <c r="AM35" s="965">
        <f t="shared" si="46"/>
        <v>10670.835784039156</v>
      </c>
      <c r="AN35" s="1215">
        <f t="shared" si="46"/>
        <v>7800.7337094003942</v>
      </c>
      <c r="AO35" s="968"/>
      <c r="AP35" s="968"/>
      <c r="AQ35" s="968"/>
      <c r="AR35" s="968"/>
      <c r="AS35" s="968"/>
      <c r="AT35" s="968"/>
      <c r="AU35" s="968"/>
      <c r="AV35" s="968"/>
      <c r="AW35" s="968"/>
      <c r="AX35" s="968"/>
      <c r="AY35" s="968"/>
      <c r="AZ35" s="968"/>
    </row>
    <row r="36" spans="1:70" s="961" customFormat="1">
      <c r="A36" s="1040" t="s">
        <v>564</v>
      </c>
      <c r="B36" s="955"/>
      <c r="C36" s="955"/>
      <c r="D36" s="1064"/>
      <c r="E36" s="955"/>
      <c r="F36" s="956"/>
      <c r="G36" s="957">
        <f>SUM(G37:G39)</f>
        <v>14406.631692279212</v>
      </c>
      <c r="H36" s="957">
        <f t="shared" ref="H36:J36" si="47">SUM(H37:H39)</f>
        <v>14406.631692279212</v>
      </c>
      <c r="I36" s="957">
        <f t="shared" si="47"/>
        <v>14406.63169227921</v>
      </c>
      <c r="J36" s="957">
        <f t="shared" si="47"/>
        <v>14406.63169227921</v>
      </c>
      <c r="K36" s="1216">
        <f>SUM(K37:K39)</f>
        <v>14406.631692279212</v>
      </c>
      <c r="L36" s="958"/>
      <c r="M36" s="956"/>
      <c r="N36" s="957">
        <f>SUM(N37:N39)</f>
        <v>9619.018273712858</v>
      </c>
      <c r="O36" s="957">
        <f t="shared" ref="O36:Q36" si="48">SUM(O37:O39)</f>
        <v>9619.0182737128562</v>
      </c>
      <c r="P36" s="957">
        <f t="shared" si="48"/>
        <v>9619.0182737128562</v>
      </c>
      <c r="Q36" s="957">
        <f t="shared" si="48"/>
        <v>9619.0182737128562</v>
      </c>
      <c r="R36" s="1216">
        <f>SUM(R37:R39)</f>
        <v>9619.018273712858</v>
      </c>
      <c r="S36" s="1028"/>
      <c r="T36" s="957">
        <f>SUM(T37:T39)</f>
        <v>3940.4518657505218</v>
      </c>
      <c r="U36" s="957">
        <f t="shared" ref="U36:W36" si="49">SUM(U37:U39)</f>
        <v>3940.4518657505218</v>
      </c>
      <c r="V36" s="957">
        <f t="shared" si="49"/>
        <v>3940.4518657505218</v>
      </c>
      <c r="W36" s="957">
        <f t="shared" si="49"/>
        <v>3940.4518657505218</v>
      </c>
      <c r="X36" s="1216">
        <f>SUM(X37:X39)</f>
        <v>3940.4518657505218</v>
      </c>
      <c r="Y36" s="958"/>
      <c r="Z36" s="958"/>
      <c r="AA36" s="958"/>
      <c r="AB36" s="956"/>
      <c r="AC36" s="957">
        <f>SUM(AC37:AC39)</f>
        <v>3940.4518657505214</v>
      </c>
      <c r="AD36" s="957">
        <f t="shared" ref="AD36:AF36" si="50">SUM(AD37:AD39)</f>
        <v>3940.4518657505214</v>
      </c>
      <c r="AE36" s="957">
        <f t="shared" si="50"/>
        <v>3940.4518657505214</v>
      </c>
      <c r="AF36" s="957">
        <f t="shared" si="50"/>
        <v>3940.4518657505214</v>
      </c>
      <c r="AG36" s="957">
        <f>SUM(AG37:AG39)</f>
        <v>3940.4518657505205</v>
      </c>
      <c r="AH36" s="959"/>
      <c r="AI36" s="957">
        <f>SUM(AI37:AI39)</f>
        <v>9619.0182737128562</v>
      </c>
      <c r="AJ36" s="957">
        <f t="shared" ref="AJ36:AL36" si="51">SUM(AJ37:AJ39)</f>
        <v>9619.0182737128562</v>
      </c>
      <c r="AK36" s="957">
        <f t="shared" si="51"/>
        <v>9619.0182737128562</v>
      </c>
      <c r="AL36" s="957">
        <f t="shared" si="51"/>
        <v>9619.0182737128562</v>
      </c>
      <c r="AM36" s="957">
        <f>SUM(AM37:AM39)</f>
        <v>9619.0182737128562</v>
      </c>
      <c r="AN36" s="1216">
        <f t="shared" ref="AN36" si="52">AN51/AN21</f>
        <v>6400.8544135622942</v>
      </c>
      <c r="AO36" s="960"/>
      <c r="AP36" s="960"/>
      <c r="AQ36" s="960"/>
      <c r="AR36" s="960"/>
      <c r="AS36" s="960"/>
      <c r="AT36" s="960"/>
      <c r="AU36" s="960"/>
      <c r="AV36" s="960"/>
      <c r="AW36" s="960"/>
      <c r="AX36" s="960"/>
      <c r="AY36" s="960"/>
      <c r="AZ36" s="960"/>
    </row>
    <row r="37" spans="1:70" hidden="1" outlineLevel="1">
      <c r="A37" s="436" t="s">
        <v>609</v>
      </c>
      <c r="B37" s="2"/>
      <c r="C37" s="2"/>
      <c r="D37" s="1061"/>
      <c r="E37" s="2"/>
      <c r="F37" s="154"/>
      <c r="G37" s="169">
        <f>G52/G19</f>
        <v>13400</v>
      </c>
      <c r="H37" s="169">
        <f t="shared" ref="H37:K37" si="53">H52/H19</f>
        <v>13400</v>
      </c>
      <c r="I37" s="169">
        <f t="shared" si="53"/>
        <v>13399.999999999998</v>
      </c>
      <c r="J37" s="169">
        <f t="shared" si="53"/>
        <v>13399.999999999998</v>
      </c>
      <c r="K37" s="407">
        <f t="shared" si="53"/>
        <v>13400</v>
      </c>
      <c r="L37" s="279"/>
      <c r="M37" s="154"/>
      <c r="N37" s="169">
        <f>N52/N19</f>
        <v>8933.3333333333339</v>
      </c>
      <c r="O37" s="169">
        <f t="shared" ref="O37:R37" si="54">O52/O19</f>
        <v>8933.3333333333321</v>
      </c>
      <c r="P37" s="169">
        <f t="shared" si="54"/>
        <v>8933.3333333333321</v>
      </c>
      <c r="Q37" s="169">
        <f t="shared" si="54"/>
        <v>8933.3333333333321</v>
      </c>
      <c r="R37" s="407">
        <f t="shared" si="54"/>
        <v>8933.3333333333339</v>
      </c>
      <c r="S37" s="362"/>
      <c r="T37" s="169">
        <f>T52/T19</f>
        <v>0</v>
      </c>
      <c r="U37" s="169">
        <f t="shared" ref="U37:X37" si="55">U52/U19</f>
        <v>0</v>
      </c>
      <c r="V37" s="169">
        <f t="shared" si="55"/>
        <v>0</v>
      </c>
      <c r="W37" s="169">
        <f t="shared" si="55"/>
        <v>0</v>
      </c>
      <c r="X37" s="407">
        <f t="shared" si="55"/>
        <v>0</v>
      </c>
      <c r="Y37" s="279"/>
      <c r="Z37" s="279"/>
      <c r="AA37" s="279"/>
      <c r="AB37" s="154"/>
      <c r="AC37" s="169">
        <f>AC52/AC19</f>
        <v>0</v>
      </c>
      <c r="AD37" s="169">
        <f t="shared" ref="AD37:AG37" si="56">AD52/AD19</f>
        <v>0</v>
      </c>
      <c r="AE37" s="169">
        <f t="shared" si="56"/>
        <v>0</v>
      </c>
      <c r="AF37" s="169">
        <f t="shared" si="56"/>
        <v>0</v>
      </c>
      <c r="AG37" s="169">
        <f t="shared" si="56"/>
        <v>0</v>
      </c>
      <c r="AH37" s="615"/>
      <c r="AI37" s="169">
        <f>AI52/AI19</f>
        <v>8933.3333333333321</v>
      </c>
      <c r="AJ37" s="169">
        <f t="shared" ref="AJ37:AM37" si="57">AJ52/AJ19</f>
        <v>8933.3333333333321</v>
      </c>
      <c r="AK37" s="169">
        <f t="shared" si="57"/>
        <v>8933.3333333333321</v>
      </c>
      <c r="AL37" s="169">
        <f t="shared" si="57"/>
        <v>8933.3333333333321</v>
      </c>
      <c r="AM37" s="169">
        <f t="shared" si="57"/>
        <v>8933.3333333333321</v>
      </c>
      <c r="AN37" s="407"/>
      <c r="BG37" s="423"/>
      <c r="BH37" s="423"/>
      <c r="BI37" s="423"/>
      <c r="BJ37" s="423"/>
      <c r="BK37" s="423"/>
      <c r="BL37" s="423"/>
      <c r="BM37" s="423"/>
      <c r="BN37" s="423"/>
      <c r="BO37" s="423"/>
      <c r="BP37" s="423"/>
      <c r="BQ37" s="423"/>
      <c r="BR37" s="423"/>
    </row>
    <row r="38" spans="1:70" hidden="1" outlineLevel="1">
      <c r="A38" s="436" t="s">
        <v>611</v>
      </c>
      <c r="B38" s="2"/>
      <c r="C38" s="2"/>
      <c r="D38" s="1061"/>
      <c r="E38" s="2"/>
      <c r="F38" s="154"/>
      <c r="G38" s="169">
        <f>G54/G21</f>
        <v>746.30864078922923</v>
      </c>
      <c r="H38" s="169">
        <f t="shared" ref="H38:K38" si="58">H54/H21</f>
        <v>746.30864078922923</v>
      </c>
      <c r="I38" s="169">
        <f t="shared" si="58"/>
        <v>746.30864078922923</v>
      </c>
      <c r="J38" s="169">
        <f t="shared" si="58"/>
        <v>746.30864078922923</v>
      </c>
      <c r="K38" s="407">
        <f t="shared" si="58"/>
        <v>746.30864078922912</v>
      </c>
      <c r="L38" s="279"/>
      <c r="M38" s="154"/>
      <c r="N38" s="169">
        <f>N54/N21</f>
        <v>508.36130015499896</v>
      </c>
      <c r="O38" s="169">
        <f t="shared" ref="O38:R38" si="59">O54/O21</f>
        <v>508.36130015499901</v>
      </c>
      <c r="P38" s="169">
        <f t="shared" si="59"/>
        <v>508.36130015499896</v>
      </c>
      <c r="Q38" s="169">
        <f t="shared" si="59"/>
        <v>508.36130015499896</v>
      </c>
      <c r="R38" s="407">
        <f t="shared" si="59"/>
        <v>508.36130015499896</v>
      </c>
      <c r="S38" s="362"/>
      <c r="T38" s="169">
        <f>T54/T21</f>
        <v>2921.4193220612015</v>
      </c>
      <c r="U38" s="169">
        <f t="shared" ref="U38:X38" si="60">U54/U21</f>
        <v>2921.4193220612015</v>
      </c>
      <c r="V38" s="169">
        <f t="shared" si="60"/>
        <v>2921.4193220612015</v>
      </c>
      <c r="W38" s="169">
        <f t="shared" si="60"/>
        <v>2921.4193220612015</v>
      </c>
      <c r="X38" s="407">
        <f t="shared" si="60"/>
        <v>2921.4193220612015</v>
      </c>
      <c r="Y38" s="279"/>
      <c r="Z38" s="279"/>
      <c r="AA38" s="279"/>
      <c r="AB38" s="154"/>
      <c r="AC38" s="169">
        <f>AC54/AC21</f>
        <v>2921.419322061201</v>
      </c>
      <c r="AD38" s="169">
        <f t="shared" ref="AD38:AG38" si="61">AD54/AD21</f>
        <v>2921.419322061201</v>
      </c>
      <c r="AE38" s="169">
        <f t="shared" si="61"/>
        <v>2921.419322061201</v>
      </c>
      <c r="AF38" s="169">
        <f t="shared" si="61"/>
        <v>2921.419322061201</v>
      </c>
      <c r="AG38" s="169">
        <f t="shared" si="61"/>
        <v>2921.4193220612005</v>
      </c>
      <c r="AH38" s="615"/>
      <c r="AI38" s="169">
        <f>AI54/AI21</f>
        <v>508.36130015499907</v>
      </c>
      <c r="AJ38" s="169">
        <f t="shared" ref="AJ38:AM38" si="62">AJ54/AJ21</f>
        <v>508.36130015499907</v>
      </c>
      <c r="AK38" s="169">
        <f t="shared" si="62"/>
        <v>508.36130015499907</v>
      </c>
      <c r="AL38" s="169">
        <f t="shared" si="62"/>
        <v>508.36130015499901</v>
      </c>
      <c r="AM38" s="169">
        <f t="shared" si="62"/>
        <v>508.36130015499913</v>
      </c>
      <c r="AN38" s="407"/>
      <c r="BG38" s="423"/>
      <c r="BH38" s="423"/>
      <c r="BI38" s="423"/>
      <c r="BJ38" s="423"/>
      <c r="BK38" s="423"/>
      <c r="BL38" s="423"/>
      <c r="BM38" s="423"/>
      <c r="BN38" s="423"/>
      <c r="BO38" s="423"/>
      <c r="BP38" s="423"/>
      <c r="BQ38" s="423"/>
      <c r="BR38" s="423"/>
    </row>
    <row r="39" spans="1:70" hidden="1" outlineLevel="1">
      <c r="A39" s="436" t="s">
        <v>610</v>
      </c>
      <c r="B39" s="2"/>
      <c r="C39" s="2"/>
      <c r="D39" s="1061"/>
      <c r="E39" s="2"/>
      <c r="F39" s="154"/>
      <c r="G39" s="169">
        <f>G53/G21</f>
        <v>260.32305148998239</v>
      </c>
      <c r="H39" s="169">
        <f t="shared" ref="H39:K39" si="63">H53/H21</f>
        <v>260.32305148998233</v>
      </c>
      <c r="I39" s="169">
        <f t="shared" si="63"/>
        <v>260.32305148998233</v>
      </c>
      <c r="J39" s="169">
        <f t="shared" si="63"/>
        <v>260.32305148998233</v>
      </c>
      <c r="K39" s="407">
        <f t="shared" si="63"/>
        <v>260.32305148998233</v>
      </c>
      <c r="L39" s="279"/>
      <c r="M39" s="154"/>
      <c r="N39" s="169">
        <f>N53/N21</f>
        <v>177.32364022452583</v>
      </c>
      <c r="O39" s="169">
        <f t="shared" ref="O39:R39" si="64">O53/O21</f>
        <v>177.32364022452583</v>
      </c>
      <c r="P39" s="169">
        <f t="shared" si="64"/>
        <v>177.3236402245258</v>
      </c>
      <c r="Q39" s="169">
        <f t="shared" si="64"/>
        <v>177.32364022452586</v>
      </c>
      <c r="R39" s="407">
        <f t="shared" si="64"/>
        <v>177.32364022452583</v>
      </c>
      <c r="S39" s="362"/>
      <c r="T39" s="169">
        <f>T53/T21</f>
        <v>1019.0325436893203</v>
      </c>
      <c r="U39" s="169">
        <f t="shared" ref="U39:X39" si="65">U53/U21</f>
        <v>1019.0325436893204</v>
      </c>
      <c r="V39" s="169">
        <f t="shared" si="65"/>
        <v>1019.0325436893203</v>
      </c>
      <c r="W39" s="169">
        <f t="shared" si="65"/>
        <v>1019.0325436893204</v>
      </c>
      <c r="X39" s="407">
        <f t="shared" si="65"/>
        <v>1019.0325436893203</v>
      </c>
      <c r="Y39" s="279"/>
      <c r="Z39" s="279"/>
      <c r="AA39" s="279"/>
      <c r="AB39" s="154"/>
      <c r="AC39" s="169">
        <f>AC53/AC21</f>
        <v>1019.0325436893202</v>
      </c>
      <c r="AD39" s="169">
        <f t="shared" ref="AD39:AG39" si="66">AD53/AD21</f>
        <v>1019.0325436893203</v>
      </c>
      <c r="AE39" s="169">
        <f t="shared" si="66"/>
        <v>1019.0325436893204</v>
      </c>
      <c r="AF39" s="169">
        <f t="shared" si="66"/>
        <v>1019.0325436893202</v>
      </c>
      <c r="AG39" s="169">
        <f t="shared" si="66"/>
        <v>1019.0325436893202</v>
      </c>
      <c r="AH39" s="615"/>
      <c r="AI39" s="169">
        <f>AI53/AI21</f>
        <v>177.32364022452578</v>
      </c>
      <c r="AJ39" s="169">
        <f t="shared" ref="AJ39:AM39" si="67">AJ53/AJ21</f>
        <v>177.32364022452583</v>
      </c>
      <c r="AK39" s="169">
        <f t="shared" si="67"/>
        <v>177.3236402245258</v>
      </c>
      <c r="AL39" s="169">
        <f t="shared" si="67"/>
        <v>177.32364022452583</v>
      </c>
      <c r="AM39" s="169">
        <f t="shared" si="67"/>
        <v>177.3236402245258</v>
      </c>
      <c r="AN39" s="407"/>
      <c r="BG39" s="423"/>
      <c r="BH39" s="423"/>
      <c r="BI39" s="423"/>
      <c r="BJ39" s="423"/>
      <c r="BK39" s="423"/>
      <c r="BL39" s="423"/>
      <c r="BM39" s="423"/>
      <c r="BN39" s="423"/>
      <c r="BO39" s="423"/>
      <c r="BP39" s="423"/>
      <c r="BQ39" s="423"/>
      <c r="BR39" s="423"/>
    </row>
    <row r="40" spans="1:70" s="961" customFormat="1" collapsed="1">
      <c r="A40" s="1040" t="s">
        <v>566</v>
      </c>
      <c r="B40" s="955"/>
      <c r="C40" s="955"/>
      <c r="D40" s="1064"/>
      <c r="E40" s="955"/>
      <c r="F40" s="956"/>
      <c r="G40" s="957">
        <f>G55/G21</f>
        <v>1423.9296581458368</v>
      </c>
      <c r="H40" s="957">
        <f>H55/H21</f>
        <v>1134.5062349331213</v>
      </c>
      <c r="I40" s="957">
        <f>I55/I21</f>
        <v>1124.8043193660515</v>
      </c>
      <c r="J40" s="957">
        <f>J55/J21</f>
        <v>1124.8043193660512</v>
      </c>
      <c r="K40" s="1216">
        <f>K55/K21</f>
        <v>1328.5998094942486</v>
      </c>
      <c r="L40" s="958"/>
      <c r="M40" s="956"/>
      <c r="N40" s="957">
        <f>N55/N21</f>
        <v>1252.1786664392946</v>
      </c>
      <c r="O40" s="957">
        <f>O55/O21</f>
        <v>1269.6077392617035</v>
      </c>
      <c r="P40" s="957">
        <f>P55/P21</f>
        <v>1259.9058236946339</v>
      </c>
      <c r="Q40" s="957">
        <f>Q55/Q21</f>
        <v>1259.9058236946337</v>
      </c>
      <c r="R40" s="1216">
        <f>R55/R21</f>
        <v>1257.4358623293201</v>
      </c>
      <c r="S40" s="1028"/>
      <c r="T40" s="957">
        <f>T55/T21</f>
        <v>1387.0406135140795</v>
      </c>
      <c r="U40" s="957">
        <f>U55/U21</f>
        <v>1404.4696863364884</v>
      </c>
      <c r="V40" s="957">
        <f>V55/V21</f>
        <v>1394.7677707694186</v>
      </c>
      <c r="W40" s="957">
        <f>W55/W21</f>
        <v>1394.7677707694186</v>
      </c>
      <c r="X40" s="1216">
        <f>X55/X21</f>
        <v>1392.2978094041048</v>
      </c>
      <c r="Y40" s="958"/>
      <c r="Z40" s="958"/>
      <c r="AA40" s="958"/>
      <c r="AB40" s="956"/>
      <c r="AC40" s="957">
        <f>AC55/AC21</f>
        <v>1364.6067790683178</v>
      </c>
      <c r="AD40" s="957">
        <f>AD55/AD21</f>
        <v>1364.6067790683176</v>
      </c>
      <c r="AE40" s="957">
        <f>AE55/AE21</f>
        <v>1364.6067790683178</v>
      </c>
      <c r="AF40" s="957">
        <f>AF55/AF21</f>
        <v>1364.6067790683176</v>
      </c>
      <c r="AG40" s="957">
        <f>AG55/AG21</f>
        <v>1364.6067790683178</v>
      </c>
      <c r="AH40" s="959"/>
      <c r="AI40" s="957">
        <f t="shared" ref="AI40:AN40" si="68">AI55/AI21</f>
        <v>1428.4117564514811</v>
      </c>
      <c r="AJ40" s="957">
        <f t="shared" si="68"/>
        <v>1458.4952140160049</v>
      </c>
      <c r="AK40" s="957">
        <f t="shared" si="68"/>
        <v>1444.9995002297019</v>
      </c>
      <c r="AL40" s="957">
        <f t="shared" si="68"/>
        <v>1444.9995002297014</v>
      </c>
      <c r="AM40" s="957">
        <f t="shared" si="68"/>
        <v>1440.4437607379643</v>
      </c>
      <c r="AN40" s="1216">
        <f t="shared" si="68"/>
        <v>1399.8792958381002</v>
      </c>
      <c r="AO40" s="960"/>
      <c r="AP40" s="960"/>
      <c r="AQ40" s="960"/>
      <c r="AR40" s="960"/>
      <c r="AS40" s="960"/>
      <c r="AT40" s="960"/>
      <c r="AU40" s="960"/>
      <c r="AV40" s="960"/>
      <c r="AW40" s="960"/>
      <c r="AX40" s="960"/>
      <c r="AY40" s="960"/>
      <c r="AZ40" s="960"/>
    </row>
    <row r="41" spans="1:70" s="961" customFormat="1">
      <c r="A41" s="1040" t="s">
        <v>501</v>
      </c>
      <c r="B41" s="955"/>
      <c r="C41" s="955"/>
      <c r="D41" s="1064"/>
      <c r="E41" s="955"/>
      <c r="F41" s="956"/>
      <c r="G41" s="957">
        <f>G71/G21</f>
        <v>1600.0000000000002</v>
      </c>
      <c r="H41" s="957">
        <f>H71/H21</f>
        <v>1600</v>
      </c>
      <c r="I41" s="957">
        <f>I71/I21</f>
        <v>1600</v>
      </c>
      <c r="J41" s="957">
        <f>J71/J21</f>
        <v>1600</v>
      </c>
      <c r="K41" s="1216">
        <f>K71/K21</f>
        <v>1600.0000000000002</v>
      </c>
      <c r="L41" s="958"/>
      <c r="M41" s="956"/>
      <c r="N41" s="957">
        <f>N71/N21</f>
        <v>0</v>
      </c>
      <c r="O41" s="957">
        <f>O71/O21</f>
        <v>0</v>
      </c>
      <c r="P41" s="957">
        <f>P71/P21</f>
        <v>0</v>
      </c>
      <c r="Q41" s="957">
        <f>Q71/Q21</f>
        <v>0</v>
      </c>
      <c r="R41" s="1216">
        <f>R71/R21</f>
        <v>0</v>
      </c>
      <c r="S41" s="1028"/>
      <c r="T41" s="957">
        <f>T71/T21</f>
        <v>0</v>
      </c>
      <c r="U41" s="957">
        <f>U71/U21</f>
        <v>0</v>
      </c>
      <c r="V41" s="957">
        <f>V71/V21</f>
        <v>0</v>
      </c>
      <c r="W41" s="957">
        <f>W71/W21</f>
        <v>0</v>
      </c>
      <c r="X41" s="1216">
        <f>X71/X21</f>
        <v>0</v>
      </c>
      <c r="Y41" s="958"/>
      <c r="Z41" s="958"/>
      <c r="AA41" s="958"/>
      <c r="AB41" s="956"/>
      <c r="AC41" s="957">
        <f>AC71/AC21</f>
        <v>0</v>
      </c>
      <c r="AD41" s="957">
        <f>AD71/AD21</f>
        <v>0</v>
      </c>
      <c r="AE41" s="957">
        <f>AE71/AE21</f>
        <v>0</v>
      </c>
      <c r="AF41" s="957">
        <f>AF71/AF21</f>
        <v>0</v>
      </c>
      <c r="AG41" s="957">
        <f>AG71/AG21</f>
        <v>0</v>
      </c>
      <c r="AH41" s="959"/>
      <c r="AI41" s="957">
        <f t="shared" ref="AI41:AN41" si="69">AI71/AI21</f>
        <v>0</v>
      </c>
      <c r="AJ41" s="957">
        <f t="shared" si="69"/>
        <v>0</v>
      </c>
      <c r="AK41" s="957">
        <f t="shared" si="69"/>
        <v>0</v>
      </c>
      <c r="AL41" s="957">
        <f t="shared" si="69"/>
        <v>0</v>
      </c>
      <c r="AM41" s="957">
        <f t="shared" si="69"/>
        <v>0</v>
      </c>
      <c r="AN41" s="1216">
        <f t="shared" si="69"/>
        <v>0</v>
      </c>
      <c r="AO41" s="960"/>
      <c r="AP41" s="960"/>
      <c r="AQ41" s="960"/>
      <c r="AR41" s="960"/>
      <c r="AS41" s="960"/>
      <c r="AT41" s="960"/>
      <c r="AU41" s="960"/>
      <c r="AV41" s="960"/>
      <c r="AW41" s="960"/>
      <c r="AX41" s="960"/>
      <c r="AY41" s="960"/>
      <c r="AZ41" s="960"/>
    </row>
    <row r="42" spans="1:70">
      <c r="A42" s="436"/>
      <c r="B42" s="2"/>
      <c r="C42" s="2"/>
      <c r="D42" s="1061"/>
      <c r="E42" s="2"/>
      <c r="F42" s="154"/>
      <c r="G42" s="169"/>
      <c r="H42" s="154"/>
      <c r="I42" s="154"/>
      <c r="J42" s="154"/>
      <c r="K42" s="301"/>
      <c r="L42" s="279"/>
      <c r="M42" s="154"/>
      <c r="N42" s="154"/>
      <c r="O42" s="154"/>
      <c r="P42" s="154"/>
      <c r="Q42" s="154"/>
      <c r="R42" s="301"/>
      <c r="S42" s="326"/>
      <c r="T42" s="154"/>
      <c r="U42" s="154"/>
      <c r="V42" s="154"/>
      <c r="W42" s="154"/>
      <c r="X42" s="301"/>
      <c r="Y42" s="279"/>
      <c r="Z42" s="279"/>
      <c r="AA42" s="279"/>
      <c r="AB42" s="154"/>
      <c r="AC42" s="154"/>
      <c r="AD42" s="154"/>
      <c r="AE42" s="154"/>
      <c r="AF42" s="154"/>
      <c r="AG42" s="279"/>
      <c r="AH42" s="615"/>
      <c r="AI42" s="154"/>
      <c r="AJ42" s="154"/>
      <c r="AK42" s="154"/>
      <c r="AL42" s="154"/>
      <c r="AM42" s="681"/>
      <c r="AN42" s="301"/>
      <c r="BG42" s="423"/>
      <c r="BH42" s="423"/>
      <c r="BI42" s="423"/>
      <c r="BJ42" s="423"/>
      <c r="BK42" s="423"/>
      <c r="BL42" s="423"/>
      <c r="BM42" s="423"/>
      <c r="BN42" s="423"/>
      <c r="BO42" s="423"/>
      <c r="BP42" s="423"/>
      <c r="BQ42" s="423"/>
      <c r="BR42" s="423"/>
    </row>
    <row r="43" spans="1:70">
      <c r="A43" s="1036"/>
      <c r="F43" s="898"/>
      <c r="G43" s="784"/>
      <c r="H43" s="784"/>
      <c r="I43" s="784"/>
      <c r="J43" s="784"/>
      <c r="K43" s="301"/>
      <c r="L43" s="279"/>
      <c r="M43" s="940"/>
      <c r="N43" s="154"/>
      <c r="O43" s="154"/>
      <c r="P43" s="154"/>
      <c r="Q43" s="154"/>
      <c r="R43" s="903"/>
      <c r="S43" s="1029"/>
      <c r="T43" s="154"/>
      <c r="U43" s="154"/>
      <c r="V43" s="154"/>
      <c r="W43" s="154"/>
      <c r="X43" s="301"/>
      <c r="Y43" s="279"/>
      <c r="Z43" s="279"/>
      <c r="AA43" s="279"/>
      <c r="AB43" s="1229"/>
      <c r="AC43" s="154"/>
      <c r="AD43" s="154"/>
      <c r="AE43" s="154"/>
      <c r="AF43" s="154"/>
      <c r="AG43" s="154"/>
      <c r="AH43" s="615"/>
      <c r="AI43" s="154"/>
      <c r="AJ43" s="154"/>
      <c r="AK43" s="154"/>
      <c r="AL43" s="154"/>
      <c r="AM43" s="684"/>
      <c r="AN43" s="299"/>
      <c r="BG43" s="423"/>
      <c r="BH43" s="423"/>
      <c r="BI43" s="423"/>
      <c r="BJ43" s="423"/>
      <c r="BK43" s="423"/>
      <c r="BL43" s="423"/>
      <c r="BM43" s="423"/>
      <c r="BN43" s="423"/>
      <c r="BO43" s="423"/>
      <c r="BP43" s="423"/>
      <c r="BQ43" s="423"/>
      <c r="BR43" s="423"/>
    </row>
    <row r="44" spans="1:70" s="495" customFormat="1" ht="20">
      <c r="A44" s="1086" t="s">
        <v>342</v>
      </c>
      <c r="B44" s="932"/>
      <c r="C44" s="932"/>
      <c r="D44" s="1065"/>
      <c r="E44" s="932"/>
      <c r="F44" s="726"/>
      <c r="G44" s="1087">
        <f>SUM(G45:G49)</f>
        <v>56555524.126248688</v>
      </c>
      <c r="H44" s="1087">
        <f t="shared" ref="H44:J44" si="70">SUM(H45:H49)</f>
        <v>24072968.447433282</v>
      </c>
      <c r="I44" s="1087">
        <f t="shared" si="70"/>
        <v>1313891.3854473624</v>
      </c>
      <c r="J44" s="1087">
        <f t="shared" si="70"/>
        <v>2674707.4632321298</v>
      </c>
      <c r="K44" s="674">
        <f t="shared" si="7"/>
        <v>84617091.422361463</v>
      </c>
      <c r="L44" s="677"/>
      <c r="M44" s="1025"/>
      <c r="N44" s="1087">
        <f>SUM(N45:N49)</f>
        <v>94480712.769646078</v>
      </c>
      <c r="O44" s="1087">
        <f t="shared" ref="O44:Q44" si="71">SUM(O45:O49)</f>
        <v>40132903.703792758</v>
      </c>
      <c r="P44" s="1087">
        <f t="shared" si="71"/>
        <v>2192935.6400447767</v>
      </c>
      <c r="Q44" s="1087">
        <f t="shared" si="71"/>
        <v>4464190.4100911515</v>
      </c>
      <c r="R44" s="674">
        <f t="shared" ref="R44:R52" si="72">SUM(N44:Q44)</f>
        <v>141270742.52357477</v>
      </c>
      <c r="S44" s="1030"/>
      <c r="T44" s="1087">
        <f>SUM(T45:T49)</f>
        <v>16440754.540248806</v>
      </c>
      <c r="U44" s="1087">
        <f t="shared" ref="U44:W44" si="73">SUM(U45:U49)</f>
        <v>6983596.9632256897</v>
      </c>
      <c r="V44" s="1087">
        <f t="shared" si="73"/>
        <v>381596.57694837527</v>
      </c>
      <c r="W44" s="1087">
        <f t="shared" si="73"/>
        <v>776821.60307347821</v>
      </c>
      <c r="X44" s="674">
        <f t="shared" ref="X44:X52" si="74">SUM(T44:W44)</f>
        <v>24582769.683496349</v>
      </c>
      <c r="Y44" s="677"/>
      <c r="Z44" s="677"/>
      <c r="AA44" s="677"/>
      <c r="AB44" s="1230"/>
      <c r="AC44" s="1087">
        <f>SUM(AC45:AC49)</f>
        <v>14304847.921491524</v>
      </c>
      <c r="AD44" s="1087">
        <f t="shared" ref="AD44:AF44" si="75">SUM(AD45:AD49)</f>
        <v>5562237.6275337106</v>
      </c>
      <c r="AE44" s="1087">
        <f t="shared" si="75"/>
        <v>319451.29823283362</v>
      </c>
      <c r="AF44" s="1087">
        <f t="shared" si="75"/>
        <v>650311.57140255417</v>
      </c>
      <c r="AG44" s="677">
        <f t="shared" ref="AG44:AG74" si="76">SUM(AC44:AF44)</f>
        <v>20836848.418660622</v>
      </c>
      <c r="AH44" s="688"/>
      <c r="AI44" s="1087">
        <f>SUM(AI45:AI49)</f>
        <v>12274496.23772187</v>
      </c>
      <c r="AJ44" s="1087">
        <f t="shared" ref="AJ44:AL44" si="77">SUM(AJ45:AJ49)</f>
        <v>8168180.0436354261</v>
      </c>
      <c r="AK44" s="1087">
        <f t="shared" si="77"/>
        <v>357132.64947411773</v>
      </c>
      <c r="AL44" s="1087">
        <f t="shared" si="77"/>
        <v>727020.03642945399</v>
      </c>
      <c r="AM44" s="689">
        <f t="shared" ref="AM44:AM52" si="78">SUM(AI44:AL44)</f>
        <v>21526828.967260867</v>
      </c>
      <c r="AN44" s="674">
        <f>AM44+AG44</f>
        <v>42363677.385921493</v>
      </c>
      <c r="AO44" s="493"/>
      <c r="AP44" s="493"/>
      <c r="AQ44" s="493"/>
      <c r="AR44" s="493"/>
      <c r="AS44" s="493"/>
      <c r="AT44" s="493"/>
      <c r="AU44" s="493"/>
      <c r="AV44" s="493"/>
      <c r="AW44" s="493"/>
      <c r="AX44" s="493"/>
      <c r="AY44" s="493"/>
      <c r="AZ44" s="493"/>
    </row>
    <row r="45" spans="1:70" hidden="1" outlineLevel="1">
      <c r="A45" s="436" t="s">
        <v>327</v>
      </c>
      <c r="B45" s="2"/>
      <c r="C45" s="2"/>
      <c r="D45" s="1061"/>
      <c r="E45" s="2"/>
      <c r="F45" s="724"/>
      <c r="G45" s="169">
        <f t="shared" ref="G45:J49" si="79">G$21*G85*G95</f>
        <v>16330.246641369327</v>
      </c>
      <c r="H45" s="169">
        <f t="shared" si="79"/>
        <v>107671.79789270686</v>
      </c>
      <c r="I45" s="169">
        <f t="shared" si="79"/>
        <v>2842.1422607951204</v>
      </c>
      <c r="J45" s="169">
        <f t="shared" si="79"/>
        <v>5785.7896023329231</v>
      </c>
      <c r="K45" s="406">
        <f t="shared" si="7"/>
        <v>132629.97639720424</v>
      </c>
      <c r="L45" s="671"/>
      <c r="M45" s="74"/>
      <c r="N45" s="169">
        <f t="shared" ref="N45:Q49" si="80">N$21*N85*N95</f>
        <v>25624.564492132558</v>
      </c>
      <c r="O45" s="169">
        <f t="shared" si="80"/>
        <v>168952.92457470062</v>
      </c>
      <c r="P45" s="169">
        <f t="shared" si="80"/>
        <v>4459.7402143984491</v>
      </c>
      <c r="Q45" s="169">
        <f t="shared" si="80"/>
        <v>9078.7568650254125</v>
      </c>
      <c r="R45" s="406">
        <f t="shared" si="72"/>
        <v>208115.98614625703</v>
      </c>
      <c r="S45" s="362"/>
      <c r="T45" s="169">
        <f t="shared" ref="T45:W49" si="81">T$21*T85*T95</f>
        <v>4458.9754106012006</v>
      </c>
      <c r="U45" s="169">
        <f t="shared" si="81"/>
        <v>29399.79473442565</v>
      </c>
      <c r="V45" s="169">
        <f t="shared" si="81"/>
        <v>776.04721671572281</v>
      </c>
      <c r="W45" s="169">
        <f t="shared" si="81"/>
        <v>1579.8104054570072</v>
      </c>
      <c r="X45" s="406">
        <f t="shared" si="74"/>
        <v>36214.627767199578</v>
      </c>
      <c r="Y45" s="671"/>
      <c r="Z45" s="671"/>
      <c r="AA45" s="671"/>
      <c r="AB45" s="154"/>
      <c r="AC45" s="169">
        <f t="shared" ref="AC45:AF49" si="82">AC$21*AC85*AC95</f>
        <v>0</v>
      </c>
      <c r="AD45" s="169">
        <f t="shared" si="82"/>
        <v>0</v>
      </c>
      <c r="AE45" s="169">
        <f t="shared" si="82"/>
        <v>0</v>
      </c>
      <c r="AF45" s="169">
        <f t="shared" si="82"/>
        <v>0</v>
      </c>
      <c r="AG45" s="671">
        <f t="shared" si="76"/>
        <v>0</v>
      </c>
      <c r="AH45" s="615"/>
      <c r="AI45" s="169">
        <f t="shared" ref="AI45:AL49" si="83">AI$21*AI85*AI95</f>
        <v>25624.564492132562</v>
      </c>
      <c r="AJ45" s="169">
        <f t="shared" si="83"/>
        <v>168952.92457470065</v>
      </c>
      <c r="AK45" s="169">
        <f t="shared" si="83"/>
        <v>4459.7402143984473</v>
      </c>
      <c r="AL45" s="169">
        <f t="shared" si="83"/>
        <v>9078.7568650254143</v>
      </c>
      <c r="AM45" s="687">
        <f t="shared" si="78"/>
        <v>208115.98614625708</v>
      </c>
      <c r="AN45" s="406">
        <f>AM45+AG45</f>
        <v>208115.98614625708</v>
      </c>
      <c r="BG45" s="423"/>
      <c r="BH45" s="423"/>
      <c r="BI45" s="423"/>
      <c r="BJ45" s="423"/>
      <c r="BK45" s="423"/>
      <c r="BL45" s="423"/>
      <c r="BM45" s="423"/>
      <c r="BN45" s="423"/>
      <c r="BO45" s="423"/>
      <c r="BP45" s="423"/>
      <c r="BQ45" s="423"/>
      <c r="BR45" s="423"/>
    </row>
    <row r="46" spans="1:70" hidden="1" outlineLevel="1">
      <c r="A46" s="436" t="s">
        <v>429</v>
      </c>
      <c r="B46" s="2"/>
      <c r="C46" s="2"/>
      <c r="D46" s="1061"/>
      <c r="E46" s="2"/>
      <c r="F46" s="724"/>
      <c r="G46" s="169">
        <f t="shared" si="79"/>
        <v>709938.6657969018</v>
      </c>
      <c r="H46" s="169">
        <f t="shared" si="79"/>
        <v>811262.91752202727</v>
      </c>
      <c r="I46" s="169">
        <f t="shared" si="79"/>
        <v>28940.81399914818</v>
      </c>
      <c r="J46" s="169">
        <f t="shared" si="79"/>
        <v>58915.228498265933</v>
      </c>
      <c r="K46" s="406">
        <f t="shared" si="7"/>
        <v>1609057.6258163431</v>
      </c>
      <c r="L46" s="671"/>
      <c r="M46" s="74"/>
      <c r="N46" s="169">
        <f t="shared" si="80"/>
        <v>1136173.3906386246</v>
      </c>
      <c r="O46" s="169">
        <f t="shared" si="80"/>
        <v>1298330.9461891926</v>
      </c>
      <c r="P46" s="169">
        <f t="shared" si="80"/>
        <v>46316.371192917577</v>
      </c>
      <c r="Q46" s="169">
        <f t="shared" si="80"/>
        <v>94286.898499867893</v>
      </c>
      <c r="R46" s="406">
        <f t="shared" si="72"/>
        <v>2575107.6065206029</v>
      </c>
      <c r="S46" s="362"/>
      <c r="T46" s="169">
        <f t="shared" si="81"/>
        <v>197707.52445734138</v>
      </c>
      <c r="U46" s="169">
        <f t="shared" si="81"/>
        <v>225924.84510937351</v>
      </c>
      <c r="V46" s="169">
        <f t="shared" si="81"/>
        <v>8059.5929862888252</v>
      </c>
      <c r="W46" s="169">
        <f t="shared" si="81"/>
        <v>16407.02857923082</v>
      </c>
      <c r="X46" s="406">
        <f t="shared" si="74"/>
        <v>448098.99113223451</v>
      </c>
      <c r="Y46" s="671"/>
      <c r="Z46" s="671"/>
      <c r="AA46" s="671"/>
      <c r="AB46" s="154"/>
      <c r="AC46" s="169">
        <f t="shared" si="82"/>
        <v>0</v>
      </c>
      <c r="AD46" s="169">
        <f t="shared" si="82"/>
        <v>0</v>
      </c>
      <c r="AE46" s="169">
        <f t="shared" si="82"/>
        <v>0</v>
      </c>
      <c r="AF46" s="169">
        <f t="shared" si="82"/>
        <v>0</v>
      </c>
      <c r="AG46" s="671">
        <f t="shared" si="76"/>
        <v>0</v>
      </c>
      <c r="AH46" s="615"/>
      <c r="AI46" s="169">
        <f t="shared" si="83"/>
        <v>1136173.3906386246</v>
      </c>
      <c r="AJ46" s="169">
        <f t="shared" si="83"/>
        <v>1298330.9461891926</v>
      </c>
      <c r="AK46" s="169">
        <f t="shared" si="83"/>
        <v>46316.371192917555</v>
      </c>
      <c r="AL46" s="169">
        <f t="shared" si="83"/>
        <v>94286.898499867893</v>
      </c>
      <c r="AM46" s="687">
        <f t="shared" si="78"/>
        <v>2575107.6065206029</v>
      </c>
      <c r="AN46" s="406">
        <f t="shared" ref="AN46:AN71" si="84">AM46+AG46</f>
        <v>2575107.6065206029</v>
      </c>
      <c r="BG46" s="423"/>
      <c r="BH46" s="423"/>
      <c r="BI46" s="423"/>
      <c r="BJ46" s="423"/>
      <c r="BK46" s="423"/>
      <c r="BL46" s="423"/>
      <c r="BM46" s="423"/>
      <c r="BN46" s="423"/>
      <c r="BO46" s="423"/>
      <c r="BP46" s="423"/>
      <c r="BQ46" s="423"/>
      <c r="BR46" s="423"/>
    </row>
    <row r="47" spans="1:70" hidden="1" outlineLevel="1">
      <c r="A47" s="436" t="s">
        <v>65</v>
      </c>
      <c r="B47" s="2"/>
      <c r="C47" s="2"/>
      <c r="D47" s="1061"/>
      <c r="E47" s="2"/>
      <c r="F47" s="724"/>
      <c r="G47" s="169">
        <f t="shared" si="79"/>
        <v>6750219.7008908717</v>
      </c>
      <c r="H47" s="169">
        <f t="shared" si="79"/>
        <v>4070345.4921116554</v>
      </c>
      <c r="I47" s="169">
        <f t="shared" si="79"/>
        <v>186091.07222814544</v>
      </c>
      <c r="J47" s="169">
        <f t="shared" si="79"/>
        <v>378828.2541787246</v>
      </c>
      <c r="K47" s="406">
        <f t="shared" si="7"/>
        <v>11385484.519409398</v>
      </c>
      <c r="L47" s="671"/>
      <c r="M47" s="74"/>
      <c r="N47" s="169">
        <f t="shared" si="80"/>
        <v>11112698.28259111</v>
      </c>
      <c r="O47" s="169">
        <f t="shared" si="80"/>
        <v>6700896.1728715328</v>
      </c>
      <c r="P47" s="169">
        <f t="shared" si="80"/>
        <v>306356.53806680191</v>
      </c>
      <c r="Q47" s="169">
        <f t="shared" si="80"/>
        <v>623654.38106456073</v>
      </c>
      <c r="R47" s="406">
        <f t="shared" si="72"/>
        <v>18743605.374594003</v>
      </c>
      <c r="S47" s="362"/>
      <c r="T47" s="169">
        <f t="shared" si="81"/>
        <v>1933740.1188893395</v>
      </c>
      <c r="U47" s="169">
        <f t="shared" si="81"/>
        <v>1166034.6958481797</v>
      </c>
      <c r="V47" s="169">
        <f t="shared" si="81"/>
        <v>53309.63851253708</v>
      </c>
      <c r="W47" s="169">
        <f t="shared" si="81"/>
        <v>108523.19268623619</v>
      </c>
      <c r="X47" s="406">
        <f t="shared" si="74"/>
        <v>3261607.6459362921</v>
      </c>
      <c r="Y47" s="671"/>
      <c r="Z47" s="671"/>
      <c r="AA47" s="671"/>
      <c r="AB47" s="154"/>
      <c r="AC47" s="169">
        <f t="shared" si="82"/>
        <v>0</v>
      </c>
      <c r="AD47" s="169">
        <f t="shared" si="82"/>
        <v>0</v>
      </c>
      <c r="AE47" s="169">
        <f t="shared" si="82"/>
        <v>0</v>
      </c>
      <c r="AF47" s="169">
        <f t="shared" si="82"/>
        <v>0</v>
      </c>
      <c r="AG47" s="671">
        <f t="shared" si="76"/>
        <v>0</v>
      </c>
      <c r="AH47" s="615"/>
      <c r="AI47" s="169">
        <f t="shared" si="83"/>
        <v>11112698.282591112</v>
      </c>
      <c r="AJ47" s="169">
        <f t="shared" si="83"/>
        <v>6700896.1728715328</v>
      </c>
      <c r="AK47" s="169">
        <f t="shared" si="83"/>
        <v>306356.53806680173</v>
      </c>
      <c r="AL47" s="169">
        <f t="shared" si="83"/>
        <v>623654.38106456073</v>
      </c>
      <c r="AM47" s="687">
        <f t="shared" si="78"/>
        <v>18743605.374594007</v>
      </c>
      <c r="AN47" s="406">
        <f t="shared" si="84"/>
        <v>18743605.374594007</v>
      </c>
      <c r="BG47" s="423"/>
      <c r="BH47" s="423"/>
      <c r="BI47" s="423"/>
      <c r="BJ47" s="423"/>
      <c r="BK47" s="423"/>
      <c r="BL47" s="423"/>
      <c r="BM47" s="423"/>
      <c r="BN47" s="423"/>
      <c r="BO47" s="423"/>
      <c r="BP47" s="423"/>
      <c r="BQ47" s="423"/>
      <c r="BR47" s="423"/>
    </row>
    <row r="48" spans="1:70" hidden="1" outlineLevel="1">
      <c r="A48" s="436" t="s">
        <v>66</v>
      </c>
      <c r="B48" s="2"/>
      <c r="C48" s="2"/>
      <c r="D48" s="1061"/>
      <c r="E48" s="2"/>
      <c r="F48" s="724"/>
      <c r="G48" s="169">
        <f t="shared" si="79"/>
        <v>49079035.512919545</v>
      </c>
      <c r="H48" s="169">
        <f t="shared" si="79"/>
        <v>19083688.239906892</v>
      </c>
      <c r="I48" s="169">
        <f t="shared" si="79"/>
        <v>1096017.3569592736</v>
      </c>
      <c r="J48" s="169">
        <f t="shared" si="79"/>
        <v>2231178.1909528063</v>
      </c>
      <c r="K48" s="406">
        <f t="shared" si="7"/>
        <v>71489919.300738513</v>
      </c>
      <c r="L48" s="671"/>
      <c r="M48" s="74"/>
      <c r="N48" s="169">
        <f t="shared" si="80"/>
        <v>82206216.531924203</v>
      </c>
      <c r="O48" s="169">
        <f t="shared" si="80"/>
        <v>31964723.660157334</v>
      </c>
      <c r="P48" s="169">
        <f t="shared" si="80"/>
        <v>1835802.9905706591</v>
      </c>
      <c r="Q48" s="169">
        <f t="shared" si="80"/>
        <v>3737170.3736616978</v>
      </c>
      <c r="R48" s="406">
        <f t="shared" si="72"/>
        <v>119743913.5563139</v>
      </c>
      <c r="S48" s="362"/>
      <c r="T48" s="169">
        <f t="shared" si="81"/>
        <v>14304847.921491524</v>
      </c>
      <c r="U48" s="169">
        <f t="shared" si="81"/>
        <v>5562237.6275337106</v>
      </c>
      <c r="V48" s="169">
        <f t="shared" si="81"/>
        <v>319451.29823283362</v>
      </c>
      <c r="W48" s="169">
        <f t="shared" si="81"/>
        <v>650311.57140255417</v>
      </c>
      <c r="X48" s="406">
        <f t="shared" si="74"/>
        <v>20836848.418660622</v>
      </c>
      <c r="Y48" s="671"/>
      <c r="Z48" s="671"/>
      <c r="AA48" s="671"/>
      <c r="AB48" s="154"/>
      <c r="AC48" s="169">
        <f t="shared" si="82"/>
        <v>14304847.921491524</v>
      </c>
      <c r="AD48" s="169">
        <f t="shared" si="82"/>
        <v>5562237.6275337106</v>
      </c>
      <c r="AE48" s="169">
        <f t="shared" si="82"/>
        <v>319451.29823283362</v>
      </c>
      <c r="AF48" s="169">
        <f t="shared" si="82"/>
        <v>650311.57140255417</v>
      </c>
      <c r="AG48" s="671">
        <f t="shared" si="76"/>
        <v>20836848.418660622</v>
      </c>
      <c r="AH48" s="615"/>
      <c r="AI48" s="169">
        <f t="shared" si="83"/>
        <v>0</v>
      </c>
      <c r="AJ48" s="169">
        <f t="shared" si="83"/>
        <v>0</v>
      </c>
      <c r="AK48" s="169">
        <f t="shared" si="83"/>
        <v>0</v>
      </c>
      <c r="AL48" s="169">
        <f t="shared" si="83"/>
        <v>0</v>
      </c>
      <c r="AM48" s="687">
        <f t="shared" si="78"/>
        <v>0</v>
      </c>
      <c r="AN48" s="406">
        <f t="shared" si="84"/>
        <v>20836848.418660622</v>
      </c>
      <c r="BG48" s="423"/>
      <c r="BH48" s="423"/>
      <c r="BI48" s="423"/>
      <c r="BJ48" s="423"/>
      <c r="BK48" s="423"/>
      <c r="BL48" s="423"/>
      <c r="BM48" s="423"/>
      <c r="BN48" s="423"/>
      <c r="BO48" s="423"/>
      <c r="BP48" s="423"/>
      <c r="BQ48" s="423"/>
      <c r="BR48" s="423"/>
    </row>
    <row r="49" spans="1:70" hidden="1" outlineLevel="1">
      <c r="A49" s="436" t="s">
        <v>328</v>
      </c>
      <c r="B49" s="2"/>
      <c r="C49" s="2"/>
      <c r="D49" s="1061"/>
      <c r="E49" s="2"/>
      <c r="F49" s="724"/>
      <c r="G49" s="169">
        <f t="shared" si="79"/>
        <v>0</v>
      </c>
      <c r="H49" s="169">
        <f t="shared" si="79"/>
        <v>0</v>
      </c>
      <c r="I49" s="169">
        <f t="shared" si="79"/>
        <v>0</v>
      </c>
      <c r="J49" s="169">
        <f t="shared" si="79"/>
        <v>0</v>
      </c>
      <c r="K49" s="406">
        <f t="shared" si="7"/>
        <v>0</v>
      </c>
      <c r="L49" s="671"/>
      <c r="M49" s="74"/>
      <c r="N49" s="169">
        <f t="shared" si="80"/>
        <v>0</v>
      </c>
      <c r="O49" s="169">
        <f t="shared" si="80"/>
        <v>0</v>
      </c>
      <c r="P49" s="169">
        <f t="shared" si="80"/>
        <v>0</v>
      </c>
      <c r="Q49" s="169">
        <f t="shared" si="80"/>
        <v>0</v>
      </c>
      <c r="R49" s="406">
        <f t="shared" si="72"/>
        <v>0</v>
      </c>
      <c r="S49" s="362"/>
      <c r="T49" s="169">
        <f t="shared" si="81"/>
        <v>0</v>
      </c>
      <c r="U49" s="169">
        <f t="shared" si="81"/>
        <v>0</v>
      </c>
      <c r="V49" s="169">
        <f t="shared" si="81"/>
        <v>0</v>
      </c>
      <c r="W49" s="169">
        <f t="shared" si="81"/>
        <v>0</v>
      </c>
      <c r="X49" s="406">
        <f t="shared" si="74"/>
        <v>0</v>
      </c>
      <c r="Y49" s="671"/>
      <c r="Z49" s="671"/>
      <c r="AA49" s="671"/>
      <c r="AB49" s="154"/>
      <c r="AC49" s="169">
        <f t="shared" si="82"/>
        <v>0</v>
      </c>
      <c r="AD49" s="169">
        <f t="shared" si="82"/>
        <v>0</v>
      </c>
      <c r="AE49" s="169">
        <f t="shared" si="82"/>
        <v>0</v>
      </c>
      <c r="AF49" s="169">
        <f t="shared" si="82"/>
        <v>0</v>
      </c>
      <c r="AG49" s="671">
        <f t="shared" si="76"/>
        <v>0</v>
      </c>
      <c r="AH49" s="615"/>
      <c r="AI49" s="169">
        <f t="shared" si="83"/>
        <v>0</v>
      </c>
      <c r="AJ49" s="169">
        <f t="shared" si="83"/>
        <v>0</v>
      </c>
      <c r="AK49" s="169">
        <f t="shared" si="83"/>
        <v>0</v>
      </c>
      <c r="AL49" s="169">
        <f t="shared" si="83"/>
        <v>0</v>
      </c>
      <c r="AM49" s="687">
        <f t="shared" si="78"/>
        <v>0</v>
      </c>
      <c r="AN49" s="406">
        <f t="shared" si="84"/>
        <v>0</v>
      </c>
      <c r="BG49" s="423"/>
      <c r="BH49" s="423"/>
      <c r="BI49" s="423"/>
      <c r="BJ49" s="423"/>
      <c r="BK49" s="423"/>
      <c r="BL49" s="423"/>
      <c r="BM49" s="423"/>
      <c r="BN49" s="423"/>
      <c r="BO49" s="423"/>
      <c r="BP49" s="423"/>
      <c r="BQ49" s="423"/>
      <c r="BR49" s="423"/>
    </row>
    <row r="50" spans="1:70" s="1101" customFormat="1" ht="20" collapsed="1">
      <c r="A50" s="1092" t="s">
        <v>343</v>
      </c>
      <c r="B50" s="1093"/>
      <c r="C50" s="1093"/>
      <c r="D50" s="1094"/>
      <c r="E50" s="1093"/>
      <c r="F50" s="1095"/>
      <c r="G50" s="1096">
        <f>G51+G55+G71</f>
        <v>44786492.346935034</v>
      </c>
      <c r="H50" s="1096">
        <f t="shared" ref="H50:J50" si="85">H51+H55+H71</f>
        <v>18381603.423225127</v>
      </c>
      <c r="I50" s="1096">
        <f t="shared" si="85"/>
        <v>1013169.3291237378</v>
      </c>
      <c r="J50" s="1096">
        <f t="shared" si="85"/>
        <v>2062523.2771447515</v>
      </c>
      <c r="K50" s="1088">
        <f t="shared" si="7"/>
        <v>66243788.376428649</v>
      </c>
      <c r="L50" s="1089"/>
      <c r="M50" s="1097"/>
      <c r="N50" s="1096">
        <f>N51+N55+N71</f>
        <v>41582768.856753051</v>
      </c>
      <c r="O50" s="1096">
        <f t="shared" ref="O50:Q50" si="86">O51+O55+O71</f>
        <v>17398898.005516235</v>
      </c>
      <c r="P50" s="1096">
        <f t="shared" si="86"/>
        <v>958688.94682465424</v>
      </c>
      <c r="Q50" s="1096">
        <f t="shared" si="86"/>
        <v>1951616.7846073313</v>
      </c>
      <c r="R50" s="1088">
        <f t="shared" si="72"/>
        <v>61891972.593701266</v>
      </c>
      <c r="S50" s="1098"/>
      <c r="T50" s="1096">
        <f>T51+T55+T71</f>
        <v>3677452.1805035686</v>
      </c>
      <c r="U50" s="1096">
        <f t="shared" ref="U50:W50" si="87">U51+U55+U71</f>
        <v>1541176.480789256</v>
      </c>
      <c r="V50" s="1096">
        <f t="shared" si="87"/>
        <v>84843.93222446795</v>
      </c>
      <c r="W50" s="1096">
        <f t="shared" si="87"/>
        <v>172718.00488552405</v>
      </c>
      <c r="X50" s="1088">
        <f t="shared" si="74"/>
        <v>5476190.5984028168</v>
      </c>
      <c r="Y50" s="1089"/>
      <c r="Z50" s="1089"/>
      <c r="AA50" s="1089"/>
      <c r="AB50" s="1231"/>
      <c r="AC50" s="1096">
        <f>AC51+AC55+AC71</f>
        <v>3248450.5907865162</v>
      </c>
      <c r="AD50" s="1096">
        <f t="shared" ref="AD50:AF50" si="88">AD51+AD55+AD71</f>
        <v>1263114.0300422646</v>
      </c>
      <c r="AE50" s="1096">
        <f t="shared" si="88"/>
        <v>72543.361814626551</v>
      </c>
      <c r="AF50" s="1096">
        <f t="shared" si="88"/>
        <v>147677.55797977542</v>
      </c>
      <c r="AG50" s="1088">
        <f t="shared" si="76"/>
        <v>4731785.5406231834</v>
      </c>
      <c r="AH50" s="1099"/>
      <c r="AI50" s="1096">
        <f>AI51+AI55+AI71</f>
        <v>4774545.2504321747</v>
      </c>
      <c r="AJ50" s="1096">
        <f t="shared" ref="AJ50:AL50" si="89">AJ51+AJ55+AJ71</f>
        <v>3086541.2807615343</v>
      </c>
      <c r="AK50" s="1096">
        <f t="shared" si="89"/>
        <v>136699.44499864528</v>
      </c>
      <c r="AL50" s="1096">
        <f t="shared" si="89"/>
        <v>278281.01303295646</v>
      </c>
      <c r="AM50" s="1088">
        <f t="shared" si="78"/>
        <v>8276066.9892253103</v>
      </c>
      <c r="AN50" s="1088">
        <f>AM50+AG50</f>
        <v>13007852.529848494</v>
      </c>
      <c r="AO50" s="1100"/>
      <c r="AP50" s="1100"/>
      <c r="AQ50" s="1100"/>
      <c r="AR50" s="1100"/>
      <c r="AS50" s="1100"/>
      <c r="AT50" s="1100"/>
      <c r="AU50" s="1100"/>
      <c r="AV50" s="1100"/>
      <c r="AW50" s="1100"/>
      <c r="AX50" s="1100"/>
      <c r="AY50" s="1100"/>
      <c r="AZ50" s="1100"/>
    </row>
    <row r="51" spans="1:70" s="1114" customFormat="1" ht="20">
      <c r="A51" s="1102" t="s">
        <v>565</v>
      </c>
      <c r="B51" s="1103"/>
      <c r="C51" s="1103"/>
      <c r="D51" s="1104"/>
      <c r="E51" s="1103"/>
      <c r="F51" s="1105"/>
      <c r="G51" s="1106">
        <f>G52+G53+G54</f>
        <v>36615565.90673016</v>
      </c>
      <c r="H51" s="1106">
        <f t="shared" ref="H51:J51" si="90">H52+H53+H54</f>
        <v>15295109.809140446</v>
      </c>
      <c r="I51" s="1106">
        <f t="shared" si="90"/>
        <v>843548.48038289743</v>
      </c>
      <c r="J51" s="1106">
        <f t="shared" si="90"/>
        <v>1717223.692208041</v>
      </c>
      <c r="K51" s="1107">
        <f t="shared" si="7"/>
        <v>54471447.888461545</v>
      </c>
      <c r="L51" s="1108"/>
      <c r="M51" s="1109"/>
      <c r="N51" s="1106">
        <f>N52+N53+N54</f>
        <v>36615565.90673016</v>
      </c>
      <c r="O51" s="1106">
        <f t="shared" ref="O51:Q51" si="91">O52+O53+O54</f>
        <v>15295109.809140444</v>
      </c>
      <c r="P51" s="1106">
        <f t="shared" si="91"/>
        <v>843548.48038289743</v>
      </c>
      <c r="Q51" s="1106">
        <f t="shared" si="91"/>
        <v>1717223.6922080407</v>
      </c>
      <c r="R51" s="1107">
        <f t="shared" si="72"/>
        <v>54471447.888461545</v>
      </c>
      <c r="S51" s="1110"/>
      <c r="T51" s="1106">
        <f>T52+T53+T54</f>
        <v>2720008.2144224634</v>
      </c>
      <c r="U51" s="1106">
        <f t="shared" ref="U51:W51" si="92">U52+U53+U54</f>
        <v>1136205.9629865987</v>
      </c>
      <c r="V51" s="1106">
        <f t="shared" si="92"/>
        <v>62663.480382897258</v>
      </c>
      <c r="W51" s="1106">
        <f t="shared" si="92"/>
        <v>127564.94220804085</v>
      </c>
      <c r="X51" s="1107">
        <f t="shared" si="74"/>
        <v>4046442.6000000006</v>
      </c>
      <c r="Y51" s="1108"/>
      <c r="Z51" s="1108"/>
      <c r="AA51" s="1108"/>
      <c r="AB51" s="1232"/>
      <c r="AC51" s="1106">
        <f>AC52+AC53+AC54</f>
        <v>2412859.8849259708</v>
      </c>
      <c r="AD51" s="1106">
        <f t="shared" ref="AD51:AF51" si="93">AD52+AD53+AD54</f>
        <v>938206.41194922524</v>
      </c>
      <c r="AE51" s="1106">
        <f t="shared" si="93"/>
        <v>53883.216859334425</v>
      </c>
      <c r="AF51" s="1106">
        <f t="shared" si="93"/>
        <v>109690.83432078791</v>
      </c>
      <c r="AG51" s="1107">
        <f t="shared" si="76"/>
        <v>3514640.3480553185</v>
      </c>
      <c r="AH51" s="1111"/>
      <c r="AI51" s="1106">
        <f>AI52+AI53+AI54</f>
        <v>4134697.0359090674</v>
      </c>
      <c r="AJ51" s="1106">
        <f t="shared" ref="AJ51:AL51" si="94">AJ52+AJ53+AJ54</f>
        <v>2665383.7190897162</v>
      </c>
      <c r="AK51" s="1106">
        <f t="shared" si="94"/>
        <v>118196.08338709974</v>
      </c>
      <c r="AL51" s="1106">
        <f t="shared" si="94"/>
        <v>240613.45546659594</v>
      </c>
      <c r="AM51" s="1107">
        <f t="shared" si="78"/>
        <v>7158890.2938524801</v>
      </c>
      <c r="AN51" s="1112">
        <f t="shared" si="84"/>
        <v>10673530.641907798</v>
      </c>
      <c r="AO51" s="1113"/>
      <c r="AP51" s="1113"/>
      <c r="AQ51" s="1113"/>
      <c r="AR51" s="1113"/>
      <c r="AS51" s="1113"/>
      <c r="AT51" s="1113"/>
      <c r="AU51" s="1113"/>
      <c r="AV51" s="1113"/>
      <c r="AW51" s="1113"/>
      <c r="AX51" s="1113"/>
      <c r="AY51" s="1113"/>
      <c r="AZ51" s="1113"/>
    </row>
    <row r="52" spans="1:70" ht="20">
      <c r="A52" s="826" t="s">
        <v>499</v>
      </c>
      <c r="B52" s="13"/>
      <c r="C52" s="13"/>
      <c r="D52" s="1066"/>
      <c r="E52" s="13"/>
      <c r="G52" s="169">
        <f>G19*G146</f>
        <v>33895557.692307696</v>
      </c>
      <c r="H52" s="169">
        <f>H19*H146</f>
        <v>14158903.846153848</v>
      </c>
      <c r="I52" s="169">
        <f>I19*I146</f>
        <v>780885.00000000012</v>
      </c>
      <c r="J52" s="169">
        <f>J19*J146</f>
        <v>1589658.75</v>
      </c>
      <c r="K52" s="406">
        <f t="shared" ref="K52:K74" si="95">SUM(G52:J52)</f>
        <v>50425005.288461544</v>
      </c>
      <c r="L52" s="671"/>
      <c r="N52" s="169">
        <f>N19*N146</f>
        <v>33895557.692307696</v>
      </c>
      <c r="O52" s="169">
        <f>O19*O146</f>
        <v>14158903.846153846</v>
      </c>
      <c r="P52" s="169">
        <f>P19*P146</f>
        <v>780885.00000000012</v>
      </c>
      <c r="Q52" s="169">
        <f>Q19*Q146</f>
        <v>1589658.7499999998</v>
      </c>
      <c r="R52" s="406">
        <f t="shared" si="72"/>
        <v>50425005.288461544</v>
      </c>
      <c r="S52" s="80"/>
      <c r="T52" s="169">
        <f>T19*T146</f>
        <v>0</v>
      </c>
      <c r="U52" s="169">
        <f>U19*U146</f>
        <v>0</v>
      </c>
      <c r="V52" s="169">
        <f>V19*V146</f>
        <v>0</v>
      </c>
      <c r="W52" s="169">
        <f>W19*W146</f>
        <v>0</v>
      </c>
      <c r="X52" s="406">
        <f t="shared" si="74"/>
        <v>0</v>
      </c>
      <c r="Y52" s="671"/>
      <c r="Z52" s="671"/>
      <c r="AA52" s="671"/>
      <c r="AC52" s="169">
        <f>AC19*AC146</f>
        <v>0</v>
      </c>
      <c r="AD52" s="169">
        <f>AD19*AD146</f>
        <v>0</v>
      </c>
      <c r="AE52" s="169">
        <f>AE19*AE146</f>
        <v>0</v>
      </c>
      <c r="AF52" s="169">
        <f>AF19*AF146</f>
        <v>0</v>
      </c>
      <c r="AG52" s="406">
        <f t="shared" si="76"/>
        <v>0</v>
      </c>
      <c r="AI52" s="169">
        <f>AI19*AI146</f>
        <v>3827548.7064125752</v>
      </c>
      <c r="AJ52" s="169">
        <f>AJ19*AJ146</f>
        <v>2467384.1680523427</v>
      </c>
      <c r="AK52" s="169">
        <f>AK19*AK146</f>
        <v>109415.8198635369</v>
      </c>
      <c r="AL52" s="169">
        <f>AL19*AL146</f>
        <v>222739.34757934304</v>
      </c>
      <c r="AM52" s="406">
        <f t="shared" si="78"/>
        <v>6627088.0419077985</v>
      </c>
      <c r="AN52" s="406">
        <f t="shared" si="84"/>
        <v>6627088.0419077985</v>
      </c>
      <c r="AU52" s="80"/>
    </row>
    <row r="53" spans="1:70" ht="20">
      <c r="A53" s="826" t="s">
        <v>500</v>
      </c>
      <c r="B53" s="13"/>
      <c r="C53" s="13"/>
      <c r="D53" s="1066"/>
      <c r="E53" s="13"/>
      <c r="G53" s="169">
        <f>G7*G157*G149</f>
        <v>703416</v>
      </c>
      <c r="H53" s="169">
        <f>H7*H157*H149</f>
        <v>293832</v>
      </c>
      <c r="I53" s="169">
        <f>I7*I157*I149</f>
        <v>16205.28</v>
      </c>
      <c r="J53" s="169">
        <f>J7*J157*J149</f>
        <v>32989.32</v>
      </c>
      <c r="K53" s="406">
        <f>SUM(G53:J53)</f>
        <v>1046442.6</v>
      </c>
      <c r="L53" s="671"/>
      <c r="N53" s="169">
        <f>N7*N157*N149</f>
        <v>703416</v>
      </c>
      <c r="O53" s="169">
        <f>O7*O157*O149</f>
        <v>293832</v>
      </c>
      <c r="P53" s="169">
        <f>P7*P157*P149</f>
        <v>16205.28</v>
      </c>
      <c r="Q53" s="169">
        <f>Q7*Q157*Q149</f>
        <v>32989.32</v>
      </c>
      <c r="R53" s="406">
        <f>SUM(N53:Q53)</f>
        <v>1046442.6</v>
      </c>
      <c r="S53" s="80"/>
      <c r="T53" s="169">
        <f>T7*T157*T149</f>
        <v>703416</v>
      </c>
      <c r="U53" s="169">
        <f>U7*U157*U149</f>
        <v>293832</v>
      </c>
      <c r="V53" s="169">
        <f>V7*V157*V149</f>
        <v>16205.28</v>
      </c>
      <c r="W53" s="169">
        <f>W7*W157*W149</f>
        <v>32989.32</v>
      </c>
      <c r="X53" s="406">
        <f>SUM(T53:W53)</f>
        <v>1046442.6</v>
      </c>
      <c r="Y53" s="671"/>
      <c r="Z53" s="671"/>
      <c r="AA53" s="671"/>
      <c r="AC53" s="169">
        <f>AC7*AC157*AC149</f>
        <v>623984.97174224933</v>
      </c>
      <c r="AD53" s="169">
        <f>AD7*AD157*AD149</f>
        <v>242627.7236842105</v>
      </c>
      <c r="AE53" s="169">
        <f>AE7*AE157*AE149</f>
        <v>13934.633237265185</v>
      </c>
      <c r="AF53" s="169">
        <f>AF7*AF157*AF149</f>
        <v>28366.931947289831</v>
      </c>
      <c r="AG53" s="406">
        <f>SUM(AC53:AF53)</f>
        <v>908914.26061101491</v>
      </c>
      <c r="AI53" s="169">
        <f>AI7*AI157*AI149</f>
        <v>79431.028257750586</v>
      </c>
      <c r="AJ53" s="169">
        <f>AJ7*AJ157*AJ149</f>
        <v>51204.276315789481</v>
      </c>
      <c r="AK53" s="169">
        <f>AK7*AK157*AK149</f>
        <v>2270.6467627348165</v>
      </c>
      <c r="AL53" s="169">
        <f>AL7*AL157*AL149</f>
        <v>4622.3880527101637</v>
      </c>
      <c r="AM53" s="406">
        <f>SUM(AI53:AL53)</f>
        <v>137528.33938898504</v>
      </c>
      <c r="AN53" s="406">
        <f t="shared" si="84"/>
        <v>1046442.6</v>
      </c>
      <c r="AU53" s="80"/>
    </row>
    <row r="54" spans="1:70" s="424" customFormat="1" ht="20">
      <c r="A54" s="1115" t="s">
        <v>496</v>
      </c>
      <c r="B54" s="305"/>
      <c r="C54" s="305"/>
      <c r="D54" s="1116"/>
      <c r="E54" s="305"/>
      <c r="F54" s="1117"/>
      <c r="G54" s="373">
        <f>G147*G21</f>
        <v>2016592.2144224632</v>
      </c>
      <c r="H54" s="373">
        <f>H147*H21</f>
        <v>842373.96298659861</v>
      </c>
      <c r="I54" s="373">
        <f>I147*I21</f>
        <v>46458.200382897267</v>
      </c>
      <c r="J54" s="373">
        <f>J147*J21</f>
        <v>94575.622208040848</v>
      </c>
      <c r="K54" s="1091">
        <f>SUM(G54:J54)</f>
        <v>2999999.9999999995</v>
      </c>
      <c r="L54" s="1118"/>
      <c r="M54" s="287"/>
      <c r="N54" s="373">
        <f>N147*N21</f>
        <v>2016592.2144224634</v>
      </c>
      <c r="O54" s="373">
        <f>O147*O21</f>
        <v>842373.96298659872</v>
      </c>
      <c r="P54" s="373">
        <f>P147*P21</f>
        <v>46458.200382897267</v>
      </c>
      <c r="Q54" s="373">
        <f>Q147*Q21</f>
        <v>94575.622208040833</v>
      </c>
      <c r="R54" s="1091">
        <f>SUM(N54:Q54)</f>
        <v>3000000</v>
      </c>
      <c r="S54" s="1119"/>
      <c r="T54" s="373">
        <f>T147*T21</f>
        <v>2016592.2144224634</v>
      </c>
      <c r="U54" s="373">
        <f>U147*U21</f>
        <v>842373.96298659861</v>
      </c>
      <c r="V54" s="373">
        <f>V147*V21</f>
        <v>46458.200382897259</v>
      </c>
      <c r="W54" s="373">
        <f>W147*W21</f>
        <v>94575.622208040848</v>
      </c>
      <c r="X54" s="1091">
        <f>SUM(T54:W54)</f>
        <v>3000000</v>
      </c>
      <c r="Y54" s="1118"/>
      <c r="Z54" s="1118"/>
      <c r="AA54" s="1118"/>
      <c r="AB54" s="287"/>
      <c r="AC54" s="373">
        <f>AC147*AC21</f>
        <v>1788874.9131837217</v>
      </c>
      <c r="AD54" s="373">
        <f>AD147*AD21</f>
        <v>695578.68826501467</v>
      </c>
      <c r="AE54" s="373">
        <f>AE147*AE21</f>
        <v>39948.583622069236</v>
      </c>
      <c r="AF54" s="373">
        <f>AF147*AF21</f>
        <v>81323.902373498073</v>
      </c>
      <c r="AG54" s="1118">
        <f>SUM(AC54:AF54)</f>
        <v>2605726.0874443036</v>
      </c>
      <c r="AH54" s="286"/>
      <c r="AI54" s="373">
        <f>AI147*AI21</f>
        <v>227717.30123874152</v>
      </c>
      <c r="AJ54" s="373">
        <f>AJ147*AJ21</f>
        <v>146795.27472158385</v>
      </c>
      <c r="AK54" s="373">
        <f>AK147*AK21</f>
        <v>6509.6167608280211</v>
      </c>
      <c r="AL54" s="373">
        <f>AL147*AL21</f>
        <v>13251.719834542759</v>
      </c>
      <c r="AM54" s="1120">
        <f>SUM(AI54:AL54)</f>
        <v>394273.91255569615</v>
      </c>
      <c r="AN54" s="1091">
        <f t="shared" si="84"/>
        <v>2999999.9999999995</v>
      </c>
      <c r="AO54" s="287"/>
      <c r="AP54" s="287"/>
      <c r="AQ54" s="287"/>
      <c r="AR54" s="287"/>
      <c r="AS54" s="287"/>
      <c r="AT54" s="287"/>
      <c r="AU54" s="1119"/>
      <c r="AV54" s="287"/>
      <c r="AW54" s="287"/>
      <c r="AX54" s="287"/>
      <c r="AY54" s="287"/>
      <c r="AZ54" s="287"/>
      <c r="BG54" s="287"/>
      <c r="BH54" s="287"/>
      <c r="BI54" s="287"/>
      <c r="BJ54" s="287"/>
      <c r="BK54" s="287"/>
      <c r="BL54" s="287"/>
      <c r="BM54" s="287"/>
      <c r="BN54" s="287"/>
      <c r="BO54" s="287"/>
      <c r="BP54" s="287"/>
      <c r="BQ54" s="287"/>
      <c r="BR54" s="287"/>
    </row>
    <row r="55" spans="1:70" s="1114" customFormat="1" ht="20">
      <c r="A55" s="1102" t="s">
        <v>119</v>
      </c>
      <c r="B55" s="1103"/>
      <c r="C55" s="1103"/>
      <c r="D55" s="1104"/>
      <c r="E55" s="1103"/>
      <c r="F55" s="1121"/>
      <c r="G55" s="1106">
        <f>G56+G65</f>
        <v>3847584.3713473668</v>
      </c>
      <c r="H55" s="1106">
        <f t="shared" ref="H55:J55" si="96">H56+H65</f>
        <v>1280540.5979796487</v>
      </c>
      <c r="I55" s="1106">
        <f t="shared" si="96"/>
        <v>70019.803610199015</v>
      </c>
      <c r="J55" s="1106">
        <f t="shared" si="96"/>
        <v>142540.31449219081</v>
      </c>
      <c r="K55" s="1107">
        <f t="shared" ref="K55" si="97">SUM(G55:J55)</f>
        <v>5340685.0874294061</v>
      </c>
      <c r="L55" s="1108"/>
      <c r="M55" s="1113"/>
      <c r="N55" s="1106">
        <f>N56+N65</f>
        <v>4967202.950022893</v>
      </c>
      <c r="O55" s="1106">
        <f t="shared" ref="O55:Q55" si="98">O56+O65</f>
        <v>2103788.196375791</v>
      </c>
      <c r="P55" s="1106">
        <f t="shared" si="98"/>
        <v>115140.46644175684</v>
      </c>
      <c r="Q55" s="1106">
        <f t="shared" si="98"/>
        <v>234393.09239929062</v>
      </c>
      <c r="R55" s="1107">
        <f t="shared" ref="R55" si="99">SUM(N55:Q55)</f>
        <v>7420524.7052397318</v>
      </c>
      <c r="S55" s="1122"/>
      <c r="T55" s="1106">
        <f>T56+T65</f>
        <v>957443.96608110494</v>
      </c>
      <c r="U55" s="1106">
        <f t="shared" ref="U55:W55" si="100">U56+U65</f>
        <v>404970.51780265727</v>
      </c>
      <c r="V55" s="1106">
        <f t="shared" si="100"/>
        <v>22180.451841570684</v>
      </c>
      <c r="W55" s="1106">
        <f t="shared" si="100"/>
        <v>45153.062677483176</v>
      </c>
      <c r="X55" s="1107">
        <f t="shared" ref="X55" si="101">SUM(T55:W55)</f>
        <v>1429747.998402816</v>
      </c>
      <c r="Y55" s="1108"/>
      <c r="Z55" s="1108"/>
      <c r="AA55" s="1108"/>
      <c r="AB55" s="1113"/>
      <c r="AC55" s="1106">
        <f>AC56+AC65</f>
        <v>835590.70586054551</v>
      </c>
      <c r="AD55" s="1106">
        <f t="shared" ref="AD55:AF55" si="102">AD56+AD65</f>
        <v>324907.61809303949</v>
      </c>
      <c r="AE55" s="1106">
        <f t="shared" si="102"/>
        <v>18660.144955292122</v>
      </c>
      <c r="AF55" s="1106">
        <f t="shared" si="102"/>
        <v>37986.723658987525</v>
      </c>
      <c r="AG55" s="1107">
        <f t="shared" ref="AG55" si="103">SUM(AC55:AF55)</f>
        <v>1217145.1925678647</v>
      </c>
      <c r="AH55" s="1123"/>
      <c r="AI55" s="1106">
        <f>AI56+AI65</f>
        <v>639848.21452310774</v>
      </c>
      <c r="AJ55" s="1106">
        <f t="shared" ref="AJ55:AL55" si="104">AJ56+AJ65</f>
        <v>421157.56167181814</v>
      </c>
      <c r="AK55" s="1106">
        <f t="shared" si="104"/>
        <v>18503.361611545522</v>
      </c>
      <c r="AL55" s="1106">
        <f t="shared" si="104"/>
        <v>37667.557566360527</v>
      </c>
      <c r="AM55" s="1107">
        <f t="shared" ref="AM55" si="105">SUM(AI55:AL55)</f>
        <v>1117176.695372832</v>
      </c>
      <c r="AN55" s="1107">
        <f t="shared" si="84"/>
        <v>2334321.8879406964</v>
      </c>
      <c r="AO55" s="1113"/>
      <c r="AP55" s="1113"/>
      <c r="AQ55" s="1113"/>
      <c r="AR55" s="1113"/>
      <c r="AS55" s="1113"/>
      <c r="AT55" s="1113"/>
      <c r="AU55" s="1122"/>
      <c r="AV55" s="1113"/>
      <c r="AW55" s="1113"/>
      <c r="AX55" s="1113"/>
      <c r="AY55" s="1113"/>
      <c r="AZ55" s="1113"/>
      <c r="BG55" s="1113"/>
      <c r="BH55" s="1113"/>
      <c r="BI55" s="1113"/>
      <c r="BJ55" s="1113"/>
      <c r="BK55" s="1113"/>
      <c r="BL55" s="1113"/>
      <c r="BM55" s="1113"/>
      <c r="BN55" s="1113"/>
      <c r="BO55" s="1113"/>
      <c r="BP55" s="1113"/>
      <c r="BQ55" s="1113"/>
      <c r="BR55" s="1113"/>
    </row>
    <row r="56" spans="1:70" s="1392" customFormat="1" ht="20">
      <c r="A56" s="1389" t="s">
        <v>506</v>
      </c>
      <c r="B56" s="1390"/>
      <c r="C56" s="1390"/>
      <c r="D56" s="1391"/>
      <c r="E56" s="1390"/>
      <c r="G56" s="1393">
        <f>G64+G63</f>
        <v>941846.79889267264</v>
      </c>
      <c r="H56" s="1393">
        <f t="shared" ref="H56:J56" si="106">H64+H63</f>
        <v>47078.931290567722</v>
      </c>
      <c r="I56" s="1393">
        <f t="shared" si="106"/>
        <v>2596.4743923888864</v>
      </c>
      <c r="J56" s="1393">
        <f t="shared" si="106"/>
        <v>5285.6800130773754</v>
      </c>
      <c r="K56" s="1394">
        <f>SUM(G56:J56)</f>
        <v>996807.88458870654</v>
      </c>
      <c r="L56" s="1395"/>
      <c r="M56" s="1396"/>
      <c r="N56" s="1393">
        <f>N64+N63</f>
        <v>112704.10824105605</v>
      </c>
      <c r="O56" s="1393">
        <f t="shared" ref="O56:Q56" si="107">O64+O63</f>
        <v>47078.931290567722</v>
      </c>
      <c r="P56" s="1393">
        <f t="shared" si="107"/>
        <v>2596.4743923888864</v>
      </c>
      <c r="Q56" s="1393">
        <f t="shared" si="107"/>
        <v>5285.6800130773754</v>
      </c>
      <c r="R56" s="1394">
        <f>SUM(N56:Q56)</f>
        <v>167665.19393709002</v>
      </c>
      <c r="S56" s="1397"/>
      <c r="T56" s="1393">
        <f>T64+T63</f>
        <v>112704.10824105605</v>
      </c>
      <c r="U56" s="1393">
        <f t="shared" ref="U56:W56" si="108">U64+U63</f>
        <v>47078.931290567722</v>
      </c>
      <c r="V56" s="1393">
        <f t="shared" si="108"/>
        <v>2596.4743923888864</v>
      </c>
      <c r="W56" s="1393">
        <f t="shared" si="108"/>
        <v>5285.6800130773754</v>
      </c>
      <c r="X56" s="1394">
        <f>SUM(T56:W56)</f>
        <v>167665.19393709002</v>
      </c>
      <c r="Y56" s="1395"/>
      <c r="Z56" s="1395"/>
      <c r="AA56" s="1395"/>
      <c r="AB56" s="1396"/>
      <c r="AC56" s="1393">
        <f>AC64+AC63</f>
        <v>99977.353082714602</v>
      </c>
      <c r="AD56" s="1393">
        <f t="shared" ref="AD56:AF56" si="109">AD64+AD63</f>
        <v>38874.778555486788</v>
      </c>
      <c r="AE56" s="1393">
        <f t="shared" si="109"/>
        <v>2232.6623401687657</v>
      </c>
      <c r="AF56" s="1393">
        <f t="shared" si="109"/>
        <v>4545.062621057843</v>
      </c>
      <c r="AG56" s="1394">
        <f>SUM(AC56:AF56)</f>
        <v>145629.85659942799</v>
      </c>
      <c r="AH56" s="1398"/>
      <c r="AI56" s="1393">
        <f>AI64+AI63</f>
        <v>12726.755158341446</v>
      </c>
      <c r="AJ56" s="1393">
        <f t="shared" ref="AJ56:AL56" si="110">AJ64+AJ63</f>
        <v>8204.152735080921</v>
      </c>
      <c r="AK56" s="1393">
        <f t="shared" si="110"/>
        <v>363.81205222012062</v>
      </c>
      <c r="AL56" s="1393">
        <f t="shared" si="110"/>
        <v>740.61739201953128</v>
      </c>
      <c r="AM56" s="1394">
        <f>SUM(AI56:AL56)</f>
        <v>22035.337337662018</v>
      </c>
      <c r="AN56" s="1394">
        <f t="shared" si="84"/>
        <v>167665.19393709002</v>
      </c>
      <c r="AO56" s="1396"/>
      <c r="AP56" s="1396"/>
      <c r="AQ56" s="1396"/>
      <c r="AR56" s="1396"/>
      <c r="AS56" s="1396"/>
      <c r="AT56" s="1396"/>
      <c r="AU56" s="1397"/>
      <c r="AV56" s="1396"/>
      <c r="AW56" s="1396"/>
      <c r="AX56" s="1396"/>
      <c r="AY56" s="1396"/>
      <c r="AZ56" s="1396"/>
      <c r="BG56" s="1396"/>
      <c r="BH56" s="1396"/>
      <c r="BI56" s="1396"/>
      <c r="BJ56" s="1396"/>
      <c r="BK56" s="1396"/>
      <c r="BL56" s="1396"/>
      <c r="BM56" s="1396"/>
      <c r="BN56" s="1396"/>
      <c r="BO56" s="1396"/>
      <c r="BP56" s="1396"/>
      <c r="BQ56" s="1396"/>
      <c r="BR56" s="1396"/>
    </row>
    <row r="57" spans="1:70" s="1373" customFormat="1" ht="40" outlineLevel="1">
      <c r="A57" s="1366" t="s">
        <v>510</v>
      </c>
      <c r="B57" s="71"/>
      <c r="C57" s="71"/>
      <c r="D57" s="1367"/>
      <c r="E57" s="71"/>
      <c r="F57" s="1368"/>
      <c r="G57" s="255">
        <f>SUM(G58:G62)</f>
        <v>341500.92009552917</v>
      </c>
      <c r="H57" s="255">
        <f t="shared" ref="H57:J57" si="111">SUM(H58:H62)</f>
        <v>144964.32784225693</v>
      </c>
      <c r="I57" s="255">
        <f t="shared" si="111"/>
        <v>7924.0221766946725</v>
      </c>
      <c r="J57" s="255">
        <f t="shared" si="111"/>
        <v>16131.045145414151</v>
      </c>
      <c r="K57" s="1369">
        <f>SUM(G57:J57)</f>
        <v>510520.31525989488</v>
      </c>
      <c r="L57" s="255"/>
      <c r="M57" s="71"/>
      <c r="N57" s="255">
        <f>SUM(N58:N62)</f>
        <v>570531.84595424321</v>
      </c>
      <c r="O57" s="255">
        <f t="shared" ref="O57:Q57" si="112">SUM(O58:O62)</f>
        <v>241717.66681678017</v>
      </c>
      <c r="P57" s="255">
        <f t="shared" si="112"/>
        <v>13226.891925968077</v>
      </c>
      <c r="Q57" s="255">
        <f t="shared" si="112"/>
        <v>26926.172849292154</v>
      </c>
      <c r="R57" s="1369">
        <f>SUM(N57:Q57)</f>
        <v>852402.57754628372</v>
      </c>
      <c r="S57" s="1370"/>
      <c r="T57" s="255">
        <f>SUM(T58:T62)</f>
        <v>99279.247179243044</v>
      </c>
      <c r="U57" s="255">
        <f t="shared" ref="U57:W57" si="113">SUM(U58:U62)</f>
        <v>42061.715155191603</v>
      </c>
      <c r="V57" s="255">
        <f t="shared" si="113"/>
        <v>2301.6346628907272</v>
      </c>
      <c r="W57" s="255">
        <f t="shared" si="113"/>
        <v>4685.4705637418365</v>
      </c>
      <c r="X57" s="1369">
        <f>SUM(T57:W57)</f>
        <v>148328.0675610672</v>
      </c>
      <c r="Y57" s="255"/>
      <c r="Z57" s="255"/>
      <c r="AA57" s="255"/>
      <c r="AB57" s="71"/>
      <c r="AC57" s="255">
        <f>SUM(AC58:AC62)</f>
        <v>86454.000247506265</v>
      </c>
      <c r="AD57" s="255">
        <f t="shared" ref="AD57:AF57" si="114">SUM(AD58:AD62)</f>
        <v>33616.414230103073</v>
      </c>
      <c r="AE57" s="255">
        <f t="shared" si="114"/>
        <v>1930.663140780036</v>
      </c>
      <c r="AF57" s="255">
        <f t="shared" si="114"/>
        <v>3930.2785365879295</v>
      </c>
      <c r="AG57" s="1369">
        <f>SUM(AC57:AF57)</f>
        <v>125931.35615497729</v>
      </c>
      <c r="AH57" s="1371"/>
      <c r="AI57" s="255">
        <f>SUM(AI58:AI62)</f>
        <v>73703.336947871561</v>
      </c>
      <c r="AJ57" s="255">
        <f t="shared" ref="AJ57:AL57" si="115">SUM(AJ58:AJ62)</f>
        <v>48532.933753321566</v>
      </c>
      <c r="AK57" s="255">
        <f t="shared" si="115"/>
        <v>2131.8762311336232</v>
      </c>
      <c r="AL57" s="255">
        <f t="shared" si="115"/>
        <v>4339.8908990934469</v>
      </c>
      <c r="AM57" s="1369">
        <f>SUM(AI57:AL57)</f>
        <v>128708.0378314202</v>
      </c>
      <c r="AN57" s="1372">
        <f t="shared" si="84"/>
        <v>254639.39398639748</v>
      </c>
      <c r="AO57" s="71"/>
      <c r="AP57" s="71"/>
      <c r="AQ57" s="71"/>
      <c r="AR57" s="71"/>
      <c r="AS57" s="71"/>
      <c r="AT57" s="71"/>
      <c r="AU57" s="1370"/>
      <c r="AV57" s="71"/>
      <c r="AW57" s="71"/>
      <c r="AX57" s="71"/>
      <c r="AY57" s="71"/>
      <c r="AZ57" s="71"/>
      <c r="BG57" s="71"/>
      <c r="BH57" s="71"/>
      <c r="BI57" s="71"/>
      <c r="BJ57" s="71"/>
      <c r="BK57" s="71"/>
      <c r="BL57" s="71"/>
      <c r="BM57" s="71"/>
      <c r="BN57" s="71"/>
      <c r="BO57" s="71"/>
      <c r="BP57" s="71"/>
      <c r="BQ57" s="71"/>
      <c r="BR57" s="71"/>
    </row>
    <row r="58" spans="1:70" s="1373" customFormat="1" outlineLevel="1">
      <c r="A58" s="1374" t="s">
        <v>327</v>
      </c>
      <c r="B58" s="1368"/>
      <c r="C58" s="1368"/>
      <c r="D58" s="1375"/>
      <c r="E58" s="1368"/>
      <c r="F58" s="1368"/>
      <c r="G58" s="255">
        <f t="shared" ref="G58:J62" si="116">(G22*G$153*G120)</f>
        <v>74.718300553261997</v>
      </c>
      <c r="H58" s="255">
        <f t="shared" si="116"/>
        <v>492.6474126653336</v>
      </c>
      <c r="I58" s="255">
        <f t="shared" si="116"/>
        <v>13.004092609308593</v>
      </c>
      <c r="J58" s="255">
        <f t="shared" si="116"/>
        <v>26.472617097521063</v>
      </c>
      <c r="K58" s="1369">
        <f>SUM(G58:J58)</f>
        <v>606.84242292542524</v>
      </c>
      <c r="L58" s="255"/>
      <c r="M58" s="71"/>
      <c r="N58" s="255">
        <f t="shared" ref="N58:Q62" si="117">(N22*N$153*N120)</f>
        <v>117.24402902888797</v>
      </c>
      <c r="O58" s="255">
        <f t="shared" si="117"/>
        <v>773.03641977734048</v>
      </c>
      <c r="P58" s="255">
        <f t="shared" si="117"/>
        <v>20.405338452435693</v>
      </c>
      <c r="Q58" s="255">
        <f t="shared" si="117"/>
        <v>41.539438992458365</v>
      </c>
      <c r="R58" s="1369">
        <f>SUM(N58:Q58)</f>
        <v>952.22522625112254</v>
      </c>
      <c r="S58" s="1370"/>
      <c r="T58" s="255">
        <f t="shared" ref="T58:W62" si="118">(T22*T$153*T120)</f>
        <v>20.40183912745659</v>
      </c>
      <c r="U58" s="255">
        <f t="shared" si="118"/>
        <v>134.51742324614557</v>
      </c>
      <c r="V58" s="255">
        <f t="shared" si="118"/>
        <v>3.5507687333512101</v>
      </c>
      <c r="W58" s="255">
        <f t="shared" si="118"/>
        <v>7.2283506357506768</v>
      </c>
      <c r="X58" s="1369">
        <f>SUM(T58:W58)</f>
        <v>165.69838174270404</v>
      </c>
      <c r="Y58" s="255"/>
      <c r="Z58" s="255"/>
      <c r="AA58" s="255"/>
      <c r="AB58" s="71"/>
      <c r="AC58" s="255">
        <f t="shared" ref="AC58:AF62" si="119">(AC22*AC$153*AC120)</f>
        <v>0</v>
      </c>
      <c r="AD58" s="255">
        <f t="shared" si="119"/>
        <v>0</v>
      </c>
      <c r="AE58" s="255">
        <f t="shared" si="119"/>
        <v>0</v>
      </c>
      <c r="AF58" s="255">
        <f t="shared" si="119"/>
        <v>0</v>
      </c>
      <c r="AG58" s="1369">
        <f>SUM(AC58:AF58)</f>
        <v>0</v>
      </c>
      <c r="AH58" s="1371"/>
      <c r="AI58" s="255">
        <f t="shared" ref="AI58:AL62" si="120">(AI22*AI$153*AI120)</f>
        <v>117.24402902888798</v>
      </c>
      <c r="AJ58" s="255">
        <f t="shared" si="120"/>
        <v>773.03641977734048</v>
      </c>
      <c r="AK58" s="255">
        <f t="shared" si="120"/>
        <v>20.405338452435686</v>
      </c>
      <c r="AL58" s="255">
        <f t="shared" si="120"/>
        <v>41.539438992458372</v>
      </c>
      <c r="AM58" s="1369">
        <f>SUM(AI58:AL58)</f>
        <v>952.22522625112254</v>
      </c>
      <c r="AN58" s="1369">
        <f t="shared" si="84"/>
        <v>952.22522625112254</v>
      </c>
      <c r="AO58" s="71"/>
      <c r="AP58" s="71"/>
      <c r="AQ58" s="71"/>
      <c r="AR58" s="71"/>
      <c r="AS58" s="71"/>
      <c r="AT58" s="71"/>
      <c r="AU58" s="1370"/>
      <c r="AV58" s="71"/>
      <c r="AW58" s="71"/>
      <c r="AX58" s="71"/>
      <c r="AY58" s="71"/>
      <c r="AZ58" s="71"/>
      <c r="BG58" s="71"/>
      <c r="BH58" s="71"/>
      <c r="BI58" s="71"/>
      <c r="BJ58" s="71"/>
      <c r="BK58" s="71"/>
      <c r="BL58" s="71"/>
      <c r="BM58" s="71"/>
      <c r="BN58" s="71"/>
      <c r="BO58" s="71"/>
      <c r="BP58" s="71"/>
      <c r="BQ58" s="71"/>
      <c r="BR58" s="71"/>
    </row>
    <row r="59" spans="1:70" s="1373" customFormat="1" outlineLevel="1">
      <c r="A59" s="1374" t="s">
        <v>429</v>
      </c>
      <c r="B59" s="1368"/>
      <c r="C59" s="1368"/>
      <c r="D59" s="1375"/>
      <c r="E59" s="1368"/>
      <c r="F59" s="1368"/>
      <c r="G59" s="255">
        <f t="shared" si="116"/>
        <v>3922.2033245460102</v>
      </c>
      <c r="H59" s="255">
        <f t="shared" si="116"/>
        <v>4481.9901570145994</v>
      </c>
      <c r="I59" s="255">
        <f t="shared" si="116"/>
        <v>159.88952616788444</v>
      </c>
      <c r="J59" s="255">
        <f t="shared" si="116"/>
        <v>325.48939255605046</v>
      </c>
      <c r="K59" s="1369">
        <f t="shared" ref="K59:K64" si="121">SUM(G59:J59)</f>
        <v>8889.5724002845436</v>
      </c>
      <c r="L59" s="255"/>
      <c r="M59" s="71"/>
      <c r="N59" s="255">
        <f t="shared" si="117"/>
        <v>6277.0254174300435</v>
      </c>
      <c r="O59" s="255">
        <f t="shared" si="117"/>
        <v>7172.8984472033544</v>
      </c>
      <c r="P59" s="255">
        <f t="shared" si="117"/>
        <v>255.88439371710177</v>
      </c>
      <c r="Q59" s="255">
        <f t="shared" si="117"/>
        <v>520.90751578124275</v>
      </c>
      <c r="R59" s="1369">
        <f t="shared" ref="R59:R65" si="122">SUM(N59:Q59)</f>
        <v>14226.715774131742</v>
      </c>
      <c r="S59" s="1370"/>
      <c r="T59" s="255">
        <f t="shared" si="118"/>
        <v>1092.276202260246</v>
      </c>
      <c r="U59" s="255">
        <f t="shared" si="118"/>
        <v>1248.1686394568458</v>
      </c>
      <c r="V59" s="255">
        <f t="shared" si="118"/>
        <v>44.526892150360865</v>
      </c>
      <c r="W59" s="255">
        <f t="shared" si="118"/>
        <v>90.644030448948911</v>
      </c>
      <c r="X59" s="1369">
        <f t="shared" ref="X59:X65" si="123">SUM(T59:W59)</f>
        <v>2475.6157643164011</v>
      </c>
      <c r="Y59" s="255"/>
      <c r="Z59" s="255"/>
      <c r="AA59" s="255"/>
      <c r="AB59" s="71"/>
      <c r="AC59" s="255">
        <f t="shared" si="119"/>
        <v>0</v>
      </c>
      <c r="AD59" s="255">
        <f t="shared" si="119"/>
        <v>0</v>
      </c>
      <c r="AE59" s="255">
        <f t="shared" si="119"/>
        <v>0</v>
      </c>
      <c r="AF59" s="255">
        <f t="shared" si="119"/>
        <v>0</v>
      </c>
      <c r="AG59" s="1369">
        <f t="shared" ref="AG59:AG65" si="124">SUM(AC59:AF59)</f>
        <v>0</v>
      </c>
      <c r="AH59" s="1371"/>
      <c r="AI59" s="255">
        <f t="shared" si="120"/>
        <v>6277.0254174300444</v>
      </c>
      <c r="AJ59" s="255">
        <f t="shared" si="120"/>
        <v>7172.8984472033544</v>
      </c>
      <c r="AK59" s="255">
        <f t="shared" si="120"/>
        <v>255.88439371710169</v>
      </c>
      <c r="AL59" s="255">
        <f t="shared" si="120"/>
        <v>520.90751578124275</v>
      </c>
      <c r="AM59" s="1369">
        <f t="shared" ref="AM59:AM65" si="125">SUM(AI59:AL59)</f>
        <v>14226.715774131742</v>
      </c>
      <c r="AN59" s="1369">
        <f>AM59+AG59</f>
        <v>14226.715774131742</v>
      </c>
      <c r="AO59" s="71"/>
      <c r="AP59" s="71"/>
      <c r="AQ59" s="71"/>
      <c r="AR59" s="71"/>
      <c r="AS59" s="71"/>
      <c r="AT59" s="71"/>
      <c r="AU59" s="1370"/>
      <c r="AV59" s="71"/>
      <c r="AW59" s="71"/>
      <c r="AX59" s="71"/>
      <c r="AY59" s="71"/>
      <c r="AZ59" s="71"/>
      <c r="BG59" s="71"/>
      <c r="BH59" s="71"/>
      <c r="BI59" s="71"/>
      <c r="BJ59" s="71"/>
      <c r="BK59" s="71"/>
      <c r="BL59" s="71"/>
      <c r="BM59" s="71"/>
      <c r="BN59" s="71"/>
      <c r="BO59" s="71"/>
      <c r="BP59" s="71"/>
      <c r="BQ59" s="71"/>
      <c r="BR59" s="71"/>
    </row>
    <row r="60" spans="1:70" s="1373" customFormat="1" outlineLevel="1">
      <c r="A60" s="1374" t="s">
        <v>65</v>
      </c>
      <c r="B60" s="1368"/>
      <c r="C60" s="1368"/>
      <c r="D60" s="1375"/>
      <c r="E60" s="1368"/>
      <c r="F60" s="1368"/>
      <c r="G60" s="255">
        <f t="shared" si="116"/>
        <v>40885.749072158702</v>
      </c>
      <c r="H60" s="255">
        <f t="shared" si="116"/>
        <v>24653.882658886792</v>
      </c>
      <c r="I60" s="255">
        <f t="shared" si="116"/>
        <v>1127.1444813395888</v>
      </c>
      <c r="J60" s="255">
        <f t="shared" si="116"/>
        <v>2294.5441227270198</v>
      </c>
      <c r="K60" s="1369">
        <f t="shared" si="121"/>
        <v>68961.320335112105</v>
      </c>
      <c r="L60" s="255"/>
      <c r="M60" s="71"/>
      <c r="N60" s="255">
        <f t="shared" si="117"/>
        <v>67309.067501412632</v>
      </c>
      <c r="O60" s="255">
        <f t="shared" si="117"/>
        <v>40586.998886340873</v>
      </c>
      <c r="P60" s="255">
        <f t="shared" si="117"/>
        <v>1855.5864989640863</v>
      </c>
      <c r="Q60" s="255">
        <f t="shared" si="117"/>
        <v>3777.4439443197457</v>
      </c>
      <c r="R60" s="1369">
        <f t="shared" si="122"/>
        <v>113529.09683103733</v>
      </c>
      <c r="S60" s="1370"/>
      <c r="T60" s="255">
        <f t="shared" si="118"/>
        <v>11712.568890349074</v>
      </c>
      <c r="U60" s="255">
        <f t="shared" si="118"/>
        <v>7062.6148623855415</v>
      </c>
      <c r="V60" s="255">
        <f t="shared" si="118"/>
        <v>322.89386122697925</v>
      </c>
      <c r="W60" s="255">
        <f t="shared" si="118"/>
        <v>657.31964606920758</v>
      </c>
      <c r="X60" s="1369">
        <f t="shared" si="123"/>
        <v>19755.397260030801</v>
      </c>
      <c r="Y60" s="255"/>
      <c r="Z60" s="255"/>
      <c r="AA60" s="255"/>
      <c r="AB60" s="71"/>
      <c r="AC60" s="255">
        <f t="shared" si="119"/>
        <v>0</v>
      </c>
      <c r="AD60" s="255">
        <f t="shared" si="119"/>
        <v>0</v>
      </c>
      <c r="AE60" s="255">
        <f t="shared" si="119"/>
        <v>0</v>
      </c>
      <c r="AF60" s="255">
        <f t="shared" si="119"/>
        <v>0</v>
      </c>
      <c r="AG60" s="1369">
        <f t="shared" si="124"/>
        <v>0</v>
      </c>
      <c r="AH60" s="1371"/>
      <c r="AI60" s="255">
        <f t="shared" si="120"/>
        <v>67309.067501412632</v>
      </c>
      <c r="AJ60" s="255">
        <f t="shared" si="120"/>
        <v>40586.998886340873</v>
      </c>
      <c r="AK60" s="255">
        <f t="shared" si="120"/>
        <v>1855.5864989640856</v>
      </c>
      <c r="AL60" s="255">
        <f t="shared" si="120"/>
        <v>3777.4439443197457</v>
      </c>
      <c r="AM60" s="1369">
        <f t="shared" si="125"/>
        <v>113529.09683103733</v>
      </c>
      <c r="AN60" s="1369">
        <f t="shared" si="84"/>
        <v>113529.09683103733</v>
      </c>
      <c r="AO60" s="71"/>
      <c r="AP60" s="71"/>
      <c r="AQ60" s="71"/>
      <c r="AR60" s="71"/>
      <c r="AS60" s="71"/>
      <c r="AT60" s="71"/>
      <c r="AU60" s="1370"/>
      <c r="AV60" s="71"/>
      <c r="AW60" s="71"/>
      <c r="AX60" s="71"/>
      <c r="AY60" s="71"/>
      <c r="AZ60" s="71"/>
      <c r="BG60" s="71"/>
      <c r="BH60" s="71"/>
      <c r="BI60" s="71"/>
      <c r="BJ60" s="71"/>
      <c r="BK60" s="71"/>
      <c r="BL60" s="71"/>
      <c r="BM60" s="71"/>
      <c r="BN60" s="71"/>
      <c r="BO60" s="71"/>
      <c r="BP60" s="71"/>
      <c r="BQ60" s="71"/>
      <c r="BR60" s="71"/>
    </row>
    <row r="61" spans="1:70" s="1373" customFormat="1" outlineLevel="1">
      <c r="A61" s="1374" t="s">
        <v>66</v>
      </c>
      <c r="B61" s="1368"/>
      <c r="C61" s="1368"/>
      <c r="D61" s="1375"/>
      <c r="E61" s="1368"/>
      <c r="F61" s="1368"/>
      <c r="G61" s="255">
        <f t="shared" si="116"/>
        <v>296618.2493982712</v>
      </c>
      <c r="H61" s="255">
        <f t="shared" si="116"/>
        <v>115335.80761369021</v>
      </c>
      <c r="I61" s="255">
        <f t="shared" si="116"/>
        <v>6623.9840765778908</v>
      </c>
      <c r="J61" s="255">
        <f t="shared" si="116"/>
        <v>13484.53901303356</v>
      </c>
      <c r="K61" s="1369">
        <f t="shared" si="121"/>
        <v>432062.58010157285</v>
      </c>
      <c r="L61" s="255"/>
      <c r="M61" s="71"/>
      <c r="N61" s="255">
        <f t="shared" si="117"/>
        <v>496828.50900637161</v>
      </c>
      <c r="O61" s="255">
        <f t="shared" si="117"/>
        <v>193184.73306345861</v>
      </c>
      <c r="P61" s="255">
        <f t="shared" si="117"/>
        <v>11095.015694834454</v>
      </c>
      <c r="Q61" s="255">
        <f t="shared" si="117"/>
        <v>22586.281950198707</v>
      </c>
      <c r="R61" s="1369">
        <f t="shared" si="122"/>
        <v>723694.53971486329</v>
      </c>
      <c r="S61" s="1370"/>
      <c r="T61" s="255">
        <f t="shared" si="118"/>
        <v>86454.000247506265</v>
      </c>
      <c r="U61" s="255">
        <f t="shared" si="118"/>
        <v>33616.414230103073</v>
      </c>
      <c r="V61" s="255">
        <f t="shared" si="118"/>
        <v>1930.663140780036</v>
      </c>
      <c r="W61" s="255">
        <f t="shared" si="118"/>
        <v>3930.2785365879295</v>
      </c>
      <c r="X61" s="1369">
        <f t="shared" si="123"/>
        <v>125931.35615497729</v>
      </c>
      <c r="Y61" s="255"/>
      <c r="Z61" s="255"/>
      <c r="AA61" s="255"/>
      <c r="AB61" s="71"/>
      <c r="AC61" s="255">
        <f t="shared" si="119"/>
        <v>86454.000247506265</v>
      </c>
      <c r="AD61" s="255">
        <f t="shared" si="119"/>
        <v>33616.414230103073</v>
      </c>
      <c r="AE61" s="255">
        <f t="shared" si="119"/>
        <v>1930.663140780036</v>
      </c>
      <c r="AF61" s="255">
        <f t="shared" si="119"/>
        <v>3930.2785365879295</v>
      </c>
      <c r="AG61" s="1369">
        <f t="shared" si="124"/>
        <v>125931.35615497729</v>
      </c>
      <c r="AH61" s="1371"/>
      <c r="AI61" s="255">
        <f t="shared" si="120"/>
        <v>0</v>
      </c>
      <c r="AJ61" s="255">
        <f t="shared" si="120"/>
        <v>0</v>
      </c>
      <c r="AK61" s="255">
        <f t="shared" si="120"/>
        <v>0</v>
      </c>
      <c r="AL61" s="255">
        <f t="shared" si="120"/>
        <v>0</v>
      </c>
      <c r="AM61" s="1369">
        <f t="shared" si="125"/>
        <v>0</v>
      </c>
      <c r="AN61" s="1369">
        <f t="shared" si="84"/>
        <v>125931.35615497729</v>
      </c>
      <c r="AO61" s="71"/>
      <c r="AP61" s="71"/>
      <c r="AQ61" s="71"/>
      <c r="AR61" s="71"/>
      <c r="AS61" s="71"/>
      <c r="AT61" s="71"/>
      <c r="AU61" s="1370"/>
      <c r="AV61" s="71"/>
      <c r="AW61" s="71"/>
      <c r="AX61" s="71"/>
      <c r="AY61" s="71"/>
      <c r="AZ61" s="71"/>
      <c r="BG61" s="71"/>
      <c r="BH61" s="71"/>
      <c r="BI61" s="71"/>
      <c r="BJ61" s="71"/>
      <c r="BK61" s="71"/>
      <c r="BL61" s="71"/>
      <c r="BM61" s="71"/>
      <c r="BN61" s="71"/>
      <c r="BO61" s="71"/>
      <c r="BP61" s="71"/>
      <c r="BQ61" s="71"/>
      <c r="BR61" s="71"/>
    </row>
    <row r="62" spans="1:70" s="1373" customFormat="1" outlineLevel="1">
      <c r="A62" s="1374" t="s">
        <v>328</v>
      </c>
      <c r="B62" s="1368"/>
      <c r="C62" s="1368"/>
      <c r="D62" s="1375"/>
      <c r="E62" s="1368"/>
      <c r="F62" s="1368"/>
      <c r="G62" s="255">
        <f t="shared" si="116"/>
        <v>0</v>
      </c>
      <c r="H62" s="255">
        <f t="shared" si="116"/>
        <v>0</v>
      </c>
      <c r="I62" s="255">
        <f t="shared" si="116"/>
        <v>0</v>
      </c>
      <c r="J62" s="255">
        <f t="shared" si="116"/>
        <v>0</v>
      </c>
      <c r="K62" s="1369">
        <f t="shared" si="121"/>
        <v>0</v>
      </c>
      <c r="L62" s="255"/>
      <c r="M62" s="71"/>
      <c r="N62" s="255">
        <f t="shared" si="117"/>
        <v>0</v>
      </c>
      <c r="O62" s="255">
        <f t="shared" si="117"/>
        <v>0</v>
      </c>
      <c r="P62" s="255">
        <f t="shared" si="117"/>
        <v>0</v>
      </c>
      <c r="Q62" s="255">
        <f t="shared" si="117"/>
        <v>0</v>
      </c>
      <c r="R62" s="1369">
        <f t="shared" si="122"/>
        <v>0</v>
      </c>
      <c r="S62" s="1370"/>
      <c r="T62" s="255">
        <f t="shared" si="118"/>
        <v>0</v>
      </c>
      <c r="U62" s="255">
        <f t="shared" si="118"/>
        <v>0</v>
      </c>
      <c r="V62" s="255">
        <f t="shared" si="118"/>
        <v>0</v>
      </c>
      <c r="W62" s="255">
        <f t="shared" si="118"/>
        <v>0</v>
      </c>
      <c r="X62" s="1369">
        <f t="shared" si="123"/>
        <v>0</v>
      </c>
      <c r="Y62" s="255"/>
      <c r="Z62" s="255"/>
      <c r="AA62" s="255"/>
      <c r="AB62" s="71"/>
      <c r="AC62" s="255">
        <f t="shared" si="119"/>
        <v>0</v>
      </c>
      <c r="AD62" s="255">
        <f t="shared" si="119"/>
        <v>0</v>
      </c>
      <c r="AE62" s="255">
        <f t="shared" si="119"/>
        <v>0</v>
      </c>
      <c r="AF62" s="255">
        <f t="shared" si="119"/>
        <v>0</v>
      </c>
      <c r="AG62" s="1369">
        <f t="shared" si="124"/>
        <v>0</v>
      </c>
      <c r="AH62" s="1371"/>
      <c r="AI62" s="255">
        <f t="shared" si="120"/>
        <v>0</v>
      </c>
      <c r="AJ62" s="255">
        <f t="shared" si="120"/>
        <v>0</v>
      </c>
      <c r="AK62" s="255">
        <f t="shared" si="120"/>
        <v>0</v>
      </c>
      <c r="AL62" s="255">
        <f t="shared" si="120"/>
        <v>0</v>
      </c>
      <c r="AM62" s="1369">
        <f t="shared" si="125"/>
        <v>0</v>
      </c>
      <c r="AN62" s="1369">
        <f t="shared" si="84"/>
        <v>0</v>
      </c>
      <c r="AO62" s="71"/>
      <c r="AP62" s="71"/>
      <c r="AQ62" s="71"/>
      <c r="AR62" s="71"/>
      <c r="AS62" s="71"/>
      <c r="AT62" s="71"/>
      <c r="AU62" s="1370"/>
      <c r="AV62" s="71"/>
      <c r="AW62" s="71"/>
      <c r="AX62" s="71"/>
      <c r="AY62" s="71"/>
      <c r="AZ62" s="71"/>
      <c r="BG62" s="71"/>
      <c r="BH62" s="71"/>
      <c r="BI62" s="71"/>
      <c r="BJ62" s="71"/>
      <c r="BK62" s="71"/>
      <c r="BL62" s="71"/>
      <c r="BM62" s="71"/>
      <c r="BN62" s="71"/>
      <c r="BO62" s="71"/>
      <c r="BP62" s="71"/>
      <c r="BQ62" s="71"/>
      <c r="BR62" s="71"/>
    </row>
    <row r="63" spans="1:70" ht="40" outlineLevel="1">
      <c r="A63" s="826" t="s">
        <v>760</v>
      </c>
      <c r="B63" s="2"/>
      <c r="C63" s="2"/>
      <c r="D63" s="1061"/>
      <c r="E63" s="2"/>
      <c r="G63" s="169">
        <f>G164*G158*G154*G162*12</f>
        <v>904519.29889267264</v>
      </c>
      <c r="H63" s="169">
        <f t="shared" ref="H63:J63" si="126">H164*H158*H154*H162</f>
        <v>31486.431290567718</v>
      </c>
      <c r="I63" s="169">
        <f t="shared" si="126"/>
        <v>1736.5243923888863</v>
      </c>
      <c r="J63" s="169">
        <f t="shared" si="126"/>
        <v>3535.0675130773748</v>
      </c>
      <c r="K63" s="407">
        <f t="shared" si="121"/>
        <v>941277.32208870666</v>
      </c>
      <c r="L63" s="169"/>
      <c r="N63" s="169">
        <f>N164*N158*N154*N162</f>
        <v>75376.608241056048</v>
      </c>
      <c r="O63" s="169">
        <f t="shared" ref="O63:Q63" si="127">O164*O158*O154*O162</f>
        <v>31486.431290567718</v>
      </c>
      <c r="P63" s="169">
        <f t="shared" si="127"/>
        <v>1736.5243923888863</v>
      </c>
      <c r="Q63" s="169">
        <f t="shared" si="127"/>
        <v>3535.0675130773748</v>
      </c>
      <c r="R63" s="407">
        <f t="shared" si="122"/>
        <v>112134.63143709004</v>
      </c>
      <c r="S63" s="80"/>
      <c r="T63" s="169">
        <f>T164*T158*T154*T162</f>
        <v>75376.608241056048</v>
      </c>
      <c r="U63" s="169">
        <f t="shared" ref="U63:W63" si="128">U164*U158*U154*U162</f>
        <v>31486.431290567718</v>
      </c>
      <c r="V63" s="169">
        <f t="shared" si="128"/>
        <v>1736.5243923888863</v>
      </c>
      <c r="W63" s="169">
        <f t="shared" si="128"/>
        <v>3535.0675130773748</v>
      </c>
      <c r="X63" s="407">
        <f t="shared" si="123"/>
        <v>112134.63143709004</v>
      </c>
      <c r="Y63" s="169"/>
      <c r="Z63" s="169"/>
      <c r="AA63" s="169"/>
      <c r="AC63" s="169">
        <f>AC164*AC158*AC154*AC162</f>
        <v>66864.94302563768</v>
      </c>
      <c r="AD63" s="169">
        <f t="shared" ref="AD63:AF63" si="129">AD164*AD158*AD154*AD162</f>
        <v>25999.486614697318</v>
      </c>
      <c r="AE63" s="169">
        <f t="shared" si="129"/>
        <v>1493.2065669648348</v>
      </c>
      <c r="AF63" s="169">
        <f t="shared" si="129"/>
        <v>3039.7419398926986</v>
      </c>
      <c r="AG63" s="407">
        <f t="shared" si="124"/>
        <v>97397.378147192532</v>
      </c>
      <c r="AI63" s="169">
        <f>AI164*AI158*AI154*AI162</f>
        <v>8511.6652154183594</v>
      </c>
      <c r="AJ63" s="169">
        <f t="shared" ref="AJ63:AL63" si="130">AJ164*AJ158*AJ154*AJ162</f>
        <v>5486.9446758703943</v>
      </c>
      <c r="AK63" s="169">
        <f t="shared" si="130"/>
        <v>243.31782542405131</v>
      </c>
      <c r="AL63" s="169">
        <f t="shared" si="130"/>
        <v>495.32557318467593</v>
      </c>
      <c r="AM63" s="407">
        <f t="shared" si="125"/>
        <v>14737.253289897482</v>
      </c>
      <c r="AN63" s="1168">
        <f t="shared" si="84"/>
        <v>112134.63143709002</v>
      </c>
      <c r="AU63" s="80"/>
    </row>
    <row r="64" spans="1:70" ht="40" outlineLevel="1">
      <c r="A64" s="826" t="s">
        <v>511</v>
      </c>
      <c r="G64" s="169">
        <f>G7*G156*G155</f>
        <v>37327.5</v>
      </c>
      <c r="H64" s="169">
        <f>H7*H156*H155</f>
        <v>15592.500000000002</v>
      </c>
      <c r="I64" s="169">
        <f>I7*I156*I155</f>
        <v>859.95</v>
      </c>
      <c r="J64" s="169">
        <f>J7*J156*J155</f>
        <v>1750.6125000000002</v>
      </c>
      <c r="K64" s="407">
        <f t="shared" si="121"/>
        <v>55530.5625</v>
      </c>
      <c r="L64" s="169"/>
      <c r="N64" s="169">
        <f>N7*N156*N155</f>
        <v>37327.5</v>
      </c>
      <c r="O64" s="169">
        <f>O7*O156*O155</f>
        <v>15592.500000000002</v>
      </c>
      <c r="P64" s="169">
        <f>P7*P156*P155</f>
        <v>859.95</v>
      </c>
      <c r="Q64" s="169">
        <f>Q7*Q156*Q155</f>
        <v>1750.6125000000002</v>
      </c>
      <c r="R64" s="407">
        <f t="shared" si="122"/>
        <v>55530.5625</v>
      </c>
      <c r="S64" s="80"/>
      <c r="T64" s="169">
        <f>T7*T156*T155</f>
        <v>37327.5</v>
      </c>
      <c r="U64" s="169">
        <f>U7*U156*U155</f>
        <v>15592.500000000002</v>
      </c>
      <c r="V64" s="169">
        <f>V7*V156*V155</f>
        <v>859.95</v>
      </c>
      <c r="W64" s="169">
        <f>W7*W156*W155</f>
        <v>1750.6125000000002</v>
      </c>
      <c r="X64" s="407">
        <f t="shared" si="123"/>
        <v>55530.5625</v>
      </c>
      <c r="Y64" s="169"/>
      <c r="Z64" s="169"/>
      <c r="AA64" s="169"/>
      <c r="AC64" s="169">
        <f>AC7*AC156*AC155</f>
        <v>33112.410057076915</v>
      </c>
      <c r="AD64" s="169">
        <f>AD7*AD156*AD155</f>
        <v>12875.291940789473</v>
      </c>
      <c r="AE64" s="169">
        <f>AE7*AE156*AE155</f>
        <v>739.45577320393079</v>
      </c>
      <c r="AF64" s="169">
        <f>AF7*AF156*AF155</f>
        <v>1505.3206811651446</v>
      </c>
      <c r="AG64" s="407">
        <f t="shared" si="124"/>
        <v>48232.478452235468</v>
      </c>
      <c r="AI64" s="169">
        <f>AI7*AI156*AI155</f>
        <v>4215.0899429230867</v>
      </c>
      <c r="AJ64" s="169">
        <f>AJ7*AJ156*AJ155</f>
        <v>2717.2080592105267</v>
      </c>
      <c r="AK64" s="169">
        <f>AK7*AK156*AK155</f>
        <v>120.4942267960693</v>
      </c>
      <c r="AL64" s="169">
        <f>AL7*AL156*AL155</f>
        <v>245.29181883485538</v>
      </c>
      <c r="AM64" s="407">
        <f t="shared" si="125"/>
        <v>7298.0840477645388</v>
      </c>
      <c r="AN64" s="1168">
        <f t="shared" si="84"/>
        <v>55530.562500000007</v>
      </c>
      <c r="AU64" s="80"/>
    </row>
    <row r="65" spans="1:70" s="424" customFormat="1" ht="20">
      <c r="A65" s="1115" t="s">
        <v>508</v>
      </c>
      <c r="B65" s="305"/>
      <c r="C65" s="305"/>
      <c r="D65" s="1116"/>
      <c r="E65" s="305"/>
      <c r="F65" s="1117"/>
      <c r="G65" s="373">
        <f>SUM(G66:G70)</f>
        <v>2905737.5724546942</v>
      </c>
      <c r="H65" s="373">
        <f t="shared" ref="H65:J65" si="131">SUM(H66:H70)</f>
        <v>1233461.6666890811</v>
      </c>
      <c r="I65" s="373">
        <f t="shared" si="131"/>
        <v>67423.329217810126</v>
      </c>
      <c r="J65" s="373">
        <f t="shared" si="131"/>
        <v>137254.63447911345</v>
      </c>
      <c r="K65" s="1091">
        <f t="shared" si="95"/>
        <v>4343877.2028406989</v>
      </c>
      <c r="L65" s="1118"/>
      <c r="M65" s="287"/>
      <c r="N65" s="373">
        <f>SUM(N66:N70)</f>
        <v>4854498.8417818369</v>
      </c>
      <c r="O65" s="373">
        <f t="shared" ref="O65:Q65" si="132">SUM(O66:O70)</f>
        <v>2056709.2650852231</v>
      </c>
      <c r="P65" s="373">
        <f t="shared" si="132"/>
        <v>112543.99204936795</v>
      </c>
      <c r="Q65" s="373">
        <f t="shared" si="132"/>
        <v>229107.41238621325</v>
      </c>
      <c r="R65" s="1091">
        <f t="shared" si="122"/>
        <v>7252859.5113026416</v>
      </c>
      <c r="S65" s="1119"/>
      <c r="T65" s="373">
        <f>SUM(T66:T70)</f>
        <v>844739.85784004885</v>
      </c>
      <c r="U65" s="373">
        <f t="shared" ref="U65:W65" si="133">SUM(U66:U70)</f>
        <v>357891.58651208953</v>
      </c>
      <c r="V65" s="373">
        <f t="shared" si="133"/>
        <v>19583.977449181799</v>
      </c>
      <c r="W65" s="373">
        <f t="shared" si="133"/>
        <v>39867.382664405799</v>
      </c>
      <c r="X65" s="1091">
        <f t="shared" si="123"/>
        <v>1262082.8044657258</v>
      </c>
      <c r="Y65" s="1118"/>
      <c r="Z65" s="1118"/>
      <c r="AA65" s="1118"/>
      <c r="AB65" s="287"/>
      <c r="AC65" s="373">
        <f>SUM(AC66:AC70)</f>
        <v>735613.35277783091</v>
      </c>
      <c r="AD65" s="373">
        <f t="shared" ref="AD65:AF65" si="134">SUM(AD66:AD70)</f>
        <v>286032.83953755273</v>
      </c>
      <c r="AE65" s="373">
        <f t="shared" si="134"/>
        <v>16427.482615123357</v>
      </c>
      <c r="AF65" s="373">
        <f t="shared" si="134"/>
        <v>33441.661037929684</v>
      </c>
      <c r="AG65" s="1091">
        <f t="shared" si="124"/>
        <v>1071515.3359684367</v>
      </c>
      <c r="AH65" s="286"/>
      <c r="AI65" s="373">
        <f>SUM(AI66:AI70)</f>
        <v>627121.45936476626</v>
      </c>
      <c r="AJ65" s="373">
        <f t="shared" ref="AJ65:AL65" si="135">SUM(AJ66:AJ70)</f>
        <v>412953.40893673722</v>
      </c>
      <c r="AK65" s="373">
        <f t="shared" si="135"/>
        <v>18139.549559325402</v>
      </c>
      <c r="AL65" s="373">
        <f t="shared" si="135"/>
        <v>36926.940174340998</v>
      </c>
      <c r="AM65" s="1091">
        <f t="shared" si="125"/>
        <v>1095141.3580351698</v>
      </c>
      <c r="AN65" s="1091">
        <f>AM65+AG65</f>
        <v>2166656.6940036062</v>
      </c>
      <c r="AO65" s="287"/>
      <c r="AP65" s="287"/>
      <c r="AQ65" s="287"/>
      <c r="AR65" s="287"/>
      <c r="AS65" s="287"/>
      <c r="AT65" s="287"/>
      <c r="AU65" s="1119"/>
      <c r="AV65" s="287"/>
      <c r="AW65" s="287"/>
      <c r="AX65" s="287"/>
      <c r="AY65" s="287"/>
      <c r="AZ65" s="287"/>
      <c r="BG65" s="287"/>
      <c r="BH65" s="287"/>
      <c r="BI65" s="287"/>
      <c r="BJ65" s="287"/>
      <c r="BK65" s="287"/>
      <c r="BL65" s="287"/>
      <c r="BM65" s="287"/>
      <c r="BN65" s="287"/>
      <c r="BO65" s="287"/>
      <c r="BP65" s="287"/>
      <c r="BQ65" s="287"/>
      <c r="BR65" s="287"/>
    </row>
    <row r="66" spans="1:70" outlineLevel="1">
      <c r="A66" s="39" t="s">
        <v>327</v>
      </c>
      <c r="B66" s="2"/>
      <c r="C66" s="2"/>
      <c r="D66" s="1061"/>
      <c r="E66" s="2"/>
      <c r="G66" s="169">
        <f t="shared" ref="G66:J70" si="136">G22*G120*G$152</f>
        <v>635.75750603202562</v>
      </c>
      <c r="H66" s="169">
        <f t="shared" si="136"/>
        <v>4191.801581541311</v>
      </c>
      <c r="I66" s="169">
        <f t="shared" si="136"/>
        <v>110.64825383187325</v>
      </c>
      <c r="J66" s="169">
        <f t="shared" si="136"/>
        <v>225.24823101488477</v>
      </c>
      <c r="K66" s="407">
        <f>SUM(G66:J66)</f>
        <v>5163.4555724200945</v>
      </c>
      <c r="L66" s="169"/>
      <c r="N66" s="169">
        <f t="shared" ref="N66:Q70" si="137">N22*N120*N$152</f>
        <v>997.59725449614859</v>
      </c>
      <c r="O66" s="169">
        <f t="shared" si="137"/>
        <v>6577.5546642583822</v>
      </c>
      <c r="P66" s="169">
        <f t="shared" si="137"/>
        <v>173.62342275186495</v>
      </c>
      <c r="Q66" s="169">
        <f t="shared" si="137"/>
        <v>353.44768203058214</v>
      </c>
      <c r="R66" s="407">
        <f>SUM(N66:Q66)</f>
        <v>8102.223023536978</v>
      </c>
      <c r="S66" s="80"/>
      <c r="T66" s="169">
        <f t="shared" ref="T66:W70" si="138">T22*T120*T$152</f>
        <v>173.59364795633243</v>
      </c>
      <c r="U66" s="169">
        <f t="shared" si="138"/>
        <v>1144.5718236038006</v>
      </c>
      <c r="V66" s="169">
        <f t="shared" si="138"/>
        <v>30.212516313893961</v>
      </c>
      <c r="W66" s="169">
        <f t="shared" si="138"/>
        <v>61.504051067569854</v>
      </c>
      <c r="X66" s="407">
        <f>SUM(T66:W66)</f>
        <v>1409.8820389415969</v>
      </c>
      <c r="Y66" s="169"/>
      <c r="Z66" s="169"/>
      <c r="AA66" s="169"/>
      <c r="AC66" s="169">
        <f t="shared" ref="AC66:AF70" si="139">AC22*AC120*AC$152</f>
        <v>0</v>
      </c>
      <c r="AD66" s="169">
        <f t="shared" si="139"/>
        <v>0</v>
      </c>
      <c r="AE66" s="169">
        <f t="shared" si="139"/>
        <v>0</v>
      </c>
      <c r="AF66" s="169">
        <f t="shared" si="139"/>
        <v>0</v>
      </c>
      <c r="AG66" s="169">
        <f>SUM(AC66:AF66)</f>
        <v>0</v>
      </c>
      <c r="AI66" s="169">
        <f t="shared" ref="AI66:AL70" si="140">AI22*AI120*AI$152</f>
        <v>997.59725449614882</v>
      </c>
      <c r="AJ66" s="169">
        <f t="shared" si="140"/>
        <v>6577.5546642583831</v>
      </c>
      <c r="AK66" s="169">
        <f t="shared" si="140"/>
        <v>173.62342275186487</v>
      </c>
      <c r="AL66" s="169">
        <f t="shared" si="140"/>
        <v>353.4476820305822</v>
      </c>
      <c r="AM66" s="371">
        <f>SUM(AI66:AL66)</f>
        <v>8102.2230235369789</v>
      </c>
      <c r="AN66" s="406">
        <f t="shared" si="84"/>
        <v>8102.2230235369789</v>
      </c>
      <c r="AU66" s="80"/>
    </row>
    <row r="67" spans="1:70" outlineLevel="1">
      <c r="A67" s="39" t="s">
        <v>429</v>
      </c>
      <c r="B67" s="2"/>
      <c r="C67" s="2"/>
      <c r="D67" s="1061"/>
      <c r="E67" s="2"/>
      <c r="G67" s="169">
        <f t="shared" si="136"/>
        <v>33372.951275656771</v>
      </c>
      <c r="H67" s="169">
        <f t="shared" si="136"/>
        <v>38136.023747655876</v>
      </c>
      <c r="I67" s="169">
        <f t="shared" si="136"/>
        <v>1360.4560816352605</v>
      </c>
      <c r="J67" s="169">
        <f t="shared" si="136"/>
        <v>2769.4998804717798</v>
      </c>
      <c r="K67" s="407">
        <f t="shared" ref="K67:K70" si="141">SUM(G67:J67)</f>
        <v>75638.930985419676</v>
      </c>
      <c r="L67" s="169"/>
      <c r="N67" s="169">
        <f t="shared" si="137"/>
        <v>53409.485964422645</v>
      </c>
      <c r="O67" s="169">
        <f t="shared" si="137"/>
        <v>61032.223619222939</v>
      </c>
      <c r="P67" s="169">
        <f t="shared" si="137"/>
        <v>2177.2500549063866</v>
      </c>
      <c r="Q67" s="169">
        <f t="shared" si="137"/>
        <v>4432.2590403451431</v>
      </c>
      <c r="R67" s="407">
        <f t="shared" ref="R67:R70" si="142">SUM(N67:Q67)</f>
        <v>121051.21867889712</v>
      </c>
      <c r="S67" s="80"/>
      <c r="T67" s="169">
        <f t="shared" si="138"/>
        <v>9293.8783284035762</v>
      </c>
      <c r="U67" s="169">
        <f t="shared" si="138"/>
        <v>10620.324277354399</v>
      </c>
      <c r="V67" s="169">
        <f t="shared" si="138"/>
        <v>378.86710076725029</v>
      </c>
      <c r="W67" s="169">
        <f t="shared" si="138"/>
        <v>771.26516941904538</v>
      </c>
      <c r="X67" s="407">
        <f t="shared" ref="X67:X70" si="143">SUM(T67:W67)</f>
        <v>21064.334875944271</v>
      </c>
      <c r="Y67" s="169"/>
      <c r="Z67" s="169"/>
      <c r="AA67" s="169"/>
      <c r="AC67" s="169">
        <f t="shared" si="139"/>
        <v>0</v>
      </c>
      <c r="AD67" s="169">
        <f t="shared" si="139"/>
        <v>0</v>
      </c>
      <c r="AE67" s="169">
        <f t="shared" si="139"/>
        <v>0</v>
      </c>
      <c r="AF67" s="169">
        <f t="shared" si="139"/>
        <v>0</v>
      </c>
      <c r="AG67" s="169">
        <f t="shared" ref="AG67:AG70" si="144">SUM(AC67:AF67)</f>
        <v>0</v>
      </c>
      <c r="AI67" s="169">
        <f t="shared" si="140"/>
        <v>53409.485964422653</v>
      </c>
      <c r="AJ67" s="169">
        <f t="shared" si="140"/>
        <v>61032.223619222939</v>
      </c>
      <c r="AK67" s="169">
        <f t="shared" si="140"/>
        <v>2177.2500549063861</v>
      </c>
      <c r="AL67" s="169">
        <f t="shared" si="140"/>
        <v>4432.2590403451431</v>
      </c>
      <c r="AM67" s="371">
        <f t="shared" ref="AM67:AM70" si="145">SUM(AI67:AL67)</f>
        <v>121051.21867889713</v>
      </c>
      <c r="AN67" s="406">
        <f t="shared" si="84"/>
        <v>121051.21867889713</v>
      </c>
      <c r="AU67" s="80"/>
    </row>
    <row r="68" spans="1:70" outlineLevel="1">
      <c r="A68" s="39" t="s">
        <v>65</v>
      </c>
      <c r="B68" s="2"/>
      <c r="C68" s="2"/>
      <c r="D68" s="1061"/>
      <c r="E68" s="2"/>
      <c r="G68" s="169">
        <f t="shared" si="136"/>
        <v>347885.61396465037</v>
      </c>
      <c r="H68" s="169">
        <f t="shared" si="136"/>
        <v>209773.11899709416</v>
      </c>
      <c r="I68" s="169">
        <f t="shared" si="136"/>
        <v>9590.5629422527563</v>
      </c>
      <c r="J68" s="169">
        <f t="shared" si="136"/>
        <v>19523.645989585966</v>
      </c>
      <c r="K68" s="407">
        <f t="shared" si="141"/>
        <v>586772.94189358328</v>
      </c>
      <c r="L68" s="169"/>
      <c r="N68" s="169">
        <f t="shared" si="137"/>
        <v>572714.37614584737</v>
      </c>
      <c r="O68" s="169">
        <f t="shared" si="137"/>
        <v>345343.63065325591</v>
      </c>
      <c r="P68" s="169">
        <f t="shared" si="137"/>
        <v>15788.676081667158</v>
      </c>
      <c r="Q68" s="169">
        <f t="shared" si="137"/>
        <v>32141.233451965272</v>
      </c>
      <c r="R68" s="407">
        <f t="shared" si="142"/>
        <v>965987.91633273568</v>
      </c>
      <c r="S68" s="80"/>
      <c r="T68" s="169">
        <f t="shared" si="138"/>
        <v>99659.033085857998</v>
      </c>
      <c r="U68" s="169">
        <f t="shared" si="138"/>
        <v>60093.85087357858</v>
      </c>
      <c r="V68" s="169">
        <f t="shared" si="138"/>
        <v>2747.4152169772988</v>
      </c>
      <c r="W68" s="169">
        <f t="shared" si="138"/>
        <v>5592.9524059895002</v>
      </c>
      <c r="X68" s="407">
        <f t="shared" si="143"/>
        <v>168093.25158240338</v>
      </c>
      <c r="Y68" s="169"/>
      <c r="Z68" s="169"/>
      <c r="AA68" s="169"/>
      <c r="AC68" s="169">
        <f t="shared" si="139"/>
        <v>0</v>
      </c>
      <c r="AD68" s="169">
        <f t="shared" si="139"/>
        <v>0</v>
      </c>
      <c r="AE68" s="169">
        <f t="shared" si="139"/>
        <v>0</v>
      </c>
      <c r="AF68" s="169">
        <f t="shared" si="139"/>
        <v>0</v>
      </c>
      <c r="AG68" s="169">
        <f t="shared" si="144"/>
        <v>0</v>
      </c>
      <c r="AI68" s="169">
        <f t="shared" si="140"/>
        <v>572714.37614584749</v>
      </c>
      <c r="AJ68" s="169">
        <f t="shared" si="140"/>
        <v>345343.63065325591</v>
      </c>
      <c r="AK68" s="169">
        <f t="shared" si="140"/>
        <v>15788.676081667152</v>
      </c>
      <c r="AL68" s="169">
        <f t="shared" si="140"/>
        <v>32141.233451965272</v>
      </c>
      <c r="AM68" s="371">
        <f t="shared" si="145"/>
        <v>965987.91633273591</v>
      </c>
      <c r="AN68" s="406">
        <f t="shared" si="84"/>
        <v>965987.91633273591</v>
      </c>
      <c r="AU68" s="80"/>
    </row>
    <row r="69" spans="1:70" outlineLevel="1">
      <c r="A69" s="39" t="s">
        <v>66</v>
      </c>
      <c r="B69" s="2"/>
      <c r="C69" s="2"/>
      <c r="D69" s="1061"/>
      <c r="E69" s="2"/>
      <c r="G69" s="169">
        <f t="shared" si="136"/>
        <v>2523843.2497083549</v>
      </c>
      <c r="H69" s="169">
        <f t="shared" si="136"/>
        <v>981360.72236278967</v>
      </c>
      <c r="I69" s="169">
        <f t="shared" si="136"/>
        <v>56361.661940090242</v>
      </c>
      <c r="J69" s="169">
        <f t="shared" si="136"/>
        <v>114736.24037804082</v>
      </c>
      <c r="K69" s="407">
        <f t="shared" si="141"/>
        <v>3676301.8743892759</v>
      </c>
      <c r="L69" s="169"/>
      <c r="N69" s="169">
        <f t="shared" si="137"/>
        <v>4227377.3824170707</v>
      </c>
      <c r="O69" s="169">
        <f t="shared" si="137"/>
        <v>1643755.856148486</v>
      </c>
      <c r="P69" s="169">
        <f t="shared" si="137"/>
        <v>94404.442490042551</v>
      </c>
      <c r="Q69" s="169">
        <f t="shared" si="137"/>
        <v>192180.47221187226</v>
      </c>
      <c r="R69" s="407">
        <f t="shared" si="142"/>
        <v>6157718.1532674711</v>
      </c>
      <c r="S69" s="80"/>
      <c r="T69" s="169">
        <f t="shared" si="138"/>
        <v>735613.35277783091</v>
      </c>
      <c r="U69" s="169">
        <f t="shared" si="138"/>
        <v>286032.83953755273</v>
      </c>
      <c r="V69" s="169">
        <f t="shared" si="138"/>
        <v>16427.482615123357</v>
      </c>
      <c r="W69" s="169">
        <f t="shared" si="138"/>
        <v>33441.661037929684</v>
      </c>
      <c r="X69" s="407">
        <f t="shared" si="143"/>
        <v>1071515.3359684367</v>
      </c>
      <c r="Y69" s="169"/>
      <c r="Z69" s="169"/>
      <c r="AA69" s="169"/>
      <c r="AC69" s="169">
        <f t="shared" si="139"/>
        <v>735613.35277783091</v>
      </c>
      <c r="AD69" s="169">
        <f t="shared" si="139"/>
        <v>286032.83953755273</v>
      </c>
      <c r="AE69" s="169">
        <f t="shared" si="139"/>
        <v>16427.482615123357</v>
      </c>
      <c r="AF69" s="169">
        <f t="shared" si="139"/>
        <v>33441.661037929684</v>
      </c>
      <c r="AG69" s="169">
        <f t="shared" si="144"/>
        <v>1071515.3359684367</v>
      </c>
      <c r="AI69" s="169">
        <f t="shared" si="140"/>
        <v>0</v>
      </c>
      <c r="AJ69" s="169">
        <f t="shared" si="140"/>
        <v>0</v>
      </c>
      <c r="AK69" s="169">
        <f t="shared" si="140"/>
        <v>0</v>
      </c>
      <c r="AL69" s="169">
        <f t="shared" si="140"/>
        <v>0</v>
      </c>
      <c r="AM69" s="371">
        <f t="shared" si="145"/>
        <v>0</v>
      </c>
      <c r="AN69" s="406">
        <f t="shared" si="84"/>
        <v>1071515.3359684367</v>
      </c>
      <c r="AU69" s="80"/>
    </row>
    <row r="70" spans="1:70" outlineLevel="1">
      <c r="A70" s="39" t="s">
        <v>328</v>
      </c>
      <c r="B70" s="2"/>
      <c r="C70" s="2"/>
      <c r="D70" s="1061"/>
      <c r="E70" s="2"/>
      <c r="G70" s="169">
        <f t="shared" si="136"/>
        <v>0</v>
      </c>
      <c r="H70" s="169">
        <f t="shared" si="136"/>
        <v>0</v>
      </c>
      <c r="I70" s="169">
        <f t="shared" si="136"/>
        <v>0</v>
      </c>
      <c r="J70" s="169">
        <f t="shared" si="136"/>
        <v>0</v>
      </c>
      <c r="K70" s="407">
        <f t="shared" si="141"/>
        <v>0</v>
      </c>
      <c r="L70" s="169"/>
      <c r="N70" s="169">
        <f t="shared" si="137"/>
        <v>0</v>
      </c>
      <c r="O70" s="169">
        <f t="shared" si="137"/>
        <v>0</v>
      </c>
      <c r="P70" s="169">
        <f t="shared" si="137"/>
        <v>0</v>
      </c>
      <c r="Q70" s="169">
        <f t="shared" si="137"/>
        <v>0</v>
      </c>
      <c r="R70" s="407">
        <f t="shared" si="142"/>
        <v>0</v>
      </c>
      <c r="S70" s="80"/>
      <c r="T70" s="169">
        <f t="shared" si="138"/>
        <v>0</v>
      </c>
      <c r="U70" s="169">
        <f t="shared" si="138"/>
        <v>0</v>
      </c>
      <c r="V70" s="169">
        <f t="shared" si="138"/>
        <v>0</v>
      </c>
      <c r="W70" s="169">
        <f t="shared" si="138"/>
        <v>0</v>
      </c>
      <c r="X70" s="407">
        <f t="shared" si="143"/>
        <v>0</v>
      </c>
      <c r="Y70" s="169"/>
      <c r="Z70" s="169"/>
      <c r="AA70" s="169"/>
      <c r="AC70" s="169">
        <f t="shared" si="139"/>
        <v>0</v>
      </c>
      <c r="AD70" s="169">
        <f t="shared" si="139"/>
        <v>0</v>
      </c>
      <c r="AE70" s="169">
        <f t="shared" si="139"/>
        <v>0</v>
      </c>
      <c r="AF70" s="169">
        <f t="shared" si="139"/>
        <v>0</v>
      </c>
      <c r="AG70" s="169">
        <f t="shared" si="144"/>
        <v>0</v>
      </c>
      <c r="AI70" s="169">
        <f t="shared" si="140"/>
        <v>0</v>
      </c>
      <c r="AJ70" s="169">
        <f t="shared" si="140"/>
        <v>0</v>
      </c>
      <c r="AK70" s="169">
        <f t="shared" si="140"/>
        <v>0</v>
      </c>
      <c r="AL70" s="169">
        <f t="shared" si="140"/>
        <v>0</v>
      </c>
      <c r="AM70" s="371">
        <f t="shared" si="145"/>
        <v>0</v>
      </c>
      <c r="AN70" s="406">
        <f t="shared" si="84"/>
        <v>0</v>
      </c>
      <c r="AU70" s="80"/>
    </row>
    <row r="71" spans="1:70" s="1181" customFormat="1" ht="20">
      <c r="A71" s="1176" t="s">
        <v>501</v>
      </c>
      <c r="B71" s="103"/>
      <c r="C71" s="103"/>
      <c r="D71" s="1177"/>
      <c r="E71" s="103"/>
      <c r="F71" s="257"/>
      <c r="G71" s="275">
        <f>G21*G167</f>
        <v>4323342.0688575087</v>
      </c>
      <c r="H71" s="275">
        <f>H21*H167</f>
        <v>1805953.0161050353</v>
      </c>
      <c r="I71" s="275">
        <f>I21*I167</f>
        <v>99601.04513064136</v>
      </c>
      <c r="J71" s="275">
        <f>J21*J167</f>
        <v>202759.27044451988</v>
      </c>
      <c r="K71" s="1178">
        <f>SUM(G71:J71)</f>
        <v>6431655.400537705</v>
      </c>
      <c r="L71" s="276"/>
      <c r="M71" s="25"/>
      <c r="N71" s="275">
        <f>N21*N167</f>
        <v>0</v>
      </c>
      <c r="O71" s="275">
        <f>O21*O167</f>
        <v>0</v>
      </c>
      <c r="P71" s="275">
        <f>P21*P167</f>
        <v>0</v>
      </c>
      <c r="Q71" s="275">
        <f>Q21*Q167</f>
        <v>0</v>
      </c>
      <c r="R71" s="1178">
        <f>SUM(N71:Q71)</f>
        <v>0</v>
      </c>
      <c r="S71" s="277"/>
      <c r="T71" s="275">
        <f>T19*T167</f>
        <v>0</v>
      </c>
      <c r="U71" s="275">
        <f>U19*U167</f>
        <v>0</v>
      </c>
      <c r="V71" s="275">
        <f>V19*V167</f>
        <v>0</v>
      </c>
      <c r="W71" s="275">
        <f>W19*W167</f>
        <v>0</v>
      </c>
      <c r="X71" s="1312">
        <f>SUM(T71:W71)</f>
        <v>0</v>
      </c>
      <c r="Y71" s="275"/>
      <c r="Z71" s="275"/>
      <c r="AA71" s="275"/>
      <c r="AB71" s="25"/>
      <c r="AC71" s="275">
        <f>AC19*AC167</f>
        <v>0</v>
      </c>
      <c r="AD71" s="275">
        <f>AD19*AD167</f>
        <v>0</v>
      </c>
      <c r="AE71" s="275">
        <f>AE19*AE167</f>
        <v>0</v>
      </c>
      <c r="AF71" s="275">
        <f>AF19*AF167</f>
        <v>0</v>
      </c>
      <c r="AG71" s="275">
        <f>SUM(AC71:AF71)</f>
        <v>0</v>
      </c>
      <c r="AH71" s="1179"/>
      <c r="AI71" s="275">
        <f>AI21*AI167</f>
        <v>0</v>
      </c>
      <c r="AJ71" s="275">
        <f>AJ21*AJ167</f>
        <v>0</v>
      </c>
      <c r="AK71" s="275">
        <f>AK21*AK167</f>
        <v>0</v>
      </c>
      <c r="AL71" s="275">
        <f>AL21*AL167</f>
        <v>0</v>
      </c>
      <c r="AM71" s="1180">
        <f>SUM(AI71:AL71)</f>
        <v>0</v>
      </c>
      <c r="AN71" s="406">
        <f t="shared" si="84"/>
        <v>0</v>
      </c>
      <c r="AO71" s="25"/>
      <c r="AP71" s="25"/>
      <c r="AQ71" s="25"/>
      <c r="AR71" s="25"/>
      <c r="AS71" s="25"/>
      <c r="AT71" s="25"/>
      <c r="AU71" s="277"/>
      <c r="AV71" s="25"/>
      <c r="AW71" s="25"/>
      <c r="AX71" s="25"/>
      <c r="AY71" s="25"/>
      <c r="AZ71" s="25"/>
      <c r="BG71" s="25"/>
      <c r="BH71" s="25"/>
      <c r="BI71" s="25"/>
      <c r="BJ71" s="25"/>
      <c r="BK71" s="25"/>
      <c r="BL71" s="25"/>
      <c r="BM71" s="25"/>
      <c r="BN71" s="25"/>
      <c r="BO71" s="25"/>
      <c r="BP71" s="25"/>
      <c r="BQ71" s="25"/>
      <c r="BR71" s="25"/>
    </row>
    <row r="72" spans="1:70">
      <c r="A72" s="13"/>
      <c r="B72" s="13"/>
      <c r="C72" s="13"/>
      <c r="D72" s="13"/>
      <c r="E72" s="13"/>
      <c r="G72" s="169"/>
      <c r="H72" s="169"/>
      <c r="I72" s="169"/>
      <c r="J72" s="169"/>
      <c r="K72" s="406"/>
      <c r="L72" s="671"/>
      <c r="N72" s="169"/>
      <c r="O72" s="169"/>
      <c r="P72" s="169"/>
      <c r="Q72" s="169"/>
      <c r="R72" s="406"/>
      <c r="S72" s="80"/>
      <c r="T72" s="169"/>
      <c r="U72" s="169"/>
      <c r="V72" s="169"/>
      <c r="W72" s="169"/>
      <c r="X72" s="407"/>
      <c r="Y72" s="169"/>
      <c r="Z72" s="169"/>
      <c r="AA72" s="169"/>
      <c r="AC72" s="169"/>
      <c r="AD72" s="169"/>
      <c r="AE72" s="169"/>
      <c r="AF72" s="169"/>
      <c r="AG72" s="169"/>
      <c r="AH72" s="1"/>
      <c r="AI72" s="169"/>
      <c r="AJ72" s="169"/>
      <c r="AK72" s="169"/>
      <c r="AL72" s="169"/>
      <c r="AM72" s="671"/>
      <c r="AN72" s="406"/>
      <c r="AU72" s="80"/>
    </row>
    <row r="73" spans="1:70">
      <c r="A73" s="13"/>
      <c r="B73" s="13"/>
      <c r="C73" s="13"/>
      <c r="D73" s="13"/>
      <c r="E73" s="13"/>
      <c r="G73" s="169"/>
      <c r="H73" s="169"/>
      <c r="I73" s="169"/>
      <c r="J73" s="169"/>
      <c r="K73" s="406"/>
      <c r="L73" s="671"/>
      <c r="N73" s="169"/>
      <c r="O73" s="169"/>
      <c r="P73" s="169"/>
      <c r="Q73" s="169"/>
      <c r="R73" s="406"/>
      <c r="S73" s="80"/>
      <c r="T73" s="169"/>
      <c r="U73" s="169"/>
      <c r="V73" s="169"/>
      <c r="W73" s="169"/>
      <c r="X73" s="407"/>
      <c r="Y73" s="169"/>
      <c r="Z73" s="169"/>
      <c r="AA73" s="169"/>
      <c r="AC73" s="169"/>
      <c r="AD73" s="169"/>
      <c r="AE73" s="169"/>
      <c r="AF73" s="169"/>
      <c r="AG73" s="169"/>
      <c r="AH73" s="1"/>
      <c r="AI73" s="169"/>
      <c r="AJ73" s="169"/>
      <c r="AK73" s="169"/>
      <c r="AL73" s="169"/>
      <c r="AM73" s="671"/>
      <c r="AN73" s="406"/>
      <c r="AU73" s="80"/>
    </row>
    <row r="74" spans="1:70" s="1185" customFormat="1" ht="60">
      <c r="A74" s="1182" t="s">
        <v>614</v>
      </c>
      <c r="B74" s="1183"/>
      <c r="C74" s="1183"/>
      <c r="D74" s="1184"/>
      <c r="E74" s="1183"/>
      <c r="G74" s="1186">
        <f>G44-G50</f>
        <v>11769031.779313654</v>
      </c>
      <c r="H74" s="1186">
        <f>H44-H50</f>
        <v>5691365.0242081545</v>
      </c>
      <c r="I74" s="1186">
        <f>I44-I50</f>
        <v>300722.05632362468</v>
      </c>
      <c r="J74" s="1186">
        <f>J44-J50</f>
        <v>612184.1860873783</v>
      </c>
      <c r="K74" s="1187">
        <f t="shared" si="95"/>
        <v>18373303.045932811</v>
      </c>
      <c r="L74" s="1188"/>
      <c r="M74" s="1188"/>
      <c r="N74" s="1186">
        <f>N44-N50</f>
        <v>52897943.912893027</v>
      </c>
      <c r="O74" s="1186">
        <f>O44-O50</f>
        <v>22734005.698276524</v>
      </c>
      <c r="P74" s="1186">
        <f>P44-P50</f>
        <v>1234246.6932201225</v>
      </c>
      <c r="Q74" s="1186">
        <f>Q44-Q50</f>
        <v>2512573.6254838202</v>
      </c>
      <c r="R74" s="1187">
        <f t="shared" ref="R74" si="146">SUM(N74:Q74)</f>
        <v>79378769.929873496</v>
      </c>
      <c r="S74" s="1188"/>
      <c r="T74" s="1186">
        <f>T44-T50</f>
        <v>12763302.359745238</v>
      </c>
      <c r="U74" s="1186">
        <f>U44-U50</f>
        <v>5442420.4824364334</v>
      </c>
      <c r="V74" s="1186">
        <f>V44-V50</f>
        <v>296752.64472390735</v>
      </c>
      <c r="W74" s="1186">
        <f>W44-W50</f>
        <v>604103.59818795417</v>
      </c>
      <c r="X74" s="1187">
        <f t="shared" ref="X74" si="147">SUM(T74:W74)</f>
        <v>19106579.085093532</v>
      </c>
      <c r="Y74" s="1189"/>
      <c r="Z74" s="1189"/>
      <c r="AA74" s="1189"/>
      <c r="AB74" s="1188"/>
      <c r="AC74" s="1186">
        <f>AC44-AC50</f>
        <v>11056397.330705008</v>
      </c>
      <c r="AD74" s="1186">
        <f>AD44-AD50</f>
        <v>4299123.597491446</v>
      </c>
      <c r="AE74" s="1186">
        <f>AE44-AE50</f>
        <v>246907.93641820707</v>
      </c>
      <c r="AF74" s="1186">
        <f>AF44-AF50</f>
        <v>502634.01342277875</v>
      </c>
      <c r="AG74" s="1190">
        <f t="shared" si="76"/>
        <v>16105062.878037438</v>
      </c>
      <c r="AH74" s="1191"/>
      <c r="AI74" s="1186">
        <f>AI44-AI50</f>
        <v>7499950.9872896951</v>
      </c>
      <c r="AJ74" s="1186">
        <f>AJ44-AJ50</f>
        <v>5081638.7628738917</v>
      </c>
      <c r="AK74" s="1186">
        <f>AK44-AK50</f>
        <v>220433.20447547245</v>
      </c>
      <c r="AL74" s="1186">
        <f>AL44-AL50</f>
        <v>448739.02339649753</v>
      </c>
      <c r="AM74" s="1192">
        <f t="shared" ref="AM74" si="148">SUM(AI74:AL74)</f>
        <v>13250761.978035556</v>
      </c>
      <c r="AN74" s="1187">
        <f>AM74+AG74</f>
        <v>29355824.856072992</v>
      </c>
      <c r="AO74" s="1188"/>
      <c r="AP74" s="1188"/>
      <c r="AQ74" s="1188"/>
      <c r="AR74" s="1188"/>
      <c r="AS74" s="1188"/>
      <c r="AT74" s="1188"/>
      <c r="AU74" s="1188"/>
      <c r="AV74" s="1188"/>
      <c r="AW74" s="1188"/>
      <c r="AX74" s="1188"/>
      <c r="AY74" s="1188"/>
      <c r="AZ74" s="1188"/>
      <c r="BG74" s="1188"/>
      <c r="BH74" s="1188"/>
      <c r="BI74" s="1188"/>
      <c r="BJ74" s="1188"/>
      <c r="BK74" s="1188"/>
      <c r="BL74" s="1188"/>
      <c r="BM74" s="1188"/>
      <c r="BN74" s="1188"/>
      <c r="BO74" s="1188"/>
      <c r="BP74" s="1188"/>
      <c r="BQ74" s="1188"/>
      <c r="BR74" s="1188"/>
    </row>
    <row r="75" spans="1:70">
      <c r="G75" s="139"/>
      <c r="AN75" s="406"/>
    </row>
    <row r="76" spans="1:70" s="679" customFormat="1" ht="60">
      <c r="A76" s="568" t="s">
        <v>613</v>
      </c>
      <c r="B76" s="932"/>
      <c r="C76" s="932"/>
      <c r="D76" s="1065"/>
      <c r="E76" s="932"/>
      <c r="G76" s="492">
        <f>G19*G139</f>
        <v>0</v>
      </c>
      <c r="H76" s="492">
        <f>H19*H139</f>
        <v>0</v>
      </c>
      <c r="I76" s="492">
        <f>I6*I139</f>
        <v>5200000.0000000093</v>
      </c>
      <c r="J76" s="492">
        <f>J6*J139</f>
        <v>49320000</v>
      </c>
      <c r="K76" s="674">
        <f>SUM(G76:J76)</f>
        <v>54520000.000000007</v>
      </c>
      <c r="L76" s="677"/>
      <c r="M76" s="493"/>
      <c r="N76" s="492">
        <f>N21*N140</f>
        <v>31734787.267364468</v>
      </c>
      <c r="O76" s="492">
        <f>O21*O140</f>
        <v>13256303.542063639</v>
      </c>
      <c r="P76" s="492">
        <f>P6*P139</f>
        <v>6240000.0000000112</v>
      </c>
      <c r="Q76" s="492">
        <f>Q6*Q139</f>
        <v>59184000</v>
      </c>
      <c r="R76" s="674">
        <f>SUM(N76:Q76)</f>
        <v>110415090.80942813</v>
      </c>
      <c r="S76" s="494"/>
      <c r="T76" s="492">
        <f>T21*T140</f>
        <v>5522225.9925347818</v>
      </c>
      <c r="U76" s="492">
        <f>U21*U140</f>
        <v>2306752.6297930097</v>
      </c>
      <c r="V76" s="492">
        <f>V6*V139</f>
        <v>6240000.0000000112</v>
      </c>
      <c r="W76" s="492">
        <f>W6*W139</f>
        <v>59184000</v>
      </c>
      <c r="X76" s="674">
        <f>SUM(T76:W76)</f>
        <v>73252978.622327805</v>
      </c>
      <c r="Y76" s="677"/>
      <c r="Z76" s="677"/>
      <c r="AA76" s="677"/>
      <c r="AB76" s="493"/>
      <c r="AC76" s="492">
        <f>AC21*AC140</f>
        <v>4898646.0784317264</v>
      </c>
      <c r="AD76" s="492">
        <f>AD21*AD140</f>
        <v>1904769.1867095632</v>
      </c>
      <c r="AE76" s="492">
        <f>AE6*AE139</f>
        <v>5365665.4744956521</v>
      </c>
      <c r="AF76" s="492">
        <f>AF6*AF139</f>
        <v>50891273.308100976</v>
      </c>
      <c r="AG76" s="677">
        <f>SUM(AC76:AF76)</f>
        <v>63060354.047737919</v>
      </c>
      <c r="AH76" s="691"/>
      <c r="AI76" s="492">
        <f>AI21*AI140</f>
        <v>3583550.5365071753</v>
      </c>
      <c r="AJ76" s="492">
        <f>AJ21*AJ140</f>
        <v>2310093.6232057959</v>
      </c>
      <c r="AK76" s="492">
        <f>AK6*AK139</f>
        <v>874334.52550435893</v>
      </c>
      <c r="AL76" s="492">
        <f>AL6*AL139</f>
        <v>8292726.6918990249</v>
      </c>
      <c r="AM76" s="689">
        <f>SUM(AI76:AL76)</f>
        <v>15060705.377116356</v>
      </c>
      <c r="AN76" s="674">
        <f>AM76+AG76</f>
        <v>78121059.424854279</v>
      </c>
      <c r="AO76" s="493"/>
      <c r="AP76" s="493"/>
      <c r="AQ76" s="493"/>
      <c r="AR76" s="493"/>
      <c r="AS76" s="493"/>
      <c r="AT76" s="493"/>
      <c r="AU76" s="494"/>
      <c r="AV76" s="493"/>
      <c r="AW76" s="493"/>
      <c r="AX76" s="493"/>
      <c r="AY76" s="493"/>
      <c r="AZ76" s="493"/>
      <c r="BG76" s="493"/>
      <c r="BH76" s="493"/>
      <c r="BI76" s="493"/>
      <c r="BJ76" s="493"/>
      <c r="BK76" s="493"/>
      <c r="BL76" s="493"/>
      <c r="BM76" s="493"/>
      <c r="BN76" s="493"/>
      <c r="BO76" s="493"/>
      <c r="BP76" s="493"/>
      <c r="BQ76" s="493"/>
      <c r="BR76" s="493"/>
    </row>
    <row r="77" spans="1:70">
      <c r="G77" s="139"/>
      <c r="AN77" s="406"/>
    </row>
    <row r="78" spans="1:70" s="727" customFormat="1" ht="21" thickBot="1">
      <c r="A78" s="569" t="s">
        <v>612</v>
      </c>
      <c r="B78" s="933"/>
      <c r="C78" s="933"/>
      <c r="D78" s="1067"/>
      <c r="E78" s="933"/>
      <c r="G78" s="571">
        <f>G74+G76</f>
        <v>11769031.779313654</v>
      </c>
      <c r="H78" s="571">
        <f>H74+H76</f>
        <v>5691365.0242081545</v>
      </c>
      <c r="I78" s="571">
        <f>I74+I76</f>
        <v>5500722.0563236345</v>
      </c>
      <c r="J78" s="571">
        <f>J74+J76</f>
        <v>49932184.186087377</v>
      </c>
      <c r="K78" s="874">
        <f>SUM(G78:J78)</f>
        <v>72893303.045932829</v>
      </c>
      <c r="L78" s="574"/>
      <c r="M78" s="574"/>
      <c r="N78" s="571">
        <f>N74+N76</f>
        <v>84632731.180257499</v>
      </c>
      <c r="O78" s="571">
        <f>O74+O76</f>
        <v>35990309.240340158</v>
      </c>
      <c r="P78" s="571">
        <f>P74+P76</f>
        <v>7474246.6932201339</v>
      </c>
      <c r="Q78" s="571">
        <f>Q74+Q76</f>
        <v>61696573.625483818</v>
      </c>
      <c r="R78" s="874">
        <f>SUM(N78:Q78)</f>
        <v>189793860.73930162</v>
      </c>
      <c r="S78" s="575"/>
      <c r="T78" s="571">
        <f>T74+T76</f>
        <v>18285528.352280021</v>
      </c>
      <c r="U78" s="571">
        <f>U74+U76</f>
        <v>7749173.1122294432</v>
      </c>
      <c r="V78" s="571">
        <f>V74+V76</f>
        <v>6536752.6447239183</v>
      </c>
      <c r="W78" s="571">
        <f>W74+W76</f>
        <v>59788103.598187953</v>
      </c>
      <c r="X78" s="874">
        <f>SUM(T78:W78)</f>
        <v>92359557.707421333</v>
      </c>
      <c r="Y78" s="872"/>
      <c r="Z78" s="872"/>
      <c r="AA78" s="872"/>
      <c r="AB78" s="574"/>
      <c r="AC78" s="571">
        <f>AC74+AC76</f>
        <v>15955043.409136735</v>
      </c>
      <c r="AD78" s="571">
        <f>AD74+AD76</f>
        <v>6203892.7842010092</v>
      </c>
      <c r="AE78" s="571">
        <f>AE74+AE76</f>
        <v>5612573.4109138595</v>
      </c>
      <c r="AF78" s="571">
        <f>AF74+AF76</f>
        <v>51393907.321523756</v>
      </c>
      <c r="AG78" s="869">
        <f>SUM(AC78:AF78)</f>
        <v>79165416.925775364</v>
      </c>
      <c r="AH78" s="692"/>
      <c r="AI78" s="571">
        <f>AI74+AI76</f>
        <v>11083501.523796871</v>
      </c>
      <c r="AJ78" s="571">
        <f>AJ74+AJ76</f>
        <v>7391732.3860796876</v>
      </c>
      <c r="AK78" s="571">
        <f>AK74+AK76</f>
        <v>1094767.7299798313</v>
      </c>
      <c r="AL78" s="571">
        <f>AL74+AL76</f>
        <v>8741465.7152955215</v>
      </c>
      <c r="AM78" s="870">
        <f>SUM(AI78:AL78)</f>
        <v>28311467.355151914</v>
      </c>
      <c r="AN78" s="874">
        <f>AM78+AG78</f>
        <v>107476884.28092727</v>
      </c>
      <c r="AO78" s="574"/>
      <c r="AP78" s="574"/>
      <c r="AQ78" s="574"/>
      <c r="AR78" s="574"/>
      <c r="AS78" s="574"/>
      <c r="AT78" s="574"/>
      <c r="AU78" s="575"/>
      <c r="AV78" s="574"/>
      <c r="AW78" s="574"/>
      <c r="AX78" s="574"/>
      <c r="AY78" s="574"/>
      <c r="AZ78" s="574"/>
      <c r="BG78" s="574"/>
      <c r="BH78" s="574"/>
      <c r="BI78" s="574"/>
      <c r="BJ78" s="574"/>
      <c r="BK78" s="574"/>
      <c r="BL78" s="574"/>
      <c r="BM78" s="574"/>
      <c r="BN78" s="574"/>
      <c r="BO78" s="574"/>
      <c r="BP78" s="574"/>
      <c r="BQ78" s="574"/>
      <c r="BR78" s="574"/>
    </row>
    <row r="79" spans="1:70">
      <c r="R79" s="1244">
        <f>R78/K78</f>
        <v>2.6037215053858285</v>
      </c>
    </row>
    <row r="80" spans="1:70">
      <c r="K80" s="407"/>
      <c r="L80" s="169"/>
      <c r="R80" s="1246">
        <f>(R78-K78)/K78</f>
        <v>1.6037215053858285</v>
      </c>
      <c r="S80" s="939"/>
    </row>
    <row r="81" spans="1:70" s="425" customFormat="1" ht="20">
      <c r="A81" s="558" t="s">
        <v>295</v>
      </c>
      <c r="B81" s="355"/>
      <c r="C81" s="355"/>
      <c r="D81" s="1068"/>
      <c r="E81" s="355"/>
      <c r="F81" s="452"/>
      <c r="G81" s="355"/>
      <c r="H81" s="355"/>
      <c r="I81" s="355"/>
      <c r="J81" s="355"/>
      <c r="K81" s="498"/>
      <c r="L81" s="355"/>
      <c r="M81" s="43"/>
      <c r="N81" s="43"/>
      <c r="O81" s="43"/>
      <c r="P81" s="43"/>
      <c r="Q81" s="43"/>
      <c r="R81" s="503"/>
      <c r="S81" s="43"/>
      <c r="T81" s="43"/>
      <c r="U81" s="43"/>
      <c r="V81" s="43"/>
      <c r="W81" s="43"/>
      <c r="X81" s="503"/>
      <c r="Y81" s="43"/>
      <c r="Z81" s="43"/>
      <c r="AA81" s="43"/>
      <c r="AB81" s="355"/>
      <c r="AC81" s="355"/>
      <c r="AD81" s="355"/>
      <c r="AE81" s="355"/>
      <c r="AF81" s="355"/>
      <c r="AG81" s="355"/>
      <c r="AH81" s="820"/>
      <c r="AI81" s="355"/>
      <c r="AJ81" s="355"/>
      <c r="AK81" s="355"/>
      <c r="AL81" s="355"/>
      <c r="AM81" s="821"/>
      <c r="AN81" s="498"/>
      <c r="AO81" s="355"/>
      <c r="AP81" s="355"/>
      <c r="AQ81" s="355"/>
      <c r="AR81" s="355"/>
      <c r="AS81" s="355"/>
      <c r="AT81" s="355"/>
      <c r="AU81" s="43"/>
      <c r="AV81" s="43"/>
      <c r="AW81" s="43"/>
      <c r="AX81" s="43"/>
      <c r="AY81" s="43"/>
      <c r="AZ81" s="43"/>
      <c r="BG81" s="43"/>
      <c r="BH81" s="43"/>
      <c r="BI81" s="43"/>
      <c r="BJ81" s="43"/>
      <c r="BK81" s="43"/>
      <c r="BL81" s="43"/>
      <c r="BM81" s="43"/>
      <c r="BN81" s="43"/>
      <c r="BO81" s="43"/>
      <c r="BP81" s="43"/>
      <c r="BQ81" s="43"/>
      <c r="BR81" s="43"/>
    </row>
    <row r="82" spans="1:70" s="418" customFormat="1" ht="20" hidden="1" outlineLevel="1">
      <c r="A82" s="1041" t="s">
        <v>332</v>
      </c>
      <c r="B82" s="417"/>
      <c r="C82" s="417"/>
      <c r="D82" s="1069"/>
      <c r="E82" s="417"/>
      <c r="G82" s="419"/>
      <c r="H82" s="420"/>
      <c r="I82" s="420"/>
      <c r="J82" s="420"/>
      <c r="K82" s="500"/>
      <c r="L82" s="420"/>
      <c r="M82" s="421"/>
      <c r="N82" s="421"/>
      <c r="O82" s="421"/>
      <c r="P82" s="421"/>
      <c r="Q82" s="421"/>
      <c r="R82" s="531"/>
      <c r="S82" s="421"/>
      <c r="T82" s="420"/>
      <c r="U82" s="420"/>
      <c r="V82" s="420"/>
      <c r="W82" s="420"/>
      <c r="X82" s="500"/>
      <c r="Y82" s="420"/>
      <c r="Z82" s="420"/>
      <c r="AA82" s="420"/>
      <c r="AB82" s="420"/>
      <c r="AC82" s="420"/>
      <c r="AD82" s="420"/>
      <c r="AE82" s="420"/>
      <c r="AF82" s="420"/>
      <c r="AG82" s="420"/>
      <c r="AH82" s="822"/>
      <c r="AI82" s="420"/>
      <c r="AJ82" s="420"/>
      <c r="AK82" s="420"/>
      <c r="AL82" s="420"/>
      <c r="AM82" s="823"/>
      <c r="AN82" s="500"/>
      <c r="AO82" s="417"/>
      <c r="AP82" s="417"/>
      <c r="AQ82" s="417"/>
      <c r="AR82" s="417"/>
      <c r="AS82" s="417"/>
      <c r="AT82" s="417"/>
      <c r="AU82" s="421"/>
      <c r="AV82" s="421"/>
      <c r="AW82" s="421"/>
      <c r="AX82" s="421"/>
      <c r="AY82" s="421"/>
      <c r="AZ82" s="421"/>
      <c r="BG82" s="421"/>
      <c r="BH82" s="421"/>
      <c r="BI82" s="421"/>
      <c r="BJ82" s="421"/>
      <c r="BK82" s="421"/>
      <c r="BL82" s="421"/>
      <c r="BM82" s="421"/>
      <c r="BN82" s="421"/>
      <c r="BO82" s="421"/>
      <c r="BP82" s="421"/>
      <c r="BQ82" s="421"/>
      <c r="BR82" s="421"/>
    </row>
    <row r="83" spans="1:70" s="801" customFormat="1" hidden="1" outlineLevel="1">
      <c r="A83" s="1042" t="s">
        <v>507</v>
      </c>
      <c r="B83" s="934"/>
      <c r="C83" s="934"/>
      <c r="D83" s="1070"/>
      <c r="E83" s="934"/>
      <c r="G83" s="802"/>
      <c r="H83" s="803"/>
      <c r="I83" s="803"/>
      <c r="J83" s="803"/>
      <c r="K83" s="804"/>
      <c r="L83" s="803"/>
      <c r="M83" s="806"/>
      <c r="N83" s="806"/>
      <c r="O83" s="806"/>
      <c r="P83" s="806"/>
      <c r="Q83" s="806"/>
      <c r="R83" s="807"/>
      <c r="S83" s="806"/>
      <c r="T83" s="803"/>
      <c r="U83" s="803"/>
      <c r="V83" s="803"/>
      <c r="W83" s="803"/>
      <c r="X83" s="804"/>
      <c r="Y83" s="803"/>
      <c r="Z83" s="803"/>
      <c r="AA83" s="803"/>
      <c r="AB83" s="803"/>
      <c r="AC83" s="803"/>
      <c r="AD83" s="803"/>
      <c r="AE83" s="803"/>
      <c r="AF83" s="803"/>
      <c r="AG83" s="803"/>
      <c r="AH83" s="824"/>
      <c r="AI83" s="803"/>
      <c r="AJ83" s="803"/>
      <c r="AK83" s="803"/>
      <c r="AL83" s="803"/>
      <c r="AM83" s="825"/>
      <c r="AN83" s="804"/>
      <c r="AO83" s="809"/>
      <c r="AP83" s="809"/>
      <c r="AQ83" s="809"/>
      <c r="AR83" s="809"/>
      <c r="AS83" s="809"/>
      <c r="AT83" s="809"/>
      <c r="AU83" s="806"/>
      <c r="AV83" s="806"/>
      <c r="AW83" s="806"/>
      <c r="AX83" s="806"/>
      <c r="AY83" s="806"/>
      <c r="AZ83" s="806"/>
      <c r="BG83" s="806"/>
      <c r="BH83" s="806"/>
      <c r="BI83" s="806"/>
      <c r="BJ83" s="806"/>
      <c r="BK83" s="806"/>
      <c r="BL83" s="806"/>
      <c r="BM83" s="806"/>
      <c r="BN83" s="806"/>
      <c r="BO83" s="806"/>
      <c r="BP83" s="806"/>
      <c r="BQ83" s="806"/>
      <c r="BR83" s="806"/>
    </row>
    <row r="84" spans="1:70" ht="60" hidden="1" outlineLevel="1">
      <c r="A84" s="161" t="s">
        <v>422</v>
      </c>
      <c r="B84" s="13"/>
      <c r="C84" s="13"/>
      <c r="D84" s="1066"/>
      <c r="E84" s="13"/>
      <c r="F84" s="61"/>
      <c r="G84" s="344" t="s">
        <v>403</v>
      </c>
      <c r="H84" s="13"/>
      <c r="I84" s="13"/>
      <c r="J84" s="13"/>
      <c r="K84" s="297"/>
      <c r="L84" s="13"/>
      <c r="N84" s="344" t="s">
        <v>403</v>
      </c>
      <c r="T84" s="344" t="s">
        <v>403</v>
      </c>
      <c r="AB84" s="13"/>
      <c r="AC84" s="13"/>
      <c r="AD84" s="13"/>
      <c r="AE84" s="13"/>
      <c r="AF84" s="13"/>
      <c r="AG84" s="13"/>
      <c r="AH84" s="826"/>
      <c r="AI84" s="13"/>
      <c r="AJ84" s="13"/>
      <c r="AK84" s="13"/>
      <c r="AL84" s="13"/>
      <c r="AM84" s="614"/>
      <c r="AN84" s="297"/>
      <c r="AO84" s="13"/>
      <c r="AP84" s="13"/>
      <c r="AQ84" s="13"/>
      <c r="AR84" s="13"/>
      <c r="AS84" s="13"/>
      <c r="AT84" s="13"/>
    </row>
    <row r="85" spans="1:70" hidden="1" outlineLevel="1">
      <c r="A85" s="1043" t="s">
        <v>327</v>
      </c>
      <c r="B85" s="2"/>
      <c r="C85" s="2"/>
      <c r="D85" s="1061"/>
      <c r="E85" s="2"/>
      <c r="F85" s="61"/>
      <c r="G85" s="764">
        <f>'База селлеров'!B38</f>
        <v>1.0916349572702888E-4</v>
      </c>
      <c r="H85" s="408">
        <f>'База селлеров'!C38</f>
        <v>1.7230576441102756E-3</v>
      </c>
      <c r="I85" s="408">
        <f>'База селлеров'!D38</f>
        <v>8.2468141254904686E-4</v>
      </c>
      <c r="J85" s="408">
        <f>'База селлеров'!E38</f>
        <v>8.2468141254904686E-4</v>
      </c>
      <c r="K85" s="468"/>
      <c r="L85" s="13"/>
      <c r="N85" s="408">
        <f t="shared" ref="N85:Q89" si="149">G85</f>
        <v>1.0916349572702888E-4</v>
      </c>
      <c r="O85" s="409">
        <f t="shared" si="149"/>
        <v>1.7230576441102756E-3</v>
      </c>
      <c r="P85" s="409">
        <f t="shared" si="149"/>
        <v>8.2468141254904686E-4</v>
      </c>
      <c r="Q85" s="410">
        <f t="shared" si="149"/>
        <v>8.2468141254904686E-4</v>
      </c>
      <c r="T85" s="408">
        <f t="shared" ref="T85:W89" si="150">N85</f>
        <v>1.0916349572702888E-4</v>
      </c>
      <c r="U85" s="409">
        <f t="shared" si="150"/>
        <v>1.7230576441102756E-3</v>
      </c>
      <c r="V85" s="409">
        <f t="shared" si="150"/>
        <v>8.2468141254904686E-4</v>
      </c>
      <c r="W85" s="410">
        <f t="shared" si="150"/>
        <v>8.2468141254904686E-4</v>
      </c>
      <c r="AB85" s="13"/>
      <c r="AC85" s="408">
        <v>0</v>
      </c>
      <c r="AD85" s="409">
        <v>0</v>
      </c>
      <c r="AE85" s="409">
        <v>0</v>
      </c>
      <c r="AF85" s="410">
        <v>0</v>
      </c>
      <c r="AG85" s="13"/>
      <c r="AH85" s="826"/>
      <c r="AI85" s="1160">
        <f>T85/(T85+T86+T87)</f>
        <v>9.6671730423974599E-4</v>
      </c>
      <c r="AJ85" s="1161">
        <f>U85/(U85+U86+U87)</f>
        <v>9.8876404494382016E-3</v>
      </c>
      <c r="AK85" s="1161">
        <f>V85/(V85+V86+V87)</f>
        <v>5.8856328604175697E-3</v>
      </c>
      <c r="AL85" s="1162">
        <f>W85/(W85+W86+W87)</f>
        <v>5.8856328604175697E-3</v>
      </c>
      <c r="AM85" s="614"/>
      <c r="AN85" s="297"/>
      <c r="AO85" s="13"/>
      <c r="AP85" s="13"/>
      <c r="AQ85" s="13"/>
      <c r="AR85" s="13"/>
      <c r="AS85" s="13"/>
      <c r="AT85" s="13"/>
    </row>
    <row r="86" spans="1:70" hidden="1" outlineLevel="1">
      <c r="A86" s="436" t="s">
        <v>429</v>
      </c>
      <c r="B86" s="2"/>
      <c r="C86" s="2"/>
      <c r="D86" s="1061"/>
      <c r="E86" s="2"/>
      <c r="G86" s="402">
        <f>'База селлеров'!B39</f>
        <v>7.5010916349572705E-3</v>
      </c>
      <c r="H86" s="362">
        <f>'База селлеров'!C39</f>
        <v>2.0520050125313282E-2</v>
      </c>
      <c r="I86" s="362">
        <f>'База селлеров'!D39</f>
        <v>1.3273030313552554E-2</v>
      </c>
      <c r="J86" s="362">
        <f>I86</f>
        <v>1.3273030313552554E-2</v>
      </c>
      <c r="K86" s="297"/>
      <c r="L86" s="13"/>
      <c r="N86" s="283">
        <f t="shared" si="149"/>
        <v>7.5010916349572705E-3</v>
      </c>
      <c r="O86" s="74">
        <f t="shared" si="149"/>
        <v>2.0520050125313282E-2</v>
      </c>
      <c r="P86" s="74">
        <f t="shared" si="149"/>
        <v>1.3273030313552554E-2</v>
      </c>
      <c r="Q86" s="289">
        <f t="shared" si="149"/>
        <v>1.3273030313552554E-2</v>
      </c>
      <c r="R86" s="532"/>
      <c r="S86" s="2"/>
      <c r="T86" s="283">
        <f t="shared" si="150"/>
        <v>7.5010916349572705E-3</v>
      </c>
      <c r="U86" s="74">
        <f t="shared" si="150"/>
        <v>2.0520050125313282E-2</v>
      </c>
      <c r="V86" s="74">
        <f t="shared" si="150"/>
        <v>1.3273030313552554E-2</v>
      </c>
      <c r="W86" s="289">
        <f t="shared" si="150"/>
        <v>1.3273030313552554E-2</v>
      </c>
      <c r="AC86" s="283">
        <v>0</v>
      </c>
      <c r="AD86" s="74">
        <v>0</v>
      </c>
      <c r="AE86" s="74">
        <v>0</v>
      </c>
      <c r="AF86" s="289">
        <v>0</v>
      </c>
      <c r="AI86" s="1163">
        <f>T86/(T85+T86+T87)</f>
        <v>6.6427289048473975E-2</v>
      </c>
      <c r="AJ86" s="1164">
        <f>U86/(U85+U86+U87)</f>
        <v>0.11775280898876403</v>
      </c>
      <c r="AK86" s="1164">
        <f>V86/(V85+V86+V87)</f>
        <v>9.4727712037668041E-2</v>
      </c>
      <c r="AL86" s="1165">
        <f>W86/(W85+W86+W87)</f>
        <v>9.4727712037668041E-2</v>
      </c>
      <c r="AO86" s="2"/>
      <c r="AP86" s="2"/>
      <c r="AQ86" s="2"/>
      <c r="AR86" s="2"/>
      <c r="AS86" s="2"/>
      <c r="AT86" s="2"/>
    </row>
    <row r="87" spans="1:70" hidden="1" outlineLevel="1">
      <c r="A87" s="436" t="s">
        <v>65</v>
      </c>
      <c r="B87" s="2"/>
      <c r="C87" s="2"/>
      <c r="D87" s="1061"/>
      <c r="E87" s="2"/>
      <c r="G87" s="402">
        <f>'База селлеров'!B40</f>
        <v>0.10531158380637515</v>
      </c>
      <c r="H87" s="362">
        <f>'База селлеров'!C40</f>
        <v>0.15202067669172933</v>
      </c>
      <c r="I87" s="362">
        <f>'База селлеров'!D40</f>
        <v>0.12602000069446856</v>
      </c>
      <c r="J87" s="362">
        <f>'База селлеров'!E40</f>
        <v>0.12602000069446856</v>
      </c>
      <c r="K87" s="297"/>
      <c r="L87" s="13"/>
      <c r="N87" s="283">
        <f t="shared" si="149"/>
        <v>0.10531158380637515</v>
      </c>
      <c r="O87" s="74">
        <f t="shared" si="149"/>
        <v>0.15202067669172933</v>
      </c>
      <c r="P87" s="74">
        <f t="shared" si="149"/>
        <v>0.12602000069446856</v>
      </c>
      <c r="Q87" s="289">
        <f t="shared" si="149"/>
        <v>0.12602000069446856</v>
      </c>
      <c r="R87" s="532"/>
      <c r="S87" s="2"/>
      <c r="T87" s="283">
        <f t="shared" si="150"/>
        <v>0.10531158380637515</v>
      </c>
      <c r="U87" s="74">
        <f t="shared" si="150"/>
        <v>0.15202067669172933</v>
      </c>
      <c r="V87" s="74">
        <f t="shared" si="150"/>
        <v>0.12602000069446856</v>
      </c>
      <c r="W87" s="289">
        <f t="shared" si="150"/>
        <v>0.12602000069446856</v>
      </c>
      <c r="AC87" s="283">
        <v>0</v>
      </c>
      <c r="AD87" s="74">
        <v>0</v>
      </c>
      <c r="AE87" s="74">
        <v>0</v>
      </c>
      <c r="AF87" s="289">
        <v>0</v>
      </c>
      <c r="AI87" s="1163">
        <f>T87/(T85+T86+T87)</f>
        <v>0.93260599364728636</v>
      </c>
      <c r="AJ87" s="1164">
        <f>U87/(U85+U86+U87)</f>
        <v>0.8723595505617977</v>
      </c>
      <c r="AK87" s="1164">
        <f>V87/(V85+V86+V87)</f>
        <v>0.89938665510191429</v>
      </c>
      <c r="AL87" s="1165">
        <f>W87/(W85+W86+W87)</f>
        <v>0.89938665510191429</v>
      </c>
      <c r="AO87" s="2"/>
      <c r="AP87" s="2"/>
      <c r="AQ87" s="2"/>
      <c r="AR87" s="2"/>
      <c r="AS87" s="2"/>
      <c r="AT87" s="2"/>
    </row>
    <row r="88" spans="1:70" hidden="1" outlineLevel="1">
      <c r="A88" s="436" t="s">
        <v>66</v>
      </c>
      <c r="B88" s="2"/>
      <c r="C88" s="2"/>
      <c r="D88" s="1061"/>
      <c r="E88" s="2"/>
      <c r="G88" s="402">
        <f>'База селлеров'!B41</f>
        <v>0.88707816106294057</v>
      </c>
      <c r="H88" s="362">
        <f>'База селлеров'!C41</f>
        <v>0.82573621553884713</v>
      </c>
      <c r="I88" s="362">
        <f>'База селлеров'!D41</f>
        <v>0.85988228757942986</v>
      </c>
      <c r="J88" s="362">
        <f>'База селлеров'!E41</f>
        <v>0.85988228757942986</v>
      </c>
      <c r="K88" s="297"/>
      <c r="L88" s="13"/>
      <c r="N88" s="283">
        <f t="shared" si="149"/>
        <v>0.88707816106294057</v>
      </c>
      <c r="O88" s="74">
        <f t="shared" si="149"/>
        <v>0.82573621553884713</v>
      </c>
      <c r="P88" s="74">
        <f t="shared" si="149"/>
        <v>0.85988228757942986</v>
      </c>
      <c r="Q88" s="289">
        <f t="shared" si="149"/>
        <v>0.85988228757942986</v>
      </c>
      <c r="R88" s="532"/>
      <c r="S88" s="2"/>
      <c r="T88" s="283">
        <f t="shared" si="150"/>
        <v>0.88707816106294057</v>
      </c>
      <c r="U88" s="74">
        <f t="shared" si="150"/>
        <v>0.82573621553884713</v>
      </c>
      <c r="V88" s="74">
        <f t="shared" si="150"/>
        <v>0.85988228757942986</v>
      </c>
      <c r="W88" s="289">
        <f t="shared" si="150"/>
        <v>0.85988228757942986</v>
      </c>
      <c r="AC88" s="283">
        <v>1</v>
      </c>
      <c r="AD88" s="74">
        <v>1</v>
      </c>
      <c r="AE88" s="74">
        <v>1</v>
      </c>
      <c r="AF88" s="289">
        <v>1</v>
      </c>
      <c r="AI88" s="283">
        <v>0</v>
      </c>
      <c r="AJ88" s="74">
        <v>0</v>
      </c>
      <c r="AK88" s="74">
        <v>0</v>
      </c>
      <c r="AL88" s="289">
        <v>0</v>
      </c>
      <c r="AO88" s="2"/>
      <c r="AP88" s="2"/>
      <c r="AQ88" s="2"/>
      <c r="AR88" s="2"/>
      <c r="AS88" s="2"/>
      <c r="AT88" s="2"/>
    </row>
    <row r="89" spans="1:70" hidden="1" outlineLevel="1">
      <c r="A89" s="436" t="s">
        <v>328</v>
      </c>
      <c r="B89" s="2"/>
      <c r="C89" s="2"/>
      <c r="D89" s="1061"/>
      <c r="E89" s="2"/>
      <c r="G89" s="643">
        <v>0</v>
      </c>
      <c r="H89" s="644">
        <v>0</v>
      </c>
      <c r="I89" s="644">
        <v>0</v>
      </c>
      <c r="J89" s="644">
        <v>0</v>
      </c>
      <c r="K89" s="297"/>
      <c r="L89" s="13"/>
      <c r="N89" s="283">
        <f t="shared" si="149"/>
        <v>0</v>
      </c>
      <c r="O89" s="74">
        <f t="shared" si="149"/>
        <v>0</v>
      </c>
      <c r="P89" s="74">
        <f t="shared" si="149"/>
        <v>0</v>
      </c>
      <c r="Q89" s="289">
        <f t="shared" si="149"/>
        <v>0</v>
      </c>
      <c r="R89" s="532"/>
      <c r="S89" s="2"/>
      <c r="T89" s="283">
        <f t="shared" si="150"/>
        <v>0</v>
      </c>
      <c r="U89" s="74">
        <f t="shared" si="150"/>
        <v>0</v>
      </c>
      <c r="V89" s="74">
        <f t="shared" si="150"/>
        <v>0</v>
      </c>
      <c r="W89" s="289">
        <f t="shared" si="150"/>
        <v>0</v>
      </c>
      <c r="AC89" s="283">
        <v>0</v>
      </c>
      <c r="AD89" s="74">
        <v>0</v>
      </c>
      <c r="AE89" s="74">
        <v>0</v>
      </c>
      <c r="AF89" s="289">
        <v>0</v>
      </c>
      <c r="AI89" s="283">
        <f t="shared" ref="AI89" si="151">AC89</f>
        <v>0</v>
      </c>
      <c r="AJ89" s="74">
        <f>AD89</f>
        <v>0</v>
      </c>
      <c r="AK89" s="74">
        <f t="shared" ref="AK89:AL89" si="152">AE89</f>
        <v>0</v>
      </c>
      <c r="AL89" s="289">
        <f t="shared" si="152"/>
        <v>0</v>
      </c>
      <c r="AO89" s="2"/>
      <c r="AP89" s="2"/>
      <c r="AQ89" s="2"/>
      <c r="AR89" s="2"/>
      <c r="AS89" s="2"/>
      <c r="AT89" s="2"/>
    </row>
    <row r="90" spans="1:70" hidden="1" outlineLevel="1">
      <c r="A90" s="1044"/>
      <c r="B90" s="2"/>
      <c r="C90" s="2"/>
      <c r="D90" s="1061"/>
      <c r="E90" s="2"/>
      <c r="G90" s="403"/>
      <c r="H90" s="404"/>
      <c r="I90" s="424"/>
      <c r="J90" s="404"/>
      <c r="K90" s="501"/>
      <c r="L90" s="362"/>
      <c r="N90" s="286"/>
      <c r="O90" s="287"/>
      <c r="P90" s="287"/>
      <c r="Q90" s="288"/>
      <c r="S90" s="2"/>
      <c r="T90" s="286"/>
      <c r="U90" s="287"/>
      <c r="V90" s="287"/>
      <c r="W90" s="288"/>
      <c r="AC90" s="286"/>
      <c r="AD90" s="287"/>
      <c r="AE90" s="287"/>
      <c r="AF90" s="288"/>
      <c r="AI90" s="286"/>
      <c r="AJ90" s="287"/>
      <c r="AK90" s="287"/>
      <c r="AL90" s="288"/>
      <c r="AO90" s="2"/>
      <c r="AP90" s="2"/>
      <c r="AQ90" s="2"/>
      <c r="AR90" s="2"/>
      <c r="AS90" s="2"/>
      <c r="AT90" s="2"/>
    </row>
    <row r="91" spans="1:70" hidden="1" outlineLevel="1">
      <c r="A91" s="161"/>
      <c r="B91" s="13"/>
      <c r="C91" s="13"/>
      <c r="D91" s="1066"/>
      <c r="E91" s="13"/>
      <c r="G91" s="400"/>
      <c r="H91" s="154"/>
      <c r="I91" s="401"/>
      <c r="J91" s="154"/>
      <c r="K91" s="299"/>
      <c r="L91" s="154"/>
      <c r="T91" s="154"/>
      <c r="U91" s="154"/>
      <c r="V91" s="154"/>
      <c r="W91" s="154"/>
      <c r="X91" s="299"/>
      <c r="Y91" s="154"/>
      <c r="Z91" s="154"/>
      <c r="AA91" s="154"/>
      <c r="AB91" s="154"/>
      <c r="AC91" s="154"/>
      <c r="AD91" s="154"/>
      <c r="AE91" s="154"/>
      <c r="AF91" s="154"/>
      <c r="AG91" s="154"/>
      <c r="AH91" s="615"/>
      <c r="AI91" s="154"/>
      <c r="AJ91" s="154"/>
      <c r="AK91" s="154"/>
      <c r="AL91" s="154"/>
      <c r="AM91" s="684"/>
      <c r="AN91" s="299"/>
      <c r="AO91" s="13"/>
      <c r="AP91" s="13"/>
      <c r="AQ91" s="13"/>
      <c r="AR91" s="13"/>
      <c r="AS91" s="13"/>
      <c r="AT91" s="13"/>
    </row>
    <row r="92" spans="1:70" hidden="1" outlineLevel="1">
      <c r="A92" s="161"/>
      <c r="B92" s="13"/>
      <c r="C92" s="13"/>
      <c r="D92" s="1066"/>
      <c r="E92" s="13"/>
      <c r="G92" s="400"/>
      <c r="H92" s="154"/>
      <c r="I92" s="154"/>
      <c r="J92" s="154"/>
      <c r="K92" s="299"/>
      <c r="L92" s="154"/>
      <c r="T92" s="154"/>
      <c r="U92" s="154"/>
      <c r="V92" s="154"/>
      <c r="W92" s="154"/>
      <c r="X92" s="299"/>
      <c r="Y92" s="154"/>
      <c r="Z92" s="154"/>
      <c r="AA92" s="154"/>
      <c r="AB92" s="154"/>
      <c r="AC92" s="154"/>
      <c r="AD92" s="154"/>
      <c r="AE92" s="154"/>
      <c r="AF92" s="154"/>
      <c r="AG92" s="154"/>
      <c r="AH92" s="615"/>
      <c r="AI92" s="154"/>
      <c r="AJ92" s="154"/>
      <c r="AK92" s="154"/>
      <c r="AL92" s="154"/>
      <c r="AM92" s="684"/>
      <c r="AN92" s="299"/>
      <c r="AO92" s="13"/>
      <c r="AP92" s="13"/>
      <c r="AQ92" s="13"/>
      <c r="AR92" s="13"/>
      <c r="AS92" s="13"/>
      <c r="AT92" s="13"/>
    </row>
    <row r="93" spans="1:70" s="425" customFormat="1" ht="80" hidden="1" outlineLevel="1">
      <c r="A93" s="382" t="s">
        <v>348</v>
      </c>
      <c r="B93" s="452"/>
      <c r="C93" s="452"/>
      <c r="D93" s="1071"/>
      <c r="E93" s="452"/>
      <c r="F93" s="356"/>
      <c r="G93" s="399" t="s">
        <v>404</v>
      </c>
      <c r="H93" s="43"/>
      <c r="I93" s="43"/>
      <c r="J93" s="43"/>
      <c r="K93" s="503"/>
      <c r="L93" s="43"/>
      <c r="M93" s="71" t="s">
        <v>363</v>
      </c>
      <c r="N93" s="399" t="s">
        <v>334</v>
      </c>
      <c r="O93" s="43"/>
      <c r="P93" s="43"/>
      <c r="Q93" s="43"/>
      <c r="R93" s="503"/>
      <c r="S93" s="43"/>
      <c r="T93" s="399" t="s">
        <v>334</v>
      </c>
      <c r="U93" s="43"/>
      <c r="V93" s="43"/>
      <c r="W93" s="43"/>
      <c r="X93" s="503"/>
      <c r="Y93" s="43"/>
      <c r="Z93" s="43"/>
      <c r="AA93" s="43"/>
      <c r="AB93" s="43"/>
      <c r="AC93" s="43"/>
      <c r="AD93" s="43"/>
      <c r="AE93" s="43"/>
      <c r="AF93" s="43"/>
      <c r="AG93" s="43"/>
      <c r="AH93" s="827"/>
      <c r="AI93" s="43"/>
      <c r="AJ93" s="43"/>
      <c r="AK93" s="43"/>
      <c r="AL93" s="43"/>
      <c r="AM93" s="828"/>
      <c r="AN93" s="503"/>
      <c r="AO93" s="43"/>
      <c r="AP93" s="43"/>
      <c r="AQ93" s="43"/>
      <c r="AR93" s="43"/>
      <c r="AS93" s="43"/>
      <c r="AT93" s="43"/>
      <c r="AU93" s="43"/>
      <c r="AV93" s="43"/>
      <c r="AW93" s="43"/>
      <c r="AX93" s="43"/>
      <c r="AY93" s="43"/>
      <c r="AZ93" s="43"/>
      <c r="BG93" s="43"/>
      <c r="BH93" s="43"/>
      <c r="BI93" s="43"/>
      <c r="BJ93" s="43"/>
      <c r="BK93" s="43"/>
      <c r="BL93" s="43"/>
      <c r="BM93" s="43"/>
      <c r="BN93" s="43"/>
      <c r="BO93" s="43"/>
      <c r="BP93" s="43"/>
      <c r="BQ93" s="43"/>
      <c r="BR93" s="43"/>
    </row>
    <row r="94" spans="1:70" hidden="1" outlineLevel="1">
      <c r="A94" s="436" t="s">
        <v>64</v>
      </c>
      <c r="B94" s="2"/>
      <c r="C94" s="2"/>
      <c r="D94" s="1061"/>
      <c r="E94" s="2"/>
      <c r="G94" s="423"/>
      <c r="K94" s="504"/>
      <c r="L94" s="423"/>
      <c r="T94" s="423"/>
    </row>
    <row r="95" spans="1:70" hidden="1" outlineLevel="1">
      <c r="A95" s="1043" t="s">
        <v>327</v>
      </c>
      <c r="B95" s="2"/>
      <c r="C95" s="2"/>
      <c r="D95" s="1061"/>
      <c r="E95" s="2"/>
      <c r="G95" s="367">
        <f t="shared" ref="G95:J100" si="153">G104/2</f>
        <v>55362.5</v>
      </c>
      <c r="H95" s="368">
        <f t="shared" si="153"/>
        <v>55362.5</v>
      </c>
      <c r="I95" s="368">
        <f t="shared" si="153"/>
        <v>55362.5</v>
      </c>
      <c r="J95" s="369">
        <f t="shared" si="153"/>
        <v>55362.5</v>
      </c>
      <c r="K95" s="504"/>
      <c r="L95" s="423"/>
      <c r="M95" s="423"/>
      <c r="N95" s="367">
        <f>N112/2*N120</f>
        <v>59174.344262295082</v>
      </c>
      <c r="O95" s="368">
        <f>N95</f>
        <v>59174.344262295082</v>
      </c>
      <c r="P95" s="368">
        <f>O95</f>
        <v>59174.344262295082</v>
      </c>
      <c r="Q95" s="369">
        <f>P95</f>
        <v>59174.344262295082</v>
      </c>
      <c r="T95" s="413">
        <f t="shared" ref="T95:T100" si="154">N95</f>
        <v>59174.344262295082</v>
      </c>
      <c r="U95" s="368">
        <f>T95</f>
        <v>59174.344262295082</v>
      </c>
      <c r="V95" s="368">
        <f t="shared" ref="V95:W95" si="155">U95</f>
        <v>59174.344262295082</v>
      </c>
      <c r="W95" s="369">
        <f t="shared" si="155"/>
        <v>59174.344262295082</v>
      </c>
      <c r="AC95" s="413">
        <f>T95</f>
        <v>59174.344262295082</v>
      </c>
      <c r="AD95" s="368">
        <f>AC95</f>
        <v>59174.344262295082</v>
      </c>
      <c r="AE95" s="368">
        <f t="shared" ref="AE95:AF100" si="156">AD95</f>
        <v>59174.344262295082</v>
      </c>
      <c r="AF95" s="369">
        <f t="shared" si="156"/>
        <v>59174.344262295082</v>
      </c>
      <c r="AI95" s="413">
        <f>AC95</f>
        <v>59174.344262295082</v>
      </c>
      <c r="AJ95" s="368">
        <f>AI95</f>
        <v>59174.344262295082</v>
      </c>
      <c r="AK95" s="368">
        <f t="shared" ref="AK95:AL100" si="157">AJ95</f>
        <v>59174.344262295082</v>
      </c>
      <c r="AL95" s="369">
        <f t="shared" si="157"/>
        <v>59174.344262295082</v>
      </c>
    </row>
    <row r="96" spans="1:70" hidden="1" outlineLevel="1">
      <c r="A96" s="436" t="s">
        <v>62</v>
      </c>
      <c r="B96" s="2"/>
      <c r="C96" s="2"/>
      <c r="D96" s="1061"/>
      <c r="E96" s="2"/>
      <c r="G96" s="370">
        <f t="shared" si="153"/>
        <v>35026.5</v>
      </c>
      <c r="H96" s="169">
        <f t="shared" si="153"/>
        <v>35026.5</v>
      </c>
      <c r="I96" s="169">
        <f t="shared" si="153"/>
        <v>35026.5</v>
      </c>
      <c r="J96" s="371">
        <f t="shared" si="153"/>
        <v>35026.5</v>
      </c>
      <c r="K96" s="504"/>
      <c r="L96" s="423"/>
      <c r="M96" s="423"/>
      <c r="N96" s="370">
        <f t="shared" ref="N96:N100" si="158">N113/2*N121</f>
        <v>38183.394849785407</v>
      </c>
      <c r="O96" s="169">
        <f t="shared" ref="O96:Q100" si="159">N96</f>
        <v>38183.394849785407</v>
      </c>
      <c r="P96" s="169">
        <f t="shared" si="159"/>
        <v>38183.394849785407</v>
      </c>
      <c r="Q96" s="371">
        <f t="shared" si="159"/>
        <v>38183.394849785407</v>
      </c>
      <c r="T96" s="414">
        <f t="shared" si="154"/>
        <v>38183.394849785407</v>
      </c>
      <c r="U96" s="169">
        <f t="shared" ref="U96:W100" si="160">T96</f>
        <v>38183.394849785407</v>
      </c>
      <c r="V96" s="169">
        <f t="shared" si="160"/>
        <v>38183.394849785407</v>
      </c>
      <c r="W96" s="371">
        <f t="shared" si="160"/>
        <v>38183.394849785407</v>
      </c>
      <c r="AB96" s="154"/>
      <c r="AC96" s="414">
        <f t="shared" ref="AC96:AC100" si="161">T96</f>
        <v>38183.394849785407</v>
      </c>
      <c r="AD96" s="169">
        <f t="shared" ref="AD96:AD100" si="162">AC96</f>
        <v>38183.394849785407</v>
      </c>
      <c r="AE96" s="169">
        <f t="shared" si="156"/>
        <v>38183.394849785407</v>
      </c>
      <c r="AF96" s="371">
        <f t="shared" si="156"/>
        <v>38183.394849785407</v>
      </c>
      <c r="AG96" s="154"/>
      <c r="AH96" s="615"/>
      <c r="AI96" s="414">
        <f t="shared" ref="AI96:AI100" si="163">AC96</f>
        <v>38183.394849785407</v>
      </c>
      <c r="AJ96" s="169">
        <f t="shared" ref="AJ96:AJ100" si="164">AI96</f>
        <v>38183.394849785407</v>
      </c>
      <c r="AK96" s="169">
        <f t="shared" si="157"/>
        <v>38183.394849785407</v>
      </c>
      <c r="AL96" s="371">
        <f t="shared" si="157"/>
        <v>38183.394849785407</v>
      </c>
      <c r="AM96" s="684"/>
      <c r="AN96" s="299"/>
      <c r="AO96" s="2"/>
      <c r="AP96" s="2"/>
      <c r="AQ96" s="2"/>
      <c r="AR96" s="2"/>
      <c r="AS96" s="2"/>
      <c r="AT96" s="2"/>
    </row>
    <row r="97" spans="1:70" hidden="1" outlineLevel="1">
      <c r="A97" s="436" t="s">
        <v>65</v>
      </c>
      <c r="B97" s="2"/>
      <c r="C97" s="2"/>
      <c r="D97" s="1061"/>
      <c r="E97" s="2"/>
      <c r="G97" s="370">
        <f t="shared" si="153"/>
        <v>23721.5</v>
      </c>
      <c r="H97" s="169">
        <f t="shared" si="153"/>
        <v>23721.5</v>
      </c>
      <c r="I97" s="169">
        <f t="shared" si="153"/>
        <v>23721.5</v>
      </c>
      <c r="J97" s="371">
        <f t="shared" si="153"/>
        <v>23721.5</v>
      </c>
      <c r="K97" s="504"/>
      <c r="L97" s="423"/>
      <c r="M97" s="423"/>
      <c r="N97" s="370">
        <f t="shared" si="158"/>
        <v>26600.988439306362</v>
      </c>
      <c r="O97" s="169">
        <f t="shared" si="159"/>
        <v>26600.988439306362</v>
      </c>
      <c r="P97" s="169">
        <f t="shared" si="159"/>
        <v>26600.988439306362</v>
      </c>
      <c r="Q97" s="371">
        <f t="shared" si="159"/>
        <v>26600.988439306362</v>
      </c>
      <c r="T97" s="414">
        <f t="shared" si="154"/>
        <v>26600.988439306362</v>
      </c>
      <c r="U97" s="169">
        <f t="shared" si="160"/>
        <v>26600.988439306362</v>
      </c>
      <c r="V97" s="169">
        <f t="shared" si="160"/>
        <v>26600.988439306362</v>
      </c>
      <c r="W97" s="371">
        <f t="shared" si="160"/>
        <v>26600.988439306362</v>
      </c>
      <c r="AB97" s="154"/>
      <c r="AC97" s="414">
        <f t="shared" si="161"/>
        <v>26600.988439306362</v>
      </c>
      <c r="AD97" s="169">
        <f t="shared" si="162"/>
        <v>26600.988439306362</v>
      </c>
      <c r="AE97" s="169">
        <f t="shared" si="156"/>
        <v>26600.988439306362</v>
      </c>
      <c r="AF97" s="371">
        <f t="shared" si="156"/>
        <v>26600.988439306362</v>
      </c>
      <c r="AG97" s="154"/>
      <c r="AH97" s="615"/>
      <c r="AI97" s="414">
        <f t="shared" si="163"/>
        <v>26600.988439306362</v>
      </c>
      <c r="AJ97" s="169">
        <f t="shared" si="164"/>
        <v>26600.988439306362</v>
      </c>
      <c r="AK97" s="169">
        <f t="shared" si="157"/>
        <v>26600.988439306362</v>
      </c>
      <c r="AL97" s="371">
        <f t="shared" si="157"/>
        <v>26600.988439306362</v>
      </c>
      <c r="AM97" s="684"/>
      <c r="AN97" s="299"/>
      <c r="AO97" s="2"/>
      <c r="AP97" s="2"/>
      <c r="AQ97" s="2"/>
      <c r="AR97" s="2"/>
      <c r="AS97" s="2"/>
      <c r="AT97" s="2"/>
    </row>
    <row r="98" spans="1:70" hidden="1" outlineLevel="1">
      <c r="A98" s="436" t="s">
        <v>66</v>
      </c>
      <c r="B98" s="2"/>
      <c r="C98" s="2"/>
      <c r="D98" s="1061"/>
      <c r="E98" s="2"/>
      <c r="G98" s="370">
        <f t="shared" si="153"/>
        <v>20475.5</v>
      </c>
      <c r="H98" s="169">
        <f t="shared" si="153"/>
        <v>20475.5</v>
      </c>
      <c r="I98" s="169">
        <f t="shared" si="153"/>
        <v>20475.5</v>
      </c>
      <c r="J98" s="371">
        <f t="shared" si="153"/>
        <v>20475.5</v>
      </c>
      <c r="K98" s="504"/>
      <c r="L98" s="423"/>
      <c r="M98" s="423"/>
      <c r="N98" s="370">
        <f t="shared" si="158"/>
        <v>23361.308724832215</v>
      </c>
      <c r="O98" s="169">
        <f t="shared" si="159"/>
        <v>23361.308724832215</v>
      </c>
      <c r="P98" s="169">
        <f t="shared" si="159"/>
        <v>23361.308724832215</v>
      </c>
      <c r="Q98" s="371">
        <f t="shared" si="159"/>
        <v>23361.308724832215</v>
      </c>
      <c r="T98" s="414">
        <f t="shared" si="154"/>
        <v>23361.308724832215</v>
      </c>
      <c r="U98" s="169">
        <f t="shared" si="160"/>
        <v>23361.308724832215</v>
      </c>
      <c r="V98" s="169">
        <f t="shared" si="160"/>
        <v>23361.308724832215</v>
      </c>
      <c r="W98" s="371">
        <f t="shared" si="160"/>
        <v>23361.308724832215</v>
      </c>
      <c r="AB98" s="154"/>
      <c r="AC98" s="414">
        <f t="shared" si="161"/>
        <v>23361.308724832215</v>
      </c>
      <c r="AD98" s="169">
        <f t="shared" si="162"/>
        <v>23361.308724832215</v>
      </c>
      <c r="AE98" s="169">
        <f t="shared" si="156"/>
        <v>23361.308724832215</v>
      </c>
      <c r="AF98" s="371">
        <f t="shared" si="156"/>
        <v>23361.308724832215</v>
      </c>
      <c r="AG98" s="154"/>
      <c r="AH98" s="615"/>
      <c r="AI98" s="414">
        <f t="shared" si="163"/>
        <v>23361.308724832215</v>
      </c>
      <c r="AJ98" s="169">
        <f t="shared" si="164"/>
        <v>23361.308724832215</v>
      </c>
      <c r="AK98" s="169">
        <f t="shared" si="157"/>
        <v>23361.308724832215</v>
      </c>
      <c r="AL98" s="371">
        <f t="shared" si="157"/>
        <v>23361.308724832215</v>
      </c>
      <c r="AM98" s="684"/>
      <c r="AN98" s="299"/>
      <c r="AO98" s="2"/>
      <c r="AP98" s="2"/>
      <c r="AQ98" s="2"/>
      <c r="AR98" s="2"/>
      <c r="AS98" s="2"/>
      <c r="AT98" s="2"/>
    </row>
    <row r="99" spans="1:70" hidden="1" outlineLevel="1">
      <c r="A99" s="436" t="s">
        <v>328</v>
      </c>
      <c r="B99" s="2"/>
      <c r="C99" s="2"/>
      <c r="D99" s="1061"/>
      <c r="E99" s="2"/>
      <c r="G99" s="370">
        <f t="shared" si="153"/>
        <v>16914</v>
      </c>
      <c r="H99" s="169">
        <f t="shared" si="153"/>
        <v>16914</v>
      </c>
      <c r="I99" s="169">
        <f t="shared" si="153"/>
        <v>16914</v>
      </c>
      <c r="J99" s="371">
        <f t="shared" si="153"/>
        <v>16914</v>
      </c>
      <c r="K99" s="504"/>
      <c r="L99" s="423"/>
      <c r="M99" s="423"/>
      <c r="N99" s="370">
        <f t="shared" si="158"/>
        <v>19667.441860465118</v>
      </c>
      <c r="O99" s="169">
        <f t="shared" si="159"/>
        <v>19667.441860465118</v>
      </c>
      <c r="P99" s="169">
        <f t="shared" si="159"/>
        <v>19667.441860465118</v>
      </c>
      <c r="Q99" s="371">
        <f t="shared" si="159"/>
        <v>19667.441860465118</v>
      </c>
      <c r="T99" s="414">
        <f t="shared" si="154"/>
        <v>19667.441860465118</v>
      </c>
      <c r="U99" s="169">
        <f t="shared" si="160"/>
        <v>19667.441860465118</v>
      </c>
      <c r="V99" s="169">
        <f t="shared" si="160"/>
        <v>19667.441860465118</v>
      </c>
      <c r="W99" s="371">
        <f t="shared" si="160"/>
        <v>19667.441860465118</v>
      </c>
      <c r="AB99" s="154"/>
      <c r="AC99" s="414">
        <f t="shared" si="161"/>
        <v>19667.441860465118</v>
      </c>
      <c r="AD99" s="169">
        <f t="shared" si="162"/>
        <v>19667.441860465118</v>
      </c>
      <c r="AE99" s="169">
        <f t="shared" si="156"/>
        <v>19667.441860465118</v>
      </c>
      <c r="AF99" s="371">
        <f t="shared" si="156"/>
        <v>19667.441860465118</v>
      </c>
      <c r="AG99" s="154"/>
      <c r="AH99" s="615"/>
      <c r="AI99" s="414">
        <f t="shared" si="163"/>
        <v>19667.441860465118</v>
      </c>
      <c r="AJ99" s="169">
        <f t="shared" si="164"/>
        <v>19667.441860465118</v>
      </c>
      <c r="AK99" s="169">
        <f t="shared" si="157"/>
        <v>19667.441860465118</v>
      </c>
      <c r="AL99" s="371">
        <f t="shared" si="157"/>
        <v>19667.441860465118</v>
      </c>
      <c r="AM99" s="684"/>
      <c r="AN99" s="299"/>
      <c r="AO99" s="2"/>
      <c r="AP99" s="2"/>
      <c r="AQ99" s="2"/>
      <c r="AR99" s="2"/>
      <c r="AS99" s="2"/>
      <c r="AT99" s="2"/>
    </row>
    <row r="100" spans="1:70" hidden="1" outlineLevel="1">
      <c r="A100" s="1044" t="s">
        <v>329</v>
      </c>
      <c r="B100" s="2"/>
      <c r="C100" s="2"/>
      <c r="D100" s="1061"/>
      <c r="E100" s="2"/>
      <c r="G100" s="372">
        <f t="shared" si="153"/>
        <v>10790.5</v>
      </c>
      <c r="H100" s="373">
        <f t="shared" si="153"/>
        <v>10790.5</v>
      </c>
      <c r="I100" s="373">
        <f t="shared" si="153"/>
        <v>10790.5</v>
      </c>
      <c r="J100" s="374">
        <f t="shared" si="153"/>
        <v>10790.5</v>
      </c>
      <c r="K100" s="504"/>
      <c r="L100" s="423"/>
      <c r="M100" s="423"/>
      <c r="N100" s="372">
        <f t="shared" si="158"/>
        <v>13126.58762886598</v>
      </c>
      <c r="O100" s="373">
        <f t="shared" si="159"/>
        <v>13126.58762886598</v>
      </c>
      <c r="P100" s="373">
        <f t="shared" si="159"/>
        <v>13126.58762886598</v>
      </c>
      <c r="Q100" s="374">
        <f t="shared" si="159"/>
        <v>13126.58762886598</v>
      </c>
      <c r="T100" s="415">
        <f t="shared" si="154"/>
        <v>13126.58762886598</v>
      </c>
      <c r="U100" s="373">
        <f t="shared" si="160"/>
        <v>13126.58762886598</v>
      </c>
      <c r="V100" s="373">
        <f t="shared" si="160"/>
        <v>13126.58762886598</v>
      </c>
      <c r="W100" s="374">
        <f t="shared" si="160"/>
        <v>13126.58762886598</v>
      </c>
      <c r="AB100" s="154"/>
      <c r="AC100" s="415">
        <f t="shared" si="161"/>
        <v>13126.58762886598</v>
      </c>
      <c r="AD100" s="373">
        <f t="shared" si="162"/>
        <v>13126.58762886598</v>
      </c>
      <c r="AE100" s="373">
        <f t="shared" si="156"/>
        <v>13126.58762886598</v>
      </c>
      <c r="AF100" s="374">
        <f t="shared" si="156"/>
        <v>13126.58762886598</v>
      </c>
      <c r="AG100" s="154"/>
      <c r="AH100" s="615"/>
      <c r="AI100" s="415">
        <f t="shared" si="163"/>
        <v>13126.58762886598</v>
      </c>
      <c r="AJ100" s="373">
        <f t="shared" si="164"/>
        <v>13126.58762886598</v>
      </c>
      <c r="AK100" s="373">
        <f t="shared" si="157"/>
        <v>13126.58762886598</v>
      </c>
      <c r="AL100" s="374">
        <f t="shared" si="157"/>
        <v>13126.58762886598</v>
      </c>
      <c r="AM100" s="684"/>
      <c r="AN100" s="299"/>
      <c r="AO100" s="2"/>
      <c r="AP100" s="2"/>
      <c r="AQ100" s="2"/>
      <c r="AR100" s="2"/>
      <c r="AS100" s="2"/>
      <c r="AT100" s="2"/>
    </row>
    <row r="101" spans="1:70" hidden="1" outlineLevel="1">
      <c r="A101" s="436"/>
      <c r="B101" s="2"/>
      <c r="C101" s="2"/>
      <c r="D101" s="1061"/>
      <c r="E101" s="2"/>
      <c r="G101" s="169"/>
      <c r="H101" s="169"/>
      <c r="I101" s="169"/>
      <c r="J101" s="169"/>
      <c r="K101" s="407"/>
      <c r="L101" s="169"/>
      <c r="M101" s="423"/>
      <c r="N101" s="169"/>
      <c r="O101" s="169"/>
      <c r="P101" s="169"/>
      <c r="Q101" s="169"/>
      <c r="T101" s="169"/>
      <c r="U101" s="169"/>
      <c r="V101" s="169"/>
      <c r="W101" s="169"/>
      <c r="AB101" s="154"/>
      <c r="AC101" s="154"/>
      <c r="AD101" s="154"/>
      <c r="AE101" s="154"/>
      <c r="AF101" s="154"/>
      <c r="AG101" s="154"/>
      <c r="AH101" s="615"/>
      <c r="AI101" s="154"/>
      <c r="AJ101" s="154"/>
      <c r="AK101" s="154"/>
      <c r="AL101" s="154"/>
      <c r="AM101" s="684"/>
      <c r="AN101" s="299"/>
      <c r="AO101" s="2"/>
      <c r="AP101" s="2"/>
      <c r="AQ101" s="2"/>
      <c r="AR101" s="2"/>
      <c r="AS101" s="2"/>
      <c r="AT101" s="2"/>
    </row>
    <row r="102" spans="1:70" s="489" customFormat="1" hidden="1" outlineLevel="1">
      <c r="A102" s="551" t="s">
        <v>347</v>
      </c>
      <c r="B102" s="148"/>
      <c r="C102" s="148"/>
      <c r="D102" s="1072"/>
      <c r="E102" s="148"/>
      <c r="F102" s="728"/>
      <c r="G102" s="506"/>
      <c r="H102" s="148"/>
      <c r="I102" s="148"/>
      <c r="J102" s="148"/>
      <c r="K102" s="507"/>
      <c r="L102" s="148"/>
      <c r="M102" s="21"/>
      <c r="N102" s="534"/>
      <c r="O102" s="21"/>
      <c r="P102" s="21"/>
      <c r="Q102" s="21"/>
      <c r="R102" s="535"/>
      <c r="S102" s="148"/>
      <c r="T102" s="405"/>
      <c r="U102" s="405"/>
      <c r="V102" s="405"/>
      <c r="W102" s="405"/>
      <c r="X102" s="1313"/>
      <c r="Y102" s="405"/>
      <c r="Z102" s="405"/>
      <c r="AA102" s="405"/>
      <c r="AB102" s="148"/>
      <c r="AC102" s="148"/>
      <c r="AD102" s="148"/>
      <c r="AE102" s="148"/>
      <c r="AF102" s="148"/>
      <c r="AG102" s="148"/>
      <c r="AH102" s="829"/>
      <c r="AI102" s="148"/>
      <c r="AJ102" s="148"/>
      <c r="AK102" s="148"/>
      <c r="AL102" s="148"/>
      <c r="AM102" s="830"/>
      <c r="AN102" s="507"/>
      <c r="AO102" s="148"/>
      <c r="AP102" s="148"/>
      <c r="AQ102" s="148"/>
      <c r="AR102" s="148"/>
      <c r="AS102" s="148"/>
      <c r="AT102" s="148"/>
      <c r="AU102" s="21"/>
      <c r="AV102" s="21"/>
      <c r="AW102" s="21"/>
      <c r="AX102" s="21"/>
      <c r="AY102" s="21"/>
      <c r="AZ102" s="21"/>
      <c r="BG102" s="21"/>
      <c r="BH102" s="21"/>
      <c r="BI102" s="21"/>
      <c r="BJ102" s="21"/>
      <c r="BK102" s="21"/>
      <c r="BL102" s="21"/>
      <c r="BM102" s="21"/>
      <c r="BN102" s="21"/>
      <c r="BO102" s="21"/>
      <c r="BP102" s="21"/>
      <c r="BQ102" s="21"/>
      <c r="BR102" s="21"/>
    </row>
    <row r="103" spans="1:70" hidden="1" outlineLevel="1">
      <c r="A103" s="436" t="s">
        <v>64</v>
      </c>
      <c r="B103" s="2"/>
      <c r="C103" s="2"/>
      <c r="D103" s="1061"/>
      <c r="E103" s="2"/>
      <c r="H103" s="2"/>
      <c r="I103" s="2"/>
      <c r="J103" s="2"/>
      <c r="K103" s="508"/>
      <c r="L103" s="2"/>
      <c r="S103" s="61"/>
      <c r="T103" s="326"/>
      <c r="U103" s="326"/>
      <c r="V103" s="326"/>
      <c r="W103" s="326"/>
      <c r="X103" s="1314"/>
      <c r="Y103" s="326"/>
      <c r="Z103" s="326"/>
      <c r="AA103" s="326"/>
      <c r="AB103" s="61"/>
      <c r="AC103" s="61"/>
      <c r="AD103" s="61"/>
      <c r="AE103" s="61"/>
      <c r="AF103" s="61"/>
      <c r="AG103" s="61"/>
      <c r="AH103" s="831"/>
      <c r="AI103" s="61"/>
      <c r="AJ103" s="61"/>
      <c r="AK103" s="61"/>
      <c r="AL103" s="61"/>
      <c r="AM103" s="832"/>
      <c r="AN103" s="560"/>
      <c r="AO103" s="2"/>
      <c r="AP103" s="2"/>
      <c r="AQ103" s="2"/>
      <c r="AR103" s="2"/>
      <c r="AS103" s="2"/>
      <c r="AT103" s="2"/>
    </row>
    <row r="104" spans="1:70" hidden="1" outlineLevel="1">
      <c r="A104" s="1043" t="s">
        <v>327</v>
      </c>
      <c r="B104" s="2"/>
      <c r="C104" s="2"/>
      <c r="D104" s="1061"/>
      <c r="E104" s="2"/>
      <c r="G104" s="386">
        <f>'MPS др метрики'!C110</f>
        <v>110725</v>
      </c>
      <c r="H104" s="426">
        <f t="shared" ref="H104:J109" si="165">G104</f>
        <v>110725</v>
      </c>
      <c r="I104" s="426">
        <f t="shared" si="165"/>
        <v>110725</v>
      </c>
      <c r="J104" s="486">
        <f t="shared" si="165"/>
        <v>110725</v>
      </c>
      <c r="K104" s="508"/>
      <c r="L104" s="2"/>
      <c r="N104" s="386">
        <f t="shared" ref="N104:N109" si="166">G104</f>
        <v>110725</v>
      </c>
      <c r="O104" s="387">
        <f>N104</f>
        <v>110725</v>
      </c>
      <c r="P104" s="387">
        <f t="shared" ref="P104:Q104" si="167">O104</f>
        <v>110725</v>
      </c>
      <c r="Q104" s="388">
        <f t="shared" si="167"/>
        <v>110725</v>
      </c>
      <c r="S104" s="61"/>
      <c r="T104" s="386">
        <f t="shared" ref="T104:W109" si="168">N104</f>
        <v>110725</v>
      </c>
      <c r="U104" s="387">
        <f t="shared" si="168"/>
        <v>110725</v>
      </c>
      <c r="V104" s="387">
        <f t="shared" si="168"/>
        <v>110725</v>
      </c>
      <c r="W104" s="388">
        <f t="shared" si="168"/>
        <v>110725</v>
      </c>
      <c r="X104" s="1314"/>
      <c r="Y104" s="326"/>
      <c r="Z104" s="326"/>
      <c r="AA104" s="326"/>
      <c r="AB104" s="61"/>
      <c r="AC104" s="386">
        <f t="shared" ref="AC104:AF109" si="169">T104</f>
        <v>110725</v>
      </c>
      <c r="AD104" s="387">
        <f t="shared" si="169"/>
        <v>110725</v>
      </c>
      <c r="AE104" s="387">
        <f t="shared" si="169"/>
        <v>110725</v>
      </c>
      <c r="AF104" s="388">
        <f t="shared" si="169"/>
        <v>110725</v>
      </c>
      <c r="AG104" s="61"/>
      <c r="AH104" s="831"/>
      <c r="AI104" s="386">
        <f t="shared" ref="AI104:AL109" si="170">AC104</f>
        <v>110725</v>
      </c>
      <c r="AJ104" s="387">
        <f t="shared" si="170"/>
        <v>110725</v>
      </c>
      <c r="AK104" s="387">
        <f t="shared" si="170"/>
        <v>110725</v>
      </c>
      <c r="AL104" s="388">
        <f t="shared" si="170"/>
        <v>110725</v>
      </c>
      <c r="AM104" s="832"/>
      <c r="AN104" s="560"/>
      <c r="AO104" s="2"/>
      <c r="AP104" s="2"/>
      <c r="AQ104" s="2"/>
      <c r="AR104" s="2"/>
      <c r="AS104" s="2"/>
      <c r="AT104" s="2"/>
    </row>
    <row r="105" spans="1:70" s="2" customFormat="1" hidden="1" outlineLevel="1">
      <c r="A105" s="436" t="s">
        <v>62</v>
      </c>
      <c r="D105" s="1061"/>
      <c r="G105" s="389">
        <f>'MPS др метрики'!C111</f>
        <v>70053</v>
      </c>
      <c r="H105" s="427">
        <f t="shared" si="165"/>
        <v>70053</v>
      </c>
      <c r="I105" s="427">
        <f t="shared" si="165"/>
        <v>70053</v>
      </c>
      <c r="J105" s="487">
        <f t="shared" si="165"/>
        <v>70053</v>
      </c>
      <c r="K105" s="508"/>
      <c r="M105" s="1"/>
      <c r="N105" s="389">
        <f t="shared" si="166"/>
        <v>70053</v>
      </c>
      <c r="O105" s="291">
        <f t="shared" ref="O105:Q109" si="171">N105</f>
        <v>70053</v>
      </c>
      <c r="P105" s="291">
        <f t="shared" si="171"/>
        <v>70053</v>
      </c>
      <c r="Q105" s="390">
        <f t="shared" si="171"/>
        <v>70053</v>
      </c>
      <c r="R105" s="295"/>
      <c r="S105" s="61"/>
      <c r="T105" s="389">
        <f t="shared" si="168"/>
        <v>70053</v>
      </c>
      <c r="U105" s="291">
        <f t="shared" si="168"/>
        <v>70053</v>
      </c>
      <c r="V105" s="291">
        <f t="shared" si="168"/>
        <v>70053</v>
      </c>
      <c r="W105" s="390">
        <f t="shared" si="168"/>
        <v>70053</v>
      </c>
      <c r="X105" s="1314"/>
      <c r="Y105" s="326"/>
      <c r="Z105" s="326"/>
      <c r="AA105" s="326"/>
      <c r="AB105" s="61"/>
      <c r="AC105" s="389">
        <f t="shared" si="169"/>
        <v>70053</v>
      </c>
      <c r="AD105" s="291">
        <f t="shared" si="169"/>
        <v>70053</v>
      </c>
      <c r="AE105" s="291">
        <f t="shared" si="169"/>
        <v>70053</v>
      </c>
      <c r="AF105" s="390">
        <f t="shared" si="169"/>
        <v>70053</v>
      </c>
      <c r="AG105" s="61"/>
      <c r="AH105" s="831"/>
      <c r="AI105" s="389">
        <f t="shared" si="170"/>
        <v>70053</v>
      </c>
      <c r="AJ105" s="291">
        <f t="shared" si="170"/>
        <v>70053</v>
      </c>
      <c r="AK105" s="291">
        <f t="shared" si="170"/>
        <v>70053</v>
      </c>
      <c r="AL105" s="390">
        <f t="shared" si="170"/>
        <v>70053</v>
      </c>
      <c r="AM105" s="832"/>
      <c r="AN105" s="560"/>
      <c r="AU105" s="1"/>
      <c r="AV105" s="1"/>
      <c r="AW105" s="1"/>
      <c r="AX105" s="1"/>
      <c r="AY105" s="1"/>
      <c r="AZ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</row>
    <row r="106" spans="1:70" s="2" customFormat="1" hidden="1" outlineLevel="1">
      <c r="A106" s="436" t="s">
        <v>65</v>
      </c>
      <c r="D106" s="1061"/>
      <c r="G106" s="389">
        <f>'MPS др метрики'!C112</f>
        <v>47443</v>
      </c>
      <c r="H106" s="427">
        <f t="shared" si="165"/>
        <v>47443</v>
      </c>
      <c r="I106" s="427">
        <f t="shared" si="165"/>
        <v>47443</v>
      </c>
      <c r="J106" s="487">
        <f t="shared" si="165"/>
        <v>47443</v>
      </c>
      <c r="K106" s="508"/>
      <c r="M106" s="1"/>
      <c r="N106" s="389">
        <f t="shared" si="166"/>
        <v>47443</v>
      </c>
      <c r="O106" s="291">
        <f t="shared" si="171"/>
        <v>47443</v>
      </c>
      <c r="P106" s="291">
        <f t="shared" si="171"/>
        <v>47443</v>
      </c>
      <c r="Q106" s="390">
        <f t="shared" si="171"/>
        <v>47443</v>
      </c>
      <c r="R106" s="295"/>
      <c r="S106" s="61"/>
      <c r="T106" s="389">
        <f t="shared" si="168"/>
        <v>47443</v>
      </c>
      <c r="U106" s="291">
        <f t="shared" si="168"/>
        <v>47443</v>
      </c>
      <c r="V106" s="291">
        <f t="shared" si="168"/>
        <v>47443</v>
      </c>
      <c r="W106" s="390">
        <f t="shared" si="168"/>
        <v>47443</v>
      </c>
      <c r="X106" s="1314"/>
      <c r="Y106" s="326"/>
      <c r="Z106" s="326"/>
      <c r="AA106" s="326"/>
      <c r="AB106" s="61"/>
      <c r="AC106" s="389">
        <f t="shared" si="169"/>
        <v>47443</v>
      </c>
      <c r="AD106" s="291">
        <f t="shared" si="169"/>
        <v>47443</v>
      </c>
      <c r="AE106" s="291">
        <f t="shared" si="169"/>
        <v>47443</v>
      </c>
      <c r="AF106" s="390">
        <f t="shared" si="169"/>
        <v>47443</v>
      </c>
      <c r="AG106" s="61"/>
      <c r="AH106" s="831"/>
      <c r="AI106" s="389">
        <f t="shared" si="170"/>
        <v>47443</v>
      </c>
      <c r="AJ106" s="291">
        <f t="shared" si="170"/>
        <v>47443</v>
      </c>
      <c r="AK106" s="291">
        <f t="shared" si="170"/>
        <v>47443</v>
      </c>
      <c r="AL106" s="390">
        <f t="shared" si="170"/>
        <v>47443</v>
      </c>
      <c r="AM106" s="832"/>
      <c r="AN106" s="560"/>
      <c r="AU106" s="1"/>
      <c r="AV106" s="1"/>
      <c r="AW106" s="1"/>
      <c r="AX106" s="1"/>
      <c r="AY106" s="1"/>
      <c r="AZ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</row>
    <row r="107" spans="1:70" s="2" customFormat="1" hidden="1" outlineLevel="1">
      <c r="A107" s="436" t="s">
        <v>66</v>
      </c>
      <c r="D107" s="1061"/>
      <c r="G107" s="389">
        <f>'MPS др метрики'!C113</f>
        <v>40951</v>
      </c>
      <c r="H107" s="427">
        <f t="shared" si="165"/>
        <v>40951</v>
      </c>
      <c r="I107" s="427">
        <f t="shared" si="165"/>
        <v>40951</v>
      </c>
      <c r="J107" s="487">
        <f t="shared" si="165"/>
        <v>40951</v>
      </c>
      <c r="K107" s="508"/>
      <c r="M107" s="1"/>
      <c r="N107" s="389">
        <f t="shared" si="166"/>
        <v>40951</v>
      </c>
      <c r="O107" s="291">
        <f t="shared" si="171"/>
        <v>40951</v>
      </c>
      <c r="P107" s="291">
        <f t="shared" si="171"/>
        <v>40951</v>
      </c>
      <c r="Q107" s="390">
        <f t="shared" si="171"/>
        <v>40951</v>
      </c>
      <c r="R107" s="295"/>
      <c r="S107" s="61"/>
      <c r="T107" s="389">
        <f t="shared" si="168"/>
        <v>40951</v>
      </c>
      <c r="U107" s="291">
        <f t="shared" si="168"/>
        <v>40951</v>
      </c>
      <c r="V107" s="291">
        <f t="shared" si="168"/>
        <v>40951</v>
      </c>
      <c r="W107" s="390">
        <f t="shared" si="168"/>
        <v>40951</v>
      </c>
      <c r="X107" s="1314"/>
      <c r="Y107" s="326"/>
      <c r="Z107" s="326"/>
      <c r="AA107" s="326"/>
      <c r="AB107" s="61"/>
      <c r="AC107" s="389">
        <f t="shared" si="169"/>
        <v>40951</v>
      </c>
      <c r="AD107" s="291">
        <f t="shared" si="169"/>
        <v>40951</v>
      </c>
      <c r="AE107" s="291">
        <f t="shared" si="169"/>
        <v>40951</v>
      </c>
      <c r="AF107" s="390">
        <f t="shared" si="169"/>
        <v>40951</v>
      </c>
      <c r="AG107" s="61"/>
      <c r="AH107" s="831"/>
      <c r="AI107" s="389">
        <f t="shared" si="170"/>
        <v>40951</v>
      </c>
      <c r="AJ107" s="291">
        <f t="shared" si="170"/>
        <v>40951</v>
      </c>
      <c r="AK107" s="291">
        <f t="shared" si="170"/>
        <v>40951</v>
      </c>
      <c r="AL107" s="390">
        <f t="shared" si="170"/>
        <v>40951</v>
      </c>
      <c r="AM107" s="832"/>
      <c r="AN107" s="560"/>
      <c r="AU107" s="1"/>
      <c r="AV107" s="1"/>
      <c r="AW107" s="1"/>
      <c r="AX107" s="1"/>
      <c r="AY107" s="1"/>
      <c r="AZ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</row>
    <row r="108" spans="1:70" s="2" customFormat="1" hidden="1" outlineLevel="1">
      <c r="A108" s="436" t="s">
        <v>328</v>
      </c>
      <c r="D108" s="1061"/>
      <c r="G108" s="389">
        <f>'MPS др метрики'!C114</f>
        <v>33828</v>
      </c>
      <c r="H108" s="427">
        <f t="shared" si="165"/>
        <v>33828</v>
      </c>
      <c r="I108" s="427">
        <f t="shared" si="165"/>
        <v>33828</v>
      </c>
      <c r="J108" s="487">
        <f t="shared" si="165"/>
        <v>33828</v>
      </c>
      <c r="K108" s="508"/>
      <c r="M108" s="1"/>
      <c r="N108" s="389">
        <f t="shared" si="166"/>
        <v>33828</v>
      </c>
      <c r="O108" s="291">
        <f t="shared" si="171"/>
        <v>33828</v>
      </c>
      <c r="P108" s="291">
        <f t="shared" si="171"/>
        <v>33828</v>
      </c>
      <c r="Q108" s="390">
        <f t="shared" si="171"/>
        <v>33828</v>
      </c>
      <c r="R108" s="295"/>
      <c r="S108" s="61"/>
      <c r="T108" s="389">
        <f t="shared" si="168"/>
        <v>33828</v>
      </c>
      <c r="U108" s="291">
        <f t="shared" si="168"/>
        <v>33828</v>
      </c>
      <c r="V108" s="291">
        <f t="shared" si="168"/>
        <v>33828</v>
      </c>
      <c r="W108" s="390">
        <f t="shared" si="168"/>
        <v>33828</v>
      </c>
      <c r="X108" s="1314"/>
      <c r="Y108" s="326"/>
      <c r="Z108" s="326"/>
      <c r="AA108" s="326"/>
      <c r="AB108" s="61"/>
      <c r="AC108" s="389">
        <f t="shared" si="169"/>
        <v>33828</v>
      </c>
      <c r="AD108" s="291">
        <f t="shared" si="169"/>
        <v>33828</v>
      </c>
      <c r="AE108" s="291">
        <f t="shared" si="169"/>
        <v>33828</v>
      </c>
      <c r="AF108" s="390">
        <f t="shared" si="169"/>
        <v>33828</v>
      </c>
      <c r="AG108" s="61"/>
      <c r="AH108" s="831"/>
      <c r="AI108" s="389">
        <f t="shared" si="170"/>
        <v>33828</v>
      </c>
      <c r="AJ108" s="291">
        <f t="shared" si="170"/>
        <v>33828</v>
      </c>
      <c r="AK108" s="291">
        <f t="shared" si="170"/>
        <v>33828</v>
      </c>
      <c r="AL108" s="390">
        <f t="shared" si="170"/>
        <v>33828</v>
      </c>
      <c r="AM108" s="832"/>
      <c r="AN108" s="560"/>
      <c r="AU108" s="1"/>
      <c r="AV108" s="1"/>
      <c r="AW108" s="1"/>
      <c r="AX108" s="1"/>
      <c r="AY108" s="1"/>
      <c r="AZ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</row>
    <row r="109" spans="1:70" s="2" customFormat="1" hidden="1" outlineLevel="1">
      <c r="A109" s="1044" t="s">
        <v>329</v>
      </c>
      <c r="D109" s="1061"/>
      <c r="F109" s="139"/>
      <c r="G109" s="391">
        <f>'MPS др метрики'!C115</f>
        <v>21581</v>
      </c>
      <c r="H109" s="428">
        <f t="shared" si="165"/>
        <v>21581</v>
      </c>
      <c r="I109" s="428">
        <f t="shared" si="165"/>
        <v>21581</v>
      </c>
      <c r="J109" s="488">
        <f t="shared" si="165"/>
        <v>21581</v>
      </c>
      <c r="K109" s="508"/>
      <c r="M109" s="1"/>
      <c r="N109" s="391">
        <f t="shared" si="166"/>
        <v>21581</v>
      </c>
      <c r="O109" s="392">
        <f t="shared" si="171"/>
        <v>21581</v>
      </c>
      <c r="P109" s="392">
        <f t="shared" si="171"/>
        <v>21581</v>
      </c>
      <c r="Q109" s="393">
        <f t="shared" si="171"/>
        <v>21581</v>
      </c>
      <c r="R109" s="295"/>
      <c r="S109" s="1"/>
      <c r="T109" s="391">
        <f t="shared" si="168"/>
        <v>21581</v>
      </c>
      <c r="U109" s="392">
        <f t="shared" si="168"/>
        <v>21581</v>
      </c>
      <c r="V109" s="392">
        <f t="shared" si="168"/>
        <v>21581</v>
      </c>
      <c r="W109" s="393">
        <f t="shared" si="168"/>
        <v>21581</v>
      </c>
      <c r="X109" s="1314"/>
      <c r="Y109" s="326"/>
      <c r="Z109" s="326"/>
      <c r="AA109" s="326"/>
      <c r="AB109" s="61"/>
      <c r="AC109" s="391">
        <f t="shared" si="169"/>
        <v>21581</v>
      </c>
      <c r="AD109" s="392">
        <f t="shared" si="169"/>
        <v>21581</v>
      </c>
      <c r="AE109" s="392">
        <f t="shared" si="169"/>
        <v>21581</v>
      </c>
      <c r="AF109" s="393">
        <f t="shared" si="169"/>
        <v>21581</v>
      </c>
      <c r="AG109" s="61"/>
      <c r="AH109" s="831"/>
      <c r="AI109" s="391">
        <f t="shared" si="170"/>
        <v>21581</v>
      </c>
      <c r="AJ109" s="392">
        <f t="shared" si="170"/>
        <v>21581</v>
      </c>
      <c r="AK109" s="392">
        <f t="shared" si="170"/>
        <v>21581</v>
      </c>
      <c r="AL109" s="393">
        <f t="shared" si="170"/>
        <v>21581</v>
      </c>
      <c r="AM109" s="832"/>
      <c r="AN109" s="560"/>
      <c r="AO109" s="84"/>
      <c r="AP109" s="84"/>
      <c r="AQ109" s="84"/>
      <c r="AR109" s="84"/>
      <c r="AS109" s="84"/>
      <c r="AT109" s="84"/>
      <c r="AU109" s="1"/>
      <c r="AV109" s="1"/>
      <c r="AW109" s="1"/>
      <c r="AX109" s="1"/>
      <c r="AY109" s="1"/>
      <c r="AZ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</row>
    <row r="110" spans="1:70" s="2" customFormat="1" hidden="1" outlineLevel="1">
      <c r="A110" s="436"/>
      <c r="D110" s="1061"/>
      <c r="F110" s="139"/>
      <c r="G110" s="1"/>
      <c r="H110" s="427"/>
      <c r="I110" s="427"/>
      <c r="J110" s="427"/>
      <c r="K110" s="510"/>
      <c r="L110" s="427"/>
      <c r="M110" s="1"/>
      <c r="N110" s="291"/>
      <c r="O110" s="291"/>
      <c r="P110" s="291"/>
      <c r="Q110" s="291"/>
      <c r="R110" s="295"/>
      <c r="S110" s="1"/>
      <c r="T110" s="291"/>
      <c r="U110" s="291"/>
      <c r="V110" s="291"/>
      <c r="W110" s="291"/>
      <c r="X110" s="1314"/>
      <c r="Y110" s="326"/>
      <c r="Z110" s="326"/>
      <c r="AA110" s="326"/>
      <c r="AB110" s="61"/>
      <c r="AC110" s="61"/>
      <c r="AD110" s="61"/>
      <c r="AE110" s="61"/>
      <c r="AF110" s="61"/>
      <c r="AG110" s="61"/>
      <c r="AH110" s="831"/>
      <c r="AI110" s="61"/>
      <c r="AJ110" s="61"/>
      <c r="AK110" s="61"/>
      <c r="AL110" s="61"/>
      <c r="AM110" s="832"/>
      <c r="AN110" s="560"/>
      <c r="AO110" s="84"/>
      <c r="AP110" s="84"/>
      <c r="AQ110" s="84"/>
      <c r="AR110" s="84"/>
      <c r="AS110" s="84"/>
      <c r="AT110" s="84"/>
      <c r="AU110" s="1"/>
      <c r="AV110" s="1"/>
      <c r="AW110" s="1"/>
      <c r="AX110" s="1"/>
      <c r="AY110" s="1"/>
      <c r="AZ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</row>
    <row r="111" spans="1:70" s="2" customFormat="1" hidden="1" outlineLevel="1">
      <c r="A111" s="436" t="s">
        <v>333</v>
      </c>
      <c r="D111" s="1061"/>
      <c r="F111" s="139"/>
      <c r="G111" s="1"/>
      <c r="H111" s="427"/>
      <c r="I111" s="427"/>
      <c r="J111" s="427"/>
      <c r="K111" s="510"/>
      <c r="L111" s="427"/>
      <c r="M111" s="1"/>
      <c r="N111" s="291"/>
      <c r="O111" s="291"/>
      <c r="P111" s="291"/>
      <c r="Q111" s="291"/>
      <c r="R111" s="295"/>
      <c r="S111" s="1"/>
      <c r="T111" s="291"/>
      <c r="U111" s="291"/>
      <c r="V111" s="291"/>
      <c r="W111" s="291"/>
      <c r="X111" s="1314"/>
      <c r="Y111" s="326"/>
      <c r="Z111" s="326"/>
      <c r="AA111" s="326"/>
      <c r="AB111" s="61"/>
      <c r="AC111" s="61"/>
      <c r="AD111" s="61"/>
      <c r="AE111" s="61"/>
      <c r="AF111" s="61"/>
      <c r="AG111" s="61"/>
      <c r="AH111" s="831"/>
      <c r="AI111" s="61"/>
      <c r="AJ111" s="61"/>
      <c r="AK111" s="61"/>
      <c r="AL111" s="61"/>
      <c r="AM111" s="832"/>
      <c r="AN111" s="560"/>
      <c r="AO111" s="84"/>
      <c r="AP111" s="84"/>
      <c r="AQ111" s="84"/>
      <c r="AR111" s="84"/>
      <c r="AS111" s="84"/>
      <c r="AT111" s="84"/>
      <c r="AU111" s="1"/>
      <c r="AV111" s="1"/>
      <c r="AW111" s="1"/>
      <c r="AX111" s="1"/>
      <c r="AY111" s="1"/>
      <c r="AZ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</row>
    <row r="112" spans="1:70" s="2" customFormat="1" hidden="1" outlineLevel="1">
      <c r="A112" s="1043" t="s">
        <v>327</v>
      </c>
      <c r="D112" s="1061"/>
      <c r="F112" s="139"/>
      <c r="G112" s="367">
        <f t="shared" ref="G112:J117" si="172">G104/G128</f>
        <v>10890.983606557378</v>
      </c>
      <c r="H112" s="368">
        <f t="shared" si="172"/>
        <v>10890.983606557378</v>
      </c>
      <c r="I112" s="368">
        <f t="shared" si="172"/>
        <v>10890.983606557378</v>
      </c>
      <c r="J112" s="369">
        <f t="shared" si="172"/>
        <v>10890.983606557378</v>
      </c>
      <c r="K112" s="407"/>
      <c r="L112" s="169"/>
      <c r="M112" s="1"/>
      <c r="N112" s="389">
        <f t="shared" ref="N112:N117" si="173">G112</f>
        <v>10890.983606557378</v>
      </c>
      <c r="O112" s="387">
        <f>N112</f>
        <v>10890.983606557378</v>
      </c>
      <c r="P112" s="387">
        <f t="shared" ref="P112:Q112" si="174">O112</f>
        <v>10890.983606557378</v>
      </c>
      <c r="Q112" s="388">
        <f t="shared" si="174"/>
        <v>10890.983606557378</v>
      </c>
      <c r="R112" s="295"/>
      <c r="S112" s="1"/>
      <c r="T112" s="386">
        <f t="shared" ref="T112:T117" si="175">N112</f>
        <v>10890.983606557378</v>
      </c>
      <c r="U112" s="387">
        <f>T112</f>
        <v>10890.983606557378</v>
      </c>
      <c r="V112" s="387">
        <f t="shared" ref="V112:W112" si="176">U112</f>
        <v>10890.983606557378</v>
      </c>
      <c r="W112" s="388">
        <f t="shared" si="176"/>
        <v>10890.983606557378</v>
      </c>
      <c r="X112" s="1314"/>
      <c r="Y112" s="326"/>
      <c r="Z112" s="326"/>
      <c r="AA112" s="326"/>
      <c r="AB112" s="61"/>
      <c r="AC112" s="386">
        <f t="shared" ref="AC112:AC117" si="177">T112</f>
        <v>10890.983606557378</v>
      </c>
      <c r="AD112" s="387">
        <f>AC112</f>
        <v>10890.983606557378</v>
      </c>
      <c r="AE112" s="387">
        <f t="shared" ref="AE112:AF117" si="178">AD112</f>
        <v>10890.983606557378</v>
      </c>
      <c r="AF112" s="388">
        <f t="shared" si="178"/>
        <v>10890.983606557378</v>
      </c>
      <c r="AG112" s="61"/>
      <c r="AH112" s="831"/>
      <c r="AI112" s="386">
        <f t="shared" ref="AI112:AI117" si="179">AC112</f>
        <v>10890.983606557378</v>
      </c>
      <c r="AJ112" s="387">
        <f>AI112</f>
        <v>10890.983606557378</v>
      </c>
      <c r="AK112" s="387">
        <f t="shared" ref="AK112:AL117" si="180">AJ112</f>
        <v>10890.983606557378</v>
      </c>
      <c r="AL112" s="388">
        <f t="shared" si="180"/>
        <v>10890.983606557378</v>
      </c>
      <c r="AM112" s="832"/>
      <c r="AN112" s="560"/>
      <c r="AO112" s="84"/>
      <c r="AP112" s="84"/>
      <c r="AQ112" s="84"/>
      <c r="AR112" s="84"/>
      <c r="AS112" s="84"/>
      <c r="AT112" s="84"/>
      <c r="AU112" s="1"/>
      <c r="AV112" s="1"/>
      <c r="AW112" s="1"/>
      <c r="AX112" s="1"/>
      <c r="AY112" s="1"/>
      <c r="AZ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</row>
    <row r="113" spans="1:70" s="2" customFormat="1" hidden="1" outlineLevel="1">
      <c r="A113" s="436" t="s">
        <v>62</v>
      </c>
      <c r="D113" s="1061"/>
      <c r="F113" s="139"/>
      <c r="G113" s="370">
        <f t="shared" si="172"/>
        <v>9019.69957081545</v>
      </c>
      <c r="H113" s="169">
        <f t="shared" si="172"/>
        <v>9019.69957081545</v>
      </c>
      <c r="I113" s="169">
        <f t="shared" si="172"/>
        <v>9019.69957081545</v>
      </c>
      <c r="J113" s="371">
        <f t="shared" si="172"/>
        <v>9019.69957081545</v>
      </c>
      <c r="K113" s="407"/>
      <c r="L113" s="169"/>
      <c r="M113" s="1"/>
      <c r="N113" s="389">
        <f t="shared" si="173"/>
        <v>9019.69957081545</v>
      </c>
      <c r="O113" s="291">
        <f t="shared" ref="O113:Q117" si="181">N113</f>
        <v>9019.69957081545</v>
      </c>
      <c r="P113" s="291">
        <f t="shared" si="181"/>
        <v>9019.69957081545</v>
      </c>
      <c r="Q113" s="390">
        <f t="shared" si="181"/>
        <v>9019.69957081545</v>
      </c>
      <c r="R113" s="295"/>
      <c r="S113" s="1"/>
      <c r="T113" s="389">
        <f t="shared" si="175"/>
        <v>9019.69957081545</v>
      </c>
      <c r="U113" s="291">
        <f t="shared" ref="U113:W117" si="182">T113</f>
        <v>9019.69957081545</v>
      </c>
      <c r="V113" s="291">
        <f t="shared" si="182"/>
        <v>9019.69957081545</v>
      </c>
      <c r="W113" s="390">
        <f t="shared" si="182"/>
        <v>9019.69957081545</v>
      </c>
      <c r="X113" s="1314"/>
      <c r="Y113" s="326"/>
      <c r="Z113" s="326"/>
      <c r="AA113" s="326"/>
      <c r="AB113" s="61"/>
      <c r="AC113" s="389">
        <f t="shared" si="177"/>
        <v>9019.69957081545</v>
      </c>
      <c r="AD113" s="291">
        <f t="shared" ref="AD113:AD117" si="183">AC113</f>
        <v>9019.69957081545</v>
      </c>
      <c r="AE113" s="291">
        <f t="shared" si="178"/>
        <v>9019.69957081545</v>
      </c>
      <c r="AF113" s="390">
        <f t="shared" si="178"/>
        <v>9019.69957081545</v>
      </c>
      <c r="AG113" s="61"/>
      <c r="AH113" s="831"/>
      <c r="AI113" s="389">
        <f t="shared" si="179"/>
        <v>9019.69957081545</v>
      </c>
      <c r="AJ113" s="291">
        <f t="shared" ref="AJ113:AJ117" si="184">AI113</f>
        <v>9019.69957081545</v>
      </c>
      <c r="AK113" s="291">
        <f t="shared" si="180"/>
        <v>9019.69957081545</v>
      </c>
      <c r="AL113" s="390">
        <f t="shared" si="180"/>
        <v>9019.69957081545</v>
      </c>
      <c r="AM113" s="832"/>
      <c r="AN113" s="560"/>
      <c r="AO113" s="84"/>
      <c r="AP113" s="84"/>
      <c r="AQ113" s="84"/>
      <c r="AR113" s="84"/>
      <c r="AS113" s="84"/>
      <c r="AT113" s="84"/>
      <c r="AU113" s="1"/>
      <c r="AV113" s="1"/>
      <c r="AW113" s="1"/>
      <c r="AX113" s="1"/>
      <c r="AY113" s="1"/>
      <c r="AZ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</row>
    <row r="114" spans="1:70" s="2" customFormat="1" hidden="1" outlineLevel="1">
      <c r="A114" s="436" t="s">
        <v>65</v>
      </c>
      <c r="D114" s="1061"/>
      <c r="F114" s="139"/>
      <c r="G114" s="370">
        <f t="shared" si="172"/>
        <v>8227.1098265895962</v>
      </c>
      <c r="H114" s="169">
        <f t="shared" si="172"/>
        <v>8227.1098265895962</v>
      </c>
      <c r="I114" s="169">
        <f t="shared" si="172"/>
        <v>8227.1098265895962</v>
      </c>
      <c r="J114" s="371">
        <f t="shared" si="172"/>
        <v>8227.1098265895962</v>
      </c>
      <c r="K114" s="407"/>
      <c r="L114" s="169"/>
      <c r="M114" s="1"/>
      <c r="N114" s="389">
        <f t="shared" si="173"/>
        <v>8227.1098265895962</v>
      </c>
      <c r="O114" s="291">
        <f t="shared" si="181"/>
        <v>8227.1098265895962</v>
      </c>
      <c r="P114" s="291">
        <f t="shared" si="181"/>
        <v>8227.1098265895962</v>
      </c>
      <c r="Q114" s="390">
        <f t="shared" si="181"/>
        <v>8227.1098265895962</v>
      </c>
      <c r="R114" s="295"/>
      <c r="S114" s="1"/>
      <c r="T114" s="389">
        <f t="shared" si="175"/>
        <v>8227.1098265895962</v>
      </c>
      <c r="U114" s="291">
        <f t="shared" si="182"/>
        <v>8227.1098265895962</v>
      </c>
      <c r="V114" s="291">
        <f t="shared" si="182"/>
        <v>8227.1098265895962</v>
      </c>
      <c r="W114" s="390">
        <f t="shared" si="182"/>
        <v>8227.1098265895962</v>
      </c>
      <c r="X114" s="1314"/>
      <c r="Y114" s="326"/>
      <c r="Z114" s="326"/>
      <c r="AA114" s="326"/>
      <c r="AB114" s="61"/>
      <c r="AC114" s="389">
        <f t="shared" si="177"/>
        <v>8227.1098265895962</v>
      </c>
      <c r="AD114" s="291">
        <f t="shared" si="183"/>
        <v>8227.1098265895962</v>
      </c>
      <c r="AE114" s="291">
        <f t="shared" si="178"/>
        <v>8227.1098265895962</v>
      </c>
      <c r="AF114" s="390">
        <f t="shared" si="178"/>
        <v>8227.1098265895962</v>
      </c>
      <c r="AG114" s="61"/>
      <c r="AH114" s="831"/>
      <c r="AI114" s="389">
        <f t="shared" si="179"/>
        <v>8227.1098265895962</v>
      </c>
      <c r="AJ114" s="291">
        <f t="shared" si="184"/>
        <v>8227.1098265895962</v>
      </c>
      <c r="AK114" s="291">
        <f t="shared" si="180"/>
        <v>8227.1098265895962</v>
      </c>
      <c r="AL114" s="390">
        <f t="shared" si="180"/>
        <v>8227.1098265895962</v>
      </c>
      <c r="AM114" s="832"/>
      <c r="AN114" s="560"/>
      <c r="AO114" s="84"/>
      <c r="AP114" s="84"/>
      <c r="AQ114" s="84"/>
      <c r="AR114" s="84"/>
      <c r="AS114" s="84"/>
      <c r="AT114" s="84"/>
      <c r="AU114" s="1"/>
      <c r="AV114" s="1"/>
      <c r="AW114" s="1"/>
      <c r="AX114" s="1"/>
      <c r="AY114" s="1"/>
      <c r="AZ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</row>
    <row r="115" spans="1:70" s="2" customFormat="1" hidden="1" outlineLevel="1">
      <c r="A115" s="436" t="s">
        <v>66</v>
      </c>
      <c r="D115" s="1061"/>
      <c r="F115" s="139"/>
      <c r="G115" s="370">
        <f t="shared" si="172"/>
        <v>8245.1677852348985</v>
      </c>
      <c r="H115" s="169">
        <f t="shared" si="172"/>
        <v>8245.1677852348985</v>
      </c>
      <c r="I115" s="169">
        <f t="shared" si="172"/>
        <v>8245.1677852348985</v>
      </c>
      <c r="J115" s="371">
        <f t="shared" si="172"/>
        <v>8245.1677852348985</v>
      </c>
      <c r="K115" s="407"/>
      <c r="L115" s="169"/>
      <c r="M115" s="1"/>
      <c r="N115" s="389">
        <f t="shared" si="173"/>
        <v>8245.1677852348985</v>
      </c>
      <c r="O115" s="291">
        <f t="shared" si="181"/>
        <v>8245.1677852348985</v>
      </c>
      <c r="P115" s="291">
        <f t="shared" si="181"/>
        <v>8245.1677852348985</v>
      </c>
      <c r="Q115" s="390">
        <f t="shared" si="181"/>
        <v>8245.1677852348985</v>
      </c>
      <c r="R115" s="295"/>
      <c r="S115" s="1"/>
      <c r="T115" s="389">
        <f t="shared" si="175"/>
        <v>8245.1677852348985</v>
      </c>
      <c r="U115" s="291">
        <f t="shared" si="182"/>
        <v>8245.1677852348985</v>
      </c>
      <c r="V115" s="291">
        <f t="shared" si="182"/>
        <v>8245.1677852348985</v>
      </c>
      <c r="W115" s="390">
        <f t="shared" si="182"/>
        <v>8245.1677852348985</v>
      </c>
      <c r="X115" s="1314"/>
      <c r="Y115" s="326"/>
      <c r="Z115" s="326"/>
      <c r="AA115" s="326"/>
      <c r="AB115" s="61"/>
      <c r="AC115" s="389">
        <f t="shared" si="177"/>
        <v>8245.1677852348985</v>
      </c>
      <c r="AD115" s="291">
        <f t="shared" si="183"/>
        <v>8245.1677852348985</v>
      </c>
      <c r="AE115" s="291">
        <f t="shared" si="178"/>
        <v>8245.1677852348985</v>
      </c>
      <c r="AF115" s="390">
        <f t="shared" si="178"/>
        <v>8245.1677852348985</v>
      </c>
      <c r="AG115" s="61"/>
      <c r="AH115" s="831"/>
      <c r="AI115" s="389">
        <f t="shared" si="179"/>
        <v>8245.1677852348985</v>
      </c>
      <c r="AJ115" s="291">
        <f t="shared" si="184"/>
        <v>8245.1677852348985</v>
      </c>
      <c r="AK115" s="291">
        <f t="shared" si="180"/>
        <v>8245.1677852348985</v>
      </c>
      <c r="AL115" s="390">
        <f t="shared" si="180"/>
        <v>8245.1677852348985</v>
      </c>
      <c r="AM115" s="832"/>
      <c r="AN115" s="560"/>
      <c r="AO115" s="84"/>
      <c r="AP115" s="84"/>
      <c r="AQ115" s="84"/>
      <c r="AR115" s="84"/>
      <c r="AS115" s="84"/>
      <c r="AT115" s="84"/>
      <c r="AU115" s="1"/>
      <c r="AV115" s="1"/>
      <c r="AW115" s="1"/>
      <c r="AX115" s="1"/>
      <c r="AY115" s="1"/>
      <c r="AZ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</row>
    <row r="116" spans="1:70" s="2" customFormat="1" hidden="1" outlineLevel="1">
      <c r="A116" s="436" t="s">
        <v>328</v>
      </c>
      <c r="D116" s="1061"/>
      <c r="F116" s="139"/>
      <c r="G116" s="370">
        <f t="shared" si="172"/>
        <v>7866.9767441860467</v>
      </c>
      <c r="H116" s="169">
        <f t="shared" si="172"/>
        <v>7866.9767441860467</v>
      </c>
      <c r="I116" s="169">
        <f t="shared" si="172"/>
        <v>7866.9767441860467</v>
      </c>
      <c r="J116" s="371">
        <f t="shared" si="172"/>
        <v>7866.9767441860467</v>
      </c>
      <c r="K116" s="407"/>
      <c r="L116" s="169"/>
      <c r="M116" s="1"/>
      <c r="N116" s="389">
        <f t="shared" si="173"/>
        <v>7866.9767441860467</v>
      </c>
      <c r="O116" s="291">
        <f t="shared" si="181"/>
        <v>7866.9767441860467</v>
      </c>
      <c r="P116" s="291">
        <f t="shared" si="181"/>
        <v>7866.9767441860467</v>
      </c>
      <c r="Q116" s="390">
        <f t="shared" si="181"/>
        <v>7866.9767441860467</v>
      </c>
      <c r="R116" s="295"/>
      <c r="S116" s="1"/>
      <c r="T116" s="389">
        <f t="shared" si="175"/>
        <v>7866.9767441860467</v>
      </c>
      <c r="U116" s="291">
        <f t="shared" si="182"/>
        <v>7866.9767441860467</v>
      </c>
      <c r="V116" s="291">
        <f t="shared" si="182"/>
        <v>7866.9767441860467</v>
      </c>
      <c r="W116" s="390">
        <f t="shared" si="182"/>
        <v>7866.9767441860467</v>
      </c>
      <c r="X116" s="1314"/>
      <c r="Y116" s="326"/>
      <c r="Z116" s="326"/>
      <c r="AA116" s="326"/>
      <c r="AB116" s="61"/>
      <c r="AC116" s="389">
        <f t="shared" si="177"/>
        <v>7866.9767441860467</v>
      </c>
      <c r="AD116" s="291">
        <f t="shared" si="183"/>
        <v>7866.9767441860467</v>
      </c>
      <c r="AE116" s="291">
        <f t="shared" si="178"/>
        <v>7866.9767441860467</v>
      </c>
      <c r="AF116" s="390">
        <f t="shared" si="178"/>
        <v>7866.9767441860467</v>
      </c>
      <c r="AG116" s="61"/>
      <c r="AH116" s="831"/>
      <c r="AI116" s="389">
        <f t="shared" si="179"/>
        <v>7866.9767441860467</v>
      </c>
      <c r="AJ116" s="291">
        <f t="shared" si="184"/>
        <v>7866.9767441860467</v>
      </c>
      <c r="AK116" s="291">
        <f t="shared" si="180"/>
        <v>7866.9767441860467</v>
      </c>
      <c r="AL116" s="390">
        <f t="shared" si="180"/>
        <v>7866.9767441860467</v>
      </c>
      <c r="AM116" s="832"/>
      <c r="AN116" s="560"/>
      <c r="AO116" s="84"/>
      <c r="AP116" s="84"/>
      <c r="AQ116" s="84"/>
      <c r="AR116" s="84"/>
      <c r="AS116" s="84"/>
      <c r="AT116" s="84"/>
      <c r="AU116" s="1"/>
      <c r="AV116" s="1"/>
      <c r="AW116" s="1"/>
      <c r="AX116" s="1"/>
      <c r="AY116" s="1"/>
      <c r="AZ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</row>
    <row r="117" spans="1:70" s="2" customFormat="1" hidden="1" outlineLevel="1">
      <c r="A117" s="1044" t="s">
        <v>329</v>
      </c>
      <c r="D117" s="1061"/>
      <c r="F117" s="139"/>
      <c r="G117" s="372">
        <f t="shared" si="172"/>
        <v>6674.5360824742265</v>
      </c>
      <c r="H117" s="373">
        <f t="shared" si="172"/>
        <v>6674.5360824742265</v>
      </c>
      <c r="I117" s="373">
        <f t="shared" si="172"/>
        <v>6674.5360824742265</v>
      </c>
      <c r="J117" s="374">
        <f t="shared" si="172"/>
        <v>6674.5360824742265</v>
      </c>
      <c r="K117" s="407"/>
      <c r="L117" s="169"/>
      <c r="M117" s="1"/>
      <c r="N117" s="391">
        <f t="shared" si="173"/>
        <v>6674.5360824742265</v>
      </c>
      <c r="O117" s="392">
        <f t="shared" si="181"/>
        <v>6674.5360824742265</v>
      </c>
      <c r="P117" s="392">
        <f t="shared" si="181"/>
        <v>6674.5360824742265</v>
      </c>
      <c r="Q117" s="393">
        <f t="shared" si="181"/>
        <v>6674.5360824742265</v>
      </c>
      <c r="R117" s="295"/>
      <c r="S117" s="1"/>
      <c r="T117" s="391">
        <f t="shared" si="175"/>
        <v>6674.5360824742265</v>
      </c>
      <c r="U117" s="392">
        <f t="shared" si="182"/>
        <v>6674.5360824742265</v>
      </c>
      <c r="V117" s="392">
        <f t="shared" si="182"/>
        <v>6674.5360824742265</v>
      </c>
      <c r="W117" s="393">
        <f t="shared" si="182"/>
        <v>6674.5360824742265</v>
      </c>
      <c r="X117" s="1314"/>
      <c r="Y117" s="326"/>
      <c r="Z117" s="326"/>
      <c r="AA117" s="326"/>
      <c r="AB117" s="61"/>
      <c r="AC117" s="391">
        <f t="shared" si="177"/>
        <v>6674.5360824742265</v>
      </c>
      <c r="AD117" s="392">
        <f t="shared" si="183"/>
        <v>6674.5360824742265</v>
      </c>
      <c r="AE117" s="392">
        <f t="shared" si="178"/>
        <v>6674.5360824742265</v>
      </c>
      <c r="AF117" s="393">
        <f t="shared" si="178"/>
        <v>6674.5360824742265</v>
      </c>
      <c r="AG117" s="61"/>
      <c r="AH117" s="831"/>
      <c r="AI117" s="391">
        <f t="shared" si="179"/>
        <v>6674.5360824742265</v>
      </c>
      <c r="AJ117" s="392">
        <f t="shared" si="184"/>
        <v>6674.5360824742265</v>
      </c>
      <c r="AK117" s="392">
        <f t="shared" si="180"/>
        <v>6674.5360824742265</v>
      </c>
      <c r="AL117" s="393">
        <f t="shared" si="180"/>
        <v>6674.5360824742265</v>
      </c>
      <c r="AM117" s="832"/>
      <c r="AN117" s="560"/>
      <c r="AO117" s="84"/>
      <c r="AP117" s="84"/>
      <c r="AQ117" s="84"/>
      <c r="AR117" s="84"/>
      <c r="AS117" s="84"/>
      <c r="AT117" s="84"/>
      <c r="AU117" s="1"/>
      <c r="AV117" s="1"/>
      <c r="AW117" s="1"/>
      <c r="AX117" s="1"/>
      <c r="AY117" s="1"/>
      <c r="AZ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</row>
    <row r="118" spans="1:70" hidden="1" outlineLevel="1">
      <c r="A118" s="436"/>
      <c r="B118" s="2"/>
      <c r="C118" s="2"/>
      <c r="D118" s="1061"/>
      <c r="E118" s="2"/>
      <c r="G118" s="290"/>
      <c r="H118" s="429"/>
      <c r="I118" s="429"/>
      <c r="J118" s="429"/>
      <c r="K118" s="511"/>
      <c r="L118" s="429"/>
      <c r="M118" s="423"/>
      <c r="N118" s="169"/>
      <c r="O118" s="169"/>
      <c r="P118" s="169"/>
      <c r="Q118" s="169"/>
      <c r="T118" s="169"/>
      <c r="U118" s="169"/>
      <c r="V118" s="169"/>
      <c r="W118" s="169"/>
      <c r="AB118" s="154"/>
      <c r="AC118" s="154"/>
      <c r="AD118" s="154"/>
      <c r="AE118" s="154"/>
      <c r="AF118" s="154"/>
      <c r="AG118" s="154"/>
      <c r="AH118" s="615"/>
      <c r="AI118" s="154"/>
      <c r="AJ118" s="154"/>
      <c r="AK118" s="154"/>
      <c r="AL118" s="154"/>
      <c r="AM118" s="684"/>
      <c r="AN118" s="299"/>
      <c r="AO118" s="2"/>
      <c r="AP118" s="2"/>
      <c r="AQ118" s="2"/>
      <c r="AR118" s="2"/>
      <c r="AS118" s="2"/>
      <c r="AT118" s="2"/>
    </row>
    <row r="119" spans="1:70" s="425" customFormat="1" hidden="1" outlineLevel="1">
      <c r="A119" s="382" t="s">
        <v>345</v>
      </c>
      <c r="B119" s="452"/>
      <c r="C119" s="452"/>
      <c r="D119" s="1071"/>
      <c r="E119" s="452"/>
      <c r="F119" s="356"/>
      <c r="G119" s="343"/>
      <c r="H119" s="430"/>
      <c r="I119" s="430"/>
      <c r="J119" s="430"/>
      <c r="K119" s="512"/>
      <c r="L119" s="430"/>
      <c r="N119" s="399" t="s">
        <v>334</v>
      </c>
      <c r="O119" s="354"/>
      <c r="P119" s="354"/>
      <c r="Q119" s="354"/>
      <c r="R119" s="503"/>
      <c r="S119" s="43"/>
      <c r="T119" s="399" t="s">
        <v>334</v>
      </c>
      <c r="U119" s="354"/>
      <c r="V119" s="354"/>
      <c r="W119" s="354"/>
      <c r="X119" s="503"/>
      <c r="Y119" s="43"/>
      <c r="Z119" s="43"/>
      <c r="AA119" s="43"/>
      <c r="AB119" s="633"/>
      <c r="AC119" s="633"/>
      <c r="AD119" s="633"/>
      <c r="AE119" s="633"/>
      <c r="AF119" s="633"/>
      <c r="AG119" s="633"/>
      <c r="AH119" s="833"/>
      <c r="AI119" s="633"/>
      <c r="AJ119" s="633"/>
      <c r="AK119" s="633"/>
      <c r="AL119" s="633"/>
      <c r="AM119" s="834"/>
      <c r="AN119" s="562"/>
      <c r="AO119" s="356"/>
      <c r="AP119" s="356"/>
      <c r="AQ119" s="356"/>
      <c r="AR119" s="356"/>
      <c r="AS119" s="356"/>
      <c r="AT119" s="356"/>
      <c r="AU119" s="43"/>
      <c r="AV119" s="43"/>
      <c r="AW119" s="43"/>
      <c r="AX119" s="43"/>
      <c r="AY119" s="43"/>
      <c r="AZ119" s="43"/>
      <c r="BG119" s="43"/>
      <c r="BH119" s="43"/>
      <c r="BI119" s="43"/>
      <c r="BJ119" s="43"/>
      <c r="BK119" s="43"/>
      <c r="BL119" s="43"/>
      <c r="BM119" s="43"/>
      <c r="BN119" s="43"/>
      <c r="BO119" s="43"/>
      <c r="BP119" s="43"/>
      <c r="BQ119" s="43"/>
      <c r="BR119" s="43"/>
    </row>
    <row r="120" spans="1:70" hidden="1" outlineLevel="1">
      <c r="A120" s="1043" t="s">
        <v>327</v>
      </c>
      <c r="B120" s="2"/>
      <c r="C120" s="2"/>
      <c r="D120" s="1061"/>
      <c r="E120" s="2"/>
      <c r="G120" s="378">
        <f t="shared" ref="G120:G125" si="185">G128</f>
        <v>10.166666666666666</v>
      </c>
      <c r="H120" s="431">
        <f t="shared" ref="H120:J126" si="186">G120</f>
        <v>10.166666666666666</v>
      </c>
      <c r="I120" s="431">
        <f t="shared" si="186"/>
        <v>10.166666666666666</v>
      </c>
      <c r="J120" s="432">
        <f t="shared" si="186"/>
        <v>10.166666666666666</v>
      </c>
      <c r="K120" s="511"/>
      <c r="L120" s="429"/>
      <c r="M120" s="423"/>
      <c r="N120" s="378">
        <f>G120+0.7</f>
        <v>10.866666666666665</v>
      </c>
      <c r="O120" s="394">
        <f>N120</f>
        <v>10.866666666666665</v>
      </c>
      <c r="P120" s="394">
        <f t="shared" ref="P120:Q120" si="187">O120</f>
        <v>10.866666666666665</v>
      </c>
      <c r="Q120" s="395">
        <f t="shared" si="187"/>
        <v>10.866666666666665</v>
      </c>
      <c r="T120" s="378">
        <f t="shared" ref="T120:T126" si="188">N120</f>
        <v>10.866666666666665</v>
      </c>
      <c r="U120" s="394">
        <f>T120</f>
        <v>10.866666666666665</v>
      </c>
      <c r="V120" s="394">
        <f t="shared" ref="V120:W120" si="189">U120</f>
        <v>10.866666666666665</v>
      </c>
      <c r="W120" s="395">
        <f t="shared" si="189"/>
        <v>10.866666666666665</v>
      </c>
      <c r="AB120" s="154"/>
      <c r="AC120" s="378">
        <f>T120</f>
        <v>10.866666666666665</v>
      </c>
      <c r="AD120" s="394">
        <f>AC120</f>
        <v>10.866666666666665</v>
      </c>
      <c r="AE120" s="394">
        <f t="shared" ref="AE120:AF126" si="190">AD120</f>
        <v>10.866666666666665</v>
      </c>
      <c r="AF120" s="395">
        <f t="shared" si="190"/>
        <v>10.866666666666665</v>
      </c>
      <c r="AG120" s="154"/>
      <c r="AH120" s="615"/>
      <c r="AI120" s="378">
        <f>AC120</f>
        <v>10.866666666666665</v>
      </c>
      <c r="AJ120" s="394">
        <f>AI120</f>
        <v>10.866666666666665</v>
      </c>
      <c r="AK120" s="394">
        <f t="shared" ref="AK120:AL126" si="191">AJ120</f>
        <v>10.866666666666665</v>
      </c>
      <c r="AL120" s="395">
        <f t="shared" si="191"/>
        <v>10.866666666666665</v>
      </c>
      <c r="AM120" s="684"/>
      <c r="AN120" s="299"/>
      <c r="AO120" s="2"/>
      <c r="AP120" s="2"/>
      <c r="AQ120" s="2"/>
      <c r="AR120" s="2"/>
      <c r="AS120" s="2"/>
      <c r="AT120" s="2"/>
    </row>
    <row r="121" spans="1:70" hidden="1" outlineLevel="1">
      <c r="A121" s="436" t="s">
        <v>62</v>
      </c>
      <c r="B121" s="2"/>
      <c r="C121" s="2"/>
      <c r="D121" s="1061"/>
      <c r="E121" s="2"/>
      <c r="G121" s="379">
        <f t="shared" si="185"/>
        <v>7.7666666666666666</v>
      </c>
      <c r="H121" s="429">
        <f t="shared" si="186"/>
        <v>7.7666666666666666</v>
      </c>
      <c r="I121" s="429">
        <f t="shared" si="186"/>
        <v>7.7666666666666666</v>
      </c>
      <c r="J121" s="433">
        <f t="shared" si="186"/>
        <v>7.7666666666666666</v>
      </c>
      <c r="K121" s="511"/>
      <c r="L121" s="429"/>
      <c r="M121" s="423"/>
      <c r="N121" s="379">
        <f t="shared" ref="N121:N125" si="192">G121+0.7</f>
        <v>8.4666666666666668</v>
      </c>
      <c r="O121" s="290">
        <f t="shared" ref="O121:Q126" si="193">N121</f>
        <v>8.4666666666666668</v>
      </c>
      <c r="P121" s="290">
        <f t="shared" si="193"/>
        <v>8.4666666666666668</v>
      </c>
      <c r="Q121" s="396">
        <f t="shared" si="193"/>
        <v>8.4666666666666668</v>
      </c>
      <c r="T121" s="379">
        <f t="shared" si="188"/>
        <v>8.4666666666666668</v>
      </c>
      <c r="U121" s="290">
        <f t="shared" ref="U121:W126" si="194">T121</f>
        <v>8.4666666666666668</v>
      </c>
      <c r="V121" s="290">
        <f t="shared" si="194"/>
        <v>8.4666666666666668</v>
      </c>
      <c r="W121" s="396">
        <f t="shared" si="194"/>
        <v>8.4666666666666668</v>
      </c>
      <c r="AB121" s="154"/>
      <c r="AC121" s="379">
        <f t="shared" ref="AC121:AC126" si="195">T121</f>
        <v>8.4666666666666668</v>
      </c>
      <c r="AD121" s="290">
        <f t="shared" ref="AD121:AD126" si="196">AC121</f>
        <v>8.4666666666666668</v>
      </c>
      <c r="AE121" s="290">
        <f t="shared" si="190"/>
        <v>8.4666666666666668</v>
      </c>
      <c r="AF121" s="396">
        <f t="shared" si="190"/>
        <v>8.4666666666666668</v>
      </c>
      <c r="AG121" s="154"/>
      <c r="AH121" s="615"/>
      <c r="AI121" s="379">
        <f t="shared" ref="AI121:AI126" si="197">AC121</f>
        <v>8.4666666666666668</v>
      </c>
      <c r="AJ121" s="290">
        <f t="shared" ref="AJ121:AJ126" si="198">AI121</f>
        <v>8.4666666666666668</v>
      </c>
      <c r="AK121" s="290">
        <f t="shared" si="191"/>
        <v>8.4666666666666668</v>
      </c>
      <c r="AL121" s="396">
        <f t="shared" si="191"/>
        <v>8.4666666666666668</v>
      </c>
      <c r="AM121" s="684"/>
      <c r="AN121" s="299"/>
      <c r="AO121" s="2"/>
      <c r="AP121" s="2"/>
      <c r="AQ121" s="2"/>
      <c r="AR121" s="2"/>
      <c r="AS121" s="2"/>
      <c r="AT121" s="2"/>
    </row>
    <row r="122" spans="1:70" hidden="1" outlineLevel="1">
      <c r="A122" s="436" t="s">
        <v>65</v>
      </c>
      <c r="B122" s="2"/>
      <c r="C122" s="2"/>
      <c r="D122" s="1061"/>
      <c r="E122" s="2"/>
      <c r="G122" s="379">
        <f t="shared" si="185"/>
        <v>5.7666666666666666</v>
      </c>
      <c r="H122" s="429">
        <f t="shared" si="186"/>
        <v>5.7666666666666666</v>
      </c>
      <c r="I122" s="429">
        <f t="shared" si="186"/>
        <v>5.7666666666666666</v>
      </c>
      <c r="J122" s="433">
        <f t="shared" si="186"/>
        <v>5.7666666666666666</v>
      </c>
      <c r="K122" s="511"/>
      <c r="L122" s="429"/>
      <c r="M122" s="423"/>
      <c r="N122" s="379">
        <f t="shared" si="192"/>
        <v>6.4666666666666668</v>
      </c>
      <c r="O122" s="290">
        <f t="shared" si="193"/>
        <v>6.4666666666666668</v>
      </c>
      <c r="P122" s="290">
        <f t="shared" si="193"/>
        <v>6.4666666666666668</v>
      </c>
      <c r="Q122" s="396">
        <f t="shared" si="193"/>
        <v>6.4666666666666668</v>
      </c>
      <c r="T122" s="379">
        <f t="shared" si="188"/>
        <v>6.4666666666666668</v>
      </c>
      <c r="U122" s="290">
        <f t="shared" si="194"/>
        <v>6.4666666666666668</v>
      </c>
      <c r="V122" s="290">
        <f t="shared" si="194"/>
        <v>6.4666666666666668</v>
      </c>
      <c r="W122" s="396">
        <f t="shared" si="194"/>
        <v>6.4666666666666668</v>
      </c>
      <c r="AB122" s="154"/>
      <c r="AC122" s="379">
        <f t="shared" si="195"/>
        <v>6.4666666666666668</v>
      </c>
      <c r="AD122" s="290">
        <f t="shared" si="196"/>
        <v>6.4666666666666668</v>
      </c>
      <c r="AE122" s="290">
        <f t="shared" si="190"/>
        <v>6.4666666666666668</v>
      </c>
      <c r="AF122" s="396">
        <f t="shared" si="190"/>
        <v>6.4666666666666668</v>
      </c>
      <c r="AG122" s="154"/>
      <c r="AH122" s="615"/>
      <c r="AI122" s="379">
        <f t="shared" si="197"/>
        <v>6.4666666666666668</v>
      </c>
      <c r="AJ122" s="290">
        <f t="shared" si="198"/>
        <v>6.4666666666666668</v>
      </c>
      <c r="AK122" s="290">
        <f t="shared" si="191"/>
        <v>6.4666666666666668</v>
      </c>
      <c r="AL122" s="396">
        <f t="shared" si="191"/>
        <v>6.4666666666666668</v>
      </c>
      <c r="AM122" s="684"/>
      <c r="AN122" s="299"/>
      <c r="AO122" s="2"/>
      <c r="AP122" s="2"/>
      <c r="AQ122" s="2"/>
      <c r="AR122" s="2"/>
      <c r="AS122" s="2"/>
      <c r="AT122" s="2"/>
    </row>
    <row r="123" spans="1:70" hidden="1" outlineLevel="1">
      <c r="A123" s="436" t="s">
        <v>66</v>
      </c>
      <c r="B123" s="2"/>
      <c r="C123" s="2"/>
      <c r="D123" s="1061"/>
      <c r="E123" s="2"/>
      <c r="G123" s="379">
        <f t="shared" si="185"/>
        <v>4.9666666666666668</v>
      </c>
      <c r="H123" s="429">
        <f t="shared" si="186"/>
        <v>4.9666666666666668</v>
      </c>
      <c r="I123" s="429">
        <f t="shared" si="186"/>
        <v>4.9666666666666668</v>
      </c>
      <c r="J123" s="433">
        <f t="shared" si="186"/>
        <v>4.9666666666666668</v>
      </c>
      <c r="K123" s="511"/>
      <c r="L123" s="429"/>
      <c r="M123" s="423"/>
      <c r="N123" s="379">
        <f t="shared" si="192"/>
        <v>5.666666666666667</v>
      </c>
      <c r="O123" s="290">
        <f t="shared" si="193"/>
        <v>5.666666666666667</v>
      </c>
      <c r="P123" s="290">
        <f t="shared" si="193"/>
        <v>5.666666666666667</v>
      </c>
      <c r="Q123" s="396">
        <f t="shared" si="193"/>
        <v>5.666666666666667</v>
      </c>
      <c r="T123" s="379">
        <f t="shared" si="188"/>
        <v>5.666666666666667</v>
      </c>
      <c r="U123" s="290">
        <f t="shared" si="194"/>
        <v>5.666666666666667</v>
      </c>
      <c r="V123" s="290">
        <f t="shared" si="194"/>
        <v>5.666666666666667</v>
      </c>
      <c r="W123" s="396">
        <f t="shared" si="194"/>
        <v>5.666666666666667</v>
      </c>
      <c r="AB123" s="154"/>
      <c r="AC123" s="379">
        <f t="shared" si="195"/>
        <v>5.666666666666667</v>
      </c>
      <c r="AD123" s="290">
        <f t="shared" si="196"/>
        <v>5.666666666666667</v>
      </c>
      <c r="AE123" s="290">
        <f t="shared" si="190"/>
        <v>5.666666666666667</v>
      </c>
      <c r="AF123" s="396">
        <f t="shared" si="190"/>
        <v>5.666666666666667</v>
      </c>
      <c r="AG123" s="154"/>
      <c r="AH123" s="615"/>
      <c r="AI123" s="379">
        <f t="shared" si="197"/>
        <v>5.666666666666667</v>
      </c>
      <c r="AJ123" s="290">
        <f t="shared" si="198"/>
        <v>5.666666666666667</v>
      </c>
      <c r="AK123" s="290">
        <f t="shared" si="191"/>
        <v>5.666666666666667</v>
      </c>
      <c r="AL123" s="396">
        <f t="shared" si="191"/>
        <v>5.666666666666667</v>
      </c>
      <c r="AM123" s="684"/>
      <c r="AN123" s="299"/>
      <c r="AO123" s="2"/>
      <c r="AP123" s="2"/>
      <c r="AQ123" s="2"/>
      <c r="AR123" s="2"/>
      <c r="AS123" s="2"/>
      <c r="AT123" s="2"/>
    </row>
    <row r="124" spans="1:70" hidden="1" outlineLevel="1">
      <c r="A124" s="436" t="s">
        <v>328</v>
      </c>
      <c r="B124" s="2"/>
      <c r="C124" s="2"/>
      <c r="D124" s="1061"/>
      <c r="E124" s="2"/>
      <c r="G124" s="379">
        <f t="shared" si="185"/>
        <v>4.3</v>
      </c>
      <c r="H124" s="429">
        <f t="shared" si="186"/>
        <v>4.3</v>
      </c>
      <c r="I124" s="429">
        <f t="shared" si="186"/>
        <v>4.3</v>
      </c>
      <c r="J124" s="433">
        <f t="shared" si="186"/>
        <v>4.3</v>
      </c>
      <c r="K124" s="511"/>
      <c r="L124" s="429"/>
      <c r="M124" s="423"/>
      <c r="N124" s="379">
        <f t="shared" si="192"/>
        <v>5</v>
      </c>
      <c r="O124" s="290">
        <f t="shared" si="193"/>
        <v>5</v>
      </c>
      <c r="P124" s="290">
        <f t="shared" si="193"/>
        <v>5</v>
      </c>
      <c r="Q124" s="396">
        <f t="shared" si="193"/>
        <v>5</v>
      </c>
      <c r="T124" s="379">
        <f t="shared" si="188"/>
        <v>5</v>
      </c>
      <c r="U124" s="290">
        <f t="shared" si="194"/>
        <v>5</v>
      </c>
      <c r="V124" s="290">
        <f t="shared" si="194"/>
        <v>5</v>
      </c>
      <c r="W124" s="396">
        <f t="shared" si="194"/>
        <v>5</v>
      </c>
      <c r="AB124" s="154"/>
      <c r="AC124" s="379">
        <f t="shared" si="195"/>
        <v>5</v>
      </c>
      <c r="AD124" s="290">
        <f t="shared" si="196"/>
        <v>5</v>
      </c>
      <c r="AE124" s="290">
        <f t="shared" si="190"/>
        <v>5</v>
      </c>
      <c r="AF124" s="396">
        <f t="shared" si="190"/>
        <v>5</v>
      </c>
      <c r="AG124" s="154"/>
      <c r="AH124" s="615"/>
      <c r="AI124" s="379">
        <f t="shared" si="197"/>
        <v>5</v>
      </c>
      <c r="AJ124" s="290">
        <f t="shared" si="198"/>
        <v>5</v>
      </c>
      <c r="AK124" s="290">
        <f t="shared" si="191"/>
        <v>5</v>
      </c>
      <c r="AL124" s="396">
        <f t="shared" si="191"/>
        <v>5</v>
      </c>
      <c r="AM124" s="684"/>
      <c r="AN124" s="299"/>
      <c r="AO124" s="2"/>
      <c r="AP124" s="2"/>
      <c r="AQ124" s="2"/>
      <c r="AR124" s="2"/>
      <c r="AS124" s="2"/>
      <c r="AT124" s="2"/>
    </row>
    <row r="125" spans="1:70" hidden="1" outlineLevel="1">
      <c r="A125" s="1044" t="s">
        <v>329</v>
      </c>
      <c r="B125" s="2"/>
      <c r="C125" s="2"/>
      <c r="D125" s="1061"/>
      <c r="E125" s="2"/>
      <c r="G125" s="380">
        <f t="shared" si="185"/>
        <v>3.2333333333333334</v>
      </c>
      <c r="H125" s="434">
        <f t="shared" si="186"/>
        <v>3.2333333333333334</v>
      </c>
      <c r="I125" s="434">
        <f t="shared" si="186"/>
        <v>3.2333333333333334</v>
      </c>
      <c r="J125" s="435">
        <f t="shared" si="186"/>
        <v>3.2333333333333334</v>
      </c>
      <c r="K125" s="511"/>
      <c r="L125" s="429"/>
      <c r="M125" s="423"/>
      <c r="N125" s="380">
        <f t="shared" si="192"/>
        <v>3.9333333333333336</v>
      </c>
      <c r="O125" s="397">
        <f t="shared" si="193"/>
        <v>3.9333333333333336</v>
      </c>
      <c r="P125" s="397">
        <f t="shared" si="193"/>
        <v>3.9333333333333336</v>
      </c>
      <c r="Q125" s="398">
        <f t="shared" si="193"/>
        <v>3.9333333333333336</v>
      </c>
      <c r="T125" s="380">
        <f t="shared" si="188"/>
        <v>3.9333333333333336</v>
      </c>
      <c r="U125" s="397">
        <f t="shared" si="194"/>
        <v>3.9333333333333336</v>
      </c>
      <c r="V125" s="397">
        <f t="shared" si="194"/>
        <v>3.9333333333333336</v>
      </c>
      <c r="W125" s="398">
        <f t="shared" si="194"/>
        <v>3.9333333333333336</v>
      </c>
      <c r="AB125" s="154"/>
      <c r="AC125" s="380">
        <f t="shared" si="195"/>
        <v>3.9333333333333336</v>
      </c>
      <c r="AD125" s="397">
        <f t="shared" si="196"/>
        <v>3.9333333333333336</v>
      </c>
      <c r="AE125" s="397">
        <f t="shared" si="190"/>
        <v>3.9333333333333336</v>
      </c>
      <c r="AF125" s="398">
        <f t="shared" si="190"/>
        <v>3.9333333333333336</v>
      </c>
      <c r="AG125" s="154"/>
      <c r="AH125" s="615"/>
      <c r="AI125" s="380">
        <f t="shared" si="197"/>
        <v>3.9333333333333336</v>
      </c>
      <c r="AJ125" s="397">
        <f t="shared" si="198"/>
        <v>3.9333333333333336</v>
      </c>
      <c r="AK125" s="397">
        <f t="shared" si="191"/>
        <v>3.9333333333333336</v>
      </c>
      <c r="AL125" s="398">
        <f t="shared" si="191"/>
        <v>3.9333333333333336</v>
      </c>
      <c r="AM125" s="684"/>
      <c r="AN125" s="299"/>
      <c r="AO125" s="2"/>
      <c r="AP125" s="2"/>
      <c r="AQ125" s="2"/>
      <c r="AR125" s="2"/>
      <c r="AS125" s="2"/>
      <c r="AT125" s="2"/>
    </row>
    <row r="126" spans="1:70" s="762" customFormat="1" hidden="1" outlineLevel="1">
      <c r="A126" s="1045"/>
      <c r="B126" s="400"/>
      <c r="C126" s="400"/>
      <c r="D126" s="1073"/>
      <c r="E126" s="400"/>
      <c r="F126" s="400"/>
      <c r="G126" s="154">
        <f>AVERAGE(G120:G125)</f>
        <v>6.0333333333333323</v>
      </c>
      <c r="H126" s="400">
        <f t="shared" si="186"/>
        <v>6.0333333333333323</v>
      </c>
      <c r="I126" s="400">
        <f t="shared" si="186"/>
        <v>6.0333333333333323</v>
      </c>
      <c r="J126" s="400">
        <f t="shared" si="186"/>
        <v>6.0333333333333323</v>
      </c>
      <c r="K126" s="760"/>
      <c r="L126" s="400"/>
      <c r="N126" s="154">
        <f t="shared" ref="N126" si="199">G126+1</f>
        <v>7.0333333333333323</v>
      </c>
      <c r="O126" s="154">
        <f t="shared" si="193"/>
        <v>7.0333333333333323</v>
      </c>
      <c r="P126" s="154">
        <f t="shared" si="193"/>
        <v>7.0333333333333323</v>
      </c>
      <c r="Q126" s="154">
        <f t="shared" si="193"/>
        <v>7.0333333333333323</v>
      </c>
      <c r="R126" s="299"/>
      <c r="S126" s="154"/>
      <c r="T126" s="154">
        <f t="shared" si="188"/>
        <v>7.0333333333333323</v>
      </c>
      <c r="U126" s="154">
        <f t="shared" si="194"/>
        <v>7.0333333333333323</v>
      </c>
      <c r="V126" s="154">
        <f t="shared" si="194"/>
        <v>7.0333333333333323</v>
      </c>
      <c r="W126" s="154">
        <f t="shared" si="194"/>
        <v>7.0333333333333323</v>
      </c>
      <c r="X126" s="299"/>
      <c r="Y126" s="154"/>
      <c r="Z126" s="154"/>
      <c r="AA126" s="154"/>
      <c r="AB126" s="154"/>
      <c r="AC126" s="154">
        <f t="shared" si="195"/>
        <v>7.0333333333333323</v>
      </c>
      <c r="AD126" s="154">
        <f t="shared" si="196"/>
        <v>7.0333333333333323</v>
      </c>
      <c r="AE126" s="154">
        <f t="shared" si="190"/>
        <v>7.0333333333333323</v>
      </c>
      <c r="AF126" s="154">
        <f t="shared" si="190"/>
        <v>7.0333333333333323</v>
      </c>
      <c r="AG126" s="154"/>
      <c r="AH126" s="615"/>
      <c r="AI126" s="154">
        <f t="shared" si="197"/>
        <v>7.0333333333333323</v>
      </c>
      <c r="AJ126" s="154">
        <f t="shared" si="198"/>
        <v>7.0333333333333323</v>
      </c>
      <c r="AK126" s="154">
        <f t="shared" si="191"/>
        <v>7.0333333333333323</v>
      </c>
      <c r="AL126" s="154">
        <f t="shared" si="191"/>
        <v>7.0333333333333323</v>
      </c>
      <c r="AM126" s="684"/>
      <c r="AN126" s="299"/>
      <c r="AO126" s="400"/>
      <c r="AP126" s="400"/>
      <c r="AQ126" s="400"/>
      <c r="AR126" s="400"/>
      <c r="AS126" s="400"/>
      <c r="AT126" s="400"/>
      <c r="AU126" s="154"/>
      <c r="AV126" s="154"/>
      <c r="AW126" s="154"/>
      <c r="AX126" s="154"/>
      <c r="AY126" s="154"/>
      <c r="AZ126" s="154"/>
      <c r="BG126" s="154"/>
      <c r="BH126" s="154"/>
      <c r="BI126" s="154"/>
      <c r="BJ126" s="154"/>
      <c r="BK126" s="154"/>
      <c r="BL126" s="154"/>
      <c r="BM126" s="154"/>
      <c r="BN126" s="154"/>
      <c r="BO126" s="154"/>
      <c r="BP126" s="154"/>
      <c r="BQ126" s="154"/>
      <c r="BR126" s="154"/>
    </row>
    <row r="127" spans="1:70" s="425" customFormat="1" hidden="1" outlineLevel="1">
      <c r="A127" s="382" t="s">
        <v>346</v>
      </c>
      <c r="B127" s="452"/>
      <c r="C127" s="452"/>
      <c r="D127" s="1071"/>
      <c r="E127" s="452"/>
      <c r="F127" s="356"/>
      <c r="G127" s="354"/>
      <c r="H127" s="354"/>
      <c r="I127" s="354"/>
      <c r="J127" s="354"/>
      <c r="K127" s="512"/>
      <c r="L127" s="430"/>
      <c r="N127" s="354"/>
      <c r="O127" s="354"/>
      <c r="P127" s="354"/>
      <c r="Q127" s="354"/>
      <c r="R127" s="503"/>
      <c r="S127" s="43"/>
      <c r="T127" s="354"/>
      <c r="U127" s="354"/>
      <c r="V127" s="354"/>
      <c r="W127" s="354"/>
      <c r="X127" s="503"/>
      <c r="Y127" s="43"/>
      <c r="Z127" s="43"/>
      <c r="AA127" s="43"/>
      <c r="AB127" s="633"/>
      <c r="AC127" s="633"/>
      <c r="AD127" s="633"/>
      <c r="AE127" s="633"/>
      <c r="AF127" s="633"/>
      <c r="AG127" s="633"/>
      <c r="AH127" s="833"/>
      <c r="AI127" s="633"/>
      <c r="AJ127" s="633"/>
      <c r="AK127" s="633"/>
      <c r="AL127" s="633"/>
      <c r="AM127" s="834"/>
      <c r="AN127" s="562"/>
      <c r="AO127" s="356"/>
      <c r="AP127" s="356"/>
      <c r="AQ127" s="356"/>
      <c r="AR127" s="356"/>
      <c r="AS127" s="356"/>
      <c r="AT127" s="356"/>
      <c r="AU127" s="43"/>
      <c r="AV127" s="43"/>
      <c r="AW127" s="43"/>
      <c r="AX127" s="43"/>
      <c r="AY127" s="43"/>
      <c r="AZ127" s="43"/>
      <c r="BG127" s="43"/>
      <c r="BH127" s="43"/>
      <c r="BI127" s="43"/>
      <c r="BJ127" s="43"/>
      <c r="BK127" s="43"/>
      <c r="BL127" s="43"/>
      <c r="BM127" s="43"/>
      <c r="BN127" s="43"/>
      <c r="BO127" s="43"/>
      <c r="BP127" s="43"/>
      <c r="BQ127" s="43"/>
      <c r="BR127" s="43"/>
    </row>
    <row r="128" spans="1:70" hidden="1" outlineLevel="1">
      <c r="A128" s="1043" t="s">
        <v>327</v>
      </c>
      <c r="B128" s="2"/>
      <c r="C128" s="2"/>
      <c r="D128" s="1061"/>
      <c r="E128" s="2"/>
      <c r="G128" s="378">
        <f>'MPS др метрики'!E110</f>
        <v>10.166666666666666</v>
      </c>
      <c r="H128" s="431">
        <f t="shared" ref="H128:J133" si="200">G128</f>
        <v>10.166666666666666</v>
      </c>
      <c r="I128" s="431">
        <f t="shared" si="200"/>
        <v>10.166666666666666</v>
      </c>
      <c r="J128" s="431">
        <f t="shared" si="200"/>
        <v>10.166666666666666</v>
      </c>
      <c r="K128" s="511"/>
      <c r="L128" s="429"/>
      <c r="M128" s="423"/>
      <c r="N128" s="378">
        <f t="shared" ref="N128:Q133" si="201">G128</f>
        <v>10.166666666666666</v>
      </c>
      <c r="O128" s="394">
        <f t="shared" si="201"/>
        <v>10.166666666666666</v>
      </c>
      <c r="P128" s="394">
        <f t="shared" si="201"/>
        <v>10.166666666666666</v>
      </c>
      <c r="Q128" s="395">
        <f t="shared" si="201"/>
        <v>10.166666666666666</v>
      </c>
      <c r="T128" s="378">
        <f t="shared" ref="T128:W133" si="202">N128</f>
        <v>10.166666666666666</v>
      </c>
      <c r="U128" s="394">
        <f t="shared" si="202"/>
        <v>10.166666666666666</v>
      </c>
      <c r="V128" s="394">
        <f t="shared" si="202"/>
        <v>10.166666666666666</v>
      </c>
      <c r="W128" s="395">
        <f t="shared" si="202"/>
        <v>10.166666666666666</v>
      </c>
      <c r="AB128" s="154"/>
      <c r="AC128" s="378">
        <f t="shared" ref="AC128:AF133" si="203">T128</f>
        <v>10.166666666666666</v>
      </c>
      <c r="AD128" s="394">
        <f t="shared" si="203"/>
        <v>10.166666666666666</v>
      </c>
      <c r="AE128" s="394">
        <f t="shared" si="203"/>
        <v>10.166666666666666</v>
      </c>
      <c r="AF128" s="395">
        <f t="shared" si="203"/>
        <v>10.166666666666666</v>
      </c>
      <c r="AG128" s="154"/>
      <c r="AH128" s="615"/>
      <c r="AI128" s="378">
        <f t="shared" ref="AI128:AL133" si="204">AC128</f>
        <v>10.166666666666666</v>
      </c>
      <c r="AJ128" s="394">
        <f t="shared" si="204"/>
        <v>10.166666666666666</v>
      </c>
      <c r="AK128" s="394">
        <f t="shared" si="204"/>
        <v>10.166666666666666</v>
      </c>
      <c r="AL128" s="395">
        <f t="shared" si="204"/>
        <v>10.166666666666666</v>
      </c>
      <c r="AM128" s="684"/>
      <c r="AN128" s="299"/>
      <c r="AO128" s="2"/>
      <c r="AP128" s="2"/>
      <c r="AQ128" s="2"/>
      <c r="AR128" s="2"/>
      <c r="AS128" s="2"/>
      <c r="AT128" s="2"/>
    </row>
    <row r="129" spans="1:70" hidden="1" outlineLevel="1">
      <c r="A129" s="436" t="s">
        <v>62</v>
      </c>
      <c r="B129" s="2"/>
      <c r="C129" s="2"/>
      <c r="D129" s="1061"/>
      <c r="E129" s="2"/>
      <c r="G129" s="379">
        <f>'MPS др метрики'!E111</f>
        <v>7.7666666666666666</v>
      </c>
      <c r="H129" s="429">
        <f t="shared" si="200"/>
        <v>7.7666666666666666</v>
      </c>
      <c r="I129" s="429">
        <f t="shared" si="200"/>
        <v>7.7666666666666666</v>
      </c>
      <c r="J129" s="429">
        <f t="shared" si="200"/>
        <v>7.7666666666666666</v>
      </c>
      <c r="K129" s="511"/>
      <c r="L129" s="429"/>
      <c r="M129" s="423"/>
      <c r="N129" s="379">
        <f t="shared" si="201"/>
        <v>7.7666666666666666</v>
      </c>
      <c r="O129" s="290">
        <f t="shared" si="201"/>
        <v>7.7666666666666666</v>
      </c>
      <c r="P129" s="290">
        <f t="shared" si="201"/>
        <v>7.7666666666666666</v>
      </c>
      <c r="Q129" s="396">
        <f t="shared" si="201"/>
        <v>7.7666666666666666</v>
      </c>
      <c r="T129" s="379">
        <f t="shared" si="202"/>
        <v>7.7666666666666666</v>
      </c>
      <c r="U129" s="290">
        <f t="shared" si="202"/>
        <v>7.7666666666666666</v>
      </c>
      <c r="V129" s="290">
        <f t="shared" si="202"/>
        <v>7.7666666666666666</v>
      </c>
      <c r="W129" s="396">
        <f t="shared" si="202"/>
        <v>7.7666666666666666</v>
      </c>
      <c r="AB129" s="154"/>
      <c r="AC129" s="379">
        <f t="shared" si="203"/>
        <v>7.7666666666666666</v>
      </c>
      <c r="AD129" s="290">
        <f t="shared" si="203"/>
        <v>7.7666666666666666</v>
      </c>
      <c r="AE129" s="290">
        <f t="shared" si="203"/>
        <v>7.7666666666666666</v>
      </c>
      <c r="AF129" s="396">
        <f t="shared" si="203"/>
        <v>7.7666666666666666</v>
      </c>
      <c r="AG129" s="154"/>
      <c r="AH129" s="615"/>
      <c r="AI129" s="379">
        <f t="shared" si="204"/>
        <v>7.7666666666666666</v>
      </c>
      <c r="AJ129" s="290">
        <f t="shared" si="204"/>
        <v>7.7666666666666666</v>
      </c>
      <c r="AK129" s="290">
        <f t="shared" si="204"/>
        <v>7.7666666666666666</v>
      </c>
      <c r="AL129" s="396">
        <f t="shared" si="204"/>
        <v>7.7666666666666666</v>
      </c>
      <c r="AM129" s="684"/>
      <c r="AN129" s="299"/>
      <c r="AO129" s="2"/>
      <c r="AP129" s="2"/>
      <c r="AQ129" s="2"/>
      <c r="AR129" s="2"/>
      <c r="AS129" s="2"/>
      <c r="AT129" s="2"/>
    </row>
    <row r="130" spans="1:70" hidden="1" outlineLevel="1">
      <c r="A130" s="436" t="s">
        <v>65</v>
      </c>
      <c r="B130" s="2"/>
      <c r="C130" s="2"/>
      <c r="D130" s="1061"/>
      <c r="E130" s="2"/>
      <c r="G130" s="379">
        <f>'MPS др метрики'!E112</f>
        <v>5.7666666666666666</v>
      </c>
      <c r="H130" s="429">
        <f t="shared" si="200"/>
        <v>5.7666666666666666</v>
      </c>
      <c r="I130" s="429">
        <f t="shared" si="200"/>
        <v>5.7666666666666666</v>
      </c>
      <c r="J130" s="429">
        <f t="shared" si="200"/>
        <v>5.7666666666666666</v>
      </c>
      <c r="K130" s="511"/>
      <c r="L130" s="429"/>
      <c r="M130" s="423"/>
      <c r="N130" s="379">
        <f t="shared" si="201"/>
        <v>5.7666666666666666</v>
      </c>
      <c r="O130" s="290">
        <f t="shared" si="201"/>
        <v>5.7666666666666666</v>
      </c>
      <c r="P130" s="290">
        <f t="shared" si="201"/>
        <v>5.7666666666666666</v>
      </c>
      <c r="Q130" s="396">
        <f t="shared" si="201"/>
        <v>5.7666666666666666</v>
      </c>
      <c r="T130" s="379">
        <f t="shared" si="202"/>
        <v>5.7666666666666666</v>
      </c>
      <c r="U130" s="290">
        <f t="shared" si="202"/>
        <v>5.7666666666666666</v>
      </c>
      <c r="V130" s="290">
        <f t="shared" si="202"/>
        <v>5.7666666666666666</v>
      </c>
      <c r="W130" s="396">
        <f t="shared" si="202"/>
        <v>5.7666666666666666</v>
      </c>
      <c r="AB130" s="154"/>
      <c r="AC130" s="379">
        <f t="shared" si="203"/>
        <v>5.7666666666666666</v>
      </c>
      <c r="AD130" s="290">
        <f t="shared" si="203"/>
        <v>5.7666666666666666</v>
      </c>
      <c r="AE130" s="290">
        <f t="shared" si="203"/>
        <v>5.7666666666666666</v>
      </c>
      <c r="AF130" s="396">
        <f t="shared" si="203"/>
        <v>5.7666666666666666</v>
      </c>
      <c r="AG130" s="154"/>
      <c r="AH130" s="615"/>
      <c r="AI130" s="379">
        <f t="shared" si="204"/>
        <v>5.7666666666666666</v>
      </c>
      <c r="AJ130" s="290">
        <f t="shared" si="204"/>
        <v>5.7666666666666666</v>
      </c>
      <c r="AK130" s="290">
        <f t="shared" si="204"/>
        <v>5.7666666666666666</v>
      </c>
      <c r="AL130" s="396">
        <f t="shared" si="204"/>
        <v>5.7666666666666666</v>
      </c>
      <c r="AM130" s="684"/>
      <c r="AN130" s="299"/>
      <c r="AO130" s="2"/>
      <c r="AP130" s="2"/>
      <c r="AQ130" s="2"/>
      <c r="AR130" s="2"/>
      <c r="AS130" s="2"/>
      <c r="AT130" s="2"/>
    </row>
    <row r="131" spans="1:70" hidden="1" outlineLevel="1">
      <c r="A131" s="436" t="s">
        <v>66</v>
      </c>
      <c r="B131" s="2"/>
      <c r="C131" s="2"/>
      <c r="D131" s="1061"/>
      <c r="E131" s="2"/>
      <c r="G131" s="379">
        <f>'MPS др метрики'!E113</f>
        <v>4.9666666666666668</v>
      </c>
      <c r="H131" s="429">
        <f t="shared" si="200"/>
        <v>4.9666666666666668</v>
      </c>
      <c r="I131" s="429">
        <f t="shared" si="200"/>
        <v>4.9666666666666668</v>
      </c>
      <c r="J131" s="429">
        <f t="shared" si="200"/>
        <v>4.9666666666666668</v>
      </c>
      <c r="K131" s="511"/>
      <c r="L131" s="429"/>
      <c r="M131" s="423"/>
      <c r="N131" s="379">
        <f t="shared" si="201"/>
        <v>4.9666666666666668</v>
      </c>
      <c r="O131" s="290">
        <f t="shared" si="201"/>
        <v>4.9666666666666668</v>
      </c>
      <c r="P131" s="290">
        <f t="shared" si="201"/>
        <v>4.9666666666666668</v>
      </c>
      <c r="Q131" s="396">
        <f t="shared" si="201"/>
        <v>4.9666666666666668</v>
      </c>
      <c r="T131" s="379">
        <f t="shared" si="202"/>
        <v>4.9666666666666668</v>
      </c>
      <c r="U131" s="290">
        <f t="shared" si="202"/>
        <v>4.9666666666666668</v>
      </c>
      <c r="V131" s="290">
        <f t="shared" si="202"/>
        <v>4.9666666666666668</v>
      </c>
      <c r="W131" s="396">
        <f t="shared" si="202"/>
        <v>4.9666666666666668</v>
      </c>
      <c r="AB131" s="154"/>
      <c r="AC131" s="379">
        <f t="shared" si="203"/>
        <v>4.9666666666666668</v>
      </c>
      <c r="AD131" s="290">
        <f t="shared" si="203"/>
        <v>4.9666666666666668</v>
      </c>
      <c r="AE131" s="290">
        <f t="shared" si="203"/>
        <v>4.9666666666666668</v>
      </c>
      <c r="AF131" s="396">
        <f t="shared" si="203"/>
        <v>4.9666666666666668</v>
      </c>
      <c r="AG131" s="154"/>
      <c r="AH131" s="615"/>
      <c r="AI131" s="379">
        <f t="shared" si="204"/>
        <v>4.9666666666666668</v>
      </c>
      <c r="AJ131" s="290">
        <f t="shared" si="204"/>
        <v>4.9666666666666668</v>
      </c>
      <c r="AK131" s="290">
        <f t="shared" si="204"/>
        <v>4.9666666666666668</v>
      </c>
      <c r="AL131" s="396">
        <f t="shared" si="204"/>
        <v>4.9666666666666668</v>
      </c>
      <c r="AM131" s="684"/>
      <c r="AN131" s="299"/>
      <c r="AO131" s="2"/>
      <c r="AP131" s="2"/>
      <c r="AQ131" s="2"/>
      <c r="AR131" s="2"/>
      <c r="AS131" s="2"/>
      <c r="AT131" s="2"/>
    </row>
    <row r="132" spans="1:70" hidden="1" outlineLevel="1">
      <c r="A132" s="436" t="s">
        <v>328</v>
      </c>
      <c r="B132" s="2"/>
      <c r="C132" s="2"/>
      <c r="D132" s="1061"/>
      <c r="E132" s="2"/>
      <c r="G132" s="379">
        <f>'MPS др метрики'!E114</f>
        <v>4.3</v>
      </c>
      <c r="H132" s="429">
        <f t="shared" si="200"/>
        <v>4.3</v>
      </c>
      <c r="I132" s="429">
        <f t="shared" si="200"/>
        <v>4.3</v>
      </c>
      <c r="J132" s="429">
        <f t="shared" si="200"/>
        <v>4.3</v>
      </c>
      <c r="K132" s="511"/>
      <c r="L132" s="429"/>
      <c r="M132" s="423"/>
      <c r="N132" s="379">
        <f t="shared" si="201"/>
        <v>4.3</v>
      </c>
      <c r="O132" s="290">
        <f t="shared" si="201"/>
        <v>4.3</v>
      </c>
      <c r="P132" s="290">
        <f t="shared" si="201"/>
        <v>4.3</v>
      </c>
      <c r="Q132" s="396">
        <f t="shared" si="201"/>
        <v>4.3</v>
      </c>
      <c r="T132" s="379">
        <f t="shared" si="202"/>
        <v>4.3</v>
      </c>
      <c r="U132" s="290">
        <f t="shared" si="202"/>
        <v>4.3</v>
      </c>
      <c r="V132" s="290">
        <f t="shared" si="202"/>
        <v>4.3</v>
      </c>
      <c r="W132" s="396">
        <f t="shared" si="202"/>
        <v>4.3</v>
      </c>
      <c r="AB132" s="154"/>
      <c r="AC132" s="379">
        <f t="shared" si="203"/>
        <v>4.3</v>
      </c>
      <c r="AD132" s="290">
        <f t="shared" si="203"/>
        <v>4.3</v>
      </c>
      <c r="AE132" s="290">
        <f t="shared" si="203"/>
        <v>4.3</v>
      </c>
      <c r="AF132" s="396">
        <f t="shared" si="203"/>
        <v>4.3</v>
      </c>
      <c r="AG132" s="154"/>
      <c r="AH132" s="615"/>
      <c r="AI132" s="379">
        <f t="shared" si="204"/>
        <v>4.3</v>
      </c>
      <c r="AJ132" s="290">
        <f t="shared" si="204"/>
        <v>4.3</v>
      </c>
      <c r="AK132" s="290">
        <f t="shared" si="204"/>
        <v>4.3</v>
      </c>
      <c r="AL132" s="396">
        <f t="shared" si="204"/>
        <v>4.3</v>
      </c>
      <c r="AM132" s="684"/>
      <c r="AN132" s="299"/>
      <c r="AO132" s="2"/>
      <c r="AP132" s="2"/>
      <c r="AQ132" s="2"/>
      <c r="AR132" s="2"/>
      <c r="AS132" s="2"/>
      <c r="AT132" s="2"/>
    </row>
    <row r="133" spans="1:70" hidden="1" outlineLevel="1">
      <c r="A133" s="1044" t="s">
        <v>329</v>
      </c>
      <c r="B133" s="2"/>
      <c r="C133" s="2"/>
      <c r="D133" s="1061"/>
      <c r="E133" s="2"/>
      <c r="G133" s="380">
        <f>'MPS др метрики'!E115</f>
        <v>3.2333333333333334</v>
      </c>
      <c r="H133" s="434">
        <f t="shared" si="200"/>
        <v>3.2333333333333334</v>
      </c>
      <c r="I133" s="434">
        <f t="shared" si="200"/>
        <v>3.2333333333333334</v>
      </c>
      <c r="J133" s="434">
        <f t="shared" si="200"/>
        <v>3.2333333333333334</v>
      </c>
      <c r="K133" s="511"/>
      <c r="L133" s="429"/>
      <c r="M133" s="423"/>
      <c r="N133" s="380">
        <f t="shared" si="201"/>
        <v>3.2333333333333334</v>
      </c>
      <c r="O133" s="397">
        <f t="shared" si="201"/>
        <v>3.2333333333333334</v>
      </c>
      <c r="P133" s="397">
        <f t="shared" si="201"/>
        <v>3.2333333333333334</v>
      </c>
      <c r="Q133" s="398">
        <f t="shared" si="201"/>
        <v>3.2333333333333334</v>
      </c>
      <c r="T133" s="380">
        <f t="shared" si="202"/>
        <v>3.2333333333333334</v>
      </c>
      <c r="U133" s="397">
        <f t="shared" si="202"/>
        <v>3.2333333333333334</v>
      </c>
      <c r="V133" s="397">
        <f t="shared" si="202"/>
        <v>3.2333333333333334</v>
      </c>
      <c r="W133" s="398">
        <f t="shared" si="202"/>
        <v>3.2333333333333334</v>
      </c>
      <c r="AB133" s="154"/>
      <c r="AC133" s="380">
        <f t="shared" si="203"/>
        <v>3.2333333333333334</v>
      </c>
      <c r="AD133" s="397">
        <f t="shared" si="203"/>
        <v>3.2333333333333334</v>
      </c>
      <c r="AE133" s="397">
        <f t="shared" si="203"/>
        <v>3.2333333333333334</v>
      </c>
      <c r="AF133" s="398">
        <f t="shared" si="203"/>
        <v>3.2333333333333334</v>
      </c>
      <c r="AG133" s="154"/>
      <c r="AH133" s="615"/>
      <c r="AI133" s="380">
        <f t="shared" si="204"/>
        <v>3.2333333333333334</v>
      </c>
      <c r="AJ133" s="397">
        <f t="shared" si="204"/>
        <v>3.2333333333333334</v>
      </c>
      <c r="AK133" s="397">
        <f t="shared" si="204"/>
        <v>3.2333333333333334</v>
      </c>
      <c r="AL133" s="398">
        <f t="shared" si="204"/>
        <v>3.2333333333333334</v>
      </c>
      <c r="AM133" s="684"/>
      <c r="AN133" s="299"/>
      <c r="AO133" s="2"/>
      <c r="AP133" s="2"/>
      <c r="AQ133" s="2"/>
      <c r="AR133" s="2"/>
      <c r="AS133" s="2"/>
      <c r="AT133" s="2"/>
    </row>
    <row r="134" spans="1:70" hidden="1" outlineLevel="1">
      <c r="A134" s="436"/>
      <c r="B134" s="2"/>
      <c r="C134" s="2"/>
      <c r="D134" s="1061"/>
      <c r="E134" s="2"/>
      <c r="G134" s="169"/>
      <c r="H134" s="169"/>
      <c r="I134" s="169"/>
      <c r="J134" s="169"/>
      <c r="K134" s="407"/>
      <c r="L134" s="169"/>
      <c r="M134" s="423"/>
      <c r="N134" s="169"/>
      <c r="O134" s="169"/>
      <c r="P134" s="169"/>
      <c r="Q134" s="169"/>
      <c r="T134" s="169"/>
      <c r="U134" s="169"/>
      <c r="V134" s="169"/>
      <c r="W134" s="169"/>
      <c r="AB134" s="154"/>
      <c r="AC134" s="154"/>
      <c r="AD134" s="154"/>
      <c r="AE134" s="154"/>
      <c r="AF134" s="154"/>
      <c r="AG134" s="154"/>
      <c r="AH134" s="615"/>
      <c r="AI134" s="154"/>
      <c r="AJ134" s="154"/>
      <c r="AK134" s="154"/>
      <c r="AL134" s="154"/>
      <c r="AM134" s="684"/>
      <c r="AN134" s="299"/>
      <c r="AO134" s="2"/>
      <c r="AP134" s="2"/>
      <c r="AQ134" s="2"/>
      <c r="AR134" s="2"/>
      <c r="AS134" s="2"/>
      <c r="AT134" s="2"/>
    </row>
    <row r="135" spans="1:70" hidden="1" outlineLevel="1">
      <c r="A135" s="436"/>
      <c r="B135" s="2"/>
      <c r="C135" s="2"/>
      <c r="D135" s="1061"/>
      <c r="E135" s="2"/>
      <c r="G135" s="169"/>
      <c r="AO135" s="2"/>
      <c r="AP135" s="2"/>
      <c r="AQ135" s="2"/>
      <c r="AR135" s="2"/>
      <c r="AS135" s="2"/>
      <c r="AT135" s="2"/>
    </row>
    <row r="136" spans="1:70" s="418" customFormat="1" ht="20" hidden="1" outlineLevel="1">
      <c r="A136" s="1041" t="s">
        <v>349</v>
      </c>
      <c r="B136" s="417"/>
      <c r="C136" s="417"/>
      <c r="D136" s="1069"/>
      <c r="E136" s="417"/>
      <c r="G136" s="419"/>
      <c r="H136" s="420"/>
      <c r="I136" s="420"/>
      <c r="J136" s="420"/>
      <c r="K136" s="500"/>
      <c r="L136" s="420"/>
      <c r="N136" s="421"/>
      <c r="O136" s="421"/>
      <c r="P136" s="421"/>
      <c r="Q136" s="421"/>
      <c r="R136" s="531"/>
      <c r="S136" s="421"/>
      <c r="T136" s="420"/>
      <c r="U136" s="420"/>
      <c r="V136" s="420"/>
      <c r="W136" s="420"/>
      <c r="X136" s="500"/>
      <c r="Y136" s="420"/>
      <c r="Z136" s="420"/>
      <c r="AA136" s="420"/>
      <c r="AB136" s="420"/>
      <c r="AC136" s="420"/>
      <c r="AD136" s="420"/>
      <c r="AE136" s="420"/>
      <c r="AF136" s="420"/>
      <c r="AG136" s="420"/>
      <c r="AH136" s="822"/>
      <c r="AI136" s="420"/>
      <c r="AJ136" s="420"/>
      <c r="AK136" s="420"/>
      <c r="AL136" s="420"/>
      <c r="AM136" s="823"/>
      <c r="AN136" s="500"/>
      <c r="AO136" s="417"/>
      <c r="AP136" s="417"/>
      <c r="AQ136" s="417"/>
      <c r="AR136" s="417"/>
      <c r="AS136" s="417"/>
      <c r="AT136" s="417"/>
      <c r="AU136" s="421"/>
      <c r="AV136" s="421"/>
      <c r="AW136" s="421"/>
      <c r="AX136" s="421"/>
      <c r="AY136" s="421"/>
      <c r="AZ136" s="421"/>
      <c r="BG136" s="421"/>
      <c r="BH136" s="421"/>
      <c r="BI136" s="421"/>
      <c r="BJ136" s="421"/>
      <c r="BK136" s="421"/>
      <c r="BL136" s="421"/>
      <c r="BM136" s="421"/>
      <c r="BN136" s="421"/>
      <c r="BO136" s="421"/>
      <c r="BP136" s="421"/>
      <c r="BQ136" s="421"/>
      <c r="BR136" s="421"/>
    </row>
    <row r="137" spans="1:70" ht="20" hidden="1" outlineLevel="1">
      <c r="A137" s="87" t="s">
        <v>350</v>
      </c>
      <c r="F137" s="729"/>
      <c r="G137" s="169">
        <v>60000</v>
      </c>
      <c r="H137" s="169">
        <f>G137</f>
        <v>60000</v>
      </c>
      <c r="I137" s="169">
        <f t="shared" ref="I137:J139" si="205">H137</f>
        <v>60000</v>
      </c>
      <c r="J137" s="169">
        <f t="shared" si="205"/>
        <v>60000</v>
      </c>
      <c r="K137" s="407"/>
      <c r="L137" s="169"/>
      <c r="N137" s="169">
        <f t="shared" ref="N137:Q138" si="206">G137</f>
        <v>60000</v>
      </c>
      <c r="O137" s="169">
        <f t="shared" si="206"/>
        <v>60000</v>
      </c>
      <c r="P137" s="169">
        <f t="shared" si="206"/>
        <v>60000</v>
      </c>
      <c r="Q137" s="169">
        <f t="shared" si="206"/>
        <v>60000</v>
      </c>
      <c r="R137" s="407"/>
      <c r="S137" s="788"/>
      <c r="T137" s="169">
        <f t="shared" ref="T137:W138" si="207">N137</f>
        <v>60000</v>
      </c>
      <c r="U137" s="169">
        <f t="shared" si="207"/>
        <v>60000</v>
      </c>
      <c r="V137" s="169">
        <f t="shared" si="207"/>
        <v>60000</v>
      </c>
      <c r="W137" s="169">
        <f t="shared" si="207"/>
        <v>60000</v>
      </c>
      <c r="AB137" s="788"/>
      <c r="AC137" s="169">
        <f t="shared" ref="AC137:AF138" si="208">T137</f>
        <v>60000</v>
      </c>
      <c r="AD137" s="169">
        <f t="shared" si="208"/>
        <v>60000</v>
      </c>
      <c r="AE137" s="169">
        <f t="shared" si="208"/>
        <v>60000</v>
      </c>
      <c r="AF137" s="169">
        <f t="shared" si="208"/>
        <v>60000</v>
      </c>
      <c r="AH137" s="835"/>
      <c r="AI137" s="169">
        <f>AC137</f>
        <v>60000</v>
      </c>
      <c r="AJ137" s="169">
        <f t="shared" ref="AJ137:AL138" si="209">AD137</f>
        <v>60000</v>
      </c>
      <c r="AK137" s="169">
        <f t="shared" si="209"/>
        <v>60000</v>
      </c>
      <c r="AL137" s="169">
        <f t="shared" si="209"/>
        <v>60000</v>
      </c>
      <c r="AO137" s="13"/>
      <c r="AP137" s="13"/>
      <c r="AQ137" s="13"/>
      <c r="AR137" s="13"/>
      <c r="AS137" s="13"/>
      <c r="AT137" s="13"/>
    </row>
    <row r="138" spans="1:70" ht="20" hidden="1" outlineLevel="1">
      <c r="A138" s="87" t="s">
        <v>351</v>
      </c>
      <c r="F138" s="729"/>
      <c r="G138" s="169">
        <v>40000</v>
      </c>
      <c r="H138" s="169">
        <f>G138</f>
        <v>40000</v>
      </c>
      <c r="I138" s="169">
        <f t="shared" si="205"/>
        <v>40000</v>
      </c>
      <c r="J138" s="169">
        <f t="shared" si="205"/>
        <v>40000</v>
      </c>
      <c r="K138" s="407"/>
      <c r="L138" s="169"/>
      <c r="N138" s="169">
        <f t="shared" si="206"/>
        <v>40000</v>
      </c>
      <c r="O138" s="169">
        <f t="shared" si="206"/>
        <v>40000</v>
      </c>
      <c r="P138" s="169">
        <f t="shared" si="206"/>
        <v>40000</v>
      </c>
      <c r="Q138" s="169">
        <f t="shared" si="206"/>
        <v>40000</v>
      </c>
      <c r="R138" s="407"/>
      <c r="S138" s="788"/>
      <c r="T138" s="169">
        <f t="shared" si="207"/>
        <v>40000</v>
      </c>
      <c r="U138" s="169">
        <f t="shared" si="207"/>
        <v>40000</v>
      </c>
      <c r="V138" s="169">
        <f t="shared" si="207"/>
        <v>40000</v>
      </c>
      <c r="W138" s="169">
        <f t="shared" si="207"/>
        <v>40000</v>
      </c>
      <c r="AB138" s="788"/>
      <c r="AC138" s="169">
        <f t="shared" si="208"/>
        <v>40000</v>
      </c>
      <c r="AD138" s="169">
        <f t="shared" si="208"/>
        <v>40000</v>
      </c>
      <c r="AE138" s="169">
        <f t="shared" si="208"/>
        <v>40000</v>
      </c>
      <c r="AF138" s="169">
        <f t="shared" si="208"/>
        <v>40000</v>
      </c>
      <c r="AH138" s="835"/>
      <c r="AI138" s="169">
        <f>AC138</f>
        <v>40000</v>
      </c>
      <c r="AJ138" s="169">
        <f t="shared" si="209"/>
        <v>40000</v>
      </c>
      <c r="AK138" s="169">
        <f t="shared" si="209"/>
        <v>40000</v>
      </c>
      <c r="AL138" s="169">
        <f t="shared" si="209"/>
        <v>40000</v>
      </c>
      <c r="AO138" s="13"/>
      <c r="AP138" s="13"/>
      <c r="AQ138" s="13"/>
      <c r="AR138" s="13"/>
      <c r="AS138" s="13"/>
      <c r="AT138" s="13"/>
    </row>
    <row r="139" spans="1:70" s="425" customFormat="1" ht="40" hidden="1" outlineLevel="1">
      <c r="A139" s="529" t="s">
        <v>352</v>
      </c>
      <c r="B139" s="43"/>
      <c r="C139" s="43"/>
      <c r="D139" s="1074"/>
      <c r="E139" s="43"/>
      <c r="F139" s="730"/>
      <c r="G139" s="354">
        <v>0</v>
      </c>
      <c r="H139" s="354">
        <f>G139</f>
        <v>0</v>
      </c>
      <c r="I139" s="354">
        <f>I138</f>
        <v>40000</v>
      </c>
      <c r="J139" s="354">
        <f t="shared" si="205"/>
        <v>40000</v>
      </c>
      <c r="K139" s="515"/>
      <c r="L139" s="354"/>
      <c r="N139" s="422">
        <f>N138+N140</f>
        <v>48000</v>
      </c>
      <c r="O139" s="422">
        <f t="shared" ref="O139:Q139" si="210">O138+O140</f>
        <v>48000</v>
      </c>
      <c r="P139" s="422">
        <f t="shared" si="210"/>
        <v>48000</v>
      </c>
      <c r="Q139" s="422">
        <f t="shared" si="210"/>
        <v>48000</v>
      </c>
      <c r="R139" s="515"/>
      <c r="S139" s="360"/>
      <c r="T139" s="354">
        <f>N139</f>
        <v>48000</v>
      </c>
      <c r="U139" s="354">
        <f>T139</f>
        <v>48000</v>
      </c>
      <c r="V139" s="354">
        <f t="shared" ref="V139:W140" si="211">U139</f>
        <v>48000</v>
      </c>
      <c r="W139" s="354">
        <f t="shared" si="211"/>
        <v>48000</v>
      </c>
      <c r="X139" s="503"/>
      <c r="Y139" s="43"/>
      <c r="Z139" s="43"/>
      <c r="AA139" s="43"/>
      <c r="AB139" s="360"/>
      <c r="AC139" s="354">
        <f>T139</f>
        <v>48000</v>
      </c>
      <c r="AD139" s="354">
        <f>AC139</f>
        <v>48000</v>
      </c>
      <c r="AE139" s="354">
        <f t="shared" ref="AE139:AF140" si="212">AD139</f>
        <v>48000</v>
      </c>
      <c r="AF139" s="354">
        <f t="shared" si="212"/>
        <v>48000</v>
      </c>
      <c r="AG139" s="43"/>
      <c r="AH139" s="836"/>
      <c r="AI139" s="354">
        <f>AC139</f>
        <v>48000</v>
      </c>
      <c r="AJ139" s="354">
        <f>AI139</f>
        <v>48000</v>
      </c>
      <c r="AK139" s="354">
        <f t="shared" ref="AK139:AL140" si="213">AJ139</f>
        <v>48000</v>
      </c>
      <c r="AL139" s="354">
        <f t="shared" si="213"/>
        <v>48000</v>
      </c>
      <c r="AM139" s="828"/>
      <c r="AN139" s="503"/>
      <c r="AO139" s="355"/>
      <c r="AP139" s="355"/>
      <c r="AQ139" s="355"/>
      <c r="AR139" s="355"/>
      <c r="AS139" s="355"/>
      <c r="AT139" s="355"/>
      <c r="AU139" s="43"/>
      <c r="AV139" s="43"/>
      <c r="AW139" s="43"/>
      <c r="AX139" s="43"/>
      <c r="AY139" s="43"/>
      <c r="AZ139" s="43"/>
      <c r="BG139" s="43"/>
      <c r="BH139" s="43"/>
      <c r="BI139" s="43"/>
      <c r="BJ139" s="43"/>
      <c r="BK139" s="43"/>
      <c r="BL139" s="43"/>
      <c r="BM139" s="43"/>
      <c r="BN139" s="43"/>
      <c r="BO139" s="43"/>
      <c r="BP139" s="43"/>
      <c r="BQ139" s="43"/>
      <c r="BR139" s="43"/>
    </row>
    <row r="140" spans="1:70" ht="60" hidden="1" outlineLevel="1">
      <c r="F140" s="729"/>
      <c r="G140" s="169"/>
      <c r="H140" s="169"/>
      <c r="I140" s="169"/>
      <c r="J140" s="169"/>
      <c r="K140" s="407"/>
      <c r="L140" s="169"/>
      <c r="M140" s="1026" t="s">
        <v>366</v>
      </c>
      <c r="N140" s="345">
        <f>N138*N141-N138</f>
        <v>8000</v>
      </c>
      <c r="O140" s="345">
        <f>N140</f>
        <v>8000</v>
      </c>
      <c r="P140" s="345">
        <f t="shared" ref="P140:Q141" si="214">O140</f>
        <v>8000</v>
      </c>
      <c r="Q140" s="345">
        <f t="shared" si="214"/>
        <v>8000</v>
      </c>
      <c r="R140" s="407"/>
      <c r="S140" s="1031" t="s">
        <v>353</v>
      </c>
      <c r="T140" s="345">
        <f>N140</f>
        <v>8000</v>
      </c>
      <c r="U140" s="345">
        <f>T140</f>
        <v>8000</v>
      </c>
      <c r="V140" s="345">
        <f t="shared" si="211"/>
        <v>8000</v>
      </c>
      <c r="W140" s="345">
        <f t="shared" si="211"/>
        <v>8000</v>
      </c>
      <c r="AB140" s="1031" t="s">
        <v>353</v>
      </c>
      <c r="AC140" s="345">
        <f>T140</f>
        <v>8000</v>
      </c>
      <c r="AD140" s="345">
        <f>AC140</f>
        <v>8000</v>
      </c>
      <c r="AE140" s="345">
        <f t="shared" si="212"/>
        <v>8000</v>
      </c>
      <c r="AF140" s="345">
        <f t="shared" si="212"/>
        <v>8000</v>
      </c>
      <c r="AH140" s="837" t="s">
        <v>353</v>
      </c>
      <c r="AI140" s="345">
        <f>AC140</f>
        <v>8000</v>
      </c>
      <c r="AJ140" s="345">
        <f>AI140</f>
        <v>8000</v>
      </c>
      <c r="AK140" s="345">
        <f t="shared" si="213"/>
        <v>8000</v>
      </c>
      <c r="AL140" s="345">
        <f t="shared" si="213"/>
        <v>8000</v>
      </c>
      <c r="AO140" s="13"/>
      <c r="AP140" s="13"/>
      <c r="AQ140" s="13"/>
      <c r="AR140" s="13"/>
      <c r="AS140" s="13"/>
      <c r="AT140" s="13"/>
    </row>
    <row r="141" spans="1:70" hidden="1" outlineLevel="1">
      <c r="G141" s="2"/>
      <c r="H141" s="2"/>
      <c r="I141" s="2"/>
      <c r="J141" s="2"/>
      <c r="M141" s="450"/>
      <c r="N141" s="490">
        <v>1.2</v>
      </c>
      <c r="O141" s="490">
        <f>N141</f>
        <v>1.2</v>
      </c>
      <c r="P141" s="490">
        <f t="shared" si="214"/>
        <v>1.2</v>
      </c>
      <c r="Q141" s="490">
        <f t="shared" si="214"/>
        <v>1.2</v>
      </c>
      <c r="S141" s="450"/>
      <c r="T141" s="490">
        <f>N141</f>
        <v>1.2</v>
      </c>
      <c r="U141" s="490">
        <f>O141</f>
        <v>1.2</v>
      </c>
      <c r="V141" s="490">
        <f>P141</f>
        <v>1.2</v>
      </c>
      <c r="W141" s="449">
        <f>Q141</f>
        <v>1.2</v>
      </c>
      <c r="AB141" s="450"/>
      <c r="AC141" s="490">
        <f>T141</f>
        <v>1.2</v>
      </c>
      <c r="AD141" s="490">
        <f>U141</f>
        <v>1.2</v>
      </c>
      <c r="AE141" s="490">
        <f>V141</f>
        <v>1.2</v>
      </c>
      <c r="AF141" s="449">
        <f>W141</f>
        <v>1.2</v>
      </c>
      <c r="AH141" s="838"/>
      <c r="AI141" s="490">
        <f>AC141</f>
        <v>1.2</v>
      </c>
      <c r="AJ141" s="490">
        <f t="shared" ref="AJ141:AL141" si="215">AD141</f>
        <v>1.2</v>
      </c>
      <c r="AK141" s="490">
        <f t="shared" si="215"/>
        <v>1.2</v>
      </c>
      <c r="AL141" s="449">
        <f t="shared" si="215"/>
        <v>1.2</v>
      </c>
    </row>
    <row r="142" spans="1:70" hidden="1" outlineLevel="1">
      <c r="G142" s="2"/>
      <c r="N142" s="344" t="s">
        <v>365</v>
      </c>
      <c r="S142" s="450"/>
      <c r="T142" s="451" t="s">
        <v>354</v>
      </c>
      <c r="U142" s="450"/>
      <c r="V142" s="450"/>
      <c r="W142" s="450"/>
      <c r="AB142" s="450"/>
      <c r="AC142" s="451" t="s">
        <v>354</v>
      </c>
      <c r="AD142" s="450"/>
      <c r="AE142" s="450"/>
      <c r="AF142" s="450"/>
      <c r="AH142" s="838"/>
      <c r="AI142" s="451" t="s">
        <v>354</v>
      </c>
      <c r="AJ142" s="450"/>
      <c r="AK142" s="450"/>
      <c r="AL142" s="450"/>
    </row>
    <row r="143" spans="1:70" hidden="1" outlineLevel="1">
      <c r="G143" s="2"/>
      <c r="N143" s="423"/>
      <c r="Q143" s="139"/>
    </row>
    <row r="144" spans="1:70" s="418" customFormat="1" ht="20" hidden="1" outlineLevel="1">
      <c r="A144" s="1041" t="s">
        <v>335</v>
      </c>
      <c r="B144" s="417"/>
      <c r="C144" s="417"/>
      <c r="D144" s="1069"/>
      <c r="E144" s="417"/>
      <c r="G144" s="419"/>
      <c r="H144" s="420"/>
      <c r="I144" s="420"/>
      <c r="J144" s="420"/>
      <c r="K144" s="500"/>
      <c r="L144" s="420"/>
      <c r="M144" s="421"/>
      <c r="N144" s="421"/>
      <c r="O144" s="421"/>
      <c r="P144" s="421"/>
      <c r="Q144" s="421"/>
      <c r="R144" s="531"/>
      <c r="S144" s="421"/>
      <c r="T144" s="465"/>
      <c r="U144" s="420"/>
      <c r="V144" s="420"/>
      <c r="W144" s="420"/>
      <c r="X144" s="500"/>
      <c r="Y144" s="420"/>
      <c r="Z144" s="420"/>
      <c r="AA144" s="420"/>
      <c r="AB144" s="420"/>
      <c r="AC144" s="420"/>
      <c r="AD144" s="420"/>
      <c r="AE144" s="420"/>
      <c r="AF144" s="420"/>
      <c r="AG144" s="420"/>
      <c r="AH144" s="822"/>
      <c r="AI144" s="420"/>
      <c r="AJ144" s="420"/>
      <c r="AK144" s="420"/>
      <c r="AL144" s="420"/>
      <c r="AM144" s="823"/>
      <c r="AN144" s="500"/>
      <c r="AO144" s="417"/>
      <c r="AP144" s="417"/>
      <c r="AQ144" s="417"/>
      <c r="AR144" s="417"/>
      <c r="AS144" s="417"/>
      <c r="AT144" s="417"/>
      <c r="AU144" s="421"/>
      <c r="AV144" s="421"/>
      <c r="AW144" s="421"/>
      <c r="AX144" s="421"/>
      <c r="AY144" s="421"/>
      <c r="AZ144" s="421"/>
      <c r="BG144" s="421"/>
      <c r="BH144" s="421"/>
      <c r="BI144" s="421"/>
      <c r="BJ144" s="421"/>
      <c r="BK144" s="421"/>
      <c r="BL144" s="421"/>
      <c r="BM144" s="421"/>
      <c r="BN144" s="421"/>
      <c r="BO144" s="421"/>
      <c r="BP144" s="421"/>
      <c r="BQ144" s="421"/>
      <c r="BR144" s="421"/>
    </row>
    <row r="145" spans="1:70" s="446" customFormat="1" ht="20" hidden="1" outlineLevel="1">
      <c r="A145" s="565" t="s">
        <v>358</v>
      </c>
      <c r="B145" s="383"/>
      <c r="C145" s="383"/>
      <c r="D145" s="1075"/>
      <c r="E145" s="383"/>
      <c r="G145" s="814"/>
      <c r="H145" s="814"/>
      <c r="I145" s="814"/>
      <c r="J145" s="814"/>
      <c r="K145" s="523"/>
      <c r="L145" s="383"/>
      <c r="M145" s="445"/>
      <c r="N145" s="815">
        <f>G145</f>
        <v>0</v>
      </c>
      <c r="O145" s="815">
        <f>N145</f>
        <v>0</v>
      </c>
      <c r="P145" s="815">
        <f t="shared" ref="P145:Q145" si="216">O145</f>
        <v>0</v>
      </c>
      <c r="Q145" s="815">
        <f t="shared" si="216"/>
        <v>0</v>
      </c>
      <c r="R145" s="547"/>
      <c r="S145" s="385"/>
      <c r="T145" s="816">
        <f>T146+T147</f>
        <v>2921.4193220612015</v>
      </c>
      <c r="U145" s="816">
        <f>U146+U147</f>
        <v>2921.4193220612015</v>
      </c>
      <c r="V145" s="816">
        <f>V146+V147</f>
        <v>2921.4193220612015</v>
      </c>
      <c r="W145" s="816">
        <f>W146+W147</f>
        <v>2921.4193220612015</v>
      </c>
      <c r="X145" s="1315"/>
      <c r="Y145" s="815"/>
      <c r="Z145" s="815"/>
      <c r="AA145" s="815"/>
      <c r="AB145" s="383"/>
      <c r="AC145" s="816"/>
      <c r="AD145" s="816"/>
      <c r="AE145" s="816"/>
      <c r="AF145" s="816"/>
      <c r="AG145" s="815"/>
      <c r="AH145" s="839"/>
      <c r="AI145" s="815"/>
      <c r="AJ145" s="815"/>
      <c r="AK145" s="815"/>
      <c r="AL145" s="815"/>
      <c r="AM145" s="840"/>
      <c r="AN145" s="523"/>
      <c r="AO145" s="383"/>
      <c r="AP145" s="383"/>
      <c r="AQ145" s="383"/>
      <c r="AR145" s="383"/>
      <c r="AS145" s="383"/>
      <c r="AT145" s="383"/>
      <c r="AU145" s="385"/>
      <c r="AV145" s="385"/>
      <c r="AW145" s="385"/>
      <c r="AX145" s="385"/>
      <c r="AY145" s="385"/>
      <c r="AZ145" s="385"/>
      <c r="BG145" s="445" t="s">
        <v>141</v>
      </c>
      <c r="BH145" s="385"/>
      <c r="BI145" s="385"/>
      <c r="BJ145" s="385"/>
      <c r="BK145" s="385"/>
      <c r="BL145" s="385"/>
      <c r="BM145" s="385" t="s">
        <v>33</v>
      </c>
      <c r="BN145" s="385"/>
      <c r="BO145" s="385"/>
      <c r="BP145" s="385"/>
      <c r="BQ145" s="385"/>
      <c r="BR145" s="385"/>
    </row>
    <row r="146" spans="1:70" ht="20" hidden="1" outlineLevel="1">
      <c r="A146" s="1046" t="s">
        <v>479</v>
      </c>
      <c r="B146" s="935"/>
      <c r="C146" s="935"/>
      <c r="D146" s="1076"/>
      <c r="E146" s="935"/>
      <c r="F146" s="423"/>
      <c r="G146" s="169">
        <f>G172</f>
        <v>13400</v>
      </c>
      <c r="H146" s="169">
        <f>G146</f>
        <v>13400</v>
      </c>
      <c r="I146" s="169">
        <f t="shared" ref="I146:J146" si="217">H146</f>
        <v>13400</v>
      </c>
      <c r="J146" s="169">
        <f t="shared" si="217"/>
        <v>13400</v>
      </c>
      <c r="K146" s="297"/>
      <c r="L146" s="13"/>
      <c r="M146" s="788"/>
      <c r="N146" s="275">
        <f>N172</f>
        <v>8933.3333333333321</v>
      </c>
      <c r="O146" s="275">
        <f>N146</f>
        <v>8933.3333333333321</v>
      </c>
      <c r="P146" s="275">
        <f>O146</f>
        <v>8933.3333333333321</v>
      </c>
      <c r="Q146" s="275">
        <f>P146</f>
        <v>8933.3333333333321</v>
      </c>
      <c r="T146" s="169">
        <v>0</v>
      </c>
      <c r="U146" s="169">
        <v>0</v>
      </c>
      <c r="V146" s="169">
        <v>0</v>
      </c>
      <c r="W146" s="169">
        <v>0</v>
      </c>
      <c r="X146" s="407">
        <v>0</v>
      </c>
      <c r="Y146" s="169"/>
      <c r="Z146" s="169"/>
      <c r="AA146" s="169"/>
      <c r="AB146" s="13"/>
      <c r="AC146" s="169">
        <f>T146</f>
        <v>0</v>
      </c>
      <c r="AD146" s="169">
        <f>U146</f>
        <v>0</v>
      </c>
      <c r="AE146" s="169">
        <f>V146</f>
        <v>0</v>
      </c>
      <c r="AF146" s="169">
        <f>W146</f>
        <v>0</v>
      </c>
      <c r="AG146" s="169"/>
      <c r="AH146" s="826"/>
      <c r="AI146" s="275">
        <f>N146</f>
        <v>8933.3333333333321</v>
      </c>
      <c r="AJ146" s="275">
        <f>O146</f>
        <v>8933.3333333333321</v>
      </c>
      <c r="AK146" s="275">
        <f>P146</f>
        <v>8933.3333333333321</v>
      </c>
      <c r="AL146" s="275">
        <f>Q146</f>
        <v>8933.3333333333321</v>
      </c>
      <c r="AM146" s="614"/>
      <c r="AN146" s="297"/>
      <c r="AO146" s="13"/>
      <c r="AP146" s="13"/>
      <c r="AQ146" s="13"/>
      <c r="AR146" s="13"/>
      <c r="AS146" s="13"/>
      <c r="AT146" s="13"/>
      <c r="BG146" s="788"/>
    </row>
    <row r="147" spans="1:70" ht="20" hidden="1" outlineLevel="1">
      <c r="A147" s="1047" t="s">
        <v>505</v>
      </c>
      <c r="B147" s="359"/>
      <c r="C147" s="359"/>
      <c r="D147" s="1077"/>
      <c r="E147" s="359"/>
      <c r="F147" s="423"/>
      <c r="G147" s="427">
        <f>K147</f>
        <v>746.30864078922923</v>
      </c>
      <c r="H147" s="427">
        <f>K147</f>
        <v>746.30864078922923</v>
      </c>
      <c r="I147" s="427">
        <f>K147</f>
        <v>746.30864078922923</v>
      </c>
      <c r="J147" s="427">
        <f>K147</f>
        <v>746.30864078922923</v>
      </c>
      <c r="K147" s="510">
        <f>3000000/K21</f>
        <v>746.30864078922923</v>
      </c>
      <c r="L147" s="427"/>
      <c r="N147" s="427">
        <f>R147</f>
        <v>508.36130015499896</v>
      </c>
      <c r="O147" s="427">
        <f>R147</f>
        <v>508.36130015499896</v>
      </c>
      <c r="P147" s="427">
        <f>R147</f>
        <v>508.36130015499896</v>
      </c>
      <c r="Q147" s="427">
        <f>R147</f>
        <v>508.36130015499896</v>
      </c>
      <c r="R147" s="510">
        <f>3000000/R21</f>
        <v>508.36130015499896</v>
      </c>
      <c r="T147" s="427">
        <f>X147</f>
        <v>2921.4193220612015</v>
      </c>
      <c r="U147" s="427">
        <f>X147</f>
        <v>2921.4193220612015</v>
      </c>
      <c r="V147" s="427">
        <f>X147</f>
        <v>2921.4193220612015</v>
      </c>
      <c r="W147" s="427">
        <f>X147</f>
        <v>2921.4193220612015</v>
      </c>
      <c r="X147" s="510">
        <f>3000000/X21</f>
        <v>2921.4193220612015</v>
      </c>
      <c r="Y147" s="427"/>
      <c r="Z147" s="427"/>
      <c r="AA147" s="427"/>
      <c r="AB147" s="423"/>
      <c r="AC147" s="427">
        <f>AG147</f>
        <v>2921.419322061201</v>
      </c>
      <c r="AD147" s="427">
        <f>AG147</f>
        <v>2921.419322061201</v>
      </c>
      <c r="AE147" s="427">
        <f>AG147</f>
        <v>2921.419322061201</v>
      </c>
      <c r="AF147" s="427">
        <f>AG147</f>
        <v>2921.419322061201</v>
      </c>
      <c r="AG147" s="427">
        <f>3000000*AG148/AG21</f>
        <v>2921.419322061201</v>
      </c>
      <c r="AH147" s="841"/>
      <c r="AI147" s="427">
        <f>AM147</f>
        <v>508.36130015499907</v>
      </c>
      <c r="AJ147" s="427">
        <f>AM147</f>
        <v>508.36130015499907</v>
      </c>
      <c r="AK147" s="427">
        <f>AM147</f>
        <v>508.36130015499907</v>
      </c>
      <c r="AL147" s="427">
        <f>AM147</f>
        <v>508.36130015499907</v>
      </c>
      <c r="AM147" s="487">
        <f>3000000*AM148/AM21</f>
        <v>508.36130015499907</v>
      </c>
      <c r="AN147" s="504"/>
      <c r="AO147" s="423"/>
      <c r="AP147" s="423"/>
      <c r="AQ147" s="423"/>
      <c r="AR147" s="423"/>
      <c r="AS147" s="423"/>
      <c r="AT147" s="423"/>
      <c r="AU147" s="423"/>
      <c r="AV147" s="423"/>
      <c r="AW147" s="423"/>
      <c r="AX147" s="423"/>
      <c r="AY147" s="423"/>
      <c r="AZ147" s="423"/>
      <c r="BG147" s="423"/>
    </row>
    <row r="148" spans="1:70" hidden="1" outlineLevel="1">
      <c r="A148" s="1047"/>
      <c r="B148" s="359"/>
      <c r="C148" s="359"/>
      <c r="D148" s="1077"/>
      <c r="E148" s="359"/>
      <c r="F148" s="423"/>
      <c r="G148" s="427"/>
      <c r="H148" s="427"/>
      <c r="I148" s="427"/>
      <c r="J148" s="427"/>
      <c r="K148" s="510"/>
      <c r="L148" s="427"/>
      <c r="N148" s="427"/>
      <c r="O148" s="427"/>
      <c r="P148" s="427"/>
      <c r="Q148" s="427"/>
      <c r="R148" s="510"/>
      <c r="T148" s="427"/>
      <c r="U148" s="427"/>
      <c r="V148" s="427"/>
      <c r="W148" s="427"/>
      <c r="X148" s="510"/>
      <c r="Y148" s="427"/>
      <c r="Z148" s="427"/>
      <c r="AA148" s="427"/>
      <c r="AB148" s="423"/>
      <c r="AC148" s="427"/>
      <c r="AD148" s="427"/>
      <c r="AE148" s="427"/>
      <c r="AF148" s="427"/>
      <c r="AG148" s="817">
        <f>AG7/AN7</f>
        <v>0.86857536248143463</v>
      </c>
      <c r="AH148" s="841"/>
      <c r="AI148" s="427"/>
      <c r="AJ148" s="427"/>
      <c r="AK148" s="427"/>
      <c r="AL148" s="427"/>
      <c r="AM148" s="842">
        <f>100%-AG148</f>
        <v>0.13142463751856537</v>
      </c>
      <c r="AN148" s="504"/>
      <c r="AO148" s="423"/>
      <c r="AP148" s="423"/>
      <c r="AQ148" s="423"/>
      <c r="AR148" s="423"/>
      <c r="AS148" s="423"/>
      <c r="AT148" s="423"/>
      <c r="AU148" s="423"/>
      <c r="AV148" s="423"/>
      <c r="AW148" s="423"/>
      <c r="AX148" s="423"/>
      <c r="AY148" s="423"/>
      <c r="AZ148" s="423"/>
      <c r="BG148" s="423"/>
    </row>
    <row r="149" spans="1:70" ht="40" hidden="1" outlineLevel="1">
      <c r="A149" s="161" t="s">
        <v>504</v>
      </c>
      <c r="B149" s="13"/>
      <c r="C149" s="13"/>
      <c r="D149" s="1066"/>
      <c r="E149" s="13"/>
      <c r="F149" s="423"/>
      <c r="G149" s="255">
        <f>G181*4</f>
        <v>84.8</v>
      </c>
      <c r="H149" s="255">
        <f>G149</f>
        <v>84.8</v>
      </c>
      <c r="I149" s="255">
        <f>H149</f>
        <v>84.8</v>
      </c>
      <c r="J149" s="255">
        <f>I149</f>
        <v>84.8</v>
      </c>
      <c r="K149" s="407"/>
      <c r="L149" s="169"/>
      <c r="N149" s="255">
        <f>G149</f>
        <v>84.8</v>
      </c>
      <c r="O149" s="1166">
        <f>N149</f>
        <v>84.8</v>
      </c>
      <c r="P149" s="1166">
        <f t="shared" ref="P149:Q149" si="218">O149</f>
        <v>84.8</v>
      </c>
      <c r="Q149" s="1166">
        <f t="shared" si="218"/>
        <v>84.8</v>
      </c>
      <c r="T149" s="255">
        <f>N149</f>
        <v>84.8</v>
      </c>
      <c r="U149" s="1166">
        <f>T149</f>
        <v>84.8</v>
      </c>
      <c r="V149" s="1166">
        <f t="shared" ref="V149:W149" si="219">U149</f>
        <v>84.8</v>
      </c>
      <c r="W149" s="1166">
        <f t="shared" si="219"/>
        <v>84.8</v>
      </c>
      <c r="AB149" s="423"/>
      <c r="AC149" s="255">
        <f>T149</f>
        <v>84.8</v>
      </c>
      <c r="AD149" s="1166">
        <f>AC149</f>
        <v>84.8</v>
      </c>
      <c r="AE149" s="1166">
        <f t="shared" ref="AE149:AF149" si="220">AD149</f>
        <v>84.8</v>
      </c>
      <c r="AF149" s="1166">
        <f t="shared" si="220"/>
        <v>84.8</v>
      </c>
      <c r="AG149" s="423"/>
      <c r="AH149" s="841"/>
      <c r="AI149" s="255">
        <f>AC149</f>
        <v>84.8</v>
      </c>
      <c r="AJ149" s="1166">
        <f>AI149</f>
        <v>84.8</v>
      </c>
      <c r="AK149" s="1166">
        <f t="shared" ref="AK149:AL149" si="221">AJ149</f>
        <v>84.8</v>
      </c>
      <c r="AL149" s="1166">
        <f t="shared" si="221"/>
        <v>84.8</v>
      </c>
      <c r="AM149" s="423"/>
      <c r="AN149" s="504"/>
      <c r="AO149" s="423"/>
      <c r="AP149" s="423"/>
      <c r="AQ149" s="423"/>
      <c r="AR149" s="423"/>
      <c r="AS149" s="423"/>
      <c r="AT149" s="423"/>
      <c r="AU149" s="423"/>
      <c r="AV149" s="423"/>
      <c r="AW149" s="423"/>
      <c r="AX149" s="423"/>
      <c r="AY149" s="423"/>
      <c r="AZ149" s="423"/>
      <c r="BG149" s="423"/>
    </row>
    <row r="150" spans="1:70" s="440" customFormat="1" hidden="1" outlineLevel="1">
      <c r="A150" s="1048"/>
      <c r="B150" s="439"/>
      <c r="C150" s="439"/>
      <c r="D150" s="1078"/>
      <c r="E150" s="439"/>
      <c r="G150" s="441"/>
      <c r="H150" s="442"/>
      <c r="I150" s="442"/>
      <c r="J150" s="442"/>
      <c r="K150" s="520"/>
      <c r="L150" s="442"/>
      <c r="M150" s="443"/>
      <c r="N150" s="443"/>
      <c r="O150" s="443"/>
      <c r="P150" s="443"/>
      <c r="Q150" s="443"/>
      <c r="R150" s="543"/>
      <c r="S150" s="443"/>
      <c r="T150" s="442"/>
      <c r="U150" s="442"/>
      <c r="V150" s="442"/>
      <c r="W150" s="442"/>
      <c r="X150" s="520"/>
      <c r="Y150" s="442"/>
      <c r="Z150" s="442"/>
      <c r="AA150" s="442"/>
      <c r="AB150" s="442"/>
      <c r="AC150" s="442"/>
      <c r="AD150" s="442"/>
      <c r="AE150" s="442"/>
      <c r="AF150" s="442"/>
      <c r="AG150" s="442"/>
      <c r="AH150" s="843"/>
      <c r="AI150" s="442"/>
      <c r="AJ150" s="442"/>
      <c r="AK150" s="442"/>
      <c r="AL150" s="442"/>
      <c r="AM150" s="844"/>
      <c r="AN150" s="520"/>
      <c r="AO150" s="439"/>
      <c r="AP150" s="439"/>
      <c r="AQ150" s="439"/>
      <c r="AR150" s="439"/>
      <c r="AS150" s="439"/>
      <c r="AT150" s="439"/>
      <c r="AU150" s="443"/>
      <c r="AV150" s="443"/>
      <c r="AW150" s="443"/>
      <c r="AX150" s="443"/>
      <c r="AY150" s="443"/>
      <c r="AZ150" s="443"/>
      <c r="BG150" s="443"/>
      <c r="BH150" s="443"/>
      <c r="BI150" s="443"/>
      <c r="BJ150" s="443"/>
      <c r="BK150" s="443"/>
      <c r="BL150" s="443"/>
      <c r="BM150" s="443"/>
      <c r="BN150" s="443"/>
      <c r="BO150" s="443"/>
      <c r="BP150" s="443"/>
      <c r="BQ150" s="443"/>
      <c r="BR150" s="443"/>
    </row>
    <row r="151" spans="1:70" s="775" customFormat="1" ht="20" hidden="1" outlineLevel="1">
      <c r="A151" s="558" t="s">
        <v>361</v>
      </c>
      <c r="B151" s="355"/>
      <c r="C151" s="355"/>
      <c r="D151" s="1068"/>
      <c r="E151" s="355"/>
      <c r="G151" s="354">
        <f>G152</f>
        <v>212</v>
      </c>
      <c r="H151" s="354">
        <f t="shared" ref="H151:J156" si="222">G151</f>
        <v>212</v>
      </c>
      <c r="I151" s="354">
        <f t="shared" si="222"/>
        <v>212</v>
      </c>
      <c r="J151" s="354">
        <f t="shared" si="222"/>
        <v>212</v>
      </c>
      <c r="K151" s="776"/>
      <c r="L151" s="780"/>
      <c r="M151" s="43"/>
      <c r="N151" s="777">
        <f>G151</f>
        <v>212</v>
      </c>
      <c r="O151" s="777">
        <f>H151</f>
        <v>212</v>
      </c>
      <c r="P151" s="777">
        <f>I151</f>
        <v>212</v>
      </c>
      <c r="Q151" s="777">
        <f>J151</f>
        <v>212</v>
      </c>
      <c r="R151" s="778"/>
      <c r="S151" s="783"/>
      <c r="T151" s="777">
        <f>N151</f>
        <v>212</v>
      </c>
      <c r="U151" s="777">
        <f>O151</f>
        <v>212</v>
      </c>
      <c r="V151" s="777">
        <f>P151</f>
        <v>212</v>
      </c>
      <c r="W151" s="777">
        <f>Q151</f>
        <v>212</v>
      </c>
      <c r="X151" s="776"/>
      <c r="Y151" s="780"/>
      <c r="Z151" s="780"/>
      <c r="AA151" s="780"/>
      <c r="AB151" s="780"/>
      <c r="AC151" s="777">
        <f t="shared" ref="AC151:AF158" si="223">T151</f>
        <v>212</v>
      </c>
      <c r="AD151" s="777">
        <f t="shared" si="223"/>
        <v>212</v>
      </c>
      <c r="AE151" s="777">
        <f t="shared" si="223"/>
        <v>212</v>
      </c>
      <c r="AF151" s="777">
        <f t="shared" si="223"/>
        <v>212</v>
      </c>
      <c r="AG151" s="780"/>
      <c r="AH151" s="845"/>
      <c r="AI151" s="354">
        <f>N151</f>
        <v>212</v>
      </c>
      <c r="AJ151" s="354">
        <f>O151</f>
        <v>212</v>
      </c>
      <c r="AK151" s="354">
        <f>P151</f>
        <v>212</v>
      </c>
      <c r="AL151" s="354">
        <f>Q151</f>
        <v>212</v>
      </c>
      <c r="AM151" s="846"/>
      <c r="AN151" s="776"/>
      <c r="AO151" s="782"/>
      <c r="AP151" s="782"/>
      <c r="AQ151" s="782"/>
      <c r="AR151" s="782"/>
      <c r="AS151" s="782"/>
      <c r="AT151" s="782"/>
      <c r="AU151" s="783"/>
      <c r="AV151" s="783"/>
      <c r="AW151" s="783"/>
      <c r="AX151" s="783"/>
      <c r="AY151" s="783"/>
      <c r="AZ151" s="783"/>
      <c r="BG151" s="783"/>
      <c r="BH151" s="783"/>
      <c r="BI151" s="783"/>
      <c r="BJ151" s="783"/>
      <c r="BK151" s="783"/>
      <c r="BL151" s="783"/>
      <c r="BM151" s="783"/>
      <c r="BN151" s="783"/>
      <c r="BO151" s="783"/>
      <c r="BP151" s="783"/>
      <c r="BQ151" s="783"/>
      <c r="BR151" s="783"/>
    </row>
    <row r="152" spans="1:70" s="440" customFormat="1" ht="20" hidden="1" outlineLevel="1">
      <c r="A152" s="161" t="s">
        <v>502</v>
      </c>
      <c r="B152" s="13"/>
      <c r="C152" s="13"/>
      <c r="D152" s="1066"/>
      <c r="E152" s="13"/>
      <c r="G152" s="169">
        <f>G182</f>
        <v>212</v>
      </c>
      <c r="H152" s="169">
        <f t="shared" si="222"/>
        <v>212</v>
      </c>
      <c r="I152" s="169">
        <f t="shared" si="222"/>
        <v>212</v>
      </c>
      <c r="J152" s="169">
        <f t="shared" si="222"/>
        <v>212</v>
      </c>
      <c r="K152" s="520"/>
      <c r="L152" s="442"/>
      <c r="M152" s="443"/>
      <c r="N152" s="169">
        <f>N182</f>
        <v>212</v>
      </c>
      <c r="O152" s="169">
        <f>O182</f>
        <v>212</v>
      </c>
      <c r="P152" s="169">
        <f>P182</f>
        <v>212</v>
      </c>
      <c r="Q152" s="169">
        <f>Q182</f>
        <v>212</v>
      </c>
      <c r="R152" s="543"/>
      <c r="S152" s="443"/>
      <c r="T152" s="169">
        <f>T182</f>
        <v>212</v>
      </c>
      <c r="U152" s="169">
        <f>U182</f>
        <v>212</v>
      </c>
      <c r="V152" s="169">
        <f>V182</f>
        <v>212</v>
      </c>
      <c r="W152" s="169">
        <f>W182</f>
        <v>212</v>
      </c>
      <c r="X152" s="520"/>
      <c r="Y152" s="442"/>
      <c r="Z152" s="442"/>
      <c r="AA152" s="442"/>
      <c r="AB152" s="442"/>
      <c r="AC152" s="169">
        <f t="shared" si="223"/>
        <v>212</v>
      </c>
      <c r="AD152" s="169">
        <f t="shared" si="223"/>
        <v>212</v>
      </c>
      <c r="AE152" s="169">
        <f t="shared" si="223"/>
        <v>212</v>
      </c>
      <c r="AF152" s="169">
        <f t="shared" si="223"/>
        <v>212</v>
      </c>
      <c r="AG152" s="442"/>
      <c r="AH152" s="843"/>
      <c r="AI152" s="169">
        <f>AC152</f>
        <v>212</v>
      </c>
      <c r="AJ152" s="169">
        <f t="shared" ref="AJ152:AL152" si="224">AD152</f>
        <v>212</v>
      </c>
      <c r="AK152" s="169">
        <f t="shared" si="224"/>
        <v>212</v>
      </c>
      <c r="AL152" s="169">
        <f t="shared" si="224"/>
        <v>212</v>
      </c>
      <c r="AM152" s="844"/>
      <c r="AN152" s="520"/>
      <c r="AO152" s="439"/>
      <c r="AP152" s="439"/>
      <c r="AQ152" s="439"/>
      <c r="AR152" s="439"/>
      <c r="AS152" s="439"/>
      <c r="AT152" s="439"/>
      <c r="AU152" s="443"/>
      <c r="AV152" s="443"/>
      <c r="AW152" s="443"/>
      <c r="AX152" s="443"/>
      <c r="AY152" s="443"/>
      <c r="AZ152" s="443"/>
      <c r="BG152" s="443"/>
      <c r="BH152" s="443"/>
      <c r="BI152" s="443"/>
      <c r="BJ152" s="443"/>
      <c r="BK152" s="443"/>
      <c r="BL152" s="443"/>
      <c r="BM152" s="443"/>
      <c r="BN152" s="443"/>
      <c r="BO152" s="443"/>
      <c r="BP152" s="443"/>
      <c r="BQ152" s="443"/>
      <c r="BR152" s="443"/>
    </row>
    <row r="153" spans="1:70" s="440" customFormat="1" ht="40" hidden="1" outlineLevel="1">
      <c r="A153" s="161" t="s">
        <v>582</v>
      </c>
      <c r="B153" s="13"/>
      <c r="C153" s="13"/>
      <c r="D153" s="1066"/>
      <c r="E153" s="13"/>
      <c r="G153" s="169">
        <f>2.7*G163</f>
        <v>24.915600000000005</v>
      </c>
      <c r="H153" s="169">
        <f t="shared" si="222"/>
        <v>24.915600000000005</v>
      </c>
      <c r="I153" s="169">
        <f t="shared" si="222"/>
        <v>24.915600000000005</v>
      </c>
      <c r="J153" s="169">
        <f t="shared" si="222"/>
        <v>24.915600000000005</v>
      </c>
      <c r="K153" s="520"/>
      <c r="L153" s="442"/>
      <c r="M153" s="443"/>
      <c r="N153" s="169">
        <f t="shared" ref="N153:N158" si="225">G153</f>
        <v>24.915600000000005</v>
      </c>
      <c r="O153" s="169">
        <f>N153</f>
        <v>24.915600000000005</v>
      </c>
      <c r="P153" s="169">
        <f t="shared" ref="P153:Q155" si="226">O153</f>
        <v>24.915600000000005</v>
      </c>
      <c r="Q153" s="169">
        <f t="shared" si="226"/>
        <v>24.915600000000005</v>
      </c>
      <c r="R153" s="543"/>
      <c r="S153" s="443"/>
      <c r="T153" s="169">
        <f t="shared" ref="T153:T158" si="227">N153</f>
        <v>24.915600000000005</v>
      </c>
      <c r="U153" s="169">
        <f>T153</f>
        <v>24.915600000000005</v>
      </c>
      <c r="V153" s="169">
        <f t="shared" ref="V153:W155" si="228">U153</f>
        <v>24.915600000000005</v>
      </c>
      <c r="W153" s="169">
        <f t="shared" si="228"/>
        <v>24.915600000000005</v>
      </c>
      <c r="X153" s="520"/>
      <c r="Y153" s="442"/>
      <c r="Z153" s="442"/>
      <c r="AA153" s="442"/>
      <c r="AB153" s="442"/>
      <c r="AC153" s="169">
        <f t="shared" si="223"/>
        <v>24.915600000000005</v>
      </c>
      <c r="AD153" s="169">
        <f>AC153</f>
        <v>24.915600000000005</v>
      </c>
      <c r="AE153" s="169">
        <f t="shared" ref="AE153:AF153" si="229">AD153</f>
        <v>24.915600000000005</v>
      </c>
      <c r="AF153" s="169">
        <f t="shared" si="229"/>
        <v>24.915600000000005</v>
      </c>
      <c r="AG153" s="442"/>
      <c r="AH153" s="843"/>
      <c r="AI153" s="169">
        <f>AC153</f>
        <v>24.915600000000005</v>
      </c>
      <c r="AJ153" s="169">
        <f>AI153</f>
        <v>24.915600000000005</v>
      </c>
      <c r="AK153" s="169">
        <f t="shared" ref="AK153:AL153" si="230">AJ153</f>
        <v>24.915600000000005</v>
      </c>
      <c r="AL153" s="169">
        <f t="shared" si="230"/>
        <v>24.915600000000005</v>
      </c>
      <c r="AM153" s="844"/>
      <c r="AN153" s="520"/>
      <c r="AO153" s="439"/>
      <c r="AP153" s="439"/>
      <c r="AQ153" s="439"/>
      <c r="AR153" s="439"/>
      <c r="AS153" s="439"/>
      <c r="AT153" s="439"/>
      <c r="AU153" s="443"/>
      <c r="AV153" s="443"/>
      <c r="AW153" s="443"/>
      <c r="AX153" s="443"/>
      <c r="AY153" s="443"/>
      <c r="AZ153" s="443"/>
      <c r="BG153" s="443"/>
      <c r="BH153" s="443"/>
      <c r="BI153" s="443"/>
      <c r="BJ153" s="443"/>
      <c r="BK153" s="443"/>
      <c r="BL153" s="443"/>
      <c r="BM153" s="443"/>
      <c r="BN153" s="443"/>
      <c r="BO153" s="443"/>
      <c r="BP153" s="443"/>
      <c r="BQ153" s="443"/>
      <c r="BR153" s="443"/>
    </row>
    <row r="154" spans="1:70" s="440" customFormat="1" ht="40" hidden="1" outlineLevel="1">
      <c r="A154" s="161" t="s">
        <v>583</v>
      </c>
      <c r="B154" s="13"/>
      <c r="C154" s="13"/>
      <c r="D154" s="1066"/>
      <c r="E154" s="13"/>
      <c r="G154" s="1317">
        <f>2.7*G162</f>
        <v>5.6052000000000008</v>
      </c>
      <c r="H154" s="1317">
        <f t="shared" si="222"/>
        <v>5.6052000000000008</v>
      </c>
      <c r="I154" s="1317">
        <f t="shared" si="222"/>
        <v>5.6052000000000008</v>
      </c>
      <c r="J154" s="1317">
        <f t="shared" si="222"/>
        <v>5.6052000000000008</v>
      </c>
      <c r="K154" s="520"/>
      <c r="L154" s="442"/>
      <c r="M154" s="443"/>
      <c r="N154" s="169">
        <f t="shared" si="225"/>
        <v>5.6052000000000008</v>
      </c>
      <c r="O154" s="169">
        <f>N154</f>
        <v>5.6052000000000008</v>
      </c>
      <c r="P154" s="169">
        <f t="shared" si="226"/>
        <v>5.6052000000000008</v>
      </c>
      <c r="Q154" s="169">
        <f t="shared" si="226"/>
        <v>5.6052000000000008</v>
      </c>
      <c r="R154" s="543"/>
      <c r="S154" s="443"/>
      <c r="T154" s="169">
        <f t="shared" si="227"/>
        <v>5.6052000000000008</v>
      </c>
      <c r="U154" s="169">
        <f>T154</f>
        <v>5.6052000000000008</v>
      </c>
      <c r="V154" s="169">
        <f t="shared" si="228"/>
        <v>5.6052000000000008</v>
      </c>
      <c r="W154" s="169">
        <f t="shared" si="228"/>
        <v>5.6052000000000008</v>
      </c>
      <c r="X154" s="520"/>
      <c r="Y154" s="442"/>
      <c r="Z154" s="442"/>
      <c r="AA154" s="442"/>
      <c r="AB154" s="442"/>
      <c r="AC154" s="169">
        <f t="shared" si="223"/>
        <v>5.6052000000000008</v>
      </c>
      <c r="AD154" s="169">
        <f t="shared" ref="AD154:AF155" si="231">AC154</f>
        <v>5.6052000000000008</v>
      </c>
      <c r="AE154" s="169">
        <f t="shared" si="231"/>
        <v>5.6052000000000008</v>
      </c>
      <c r="AF154" s="169">
        <f t="shared" si="231"/>
        <v>5.6052000000000008</v>
      </c>
      <c r="AG154" s="442"/>
      <c r="AH154" s="843"/>
      <c r="AI154" s="169">
        <f t="shared" ref="AI154:AI155" si="232">AC154</f>
        <v>5.6052000000000008</v>
      </c>
      <c r="AJ154" s="169">
        <f t="shared" ref="AJ154:AL155" si="233">AI154</f>
        <v>5.6052000000000008</v>
      </c>
      <c r="AK154" s="169">
        <f t="shared" si="233"/>
        <v>5.6052000000000008</v>
      </c>
      <c r="AL154" s="169">
        <f t="shared" si="233"/>
        <v>5.6052000000000008</v>
      </c>
      <c r="AM154" s="844"/>
      <c r="AN154" s="520"/>
      <c r="AO154" s="439"/>
      <c r="AP154" s="439"/>
      <c r="AQ154" s="439"/>
      <c r="AR154" s="439"/>
      <c r="AS154" s="439"/>
      <c r="AT154" s="439"/>
      <c r="AU154" s="443"/>
      <c r="AV154" s="443"/>
      <c r="AW154" s="443"/>
      <c r="AX154" s="443"/>
      <c r="AY154" s="443"/>
      <c r="AZ154" s="443"/>
      <c r="BG154" s="443"/>
      <c r="BH154" s="443"/>
      <c r="BI154" s="443"/>
      <c r="BJ154" s="443"/>
      <c r="BK154" s="443"/>
      <c r="BL154" s="443"/>
      <c r="BM154" s="443"/>
      <c r="BN154" s="443"/>
      <c r="BO154" s="443"/>
      <c r="BP154" s="443"/>
      <c r="BQ154" s="443"/>
      <c r="BR154" s="443"/>
    </row>
    <row r="155" spans="1:70" s="440" customFormat="1" ht="40" hidden="1" outlineLevel="1">
      <c r="A155" s="161" t="s">
        <v>581</v>
      </c>
      <c r="B155" s="13"/>
      <c r="C155" s="13"/>
      <c r="D155" s="1066"/>
      <c r="E155" s="13"/>
      <c r="G155" s="1317">
        <f>2.7*1</f>
        <v>2.7</v>
      </c>
      <c r="H155" s="1317">
        <f t="shared" si="222"/>
        <v>2.7</v>
      </c>
      <c r="I155" s="1317">
        <f t="shared" si="222"/>
        <v>2.7</v>
      </c>
      <c r="J155" s="1317">
        <f t="shared" si="222"/>
        <v>2.7</v>
      </c>
      <c r="K155" s="520"/>
      <c r="L155" s="442"/>
      <c r="M155" s="443"/>
      <c r="N155" s="169">
        <f t="shared" si="225"/>
        <v>2.7</v>
      </c>
      <c r="O155" s="169">
        <f>N155</f>
        <v>2.7</v>
      </c>
      <c r="P155" s="169">
        <f t="shared" si="226"/>
        <v>2.7</v>
      </c>
      <c r="Q155" s="169">
        <f t="shared" si="226"/>
        <v>2.7</v>
      </c>
      <c r="R155" s="543"/>
      <c r="S155" s="443"/>
      <c r="T155" s="169">
        <f t="shared" si="227"/>
        <v>2.7</v>
      </c>
      <c r="U155" s="169">
        <f>T155</f>
        <v>2.7</v>
      </c>
      <c r="V155" s="169">
        <f t="shared" si="228"/>
        <v>2.7</v>
      </c>
      <c r="W155" s="169">
        <f t="shared" si="228"/>
        <v>2.7</v>
      </c>
      <c r="X155" s="520"/>
      <c r="Y155" s="442"/>
      <c r="Z155" s="442"/>
      <c r="AA155" s="442"/>
      <c r="AB155" s="442"/>
      <c r="AC155" s="169">
        <f t="shared" si="223"/>
        <v>2.7</v>
      </c>
      <c r="AD155" s="169">
        <f t="shared" si="231"/>
        <v>2.7</v>
      </c>
      <c r="AE155" s="169">
        <f t="shared" si="231"/>
        <v>2.7</v>
      </c>
      <c r="AF155" s="169">
        <f t="shared" si="231"/>
        <v>2.7</v>
      </c>
      <c r="AG155" s="442"/>
      <c r="AH155" s="843"/>
      <c r="AI155" s="169">
        <f t="shared" si="232"/>
        <v>2.7</v>
      </c>
      <c r="AJ155" s="169">
        <f t="shared" si="233"/>
        <v>2.7</v>
      </c>
      <c r="AK155" s="169">
        <f t="shared" si="233"/>
        <v>2.7</v>
      </c>
      <c r="AL155" s="169">
        <f t="shared" si="233"/>
        <v>2.7</v>
      </c>
      <c r="AM155" s="844"/>
      <c r="AN155" s="520"/>
      <c r="AO155" s="439"/>
      <c r="AP155" s="439"/>
      <c r="AQ155" s="439"/>
      <c r="AR155" s="439"/>
      <c r="AS155" s="439"/>
      <c r="AT155" s="439"/>
      <c r="AU155" s="443"/>
      <c r="AV155" s="443"/>
      <c r="AW155" s="443"/>
      <c r="AX155" s="443"/>
      <c r="AY155" s="443"/>
      <c r="AZ155" s="443"/>
      <c r="BG155" s="443"/>
      <c r="BH155" s="443"/>
      <c r="BI155" s="443"/>
      <c r="BJ155" s="443"/>
      <c r="BK155" s="443"/>
      <c r="BL155" s="443"/>
      <c r="BM155" s="443"/>
      <c r="BN155" s="443"/>
      <c r="BO155" s="443"/>
      <c r="BP155" s="443"/>
      <c r="BQ155" s="443"/>
      <c r="BR155" s="443"/>
    </row>
    <row r="156" spans="1:70" s="440" customFormat="1" ht="20" hidden="1" outlineLevel="1">
      <c r="A156" s="161" t="s">
        <v>647</v>
      </c>
      <c r="B156" s="13"/>
      <c r="C156" s="13"/>
      <c r="D156" s="1066"/>
      <c r="E156" s="13"/>
      <c r="G156" s="812">
        <v>0.35</v>
      </c>
      <c r="H156" s="812">
        <f t="shared" si="222"/>
        <v>0.35</v>
      </c>
      <c r="I156" s="812">
        <f t="shared" si="222"/>
        <v>0.35</v>
      </c>
      <c r="J156" s="812">
        <f t="shared" si="222"/>
        <v>0.35</v>
      </c>
      <c r="K156" s="520"/>
      <c r="L156" s="442"/>
      <c r="M156" s="443"/>
      <c r="N156" s="812">
        <f t="shared" si="225"/>
        <v>0.35</v>
      </c>
      <c r="O156" s="644">
        <f>H156</f>
        <v>0.35</v>
      </c>
      <c r="P156" s="644">
        <f>I156</f>
        <v>0.35</v>
      </c>
      <c r="Q156" s="644">
        <f>J156</f>
        <v>0.35</v>
      </c>
      <c r="R156" s="543"/>
      <c r="S156" s="443"/>
      <c r="T156" s="812">
        <f t="shared" si="227"/>
        <v>0.35</v>
      </c>
      <c r="U156" s="644">
        <f>O156</f>
        <v>0.35</v>
      </c>
      <c r="V156" s="644">
        <f>P156</f>
        <v>0.35</v>
      </c>
      <c r="W156" s="644">
        <f>Q156</f>
        <v>0.35</v>
      </c>
      <c r="X156" s="520"/>
      <c r="Y156" s="442"/>
      <c r="Z156" s="442"/>
      <c r="AA156" s="442"/>
      <c r="AB156" s="442"/>
      <c r="AC156" s="812">
        <f t="shared" si="223"/>
        <v>0.35</v>
      </c>
      <c r="AD156" s="644">
        <f>U156</f>
        <v>0.35</v>
      </c>
      <c r="AE156" s="644">
        <f t="shared" ref="AE156:AF156" si="234">V156</f>
        <v>0.35</v>
      </c>
      <c r="AF156" s="644">
        <f t="shared" si="234"/>
        <v>0.35</v>
      </c>
      <c r="AG156" s="442"/>
      <c r="AH156" s="843"/>
      <c r="AI156" s="811">
        <f>AC156</f>
        <v>0.35</v>
      </c>
      <c r="AJ156" s="644">
        <f>AD156</f>
        <v>0.35</v>
      </c>
      <c r="AK156" s="644">
        <f t="shared" ref="AK156:AL156" si="235">AE156</f>
        <v>0.35</v>
      </c>
      <c r="AL156" s="644">
        <f t="shared" si="235"/>
        <v>0.35</v>
      </c>
      <c r="AM156" s="844"/>
      <c r="AN156" s="520"/>
      <c r="AO156" s="439"/>
      <c r="AP156" s="439"/>
      <c r="AQ156" s="439"/>
      <c r="AR156" s="439"/>
      <c r="AS156" s="439"/>
      <c r="AT156" s="439"/>
      <c r="AU156" s="443"/>
      <c r="AV156" s="443"/>
      <c r="AW156" s="443"/>
      <c r="AX156" s="443"/>
      <c r="AY156" s="443"/>
      <c r="AZ156" s="443"/>
      <c r="BG156" s="443"/>
      <c r="BH156" s="443"/>
      <c r="BI156" s="443"/>
      <c r="BJ156" s="443"/>
      <c r="BK156" s="443"/>
      <c r="BL156" s="443"/>
      <c r="BM156" s="443"/>
      <c r="BN156" s="443"/>
      <c r="BO156" s="443"/>
      <c r="BP156" s="443"/>
      <c r="BQ156" s="443"/>
      <c r="BR156" s="443"/>
    </row>
    <row r="157" spans="1:70" s="440" customFormat="1" ht="40" hidden="1" outlineLevel="1">
      <c r="A157" s="161" t="s">
        <v>603</v>
      </c>
      <c r="B157" s="13"/>
      <c r="C157" s="13"/>
      <c r="D157" s="1066"/>
      <c r="E157" s="13"/>
      <c r="G157" s="812">
        <f>60%*G156</f>
        <v>0.21</v>
      </c>
      <c r="H157" s="812">
        <f t="shared" ref="H157:J157" si="236">60%*H156</f>
        <v>0.21</v>
      </c>
      <c r="I157" s="812">
        <f t="shared" si="236"/>
        <v>0.21</v>
      </c>
      <c r="J157" s="812">
        <f t="shared" si="236"/>
        <v>0.21</v>
      </c>
      <c r="K157" s="520"/>
      <c r="L157" s="442"/>
      <c r="M157" s="443"/>
      <c r="N157" s="812">
        <f t="shared" si="225"/>
        <v>0.21</v>
      </c>
      <c r="O157" s="812">
        <f t="shared" ref="O157:Q158" si="237">N157</f>
        <v>0.21</v>
      </c>
      <c r="P157" s="812">
        <f t="shared" si="237"/>
        <v>0.21</v>
      </c>
      <c r="Q157" s="812">
        <f t="shared" si="237"/>
        <v>0.21</v>
      </c>
      <c r="R157" s="543"/>
      <c r="S157" s="443"/>
      <c r="T157" s="812">
        <f t="shared" si="227"/>
        <v>0.21</v>
      </c>
      <c r="U157" s="812">
        <f t="shared" ref="U157:W158" si="238">T157</f>
        <v>0.21</v>
      </c>
      <c r="V157" s="812">
        <f t="shared" si="238"/>
        <v>0.21</v>
      </c>
      <c r="W157" s="812">
        <f t="shared" si="238"/>
        <v>0.21</v>
      </c>
      <c r="X157" s="520"/>
      <c r="Y157" s="442"/>
      <c r="Z157" s="442"/>
      <c r="AA157" s="442"/>
      <c r="AB157" s="442"/>
      <c r="AC157" s="812">
        <f t="shared" si="223"/>
        <v>0.21</v>
      </c>
      <c r="AD157" s="812">
        <f t="shared" ref="AD157:AF158" si="239">AC157</f>
        <v>0.21</v>
      </c>
      <c r="AE157" s="812">
        <f t="shared" si="239"/>
        <v>0.21</v>
      </c>
      <c r="AF157" s="812">
        <f t="shared" si="239"/>
        <v>0.21</v>
      </c>
      <c r="AG157" s="442"/>
      <c r="AH157" s="843"/>
      <c r="AI157" s="811">
        <f>AC157</f>
        <v>0.21</v>
      </c>
      <c r="AJ157" s="811">
        <f t="shared" ref="AJ157:AL158" si="240">AI157</f>
        <v>0.21</v>
      </c>
      <c r="AK157" s="811">
        <f t="shared" si="240"/>
        <v>0.21</v>
      </c>
      <c r="AL157" s="811">
        <f t="shared" si="240"/>
        <v>0.21</v>
      </c>
      <c r="AM157" s="844"/>
      <c r="AN157" s="520"/>
      <c r="AO157" s="439"/>
      <c r="AP157" s="439"/>
      <c r="AQ157" s="439"/>
      <c r="AR157" s="439"/>
      <c r="AS157" s="439"/>
      <c r="AT157" s="439"/>
      <c r="AU157" s="443"/>
      <c r="AV157" s="443"/>
      <c r="AW157" s="443"/>
      <c r="AX157" s="443"/>
      <c r="AY157" s="443"/>
      <c r="AZ157" s="443"/>
      <c r="BG157" s="443"/>
      <c r="BH157" s="443"/>
      <c r="BI157" s="443"/>
      <c r="BJ157" s="443"/>
      <c r="BK157" s="443"/>
      <c r="BL157" s="443"/>
      <c r="BM157" s="443"/>
      <c r="BN157" s="443"/>
      <c r="BO157" s="443"/>
      <c r="BP157" s="443"/>
      <c r="BQ157" s="443"/>
      <c r="BR157" s="443"/>
    </row>
    <row r="158" spans="1:70" s="440" customFormat="1" ht="20" hidden="1" outlineLevel="1">
      <c r="A158" s="161" t="s">
        <v>597</v>
      </c>
      <c r="B158" s="13"/>
      <c r="C158" s="13"/>
      <c r="D158" s="1066"/>
      <c r="E158" s="13"/>
      <c r="G158" s="812">
        <f>G198</f>
        <v>0.62</v>
      </c>
      <c r="H158" s="812">
        <f>G158</f>
        <v>0.62</v>
      </c>
      <c r="I158" s="812">
        <f t="shared" ref="I158:J158" si="241">H158</f>
        <v>0.62</v>
      </c>
      <c r="J158" s="812">
        <f t="shared" si="241"/>
        <v>0.62</v>
      </c>
      <c r="K158" s="520"/>
      <c r="L158" s="442"/>
      <c r="M158" s="443"/>
      <c r="N158" s="812">
        <f t="shared" si="225"/>
        <v>0.62</v>
      </c>
      <c r="O158" s="812">
        <f t="shared" si="237"/>
        <v>0.62</v>
      </c>
      <c r="P158" s="812">
        <f t="shared" si="237"/>
        <v>0.62</v>
      </c>
      <c r="Q158" s="812">
        <f t="shared" si="237"/>
        <v>0.62</v>
      </c>
      <c r="R158" s="543"/>
      <c r="S158" s="443"/>
      <c r="T158" s="812">
        <f t="shared" si="227"/>
        <v>0.62</v>
      </c>
      <c r="U158" s="812">
        <f t="shared" si="238"/>
        <v>0.62</v>
      </c>
      <c r="V158" s="812">
        <f t="shared" si="238"/>
        <v>0.62</v>
      </c>
      <c r="W158" s="812">
        <f t="shared" si="238"/>
        <v>0.62</v>
      </c>
      <c r="X158" s="520"/>
      <c r="Y158" s="442"/>
      <c r="Z158" s="442"/>
      <c r="AA158" s="442"/>
      <c r="AB158" s="442"/>
      <c r="AC158" s="812">
        <f t="shared" si="223"/>
        <v>0.62</v>
      </c>
      <c r="AD158" s="812">
        <f t="shared" si="239"/>
        <v>0.62</v>
      </c>
      <c r="AE158" s="812">
        <f t="shared" si="239"/>
        <v>0.62</v>
      </c>
      <c r="AF158" s="812">
        <f t="shared" si="239"/>
        <v>0.62</v>
      </c>
      <c r="AG158" s="442"/>
      <c r="AH158" s="843"/>
      <c r="AI158" s="811">
        <f>AC158</f>
        <v>0.62</v>
      </c>
      <c r="AJ158" s="811">
        <f t="shared" si="240"/>
        <v>0.62</v>
      </c>
      <c r="AK158" s="811">
        <f t="shared" si="240"/>
        <v>0.62</v>
      </c>
      <c r="AL158" s="811">
        <f t="shared" si="240"/>
        <v>0.62</v>
      </c>
      <c r="AM158" s="844"/>
      <c r="AN158" s="520"/>
      <c r="AO158" s="439"/>
      <c r="AP158" s="439"/>
      <c r="AQ158" s="439"/>
      <c r="AR158" s="439"/>
      <c r="AS158" s="439"/>
      <c r="AT158" s="439"/>
      <c r="AU158" s="443"/>
      <c r="AV158" s="443"/>
      <c r="AW158" s="443"/>
      <c r="AX158" s="443"/>
      <c r="AY158" s="443"/>
      <c r="AZ158" s="443"/>
      <c r="BG158" s="443"/>
      <c r="BH158" s="443"/>
      <c r="BI158" s="443"/>
      <c r="BJ158" s="443"/>
      <c r="BK158" s="443"/>
      <c r="BL158" s="443"/>
      <c r="BM158" s="443"/>
      <c r="BN158" s="443"/>
      <c r="BO158" s="443"/>
      <c r="BP158" s="443"/>
      <c r="BQ158" s="443"/>
      <c r="BR158" s="443"/>
    </row>
    <row r="159" spans="1:70" s="440" customFormat="1" hidden="1" outlineLevel="1">
      <c r="A159" s="13"/>
      <c r="B159" s="13"/>
      <c r="C159" s="13"/>
      <c r="D159" s="1066"/>
      <c r="E159" s="13"/>
      <c r="G159" s="812"/>
      <c r="H159" s="812"/>
      <c r="I159" s="812"/>
      <c r="J159" s="812"/>
      <c r="K159" s="520"/>
      <c r="L159" s="442"/>
      <c r="M159" s="443"/>
      <c r="N159" s="812"/>
      <c r="O159" s="812"/>
      <c r="P159" s="812"/>
      <c r="Q159" s="812"/>
      <c r="R159" s="543"/>
      <c r="S159" s="443"/>
      <c r="T159" s="812"/>
      <c r="U159" s="812"/>
      <c r="V159" s="812"/>
      <c r="W159" s="812"/>
      <c r="X159" s="520"/>
      <c r="Y159" s="442"/>
      <c r="Z159" s="442"/>
      <c r="AA159" s="442"/>
      <c r="AB159" s="442"/>
      <c r="AC159" s="812"/>
      <c r="AD159" s="812"/>
      <c r="AE159" s="812"/>
      <c r="AF159" s="812"/>
      <c r="AG159" s="442"/>
      <c r="AH159" s="843"/>
      <c r="AI159" s="811"/>
      <c r="AJ159" s="811"/>
      <c r="AK159" s="811"/>
      <c r="AL159" s="811"/>
      <c r="AM159" s="844"/>
      <c r="AN159" s="520"/>
      <c r="AO159" s="439"/>
      <c r="AP159" s="439"/>
      <c r="AQ159" s="439"/>
      <c r="AR159" s="439"/>
      <c r="AS159" s="439"/>
      <c r="AT159" s="439"/>
      <c r="AU159" s="443"/>
      <c r="AV159" s="443"/>
      <c r="AW159" s="443"/>
      <c r="AX159" s="443"/>
      <c r="AY159" s="443"/>
      <c r="AZ159" s="443"/>
      <c r="BG159" s="443"/>
      <c r="BH159" s="443"/>
      <c r="BI159" s="443"/>
      <c r="BJ159" s="443"/>
      <c r="BK159" s="443"/>
      <c r="BL159" s="443"/>
      <c r="BM159" s="443"/>
      <c r="BN159" s="443"/>
      <c r="BO159" s="443"/>
      <c r="BP159" s="443"/>
      <c r="BQ159" s="443"/>
      <c r="BR159" s="443"/>
    </row>
    <row r="160" spans="1:70" s="440" customFormat="1" ht="20" hidden="1" outlineLevel="1">
      <c r="A160" s="1" t="s">
        <v>584</v>
      </c>
      <c r="B160" s="13"/>
      <c r="C160" s="13"/>
      <c r="D160" s="1066"/>
      <c r="E160" s="13"/>
      <c r="G160" s="812"/>
      <c r="H160" s="812"/>
      <c r="I160" s="812"/>
      <c r="J160" s="812"/>
      <c r="K160" s="520"/>
      <c r="L160" s="442"/>
      <c r="M160" s="443"/>
      <c r="N160" s="812"/>
      <c r="O160" s="812"/>
      <c r="P160" s="812"/>
      <c r="Q160" s="812"/>
      <c r="R160" s="543"/>
      <c r="S160" s="443"/>
      <c r="T160" s="812"/>
      <c r="U160" s="812"/>
      <c r="V160" s="812"/>
      <c r="W160" s="812"/>
      <c r="X160" s="520"/>
      <c r="Y160" s="442"/>
      <c r="Z160" s="442"/>
      <c r="AA160" s="442"/>
      <c r="AB160" s="442"/>
      <c r="AC160" s="812"/>
      <c r="AD160" s="812"/>
      <c r="AE160" s="812"/>
      <c r="AF160" s="812"/>
      <c r="AG160" s="442"/>
      <c r="AH160" s="843"/>
      <c r="AI160" s="811"/>
      <c r="AJ160" s="811"/>
      <c r="AK160" s="811"/>
      <c r="AL160" s="811"/>
      <c r="AM160" s="844"/>
      <c r="AN160" s="520"/>
      <c r="AO160" s="439"/>
      <c r="AP160" s="439"/>
      <c r="AQ160" s="439"/>
      <c r="AR160" s="439"/>
      <c r="AS160" s="439"/>
      <c r="AT160" s="439"/>
      <c r="AU160" s="443"/>
      <c r="AV160" s="443"/>
      <c r="AW160" s="443"/>
      <c r="AX160" s="443"/>
      <c r="AY160" s="443"/>
      <c r="AZ160" s="443"/>
      <c r="BG160" s="443"/>
      <c r="BH160" s="443"/>
      <c r="BI160" s="443"/>
      <c r="BJ160" s="443"/>
      <c r="BK160" s="443"/>
      <c r="BL160" s="443"/>
      <c r="BM160" s="443"/>
      <c r="BN160" s="443"/>
      <c r="BO160" s="443"/>
      <c r="BP160" s="443"/>
      <c r="BQ160" s="443"/>
      <c r="BR160" s="443"/>
    </row>
    <row r="161" spans="1:70" s="440" customFormat="1" hidden="1" outlineLevel="1">
      <c r="A161" s="2" t="s">
        <v>577</v>
      </c>
      <c r="B161" s="13"/>
      <c r="C161" s="13"/>
      <c r="D161" s="1066"/>
      <c r="E161" s="13"/>
      <c r="G161" s="939">
        <f>G194+(G194/100*20)</f>
        <v>1.8</v>
      </c>
      <c r="H161" s="1143">
        <f>G161</f>
        <v>1.8</v>
      </c>
      <c r="I161" s="1143">
        <f t="shared" ref="I161:J161" si="242">H161</f>
        <v>1.8</v>
      </c>
      <c r="J161" s="1143">
        <f t="shared" si="242"/>
        <v>1.8</v>
      </c>
      <c r="K161" s="520"/>
      <c r="L161" s="442"/>
      <c r="M161" s="443"/>
      <c r="N161" s="1143">
        <f>G161</f>
        <v>1.8</v>
      </c>
      <c r="O161" s="1143">
        <f>N161</f>
        <v>1.8</v>
      </c>
      <c r="P161" s="1143">
        <f t="shared" ref="P161:Q161" si="243">O161</f>
        <v>1.8</v>
      </c>
      <c r="Q161" s="1143">
        <f t="shared" si="243"/>
        <v>1.8</v>
      </c>
      <c r="R161" s="543"/>
      <c r="S161" s="443"/>
      <c r="T161" s="1144">
        <f>N161</f>
        <v>1.8</v>
      </c>
      <c r="U161" s="1144">
        <f>O161</f>
        <v>1.8</v>
      </c>
      <c r="V161" s="1144">
        <f t="shared" ref="V161:W163" si="244">P161</f>
        <v>1.8</v>
      </c>
      <c r="W161" s="1144">
        <f t="shared" si="244"/>
        <v>1.8</v>
      </c>
      <c r="X161" s="520"/>
      <c r="Y161" s="442"/>
      <c r="Z161" s="442"/>
      <c r="AA161" s="442"/>
      <c r="AB161" s="442"/>
      <c r="AC161" s="1143">
        <f>T161</f>
        <v>1.8</v>
      </c>
      <c r="AD161" s="1143">
        <f t="shared" ref="AD161:AF163" si="245">U161</f>
        <v>1.8</v>
      </c>
      <c r="AE161" s="1143">
        <f t="shared" si="245"/>
        <v>1.8</v>
      </c>
      <c r="AF161" s="1143">
        <f t="shared" si="245"/>
        <v>1.8</v>
      </c>
      <c r="AG161" s="442"/>
      <c r="AH161" s="843"/>
      <c r="AI161" s="1146">
        <f>AC161</f>
        <v>1.8</v>
      </c>
      <c r="AJ161" s="1146">
        <f>AI161</f>
        <v>1.8</v>
      </c>
      <c r="AK161" s="1146">
        <f t="shared" ref="AK161:AL161" si="246">AJ161</f>
        <v>1.8</v>
      </c>
      <c r="AL161" s="1146">
        <f t="shared" si="246"/>
        <v>1.8</v>
      </c>
      <c r="AM161" s="844"/>
      <c r="AN161" s="520"/>
      <c r="AO161" s="439"/>
      <c r="AP161" s="439"/>
      <c r="AQ161" s="439"/>
      <c r="AR161" s="439"/>
      <c r="AS161" s="439"/>
      <c r="AT161" s="439"/>
      <c r="AU161" s="443"/>
      <c r="AV161" s="443"/>
      <c r="AW161" s="443"/>
      <c r="AX161" s="443"/>
      <c r="AY161" s="443"/>
      <c r="AZ161" s="443"/>
      <c r="BG161" s="443"/>
      <c r="BH161" s="443"/>
      <c r="BI161" s="443"/>
      <c r="BJ161" s="443"/>
      <c r="BK161" s="443"/>
      <c r="BL161" s="443"/>
      <c r="BM161" s="443"/>
      <c r="BN161" s="443"/>
      <c r="BO161" s="443"/>
      <c r="BP161" s="443"/>
      <c r="BQ161" s="443"/>
      <c r="BR161" s="443"/>
    </row>
    <row r="162" spans="1:70" s="440" customFormat="1" hidden="1" outlineLevel="1">
      <c r="A162" s="2" t="s">
        <v>578</v>
      </c>
      <c r="B162" s="13"/>
      <c r="C162" s="13"/>
      <c r="D162" s="1066"/>
      <c r="E162" s="13"/>
      <c r="G162" s="939">
        <f>G195+(G195/100*20)</f>
        <v>2.0760000000000001</v>
      </c>
      <c r="H162" s="1143">
        <f t="shared" ref="H162:J163" si="247">G162</f>
        <v>2.0760000000000001</v>
      </c>
      <c r="I162" s="1143">
        <f t="shared" si="247"/>
        <v>2.0760000000000001</v>
      </c>
      <c r="J162" s="1143">
        <f t="shared" si="247"/>
        <v>2.0760000000000001</v>
      </c>
      <c r="K162" s="520"/>
      <c r="L162" s="442"/>
      <c r="M162" s="443"/>
      <c r="N162" s="1143">
        <f t="shared" ref="N162:N163" si="248">G162</f>
        <v>2.0760000000000001</v>
      </c>
      <c r="O162" s="1143">
        <f t="shared" ref="O162:Q165" si="249">N162</f>
        <v>2.0760000000000001</v>
      </c>
      <c r="P162" s="1143">
        <f t="shared" si="249"/>
        <v>2.0760000000000001</v>
      </c>
      <c r="Q162" s="1143">
        <f t="shared" si="249"/>
        <v>2.0760000000000001</v>
      </c>
      <c r="R162" s="543"/>
      <c r="S162" s="443"/>
      <c r="T162" s="1144">
        <f t="shared" ref="T162:U163" si="250">N162</f>
        <v>2.0760000000000001</v>
      </c>
      <c r="U162" s="1144">
        <f t="shared" si="250"/>
        <v>2.0760000000000001</v>
      </c>
      <c r="V162" s="1144">
        <f t="shared" si="244"/>
        <v>2.0760000000000001</v>
      </c>
      <c r="W162" s="1144">
        <f t="shared" si="244"/>
        <v>2.0760000000000001</v>
      </c>
      <c r="X162" s="520"/>
      <c r="Y162" s="442"/>
      <c r="Z162" s="442"/>
      <c r="AA162" s="442"/>
      <c r="AB162" s="442"/>
      <c r="AC162" s="1143">
        <f t="shared" ref="AC162:AC163" si="251">T162</f>
        <v>2.0760000000000001</v>
      </c>
      <c r="AD162" s="1143">
        <f t="shared" si="245"/>
        <v>2.0760000000000001</v>
      </c>
      <c r="AE162" s="1143">
        <f t="shared" si="245"/>
        <v>2.0760000000000001</v>
      </c>
      <c r="AF162" s="1143">
        <f t="shared" si="245"/>
        <v>2.0760000000000001</v>
      </c>
      <c r="AG162" s="442"/>
      <c r="AH162" s="843"/>
      <c r="AI162" s="1146">
        <f t="shared" ref="AI162:AI163" si="252">AC162</f>
        <v>2.0760000000000001</v>
      </c>
      <c r="AJ162" s="1146">
        <f t="shared" ref="AJ162:AL163" si="253">AI162</f>
        <v>2.0760000000000001</v>
      </c>
      <c r="AK162" s="1146">
        <f t="shared" si="253"/>
        <v>2.0760000000000001</v>
      </c>
      <c r="AL162" s="1146">
        <f t="shared" si="253"/>
        <v>2.0760000000000001</v>
      </c>
      <c r="AM162" s="844"/>
      <c r="AN162" s="520"/>
      <c r="AO162" s="439"/>
      <c r="AP162" s="439"/>
      <c r="AQ162" s="439"/>
      <c r="AR162" s="439"/>
      <c r="AS162" s="439"/>
      <c r="AT162" s="439"/>
      <c r="AU162" s="443"/>
      <c r="AV162" s="443"/>
      <c r="AW162" s="443"/>
      <c r="AX162" s="443"/>
      <c r="AY162" s="443"/>
      <c r="AZ162" s="443"/>
      <c r="BG162" s="443"/>
      <c r="BH162" s="443"/>
      <c r="BI162" s="443"/>
      <c r="BJ162" s="443"/>
      <c r="BK162" s="443"/>
      <c r="BL162" s="443"/>
      <c r="BM162" s="443"/>
      <c r="BN162" s="443"/>
      <c r="BO162" s="443"/>
      <c r="BP162" s="443"/>
      <c r="BQ162" s="443"/>
      <c r="BR162" s="443"/>
    </row>
    <row r="163" spans="1:70" s="440" customFormat="1" hidden="1" outlineLevel="1">
      <c r="A163" s="2" t="s">
        <v>579</v>
      </c>
      <c r="B163" s="13"/>
      <c r="C163" s="13"/>
      <c r="D163" s="1066"/>
      <c r="E163" s="13"/>
      <c r="G163" s="939">
        <f>G196+(G196/100*20)</f>
        <v>9.2280000000000015</v>
      </c>
      <c r="H163" s="1143">
        <f t="shared" si="247"/>
        <v>9.2280000000000015</v>
      </c>
      <c r="I163" s="1143">
        <f t="shared" si="247"/>
        <v>9.2280000000000015</v>
      </c>
      <c r="J163" s="1143">
        <f t="shared" si="247"/>
        <v>9.2280000000000015</v>
      </c>
      <c r="K163" s="520"/>
      <c r="L163" s="442"/>
      <c r="M163" s="443"/>
      <c r="N163" s="1143">
        <f t="shared" si="248"/>
        <v>9.2280000000000015</v>
      </c>
      <c r="O163" s="1143">
        <f t="shared" si="249"/>
        <v>9.2280000000000015</v>
      </c>
      <c r="P163" s="1143">
        <f t="shared" si="249"/>
        <v>9.2280000000000015</v>
      </c>
      <c r="Q163" s="1143">
        <f t="shared" si="249"/>
        <v>9.2280000000000015</v>
      </c>
      <c r="R163" s="543"/>
      <c r="S163" s="443"/>
      <c r="T163" s="1144">
        <f t="shared" si="250"/>
        <v>9.2280000000000015</v>
      </c>
      <c r="U163" s="1144">
        <f t="shared" si="250"/>
        <v>9.2280000000000015</v>
      </c>
      <c r="V163" s="1144">
        <f t="shared" si="244"/>
        <v>9.2280000000000015</v>
      </c>
      <c r="W163" s="1144">
        <f t="shared" si="244"/>
        <v>9.2280000000000015</v>
      </c>
      <c r="X163" s="520"/>
      <c r="Y163" s="442"/>
      <c r="Z163" s="442"/>
      <c r="AA163" s="442"/>
      <c r="AB163" s="442"/>
      <c r="AC163" s="1143">
        <f t="shared" si="251"/>
        <v>9.2280000000000015</v>
      </c>
      <c r="AD163" s="1143">
        <f t="shared" si="245"/>
        <v>9.2280000000000015</v>
      </c>
      <c r="AE163" s="1143">
        <f t="shared" si="245"/>
        <v>9.2280000000000015</v>
      </c>
      <c r="AF163" s="1143">
        <f t="shared" si="245"/>
        <v>9.2280000000000015</v>
      </c>
      <c r="AG163" s="442"/>
      <c r="AH163" s="843"/>
      <c r="AI163" s="1146">
        <f t="shared" si="252"/>
        <v>9.2280000000000015</v>
      </c>
      <c r="AJ163" s="1146">
        <f t="shared" si="253"/>
        <v>9.2280000000000015</v>
      </c>
      <c r="AK163" s="1146">
        <f t="shared" si="253"/>
        <v>9.2280000000000015</v>
      </c>
      <c r="AL163" s="1146">
        <f t="shared" si="253"/>
        <v>9.2280000000000015</v>
      </c>
      <c r="AM163" s="844"/>
      <c r="AN163" s="520"/>
      <c r="AO163" s="439"/>
      <c r="AP163" s="439"/>
      <c r="AQ163" s="439"/>
      <c r="AR163" s="439"/>
      <c r="AS163" s="439"/>
      <c r="AT163" s="439"/>
      <c r="AU163" s="443"/>
      <c r="AV163" s="443"/>
      <c r="AW163" s="443"/>
      <c r="AX163" s="443"/>
      <c r="AY163" s="443"/>
      <c r="AZ163" s="443"/>
      <c r="BG163" s="443"/>
      <c r="BH163" s="443"/>
      <c r="BI163" s="443"/>
      <c r="BJ163" s="443"/>
      <c r="BK163" s="443"/>
      <c r="BL163" s="443"/>
      <c r="BM163" s="443"/>
      <c r="BN163" s="443"/>
      <c r="BO163" s="443"/>
      <c r="BP163" s="443"/>
      <c r="BQ163" s="443"/>
      <c r="BR163" s="443"/>
    </row>
    <row r="164" spans="1:70" s="440" customFormat="1" ht="20" hidden="1" outlineLevel="1">
      <c r="A164" s="87" t="s">
        <v>761</v>
      </c>
      <c r="B164" s="423"/>
      <c r="C164" s="1"/>
      <c r="D164" s="1057"/>
      <c r="E164" s="1"/>
      <c r="F164" s="2"/>
      <c r="G164" s="1365">
        <f>G165*G166</f>
        <v>10447.838225909381</v>
      </c>
      <c r="H164" s="1365">
        <f t="shared" ref="H164:J164" si="254">H165*H166</f>
        <v>4364.2868538608809</v>
      </c>
      <c r="I164" s="1365">
        <f t="shared" si="254"/>
        <v>240.6970325462668</v>
      </c>
      <c r="J164" s="1365">
        <f t="shared" si="254"/>
        <v>489.99038768347157</v>
      </c>
      <c r="K164" s="299">
        <f>SUM(G164:J164)</f>
        <v>15542.812500000002</v>
      </c>
      <c r="L164" s="442"/>
      <c r="M164" s="443"/>
      <c r="N164" s="1365">
        <f>N165*N166</f>
        <v>10447.838225909381</v>
      </c>
      <c r="O164" s="1365">
        <f t="shared" ref="O164:Q164" si="255">O165*O166</f>
        <v>4364.2868538608809</v>
      </c>
      <c r="P164" s="1365">
        <f t="shared" si="255"/>
        <v>240.6970325462668</v>
      </c>
      <c r="Q164" s="1365">
        <f t="shared" si="255"/>
        <v>489.99038768347157</v>
      </c>
      <c r="R164" s="299">
        <f>SUM(N164:Q164)</f>
        <v>15542.812500000002</v>
      </c>
      <c r="S164" s="443"/>
      <c r="T164" s="1365">
        <f>T165*T166</f>
        <v>10447.838225909381</v>
      </c>
      <c r="U164" s="1365">
        <f t="shared" ref="U164:W164" si="256">U165*U166</f>
        <v>4364.2868538608809</v>
      </c>
      <c r="V164" s="1365">
        <f t="shared" si="256"/>
        <v>240.6970325462668</v>
      </c>
      <c r="W164" s="1365">
        <f t="shared" si="256"/>
        <v>489.99038768347157</v>
      </c>
      <c r="X164" s="299">
        <f>SUM(T164:W164)</f>
        <v>15542.812500000002</v>
      </c>
      <c r="Y164" s="442"/>
      <c r="Z164" s="442"/>
      <c r="AA164" s="442"/>
      <c r="AB164" s="299"/>
      <c r="AC164" s="1365">
        <f>AC165*AC166</f>
        <v>9268.0491205227881</v>
      </c>
      <c r="AD164" s="1365">
        <f t="shared" ref="AD164:AF164" si="257">AD165*AD166</f>
        <v>3603.7497102330244</v>
      </c>
      <c r="AE164" s="1365">
        <f t="shared" si="257"/>
        <v>206.97111495946433</v>
      </c>
      <c r="AF164" s="1365">
        <f t="shared" si="257"/>
        <v>421.33405545319516</v>
      </c>
      <c r="AG164" s="299">
        <f>SUM(AC164:AF164)</f>
        <v>13500.104001168471</v>
      </c>
      <c r="AH164" s="843"/>
      <c r="AI164" s="1365">
        <f>AI165*AI166</f>
        <v>1179.7891053865922</v>
      </c>
      <c r="AJ164" s="1365">
        <f t="shared" ref="AJ164:AL164" si="258">AJ165*AJ166</f>
        <v>760.53714362785581</v>
      </c>
      <c r="AK164" s="1365">
        <f t="shared" si="258"/>
        <v>33.725917586802424</v>
      </c>
      <c r="AL164" s="1365">
        <f t="shared" si="258"/>
        <v>68.656332230276377</v>
      </c>
      <c r="AM164" s="299">
        <f>SUM(AI164:AL164)</f>
        <v>2042.7084988315266</v>
      </c>
      <c r="AN164" s="299">
        <f>AG164+AM164</f>
        <v>15542.812499999998</v>
      </c>
      <c r="AO164" s="439"/>
      <c r="AP164" s="439"/>
      <c r="AQ164" s="439"/>
      <c r="AR164" s="439"/>
      <c r="AS164" s="439"/>
      <c r="AT164" s="439"/>
      <c r="AU164" s="443"/>
      <c r="AV164" s="443"/>
      <c r="AW164" s="443"/>
      <c r="AX164" s="443"/>
      <c r="AY164" s="443"/>
      <c r="AZ164" s="443"/>
      <c r="BG164" s="443"/>
      <c r="BH164" s="443"/>
      <c r="BI164" s="443"/>
      <c r="BJ164" s="443"/>
      <c r="BK164" s="443"/>
      <c r="BL164" s="443"/>
      <c r="BM164" s="443"/>
      <c r="BN164" s="443"/>
      <c r="BO164" s="443"/>
      <c r="BP164" s="443"/>
      <c r="BQ164" s="443"/>
      <c r="BR164" s="443"/>
    </row>
    <row r="165" spans="1:70" s="440" customFormat="1" ht="40" hidden="1" outlineLevel="1">
      <c r="A165" s="87" t="s">
        <v>605</v>
      </c>
      <c r="B165" s="13"/>
      <c r="C165" s="13"/>
      <c r="D165" s="1066"/>
      <c r="E165" s="13"/>
      <c r="G165" s="154">
        <v>15542.8125</v>
      </c>
      <c r="H165" s="1145">
        <f t="shared" ref="H165:J165" si="259">G165</f>
        <v>15542.8125</v>
      </c>
      <c r="I165" s="1145">
        <f t="shared" si="259"/>
        <v>15542.8125</v>
      </c>
      <c r="J165" s="1145">
        <f t="shared" si="259"/>
        <v>15542.8125</v>
      </c>
      <c r="K165" s="520" t="s">
        <v>762</v>
      </c>
      <c r="L165" s="442"/>
      <c r="M165" s="443"/>
      <c r="N165" s="154">
        <v>15542.8125</v>
      </c>
      <c r="O165" s="1145">
        <f t="shared" si="249"/>
        <v>15542.8125</v>
      </c>
      <c r="P165" s="1145">
        <f t="shared" si="249"/>
        <v>15542.8125</v>
      </c>
      <c r="Q165" s="1145">
        <f t="shared" si="249"/>
        <v>15542.8125</v>
      </c>
      <c r="R165" s="543"/>
      <c r="S165" s="443"/>
      <c r="T165" s="154">
        <v>15542.8125</v>
      </c>
      <c r="U165" s="1145">
        <f t="shared" ref="U165:W165" si="260">T165</f>
        <v>15542.8125</v>
      </c>
      <c r="V165" s="1145">
        <f t="shared" si="260"/>
        <v>15542.8125</v>
      </c>
      <c r="W165" s="1145">
        <f t="shared" si="260"/>
        <v>15542.8125</v>
      </c>
      <c r="X165" s="520"/>
      <c r="Y165" s="442"/>
      <c r="Z165" s="442"/>
      <c r="AA165" s="442"/>
      <c r="AB165" s="442"/>
      <c r="AC165" s="1145">
        <f>T165*$AG$165</f>
        <v>13500.104001168473</v>
      </c>
      <c r="AD165" s="1145">
        <f>U165*$AG$165</f>
        <v>13500.104001168473</v>
      </c>
      <c r="AE165" s="1145">
        <f>V165*$AG$165</f>
        <v>13500.104001168473</v>
      </c>
      <c r="AF165" s="1145">
        <f>W165*$AG$165</f>
        <v>13500.104001168473</v>
      </c>
      <c r="AG165" s="812">
        <f>AG7/AN7</f>
        <v>0.86857536248143463</v>
      </c>
      <c r="AH165" s="843"/>
      <c r="AI165" s="1148">
        <f>T165*$AM$165</f>
        <v>2042.7084988315269</v>
      </c>
      <c r="AJ165" s="1148">
        <f>U165*$AM$165</f>
        <v>2042.7084988315269</v>
      </c>
      <c r="AK165" s="1148">
        <f>V165*$AM$165</f>
        <v>2042.7084988315269</v>
      </c>
      <c r="AL165" s="1148">
        <f>W165*$AM$165</f>
        <v>2042.7084988315269</v>
      </c>
      <c r="AM165" s="1147">
        <f>100%-AG165</f>
        <v>0.13142463751856537</v>
      </c>
      <c r="AN165" s="520"/>
      <c r="AO165" s="439"/>
      <c r="AP165" s="439"/>
      <c r="AQ165" s="439"/>
      <c r="AR165" s="439"/>
      <c r="AS165" s="439"/>
      <c r="AT165" s="439"/>
      <c r="AU165" s="443"/>
      <c r="AV165" s="443"/>
      <c r="AW165" s="443"/>
      <c r="AX165" s="443"/>
      <c r="AY165" s="443"/>
      <c r="AZ165" s="443"/>
      <c r="BG165" s="443"/>
      <c r="BH165" s="443"/>
      <c r="BI165" s="443"/>
      <c r="BJ165" s="443"/>
      <c r="BK165" s="443"/>
      <c r="BL165" s="443"/>
      <c r="BM165" s="443"/>
      <c r="BN165" s="443"/>
      <c r="BO165" s="443"/>
      <c r="BP165" s="443"/>
      <c r="BQ165" s="443"/>
      <c r="BR165" s="443"/>
    </row>
    <row r="166" spans="1:70" s="440" customFormat="1" hidden="1" outlineLevel="1">
      <c r="B166" s="13"/>
      <c r="C166" s="13"/>
      <c r="D166" s="1066"/>
      <c r="E166" s="13"/>
      <c r="G166" s="812">
        <f>G5/$K5</f>
        <v>0.6721974048074878</v>
      </c>
      <c r="H166" s="812">
        <f t="shared" ref="H166:J166" si="261">H5/$K5</f>
        <v>0.28079132099553289</v>
      </c>
      <c r="I166" s="812">
        <f t="shared" si="261"/>
        <v>1.5486066794299088E-2</v>
      </c>
      <c r="J166" s="812">
        <f t="shared" si="261"/>
        <v>3.1525207402680278E-2</v>
      </c>
      <c r="K166" s="520"/>
      <c r="L166" s="442"/>
      <c r="M166" s="443"/>
      <c r="N166" s="812">
        <f>N5/$R5</f>
        <v>0.6721974048074878</v>
      </c>
      <c r="O166" s="812">
        <f t="shared" ref="O166:Q166" si="262">O5/$R5</f>
        <v>0.28079132099553289</v>
      </c>
      <c r="P166" s="812">
        <f t="shared" si="262"/>
        <v>1.5486066794299088E-2</v>
      </c>
      <c r="Q166" s="812">
        <f t="shared" si="262"/>
        <v>3.1525207402680278E-2</v>
      </c>
      <c r="R166" s="543"/>
      <c r="S166" s="443"/>
      <c r="T166" s="812">
        <f>T5/$X5</f>
        <v>0.6721974048074878</v>
      </c>
      <c r="U166" s="812">
        <f t="shared" ref="U166:W166" si="263">U5/$X5</f>
        <v>0.28079132099553289</v>
      </c>
      <c r="V166" s="812">
        <f t="shared" si="263"/>
        <v>1.5486066794299088E-2</v>
      </c>
      <c r="W166" s="812">
        <f t="shared" si="263"/>
        <v>3.1525207402680278E-2</v>
      </c>
      <c r="X166" s="520"/>
      <c r="Y166" s="442"/>
      <c r="Z166" s="442"/>
      <c r="AA166" s="442"/>
      <c r="AB166" s="442"/>
      <c r="AC166" s="812">
        <f>AC5/$AG5</f>
        <v>0.68651686829380065</v>
      </c>
      <c r="AD166" s="812">
        <f t="shared" ref="AD166:AF166" si="264">AD5/$AG5</f>
        <v>0.26694236651222164</v>
      </c>
      <c r="AE166" s="812">
        <f t="shared" si="264"/>
        <v>1.5331075593310274E-2</v>
      </c>
      <c r="AF166" s="812">
        <f t="shared" si="264"/>
        <v>3.1209689600667334E-2</v>
      </c>
      <c r="AG166" s="442"/>
      <c r="AH166" s="843"/>
      <c r="AI166" s="812">
        <f>AI5/$AM5</f>
        <v>0.5775611674702763</v>
      </c>
      <c r="AJ166" s="812">
        <f t="shared" ref="AJ166:AL166" si="265">AJ5/$AM5</f>
        <v>0.3723180003720058</v>
      </c>
      <c r="AK166" s="812">
        <f t="shared" si="265"/>
        <v>1.6510391769601181E-2</v>
      </c>
      <c r="AL166" s="812">
        <f t="shared" si="265"/>
        <v>3.3610440388116697E-2</v>
      </c>
      <c r="AM166" s="844"/>
      <c r="AN166" s="520"/>
      <c r="AO166" s="439"/>
      <c r="AP166" s="439"/>
      <c r="AQ166" s="439"/>
      <c r="AR166" s="439"/>
      <c r="AS166" s="439"/>
      <c r="AT166" s="439"/>
      <c r="AU166" s="443"/>
      <c r="AV166" s="443"/>
      <c r="AW166" s="443"/>
      <c r="AX166" s="443"/>
      <c r="AY166" s="443"/>
      <c r="AZ166" s="443"/>
      <c r="BG166" s="443"/>
      <c r="BH166" s="443"/>
      <c r="BI166" s="443"/>
      <c r="BJ166" s="443"/>
      <c r="BK166" s="443"/>
      <c r="BL166" s="443"/>
      <c r="BM166" s="443"/>
      <c r="BN166" s="443"/>
      <c r="BO166" s="443"/>
      <c r="BP166" s="443"/>
      <c r="BQ166" s="443"/>
      <c r="BR166" s="443"/>
    </row>
    <row r="167" spans="1:70" s="425" customFormat="1" ht="40" hidden="1" outlineLevel="1">
      <c r="A167" s="558" t="s">
        <v>356</v>
      </c>
      <c r="B167" s="355"/>
      <c r="C167" s="355"/>
      <c r="D167" s="1068"/>
      <c r="E167" s="355"/>
      <c r="F167" s="452"/>
      <c r="G167" s="438">
        <f>G178</f>
        <v>1600</v>
      </c>
      <c r="H167" s="354">
        <f>G167</f>
        <v>1600</v>
      </c>
      <c r="I167" s="354">
        <f t="shared" ref="I167:J167" si="266">H167</f>
        <v>1600</v>
      </c>
      <c r="J167" s="354">
        <f t="shared" si="266"/>
        <v>1600</v>
      </c>
      <c r="K167" s="498"/>
      <c r="L167" s="355"/>
      <c r="M167" s="463"/>
      <c r="N167" s="361">
        <v>0</v>
      </c>
      <c r="O167" s="361">
        <f>N167</f>
        <v>0</v>
      </c>
      <c r="P167" s="361">
        <f t="shared" ref="P167:Q167" si="267">O167</f>
        <v>0</v>
      </c>
      <c r="Q167" s="361">
        <f t="shared" si="267"/>
        <v>0</v>
      </c>
      <c r="R167" s="503"/>
      <c r="S167" s="43"/>
      <c r="T167" s="361">
        <v>0</v>
      </c>
      <c r="U167" s="361">
        <f>T167</f>
        <v>0</v>
      </c>
      <c r="V167" s="361">
        <f t="shared" ref="V167:W167" si="268">U167</f>
        <v>0</v>
      </c>
      <c r="W167" s="361">
        <f t="shared" si="268"/>
        <v>0</v>
      </c>
      <c r="X167" s="1316"/>
      <c r="Y167" s="361"/>
      <c r="Z167" s="361"/>
      <c r="AA167" s="361"/>
      <c r="AB167" s="355"/>
      <c r="AC167" s="361">
        <v>0</v>
      </c>
      <c r="AD167" s="361">
        <f>AC167</f>
        <v>0</v>
      </c>
      <c r="AE167" s="361">
        <f t="shared" ref="AE167:AG167" si="269">AD167</f>
        <v>0</v>
      </c>
      <c r="AF167" s="361">
        <f t="shared" si="269"/>
        <v>0</v>
      </c>
      <c r="AG167" s="361">
        <f t="shared" si="269"/>
        <v>0</v>
      </c>
      <c r="AH167" s="820"/>
      <c r="AI167" s="361">
        <f>N167</f>
        <v>0</v>
      </c>
      <c r="AJ167" s="361">
        <f>O167</f>
        <v>0</v>
      </c>
      <c r="AK167" s="361">
        <f>P167</f>
        <v>0</v>
      </c>
      <c r="AL167" s="361">
        <f>Q167</f>
        <v>0</v>
      </c>
      <c r="AM167" s="821"/>
      <c r="AN167" s="498"/>
      <c r="AO167" s="355"/>
      <c r="AP167" s="355"/>
      <c r="AQ167" s="355"/>
      <c r="AR167" s="355"/>
      <c r="AS167" s="355"/>
      <c r="AT167" s="355"/>
      <c r="AU167" s="43"/>
      <c r="AV167" s="43"/>
      <c r="AW167" s="43"/>
      <c r="AX167" s="43"/>
      <c r="AY167" s="43"/>
      <c r="AZ167" s="43"/>
      <c r="BG167" s="463" t="s">
        <v>141</v>
      </c>
      <c r="BH167" s="43"/>
      <c r="BI167" s="43"/>
      <c r="BJ167" s="43"/>
      <c r="BK167" s="43"/>
      <c r="BL167" s="43"/>
      <c r="BM167" s="43" t="s">
        <v>33</v>
      </c>
      <c r="BN167" s="43"/>
      <c r="BO167" s="43"/>
      <c r="BP167" s="43"/>
      <c r="BQ167" s="43"/>
      <c r="BR167" s="43"/>
    </row>
    <row r="168" spans="1:70" s="440" customFormat="1" hidden="1" outlineLevel="1">
      <c r="A168" s="161"/>
      <c r="B168" s="13"/>
      <c r="C168" s="13"/>
      <c r="D168" s="1066"/>
      <c r="E168" s="13"/>
      <c r="G168" s="812"/>
      <c r="H168" s="442"/>
      <c r="I168" s="442"/>
      <c r="J168" s="442"/>
      <c r="K168" s="520"/>
      <c r="L168" s="442"/>
      <c r="M168" s="443"/>
      <c r="N168" s="443"/>
      <c r="O168" s="443"/>
      <c r="P168" s="443"/>
      <c r="Q168" s="443"/>
      <c r="R168" s="543"/>
      <c r="S168" s="443"/>
      <c r="T168" s="442"/>
      <c r="U168" s="442"/>
      <c r="V168" s="442"/>
      <c r="W168" s="442"/>
      <c r="X168" s="520"/>
      <c r="Y168" s="442"/>
      <c r="Z168" s="442"/>
      <c r="AA168" s="442"/>
      <c r="AB168" s="442"/>
      <c r="AC168" s="442"/>
      <c r="AD168" s="442"/>
      <c r="AE168" s="442"/>
      <c r="AF168" s="442"/>
      <c r="AG168" s="442"/>
      <c r="AH168" s="843"/>
      <c r="AI168" s="442"/>
      <c r="AJ168" s="442"/>
      <c r="AK168" s="442"/>
      <c r="AL168" s="442"/>
      <c r="AM168" s="844"/>
      <c r="AN168" s="520"/>
      <c r="AO168" s="439"/>
      <c r="AP168" s="439"/>
      <c r="AQ168" s="439"/>
      <c r="AR168" s="439"/>
      <c r="AS168" s="439"/>
      <c r="AT168" s="439"/>
      <c r="AU168" s="443"/>
      <c r="AV168" s="443"/>
      <c r="AW168" s="443"/>
      <c r="AX168" s="443"/>
      <c r="AY168" s="443"/>
      <c r="AZ168" s="443"/>
      <c r="BG168" s="443"/>
      <c r="BH168" s="443"/>
      <c r="BI168" s="443"/>
      <c r="BJ168" s="443"/>
      <c r="BK168" s="443"/>
      <c r="BL168" s="443"/>
      <c r="BM168" s="443"/>
      <c r="BN168" s="443"/>
      <c r="BO168" s="443"/>
      <c r="BP168" s="443"/>
      <c r="BQ168" s="443"/>
      <c r="BR168" s="443"/>
    </row>
    <row r="169" spans="1:70" s="440" customFormat="1" hidden="1" outlineLevel="1">
      <c r="A169" s="161"/>
      <c r="B169" s="13"/>
      <c r="C169" s="13"/>
      <c r="D169" s="1066"/>
      <c r="E169" s="13"/>
      <c r="G169" s="812"/>
      <c r="H169" s="442"/>
      <c r="I169" s="442"/>
      <c r="J169" s="442"/>
      <c r="K169" s="520"/>
      <c r="L169" s="442"/>
      <c r="M169" s="443"/>
      <c r="N169" s="443"/>
      <c r="O169" s="443"/>
      <c r="P169" s="443"/>
      <c r="Q169" s="443"/>
      <c r="R169" s="543"/>
      <c r="S169" s="443"/>
      <c r="T169" s="442"/>
      <c r="U169" s="442"/>
      <c r="V169" s="442"/>
      <c r="W169" s="442"/>
      <c r="X169" s="520"/>
      <c r="Y169" s="442"/>
      <c r="Z169" s="442"/>
      <c r="AA169" s="442"/>
      <c r="AB169" s="442"/>
      <c r="AC169" s="442"/>
      <c r="AD169" s="442"/>
      <c r="AE169" s="442"/>
      <c r="AF169" s="442"/>
      <c r="AG169" s="442"/>
      <c r="AH169" s="843"/>
      <c r="AI169" s="442"/>
      <c r="AJ169" s="442"/>
      <c r="AK169" s="442"/>
      <c r="AL169" s="442"/>
      <c r="AM169" s="844"/>
      <c r="AN169" s="520"/>
      <c r="AO169" s="439"/>
      <c r="AP169" s="439"/>
      <c r="AQ169" s="439"/>
      <c r="AR169" s="439"/>
      <c r="AS169" s="439"/>
      <c r="AT169" s="439"/>
      <c r="AU169" s="443"/>
      <c r="AV169" s="443"/>
      <c r="AW169" s="443"/>
      <c r="AX169" s="443"/>
      <c r="AY169" s="443"/>
      <c r="AZ169" s="443"/>
      <c r="BG169" s="443"/>
      <c r="BH169" s="443"/>
      <c r="BI169" s="443"/>
      <c r="BJ169" s="443"/>
      <c r="BK169" s="443"/>
      <c r="BL169" s="443"/>
      <c r="BM169" s="443"/>
      <c r="BN169" s="443"/>
      <c r="BO169" s="443"/>
      <c r="BP169" s="443"/>
      <c r="BQ169" s="443"/>
      <c r="BR169" s="443"/>
    </row>
    <row r="170" spans="1:70" s="446" customFormat="1" ht="20" hidden="1" outlineLevel="1">
      <c r="A170" s="565" t="s">
        <v>362</v>
      </c>
      <c r="B170" s="383"/>
      <c r="C170" s="383"/>
      <c r="D170" s="1075"/>
      <c r="E170" s="383"/>
      <c r="F170" s="731"/>
      <c r="G170" s="384"/>
      <c r="H170" s="383"/>
      <c r="I170" s="383"/>
      <c r="J170" s="383"/>
      <c r="K170" s="523"/>
      <c r="L170" s="383"/>
      <c r="M170" s="445"/>
      <c r="N170" s="385"/>
      <c r="O170" s="385"/>
      <c r="P170" s="385"/>
      <c r="Q170" s="385"/>
      <c r="R170" s="547"/>
      <c r="S170" s="385"/>
      <c r="T170" s="385"/>
      <c r="U170" s="385"/>
      <c r="V170" s="385"/>
      <c r="W170" s="385"/>
      <c r="X170" s="547"/>
      <c r="Y170" s="385"/>
      <c r="Z170" s="385"/>
      <c r="AA170" s="385"/>
      <c r="AB170" s="383"/>
      <c r="AC170" s="383"/>
      <c r="AD170" s="383"/>
      <c r="AE170" s="383"/>
      <c r="AF170" s="383"/>
      <c r="AG170" s="383"/>
      <c r="AH170" s="839"/>
      <c r="AI170" s="383"/>
      <c r="AJ170" s="383"/>
      <c r="AK170" s="383"/>
      <c r="AL170" s="383"/>
      <c r="AM170" s="840"/>
      <c r="AN170" s="523"/>
      <c r="AO170" s="383"/>
      <c r="AP170" s="383"/>
      <c r="AQ170" s="383"/>
      <c r="AR170" s="383"/>
      <c r="AS170" s="383"/>
      <c r="AT170" s="383"/>
      <c r="AU170" s="385"/>
      <c r="AV170" s="385"/>
      <c r="AW170" s="385"/>
      <c r="AX170" s="385"/>
      <c r="AY170" s="385"/>
      <c r="AZ170" s="385"/>
      <c r="BG170" s="445" t="s">
        <v>141</v>
      </c>
      <c r="BH170" s="385"/>
      <c r="BI170" s="385"/>
      <c r="BJ170" s="385"/>
      <c r="BK170" s="385"/>
      <c r="BL170" s="385"/>
      <c r="BM170" s="385" t="s">
        <v>33</v>
      </c>
      <c r="BN170" s="385"/>
      <c r="BO170" s="385"/>
      <c r="BP170" s="385"/>
      <c r="BQ170" s="385"/>
      <c r="BR170" s="385"/>
    </row>
    <row r="171" spans="1:70" s="489" customFormat="1" ht="20" hidden="1" outlineLevel="1">
      <c r="A171" s="1049" t="s">
        <v>357</v>
      </c>
      <c r="B171" s="259"/>
      <c r="C171" s="259"/>
      <c r="D171" s="1079"/>
      <c r="E171" s="259"/>
      <c r="F171" s="728"/>
      <c r="G171" s="773">
        <v>37600</v>
      </c>
      <c r="H171" s="773">
        <f>G171</f>
        <v>37600</v>
      </c>
      <c r="I171" s="773">
        <f t="shared" ref="I171:J175" si="270">H171</f>
        <v>37600</v>
      </c>
      <c r="J171" s="773">
        <f t="shared" si="270"/>
        <v>37600</v>
      </c>
      <c r="K171" s="767"/>
      <c r="L171" s="722"/>
      <c r="M171" s="21"/>
      <c r="N171" s="768">
        <f t="shared" ref="N171:Q176" si="271">G171</f>
        <v>37600</v>
      </c>
      <c r="O171" s="768">
        <f t="shared" si="271"/>
        <v>37600</v>
      </c>
      <c r="P171" s="768">
        <f t="shared" si="271"/>
        <v>37600</v>
      </c>
      <c r="Q171" s="768">
        <f t="shared" si="271"/>
        <v>37600</v>
      </c>
      <c r="R171" s="767"/>
      <c r="S171" s="21"/>
      <c r="T171" s="768">
        <f>N171</f>
        <v>37600</v>
      </c>
      <c r="U171" s="722">
        <f>O171</f>
        <v>37600</v>
      </c>
      <c r="V171" s="722">
        <f>P171</f>
        <v>37600</v>
      </c>
      <c r="W171" s="722">
        <f>Q171</f>
        <v>37600</v>
      </c>
      <c r="X171" s="770"/>
      <c r="AH171" s="847"/>
      <c r="AM171" s="848"/>
      <c r="AN171" s="770"/>
      <c r="BH171" s="21"/>
      <c r="BI171" s="21"/>
      <c r="BJ171" s="21"/>
      <c r="BK171" s="21"/>
      <c r="BL171" s="21"/>
      <c r="BM171" s="21" t="s">
        <v>33</v>
      </c>
      <c r="BN171" s="21"/>
      <c r="BO171" s="21"/>
      <c r="BP171" s="21"/>
      <c r="BQ171" s="21"/>
      <c r="BR171" s="21"/>
    </row>
    <row r="172" spans="1:70" s="489" customFormat="1" ht="20" hidden="1" outlineLevel="1">
      <c r="A172" s="1050" t="s">
        <v>323</v>
      </c>
      <c r="B172" s="936"/>
      <c r="C172" s="936"/>
      <c r="D172" s="1080"/>
      <c r="E172" s="936"/>
      <c r="F172" s="728"/>
      <c r="G172" s="774">
        <v>13400</v>
      </c>
      <c r="H172" s="773">
        <f>G172</f>
        <v>13400</v>
      </c>
      <c r="I172" s="773">
        <f t="shared" si="270"/>
        <v>13400</v>
      </c>
      <c r="J172" s="773">
        <f t="shared" si="270"/>
        <v>13400</v>
      </c>
      <c r="K172" s="767"/>
      <c r="L172" s="722"/>
      <c r="M172" s="728"/>
      <c r="N172" s="275">
        <f>G172*(F19/M19)</f>
        <v>8933.3333333333321</v>
      </c>
      <c r="O172" s="275">
        <f>N172</f>
        <v>8933.3333333333321</v>
      </c>
      <c r="P172" s="275">
        <f>O172</f>
        <v>8933.3333333333321</v>
      </c>
      <c r="Q172" s="275">
        <f>P172</f>
        <v>8933.3333333333321</v>
      </c>
      <c r="R172" s="767"/>
      <c r="S172" s="728"/>
      <c r="T172" s="722">
        <v>13100</v>
      </c>
      <c r="U172" s="722">
        <f>T172</f>
        <v>13100</v>
      </c>
      <c r="V172" s="722">
        <f t="shared" ref="V172:W172" si="272">U172</f>
        <v>13100</v>
      </c>
      <c r="W172" s="722">
        <f t="shared" si="272"/>
        <v>13100</v>
      </c>
      <c r="X172" s="770"/>
      <c r="AH172" s="847"/>
      <c r="AM172" s="848"/>
      <c r="AN172" s="770"/>
      <c r="BH172" s="21"/>
      <c r="BI172" s="21"/>
      <c r="BJ172" s="21"/>
      <c r="BK172" s="21"/>
      <c r="BL172" s="21"/>
      <c r="BM172" s="21"/>
      <c r="BN172" s="21"/>
      <c r="BO172" s="21"/>
      <c r="BP172" s="21"/>
      <c r="BQ172" s="21"/>
      <c r="BR172" s="21"/>
    </row>
    <row r="173" spans="1:70" ht="20" hidden="1" outlineLevel="1">
      <c r="A173" s="485" t="s">
        <v>284</v>
      </c>
      <c r="B173" s="80"/>
      <c r="C173" s="80"/>
      <c r="D173" s="1081"/>
      <c r="E173" s="80"/>
      <c r="F173" s="423"/>
      <c r="G173" s="1">
        <v>5700</v>
      </c>
      <c r="H173" s="169">
        <f>G173</f>
        <v>5700</v>
      </c>
      <c r="I173" s="169">
        <f t="shared" si="270"/>
        <v>5700</v>
      </c>
      <c r="J173" s="169">
        <f t="shared" si="270"/>
        <v>5700</v>
      </c>
      <c r="K173" s="407"/>
      <c r="L173" s="169"/>
      <c r="M173" s="423"/>
      <c r="S173" s="423"/>
      <c r="T173" s="1">
        <f t="shared" ref="T173:W174" si="273">N173</f>
        <v>0</v>
      </c>
      <c r="U173" s="1">
        <f t="shared" si="273"/>
        <v>0</v>
      </c>
      <c r="V173" s="1">
        <f t="shared" si="273"/>
        <v>0</v>
      </c>
      <c r="W173" s="1">
        <f t="shared" si="273"/>
        <v>0</v>
      </c>
      <c r="X173" s="504"/>
      <c r="Y173" s="423"/>
      <c r="Z173" s="423"/>
      <c r="AA173" s="423"/>
      <c r="AB173" s="423"/>
      <c r="AC173" s="423"/>
      <c r="AD173" s="423"/>
      <c r="AE173" s="423"/>
      <c r="AF173" s="423"/>
      <c r="AG173" s="423"/>
      <c r="AH173" s="841"/>
      <c r="AI173" s="423"/>
      <c r="AJ173" s="423"/>
      <c r="AK173" s="423"/>
      <c r="AL173" s="423"/>
      <c r="AM173" s="849"/>
      <c r="AN173" s="504"/>
      <c r="AO173" s="423"/>
      <c r="AP173" s="423"/>
      <c r="AQ173" s="423"/>
      <c r="AR173" s="423"/>
      <c r="AS173" s="423"/>
      <c r="AT173" s="423"/>
      <c r="AU173" s="423"/>
      <c r="AV173" s="423"/>
      <c r="AW173" s="423"/>
      <c r="AX173" s="423"/>
      <c r="AY173" s="423"/>
      <c r="AZ173" s="423"/>
      <c r="BG173" s="423"/>
      <c r="BM173" s="14"/>
    </row>
    <row r="174" spans="1:70" ht="20" hidden="1" outlineLevel="1">
      <c r="A174" s="485" t="s">
        <v>498</v>
      </c>
      <c r="B174" s="80"/>
      <c r="C174" s="80"/>
      <c r="D174" s="1081"/>
      <c r="E174" s="80"/>
      <c r="F174" s="423"/>
      <c r="G174" s="1">
        <v>7800</v>
      </c>
      <c r="H174" s="169">
        <f>G174</f>
        <v>7800</v>
      </c>
      <c r="I174" s="169">
        <f t="shared" si="270"/>
        <v>7800</v>
      </c>
      <c r="J174" s="169">
        <f t="shared" si="270"/>
        <v>7800</v>
      </c>
      <c r="K174" s="407"/>
      <c r="L174" s="169"/>
      <c r="M174" s="423"/>
      <c r="S174" s="423"/>
      <c r="T174" s="1">
        <f t="shared" si="273"/>
        <v>0</v>
      </c>
      <c r="U174" s="1">
        <f t="shared" si="273"/>
        <v>0</v>
      </c>
      <c r="V174" s="1">
        <f t="shared" si="273"/>
        <v>0</v>
      </c>
      <c r="W174" s="1">
        <f t="shared" si="273"/>
        <v>0</v>
      </c>
      <c r="X174" s="504"/>
      <c r="Y174" s="423"/>
      <c r="Z174" s="423"/>
      <c r="AA174" s="423"/>
      <c r="AB174" s="423"/>
      <c r="AC174" s="423"/>
      <c r="AD174" s="423"/>
      <c r="AE174" s="423"/>
      <c r="AF174" s="423"/>
      <c r="AG174" s="423"/>
      <c r="AH174" s="841"/>
      <c r="AI174" s="423"/>
      <c r="AJ174" s="423"/>
      <c r="AK174" s="423"/>
      <c r="AL174" s="423"/>
      <c r="AM174" s="849"/>
      <c r="AN174" s="504"/>
      <c r="AO174" s="423"/>
      <c r="AP174" s="423"/>
      <c r="AQ174" s="423"/>
      <c r="AR174" s="423"/>
      <c r="AS174" s="423"/>
      <c r="AT174" s="423"/>
      <c r="AU174" s="423"/>
      <c r="AV174" s="423"/>
      <c r="AW174" s="423"/>
      <c r="AX174" s="423"/>
      <c r="AY174" s="423"/>
      <c r="AZ174" s="423"/>
      <c r="BG174" s="423"/>
      <c r="BM174" s="14"/>
    </row>
    <row r="175" spans="1:70" s="489" customFormat="1" ht="20" hidden="1" outlineLevel="1">
      <c r="A175" s="1051" t="s">
        <v>321</v>
      </c>
      <c r="B175" s="628"/>
      <c r="C175" s="628"/>
      <c r="D175" s="1082"/>
      <c r="E175" s="628"/>
      <c r="G175" s="722">
        <v>20900</v>
      </c>
      <c r="H175" s="722">
        <f>G175</f>
        <v>20900</v>
      </c>
      <c r="I175" s="722">
        <f t="shared" si="270"/>
        <v>20900</v>
      </c>
      <c r="J175" s="722">
        <f t="shared" si="270"/>
        <v>20900</v>
      </c>
      <c r="K175" s="767"/>
      <c r="L175" s="722"/>
      <c r="N175" s="722">
        <f t="shared" si="271"/>
        <v>20900</v>
      </c>
      <c r="O175" s="722">
        <f>N175</f>
        <v>20900</v>
      </c>
      <c r="P175" s="722">
        <f t="shared" ref="P175:Q175" si="274">O175</f>
        <v>20900</v>
      </c>
      <c r="Q175" s="722">
        <f t="shared" si="274"/>
        <v>20900</v>
      </c>
      <c r="R175" s="535"/>
      <c r="S175" s="21"/>
      <c r="T175" s="722">
        <f>N175</f>
        <v>20900</v>
      </c>
      <c r="U175" s="722">
        <f>T175</f>
        <v>20900</v>
      </c>
      <c r="V175" s="722">
        <f t="shared" ref="V175:W175" si="275">U175</f>
        <v>20900</v>
      </c>
      <c r="W175" s="722">
        <f t="shared" si="275"/>
        <v>20900</v>
      </c>
      <c r="X175" s="535"/>
      <c r="Y175" s="21"/>
      <c r="Z175" s="21"/>
      <c r="AA175" s="21"/>
      <c r="AH175" s="847"/>
      <c r="AM175" s="848"/>
      <c r="AN175" s="770"/>
      <c r="BH175" s="21"/>
      <c r="BI175" s="21"/>
      <c r="BJ175" s="21"/>
      <c r="BK175" s="21"/>
      <c r="BL175" s="21"/>
      <c r="BM175" s="21"/>
      <c r="BN175" s="21"/>
      <c r="BO175" s="21"/>
      <c r="BP175" s="21"/>
      <c r="BQ175" s="21"/>
      <c r="BR175" s="21"/>
    </row>
    <row r="176" spans="1:70" s="489" customFormat="1" ht="20" hidden="1" outlineLevel="1">
      <c r="A176" s="1051" t="s">
        <v>491</v>
      </c>
      <c r="B176" s="628"/>
      <c r="C176" s="628"/>
      <c r="D176" s="1082"/>
      <c r="E176" s="628"/>
      <c r="G176" s="722"/>
      <c r="H176" s="722"/>
      <c r="I176" s="722"/>
      <c r="J176" s="722"/>
      <c r="K176" s="767"/>
      <c r="L176" s="722"/>
      <c r="N176" s="722">
        <f t="shared" si="271"/>
        <v>0</v>
      </c>
      <c r="O176" s="722">
        <f>H176</f>
        <v>0</v>
      </c>
      <c r="P176" s="722">
        <f>I176</f>
        <v>0</v>
      </c>
      <c r="Q176" s="722">
        <f>J176</f>
        <v>0</v>
      </c>
      <c r="R176" s="535"/>
      <c r="T176" s="722">
        <f>N176</f>
        <v>0</v>
      </c>
      <c r="U176" s="722">
        <f>O176</f>
        <v>0</v>
      </c>
      <c r="V176" s="722">
        <f>P176</f>
        <v>0</v>
      </c>
      <c r="W176" s="722">
        <f>Q176</f>
        <v>0</v>
      </c>
      <c r="X176" s="535"/>
      <c r="Y176" s="21"/>
      <c r="Z176" s="21"/>
      <c r="AA176" s="21"/>
      <c r="AH176" s="847"/>
      <c r="AM176" s="848"/>
      <c r="AN176" s="770"/>
      <c r="BH176" s="21"/>
      <c r="BI176" s="21"/>
      <c r="BJ176" s="21"/>
      <c r="BK176" s="21"/>
      <c r="BL176" s="21"/>
      <c r="BM176" s="21"/>
      <c r="BN176" s="21"/>
      <c r="BO176" s="21"/>
      <c r="BP176" s="21"/>
      <c r="BQ176" s="21"/>
      <c r="BR176" s="21"/>
    </row>
    <row r="177" spans="1:70" hidden="1" outlineLevel="1">
      <c r="A177" s="1052"/>
      <c r="B177" s="273"/>
      <c r="C177" s="273"/>
      <c r="D177" s="1083"/>
      <c r="E177" s="273"/>
      <c r="F177" s="423"/>
      <c r="G177" s="169"/>
      <c r="H177" s="169"/>
      <c r="I177" s="169"/>
      <c r="J177" s="169"/>
      <c r="K177" s="407"/>
      <c r="L177" s="169"/>
      <c r="M177" s="423"/>
      <c r="S177" s="423"/>
      <c r="AB177" s="423"/>
      <c r="AC177" s="423"/>
      <c r="AD177" s="423"/>
      <c r="AE177" s="423"/>
      <c r="AF177" s="423"/>
      <c r="AG177" s="423"/>
      <c r="AH177" s="841"/>
      <c r="AI177" s="423"/>
      <c r="AJ177" s="423"/>
      <c r="AK177" s="423"/>
      <c r="AL177" s="423"/>
      <c r="AM177" s="849"/>
      <c r="AN177" s="504"/>
      <c r="AO177" s="423"/>
      <c r="AP177" s="423"/>
      <c r="AQ177" s="423"/>
      <c r="AR177" s="423"/>
      <c r="AS177" s="423"/>
      <c r="AT177" s="423"/>
      <c r="AU177" s="423"/>
      <c r="AV177" s="423"/>
      <c r="AW177" s="423"/>
      <c r="AX177" s="423"/>
      <c r="AY177" s="423"/>
      <c r="AZ177" s="423"/>
      <c r="BG177" s="423"/>
      <c r="BM177" s="14"/>
    </row>
    <row r="178" spans="1:70" s="489" customFormat="1" ht="40" hidden="1" outlineLevel="1">
      <c r="A178" s="1049" t="s">
        <v>355</v>
      </c>
      <c r="B178" s="259"/>
      <c r="C178" s="259"/>
      <c r="D178" s="1079"/>
      <c r="E178" s="259"/>
      <c r="F178" s="728"/>
      <c r="G178" s="722">
        <v>1600</v>
      </c>
      <c r="H178" s="722">
        <f>G178</f>
        <v>1600</v>
      </c>
      <c r="I178" s="722">
        <f t="shared" ref="I178:J178" si="276">H178</f>
        <v>1600</v>
      </c>
      <c r="J178" s="722">
        <f t="shared" si="276"/>
        <v>1600</v>
      </c>
      <c r="K178" s="767"/>
      <c r="L178" s="722"/>
      <c r="M178" s="21"/>
      <c r="N178" s="772">
        <f>G178</f>
        <v>1600</v>
      </c>
      <c r="O178" s="722">
        <f>H178</f>
        <v>1600</v>
      </c>
      <c r="P178" s="722">
        <f>I178</f>
        <v>1600</v>
      </c>
      <c r="Q178" s="722">
        <f>J178</f>
        <v>1600</v>
      </c>
      <c r="R178" s="767"/>
      <c r="S178" s="21"/>
      <c r="T178" s="772">
        <f>N178</f>
        <v>1600</v>
      </c>
      <c r="U178" s="722">
        <f>O178</f>
        <v>1600</v>
      </c>
      <c r="V178" s="722">
        <f>P178</f>
        <v>1600</v>
      </c>
      <c r="W178" s="722">
        <f>Q178</f>
        <v>1600</v>
      </c>
      <c r="X178" s="535"/>
      <c r="Y178" s="21"/>
      <c r="Z178" s="21"/>
      <c r="AA178" s="21"/>
      <c r="AH178" s="847"/>
      <c r="AM178" s="848"/>
      <c r="AN178" s="770"/>
      <c r="BH178" s="21"/>
      <c r="BI178" s="21"/>
      <c r="BJ178" s="21"/>
      <c r="BK178" s="21"/>
      <c r="BL178" s="21"/>
      <c r="BM178" s="21" t="s">
        <v>33</v>
      </c>
      <c r="BN178" s="21"/>
      <c r="BO178" s="21"/>
      <c r="BP178" s="21"/>
      <c r="BQ178" s="21"/>
      <c r="BR178" s="21"/>
    </row>
    <row r="179" spans="1:70" hidden="1" outlineLevel="1">
      <c r="A179" s="1047"/>
      <c r="B179" s="359"/>
      <c r="C179" s="359"/>
      <c r="D179" s="1077"/>
      <c r="E179" s="359"/>
      <c r="F179" s="423"/>
      <c r="H179" s="169"/>
      <c r="I179" s="169"/>
      <c r="J179" s="169"/>
      <c r="K179" s="407"/>
      <c r="L179" s="169"/>
      <c r="T179" s="423"/>
      <c r="AB179" s="423"/>
      <c r="AC179" s="423"/>
      <c r="AD179" s="423"/>
      <c r="AE179" s="423"/>
      <c r="AF179" s="423"/>
      <c r="AG179" s="423"/>
      <c r="AH179" s="841"/>
      <c r="AI179" s="423"/>
      <c r="AJ179" s="423"/>
      <c r="AK179" s="423"/>
      <c r="AL179" s="423"/>
      <c r="AM179" s="849"/>
      <c r="AN179" s="504"/>
      <c r="AO179" s="423"/>
      <c r="AP179" s="423"/>
      <c r="AQ179" s="423"/>
      <c r="AR179" s="423"/>
      <c r="AS179" s="423"/>
      <c r="AT179" s="423"/>
      <c r="AU179" s="423"/>
      <c r="AV179" s="423"/>
      <c r="AW179" s="423"/>
      <c r="AX179" s="423"/>
      <c r="AY179" s="423"/>
      <c r="AZ179" s="423"/>
      <c r="BG179" s="423"/>
    </row>
    <row r="180" spans="1:70" hidden="1" outlineLevel="1"/>
    <row r="181" spans="1:70" ht="20" hidden="1" outlineLevel="1">
      <c r="A181" s="558" t="s">
        <v>580</v>
      </c>
      <c r="B181" s="355"/>
      <c r="C181" s="355"/>
      <c r="D181" s="1068"/>
      <c r="E181" s="355"/>
      <c r="F181" s="423"/>
      <c r="G181" s="785">
        <f>G182/10</f>
        <v>21.2</v>
      </c>
      <c r="H181" s="785">
        <f>G181</f>
        <v>21.2</v>
      </c>
      <c r="I181" s="785">
        <f t="shared" ref="I181:J182" si="277">H181</f>
        <v>21.2</v>
      </c>
      <c r="J181" s="785">
        <f t="shared" si="277"/>
        <v>21.2</v>
      </c>
      <c r="K181" s="407"/>
      <c r="L181" s="169"/>
      <c r="N181" s="785">
        <f>J181</f>
        <v>21.2</v>
      </c>
      <c r="O181" s="785">
        <f>N181</f>
        <v>21.2</v>
      </c>
      <c r="P181" s="785">
        <f t="shared" ref="P181:Q182" si="278">O181</f>
        <v>21.2</v>
      </c>
      <c r="Q181" s="785">
        <f t="shared" si="278"/>
        <v>21.2</v>
      </c>
      <c r="T181" s="785">
        <f>G181</f>
        <v>21.2</v>
      </c>
      <c r="U181" s="785">
        <f>O181</f>
        <v>21.2</v>
      </c>
      <c r="V181" s="785">
        <f>P181</f>
        <v>21.2</v>
      </c>
      <c r="W181" s="785">
        <f>Q181</f>
        <v>21.2</v>
      </c>
      <c r="AB181" s="423"/>
      <c r="AC181" s="423"/>
      <c r="AD181" s="423"/>
      <c r="AE181" s="423"/>
      <c r="AF181" s="423"/>
      <c r="AG181" s="423"/>
      <c r="AH181" s="841"/>
      <c r="AI181" s="423"/>
      <c r="AJ181" s="423"/>
      <c r="AK181" s="423"/>
      <c r="AL181" s="423"/>
      <c r="AM181" s="849"/>
      <c r="AN181" s="504"/>
      <c r="AO181" s="423"/>
      <c r="AP181" s="423"/>
      <c r="AQ181" s="423"/>
      <c r="AR181" s="423"/>
      <c r="AS181" s="423"/>
      <c r="AT181" s="423"/>
      <c r="AU181" s="423"/>
      <c r="AV181" s="423"/>
      <c r="AW181" s="423"/>
      <c r="AX181" s="423"/>
      <c r="AY181" s="423"/>
      <c r="AZ181" s="423"/>
      <c r="BG181" s="423"/>
    </row>
    <row r="182" spans="1:70" s="489" customFormat="1" ht="20" hidden="1" outlineLevel="1">
      <c r="A182" s="1049" t="s">
        <v>495</v>
      </c>
      <c r="B182" s="259"/>
      <c r="C182" s="259"/>
      <c r="D182" s="1079"/>
      <c r="E182" s="259"/>
      <c r="G182" s="722">
        <f>'MPS др метрики'!H58</f>
        <v>212</v>
      </c>
      <c r="H182" s="722">
        <f>G182</f>
        <v>212</v>
      </c>
      <c r="I182" s="722">
        <f t="shared" si="277"/>
        <v>212</v>
      </c>
      <c r="J182" s="722">
        <f t="shared" si="277"/>
        <v>212</v>
      </c>
      <c r="K182" s="767"/>
      <c r="L182" s="722"/>
      <c r="M182" s="21"/>
      <c r="N182" s="722">
        <f>G182</f>
        <v>212</v>
      </c>
      <c r="O182" s="722">
        <f>N182</f>
        <v>212</v>
      </c>
      <c r="P182" s="722">
        <f t="shared" si="278"/>
        <v>212</v>
      </c>
      <c r="Q182" s="722">
        <f t="shared" si="278"/>
        <v>212</v>
      </c>
      <c r="R182" s="535"/>
      <c r="S182" s="1"/>
      <c r="T182" s="722">
        <f>N182</f>
        <v>212</v>
      </c>
      <c r="U182" s="722">
        <f>T182</f>
        <v>212</v>
      </c>
      <c r="V182" s="722">
        <f t="shared" ref="V182:W182" si="279">U182</f>
        <v>212</v>
      </c>
      <c r="W182" s="722">
        <f t="shared" si="279"/>
        <v>212</v>
      </c>
      <c r="X182" s="535"/>
      <c r="Y182" s="21"/>
      <c r="Z182" s="21"/>
      <c r="AA182" s="21"/>
      <c r="AB182" s="423"/>
      <c r="AC182" s="722"/>
      <c r="AD182" s="722"/>
      <c r="AE182" s="722"/>
      <c r="AF182" s="722"/>
      <c r="AH182" s="847"/>
      <c r="AI182" s="722"/>
      <c r="AJ182" s="722"/>
      <c r="AK182" s="722"/>
      <c r="AL182" s="722"/>
      <c r="AM182" s="848"/>
      <c r="AN182" s="770"/>
      <c r="BH182" s="21"/>
      <c r="BI182" s="21"/>
      <c r="BJ182" s="21"/>
      <c r="BK182" s="21"/>
      <c r="BL182" s="21"/>
      <c r="BM182" s="21"/>
      <c r="BN182" s="21"/>
      <c r="BO182" s="21"/>
      <c r="BP182" s="21"/>
      <c r="BQ182" s="21"/>
      <c r="BR182" s="21"/>
    </row>
    <row r="183" spans="1:70" hidden="1" outlineLevel="1">
      <c r="A183" s="1047"/>
      <c r="B183" s="359"/>
      <c r="C183" s="359"/>
      <c r="D183" s="1077"/>
      <c r="E183" s="359"/>
      <c r="F183" s="423"/>
      <c r="G183" s="652"/>
      <c r="H183" s="169"/>
      <c r="I183" s="169"/>
      <c r="J183" s="169"/>
      <c r="K183" s="407"/>
      <c r="L183" s="169"/>
      <c r="T183" s="423"/>
      <c r="AB183" s="423"/>
      <c r="AC183" s="423"/>
      <c r="AD183" s="423"/>
      <c r="AE183" s="423"/>
      <c r="AF183" s="423"/>
      <c r="AG183" s="423"/>
      <c r="AH183" s="841"/>
      <c r="AI183" s="423"/>
      <c r="AJ183" s="423"/>
      <c r="AK183" s="423"/>
      <c r="AL183" s="423"/>
      <c r="AM183" s="849"/>
      <c r="AN183" s="504"/>
      <c r="AO183" s="423"/>
      <c r="AP183" s="423"/>
      <c r="AQ183" s="423"/>
      <c r="AR183" s="423"/>
      <c r="AS183" s="423"/>
      <c r="AT183" s="423"/>
      <c r="AU183" s="423"/>
      <c r="AV183" s="423"/>
      <c r="AW183" s="423"/>
      <c r="AX183" s="423"/>
      <c r="AY183" s="423"/>
      <c r="AZ183" s="423"/>
      <c r="BG183" s="423"/>
    </row>
    <row r="184" spans="1:70" s="456" customFormat="1" ht="20" hidden="1" outlineLevel="1">
      <c r="A184" s="1053" t="s">
        <v>360</v>
      </c>
      <c r="B184" s="455"/>
      <c r="C184" s="455"/>
      <c r="D184" s="1084"/>
      <c r="E184" s="455"/>
      <c r="G184" s="457"/>
      <c r="H184" s="458"/>
      <c r="I184" s="458"/>
      <c r="J184" s="458"/>
      <c r="K184" s="525"/>
      <c r="L184" s="458"/>
      <c r="M184" s="457"/>
      <c r="N184" s="457"/>
      <c r="O184" s="457"/>
      <c r="P184" s="457"/>
      <c r="Q184" s="457"/>
      <c r="R184" s="549"/>
      <c r="S184" s="457"/>
      <c r="U184" s="457"/>
      <c r="V184" s="457"/>
      <c r="W184" s="457"/>
      <c r="X184" s="549"/>
      <c r="Y184" s="457"/>
      <c r="Z184" s="457"/>
      <c r="AA184" s="457"/>
      <c r="AH184" s="850"/>
      <c r="AM184" s="851"/>
      <c r="AN184" s="566"/>
      <c r="BH184" s="457"/>
      <c r="BI184" s="457"/>
      <c r="BJ184" s="457"/>
      <c r="BK184" s="457"/>
      <c r="BL184" s="457"/>
      <c r="BM184" s="457"/>
      <c r="BN184" s="457"/>
      <c r="BO184" s="457"/>
      <c r="BP184" s="457"/>
      <c r="BQ184" s="457"/>
      <c r="BR184" s="457"/>
    </row>
    <row r="185" spans="1:70" s="2" customFormat="1" hidden="1" outlineLevel="1">
      <c r="A185" s="89" t="s">
        <v>359</v>
      </c>
      <c r="B185" s="15"/>
      <c r="C185" s="15"/>
      <c r="D185" s="1085"/>
      <c r="E185" s="15"/>
      <c r="F185" s="526"/>
      <c r="G185" s="526">
        <v>400000</v>
      </c>
      <c r="H185" s="526">
        <v>400000</v>
      </c>
      <c r="I185" s="526">
        <v>400000</v>
      </c>
      <c r="J185" s="526">
        <v>400000</v>
      </c>
      <c r="K185" s="295"/>
      <c r="L185" s="1"/>
      <c r="M185" s="1"/>
      <c r="N185" s="1"/>
      <c r="O185" s="1"/>
      <c r="P185" s="1"/>
      <c r="Q185" s="1"/>
      <c r="R185" s="295"/>
      <c r="S185" s="1"/>
      <c r="T185" s="1"/>
      <c r="U185" s="1"/>
      <c r="V185" s="1"/>
      <c r="W185" s="1"/>
      <c r="X185" s="295"/>
      <c r="Y185" s="1"/>
      <c r="Z185" s="1"/>
      <c r="AA185" s="1"/>
      <c r="AB185" s="1"/>
      <c r="AC185" s="1"/>
      <c r="AD185" s="1"/>
      <c r="AE185" s="1"/>
      <c r="AF185" s="1"/>
      <c r="AG185" s="1"/>
      <c r="AH185" s="28"/>
      <c r="AI185" s="1"/>
      <c r="AJ185" s="1"/>
      <c r="AK185" s="1"/>
      <c r="AL185" s="1"/>
      <c r="AM185" s="24"/>
      <c r="AN185" s="295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</row>
    <row r="186" spans="1:70" s="2" customFormat="1" hidden="1" outlineLevel="1">
      <c r="A186" s="89" t="s">
        <v>371</v>
      </c>
      <c r="B186" s="15"/>
      <c r="C186" s="15"/>
      <c r="D186" s="1085"/>
      <c r="E186" s="15"/>
      <c r="F186" s="15"/>
      <c r="G186" s="15">
        <v>547</v>
      </c>
      <c r="H186" s="15">
        <v>547</v>
      </c>
      <c r="I186" s="15">
        <v>547</v>
      </c>
      <c r="J186" s="15">
        <v>547</v>
      </c>
      <c r="K186" s="295"/>
      <c r="L186" s="1"/>
      <c r="M186" s="1"/>
      <c r="N186" s="1"/>
      <c r="O186" s="1"/>
      <c r="P186" s="1"/>
      <c r="Q186" s="1"/>
      <c r="R186" s="295"/>
      <c r="S186" s="1"/>
      <c r="T186" s="1"/>
      <c r="U186" s="1"/>
      <c r="V186" s="1"/>
      <c r="W186" s="1"/>
      <c r="X186" s="295"/>
      <c r="Y186" s="1"/>
      <c r="Z186" s="1"/>
      <c r="AA186" s="1"/>
      <c r="AB186" s="1"/>
      <c r="AC186" s="1"/>
      <c r="AD186" s="1"/>
      <c r="AE186" s="1"/>
      <c r="AF186" s="1"/>
      <c r="AG186" s="1"/>
      <c r="AH186" s="28"/>
      <c r="AI186" s="1"/>
      <c r="AJ186" s="1"/>
      <c r="AK186" s="1"/>
      <c r="AL186" s="1"/>
      <c r="AM186" s="24"/>
      <c r="AN186" s="295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</row>
    <row r="187" spans="1:70" ht="40" hidden="1" outlineLevel="1">
      <c r="A187" s="87" t="s">
        <v>372</v>
      </c>
      <c r="F187" s="527"/>
      <c r="G187" s="527">
        <f>G185/G186</f>
        <v>731.26142595978058</v>
      </c>
      <c r="H187" s="527">
        <f t="shared" ref="H187:J187" si="280">H185/H186</f>
        <v>731.26142595978058</v>
      </c>
      <c r="I187" s="527">
        <f t="shared" si="280"/>
        <v>731.26142595978058</v>
      </c>
      <c r="J187" s="527">
        <f t="shared" si="280"/>
        <v>731.26142595978058</v>
      </c>
    </row>
    <row r="188" spans="1:70" hidden="1" outlineLevel="1"/>
    <row r="189" spans="1:70" hidden="1" outlineLevel="1">
      <c r="A189" s="89" t="s">
        <v>492</v>
      </c>
      <c r="B189" s="15"/>
      <c r="C189" s="15"/>
      <c r="D189" s="1085"/>
      <c r="E189" s="15"/>
      <c r="F189" s="527"/>
      <c r="G189" s="15">
        <v>3697</v>
      </c>
      <c r="H189" s="15">
        <v>3697</v>
      </c>
      <c r="I189" s="15">
        <v>3697</v>
      </c>
      <c r="J189" s="15">
        <v>3697</v>
      </c>
    </row>
    <row r="190" spans="1:70" ht="40" hidden="1" outlineLevel="1">
      <c r="A190" s="87" t="s">
        <v>489</v>
      </c>
      <c r="F190" s="527"/>
      <c r="G190" s="766">
        <f>G185/G189</f>
        <v>108.19583446037328</v>
      </c>
      <c r="H190" s="766">
        <f>H185/H189</f>
        <v>108.19583446037328</v>
      </c>
      <c r="I190" s="766">
        <f>I185/I189</f>
        <v>108.19583446037328</v>
      </c>
      <c r="J190" s="766">
        <f>J185/J189</f>
        <v>108.19583446037328</v>
      </c>
    </row>
    <row r="191" spans="1:70" hidden="1" outlineLevel="1">
      <c r="F191" s="527"/>
      <c r="G191" s="766"/>
      <c r="H191" s="766"/>
      <c r="I191" s="766"/>
      <c r="J191" s="766"/>
    </row>
    <row r="192" spans="1:70" ht="40" hidden="1" outlineLevel="1">
      <c r="A192" s="87" t="s">
        <v>494</v>
      </c>
      <c r="F192" s="527"/>
      <c r="G192" s="423"/>
      <c r="H192" s="766">
        <v>81</v>
      </c>
      <c r="I192" s="766">
        <v>81</v>
      </c>
      <c r="J192" s="766">
        <v>81</v>
      </c>
      <c r="N192" s="766">
        <v>81</v>
      </c>
      <c r="O192" s="766">
        <v>81</v>
      </c>
      <c r="P192" s="766">
        <v>81</v>
      </c>
      <c r="Q192" s="766">
        <v>81</v>
      </c>
      <c r="T192" s="766">
        <v>81</v>
      </c>
      <c r="U192" s="766">
        <v>81</v>
      </c>
      <c r="V192" s="766">
        <v>81</v>
      </c>
      <c r="W192" s="766">
        <v>81</v>
      </c>
      <c r="AC192" s="766"/>
      <c r="AD192" s="766"/>
      <c r="AE192" s="766"/>
      <c r="AF192" s="766"/>
    </row>
    <row r="193" spans="1:18" hidden="1" outlineLevel="1">
      <c r="G193" s="423"/>
    </row>
    <row r="194" spans="1:18" hidden="1" outlineLevel="1">
      <c r="A194" s="1133" t="s">
        <v>577</v>
      </c>
      <c r="B194" s="423"/>
      <c r="G194" s="1127">
        <v>1.5</v>
      </c>
      <c r="H194" s="1131">
        <f>G194</f>
        <v>1.5</v>
      </c>
      <c r="I194" s="1131">
        <f t="shared" ref="I194:J194" si="281">H194</f>
        <v>1.5</v>
      </c>
      <c r="J194" s="592">
        <f t="shared" si="281"/>
        <v>1.5</v>
      </c>
    </row>
    <row r="195" spans="1:18" hidden="1" outlineLevel="1">
      <c r="A195" s="1134" t="s">
        <v>578</v>
      </c>
      <c r="B195" s="423"/>
      <c r="G195" s="1129">
        <v>1.73</v>
      </c>
      <c r="H195" s="93">
        <f t="shared" ref="H195:J196" si="282">G195</f>
        <v>1.73</v>
      </c>
      <c r="I195" s="93">
        <f t="shared" si="282"/>
        <v>1.73</v>
      </c>
      <c r="J195" s="595">
        <f t="shared" si="282"/>
        <v>1.73</v>
      </c>
    </row>
    <row r="196" spans="1:18" hidden="1" outlineLevel="1">
      <c r="A196" s="1135" t="s">
        <v>579</v>
      </c>
      <c r="B196" s="423"/>
      <c r="G196" s="1130">
        <v>7.69</v>
      </c>
      <c r="H196" s="1132">
        <f t="shared" si="282"/>
        <v>7.69</v>
      </c>
      <c r="I196" s="1132">
        <f t="shared" si="282"/>
        <v>7.69</v>
      </c>
      <c r="J196" s="597">
        <f t="shared" si="282"/>
        <v>7.69</v>
      </c>
    </row>
    <row r="197" spans="1:18" hidden="1" outlineLevel="1">
      <c r="G197" s="423"/>
    </row>
    <row r="198" spans="1:18" ht="20" hidden="1" outlineLevel="1">
      <c r="A198" s="87" t="s">
        <v>598</v>
      </c>
      <c r="G198" s="1142">
        <v>0.62</v>
      </c>
    </row>
    <row r="199" spans="1:18" ht="40" hidden="1" outlineLevel="1">
      <c r="A199" s="87" t="s">
        <v>599</v>
      </c>
      <c r="B199" s="423"/>
      <c r="G199" s="154">
        <v>15542.8125</v>
      </c>
    </row>
    <row r="200" spans="1:18" hidden="1" outlineLevel="1">
      <c r="A200" s="423"/>
      <c r="B200" s="423"/>
    </row>
    <row r="201" spans="1:18" collapsed="1">
      <c r="R201" s="1152">
        <f>R78-K78</f>
        <v>116900557.69336879</v>
      </c>
    </row>
    <row r="202" spans="1:18">
      <c r="R202" s="1152">
        <f>R76-K76</f>
        <v>55895090.809428118</v>
      </c>
    </row>
  </sheetData>
  <mergeCells count="5">
    <mergeCell ref="F2:K2"/>
    <mergeCell ref="M2:R2"/>
    <mergeCell ref="AB2:AN2"/>
    <mergeCell ref="AB3:AG3"/>
    <mergeCell ref="AH3:AM3"/>
  </mergeCells>
  <pageMargins left="0.7" right="0.7" top="0.75" bottom="0.75" header="0.3" footer="0.3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0ECEC0-4A4B-E849-92BC-6FF93B2D5064}">
  <sheetPr codeName="Лист16"/>
  <dimension ref="A1:BR202"/>
  <sheetViews>
    <sheetView workbookViewId="0">
      <pane xSplit="4" ySplit="4" topLeftCell="F5" activePane="bottomRight" state="frozen"/>
      <selection pane="topRight" activeCell="E1" sqref="E1"/>
      <selection pane="bottomLeft" activeCell="A5" sqref="A5"/>
      <selection pane="bottomRight" activeCell="A43" sqref="A43"/>
    </sheetView>
  </sheetViews>
  <sheetFormatPr baseColWidth="10" defaultColWidth="10.83203125" defaultRowHeight="19" outlineLevelRow="1" outlineLevelCol="1"/>
  <cols>
    <col min="1" max="1" width="49.5" style="87" customWidth="1"/>
    <col min="2" max="2" width="18.33203125" style="1" hidden="1" customWidth="1" outlineLevel="1"/>
    <col min="3" max="3" width="14.33203125" style="1" hidden="1" customWidth="1" outlineLevel="1"/>
    <col min="4" max="4" width="15.33203125" style="1057" customWidth="1" collapsed="1"/>
    <col min="5" max="5" width="14.33203125" style="1" hidden="1" customWidth="1" outlineLevel="1"/>
    <col min="6" max="6" width="12.1640625" style="2" customWidth="1" collapsed="1"/>
    <col min="7" max="10" width="19.33203125" style="1" hidden="1" customWidth="1" outlineLevel="1"/>
    <col min="11" max="11" width="26.5" style="295" customWidth="1" collapsed="1"/>
    <col min="12" max="12" width="10.1640625" style="1" customWidth="1"/>
    <col min="13" max="13" width="13.5" style="1" customWidth="1"/>
    <col min="14" max="17" width="16" style="1" hidden="1" customWidth="1" outlineLevel="1"/>
    <col min="18" max="18" width="22" style="295" customWidth="1" collapsed="1"/>
    <col min="19" max="19" width="12.6640625" style="1" customWidth="1"/>
    <col min="20" max="22" width="17" style="1" hidden="1" customWidth="1" outlineLevel="1"/>
    <col min="23" max="23" width="17.33203125" style="1" hidden="1" customWidth="1" outlineLevel="1"/>
    <col min="24" max="24" width="16.6640625" style="295" customWidth="1" collapsed="1"/>
    <col min="25" max="27" width="10" style="1" hidden="1" customWidth="1" outlineLevel="1"/>
    <col min="28" max="28" width="12.5" style="1" customWidth="1" collapsed="1"/>
    <col min="29" max="32" width="14.33203125" style="1" hidden="1" customWidth="1" outlineLevel="1"/>
    <col min="33" max="33" width="14.33203125" style="1" customWidth="1" collapsed="1"/>
    <col min="34" max="34" width="12.5" style="28" customWidth="1"/>
    <col min="35" max="38" width="14.33203125" style="1" hidden="1" customWidth="1" outlineLevel="1"/>
    <col min="39" max="39" width="14.33203125" style="24" customWidth="1" collapsed="1"/>
    <col min="40" max="40" width="16.33203125" style="295" customWidth="1"/>
    <col min="41" max="45" width="11.83203125" style="1" customWidth="1"/>
    <col min="46" max="46" width="13.83203125" style="1" customWidth="1"/>
    <col min="47" max="47" width="16.33203125" style="1" customWidth="1"/>
    <col min="48" max="52" width="17" style="1" customWidth="1"/>
    <col min="53" max="58" width="10.83203125" style="423"/>
    <col min="59" max="70" width="17" style="1" customWidth="1"/>
    <col min="71" max="16384" width="10.83203125" style="423"/>
  </cols>
  <sheetData>
    <row r="1" spans="1:70" s="61" customFormat="1" ht="21" thickBot="1">
      <c r="A1" s="161" t="s">
        <v>758</v>
      </c>
      <c r="B1" s="13"/>
      <c r="C1" s="13"/>
      <c r="D1" s="1066"/>
      <c r="E1" s="13"/>
      <c r="F1" s="1319" t="s">
        <v>648</v>
      </c>
      <c r="G1" s="1320"/>
      <c r="H1" s="1320"/>
      <c r="I1" s="1320"/>
      <c r="J1" s="1320"/>
      <c r="K1" s="1321"/>
      <c r="L1" s="1324" t="s">
        <v>649</v>
      </c>
      <c r="M1" s="103"/>
      <c r="N1" s="103"/>
      <c r="O1" s="103"/>
      <c r="P1" s="103"/>
      <c r="Q1" s="103"/>
      <c r="R1" s="1325"/>
      <c r="S1" s="1324" t="s">
        <v>649</v>
      </c>
      <c r="T1" s="103"/>
      <c r="U1" s="103"/>
      <c r="V1" s="103"/>
      <c r="W1" s="103"/>
      <c r="X1" s="1325"/>
      <c r="Y1" s="103"/>
      <c r="Z1" s="103"/>
      <c r="AA1" s="103"/>
      <c r="AB1" s="1324" t="s">
        <v>649</v>
      </c>
      <c r="AC1" s="103"/>
      <c r="AD1" s="103"/>
      <c r="AE1" s="103"/>
      <c r="AF1" s="103"/>
      <c r="AG1" s="103"/>
      <c r="AH1" s="103"/>
      <c r="AI1" s="103"/>
      <c r="AJ1" s="103"/>
      <c r="AK1" s="103"/>
      <c r="AL1" s="103"/>
      <c r="AM1" s="103"/>
      <c r="AN1" s="1325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</row>
    <row r="2" spans="1:70" s="799" customFormat="1">
      <c r="A2" s="1036"/>
      <c r="B2" s="1"/>
      <c r="C2" s="1"/>
      <c r="D2" s="1054"/>
      <c r="E2" s="1022"/>
      <c r="F2" s="2104" t="s">
        <v>314</v>
      </c>
      <c r="G2" s="2104"/>
      <c r="H2" s="2104"/>
      <c r="I2" s="2104"/>
      <c r="J2" s="2104"/>
      <c r="K2" s="2105"/>
      <c r="L2" s="1035"/>
      <c r="M2" s="2106" t="s">
        <v>315</v>
      </c>
      <c r="N2" s="2106"/>
      <c r="O2" s="2106"/>
      <c r="P2" s="2106"/>
      <c r="Q2" s="2106"/>
      <c r="R2" s="2107"/>
      <c r="S2" s="309" t="s">
        <v>401</v>
      </c>
      <c r="T2" s="670"/>
      <c r="U2" s="310"/>
      <c r="V2" s="310"/>
      <c r="W2" s="310"/>
      <c r="X2" s="1311"/>
      <c r="Z2" s="86"/>
      <c r="AA2" s="86"/>
      <c r="AB2" s="2096" t="s">
        <v>601</v>
      </c>
      <c r="AC2" s="2097"/>
      <c r="AD2" s="2097"/>
      <c r="AE2" s="2097"/>
      <c r="AF2" s="2097"/>
      <c r="AG2" s="2097"/>
      <c r="AH2" s="2097"/>
      <c r="AI2" s="2097"/>
      <c r="AJ2" s="2097"/>
      <c r="AK2" s="2097"/>
      <c r="AL2" s="2097"/>
      <c r="AM2" s="2097"/>
      <c r="AN2" s="2098"/>
      <c r="AO2" s="134"/>
      <c r="AP2" s="85"/>
      <c r="AQ2" s="86"/>
      <c r="AR2" s="86"/>
      <c r="AS2" s="86"/>
      <c r="AT2" s="1211"/>
      <c r="AU2" s="1212"/>
      <c r="AV2" s="85"/>
      <c r="AW2" s="86"/>
      <c r="AX2" s="86"/>
      <c r="AY2" s="86"/>
      <c r="AZ2" s="1211"/>
    </row>
    <row r="3" spans="1:70" s="454" customFormat="1" ht="20" thickBot="1">
      <c r="A3" s="91"/>
      <c r="B3" s="88"/>
      <c r="C3" s="88"/>
      <c r="D3" s="1055"/>
      <c r="E3" s="88"/>
      <c r="F3" s="859"/>
      <c r="G3" s="88"/>
      <c r="H3" s="860"/>
      <c r="I3" s="860"/>
      <c r="J3" s="860"/>
      <c r="K3" s="861"/>
      <c r="L3" s="860"/>
      <c r="M3" s="859"/>
      <c r="N3" s="88"/>
      <c r="O3" s="860"/>
      <c r="P3" s="860"/>
      <c r="Q3" s="860"/>
      <c r="R3" s="861"/>
      <c r="S3" s="859"/>
      <c r="T3" s="88"/>
      <c r="U3" s="860"/>
      <c r="V3" s="860"/>
      <c r="W3" s="860"/>
      <c r="X3" s="861"/>
      <c r="Y3" s="860"/>
      <c r="Z3" s="860"/>
      <c r="AA3" s="860"/>
      <c r="AB3" s="2090" t="s">
        <v>447</v>
      </c>
      <c r="AC3" s="2091"/>
      <c r="AD3" s="2091"/>
      <c r="AE3" s="2091"/>
      <c r="AF3" s="2091"/>
      <c r="AG3" s="2092"/>
      <c r="AH3" s="2093" t="s">
        <v>446</v>
      </c>
      <c r="AI3" s="2094"/>
      <c r="AJ3" s="2094"/>
      <c r="AK3" s="2094"/>
      <c r="AL3" s="2094"/>
      <c r="AM3" s="2095"/>
      <c r="AN3" s="861"/>
      <c r="AO3" s="867"/>
      <c r="AP3" s="88"/>
      <c r="AQ3" s="860"/>
      <c r="AR3" s="860"/>
      <c r="AS3" s="860"/>
      <c r="AT3" s="868"/>
      <c r="AU3" s="867"/>
      <c r="AV3" s="88"/>
      <c r="AW3" s="860"/>
      <c r="AX3" s="860"/>
      <c r="AY3" s="860"/>
      <c r="AZ3" s="868"/>
    </row>
    <row r="4" spans="1:70" s="578" customFormat="1" ht="120">
      <c r="A4" s="576" t="s">
        <v>39</v>
      </c>
      <c r="B4" s="970" t="s">
        <v>536</v>
      </c>
      <c r="C4" s="970" t="s">
        <v>536</v>
      </c>
      <c r="D4" s="1056" t="s">
        <v>554</v>
      </c>
      <c r="E4" s="1221" t="s">
        <v>622</v>
      </c>
      <c r="F4" s="627" t="s">
        <v>402</v>
      </c>
      <c r="G4" s="347" t="s">
        <v>37</v>
      </c>
      <c r="H4" s="347" t="s">
        <v>214</v>
      </c>
      <c r="I4" s="347" t="s">
        <v>210</v>
      </c>
      <c r="J4" s="347" t="s">
        <v>209</v>
      </c>
      <c r="K4" s="348" t="s">
        <v>420</v>
      </c>
      <c r="L4" s="1221" t="s">
        <v>622</v>
      </c>
      <c r="M4" s="627" t="s">
        <v>402</v>
      </c>
      <c r="N4" s="347" t="s">
        <v>301</v>
      </c>
      <c r="O4" s="347" t="s">
        <v>302</v>
      </c>
      <c r="P4" s="347" t="s">
        <v>303</v>
      </c>
      <c r="Q4" s="347" t="s">
        <v>304</v>
      </c>
      <c r="R4" s="348" t="s">
        <v>420</v>
      </c>
      <c r="S4" s="627" t="s">
        <v>402</v>
      </c>
      <c r="T4" s="347" t="s">
        <v>301</v>
      </c>
      <c r="U4" s="347" t="s">
        <v>302</v>
      </c>
      <c r="V4" s="347" t="s">
        <v>303</v>
      </c>
      <c r="W4" s="347" t="s">
        <v>304</v>
      </c>
      <c r="X4" s="348" t="s">
        <v>420</v>
      </c>
      <c r="Y4" s="1019" t="s">
        <v>557</v>
      </c>
      <c r="Z4" s="1019" t="s">
        <v>556</v>
      </c>
      <c r="AA4" s="1019" t="s">
        <v>555</v>
      </c>
      <c r="AB4" s="659" t="s">
        <v>402</v>
      </c>
      <c r="AC4" s="85" t="s">
        <v>301</v>
      </c>
      <c r="AD4" s="85" t="s">
        <v>302</v>
      </c>
      <c r="AE4" s="85" t="s">
        <v>303</v>
      </c>
      <c r="AF4" s="85" t="s">
        <v>304</v>
      </c>
      <c r="AG4" s="660" t="s">
        <v>443</v>
      </c>
      <c r="AH4" s="661" t="s">
        <v>402</v>
      </c>
      <c r="AI4" s="85" t="s">
        <v>301</v>
      </c>
      <c r="AJ4" s="85" t="s">
        <v>302</v>
      </c>
      <c r="AK4" s="85" t="s">
        <v>303</v>
      </c>
      <c r="AL4" s="85" t="s">
        <v>304</v>
      </c>
      <c r="AM4" s="660" t="s">
        <v>444</v>
      </c>
      <c r="AN4" s="680" t="s">
        <v>445</v>
      </c>
      <c r="AO4" s="1213"/>
      <c r="AP4" s="347"/>
      <c r="AQ4" s="347"/>
      <c r="AR4" s="347"/>
      <c r="AS4" s="347"/>
      <c r="AT4" s="412"/>
      <c r="AU4" s="1214"/>
      <c r="AV4" s="347"/>
      <c r="AW4" s="347"/>
      <c r="AX4" s="347"/>
      <c r="AY4" s="347"/>
      <c r="AZ4" s="412"/>
    </row>
    <row r="5" spans="1:70" ht="20">
      <c r="A5" s="87" t="s">
        <v>45</v>
      </c>
      <c r="B5" s="971"/>
      <c r="C5" s="971"/>
      <c r="E5" s="662"/>
      <c r="F5" s="789">
        <v>1</v>
      </c>
      <c r="G5" s="1">
        <f>'База селлеров'!B63</f>
        <v>79000</v>
      </c>
      <c r="H5" s="1">
        <f>'База селлеров'!C63</f>
        <v>33000</v>
      </c>
      <c r="I5" s="1">
        <f>'База селлеров'!D67</f>
        <v>1820.0000000000002</v>
      </c>
      <c r="J5" s="1">
        <f>'База селлеров'!E67</f>
        <v>3705</v>
      </c>
      <c r="K5" s="297">
        <f>SUM(G5:J5)</f>
        <v>117525</v>
      </c>
      <c r="L5" s="13"/>
      <c r="M5" s="74">
        <f>F5</f>
        <v>1</v>
      </c>
      <c r="N5" s="1">
        <f>G5</f>
        <v>79000</v>
      </c>
      <c r="O5" s="1">
        <f>H5</f>
        <v>33000</v>
      </c>
      <c r="P5" s="1">
        <f>I5</f>
        <v>1820.0000000000002</v>
      </c>
      <c r="Q5" s="1">
        <f>J5</f>
        <v>3705</v>
      </c>
      <c r="R5" s="297">
        <f>SUM(N5:Q5)</f>
        <v>117525</v>
      </c>
      <c r="S5" s="74">
        <f>M5</f>
        <v>1</v>
      </c>
      <c r="T5" s="1">
        <f>N5</f>
        <v>79000</v>
      </c>
      <c r="U5" s="1">
        <f>O5</f>
        <v>33000</v>
      </c>
      <c r="V5" s="1">
        <f>P5</f>
        <v>1820.0000000000002</v>
      </c>
      <c r="W5" s="1">
        <f>Q5</f>
        <v>3705</v>
      </c>
      <c r="X5" s="297">
        <f>SUM(T5:W5)</f>
        <v>117525</v>
      </c>
      <c r="Y5" s="663"/>
      <c r="Z5" s="663"/>
      <c r="AA5" s="663"/>
      <c r="AB5" s="87"/>
      <c r="AC5" s="154">
        <f>T5*T88</f>
        <v>70079.174723972304</v>
      </c>
      <c r="AD5" s="154">
        <f>U5*U88</f>
        <v>27249.295112781954</v>
      </c>
      <c r="AE5" s="154">
        <f>V5*V88</f>
        <v>1564.9857633945626</v>
      </c>
      <c r="AF5" s="154">
        <f>W5*W88</f>
        <v>3185.8638754817875</v>
      </c>
      <c r="AG5" s="681">
        <f>SUM(AC5:AF5)</f>
        <v>102079.31947563062</v>
      </c>
      <c r="AI5" s="154">
        <f>T5-AC5</f>
        <v>8920.8252760276955</v>
      </c>
      <c r="AJ5" s="154">
        <f>U5-AD5</f>
        <v>5750.7048872180458</v>
      </c>
      <c r="AK5" s="154">
        <f>V5-AE5</f>
        <v>255.01423660543765</v>
      </c>
      <c r="AL5" s="154">
        <f>W5-AF5</f>
        <v>519.13612451821245</v>
      </c>
      <c r="AM5" s="681">
        <f>SUM(AI5:AL5)</f>
        <v>15445.680524369391</v>
      </c>
      <c r="AN5" s="301">
        <f>AG5+AM5</f>
        <v>117525.00000000001</v>
      </c>
      <c r="AT5" s="24"/>
      <c r="AU5" s="28"/>
      <c r="AV5" s="1">
        <f>T5</f>
        <v>79000</v>
      </c>
      <c r="AW5" s="1">
        <f>U5</f>
        <v>33000</v>
      </c>
      <c r="AX5" s="1">
        <f>V5</f>
        <v>1820.0000000000002</v>
      </c>
      <c r="AY5" s="1">
        <f>W5</f>
        <v>3705</v>
      </c>
      <c r="AZ5" s="24">
        <f>X5</f>
        <v>117525</v>
      </c>
      <c r="BG5" s="423"/>
      <c r="BH5" s="423"/>
      <c r="BI5" s="423"/>
      <c r="BJ5" s="423"/>
      <c r="BK5" s="423"/>
      <c r="BL5" s="423"/>
      <c r="BM5" s="423"/>
      <c r="BN5" s="423"/>
      <c r="BO5" s="423"/>
      <c r="BP5" s="423"/>
      <c r="BQ5" s="423"/>
      <c r="BR5" s="423"/>
    </row>
    <row r="6" spans="1:70" s="272" customFormat="1" ht="20" hidden="1" outlineLevel="1">
      <c r="A6" s="349" t="s">
        <v>318</v>
      </c>
      <c r="B6" s="971"/>
      <c r="C6" s="971"/>
      <c r="D6" s="1058"/>
      <c r="E6" s="662"/>
      <c r="F6" s="790"/>
      <c r="G6" s="662"/>
      <c r="H6" s="662"/>
      <c r="I6" s="285">
        <f>'База селлеров'!D69</f>
        <v>130.00000000000023</v>
      </c>
      <c r="J6" s="285">
        <f>'База селлеров'!E69</f>
        <v>1233</v>
      </c>
      <c r="K6" s="350"/>
      <c r="L6" s="663"/>
      <c r="M6" s="1021"/>
      <c r="N6" s="662"/>
      <c r="O6" s="662"/>
      <c r="P6" s="285">
        <f>I6</f>
        <v>130.00000000000023</v>
      </c>
      <c r="Q6" s="285">
        <f>J6</f>
        <v>1233</v>
      </c>
      <c r="R6" s="350"/>
      <c r="S6" s="1021"/>
      <c r="T6" s="662"/>
      <c r="U6" s="662"/>
      <c r="V6" s="285">
        <f>P6</f>
        <v>130.00000000000023</v>
      </c>
      <c r="W6" s="285">
        <f>Q6</f>
        <v>1233</v>
      </c>
      <c r="X6" s="350"/>
      <c r="Y6" s="663"/>
      <c r="Z6" s="663"/>
      <c r="AA6" s="663"/>
      <c r="AB6" s="351"/>
      <c r="AC6" s="662"/>
      <c r="AD6" s="662"/>
      <c r="AE6" s="285">
        <f>V6*V88</f>
        <v>111.78469738532608</v>
      </c>
      <c r="AF6" s="285">
        <f>W6*W88</f>
        <v>1060.234860585437</v>
      </c>
      <c r="AG6" s="352"/>
      <c r="AH6" s="470"/>
      <c r="AI6" s="663"/>
      <c r="AJ6" s="662"/>
      <c r="AK6" s="285">
        <f>V6-AE6</f>
        <v>18.215302614674144</v>
      </c>
      <c r="AL6" s="285">
        <f>W6-AF6</f>
        <v>172.76513941456301</v>
      </c>
      <c r="AM6" s="352"/>
      <c r="AN6" s="637"/>
      <c r="AO6" s="662"/>
      <c r="AP6" s="662"/>
      <c r="AQ6" s="662"/>
      <c r="AR6" s="662"/>
      <c r="AS6" s="662"/>
      <c r="AT6" s="352"/>
      <c r="AU6" s="470"/>
      <c r="AV6" s="662"/>
      <c r="AW6" s="662"/>
      <c r="AX6" s="662"/>
      <c r="AY6" s="662"/>
      <c r="AZ6" s="352"/>
    </row>
    <row r="7" spans="1:70" ht="20" collapsed="1">
      <c r="A7" s="416" t="s">
        <v>325</v>
      </c>
      <c r="B7" s="971"/>
      <c r="C7" s="972">
        <v>1</v>
      </c>
      <c r="D7" s="1059" t="s">
        <v>542</v>
      </c>
      <c r="E7" s="1020"/>
      <c r="F7" s="791">
        <v>0.5</v>
      </c>
      <c r="G7" s="1">
        <f>G5*$F$7</f>
        <v>39500</v>
      </c>
      <c r="H7" s="1">
        <f>H5*$F$7</f>
        <v>16500</v>
      </c>
      <c r="I7" s="1">
        <f>I5*$F$7</f>
        <v>910.00000000000011</v>
      </c>
      <c r="J7" s="1">
        <f>J5*$F$7</f>
        <v>1852.5</v>
      </c>
      <c r="K7" s="297">
        <f>SUM(G7:J7)</f>
        <v>58762.5</v>
      </c>
      <c r="L7" s="13"/>
      <c r="M7" s="791">
        <f>F7</f>
        <v>0.5</v>
      </c>
      <c r="N7" s="1">
        <f>G7</f>
        <v>39500</v>
      </c>
      <c r="O7" s="1">
        <f>H7</f>
        <v>16500</v>
      </c>
      <c r="P7" s="1">
        <f>I7</f>
        <v>910.00000000000011</v>
      </c>
      <c r="Q7" s="1">
        <f>J7</f>
        <v>1852.5</v>
      </c>
      <c r="R7" s="297">
        <f>SUM(N7:Q7)</f>
        <v>58762.5</v>
      </c>
      <c r="S7" s="791">
        <f>M7</f>
        <v>0.5</v>
      </c>
      <c r="T7" s="1">
        <f>N7</f>
        <v>39500</v>
      </c>
      <c r="U7" s="1">
        <f>O7</f>
        <v>16500</v>
      </c>
      <c r="V7" s="1">
        <f>P7</f>
        <v>910.00000000000011</v>
      </c>
      <c r="W7" s="1">
        <f>Q7</f>
        <v>1852.5</v>
      </c>
      <c r="X7" s="297">
        <f>SUM(T7:W7)</f>
        <v>58762.5</v>
      </c>
      <c r="Y7" s="663"/>
      <c r="Z7" s="663"/>
      <c r="AA7" s="663"/>
      <c r="AB7" s="296">
        <f>S7</f>
        <v>0.5</v>
      </c>
      <c r="AC7" s="154">
        <f>$AB$7*AC5</f>
        <v>35039.587361986152</v>
      </c>
      <c r="AD7" s="154">
        <f t="shared" ref="AD7:AF7" si="0">$AB$7*AD5</f>
        <v>13624.647556390977</v>
      </c>
      <c r="AE7" s="154">
        <f t="shared" si="0"/>
        <v>782.49288169728129</v>
      </c>
      <c r="AF7" s="154">
        <f t="shared" si="0"/>
        <v>1592.9319377408938</v>
      </c>
      <c r="AG7" s="681">
        <f>SUM(AC7:AF7)</f>
        <v>51039.659737815309</v>
      </c>
      <c r="AH7" s="283">
        <f>M7</f>
        <v>0.5</v>
      </c>
      <c r="AI7" s="154">
        <f>$AH$7*AI5</f>
        <v>4460.4126380138478</v>
      </c>
      <c r="AJ7" s="154">
        <f t="shared" ref="AJ7:AL7" si="1">$AH$7*AJ5</f>
        <v>2875.3524436090229</v>
      </c>
      <c r="AK7" s="154">
        <f t="shared" si="1"/>
        <v>127.50711830271882</v>
      </c>
      <c r="AL7" s="154">
        <f t="shared" si="1"/>
        <v>259.56806225910623</v>
      </c>
      <c r="AM7" s="681">
        <f>SUM(AI7:AL7)</f>
        <v>7722.8402621846953</v>
      </c>
      <c r="AN7" s="301">
        <f>AG7+AM7</f>
        <v>58762.500000000007</v>
      </c>
      <c r="AT7" s="24"/>
      <c r="AU7" s="28"/>
      <c r="AY7" s="1">
        <f>AY5</f>
        <v>3705</v>
      </c>
      <c r="AZ7" s="24">
        <f>AZ5</f>
        <v>117525</v>
      </c>
      <c r="BG7" s="423"/>
      <c r="BH7" s="423"/>
      <c r="BI7" s="423"/>
      <c r="BJ7" s="423"/>
      <c r="BK7" s="423"/>
      <c r="BL7" s="423"/>
      <c r="BM7" s="423"/>
      <c r="BN7" s="423"/>
      <c r="BO7" s="423"/>
      <c r="BP7" s="423"/>
      <c r="BQ7" s="423"/>
      <c r="BR7" s="423"/>
    </row>
    <row r="8" spans="1:70" ht="20" hidden="1" outlineLevel="1">
      <c r="A8" s="87" t="s">
        <v>0</v>
      </c>
      <c r="B8" s="971"/>
      <c r="C8" s="971"/>
      <c r="E8" s="662"/>
      <c r="F8" s="790"/>
      <c r="G8" s="285"/>
      <c r="H8" s="285"/>
      <c r="I8" s="285"/>
      <c r="J8" s="285"/>
      <c r="K8" s="346"/>
      <c r="L8" s="285"/>
      <c r="M8" s="74"/>
      <c r="N8" s="154"/>
      <c r="O8" s="154"/>
      <c r="P8" s="154"/>
      <c r="Q8" s="154"/>
      <c r="R8" s="299"/>
      <c r="Y8" s="662"/>
      <c r="Z8" s="662"/>
      <c r="AA8" s="662"/>
      <c r="AB8" s="87"/>
      <c r="AG8" s="24"/>
      <c r="AT8" s="24"/>
      <c r="AU8" s="28"/>
      <c r="AZ8" s="24"/>
      <c r="BG8" s="423"/>
      <c r="BH8" s="423"/>
      <c r="BI8" s="423"/>
      <c r="BJ8" s="423"/>
      <c r="BK8" s="423"/>
      <c r="BL8" s="423"/>
      <c r="BM8" s="423"/>
      <c r="BN8" s="423"/>
      <c r="BO8" s="423"/>
      <c r="BP8" s="423"/>
      <c r="BQ8" s="423"/>
      <c r="BR8" s="423"/>
    </row>
    <row r="9" spans="1:70" ht="20" hidden="1" outlineLevel="1">
      <c r="A9" s="87" t="s">
        <v>55</v>
      </c>
      <c r="B9" s="971"/>
      <c r="C9" s="971"/>
      <c r="E9" s="662"/>
      <c r="F9" s="789"/>
      <c r="K9" s="297"/>
      <c r="L9" s="13"/>
      <c r="M9" s="74"/>
      <c r="Y9" s="662"/>
      <c r="Z9" s="662"/>
      <c r="AA9" s="662"/>
      <c r="AB9" s="87"/>
      <c r="AG9" s="24"/>
      <c r="AT9" s="24"/>
      <c r="AU9" s="28"/>
      <c r="AZ9" s="24"/>
      <c r="BG9" s="423"/>
      <c r="BH9" s="423"/>
      <c r="BI9" s="423"/>
      <c r="BJ9" s="423"/>
      <c r="BK9" s="423"/>
      <c r="BL9" s="423"/>
      <c r="BM9" s="423"/>
      <c r="BN9" s="423"/>
      <c r="BO9" s="423"/>
      <c r="BP9" s="423"/>
      <c r="BQ9" s="423"/>
      <c r="BR9" s="423"/>
    </row>
    <row r="10" spans="1:70" ht="20" hidden="1" outlineLevel="1">
      <c r="A10" s="87" t="s">
        <v>53</v>
      </c>
      <c r="B10" s="971"/>
      <c r="C10" s="971"/>
      <c r="E10" s="662"/>
      <c r="F10" s="789"/>
      <c r="K10" s="297"/>
      <c r="L10" s="13"/>
      <c r="M10" s="74"/>
      <c r="Y10" s="662"/>
      <c r="Z10" s="662"/>
      <c r="AA10" s="662"/>
      <c r="AB10" s="87"/>
      <c r="AG10" s="24"/>
      <c r="AT10" s="24"/>
      <c r="AU10" s="28"/>
      <c r="AZ10" s="24"/>
      <c r="BG10" s="423"/>
      <c r="BH10" s="423"/>
      <c r="BI10" s="423"/>
      <c r="BJ10" s="423"/>
      <c r="BK10" s="423"/>
      <c r="BL10" s="423"/>
      <c r="BM10" s="423"/>
      <c r="BN10" s="423"/>
      <c r="BO10" s="423"/>
      <c r="BP10" s="423"/>
      <c r="BQ10" s="423"/>
      <c r="BR10" s="423"/>
    </row>
    <row r="11" spans="1:70" ht="20" hidden="1" outlineLevel="1">
      <c r="A11" s="87" t="s">
        <v>38</v>
      </c>
      <c r="B11" s="971"/>
      <c r="C11" s="971"/>
      <c r="E11" s="662"/>
      <c r="F11" s="789"/>
      <c r="K11" s="297"/>
      <c r="L11" s="13"/>
      <c r="M11" s="74"/>
      <c r="Y11" s="662"/>
      <c r="Z11" s="662"/>
      <c r="AA11" s="662"/>
      <c r="AB11" s="87"/>
      <c r="AG11" s="24"/>
      <c r="AT11" s="24"/>
      <c r="AU11" s="28"/>
      <c r="AZ11" s="24"/>
      <c r="BG11" s="423"/>
      <c r="BH11" s="423"/>
      <c r="BI11" s="423"/>
      <c r="BJ11" s="423"/>
      <c r="BK11" s="423"/>
      <c r="BL11" s="423"/>
      <c r="BM11" s="423"/>
      <c r="BN11" s="423"/>
      <c r="BO11" s="423"/>
      <c r="BP11" s="423"/>
      <c r="BQ11" s="423"/>
      <c r="BR11" s="423"/>
    </row>
    <row r="12" spans="1:70" ht="20" hidden="1" outlineLevel="1">
      <c r="A12" s="87" t="s">
        <v>124</v>
      </c>
      <c r="B12" s="971"/>
      <c r="C12" s="971"/>
      <c r="E12" s="662"/>
      <c r="F12" s="790"/>
      <c r="G12" s="285"/>
      <c r="H12" s="285"/>
      <c r="I12" s="285"/>
      <c r="J12" s="285"/>
      <c r="K12" s="346"/>
      <c r="L12" s="285"/>
      <c r="M12" s="74"/>
      <c r="N12" s="154"/>
      <c r="O12" s="154"/>
      <c r="P12" s="154"/>
      <c r="Q12" s="154"/>
      <c r="R12" s="299"/>
      <c r="Y12" s="662"/>
      <c r="Z12" s="662"/>
      <c r="AA12" s="662"/>
      <c r="AB12" s="87"/>
      <c r="AG12" s="24"/>
      <c r="AT12" s="24"/>
      <c r="AU12" s="28"/>
      <c r="AZ12" s="24"/>
      <c r="BG12" s="423"/>
      <c r="BH12" s="423"/>
      <c r="BI12" s="423"/>
      <c r="BJ12" s="423"/>
      <c r="BK12" s="423"/>
      <c r="BL12" s="423"/>
      <c r="BM12" s="423"/>
      <c r="BN12" s="423"/>
      <c r="BO12" s="423"/>
      <c r="BP12" s="423"/>
      <c r="BQ12" s="423"/>
      <c r="BR12" s="423"/>
    </row>
    <row r="13" spans="1:70" ht="40" collapsed="1">
      <c r="A13" s="349" t="s">
        <v>538</v>
      </c>
      <c r="B13" s="971"/>
      <c r="C13" s="971"/>
      <c r="D13" s="1059" t="s">
        <v>539</v>
      </c>
      <c r="E13" s="662"/>
      <c r="F13" s="790">
        <f>G13/G7</f>
        <v>0.25</v>
      </c>
      <c r="G13" s="285">
        <f>G7-G14</f>
        <v>9875</v>
      </c>
      <c r="H13" s="285">
        <f t="shared" ref="H13:J13" si="2">H7-H14</f>
        <v>4125</v>
      </c>
      <c r="I13" s="285">
        <f t="shared" si="2"/>
        <v>227.5</v>
      </c>
      <c r="J13" s="285">
        <f t="shared" si="2"/>
        <v>463.125</v>
      </c>
      <c r="K13" s="473">
        <f>SUM(G13:J13)</f>
        <v>14690.625</v>
      </c>
      <c r="L13" s="950"/>
      <c r="M13" s="790">
        <f>N13/N7</f>
        <v>0.25</v>
      </c>
      <c r="N13" s="285">
        <f>N7-N14</f>
        <v>9875</v>
      </c>
      <c r="O13" s="285">
        <f t="shared" ref="O13:Q13" si="3">O7-O14</f>
        <v>4125</v>
      </c>
      <c r="P13" s="285">
        <f t="shared" si="3"/>
        <v>227.5</v>
      </c>
      <c r="Q13" s="285">
        <f t="shared" si="3"/>
        <v>463.125</v>
      </c>
      <c r="R13" s="473">
        <f>SUM(N13:Q13)</f>
        <v>14690.625</v>
      </c>
      <c r="S13" s="1" t="s">
        <v>1</v>
      </c>
      <c r="T13" s="1" t="s">
        <v>1</v>
      </c>
      <c r="U13" s="1" t="s">
        <v>1</v>
      </c>
      <c r="V13" s="1" t="s">
        <v>1</v>
      </c>
      <c r="W13" s="1" t="s">
        <v>1</v>
      </c>
      <c r="X13" s="295" t="s">
        <v>1</v>
      </c>
      <c r="Y13" s="662"/>
      <c r="Z13" s="662"/>
      <c r="AA13" s="662"/>
      <c r="AB13" s="87"/>
      <c r="AG13" s="24"/>
      <c r="AH13" s="156">
        <f t="shared" ref="AH13:AH20" si="4">M13</f>
        <v>0.25</v>
      </c>
      <c r="AI13" s="285">
        <f>AI7-AI14</f>
        <v>1115.1031595034619</v>
      </c>
      <c r="AJ13" s="285">
        <f t="shared" ref="AJ13:AL13" si="5">AJ7-AJ14</f>
        <v>718.83811090225572</v>
      </c>
      <c r="AK13" s="285">
        <f t="shared" si="5"/>
        <v>31.876779575679706</v>
      </c>
      <c r="AL13" s="285">
        <f t="shared" si="5"/>
        <v>64.892015564776557</v>
      </c>
      <c r="AM13" s="682">
        <f>SUM(AI13:AL13)</f>
        <v>1930.7100655461738</v>
      </c>
      <c r="AN13" s="346">
        <f>AG13+AM13</f>
        <v>1930.7100655461738</v>
      </c>
      <c r="AT13" s="24"/>
      <c r="AU13" s="28"/>
      <c r="AZ13" s="24"/>
      <c r="BG13" s="423"/>
      <c r="BH13" s="423"/>
      <c r="BI13" s="423"/>
      <c r="BJ13" s="423"/>
      <c r="BK13" s="423"/>
      <c r="BL13" s="423"/>
      <c r="BM13" s="423"/>
      <c r="BN13" s="423"/>
      <c r="BO13" s="423"/>
      <c r="BP13" s="423"/>
      <c r="BQ13" s="423"/>
      <c r="BR13" s="423"/>
    </row>
    <row r="14" spans="1:70" ht="20">
      <c r="A14" s="128" t="s">
        <v>600</v>
      </c>
      <c r="B14" s="971" t="s">
        <v>539</v>
      </c>
      <c r="C14" s="972">
        <v>0.13</v>
      </c>
      <c r="D14" s="1059" t="s">
        <v>539</v>
      </c>
      <c r="E14" s="1020"/>
      <c r="F14" s="1023">
        <v>0.75</v>
      </c>
      <c r="G14" s="154">
        <f>$G$7*F14</f>
        <v>29625</v>
      </c>
      <c r="H14" s="154">
        <f>$H$7*F14</f>
        <v>12375</v>
      </c>
      <c r="I14" s="154">
        <f>$I$7*F14</f>
        <v>682.50000000000011</v>
      </c>
      <c r="J14" s="154">
        <f>$J$7*F14</f>
        <v>1389.375</v>
      </c>
      <c r="K14" s="301">
        <f>SUM(G14:J14)</f>
        <v>44071.875</v>
      </c>
      <c r="L14" s="279"/>
      <c r="M14" s="1023">
        <f>F14</f>
        <v>0.75</v>
      </c>
      <c r="N14" s="154">
        <f>$N$7*M14</f>
        <v>29625</v>
      </c>
      <c r="O14" s="154">
        <f>$O$7*M14</f>
        <v>12375</v>
      </c>
      <c r="P14" s="154">
        <f>$P$7*M14</f>
        <v>682.50000000000011</v>
      </c>
      <c r="Q14" s="154">
        <f>$Q$7*M14</f>
        <v>1389.375</v>
      </c>
      <c r="R14" s="301">
        <f>SUM(N14:Q14)</f>
        <v>44071.875</v>
      </c>
      <c r="S14" s="1" t="s">
        <v>1</v>
      </c>
      <c r="T14" s="1" t="s">
        <v>1</v>
      </c>
      <c r="U14" s="1" t="s">
        <v>1</v>
      </c>
      <c r="V14" s="1" t="s">
        <v>1</v>
      </c>
      <c r="W14" s="1" t="s">
        <v>1</v>
      </c>
      <c r="X14" s="295" t="s">
        <v>1</v>
      </c>
      <c r="Y14" s="662"/>
      <c r="Z14" s="662"/>
      <c r="AA14" s="662"/>
      <c r="AB14" s="342"/>
      <c r="AC14" s="154"/>
      <c r="AD14" s="154"/>
      <c r="AE14" s="154"/>
      <c r="AF14" s="154"/>
      <c r="AG14" s="684"/>
      <c r="AH14" s="156">
        <f t="shared" si="4"/>
        <v>0.75</v>
      </c>
      <c r="AI14" s="154">
        <f>$AI$7*AH14</f>
        <v>3345.3094785103858</v>
      </c>
      <c r="AJ14" s="154">
        <f>$AJ$7*AH14</f>
        <v>2156.5143327067672</v>
      </c>
      <c r="AK14" s="154">
        <f>$AK$7*AH14</f>
        <v>95.630338727039117</v>
      </c>
      <c r="AL14" s="154">
        <f>$AL$7*AH14</f>
        <v>194.67604669432967</v>
      </c>
      <c r="AM14" s="681">
        <f>SUM(AI14:AL14)</f>
        <v>5792.1301966385217</v>
      </c>
      <c r="AN14" s="301">
        <f t="shared" ref="AN14:AN26" si="6">AG14+AM14</f>
        <v>5792.1301966385217</v>
      </c>
      <c r="AT14" s="24"/>
      <c r="AU14" s="28"/>
      <c r="AZ14" s="24"/>
      <c r="BG14" s="423"/>
      <c r="BH14" s="423"/>
      <c r="BI14" s="423"/>
      <c r="BJ14" s="423"/>
      <c r="BK14" s="423"/>
      <c r="BL14" s="423"/>
      <c r="BM14" s="423"/>
      <c r="BN14" s="423"/>
      <c r="BO14" s="423"/>
      <c r="BP14" s="423"/>
      <c r="BQ14" s="423"/>
      <c r="BR14" s="423"/>
    </row>
    <row r="15" spans="1:70" ht="20">
      <c r="A15" s="128" t="s">
        <v>171</v>
      </c>
      <c r="B15" s="971" t="s">
        <v>540</v>
      </c>
      <c r="C15" s="972">
        <v>1</v>
      </c>
      <c r="D15" s="1059" t="s">
        <v>543</v>
      </c>
      <c r="E15" s="1020"/>
      <c r="F15" s="74">
        <v>1</v>
      </c>
      <c r="G15" s="154">
        <f>$G$14*F15</f>
        <v>29625</v>
      </c>
      <c r="H15" s="154">
        <f>$H$14*F15</f>
        <v>12375</v>
      </c>
      <c r="I15" s="154">
        <f>$I$14*F15</f>
        <v>682.50000000000011</v>
      </c>
      <c r="J15" s="154">
        <f>$J$14*F15</f>
        <v>1389.375</v>
      </c>
      <c r="K15" s="301">
        <f t="shared" ref="K15:K51" si="7">SUM(G15:J15)</f>
        <v>44071.875</v>
      </c>
      <c r="L15" s="279"/>
      <c r="M15" s="74">
        <f t="shared" ref="M15:M18" si="8">F15</f>
        <v>1</v>
      </c>
      <c r="N15" s="154">
        <f t="shared" ref="N15:N18" si="9">$N$7*M15</f>
        <v>39500</v>
      </c>
      <c r="O15" s="154">
        <f t="shared" ref="O15:O18" si="10">$O$7*M15</f>
        <v>16500</v>
      </c>
      <c r="P15" s="154">
        <f t="shared" ref="P15:P18" si="11">$P$7*M15</f>
        <v>910.00000000000011</v>
      </c>
      <c r="Q15" s="154">
        <f t="shared" ref="Q15:Q18" si="12">$Q$7*M15</f>
        <v>1852.5</v>
      </c>
      <c r="R15" s="301">
        <f t="shared" ref="R15:R26" si="13">SUM(N15:Q15)</f>
        <v>58762.5</v>
      </c>
      <c r="S15" s="1" t="s">
        <v>1</v>
      </c>
      <c r="T15" s="1" t="s">
        <v>1</v>
      </c>
      <c r="U15" s="1" t="s">
        <v>1</v>
      </c>
      <c r="V15" s="1" t="s">
        <v>1</v>
      </c>
      <c r="W15" s="1" t="s">
        <v>1</v>
      </c>
      <c r="X15" s="295" t="s">
        <v>1</v>
      </c>
      <c r="Y15" s="662"/>
      <c r="Z15" s="662"/>
      <c r="AA15" s="662"/>
      <c r="AB15" s="342"/>
      <c r="AC15" s="154"/>
      <c r="AD15" s="154"/>
      <c r="AE15" s="154"/>
      <c r="AF15" s="154"/>
      <c r="AG15" s="684"/>
      <c r="AH15" s="156">
        <f t="shared" si="4"/>
        <v>1</v>
      </c>
      <c r="AI15" s="154">
        <f>$AI$7*AH15</f>
        <v>4460.4126380138478</v>
      </c>
      <c r="AJ15" s="154">
        <f>$AJ$7*AH15</f>
        <v>2875.3524436090229</v>
      </c>
      <c r="AK15" s="154">
        <f>$AK$7*AH15</f>
        <v>127.50711830271882</v>
      </c>
      <c r="AL15" s="154">
        <f>$AL$7*AH15</f>
        <v>259.56806225910623</v>
      </c>
      <c r="AM15" s="681">
        <f t="shared" ref="AM15:AM26" si="14">SUM(AI15:AL15)</f>
        <v>7722.8402621846953</v>
      </c>
      <c r="AN15" s="301">
        <f t="shared" si="6"/>
        <v>7722.8402621846953</v>
      </c>
      <c r="AT15" s="24"/>
      <c r="AU15" s="28"/>
      <c r="AZ15" s="24"/>
      <c r="BG15" s="423"/>
      <c r="BH15" s="423"/>
      <c r="BI15" s="423"/>
      <c r="BJ15" s="423"/>
      <c r="BK15" s="423"/>
      <c r="BL15" s="423"/>
      <c r="BM15" s="423"/>
      <c r="BN15" s="423"/>
      <c r="BO15" s="423"/>
      <c r="BP15" s="423"/>
      <c r="BQ15" s="423"/>
      <c r="BR15" s="423"/>
    </row>
    <row r="16" spans="1:70" ht="20">
      <c r="A16" s="128" t="s">
        <v>211</v>
      </c>
      <c r="B16" s="971" t="s">
        <v>540</v>
      </c>
      <c r="C16" s="973">
        <v>0.4</v>
      </c>
      <c r="D16" s="1059" t="s">
        <v>543</v>
      </c>
      <c r="E16" s="1021"/>
      <c r="F16" s="74">
        <f>'Воронка MPS_обработано'!N10</f>
        <v>0.4</v>
      </c>
      <c r="G16" s="154">
        <f t="shared" ref="G16:G18" si="15">$G$14*F16</f>
        <v>11850</v>
      </c>
      <c r="H16" s="154">
        <f t="shared" ref="H16:H18" si="16">$H$14*F16</f>
        <v>4950</v>
      </c>
      <c r="I16" s="154">
        <f t="shared" ref="I16:I18" si="17">$I$14*F16</f>
        <v>273.00000000000006</v>
      </c>
      <c r="J16" s="154">
        <f t="shared" ref="J16:J18" si="18">$J$14*F16</f>
        <v>555.75</v>
      </c>
      <c r="K16" s="301">
        <f t="shared" si="7"/>
        <v>17628.75</v>
      </c>
      <c r="L16" s="279"/>
      <c r="M16" s="74">
        <f t="shared" si="8"/>
        <v>0.4</v>
      </c>
      <c r="N16" s="154">
        <f t="shared" si="9"/>
        <v>15800</v>
      </c>
      <c r="O16" s="154">
        <f t="shared" si="10"/>
        <v>6600</v>
      </c>
      <c r="P16" s="154">
        <f t="shared" si="11"/>
        <v>364.00000000000006</v>
      </c>
      <c r="Q16" s="154">
        <f t="shared" si="12"/>
        <v>741</v>
      </c>
      <c r="R16" s="301">
        <f t="shared" si="13"/>
        <v>23505</v>
      </c>
      <c r="S16" s="1" t="s">
        <v>1</v>
      </c>
      <c r="T16" s="1" t="s">
        <v>1</v>
      </c>
      <c r="U16" s="1" t="s">
        <v>1</v>
      </c>
      <c r="V16" s="1" t="s">
        <v>1</v>
      </c>
      <c r="W16" s="1" t="s">
        <v>1</v>
      </c>
      <c r="X16" s="295" t="s">
        <v>1</v>
      </c>
      <c r="Y16" s="662"/>
      <c r="Z16" s="662"/>
      <c r="AA16" s="662"/>
      <c r="AB16" s="342"/>
      <c r="AC16" s="154"/>
      <c r="AD16" s="154"/>
      <c r="AE16" s="154"/>
      <c r="AF16" s="154"/>
      <c r="AG16" s="684"/>
      <c r="AH16" s="156">
        <f t="shared" si="4"/>
        <v>0.4</v>
      </c>
      <c r="AI16" s="154">
        <f>$AI$7*AH16</f>
        <v>1784.1650552055391</v>
      </c>
      <c r="AJ16" s="154">
        <f>$AJ$7*AH16</f>
        <v>1150.1409774436092</v>
      </c>
      <c r="AK16" s="154">
        <f>$AK$7*AH16</f>
        <v>51.002847321087529</v>
      </c>
      <c r="AL16" s="154">
        <f>$AL$7*AH16</f>
        <v>103.8272249036425</v>
      </c>
      <c r="AM16" s="681">
        <f t="shared" si="14"/>
        <v>3089.136104873879</v>
      </c>
      <c r="AN16" s="301">
        <f t="shared" si="6"/>
        <v>3089.136104873879</v>
      </c>
      <c r="AT16" s="24"/>
      <c r="AU16" s="28"/>
      <c r="AZ16" s="24"/>
      <c r="BG16" s="423"/>
      <c r="BH16" s="423"/>
      <c r="BI16" s="423"/>
      <c r="BJ16" s="423"/>
      <c r="BK16" s="423"/>
      <c r="BL16" s="423"/>
      <c r="BM16" s="423"/>
      <c r="BN16" s="423"/>
      <c r="BO16" s="423"/>
      <c r="BP16" s="423"/>
      <c r="BQ16" s="423"/>
      <c r="BR16" s="423"/>
    </row>
    <row r="17" spans="1:70" ht="20">
      <c r="A17" s="128" t="s">
        <v>212</v>
      </c>
      <c r="B17" s="971" t="s">
        <v>540</v>
      </c>
      <c r="C17" s="973">
        <v>0.29799999999999999</v>
      </c>
      <c r="D17" s="1059" t="s">
        <v>543</v>
      </c>
      <c r="E17" s="1021"/>
      <c r="F17" s="326">
        <f>'Воронка MPS_обработано'!N11</f>
        <v>0.29799999999999999</v>
      </c>
      <c r="G17" s="154">
        <f t="shared" si="15"/>
        <v>8828.25</v>
      </c>
      <c r="H17" s="154">
        <f t="shared" si="16"/>
        <v>3687.75</v>
      </c>
      <c r="I17" s="154">
        <f t="shared" si="17"/>
        <v>203.38500000000002</v>
      </c>
      <c r="J17" s="154">
        <f t="shared" si="18"/>
        <v>414.03375</v>
      </c>
      <c r="K17" s="301">
        <f t="shared" si="7"/>
        <v>13133.418750000001</v>
      </c>
      <c r="L17" s="279"/>
      <c r="M17" s="74">
        <f t="shared" si="8"/>
        <v>0.29799999999999999</v>
      </c>
      <c r="N17" s="154">
        <f t="shared" si="9"/>
        <v>11771</v>
      </c>
      <c r="O17" s="154">
        <f t="shared" si="10"/>
        <v>4917</v>
      </c>
      <c r="P17" s="154">
        <f t="shared" si="11"/>
        <v>271.18</v>
      </c>
      <c r="Q17" s="154">
        <f t="shared" si="12"/>
        <v>552.04499999999996</v>
      </c>
      <c r="R17" s="301">
        <f t="shared" si="13"/>
        <v>17511.224999999999</v>
      </c>
      <c r="S17" s="1" t="s">
        <v>1</v>
      </c>
      <c r="T17" s="1" t="s">
        <v>1</v>
      </c>
      <c r="U17" s="1" t="s">
        <v>1</v>
      </c>
      <c r="V17" s="1" t="s">
        <v>1</v>
      </c>
      <c r="W17" s="1" t="s">
        <v>1</v>
      </c>
      <c r="X17" s="295" t="s">
        <v>1</v>
      </c>
      <c r="Y17" s="662"/>
      <c r="Z17" s="662"/>
      <c r="AA17" s="662"/>
      <c r="AB17" s="342"/>
      <c r="AC17" s="154"/>
      <c r="AD17" s="154"/>
      <c r="AE17" s="154"/>
      <c r="AF17" s="154"/>
      <c r="AG17" s="684"/>
      <c r="AH17" s="156">
        <f t="shared" si="4"/>
        <v>0.29799999999999999</v>
      </c>
      <c r="AI17" s="154">
        <f>$AI$7*AH17</f>
        <v>1329.2029661281265</v>
      </c>
      <c r="AJ17" s="154">
        <f>$AJ$7*AH17</f>
        <v>856.85502819548879</v>
      </c>
      <c r="AK17" s="154">
        <f>$AK$7*AH17</f>
        <v>37.997121254210207</v>
      </c>
      <c r="AL17" s="154">
        <f>$AL$7*AH17</f>
        <v>77.35128255321365</v>
      </c>
      <c r="AM17" s="681">
        <f t="shared" si="14"/>
        <v>2301.4063981310392</v>
      </c>
      <c r="AN17" s="301">
        <f t="shared" si="6"/>
        <v>2301.4063981310392</v>
      </c>
      <c r="AT17" s="24"/>
      <c r="AU17" s="28"/>
      <c r="AZ17" s="24"/>
      <c r="BG17" s="423"/>
      <c r="BH17" s="423"/>
      <c r="BI17" s="423"/>
      <c r="BJ17" s="423"/>
      <c r="BK17" s="423"/>
      <c r="BL17" s="423"/>
      <c r="BM17" s="423"/>
      <c r="BN17" s="423"/>
      <c r="BO17" s="423"/>
      <c r="BP17" s="423"/>
      <c r="BQ17" s="423"/>
      <c r="BR17" s="423"/>
    </row>
    <row r="18" spans="1:70" ht="20">
      <c r="A18" s="128" t="s">
        <v>213</v>
      </c>
      <c r="B18" s="971" t="s">
        <v>540</v>
      </c>
      <c r="C18" s="973">
        <v>0.45500000000000002</v>
      </c>
      <c r="D18" s="1059" t="s">
        <v>543</v>
      </c>
      <c r="E18" s="1021"/>
      <c r="F18" s="326">
        <f>'Воронка MPS_обработано'!N12</f>
        <v>0.45500000000000002</v>
      </c>
      <c r="G18" s="154">
        <f t="shared" si="15"/>
        <v>13479.375</v>
      </c>
      <c r="H18" s="154">
        <f t="shared" si="16"/>
        <v>5630.625</v>
      </c>
      <c r="I18" s="154">
        <f t="shared" si="17"/>
        <v>310.53750000000008</v>
      </c>
      <c r="J18" s="154">
        <f t="shared" si="18"/>
        <v>632.16562499999998</v>
      </c>
      <c r="K18" s="301">
        <f t="shared" si="7"/>
        <v>20052.703125</v>
      </c>
      <c r="L18" s="279"/>
      <c r="M18" s="74">
        <f t="shared" si="8"/>
        <v>0.45500000000000002</v>
      </c>
      <c r="N18" s="154">
        <f t="shared" si="9"/>
        <v>17972.5</v>
      </c>
      <c r="O18" s="154">
        <f t="shared" si="10"/>
        <v>7507.5</v>
      </c>
      <c r="P18" s="154">
        <f t="shared" si="11"/>
        <v>414.05000000000007</v>
      </c>
      <c r="Q18" s="154">
        <f t="shared" si="12"/>
        <v>842.88750000000005</v>
      </c>
      <c r="R18" s="301">
        <f t="shared" si="13"/>
        <v>26736.9375</v>
      </c>
      <c r="S18" s="1" t="s">
        <v>1</v>
      </c>
      <c r="T18" s="1" t="s">
        <v>1</v>
      </c>
      <c r="U18" s="1" t="s">
        <v>1</v>
      </c>
      <c r="V18" s="1" t="s">
        <v>1</v>
      </c>
      <c r="W18" s="1" t="s">
        <v>1</v>
      </c>
      <c r="X18" s="295" t="s">
        <v>1</v>
      </c>
      <c r="Y18" s="662"/>
      <c r="Z18" s="662"/>
      <c r="AA18" s="662"/>
      <c r="AB18" s="342"/>
      <c r="AC18" s="154"/>
      <c r="AD18" s="154"/>
      <c r="AE18" s="154"/>
      <c r="AF18" s="154"/>
      <c r="AG18" s="684"/>
      <c r="AH18" s="156">
        <f t="shared" si="4"/>
        <v>0.45500000000000002</v>
      </c>
      <c r="AI18" s="154">
        <f>$AI$7*AH18</f>
        <v>2029.4877502963009</v>
      </c>
      <c r="AJ18" s="154">
        <f>$AJ$7*AH18</f>
        <v>1308.2853618421054</v>
      </c>
      <c r="AK18" s="154">
        <f>$AK$7*AH18</f>
        <v>58.015738827737067</v>
      </c>
      <c r="AL18" s="154">
        <f>$AL$7*AH18</f>
        <v>118.10346832789334</v>
      </c>
      <c r="AM18" s="681">
        <f t="shared" si="14"/>
        <v>3513.892319294037</v>
      </c>
      <c r="AN18" s="301">
        <f t="shared" si="6"/>
        <v>3513.892319294037</v>
      </c>
      <c r="AT18" s="24"/>
      <c r="AU18" s="28"/>
      <c r="AZ18" s="24"/>
      <c r="BG18" s="423"/>
      <c r="BH18" s="423"/>
      <c r="BI18" s="423"/>
      <c r="BJ18" s="423"/>
      <c r="BK18" s="423"/>
      <c r="BL18" s="423"/>
      <c r="BM18" s="423"/>
      <c r="BN18" s="423"/>
      <c r="BO18" s="423"/>
      <c r="BP18" s="423"/>
      <c r="BQ18" s="423"/>
      <c r="BR18" s="423"/>
    </row>
    <row r="19" spans="1:70" ht="40">
      <c r="A19" s="416" t="s">
        <v>337</v>
      </c>
      <c r="B19" s="971" t="s">
        <v>539</v>
      </c>
      <c r="C19" s="974" t="s">
        <v>541</v>
      </c>
      <c r="D19" s="1059" t="s">
        <v>543</v>
      </c>
      <c r="E19" s="74">
        <f>K19/K7</f>
        <v>6.4038461538461544E-2</v>
      </c>
      <c r="F19" s="723">
        <f>'Воронка MPS_обработано'!N14</f>
        <v>8.5384615384615392E-2</v>
      </c>
      <c r="G19" s="154">
        <f>$G$14*F19</f>
        <v>2529.5192307692309</v>
      </c>
      <c r="H19" s="154">
        <f>$H$14*F19</f>
        <v>1056.6346153846155</v>
      </c>
      <c r="I19" s="154">
        <f>$I$14*F19</f>
        <v>58.275000000000013</v>
      </c>
      <c r="J19" s="154">
        <f>$J$14*F19</f>
        <v>118.63125000000001</v>
      </c>
      <c r="K19" s="301">
        <f t="shared" si="7"/>
        <v>3763.0600961538466</v>
      </c>
      <c r="L19" s="326">
        <f>R19/R7</f>
        <v>9.6057692307692316E-2</v>
      </c>
      <c r="M19" s="1024">
        <f>F19*1.5</f>
        <v>0.12807692307692309</v>
      </c>
      <c r="N19" s="154">
        <f>N14*$M$19</f>
        <v>3794.2788461538466</v>
      </c>
      <c r="O19" s="154">
        <f t="shared" ref="O19:Q19" si="19">O14*$M$19</f>
        <v>1584.9519230769233</v>
      </c>
      <c r="P19" s="154">
        <f t="shared" si="19"/>
        <v>87.412500000000023</v>
      </c>
      <c r="Q19" s="154">
        <f t="shared" si="19"/>
        <v>177.94687500000001</v>
      </c>
      <c r="R19" s="301">
        <f t="shared" si="13"/>
        <v>5644.5901442307695</v>
      </c>
      <c r="S19" s="1228">
        <f>'Воронка Селлер as is'!F12</f>
        <v>1.7475398710553106E-2</v>
      </c>
      <c r="T19" s="154">
        <f>$S$19*T7</f>
        <v>690.27824906684771</v>
      </c>
      <c r="U19" s="154">
        <f t="shared" ref="U19:W19" si="20">$S$19*U7</f>
        <v>288.34407872412623</v>
      </c>
      <c r="V19" s="154">
        <f t="shared" si="20"/>
        <v>15.902612826603328</v>
      </c>
      <c r="W19" s="154">
        <f t="shared" si="20"/>
        <v>32.373176111299628</v>
      </c>
      <c r="X19" s="301">
        <f>SUM(T19:W19)</f>
        <v>1026.8981167288769</v>
      </c>
      <c r="Y19" s="1034">
        <f>AG19/$AG$7</f>
        <v>1.7475398710553106E-2</v>
      </c>
      <c r="Z19" s="1032">
        <f>AM19/$AM$7</f>
        <v>9.605769230769233E-2</v>
      </c>
      <c r="AA19" s="1034">
        <f>AN19/AN7</f>
        <v>2.7803048161934605E-2</v>
      </c>
      <c r="AB19" s="927">
        <f>S19</f>
        <v>1.7475398710553106E-2</v>
      </c>
      <c r="AC19" s="154">
        <f>$S$19*AC7</f>
        <v>612.33075980396575</v>
      </c>
      <c r="AD19" s="154">
        <f t="shared" ref="AD19:AF19" si="21">$S$19*AD7</f>
        <v>238.0961483386954</v>
      </c>
      <c r="AE19" s="154">
        <f t="shared" si="21"/>
        <v>13.674375095829653</v>
      </c>
      <c r="AF19" s="154">
        <f t="shared" si="21"/>
        <v>27.837120730796077</v>
      </c>
      <c r="AG19" s="681">
        <f>SUM(AC19:AF19)</f>
        <v>891.93840396928692</v>
      </c>
      <c r="AH19" s="928">
        <f t="shared" si="4"/>
        <v>0.12807692307692309</v>
      </c>
      <c r="AI19" s="154">
        <f>AI14*$AH$19</f>
        <v>428.4569447476764</v>
      </c>
      <c r="AJ19" s="154">
        <f>AJ14*$AH$19</f>
        <v>276.19972030436674</v>
      </c>
      <c r="AK19" s="154">
        <f t="shared" ref="AK19:AL19" si="22">AK14*$AH$19</f>
        <v>12.248039536963088</v>
      </c>
      <c r="AL19" s="154">
        <f t="shared" si="22"/>
        <v>24.933509057389148</v>
      </c>
      <c r="AM19" s="681">
        <f t="shared" si="14"/>
        <v>741.83821364639539</v>
      </c>
      <c r="AN19" s="301">
        <f t="shared" si="6"/>
        <v>1633.7766176156824</v>
      </c>
      <c r="AT19" s="24"/>
      <c r="AU19" s="28"/>
      <c r="AZ19" s="24"/>
      <c r="BG19" s="423"/>
      <c r="BH19" s="423"/>
      <c r="BI19" s="423"/>
      <c r="BJ19" s="423"/>
      <c r="BK19" s="423"/>
      <c r="BL19" s="423"/>
      <c r="BM19" s="423"/>
      <c r="BN19" s="423"/>
      <c r="BO19" s="423"/>
      <c r="BP19" s="423"/>
      <c r="BQ19" s="423"/>
      <c r="BR19" s="423"/>
    </row>
    <row r="20" spans="1:70" ht="20">
      <c r="A20" s="416" t="s">
        <v>338</v>
      </c>
      <c r="B20" s="938"/>
      <c r="C20" s="939"/>
      <c r="D20" s="1060" t="s">
        <v>539</v>
      </c>
      <c r="E20" s="160">
        <f>K20/K7</f>
        <v>4.3688496776382764E-3</v>
      </c>
      <c r="F20" s="724">
        <f>S19</f>
        <v>1.7475398710553106E-2</v>
      </c>
      <c r="G20" s="154">
        <f>G13*$F$20</f>
        <v>172.56956226671193</v>
      </c>
      <c r="H20" s="154">
        <f t="shared" ref="H20:J20" si="23">H13*$F$20</f>
        <v>72.086019681031559</v>
      </c>
      <c r="I20" s="154">
        <f t="shared" si="23"/>
        <v>3.9756532066508314</v>
      </c>
      <c r="J20" s="154">
        <f t="shared" si="23"/>
        <v>8.093294027824907</v>
      </c>
      <c r="K20" s="301">
        <f t="shared" si="7"/>
        <v>256.72452918221921</v>
      </c>
      <c r="L20" s="326">
        <f>R20/R7</f>
        <v>4.3688496776382764E-3</v>
      </c>
      <c r="M20" s="724">
        <f>S19</f>
        <v>1.7475398710553106E-2</v>
      </c>
      <c r="N20" s="154">
        <f>N13*$M$20</f>
        <v>172.56956226671193</v>
      </c>
      <c r="O20" s="154">
        <f t="shared" ref="O20:Q20" si="24">O13*$M$20</f>
        <v>72.086019681031559</v>
      </c>
      <c r="P20" s="154">
        <f t="shared" si="24"/>
        <v>3.9756532066508314</v>
      </c>
      <c r="Q20" s="154">
        <f t="shared" si="24"/>
        <v>8.093294027824907</v>
      </c>
      <c r="R20" s="301">
        <f t="shared" si="13"/>
        <v>256.72452918221921</v>
      </c>
      <c r="S20" s="326"/>
      <c r="T20" s="154"/>
      <c r="U20" s="154"/>
      <c r="V20" s="154"/>
      <c r="W20" s="154"/>
      <c r="X20" s="301"/>
      <c r="Y20" s="1034">
        <f t="shared" ref="Y20:Y21" si="25">AG20/$AG$7</f>
        <v>0</v>
      </c>
      <c r="Z20" s="1032">
        <f t="shared" ref="Z20:Z21" si="26">AM20/$AM$7</f>
        <v>4.3688496776382773E-3</v>
      </c>
      <c r="AA20" s="1034">
        <f>AN20/AN7</f>
        <v>5.7417448525671144E-4</v>
      </c>
      <c r="AB20" s="342"/>
      <c r="AC20" s="154"/>
      <c r="AD20" s="154"/>
      <c r="AE20" s="154"/>
      <c r="AF20" s="154"/>
      <c r="AG20" s="684"/>
      <c r="AH20" s="156">
        <f t="shared" si="4"/>
        <v>1.7475398710553106E-2</v>
      </c>
      <c r="AI20" s="154">
        <f>AI13*$AH$20</f>
        <v>19.486872315720493</v>
      </c>
      <c r="AJ20" s="154">
        <f>AJ13*$AH$20</f>
        <v>12.56198259635771</v>
      </c>
      <c r="AK20" s="154">
        <f t="shared" ref="AK20:AL20" si="27">AK13*$AH$20</f>
        <v>0.55705943269341873</v>
      </c>
      <c r="AL20" s="154">
        <f t="shared" si="27"/>
        <v>1.1340138451258883</v>
      </c>
      <c r="AM20" s="681">
        <f t="shared" si="14"/>
        <v>33.739928189897512</v>
      </c>
      <c r="AN20" s="301">
        <f t="shared" si="6"/>
        <v>33.739928189897512</v>
      </c>
      <c r="AP20" s="84"/>
      <c r="AT20" s="24"/>
      <c r="AU20" s="28"/>
      <c r="AZ20" s="24"/>
      <c r="BG20" s="423"/>
      <c r="BH20" s="423"/>
      <c r="BI20" s="423"/>
      <c r="BJ20" s="423"/>
      <c r="BK20" s="423"/>
      <c r="BL20" s="423"/>
      <c r="BM20" s="423"/>
      <c r="BN20" s="423"/>
      <c r="BO20" s="423"/>
      <c r="BP20" s="423"/>
      <c r="BQ20" s="423"/>
      <c r="BR20" s="423"/>
    </row>
    <row r="21" spans="1:70" s="454" customFormat="1" ht="21" thickBot="1">
      <c r="A21" s="453" t="s">
        <v>339</v>
      </c>
      <c r="B21" s="88"/>
      <c r="C21" s="88"/>
      <c r="D21" s="1055"/>
      <c r="E21" s="1220">
        <f>K21/K7</f>
        <v>6.8407311216099817E-2</v>
      </c>
      <c r="F21" s="363"/>
      <c r="G21" s="363">
        <f>SUM(G19:G20)</f>
        <v>2702.0887930359427</v>
      </c>
      <c r="H21" s="363">
        <f t="shared" ref="H21:J21" si="28">SUM(H19:H20)</f>
        <v>1128.720635065647</v>
      </c>
      <c r="I21" s="363">
        <f t="shared" si="28"/>
        <v>62.250653206650846</v>
      </c>
      <c r="J21" s="363">
        <f t="shared" si="28"/>
        <v>126.72454402782492</v>
      </c>
      <c r="K21" s="364">
        <f t="shared" si="7"/>
        <v>4019.7846253360653</v>
      </c>
      <c r="L21" s="1219">
        <f>R21/R7</f>
        <v>0.10042654198533059</v>
      </c>
      <c r="M21" s="363"/>
      <c r="N21" s="363">
        <f>SUM(N19:N20)</f>
        <v>3966.8484084205584</v>
      </c>
      <c r="O21" s="363">
        <f t="shared" ref="O21:Q21" si="29">SUM(O19:O20)</f>
        <v>1657.0379427579549</v>
      </c>
      <c r="P21" s="363">
        <f t="shared" si="29"/>
        <v>91.388153206650856</v>
      </c>
      <c r="Q21" s="363">
        <f t="shared" si="29"/>
        <v>186.0401690278249</v>
      </c>
      <c r="R21" s="364">
        <f t="shared" si="13"/>
        <v>5901.3146734129887</v>
      </c>
      <c r="S21" s="951"/>
      <c r="T21" s="363">
        <f>T19</f>
        <v>690.27824906684771</v>
      </c>
      <c r="U21" s="363">
        <f t="shared" ref="U21:W21" si="30">U19</f>
        <v>288.34407872412623</v>
      </c>
      <c r="V21" s="363">
        <f t="shared" si="30"/>
        <v>15.902612826603328</v>
      </c>
      <c r="W21" s="363">
        <f t="shared" si="30"/>
        <v>32.373176111299628</v>
      </c>
      <c r="X21" s="364">
        <f>SUM(T21:W21)</f>
        <v>1026.8981167288769</v>
      </c>
      <c r="Y21" s="1033">
        <f t="shared" si="25"/>
        <v>1.7475398710553106E-2</v>
      </c>
      <c r="Z21" s="1033">
        <f t="shared" si="26"/>
        <v>0.10042654198533059</v>
      </c>
      <c r="AA21" s="1219">
        <f>AN21/AN7</f>
        <v>2.8377222647191315E-2</v>
      </c>
      <c r="AB21" s="474"/>
      <c r="AC21" s="363">
        <f>AC19</f>
        <v>612.33075980396575</v>
      </c>
      <c r="AD21" s="363">
        <f t="shared" ref="AD21:AF21" si="31">AD19</f>
        <v>238.0961483386954</v>
      </c>
      <c r="AE21" s="363">
        <f t="shared" si="31"/>
        <v>13.674375095829653</v>
      </c>
      <c r="AF21" s="363">
        <f t="shared" si="31"/>
        <v>27.837120730796077</v>
      </c>
      <c r="AG21" s="683">
        <f>SUM(AC21:AF21)</f>
        <v>891.93840396928692</v>
      </c>
      <c r="AH21" s="664"/>
      <c r="AI21" s="363">
        <f>SUM(AI19:AI20)</f>
        <v>447.94381706339692</v>
      </c>
      <c r="AJ21" s="363">
        <f t="shared" ref="AJ21:AL21" si="32">SUM(AJ19:AJ20)</f>
        <v>288.76170290072446</v>
      </c>
      <c r="AK21" s="363">
        <f t="shared" si="32"/>
        <v>12.805098969656507</v>
      </c>
      <c r="AL21" s="363">
        <f t="shared" si="32"/>
        <v>26.067522902515037</v>
      </c>
      <c r="AM21" s="683">
        <f t="shared" si="14"/>
        <v>775.57814183629284</v>
      </c>
      <c r="AN21" s="364">
        <f t="shared" si="6"/>
        <v>1667.5165458055799</v>
      </c>
      <c r="AO21" s="88"/>
      <c r="AP21" s="88"/>
      <c r="AQ21" s="88"/>
      <c r="AR21" s="88"/>
      <c r="AS21" s="88"/>
      <c r="AT21" s="131"/>
      <c r="AU21" s="133"/>
      <c r="AV21" s="88"/>
      <c r="AW21" s="88"/>
      <c r="AX21" s="88"/>
      <c r="AY21" s="88"/>
      <c r="AZ21" s="131"/>
    </row>
    <row r="22" spans="1:70" hidden="1" outlineLevel="1">
      <c r="A22" s="436" t="s">
        <v>327</v>
      </c>
      <c r="B22" s="2"/>
      <c r="C22" s="2"/>
      <c r="D22" s="1061"/>
      <c r="E22" s="2"/>
      <c r="F22" s="811"/>
      <c r="G22" s="154">
        <f t="shared" ref="G22:J26" si="33">G$21*G85</f>
        <v>0.29496945841263178</v>
      </c>
      <c r="H22" s="154">
        <f t="shared" si="33"/>
        <v>1.9448507183148678</v>
      </c>
      <c r="I22" s="154">
        <f t="shared" si="33"/>
        <v>5.133695661856167E-2</v>
      </c>
      <c r="J22" s="154">
        <f t="shared" si="33"/>
        <v>0.10450737597350053</v>
      </c>
      <c r="K22" s="301">
        <f t="shared" si="7"/>
        <v>2.3956645093195621</v>
      </c>
      <c r="L22" s="279"/>
      <c r="M22" s="154"/>
      <c r="N22" s="154">
        <f t="shared" ref="N22:Q26" si="34">N$21*N85</f>
        <v>0.43303503928238896</v>
      </c>
      <c r="O22" s="154">
        <f t="shared" si="34"/>
        <v>2.8551718938498594</v>
      </c>
      <c r="P22" s="154">
        <f t="shared" si="34"/>
        <v>7.536611127670953E-2</v>
      </c>
      <c r="Q22" s="154">
        <f t="shared" si="34"/>
        <v>0.15342386938473007</v>
      </c>
      <c r="R22" s="301">
        <f t="shared" si="13"/>
        <v>3.5169969137936881</v>
      </c>
      <c r="S22" s="326"/>
      <c r="T22" s="154">
        <f t="shared" ref="T22:W26" si="35">T$21*T85</f>
        <v>7.5353186692469806E-2</v>
      </c>
      <c r="U22" s="154">
        <f t="shared" si="35"/>
        <v>0.49683346897954078</v>
      </c>
      <c r="V22" s="154">
        <f t="shared" si="35"/>
        <v>1.3114589209063823E-2</v>
      </c>
      <c r="W22" s="154">
        <f t="shared" si="35"/>
        <v>2.6697556604165638E-2</v>
      </c>
      <c r="X22" s="301">
        <f t="shared" ref="X22:X26" si="36">SUM(T22:W22)</f>
        <v>0.61199880148524</v>
      </c>
      <c r="Y22" s="279"/>
      <c r="Z22" s="279"/>
      <c r="AA22" s="279"/>
      <c r="AB22" s="154"/>
      <c r="AC22" s="154">
        <f t="shared" ref="AC22:AF26" si="37">AC$21*AC85</f>
        <v>0</v>
      </c>
      <c r="AD22" s="154">
        <f t="shared" si="37"/>
        <v>0</v>
      </c>
      <c r="AE22" s="154">
        <f t="shared" si="37"/>
        <v>0</v>
      </c>
      <c r="AF22" s="154">
        <f t="shared" si="37"/>
        <v>0</v>
      </c>
      <c r="AG22" s="279">
        <f t="shared" ref="AG22:AG26" si="38">SUM(AC22:AF22)</f>
        <v>0</v>
      </c>
      <c r="AH22" s="615"/>
      <c r="AI22" s="154">
        <f t="shared" ref="AI22:AL26" si="39">AI$21*AI85</f>
        <v>0.43303503928238901</v>
      </c>
      <c r="AJ22" s="154">
        <f t="shared" si="39"/>
        <v>2.8551718938498598</v>
      </c>
      <c r="AK22" s="154">
        <f t="shared" si="39"/>
        <v>7.5366111276709502E-2</v>
      </c>
      <c r="AL22" s="154">
        <f t="shared" si="39"/>
        <v>0.1534238693847301</v>
      </c>
      <c r="AM22" s="681">
        <f t="shared" si="14"/>
        <v>3.5169969137936885</v>
      </c>
      <c r="AN22" s="301">
        <f t="shared" si="6"/>
        <v>3.5169969137936885</v>
      </c>
      <c r="BG22" s="423"/>
      <c r="BH22" s="423"/>
      <c r="BI22" s="423"/>
      <c r="BJ22" s="423"/>
      <c r="BK22" s="423"/>
      <c r="BL22" s="423"/>
      <c r="BM22" s="423"/>
      <c r="BN22" s="423"/>
      <c r="BO22" s="423"/>
      <c r="BP22" s="423"/>
      <c r="BQ22" s="423"/>
      <c r="BR22" s="423"/>
    </row>
    <row r="23" spans="1:70" hidden="1" outlineLevel="1">
      <c r="A23" s="436" t="s">
        <v>429</v>
      </c>
      <c r="B23" s="2"/>
      <c r="C23" s="2"/>
      <c r="D23" s="1061"/>
      <c r="E23" s="2"/>
      <c r="F23" s="154"/>
      <c r="G23" s="154">
        <f t="shared" si="33"/>
        <v>20.268615642353698</v>
      </c>
      <c r="H23" s="154">
        <f t="shared" si="33"/>
        <v>23.161404009022519</v>
      </c>
      <c r="I23" s="154">
        <f t="shared" si="33"/>
        <v>0.82625480705032417</v>
      </c>
      <c r="J23" s="154">
        <f t="shared" si="33"/>
        <v>1.6820187143524454</v>
      </c>
      <c r="K23" s="301">
        <f t="shared" si="7"/>
        <v>45.938293172778984</v>
      </c>
      <c r="L23" s="279"/>
      <c r="M23" s="154"/>
      <c r="N23" s="154">
        <f t="shared" si="34"/>
        <v>29.755693413547011</v>
      </c>
      <c r="O23" s="154">
        <f t="shared" si="34"/>
        <v>34.002501644939237</v>
      </c>
      <c r="P23" s="154">
        <f t="shared" si="34"/>
        <v>1.2129977278114619</v>
      </c>
      <c r="Q23" s="154">
        <f t="shared" si="34"/>
        <v>2.469316803044761</v>
      </c>
      <c r="R23" s="301">
        <f t="shared" si="13"/>
        <v>67.440509589342469</v>
      </c>
      <c r="S23" s="326"/>
      <c r="T23" s="154">
        <f t="shared" si="35"/>
        <v>5.1778403998682823</v>
      </c>
      <c r="U23" s="154">
        <f t="shared" si="35"/>
        <v>5.9168349487563496</v>
      </c>
      <c r="V23" s="154">
        <f t="shared" si="35"/>
        <v>0.21107586211219562</v>
      </c>
      <c r="W23" s="154">
        <f t="shared" si="35"/>
        <v>0.42969014787125537</v>
      </c>
      <c r="X23" s="301">
        <f t="shared" si="36"/>
        <v>11.735441358608083</v>
      </c>
      <c r="Y23" s="279"/>
      <c r="Z23" s="279"/>
      <c r="AA23" s="279"/>
      <c r="AB23" s="154"/>
      <c r="AC23" s="154">
        <f t="shared" si="37"/>
        <v>0</v>
      </c>
      <c r="AD23" s="154">
        <f t="shared" si="37"/>
        <v>0</v>
      </c>
      <c r="AE23" s="154">
        <f t="shared" si="37"/>
        <v>0</v>
      </c>
      <c r="AF23" s="154">
        <f t="shared" si="37"/>
        <v>0</v>
      </c>
      <c r="AG23" s="279">
        <f t="shared" si="38"/>
        <v>0</v>
      </c>
      <c r="AH23" s="615"/>
      <c r="AI23" s="154">
        <f t="shared" si="39"/>
        <v>29.755693413547014</v>
      </c>
      <c r="AJ23" s="154">
        <f t="shared" si="39"/>
        <v>34.002501644939237</v>
      </c>
      <c r="AK23" s="154">
        <f t="shared" si="39"/>
        <v>1.2129977278114614</v>
      </c>
      <c r="AL23" s="154">
        <f t="shared" si="39"/>
        <v>2.469316803044761</v>
      </c>
      <c r="AM23" s="681">
        <f t="shared" si="14"/>
        <v>67.440509589342469</v>
      </c>
      <c r="AN23" s="301">
        <f t="shared" si="6"/>
        <v>67.440509589342469</v>
      </c>
      <c r="BG23" s="423"/>
      <c r="BH23" s="423"/>
      <c r="BI23" s="423"/>
      <c r="BJ23" s="423"/>
      <c r="BK23" s="423"/>
      <c r="BL23" s="423"/>
      <c r="BM23" s="423"/>
      <c r="BN23" s="423"/>
      <c r="BO23" s="423"/>
      <c r="BP23" s="423"/>
      <c r="BQ23" s="423"/>
      <c r="BR23" s="423"/>
    </row>
    <row r="24" spans="1:70" hidden="1" outlineLevel="1">
      <c r="A24" s="436" t="s">
        <v>65</v>
      </c>
      <c r="B24" s="2"/>
      <c r="C24" s="2"/>
      <c r="D24" s="1061"/>
      <c r="E24" s="2"/>
      <c r="F24" s="154"/>
      <c r="G24" s="154">
        <f t="shared" si="33"/>
        <v>284.56125038007173</v>
      </c>
      <c r="H24" s="154">
        <f t="shared" si="33"/>
        <v>171.58887473859812</v>
      </c>
      <c r="I24" s="154">
        <f t="shared" si="33"/>
        <v>7.8448273603332606</v>
      </c>
      <c r="J24" s="154">
        <f t="shared" si="33"/>
        <v>15.969827126392708</v>
      </c>
      <c r="K24" s="301">
        <f t="shared" si="7"/>
        <v>479.96477960539585</v>
      </c>
      <c r="L24" s="279"/>
      <c r="M24" s="154"/>
      <c r="N24" s="154">
        <f t="shared" si="34"/>
        <v>417.7550886105675</v>
      </c>
      <c r="O24" s="154">
        <f t="shared" si="34"/>
        <v>251.90402936193536</v>
      </c>
      <c r="P24" s="154">
        <f t="shared" si="34"/>
        <v>11.516735130568341</v>
      </c>
      <c r="Q24" s="154">
        <f t="shared" si="34"/>
        <v>23.444782230085544</v>
      </c>
      <c r="R24" s="301">
        <f t="shared" si="13"/>
        <v>704.62063533315677</v>
      </c>
      <c r="S24" s="326"/>
      <c r="T24" s="154">
        <f t="shared" si="35"/>
        <v>72.694295676321232</v>
      </c>
      <c r="U24" s="154">
        <f t="shared" si="35"/>
        <v>43.834261967694943</v>
      </c>
      <c r="V24" s="154">
        <f t="shared" si="35"/>
        <v>2.0040472794524158</v>
      </c>
      <c r="W24" s="154">
        <f t="shared" si="35"/>
        <v>4.0796676760281319</v>
      </c>
      <c r="X24" s="301">
        <f t="shared" si="36"/>
        <v>122.61227259949673</v>
      </c>
      <c r="Y24" s="279"/>
      <c r="Z24" s="279"/>
      <c r="AA24" s="279"/>
      <c r="AB24" s="154"/>
      <c r="AC24" s="154">
        <f t="shared" si="37"/>
        <v>0</v>
      </c>
      <c r="AD24" s="154">
        <f t="shared" si="37"/>
        <v>0</v>
      </c>
      <c r="AE24" s="154">
        <f t="shared" si="37"/>
        <v>0</v>
      </c>
      <c r="AF24" s="154">
        <f t="shared" si="37"/>
        <v>0</v>
      </c>
      <c r="AG24" s="279">
        <f t="shared" si="38"/>
        <v>0</v>
      </c>
      <c r="AH24" s="615"/>
      <c r="AI24" s="154">
        <f t="shared" si="39"/>
        <v>417.75508861056755</v>
      </c>
      <c r="AJ24" s="154">
        <f t="shared" si="39"/>
        <v>251.90402936193536</v>
      </c>
      <c r="AK24" s="154">
        <f t="shared" si="39"/>
        <v>11.516735130568335</v>
      </c>
      <c r="AL24" s="154">
        <f t="shared" si="39"/>
        <v>23.444782230085544</v>
      </c>
      <c r="AM24" s="681">
        <f t="shared" si="14"/>
        <v>704.62063533315688</v>
      </c>
      <c r="AN24" s="301">
        <f t="shared" si="6"/>
        <v>704.62063533315688</v>
      </c>
      <c r="BG24" s="423"/>
      <c r="BH24" s="423"/>
      <c r="BI24" s="423"/>
      <c r="BJ24" s="423"/>
      <c r="BK24" s="423"/>
      <c r="BL24" s="423"/>
      <c r="BM24" s="423"/>
      <c r="BN24" s="423"/>
      <c r="BO24" s="423"/>
      <c r="BP24" s="423"/>
      <c r="BQ24" s="423"/>
      <c r="BR24" s="423"/>
    </row>
    <row r="25" spans="1:70" hidden="1" outlineLevel="1">
      <c r="A25" s="436" t="s">
        <v>66</v>
      </c>
      <c r="B25" s="2"/>
      <c r="C25" s="2"/>
      <c r="D25" s="1061"/>
      <c r="E25" s="2"/>
      <c r="F25" s="811"/>
      <c r="G25" s="154">
        <f t="shared" si="33"/>
        <v>2396.9639575551046</v>
      </c>
      <c r="H25" s="154">
        <f t="shared" si="33"/>
        <v>932.02550559971155</v>
      </c>
      <c r="I25" s="154">
        <f t="shared" si="33"/>
        <v>53.528234082648702</v>
      </c>
      <c r="J25" s="154">
        <f t="shared" si="33"/>
        <v>108.96819081110627</v>
      </c>
      <c r="K25" s="301">
        <f t="shared" si="7"/>
        <v>3491.4858880485708</v>
      </c>
      <c r="L25" s="279"/>
      <c r="M25" s="154"/>
      <c r="N25" s="154">
        <f t="shared" si="34"/>
        <v>3518.9045913571617</v>
      </c>
      <c r="O25" s="154">
        <f t="shared" si="34"/>
        <v>1368.2762398572304</v>
      </c>
      <c r="P25" s="154">
        <f t="shared" si="34"/>
        <v>78.583054236994343</v>
      </c>
      <c r="Q25" s="154">
        <f t="shared" si="34"/>
        <v>159.97264612530986</v>
      </c>
      <c r="R25" s="301">
        <f t="shared" si="13"/>
        <v>5125.7365315766956</v>
      </c>
      <c r="S25" s="326"/>
      <c r="T25" s="154">
        <f t="shared" si="35"/>
        <v>612.33075980396575</v>
      </c>
      <c r="U25" s="154">
        <f t="shared" si="35"/>
        <v>238.0961483386954</v>
      </c>
      <c r="V25" s="154">
        <f t="shared" si="35"/>
        <v>13.674375095829653</v>
      </c>
      <c r="W25" s="154">
        <f t="shared" si="35"/>
        <v>27.837120730796077</v>
      </c>
      <c r="X25" s="301">
        <f t="shared" si="36"/>
        <v>891.93840396928692</v>
      </c>
      <c r="Y25" s="279"/>
      <c r="Z25" s="279"/>
      <c r="AA25" s="279"/>
      <c r="AB25" s="154"/>
      <c r="AC25" s="154">
        <f t="shared" si="37"/>
        <v>612.33075980396575</v>
      </c>
      <c r="AD25" s="154">
        <f t="shared" si="37"/>
        <v>238.0961483386954</v>
      </c>
      <c r="AE25" s="154">
        <f t="shared" si="37"/>
        <v>13.674375095829653</v>
      </c>
      <c r="AF25" s="154">
        <f t="shared" si="37"/>
        <v>27.837120730796077</v>
      </c>
      <c r="AG25" s="279">
        <f t="shared" si="38"/>
        <v>891.93840396928692</v>
      </c>
      <c r="AH25" s="615"/>
      <c r="AI25" s="154">
        <f t="shared" si="39"/>
        <v>0</v>
      </c>
      <c r="AJ25" s="154">
        <f t="shared" si="39"/>
        <v>0</v>
      </c>
      <c r="AK25" s="154">
        <f t="shared" si="39"/>
        <v>0</v>
      </c>
      <c r="AL25" s="154">
        <f t="shared" si="39"/>
        <v>0</v>
      </c>
      <c r="AM25" s="681">
        <f t="shared" si="14"/>
        <v>0</v>
      </c>
      <c r="AN25" s="301">
        <f t="shared" si="6"/>
        <v>891.93840396928692</v>
      </c>
      <c r="BG25" s="423"/>
      <c r="BH25" s="423"/>
      <c r="BI25" s="423"/>
      <c r="BJ25" s="423"/>
      <c r="BK25" s="423"/>
      <c r="BL25" s="423"/>
      <c r="BM25" s="423"/>
      <c r="BN25" s="423"/>
      <c r="BO25" s="423"/>
      <c r="BP25" s="423"/>
      <c r="BQ25" s="423"/>
      <c r="BR25" s="423"/>
    </row>
    <row r="26" spans="1:70" s="454" customFormat="1" ht="20" hidden="1" outlineLevel="1" thickBot="1">
      <c r="A26" s="1038" t="s">
        <v>328</v>
      </c>
      <c r="B26" s="930"/>
      <c r="C26" s="930"/>
      <c r="D26" s="1062"/>
      <c r="E26" s="930"/>
      <c r="F26" s="363"/>
      <c r="G26" s="363">
        <f t="shared" si="33"/>
        <v>0</v>
      </c>
      <c r="H26" s="363">
        <f t="shared" si="33"/>
        <v>0</v>
      </c>
      <c r="I26" s="363">
        <f t="shared" si="33"/>
        <v>0</v>
      </c>
      <c r="J26" s="363">
        <f t="shared" si="33"/>
        <v>0</v>
      </c>
      <c r="K26" s="364">
        <f t="shared" si="7"/>
        <v>0</v>
      </c>
      <c r="L26" s="626"/>
      <c r="M26" s="363"/>
      <c r="N26" s="363">
        <f t="shared" si="34"/>
        <v>0</v>
      </c>
      <c r="O26" s="363">
        <f t="shared" si="34"/>
        <v>0</v>
      </c>
      <c r="P26" s="363">
        <f t="shared" si="34"/>
        <v>0</v>
      </c>
      <c r="Q26" s="363">
        <f t="shared" si="34"/>
        <v>0</v>
      </c>
      <c r="R26" s="364">
        <f t="shared" si="13"/>
        <v>0</v>
      </c>
      <c r="S26" s="949"/>
      <c r="T26" s="363">
        <f t="shared" si="35"/>
        <v>0</v>
      </c>
      <c r="U26" s="363">
        <f t="shared" si="35"/>
        <v>0</v>
      </c>
      <c r="V26" s="363">
        <f t="shared" si="35"/>
        <v>0</v>
      </c>
      <c r="W26" s="363">
        <f t="shared" si="35"/>
        <v>0</v>
      </c>
      <c r="X26" s="364">
        <f t="shared" si="36"/>
        <v>0</v>
      </c>
      <c r="Y26" s="626"/>
      <c r="Z26" s="626"/>
      <c r="AA26" s="626"/>
      <c r="AB26" s="363"/>
      <c r="AC26" s="363">
        <f t="shared" si="37"/>
        <v>0</v>
      </c>
      <c r="AD26" s="363">
        <f t="shared" si="37"/>
        <v>0</v>
      </c>
      <c r="AE26" s="363">
        <f t="shared" si="37"/>
        <v>0</v>
      </c>
      <c r="AF26" s="363">
        <f t="shared" si="37"/>
        <v>0</v>
      </c>
      <c r="AG26" s="626">
        <f t="shared" si="38"/>
        <v>0</v>
      </c>
      <c r="AH26" s="664"/>
      <c r="AI26" s="363">
        <f t="shared" si="39"/>
        <v>0</v>
      </c>
      <c r="AJ26" s="363">
        <f t="shared" si="39"/>
        <v>0</v>
      </c>
      <c r="AK26" s="363">
        <f t="shared" si="39"/>
        <v>0</v>
      </c>
      <c r="AL26" s="363">
        <f t="shared" si="39"/>
        <v>0</v>
      </c>
      <c r="AM26" s="683">
        <f t="shared" si="14"/>
        <v>0</v>
      </c>
      <c r="AN26" s="364">
        <f t="shared" si="6"/>
        <v>0</v>
      </c>
      <c r="AO26" s="88"/>
      <c r="AP26" s="88"/>
      <c r="AQ26" s="88"/>
      <c r="AR26" s="88"/>
      <c r="AS26" s="88"/>
      <c r="AT26" s="88"/>
      <c r="AU26" s="88"/>
      <c r="AV26" s="88"/>
      <c r="AW26" s="88"/>
      <c r="AX26" s="88"/>
      <c r="AY26" s="88"/>
      <c r="AZ26" s="88"/>
    </row>
    <row r="27" spans="1:70" collapsed="1">
      <c r="A27" s="436"/>
      <c r="B27" s="2"/>
      <c r="C27" s="2"/>
      <c r="D27" s="1061"/>
      <c r="E27" s="2"/>
      <c r="F27" s="154"/>
      <c r="G27" s="154"/>
      <c r="H27" s="154"/>
      <c r="I27" s="154"/>
      <c r="J27" s="154"/>
      <c r="K27" s="301"/>
      <c r="L27" s="279"/>
      <c r="M27" s="1217">
        <f>M19/F19</f>
        <v>1.5</v>
      </c>
      <c r="N27" s="154"/>
      <c r="O27" s="154"/>
      <c r="P27" s="154"/>
      <c r="Q27" s="154"/>
      <c r="R27" s="1218"/>
      <c r="S27" s="326"/>
      <c r="T27" s="154"/>
      <c r="U27" s="154"/>
      <c r="V27" s="154"/>
      <c r="W27" s="154"/>
      <c r="X27" s="301"/>
      <c r="Y27" s="279"/>
      <c r="Z27" s="279"/>
      <c r="AA27" s="279"/>
      <c r="AB27" s="154"/>
      <c r="AC27" s="154"/>
      <c r="AD27" s="154"/>
      <c r="AE27" s="154"/>
      <c r="AF27" s="154"/>
      <c r="AG27" s="279"/>
      <c r="AH27" s="615"/>
      <c r="AI27" s="154"/>
      <c r="AJ27" s="154"/>
      <c r="AK27" s="154"/>
      <c r="AL27" s="154"/>
      <c r="AM27" s="681"/>
      <c r="AN27" s="301"/>
      <c r="BG27" s="423"/>
      <c r="BH27" s="423"/>
      <c r="BI27" s="423"/>
      <c r="BJ27" s="423"/>
      <c r="BK27" s="423"/>
      <c r="BL27" s="423"/>
      <c r="BM27" s="423"/>
      <c r="BN27" s="423"/>
      <c r="BO27" s="423"/>
      <c r="BP27" s="423"/>
      <c r="BQ27" s="423"/>
      <c r="BR27" s="423"/>
    </row>
    <row r="28" spans="1:70">
      <c r="A28" s="436"/>
      <c r="B28" s="2"/>
      <c r="C28" s="2"/>
      <c r="D28" s="1061"/>
      <c r="E28" s="2"/>
      <c r="F28" s="154"/>
      <c r="G28" s="154"/>
      <c r="H28" s="154"/>
      <c r="I28" s="154"/>
      <c r="J28" s="154"/>
      <c r="K28" s="301"/>
      <c r="L28" s="279"/>
      <c r="M28" s="1245">
        <f>(M19-F19)/F19</f>
        <v>0.5</v>
      </c>
      <c r="N28" s="154"/>
      <c r="O28" s="154"/>
      <c r="P28" s="154"/>
      <c r="Q28" s="154"/>
      <c r="R28" s="301"/>
      <c r="S28" s="326"/>
      <c r="T28" s="154"/>
      <c r="U28" s="154"/>
      <c r="V28" s="154"/>
      <c r="W28" s="154"/>
      <c r="X28" s="301"/>
      <c r="Y28" s="279"/>
      <c r="Z28" s="279"/>
      <c r="AA28" s="279"/>
      <c r="AB28" s="154"/>
      <c r="AC28" s="154"/>
      <c r="AD28" s="154"/>
      <c r="AE28" s="154"/>
      <c r="AF28" s="154"/>
      <c r="AG28" s="279"/>
      <c r="AH28" s="615"/>
      <c r="AI28" s="154"/>
      <c r="AJ28" s="154"/>
      <c r="AK28" s="154"/>
      <c r="AL28" s="154"/>
      <c r="AM28" s="681"/>
      <c r="AN28" s="301"/>
      <c r="BG28" s="423"/>
      <c r="BH28" s="423"/>
      <c r="BI28" s="423"/>
      <c r="BJ28" s="423"/>
      <c r="BK28" s="423"/>
      <c r="BL28" s="423"/>
      <c r="BM28" s="423"/>
      <c r="BN28" s="423"/>
      <c r="BO28" s="423"/>
      <c r="BP28" s="423"/>
      <c r="BQ28" s="423"/>
      <c r="BR28" s="423"/>
    </row>
    <row r="29" spans="1:70" s="969" customFormat="1" ht="20">
      <c r="A29" s="416" t="s">
        <v>63</v>
      </c>
      <c r="B29" s="962"/>
      <c r="C29" s="962"/>
      <c r="D29" s="1063"/>
      <c r="E29" s="962"/>
      <c r="F29" s="963"/>
      <c r="G29" s="964">
        <f t="shared" ref="G29:K33" si="40">G44/G21</f>
        <v>20930.298172291186</v>
      </c>
      <c r="H29" s="964">
        <f t="shared" si="40"/>
        <v>21327.658677944863</v>
      </c>
      <c r="I29" s="964">
        <f t="shared" si="40"/>
        <v>21106.467446786352</v>
      </c>
      <c r="J29" s="964">
        <f t="shared" si="40"/>
        <v>21106.467446786348</v>
      </c>
      <c r="K29" s="1215">
        <f t="shared" si="40"/>
        <v>21050.155495653511</v>
      </c>
      <c r="L29" s="966"/>
      <c r="M29" s="963"/>
      <c r="N29" s="964">
        <f t="shared" ref="N29:R33" si="41">N44/N21</f>
        <v>23817.575828985246</v>
      </c>
      <c r="O29" s="964">
        <f t="shared" si="41"/>
        <v>24219.664902178411</v>
      </c>
      <c r="P29" s="964">
        <f t="shared" si="41"/>
        <v>23995.841507881392</v>
      </c>
      <c r="Q29" s="964">
        <f t="shared" si="41"/>
        <v>23995.841507881396</v>
      </c>
      <c r="R29" s="1215">
        <f t="shared" si="41"/>
        <v>23938.859447715524</v>
      </c>
      <c r="S29" s="1027"/>
      <c r="T29" s="964">
        <f t="shared" ref="T29:X33" si="42">T44/T21</f>
        <v>23817.575828985242</v>
      </c>
      <c r="U29" s="964">
        <f t="shared" si="42"/>
        <v>24219.664902178414</v>
      </c>
      <c r="V29" s="964">
        <f t="shared" si="42"/>
        <v>23995.8415078814</v>
      </c>
      <c r="W29" s="964">
        <f t="shared" si="42"/>
        <v>23995.8415078814</v>
      </c>
      <c r="X29" s="1215">
        <f t="shared" si="42"/>
        <v>23938.85944771552</v>
      </c>
      <c r="Y29" s="966"/>
      <c r="Z29" s="966"/>
      <c r="AA29" s="966"/>
      <c r="AB29" s="963"/>
      <c r="AC29" s="964">
        <f t="shared" ref="AC29:AG33" si="43">AC44/AC21</f>
        <v>23361.308724832215</v>
      </c>
      <c r="AD29" s="964">
        <f t="shared" si="43"/>
        <v>23361.308724832215</v>
      </c>
      <c r="AE29" s="964">
        <f t="shared" si="43"/>
        <v>23361.308724832215</v>
      </c>
      <c r="AF29" s="964">
        <f t="shared" si="43"/>
        <v>23361.308724832215</v>
      </c>
      <c r="AG29" s="965">
        <f t="shared" si="43"/>
        <v>23361.308724832215</v>
      </c>
      <c r="AH29" s="967"/>
      <c r="AI29" s="964">
        <f t="shared" ref="AI29:AN33" si="44">AI44/AI21</f>
        <v>27401.865524543395</v>
      </c>
      <c r="AJ29" s="964">
        <f t="shared" si="44"/>
        <v>28286.922959599062</v>
      </c>
      <c r="AK29" s="964">
        <f t="shared" si="44"/>
        <v>27889.878111867314</v>
      </c>
      <c r="AL29" s="964">
        <f t="shared" si="44"/>
        <v>27889.878111867311</v>
      </c>
      <c r="AM29" s="965">
        <f t="shared" si="44"/>
        <v>27755.847935957816</v>
      </c>
      <c r="AN29" s="1215">
        <f t="shared" si="44"/>
        <v>25405.251595542959</v>
      </c>
      <c r="AO29" s="968"/>
      <c r="AP29" s="968"/>
      <c r="AQ29" s="968"/>
      <c r="AR29" s="968"/>
      <c r="AS29" s="968"/>
      <c r="AT29" s="968"/>
      <c r="AU29" s="968"/>
      <c r="AV29" s="968"/>
      <c r="AW29" s="968"/>
      <c r="AX29" s="968"/>
      <c r="AY29" s="968"/>
      <c r="AZ29" s="968"/>
    </row>
    <row r="30" spans="1:70" hidden="1" outlineLevel="1">
      <c r="A30" s="1037" t="s">
        <v>327</v>
      </c>
      <c r="B30" s="2"/>
      <c r="C30" s="2"/>
      <c r="D30" s="1061"/>
      <c r="E30" s="2"/>
      <c r="F30" s="154"/>
      <c r="G30" s="169">
        <f t="shared" si="40"/>
        <v>55362.5</v>
      </c>
      <c r="H30" s="169">
        <f t="shared" si="40"/>
        <v>55362.5</v>
      </c>
      <c r="I30" s="169">
        <f t="shared" si="40"/>
        <v>55362.5</v>
      </c>
      <c r="J30" s="169">
        <f t="shared" si="40"/>
        <v>55362.5</v>
      </c>
      <c r="K30" s="407">
        <f t="shared" si="40"/>
        <v>55362.499999999993</v>
      </c>
      <c r="L30" s="279"/>
      <c r="M30" s="154"/>
      <c r="N30" s="169">
        <f t="shared" si="41"/>
        <v>59174.344262295082</v>
      </c>
      <c r="O30" s="169">
        <f t="shared" si="41"/>
        <v>59174.34426229509</v>
      </c>
      <c r="P30" s="169">
        <f t="shared" si="41"/>
        <v>59174.344262295082</v>
      </c>
      <c r="Q30" s="169">
        <f t="shared" si="41"/>
        <v>59174.344262295082</v>
      </c>
      <c r="R30" s="407">
        <f t="shared" si="41"/>
        <v>59174.344262295082</v>
      </c>
      <c r="S30" s="326"/>
      <c r="T30" s="169">
        <f t="shared" si="42"/>
        <v>59174.344262295075</v>
      </c>
      <c r="U30" s="169">
        <f t="shared" si="42"/>
        <v>59174.344262295082</v>
      </c>
      <c r="V30" s="169">
        <f t="shared" si="42"/>
        <v>59174.344262295082</v>
      </c>
      <c r="W30" s="169">
        <f t="shared" si="42"/>
        <v>59174.344262295082</v>
      </c>
      <c r="X30" s="407">
        <f t="shared" si="42"/>
        <v>59174.344262295082</v>
      </c>
      <c r="Y30" s="279"/>
      <c r="Z30" s="279"/>
      <c r="AA30" s="279"/>
      <c r="AB30" s="154"/>
      <c r="AC30" s="169" t="e">
        <f t="shared" si="43"/>
        <v>#DIV/0!</v>
      </c>
      <c r="AD30" s="169" t="e">
        <f t="shared" si="43"/>
        <v>#DIV/0!</v>
      </c>
      <c r="AE30" s="169" t="e">
        <f t="shared" si="43"/>
        <v>#DIV/0!</v>
      </c>
      <c r="AF30" s="169" t="e">
        <f t="shared" si="43"/>
        <v>#DIV/0!</v>
      </c>
      <c r="AG30" s="169" t="e">
        <f t="shared" si="43"/>
        <v>#DIV/0!</v>
      </c>
      <c r="AH30" s="615"/>
      <c r="AI30" s="169">
        <f t="shared" si="44"/>
        <v>59174.344262295082</v>
      </c>
      <c r="AJ30" s="169">
        <f t="shared" si="44"/>
        <v>59174.34426229509</v>
      </c>
      <c r="AK30" s="169">
        <f t="shared" si="44"/>
        <v>59174.344262295075</v>
      </c>
      <c r="AL30" s="169">
        <f t="shared" si="44"/>
        <v>59174.34426229509</v>
      </c>
      <c r="AM30" s="169">
        <f t="shared" si="44"/>
        <v>59174.34426229509</v>
      </c>
      <c r="AN30" s="407">
        <f t="shared" si="44"/>
        <v>59174.34426229509</v>
      </c>
      <c r="BG30" s="423"/>
      <c r="BH30" s="423"/>
      <c r="BI30" s="423"/>
      <c r="BJ30" s="423"/>
      <c r="BK30" s="423"/>
      <c r="BL30" s="423"/>
      <c r="BM30" s="423"/>
      <c r="BN30" s="423"/>
      <c r="BO30" s="423"/>
      <c r="BP30" s="423"/>
      <c r="BQ30" s="423"/>
      <c r="BR30" s="423"/>
    </row>
    <row r="31" spans="1:70" hidden="1" outlineLevel="1">
      <c r="A31" s="436" t="s">
        <v>429</v>
      </c>
      <c r="B31" s="2"/>
      <c r="C31" s="2"/>
      <c r="D31" s="1061"/>
      <c r="E31" s="2"/>
      <c r="F31" s="154"/>
      <c r="G31" s="169">
        <f t="shared" si="40"/>
        <v>35026.5</v>
      </c>
      <c r="H31" s="169">
        <f t="shared" si="40"/>
        <v>35026.5</v>
      </c>
      <c r="I31" s="169">
        <f t="shared" si="40"/>
        <v>35026.5</v>
      </c>
      <c r="J31" s="169">
        <f t="shared" si="40"/>
        <v>35026.5</v>
      </c>
      <c r="K31" s="407">
        <f t="shared" si="40"/>
        <v>35026.5</v>
      </c>
      <c r="L31" s="279"/>
      <c r="M31" s="154"/>
      <c r="N31" s="169">
        <f t="shared" si="41"/>
        <v>38183.394849785407</v>
      </c>
      <c r="O31" s="169">
        <f t="shared" si="41"/>
        <v>38183.394849785407</v>
      </c>
      <c r="P31" s="169">
        <f t="shared" si="41"/>
        <v>38183.394849785407</v>
      </c>
      <c r="Q31" s="169">
        <f t="shared" si="41"/>
        <v>38183.394849785407</v>
      </c>
      <c r="R31" s="407">
        <f t="shared" si="41"/>
        <v>38183.394849785414</v>
      </c>
      <c r="S31" s="326"/>
      <c r="T31" s="169">
        <f t="shared" si="42"/>
        <v>38183.394849785407</v>
      </c>
      <c r="U31" s="169">
        <f t="shared" si="42"/>
        <v>38183.394849785407</v>
      </c>
      <c r="V31" s="169">
        <f t="shared" si="42"/>
        <v>38183.394849785407</v>
      </c>
      <c r="W31" s="169">
        <f t="shared" si="42"/>
        <v>38183.3948497854</v>
      </c>
      <c r="X31" s="407">
        <f t="shared" si="42"/>
        <v>38183.394849785407</v>
      </c>
      <c r="Y31" s="279"/>
      <c r="Z31" s="279"/>
      <c r="AA31" s="279"/>
      <c r="AB31" s="154"/>
      <c r="AC31" s="169" t="e">
        <f t="shared" si="43"/>
        <v>#DIV/0!</v>
      </c>
      <c r="AD31" s="169" t="e">
        <f t="shared" si="43"/>
        <v>#DIV/0!</v>
      </c>
      <c r="AE31" s="169" t="e">
        <f t="shared" si="43"/>
        <v>#DIV/0!</v>
      </c>
      <c r="AF31" s="169" t="e">
        <f t="shared" si="43"/>
        <v>#DIV/0!</v>
      </c>
      <c r="AG31" s="169" t="e">
        <f t="shared" si="43"/>
        <v>#DIV/0!</v>
      </c>
      <c r="AH31" s="615"/>
      <c r="AI31" s="169">
        <f t="shared" si="44"/>
        <v>38183.394849785407</v>
      </c>
      <c r="AJ31" s="169">
        <f t="shared" si="44"/>
        <v>38183.394849785407</v>
      </c>
      <c r="AK31" s="169">
        <f t="shared" si="44"/>
        <v>38183.394849785407</v>
      </c>
      <c r="AL31" s="169">
        <f t="shared" si="44"/>
        <v>38183.394849785407</v>
      </c>
      <c r="AM31" s="169">
        <f t="shared" si="44"/>
        <v>38183.394849785414</v>
      </c>
      <c r="AN31" s="407">
        <f t="shared" si="44"/>
        <v>38183.394849785414</v>
      </c>
      <c r="BG31" s="423"/>
      <c r="BH31" s="423"/>
      <c r="BI31" s="423"/>
      <c r="BJ31" s="423"/>
      <c r="BK31" s="423"/>
      <c r="BL31" s="423"/>
      <c r="BM31" s="423"/>
      <c r="BN31" s="423"/>
      <c r="BO31" s="423"/>
      <c r="BP31" s="423"/>
      <c r="BQ31" s="423"/>
      <c r="BR31" s="423"/>
    </row>
    <row r="32" spans="1:70" hidden="1" outlineLevel="1">
      <c r="A32" s="436" t="s">
        <v>65</v>
      </c>
      <c r="B32" s="2"/>
      <c r="C32" s="2"/>
      <c r="D32" s="1061"/>
      <c r="E32" s="2"/>
      <c r="F32" s="154"/>
      <c r="G32" s="169">
        <f t="shared" si="40"/>
        <v>23721.5</v>
      </c>
      <c r="H32" s="169">
        <f t="shared" si="40"/>
        <v>23721.5</v>
      </c>
      <c r="I32" s="169">
        <f t="shared" si="40"/>
        <v>23721.5</v>
      </c>
      <c r="J32" s="169">
        <f t="shared" si="40"/>
        <v>23721.5</v>
      </c>
      <c r="K32" s="407">
        <f t="shared" si="40"/>
        <v>23721.5</v>
      </c>
      <c r="L32" s="279"/>
      <c r="M32" s="154"/>
      <c r="N32" s="169">
        <f t="shared" si="41"/>
        <v>26600.988439306358</v>
      </c>
      <c r="O32" s="169">
        <f t="shared" si="41"/>
        <v>26600.988439306362</v>
      </c>
      <c r="P32" s="169">
        <f t="shared" si="41"/>
        <v>26600.988439306366</v>
      </c>
      <c r="Q32" s="169">
        <f t="shared" si="41"/>
        <v>26600.988439306358</v>
      </c>
      <c r="R32" s="407">
        <f t="shared" si="41"/>
        <v>26600.988439306355</v>
      </c>
      <c r="S32" s="326"/>
      <c r="T32" s="169">
        <f t="shared" si="42"/>
        <v>26600.988439306362</v>
      </c>
      <c r="U32" s="169">
        <f t="shared" si="42"/>
        <v>26600.988439306362</v>
      </c>
      <c r="V32" s="169">
        <f t="shared" si="42"/>
        <v>26600.988439306362</v>
      </c>
      <c r="W32" s="169">
        <f t="shared" si="42"/>
        <v>26600.988439306362</v>
      </c>
      <c r="X32" s="407">
        <f t="shared" si="42"/>
        <v>26600.988439306355</v>
      </c>
      <c r="Y32" s="279"/>
      <c r="Z32" s="279"/>
      <c r="AA32" s="279"/>
      <c r="AB32" s="154"/>
      <c r="AC32" s="169" t="e">
        <f t="shared" si="43"/>
        <v>#DIV/0!</v>
      </c>
      <c r="AD32" s="169" t="e">
        <f t="shared" si="43"/>
        <v>#DIV/0!</v>
      </c>
      <c r="AE32" s="169" t="e">
        <f t="shared" si="43"/>
        <v>#DIV/0!</v>
      </c>
      <c r="AF32" s="169" t="e">
        <f t="shared" si="43"/>
        <v>#DIV/0!</v>
      </c>
      <c r="AG32" s="169" t="e">
        <f t="shared" si="43"/>
        <v>#DIV/0!</v>
      </c>
      <c r="AH32" s="615"/>
      <c r="AI32" s="169">
        <f t="shared" si="44"/>
        <v>26600.988439306362</v>
      </c>
      <c r="AJ32" s="169">
        <f t="shared" si="44"/>
        <v>26600.988439306362</v>
      </c>
      <c r="AK32" s="169">
        <f t="shared" si="44"/>
        <v>26600.988439306362</v>
      </c>
      <c r="AL32" s="169">
        <f t="shared" si="44"/>
        <v>26600.988439306358</v>
      </c>
      <c r="AM32" s="169">
        <f t="shared" si="44"/>
        <v>26600.988439306358</v>
      </c>
      <c r="AN32" s="407">
        <f t="shared" si="44"/>
        <v>26600.988439306358</v>
      </c>
      <c r="BG32" s="423"/>
      <c r="BH32" s="423"/>
      <c r="BI32" s="423"/>
      <c r="BJ32" s="423"/>
      <c r="BK32" s="423"/>
      <c r="BL32" s="423"/>
      <c r="BM32" s="423"/>
      <c r="BN32" s="423"/>
      <c r="BO32" s="423"/>
      <c r="BP32" s="423"/>
      <c r="BQ32" s="423"/>
      <c r="BR32" s="423"/>
    </row>
    <row r="33" spans="1:70" hidden="1" outlineLevel="1">
      <c r="A33" s="436" t="s">
        <v>66</v>
      </c>
      <c r="B33" s="2"/>
      <c r="C33" s="2"/>
      <c r="D33" s="1061"/>
      <c r="E33" s="2"/>
      <c r="F33" s="154"/>
      <c r="G33" s="169">
        <f t="shared" si="40"/>
        <v>20475.5</v>
      </c>
      <c r="H33" s="169">
        <f t="shared" si="40"/>
        <v>20475.5</v>
      </c>
      <c r="I33" s="169">
        <f t="shared" si="40"/>
        <v>20475.5</v>
      </c>
      <c r="J33" s="169">
        <f t="shared" si="40"/>
        <v>20475.5</v>
      </c>
      <c r="K33" s="407">
        <f t="shared" si="40"/>
        <v>20475.5</v>
      </c>
      <c r="L33" s="279"/>
      <c r="M33" s="154"/>
      <c r="N33" s="169">
        <f t="shared" si="41"/>
        <v>23361.308724832215</v>
      </c>
      <c r="O33" s="169">
        <f t="shared" si="41"/>
        <v>23361.308724832215</v>
      </c>
      <c r="P33" s="169">
        <f t="shared" si="41"/>
        <v>23361.308724832215</v>
      </c>
      <c r="Q33" s="169">
        <f t="shared" si="41"/>
        <v>23361.308724832215</v>
      </c>
      <c r="R33" s="407">
        <f t="shared" si="41"/>
        <v>23361.308724832219</v>
      </c>
      <c r="S33" s="326"/>
      <c r="T33" s="169">
        <f t="shared" si="42"/>
        <v>23361.308724832215</v>
      </c>
      <c r="U33" s="169">
        <f t="shared" si="42"/>
        <v>23361.308724832215</v>
      </c>
      <c r="V33" s="169">
        <f t="shared" si="42"/>
        <v>23361.308724832215</v>
      </c>
      <c r="W33" s="169">
        <f t="shared" si="42"/>
        <v>23361.308724832215</v>
      </c>
      <c r="X33" s="407">
        <f t="shared" si="42"/>
        <v>23361.308724832215</v>
      </c>
      <c r="Y33" s="279"/>
      <c r="Z33" s="279"/>
      <c r="AA33" s="279"/>
      <c r="AB33" s="154"/>
      <c r="AC33" s="169">
        <f t="shared" si="43"/>
        <v>23361.308724832215</v>
      </c>
      <c r="AD33" s="169">
        <f t="shared" si="43"/>
        <v>23361.308724832215</v>
      </c>
      <c r="AE33" s="169">
        <f t="shared" si="43"/>
        <v>23361.308724832215</v>
      </c>
      <c r="AF33" s="169">
        <f t="shared" si="43"/>
        <v>23361.308724832215</v>
      </c>
      <c r="AG33" s="169">
        <f t="shared" si="43"/>
        <v>23361.308724832215</v>
      </c>
      <c r="AH33" s="615"/>
      <c r="AI33" s="169" t="e">
        <f t="shared" si="44"/>
        <v>#DIV/0!</v>
      </c>
      <c r="AJ33" s="169" t="e">
        <f t="shared" si="44"/>
        <v>#DIV/0!</v>
      </c>
      <c r="AK33" s="169" t="e">
        <f t="shared" si="44"/>
        <v>#DIV/0!</v>
      </c>
      <c r="AL33" s="169" t="e">
        <f t="shared" si="44"/>
        <v>#DIV/0!</v>
      </c>
      <c r="AM33" s="169" t="e">
        <f t="shared" si="44"/>
        <v>#DIV/0!</v>
      </c>
      <c r="AN33" s="407">
        <f t="shared" si="44"/>
        <v>23361.308724832215</v>
      </c>
      <c r="BG33" s="423"/>
      <c r="BH33" s="423"/>
      <c r="BI33" s="423"/>
      <c r="BJ33" s="423"/>
      <c r="BK33" s="423"/>
      <c r="BL33" s="423"/>
      <c r="BM33" s="423"/>
      <c r="BN33" s="423"/>
      <c r="BO33" s="423"/>
      <c r="BP33" s="423"/>
      <c r="BQ33" s="423"/>
      <c r="BR33" s="423"/>
    </row>
    <row r="34" spans="1:70" ht="20" hidden="1" outlineLevel="1" thickBot="1">
      <c r="A34" s="1038" t="s">
        <v>328</v>
      </c>
      <c r="B34" s="2"/>
      <c r="C34" s="2"/>
      <c r="D34" s="1061"/>
      <c r="E34" s="2"/>
      <c r="F34" s="154"/>
      <c r="G34" s="169"/>
      <c r="H34" s="154"/>
      <c r="I34" s="154"/>
      <c r="J34" s="154"/>
      <c r="K34" s="301"/>
      <c r="L34" s="279"/>
      <c r="M34" s="154"/>
      <c r="N34" s="154"/>
      <c r="O34" s="154"/>
      <c r="P34" s="154"/>
      <c r="Q34" s="154"/>
      <c r="R34" s="301"/>
      <c r="S34" s="326"/>
      <c r="T34" s="154"/>
      <c r="U34" s="154"/>
      <c r="V34" s="154"/>
      <c r="W34" s="154"/>
      <c r="X34" s="301"/>
      <c r="Y34" s="279"/>
      <c r="Z34" s="279"/>
      <c r="AA34" s="279"/>
      <c r="AB34" s="154"/>
      <c r="AC34" s="154"/>
      <c r="AD34" s="154"/>
      <c r="AE34" s="154"/>
      <c r="AF34" s="154"/>
      <c r="AG34" s="279"/>
      <c r="AH34" s="615"/>
      <c r="AI34" s="154"/>
      <c r="AJ34" s="154"/>
      <c r="AK34" s="154"/>
      <c r="AL34" s="154"/>
      <c r="AM34" s="681"/>
      <c r="AN34" s="301"/>
      <c r="BG34" s="423"/>
      <c r="BH34" s="423"/>
      <c r="BI34" s="423"/>
      <c r="BJ34" s="423"/>
      <c r="BK34" s="423"/>
      <c r="BL34" s="423"/>
      <c r="BM34" s="423"/>
      <c r="BN34" s="423"/>
      <c r="BO34" s="423"/>
      <c r="BP34" s="423"/>
      <c r="BQ34" s="423"/>
      <c r="BR34" s="423"/>
    </row>
    <row r="35" spans="1:70" s="969" customFormat="1" collapsed="1">
      <c r="A35" s="1039" t="s">
        <v>621</v>
      </c>
      <c r="B35" s="962"/>
      <c r="C35" s="962"/>
      <c r="D35" s="1063"/>
      <c r="E35" s="962"/>
      <c r="F35" s="963"/>
      <c r="G35" s="964">
        <f>G36+G40+G41</f>
        <v>17263.69646111345</v>
      </c>
      <c r="H35" s="964">
        <f t="shared" ref="H35:K35" si="45">H36+H40+H41</f>
        <v>17341.021335896236</v>
      </c>
      <c r="I35" s="964">
        <f t="shared" si="45"/>
        <v>19032.173162605057</v>
      </c>
      <c r="J35" s="964">
        <f t="shared" si="45"/>
        <v>18115.70160933437</v>
      </c>
      <c r="K35" s="1215">
        <f t="shared" si="45"/>
        <v>17339.655002178799</v>
      </c>
      <c r="L35" s="966"/>
      <c r="M35" s="963"/>
      <c r="N35" s="964">
        <f>N50/N21</f>
        <v>10635.66196185998</v>
      </c>
      <c r="O35" s="964">
        <f>O50/O21</f>
        <v>10694.5432058028</v>
      </c>
      <c r="P35" s="964">
        <f>P50/P21</f>
        <v>11843.044287676415</v>
      </c>
      <c r="Q35" s="964">
        <f>Q50/Q21</f>
        <v>11218.773516962752</v>
      </c>
      <c r="R35" s="1215">
        <f>R50/R21</f>
        <v>10689.275620185908</v>
      </c>
      <c r="S35" s="1027"/>
      <c r="T35" s="964">
        <f>T50/T21</f>
        <v>5524.5684708074014</v>
      </c>
      <c r="U35" s="964">
        <f>U50/U21</f>
        <v>5770.4892136276412</v>
      </c>
      <c r="V35" s="964">
        <f>V50/V21</f>
        <v>12422.089130007045</v>
      </c>
      <c r="W35" s="964">
        <f>W50/W21</f>
        <v>8834.5684213990717</v>
      </c>
      <c r="X35" s="1215">
        <f>X50/X21</f>
        <v>5804.7847816327867</v>
      </c>
      <c r="Y35" s="966"/>
      <c r="Z35" s="966"/>
      <c r="AA35" s="966"/>
      <c r="AB35" s="963"/>
      <c r="AC35" s="964">
        <f>AC50/AC21</f>
        <v>5496.1096960619834</v>
      </c>
      <c r="AD35" s="964">
        <f>AD50/AD21</f>
        <v>5746.1170428455625</v>
      </c>
      <c r="AE35" s="964">
        <f>AE50/AE21</f>
        <v>12459.669662535103</v>
      </c>
      <c r="AF35" s="964">
        <f>AF50/AF21</f>
        <v>8835.8805173249384</v>
      </c>
      <c r="AG35" s="965">
        <f>AG50/AG21</f>
        <v>5773.8393237713644</v>
      </c>
      <c r="AH35" s="967"/>
      <c r="AI35" s="964">
        <f t="shared" ref="AI35:AN35" si="46">AI50/AI21</f>
        <v>10837.238936077285</v>
      </c>
      <c r="AJ35" s="964">
        <f t="shared" si="46"/>
        <v>10888.994252156401</v>
      </c>
      <c r="AK35" s="964">
        <f t="shared" si="46"/>
        <v>11973.765845744589</v>
      </c>
      <c r="AL35" s="964">
        <f t="shared" si="46"/>
        <v>11388.225600067313</v>
      </c>
      <c r="AM35" s="965">
        <f t="shared" si="46"/>
        <v>10893.791780828469</v>
      </c>
      <c r="AN35" s="1215">
        <f t="shared" si="46"/>
        <v>8155.1789410140536</v>
      </c>
      <c r="AO35" s="968"/>
      <c r="AP35" s="968"/>
      <c r="AQ35" s="968"/>
      <c r="AR35" s="968"/>
      <c r="AS35" s="968"/>
      <c r="AT35" s="968"/>
      <c r="AU35" s="968"/>
      <c r="AV35" s="968"/>
      <c r="AW35" s="968"/>
      <c r="AX35" s="968"/>
      <c r="AY35" s="968"/>
      <c r="AZ35" s="968"/>
    </row>
    <row r="36" spans="1:70" s="961" customFormat="1">
      <c r="A36" s="1040" t="s">
        <v>564</v>
      </c>
      <c r="B36" s="955"/>
      <c r="C36" s="955"/>
      <c r="D36" s="1064"/>
      <c r="E36" s="955"/>
      <c r="F36" s="956"/>
      <c r="G36" s="957">
        <f>SUM(G37:G39)</f>
        <v>14406.631692279212</v>
      </c>
      <c r="H36" s="957">
        <f t="shared" ref="H36:J36" si="47">SUM(H37:H39)</f>
        <v>14406.631692279212</v>
      </c>
      <c r="I36" s="957">
        <f t="shared" si="47"/>
        <v>14406.63169227921</v>
      </c>
      <c r="J36" s="957">
        <f t="shared" si="47"/>
        <v>14406.63169227921</v>
      </c>
      <c r="K36" s="1216">
        <f>SUM(K37:K39)</f>
        <v>14406.631692279212</v>
      </c>
      <c r="L36" s="958"/>
      <c r="M36" s="956"/>
      <c r="N36" s="957">
        <f>SUM(N37:N39)</f>
        <v>9619.018273712858</v>
      </c>
      <c r="O36" s="957">
        <f t="shared" ref="O36:Q36" si="48">SUM(O37:O39)</f>
        <v>9619.0182737128562</v>
      </c>
      <c r="P36" s="957">
        <f t="shared" si="48"/>
        <v>9619.0182737128562</v>
      </c>
      <c r="Q36" s="957">
        <f t="shared" si="48"/>
        <v>9619.0182737128562</v>
      </c>
      <c r="R36" s="1216">
        <f>SUM(R37:R39)</f>
        <v>9619.018273712858</v>
      </c>
      <c r="S36" s="1028"/>
      <c r="T36" s="957">
        <f>SUM(T37:T39)</f>
        <v>3940.4518657505218</v>
      </c>
      <c r="U36" s="957">
        <f t="shared" ref="U36:W36" si="49">SUM(U37:U39)</f>
        <v>3940.4518657505218</v>
      </c>
      <c r="V36" s="957">
        <f t="shared" si="49"/>
        <v>3940.4518657505218</v>
      </c>
      <c r="W36" s="957">
        <f t="shared" si="49"/>
        <v>3940.4518657505218</v>
      </c>
      <c r="X36" s="1216">
        <f>SUM(X37:X39)</f>
        <v>3940.4518657505218</v>
      </c>
      <c r="Y36" s="958"/>
      <c r="Z36" s="958"/>
      <c r="AA36" s="958"/>
      <c r="AB36" s="956"/>
      <c r="AC36" s="957">
        <f>SUM(AC37:AC39)</f>
        <v>3940.4518657505214</v>
      </c>
      <c r="AD36" s="957">
        <f t="shared" ref="AD36:AF36" si="50">SUM(AD37:AD39)</f>
        <v>3940.4518657505214</v>
      </c>
      <c r="AE36" s="957">
        <f t="shared" si="50"/>
        <v>3940.4518657505214</v>
      </c>
      <c r="AF36" s="957">
        <f t="shared" si="50"/>
        <v>3940.4518657505214</v>
      </c>
      <c r="AG36" s="957">
        <f>SUM(AG37:AG39)</f>
        <v>3940.4518657505205</v>
      </c>
      <c r="AH36" s="959"/>
      <c r="AI36" s="957">
        <f>SUM(AI37:AI39)</f>
        <v>9619.0182737128562</v>
      </c>
      <c r="AJ36" s="957">
        <f t="shared" ref="AJ36:AL36" si="51">SUM(AJ37:AJ39)</f>
        <v>9619.0182737128562</v>
      </c>
      <c r="AK36" s="957">
        <f t="shared" si="51"/>
        <v>9619.0182737128562</v>
      </c>
      <c r="AL36" s="957">
        <f t="shared" si="51"/>
        <v>9619.0182737128562</v>
      </c>
      <c r="AM36" s="957">
        <f>SUM(AM37:AM39)</f>
        <v>9619.0182737128562</v>
      </c>
      <c r="AN36" s="1216">
        <f t="shared" ref="AN36" si="52">AN51/AN21</f>
        <v>6400.8544135622942</v>
      </c>
      <c r="AO36" s="960"/>
      <c r="AP36" s="960"/>
      <c r="AQ36" s="960"/>
      <c r="AR36" s="960"/>
      <c r="AS36" s="960"/>
      <c r="AT36" s="960"/>
      <c r="AU36" s="960"/>
      <c r="AV36" s="960"/>
      <c r="AW36" s="960"/>
      <c r="AX36" s="960"/>
      <c r="AY36" s="960"/>
      <c r="AZ36" s="960"/>
    </row>
    <row r="37" spans="1:70" hidden="1" outlineLevel="1">
      <c r="A37" s="436" t="s">
        <v>609</v>
      </c>
      <c r="B37" s="2"/>
      <c r="C37" s="2"/>
      <c r="D37" s="1061"/>
      <c r="E37" s="2"/>
      <c r="F37" s="154"/>
      <c r="G37" s="169">
        <f>G52/G19</f>
        <v>13400</v>
      </c>
      <c r="H37" s="169">
        <f t="shared" ref="H37:K37" si="53">H52/H19</f>
        <v>13400</v>
      </c>
      <c r="I37" s="169">
        <f t="shared" si="53"/>
        <v>13399.999999999998</v>
      </c>
      <c r="J37" s="169">
        <f t="shared" si="53"/>
        <v>13399.999999999998</v>
      </c>
      <c r="K37" s="407">
        <f t="shared" si="53"/>
        <v>13400</v>
      </c>
      <c r="L37" s="279"/>
      <c r="M37" s="154"/>
      <c r="N37" s="169">
        <f>N52/N19</f>
        <v>8933.3333333333339</v>
      </c>
      <c r="O37" s="169">
        <f t="shared" ref="O37:R37" si="54">O52/O19</f>
        <v>8933.3333333333321</v>
      </c>
      <c r="P37" s="169">
        <f t="shared" si="54"/>
        <v>8933.3333333333321</v>
      </c>
      <c r="Q37" s="169">
        <f t="shared" si="54"/>
        <v>8933.3333333333321</v>
      </c>
      <c r="R37" s="407">
        <f t="shared" si="54"/>
        <v>8933.3333333333339</v>
      </c>
      <c r="S37" s="362"/>
      <c r="T37" s="169">
        <f>T52/T19</f>
        <v>0</v>
      </c>
      <c r="U37" s="169">
        <f t="shared" ref="U37:X37" si="55">U52/U19</f>
        <v>0</v>
      </c>
      <c r="V37" s="169">
        <f t="shared" si="55"/>
        <v>0</v>
      </c>
      <c r="W37" s="169">
        <f t="shared" si="55"/>
        <v>0</v>
      </c>
      <c r="X37" s="407">
        <f t="shared" si="55"/>
        <v>0</v>
      </c>
      <c r="Y37" s="279"/>
      <c r="Z37" s="279"/>
      <c r="AA37" s="279"/>
      <c r="AB37" s="154"/>
      <c r="AC37" s="169">
        <f>AC52/AC19</f>
        <v>0</v>
      </c>
      <c r="AD37" s="169">
        <f t="shared" ref="AD37:AG37" si="56">AD52/AD19</f>
        <v>0</v>
      </c>
      <c r="AE37" s="169">
        <f t="shared" si="56"/>
        <v>0</v>
      </c>
      <c r="AF37" s="169">
        <f t="shared" si="56"/>
        <v>0</v>
      </c>
      <c r="AG37" s="169">
        <f t="shared" si="56"/>
        <v>0</v>
      </c>
      <c r="AH37" s="615"/>
      <c r="AI37" s="169">
        <f>AI52/AI19</f>
        <v>8933.3333333333321</v>
      </c>
      <c r="AJ37" s="169">
        <f t="shared" ref="AJ37:AM37" si="57">AJ52/AJ19</f>
        <v>8933.3333333333321</v>
      </c>
      <c r="AK37" s="169">
        <f t="shared" si="57"/>
        <v>8933.3333333333321</v>
      </c>
      <c r="AL37" s="169">
        <f t="shared" si="57"/>
        <v>8933.3333333333321</v>
      </c>
      <c r="AM37" s="169">
        <f t="shared" si="57"/>
        <v>8933.3333333333321</v>
      </c>
      <c r="AN37" s="407"/>
      <c r="BG37" s="423"/>
      <c r="BH37" s="423"/>
      <c r="BI37" s="423"/>
      <c r="BJ37" s="423"/>
      <c r="BK37" s="423"/>
      <c r="BL37" s="423"/>
      <c r="BM37" s="423"/>
      <c r="BN37" s="423"/>
      <c r="BO37" s="423"/>
      <c r="BP37" s="423"/>
      <c r="BQ37" s="423"/>
      <c r="BR37" s="423"/>
    </row>
    <row r="38" spans="1:70" hidden="1" outlineLevel="1">
      <c r="A38" s="436" t="s">
        <v>611</v>
      </c>
      <c r="B38" s="2"/>
      <c r="C38" s="2"/>
      <c r="D38" s="1061"/>
      <c r="E38" s="2"/>
      <c r="F38" s="154"/>
      <c r="G38" s="169">
        <f>G54/G21</f>
        <v>746.30864078922923</v>
      </c>
      <c r="H38" s="169">
        <f t="shared" ref="H38:K38" si="58">H54/H21</f>
        <v>746.30864078922923</v>
      </c>
      <c r="I38" s="169">
        <f t="shared" si="58"/>
        <v>746.30864078922923</v>
      </c>
      <c r="J38" s="169">
        <f t="shared" si="58"/>
        <v>746.30864078922923</v>
      </c>
      <c r="K38" s="407">
        <f t="shared" si="58"/>
        <v>746.30864078922912</v>
      </c>
      <c r="L38" s="279"/>
      <c r="M38" s="154"/>
      <c r="N38" s="169">
        <f>N54/N21</f>
        <v>508.36130015499896</v>
      </c>
      <c r="O38" s="169">
        <f t="shared" ref="O38:R38" si="59">O54/O21</f>
        <v>508.36130015499901</v>
      </c>
      <c r="P38" s="169">
        <f t="shared" si="59"/>
        <v>508.36130015499896</v>
      </c>
      <c r="Q38" s="169">
        <f t="shared" si="59"/>
        <v>508.36130015499896</v>
      </c>
      <c r="R38" s="407">
        <f t="shared" si="59"/>
        <v>508.36130015499896</v>
      </c>
      <c r="S38" s="362"/>
      <c r="T38" s="169">
        <f>T54/T21</f>
        <v>2921.4193220612015</v>
      </c>
      <c r="U38" s="169">
        <f t="shared" ref="U38:X38" si="60">U54/U21</f>
        <v>2921.4193220612015</v>
      </c>
      <c r="V38" s="169">
        <f t="shared" si="60"/>
        <v>2921.4193220612015</v>
      </c>
      <c r="W38" s="169">
        <f t="shared" si="60"/>
        <v>2921.4193220612015</v>
      </c>
      <c r="X38" s="407">
        <f t="shared" si="60"/>
        <v>2921.4193220612015</v>
      </c>
      <c r="Y38" s="279"/>
      <c r="Z38" s="279"/>
      <c r="AA38" s="279"/>
      <c r="AB38" s="154"/>
      <c r="AC38" s="169">
        <f>AC54/AC21</f>
        <v>2921.419322061201</v>
      </c>
      <c r="AD38" s="169">
        <f t="shared" ref="AD38:AG38" si="61">AD54/AD21</f>
        <v>2921.419322061201</v>
      </c>
      <c r="AE38" s="169">
        <f t="shared" si="61"/>
        <v>2921.419322061201</v>
      </c>
      <c r="AF38" s="169">
        <f t="shared" si="61"/>
        <v>2921.419322061201</v>
      </c>
      <c r="AG38" s="169">
        <f t="shared" si="61"/>
        <v>2921.4193220612005</v>
      </c>
      <c r="AH38" s="615"/>
      <c r="AI38" s="169">
        <f>AI54/AI21</f>
        <v>508.36130015499907</v>
      </c>
      <c r="AJ38" s="169">
        <f t="shared" ref="AJ38:AM38" si="62">AJ54/AJ21</f>
        <v>508.36130015499907</v>
      </c>
      <c r="AK38" s="169">
        <f t="shared" si="62"/>
        <v>508.36130015499907</v>
      </c>
      <c r="AL38" s="169">
        <f t="shared" si="62"/>
        <v>508.36130015499901</v>
      </c>
      <c r="AM38" s="169">
        <f t="shared" si="62"/>
        <v>508.36130015499913</v>
      </c>
      <c r="AN38" s="407"/>
      <c r="BG38" s="423"/>
      <c r="BH38" s="423"/>
      <c r="BI38" s="423"/>
      <c r="BJ38" s="423"/>
      <c r="BK38" s="423"/>
      <c r="BL38" s="423"/>
      <c r="BM38" s="423"/>
      <c r="BN38" s="423"/>
      <c r="BO38" s="423"/>
      <c r="BP38" s="423"/>
      <c r="BQ38" s="423"/>
      <c r="BR38" s="423"/>
    </row>
    <row r="39" spans="1:70" hidden="1" outlineLevel="1">
      <c r="A39" s="436" t="s">
        <v>610</v>
      </c>
      <c r="B39" s="2"/>
      <c r="C39" s="2"/>
      <c r="D39" s="1061"/>
      <c r="E39" s="2"/>
      <c r="F39" s="154"/>
      <c r="G39" s="169">
        <f>G53/G21</f>
        <v>260.32305148998239</v>
      </c>
      <c r="H39" s="169">
        <f t="shared" ref="H39:K39" si="63">H53/H21</f>
        <v>260.32305148998233</v>
      </c>
      <c r="I39" s="169">
        <f t="shared" si="63"/>
        <v>260.32305148998233</v>
      </c>
      <c r="J39" s="169">
        <f t="shared" si="63"/>
        <v>260.32305148998233</v>
      </c>
      <c r="K39" s="407">
        <f t="shared" si="63"/>
        <v>260.32305148998233</v>
      </c>
      <c r="L39" s="279"/>
      <c r="M39" s="154"/>
      <c r="N39" s="169">
        <f>N53/N21</f>
        <v>177.32364022452583</v>
      </c>
      <c r="O39" s="169">
        <f t="shared" ref="O39:R39" si="64">O53/O21</f>
        <v>177.32364022452583</v>
      </c>
      <c r="P39" s="169">
        <f t="shared" si="64"/>
        <v>177.3236402245258</v>
      </c>
      <c r="Q39" s="169">
        <f t="shared" si="64"/>
        <v>177.32364022452586</v>
      </c>
      <c r="R39" s="407">
        <f t="shared" si="64"/>
        <v>177.32364022452583</v>
      </c>
      <c r="S39" s="362"/>
      <c r="T39" s="169">
        <f>T53/T21</f>
        <v>1019.0325436893203</v>
      </c>
      <c r="U39" s="169">
        <f t="shared" ref="U39:X39" si="65">U53/U21</f>
        <v>1019.0325436893204</v>
      </c>
      <c r="V39" s="169">
        <f t="shared" si="65"/>
        <v>1019.0325436893203</v>
      </c>
      <c r="W39" s="169">
        <f t="shared" si="65"/>
        <v>1019.0325436893204</v>
      </c>
      <c r="X39" s="407">
        <f t="shared" si="65"/>
        <v>1019.0325436893203</v>
      </c>
      <c r="Y39" s="279"/>
      <c r="Z39" s="279"/>
      <c r="AA39" s="279"/>
      <c r="AB39" s="154"/>
      <c r="AC39" s="169">
        <f>AC53/AC21</f>
        <v>1019.0325436893202</v>
      </c>
      <c r="AD39" s="169">
        <f t="shared" ref="AD39:AG39" si="66">AD53/AD21</f>
        <v>1019.0325436893203</v>
      </c>
      <c r="AE39" s="169">
        <f t="shared" si="66"/>
        <v>1019.0325436893204</v>
      </c>
      <c r="AF39" s="169">
        <f t="shared" si="66"/>
        <v>1019.0325436893202</v>
      </c>
      <c r="AG39" s="169">
        <f t="shared" si="66"/>
        <v>1019.0325436893202</v>
      </c>
      <c r="AH39" s="615"/>
      <c r="AI39" s="169">
        <f>AI53/AI21</f>
        <v>177.32364022452578</v>
      </c>
      <c r="AJ39" s="169">
        <f t="shared" ref="AJ39:AM39" si="67">AJ53/AJ21</f>
        <v>177.32364022452583</v>
      </c>
      <c r="AK39" s="169">
        <f t="shared" si="67"/>
        <v>177.3236402245258</v>
      </c>
      <c r="AL39" s="169">
        <f t="shared" si="67"/>
        <v>177.32364022452583</v>
      </c>
      <c r="AM39" s="169">
        <f t="shared" si="67"/>
        <v>177.3236402245258</v>
      </c>
      <c r="AN39" s="407"/>
      <c r="BG39" s="423"/>
      <c r="BH39" s="423"/>
      <c r="BI39" s="423"/>
      <c r="BJ39" s="423"/>
      <c r="BK39" s="423"/>
      <c r="BL39" s="423"/>
      <c r="BM39" s="423"/>
      <c r="BN39" s="423"/>
      <c r="BO39" s="423"/>
      <c r="BP39" s="423"/>
      <c r="BQ39" s="423"/>
      <c r="BR39" s="423"/>
    </row>
    <row r="40" spans="1:70" s="961" customFormat="1" collapsed="1">
      <c r="A40" s="1040" t="s">
        <v>566</v>
      </c>
      <c r="B40" s="955"/>
      <c r="C40" s="955"/>
      <c r="D40" s="1064"/>
      <c r="E40" s="955"/>
      <c r="F40" s="956"/>
      <c r="G40" s="957">
        <f>G55/G21</f>
        <v>1257.0647688342383</v>
      </c>
      <c r="H40" s="957">
        <f>H55/H21</f>
        <v>1334.3896436170226</v>
      </c>
      <c r="I40" s="957">
        <f>I55/I21</f>
        <v>3025.5414703258475</v>
      </c>
      <c r="J40" s="957">
        <f>J55/J21</f>
        <v>2109.0699170551597</v>
      </c>
      <c r="K40" s="1216">
        <f>K55/K21</f>
        <v>1333.0233098995873</v>
      </c>
      <c r="L40" s="958"/>
      <c r="M40" s="956"/>
      <c r="N40" s="957">
        <f>N55/N21</f>
        <v>1405.2699385587846</v>
      </c>
      <c r="O40" s="957">
        <f>O55/O21</f>
        <v>1464.1511825016091</v>
      </c>
      <c r="P40" s="957">
        <f>P55/P21</f>
        <v>2612.6522643752219</v>
      </c>
      <c r="Q40" s="957">
        <f>Q55/Q21</f>
        <v>1988.381493661559</v>
      </c>
      <c r="R40" s="1216">
        <f>R55/R21</f>
        <v>1458.8835968847145</v>
      </c>
      <c r="S40" s="1028"/>
      <c r="T40" s="957">
        <f>T55/T21</f>
        <v>1584.1166050568795</v>
      </c>
      <c r="U40" s="957">
        <f>U55/U21</f>
        <v>1830.0373478771189</v>
      </c>
      <c r="V40" s="957">
        <f>V55/V21</f>
        <v>8481.6372642565238</v>
      </c>
      <c r="W40" s="957">
        <f>W55/W21</f>
        <v>4894.1165556485494</v>
      </c>
      <c r="X40" s="1216">
        <f>X55/X21</f>
        <v>1864.3329158822646</v>
      </c>
      <c r="Y40" s="958"/>
      <c r="Z40" s="958"/>
      <c r="AA40" s="958"/>
      <c r="AB40" s="956"/>
      <c r="AC40" s="957">
        <f>AC55/AC21</f>
        <v>1555.6578303114625</v>
      </c>
      <c r="AD40" s="957">
        <f>AD55/AD21</f>
        <v>1805.6651770950418</v>
      </c>
      <c r="AE40" s="957">
        <f>AE55/AE21</f>
        <v>8519.2177967845819</v>
      </c>
      <c r="AF40" s="957">
        <f>AF55/AF21</f>
        <v>4895.428651574417</v>
      </c>
      <c r="AG40" s="957">
        <f>AG55/AG21</f>
        <v>1833.387458020844</v>
      </c>
      <c r="AH40" s="959"/>
      <c r="AI40" s="957">
        <f t="shared" ref="AI40:AN40" si="68">AI55/AI21</f>
        <v>1606.8469127760932</v>
      </c>
      <c r="AJ40" s="957">
        <f t="shared" si="68"/>
        <v>1658.6022288552074</v>
      </c>
      <c r="AK40" s="957">
        <f t="shared" si="68"/>
        <v>2743.3738224433969</v>
      </c>
      <c r="AL40" s="957">
        <f t="shared" si="68"/>
        <v>2157.8335767661201</v>
      </c>
      <c r="AM40" s="957">
        <f t="shared" si="68"/>
        <v>1663.3997575272756</v>
      </c>
      <c r="AN40" s="1216">
        <f t="shared" si="68"/>
        <v>1754.3245274517594</v>
      </c>
      <c r="AO40" s="960"/>
      <c r="AP40" s="960"/>
      <c r="AQ40" s="960"/>
      <c r="AR40" s="960"/>
      <c r="AS40" s="960"/>
      <c r="AT40" s="960"/>
      <c r="AU40" s="960"/>
      <c r="AV40" s="960"/>
      <c r="AW40" s="960"/>
      <c r="AX40" s="960"/>
      <c r="AY40" s="960"/>
      <c r="AZ40" s="960"/>
    </row>
    <row r="41" spans="1:70" s="961" customFormat="1">
      <c r="A41" s="1040" t="s">
        <v>501</v>
      </c>
      <c r="B41" s="955"/>
      <c r="C41" s="955"/>
      <c r="D41" s="1064"/>
      <c r="E41" s="955"/>
      <c r="F41" s="956"/>
      <c r="G41" s="957">
        <f>G71/G21</f>
        <v>1600.0000000000002</v>
      </c>
      <c r="H41" s="957">
        <f>H71/H21</f>
        <v>1600</v>
      </c>
      <c r="I41" s="957">
        <f>I71/I21</f>
        <v>1600</v>
      </c>
      <c r="J41" s="957">
        <f>J71/J21</f>
        <v>1600</v>
      </c>
      <c r="K41" s="1216">
        <f>K71/K21</f>
        <v>1600.0000000000002</v>
      </c>
      <c r="L41" s="958"/>
      <c r="M41" s="956"/>
      <c r="N41" s="957">
        <f>N71/N21</f>
        <v>0</v>
      </c>
      <c r="O41" s="957">
        <f>O71/O21</f>
        <v>0</v>
      </c>
      <c r="P41" s="957">
        <f>P71/P21</f>
        <v>0</v>
      </c>
      <c r="Q41" s="957">
        <f>Q71/Q21</f>
        <v>0</v>
      </c>
      <c r="R41" s="1216">
        <f>R71/R21</f>
        <v>0</v>
      </c>
      <c r="S41" s="1028"/>
      <c r="T41" s="957">
        <f>T71/T21</f>
        <v>0</v>
      </c>
      <c r="U41" s="957">
        <f>U71/U21</f>
        <v>0</v>
      </c>
      <c r="V41" s="957">
        <f>V71/V21</f>
        <v>0</v>
      </c>
      <c r="W41" s="957">
        <f>W71/W21</f>
        <v>0</v>
      </c>
      <c r="X41" s="1216">
        <f>X71/X21</f>
        <v>0</v>
      </c>
      <c r="Y41" s="958"/>
      <c r="Z41" s="958"/>
      <c r="AA41" s="958"/>
      <c r="AB41" s="956"/>
      <c r="AC41" s="957">
        <f>AC71/AC21</f>
        <v>0</v>
      </c>
      <c r="AD41" s="957">
        <f>AD71/AD21</f>
        <v>0</v>
      </c>
      <c r="AE41" s="957">
        <f>AE71/AE21</f>
        <v>0</v>
      </c>
      <c r="AF41" s="957">
        <f>AF71/AF21</f>
        <v>0</v>
      </c>
      <c r="AG41" s="957">
        <f>AG71/AG21</f>
        <v>0</v>
      </c>
      <c r="AH41" s="959"/>
      <c r="AI41" s="957">
        <f t="shared" ref="AI41:AN41" si="69">AI71/AI21</f>
        <v>0</v>
      </c>
      <c r="AJ41" s="957">
        <f t="shared" si="69"/>
        <v>0</v>
      </c>
      <c r="AK41" s="957">
        <f t="shared" si="69"/>
        <v>0</v>
      </c>
      <c r="AL41" s="957">
        <f t="shared" si="69"/>
        <v>0</v>
      </c>
      <c r="AM41" s="957">
        <f t="shared" si="69"/>
        <v>0</v>
      </c>
      <c r="AN41" s="1216">
        <f t="shared" si="69"/>
        <v>0</v>
      </c>
      <c r="AO41" s="960"/>
      <c r="AP41" s="960"/>
      <c r="AQ41" s="960"/>
      <c r="AR41" s="960"/>
      <c r="AS41" s="960"/>
      <c r="AT41" s="960"/>
      <c r="AU41" s="960"/>
      <c r="AV41" s="960"/>
      <c r="AW41" s="960"/>
      <c r="AX41" s="960"/>
      <c r="AY41" s="960"/>
      <c r="AZ41" s="960"/>
    </row>
    <row r="42" spans="1:70">
      <c r="A42" s="436"/>
      <c r="B42" s="2"/>
      <c r="C42" s="2"/>
      <c r="D42" s="1061"/>
      <c r="E42" s="2"/>
      <c r="F42" s="154"/>
      <c r="G42" s="169"/>
      <c r="H42" s="154"/>
      <c r="I42" s="154"/>
      <c r="J42" s="154"/>
      <c r="K42" s="301"/>
      <c r="L42" s="279"/>
      <c r="M42" s="154"/>
      <c r="N42" s="154"/>
      <c r="O42" s="154"/>
      <c r="P42" s="154"/>
      <c r="Q42" s="154"/>
      <c r="R42" s="301"/>
      <c r="S42" s="326"/>
      <c r="T42" s="154"/>
      <c r="U42" s="154"/>
      <c r="V42" s="154"/>
      <c r="W42" s="154"/>
      <c r="X42" s="301"/>
      <c r="Y42" s="279"/>
      <c r="Z42" s="279"/>
      <c r="AA42" s="279"/>
      <c r="AB42" s="154"/>
      <c r="AC42" s="154"/>
      <c r="AD42" s="154"/>
      <c r="AE42" s="154"/>
      <c r="AF42" s="154"/>
      <c r="AG42" s="279"/>
      <c r="AH42" s="615"/>
      <c r="AI42" s="154"/>
      <c r="AJ42" s="154"/>
      <c r="AK42" s="154"/>
      <c r="AL42" s="154"/>
      <c r="AM42" s="681"/>
      <c r="AN42" s="301"/>
      <c r="BG42" s="423"/>
      <c r="BH42" s="423"/>
      <c r="BI42" s="423"/>
      <c r="BJ42" s="423"/>
      <c r="BK42" s="423"/>
      <c r="BL42" s="423"/>
      <c r="BM42" s="423"/>
      <c r="BN42" s="423"/>
      <c r="BO42" s="423"/>
      <c r="BP42" s="423"/>
      <c r="BQ42" s="423"/>
      <c r="BR42" s="423"/>
    </row>
    <row r="43" spans="1:70">
      <c r="A43" s="1036"/>
      <c r="F43" s="898"/>
      <c r="G43" s="784"/>
      <c r="H43" s="784"/>
      <c r="I43" s="784"/>
      <c r="J43" s="784"/>
      <c r="K43" s="301"/>
      <c r="L43" s="279"/>
      <c r="M43" s="940"/>
      <c r="N43" s="154"/>
      <c r="O43" s="154"/>
      <c r="P43" s="154"/>
      <c r="Q43" s="154"/>
      <c r="R43" s="903"/>
      <c r="S43" s="1029"/>
      <c r="T43" s="154"/>
      <c r="U43" s="154"/>
      <c r="V43" s="154"/>
      <c r="W43" s="154"/>
      <c r="X43" s="301"/>
      <c r="Y43" s="279"/>
      <c r="Z43" s="279"/>
      <c r="AA43" s="279"/>
      <c r="AB43" s="1229"/>
      <c r="AC43" s="154"/>
      <c r="AD43" s="154"/>
      <c r="AE43" s="154"/>
      <c r="AF43" s="154"/>
      <c r="AG43" s="154"/>
      <c r="AH43" s="615"/>
      <c r="AI43" s="154"/>
      <c r="AJ43" s="154"/>
      <c r="AK43" s="154"/>
      <c r="AL43" s="154"/>
      <c r="AM43" s="684"/>
      <c r="AN43" s="299"/>
      <c r="BG43" s="423"/>
      <c r="BH43" s="423"/>
      <c r="BI43" s="423"/>
      <c r="BJ43" s="423"/>
      <c r="BK43" s="423"/>
      <c r="BL43" s="423"/>
      <c r="BM43" s="423"/>
      <c r="BN43" s="423"/>
      <c r="BO43" s="423"/>
      <c r="BP43" s="423"/>
      <c r="BQ43" s="423"/>
      <c r="BR43" s="423"/>
    </row>
    <row r="44" spans="1:70" s="495" customFormat="1" ht="20">
      <c r="A44" s="1086" t="s">
        <v>342</v>
      </c>
      <c r="B44" s="932"/>
      <c r="C44" s="932"/>
      <c r="D44" s="1065"/>
      <c r="E44" s="932"/>
      <c r="F44" s="726"/>
      <c r="G44" s="1087">
        <f>SUM(G45:G49)</f>
        <v>56555524.126248688</v>
      </c>
      <c r="H44" s="1087">
        <f t="shared" ref="H44:J44" si="70">SUM(H45:H49)</f>
        <v>24072968.447433282</v>
      </c>
      <c r="I44" s="1087">
        <f t="shared" si="70"/>
        <v>1313891.3854473624</v>
      </c>
      <c r="J44" s="1087">
        <f t="shared" si="70"/>
        <v>2674707.4632321298</v>
      </c>
      <c r="K44" s="674">
        <f t="shared" si="7"/>
        <v>84617091.422361463</v>
      </c>
      <c r="L44" s="677"/>
      <c r="M44" s="1025"/>
      <c r="N44" s="1087">
        <f>SUM(N45:N49)</f>
        <v>94480712.769646078</v>
      </c>
      <c r="O44" s="1087">
        <f t="shared" ref="O44:Q44" si="71">SUM(O45:O49)</f>
        <v>40132903.703792758</v>
      </c>
      <c r="P44" s="1087">
        <f t="shared" si="71"/>
        <v>2192935.6400447767</v>
      </c>
      <c r="Q44" s="1087">
        <f t="shared" si="71"/>
        <v>4464190.4100911515</v>
      </c>
      <c r="R44" s="674">
        <f t="shared" ref="R44:R52" si="72">SUM(N44:Q44)</f>
        <v>141270742.52357477</v>
      </c>
      <c r="S44" s="1030"/>
      <c r="T44" s="1087">
        <f>SUM(T45:T49)</f>
        <v>16440754.540248806</v>
      </c>
      <c r="U44" s="1087">
        <f t="shared" ref="U44:W44" si="73">SUM(U45:U49)</f>
        <v>6983596.9632256897</v>
      </c>
      <c r="V44" s="1087">
        <f t="shared" si="73"/>
        <v>381596.57694837527</v>
      </c>
      <c r="W44" s="1087">
        <f t="shared" si="73"/>
        <v>776821.60307347821</v>
      </c>
      <c r="X44" s="674">
        <f t="shared" ref="X44:X52" si="74">SUM(T44:W44)</f>
        <v>24582769.683496349</v>
      </c>
      <c r="Y44" s="677"/>
      <c r="Z44" s="677"/>
      <c r="AA44" s="677"/>
      <c r="AB44" s="1230"/>
      <c r="AC44" s="1087">
        <f>SUM(AC45:AC49)</f>
        <v>14304847.921491524</v>
      </c>
      <c r="AD44" s="1087">
        <f t="shared" ref="AD44:AF44" si="75">SUM(AD45:AD49)</f>
        <v>5562237.6275337106</v>
      </c>
      <c r="AE44" s="1087">
        <f t="shared" si="75"/>
        <v>319451.29823283362</v>
      </c>
      <c r="AF44" s="1087">
        <f t="shared" si="75"/>
        <v>650311.57140255417</v>
      </c>
      <c r="AG44" s="677">
        <f t="shared" ref="AG44:AG74" si="76">SUM(AC44:AF44)</f>
        <v>20836848.418660622</v>
      </c>
      <c r="AH44" s="688"/>
      <c r="AI44" s="1087">
        <f>SUM(AI45:AI49)</f>
        <v>12274496.23772187</v>
      </c>
      <c r="AJ44" s="1087">
        <f t="shared" ref="AJ44:AL44" si="77">SUM(AJ45:AJ49)</f>
        <v>8168180.0436354261</v>
      </c>
      <c r="AK44" s="1087">
        <f t="shared" si="77"/>
        <v>357132.64947411773</v>
      </c>
      <c r="AL44" s="1087">
        <f t="shared" si="77"/>
        <v>727020.03642945399</v>
      </c>
      <c r="AM44" s="689">
        <f t="shared" ref="AM44:AM52" si="78">SUM(AI44:AL44)</f>
        <v>21526828.967260867</v>
      </c>
      <c r="AN44" s="674">
        <f>AM44+AG44</f>
        <v>42363677.385921493</v>
      </c>
      <c r="AO44" s="493"/>
      <c r="AP44" s="493"/>
      <c r="AQ44" s="493"/>
      <c r="AR44" s="493"/>
      <c r="AS44" s="493"/>
      <c r="AT44" s="493"/>
      <c r="AU44" s="493"/>
      <c r="AV44" s="493"/>
      <c r="AW44" s="493"/>
      <c r="AX44" s="493"/>
      <c r="AY44" s="493"/>
      <c r="AZ44" s="493"/>
    </row>
    <row r="45" spans="1:70" hidden="1" outlineLevel="1">
      <c r="A45" s="436" t="s">
        <v>327</v>
      </c>
      <c r="B45" s="2"/>
      <c r="C45" s="2"/>
      <c r="D45" s="1061"/>
      <c r="E45" s="2"/>
      <c r="F45" s="724"/>
      <c r="G45" s="169">
        <f t="shared" ref="G45:J49" si="79">G$21*G85*G95</f>
        <v>16330.246641369327</v>
      </c>
      <c r="H45" s="169">
        <f t="shared" si="79"/>
        <v>107671.79789270686</v>
      </c>
      <c r="I45" s="169">
        <f t="shared" si="79"/>
        <v>2842.1422607951204</v>
      </c>
      <c r="J45" s="169">
        <f t="shared" si="79"/>
        <v>5785.7896023329231</v>
      </c>
      <c r="K45" s="406">
        <f t="shared" si="7"/>
        <v>132629.97639720424</v>
      </c>
      <c r="L45" s="671"/>
      <c r="M45" s="74"/>
      <c r="N45" s="169">
        <f t="shared" ref="N45:Q49" si="80">N$21*N85*N95</f>
        <v>25624.564492132558</v>
      </c>
      <c r="O45" s="169">
        <f t="shared" si="80"/>
        <v>168952.92457470062</v>
      </c>
      <c r="P45" s="169">
        <f t="shared" si="80"/>
        <v>4459.7402143984491</v>
      </c>
      <c r="Q45" s="169">
        <f t="shared" si="80"/>
        <v>9078.7568650254125</v>
      </c>
      <c r="R45" s="406">
        <f t="shared" si="72"/>
        <v>208115.98614625703</v>
      </c>
      <c r="S45" s="362"/>
      <c r="T45" s="169">
        <f t="shared" ref="T45:W49" si="81">T$21*T85*T95</f>
        <v>4458.9754106012006</v>
      </c>
      <c r="U45" s="169">
        <f t="shared" si="81"/>
        <v>29399.79473442565</v>
      </c>
      <c r="V45" s="169">
        <f t="shared" si="81"/>
        <v>776.04721671572281</v>
      </c>
      <c r="W45" s="169">
        <f t="shared" si="81"/>
        <v>1579.8104054570072</v>
      </c>
      <c r="X45" s="406">
        <f t="shared" si="74"/>
        <v>36214.627767199578</v>
      </c>
      <c r="Y45" s="671"/>
      <c r="Z45" s="671"/>
      <c r="AA45" s="671"/>
      <c r="AB45" s="154"/>
      <c r="AC45" s="169">
        <f t="shared" ref="AC45:AF49" si="82">AC$21*AC85*AC95</f>
        <v>0</v>
      </c>
      <c r="AD45" s="169">
        <f t="shared" si="82"/>
        <v>0</v>
      </c>
      <c r="AE45" s="169">
        <f t="shared" si="82"/>
        <v>0</v>
      </c>
      <c r="AF45" s="169">
        <f t="shared" si="82"/>
        <v>0</v>
      </c>
      <c r="AG45" s="671">
        <f t="shared" si="76"/>
        <v>0</v>
      </c>
      <c r="AH45" s="615"/>
      <c r="AI45" s="169">
        <f t="shared" ref="AI45:AL49" si="83">AI$21*AI85*AI95</f>
        <v>25624.564492132562</v>
      </c>
      <c r="AJ45" s="169">
        <f t="shared" si="83"/>
        <v>168952.92457470065</v>
      </c>
      <c r="AK45" s="169">
        <f t="shared" si="83"/>
        <v>4459.7402143984473</v>
      </c>
      <c r="AL45" s="169">
        <f t="shared" si="83"/>
        <v>9078.7568650254143</v>
      </c>
      <c r="AM45" s="687">
        <f t="shared" si="78"/>
        <v>208115.98614625708</v>
      </c>
      <c r="AN45" s="406">
        <f>AM45+AG45</f>
        <v>208115.98614625708</v>
      </c>
      <c r="BG45" s="423"/>
      <c r="BH45" s="423"/>
      <c r="BI45" s="423"/>
      <c r="BJ45" s="423"/>
      <c r="BK45" s="423"/>
      <c r="BL45" s="423"/>
      <c r="BM45" s="423"/>
      <c r="BN45" s="423"/>
      <c r="BO45" s="423"/>
      <c r="BP45" s="423"/>
      <c r="BQ45" s="423"/>
      <c r="BR45" s="423"/>
    </row>
    <row r="46" spans="1:70" hidden="1" outlineLevel="1">
      <c r="A46" s="436" t="s">
        <v>429</v>
      </c>
      <c r="B46" s="2"/>
      <c r="C46" s="2"/>
      <c r="D46" s="1061"/>
      <c r="E46" s="2"/>
      <c r="F46" s="724"/>
      <c r="G46" s="169">
        <f t="shared" si="79"/>
        <v>709938.6657969018</v>
      </c>
      <c r="H46" s="169">
        <f t="shared" si="79"/>
        <v>811262.91752202727</v>
      </c>
      <c r="I46" s="169">
        <f t="shared" si="79"/>
        <v>28940.81399914818</v>
      </c>
      <c r="J46" s="169">
        <f t="shared" si="79"/>
        <v>58915.228498265933</v>
      </c>
      <c r="K46" s="406">
        <f t="shared" si="7"/>
        <v>1609057.6258163431</v>
      </c>
      <c r="L46" s="671"/>
      <c r="M46" s="74"/>
      <c r="N46" s="169">
        <f t="shared" si="80"/>
        <v>1136173.3906386246</v>
      </c>
      <c r="O46" s="169">
        <f t="shared" si="80"/>
        <v>1298330.9461891926</v>
      </c>
      <c r="P46" s="169">
        <f t="shared" si="80"/>
        <v>46316.371192917577</v>
      </c>
      <c r="Q46" s="169">
        <f t="shared" si="80"/>
        <v>94286.898499867893</v>
      </c>
      <c r="R46" s="406">
        <f t="shared" si="72"/>
        <v>2575107.6065206029</v>
      </c>
      <c r="S46" s="362"/>
      <c r="T46" s="169">
        <f t="shared" si="81"/>
        <v>197707.52445734138</v>
      </c>
      <c r="U46" s="169">
        <f t="shared" si="81"/>
        <v>225924.84510937351</v>
      </c>
      <c r="V46" s="169">
        <f t="shared" si="81"/>
        <v>8059.5929862888252</v>
      </c>
      <c r="W46" s="169">
        <f t="shared" si="81"/>
        <v>16407.02857923082</v>
      </c>
      <c r="X46" s="406">
        <f t="shared" si="74"/>
        <v>448098.99113223451</v>
      </c>
      <c r="Y46" s="671"/>
      <c r="Z46" s="671"/>
      <c r="AA46" s="671"/>
      <c r="AB46" s="154"/>
      <c r="AC46" s="169">
        <f t="shared" si="82"/>
        <v>0</v>
      </c>
      <c r="AD46" s="169">
        <f t="shared" si="82"/>
        <v>0</v>
      </c>
      <c r="AE46" s="169">
        <f t="shared" si="82"/>
        <v>0</v>
      </c>
      <c r="AF46" s="169">
        <f t="shared" si="82"/>
        <v>0</v>
      </c>
      <c r="AG46" s="671">
        <f t="shared" si="76"/>
        <v>0</v>
      </c>
      <c r="AH46" s="615"/>
      <c r="AI46" s="169">
        <f t="shared" si="83"/>
        <v>1136173.3906386246</v>
      </c>
      <c r="AJ46" s="169">
        <f t="shared" si="83"/>
        <v>1298330.9461891926</v>
      </c>
      <c r="AK46" s="169">
        <f t="shared" si="83"/>
        <v>46316.371192917555</v>
      </c>
      <c r="AL46" s="169">
        <f t="shared" si="83"/>
        <v>94286.898499867893</v>
      </c>
      <c r="AM46" s="687">
        <f t="shared" si="78"/>
        <v>2575107.6065206029</v>
      </c>
      <c r="AN46" s="406">
        <f t="shared" ref="AN46:AN71" si="84">AM46+AG46</f>
        <v>2575107.6065206029</v>
      </c>
      <c r="BG46" s="423"/>
      <c r="BH46" s="423"/>
      <c r="BI46" s="423"/>
      <c r="BJ46" s="423"/>
      <c r="BK46" s="423"/>
      <c r="BL46" s="423"/>
      <c r="BM46" s="423"/>
      <c r="BN46" s="423"/>
      <c r="BO46" s="423"/>
      <c r="BP46" s="423"/>
      <c r="BQ46" s="423"/>
      <c r="BR46" s="423"/>
    </row>
    <row r="47" spans="1:70" hidden="1" outlineLevel="1">
      <c r="A47" s="436" t="s">
        <v>65</v>
      </c>
      <c r="B47" s="2"/>
      <c r="C47" s="2"/>
      <c r="D47" s="1061"/>
      <c r="E47" s="2"/>
      <c r="F47" s="724"/>
      <c r="G47" s="169">
        <f t="shared" si="79"/>
        <v>6750219.7008908717</v>
      </c>
      <c r="H47" s="169">
        <f t="shared" si="79"/>
        <v>4070345.4921116554</v>
      </c>
      <c r="I47" s="169">
        <f t="shared" si="79"/>
        <v>186091.07222814544</v>
      </c>
      <c r="J47" s="169">
        <f t="shared" si="79"/>
        <v>378828.2541787246</v>
      </c>
      <c r="K47" s="406">
        <f t="shared" si="7"/>
        <v>11385484.519409398</v>
      </c>
      <c r="L47" s="671"/>
      <c r="M47" s="74"/>
      <c r="N47" s="169">
        <f t="shared" si="80"/>
        <v>11112698.28259111</v>
      </c>
      <c r="O47" s="169">
        <f t="shared" si="80"/>
        <v>6700896.1728715328</v>
      </c>
      <c r="P47" s="169">
        <f t="shared" si="80"/>
        <v>306356.53806680191</v>
      </c>
      <c r="Q47" s="169">
        <f t="shared" si="80"/>
        <v>623654.38106456073</v>
      </c>
      <c r="R47" s="406">
        <f t="shared" si="72"/>
        <v>18743605.374594003</v>
      </c>
      <c r="S47" s="362"/>
      <c r="T47" s="169">
        <f t="shared" si="81"/>
        <v>1933740.1188893395</v>
      </c>
      <c r="U47" s="169">
        <f t="shared" si="81"/>
        <v>1166034.6958481797</v>
      </c>
      <c r="V47" s="169">
        <f t="shared" si="81"/>
        <v>53309.63851253708</v>
      </c>
      <c r="W47" s="169">
        <f t="shared" si="81"/>
        <v>108523.19268623619</v>
      </c>
      <c r="X47" s="406">
        <f t="shared" si="74"/>
        <v>3261607.6459362921</v>
      </c>
      <c r="Y47" s="671"/>
      <c r="Z47" s="671"/>
      <c r="AA47" s="671"/>
      <c r="AB47" s="154"/>
      <c r="AC47" s="169">
        <f t="shared" si="82"/>
        <v>0</v>
      </c>
      <c r="AD47" s="169">
        <f t="shared" si="82"/>
        <v>0</v>
      </c>
      <c r="AE47" s="169">
        <f t="shared" si="82"/>
        <v>0</v>
      </c>
      <c r="AF47" s="169">
        <f t="shared" si="82"/>
        <v>0</v>
      </c>
      <c r="AG47" s="671">
        <f t="shared" si="76"/>
        <v>0</v>
      </c>
      <c r="AH47" s="615"/>
      <c r="AI47" s="169">
        <f t="shared" si="83"/>
        <v>11112698.282591112</v>
      </c>
      <c r="AJ47" s="169">
        <f t="shared" si="83"/>
        <v>6700896.1728715328</v>
      </c>
      <c r="AK47" s="169">
        <f t="shared" si="83"/>
        <v>306356.53806680173</v>
      </c>
      <c r="AL47" s="169">
        <f t="shared" si="83"/>
        <v>623654.38106456073</v>
      </c>
      <c r="AM47" s="687">
        <f t="shared" si="78"/>
        <v>18743605.374594007</v>
      </c>
      <c r="AN47" s="406">
        <f t="shared" si="84"/>
        <v>18743605.374594007</v>
      </c>
      <c r="BG47" s="423"/>
      <c r="BH47" s="423"/>
      <c r="BI47" s="423"/>
      <c r="BJ47" s="423"/>
      <c r="BK47" s="423"/>
      <c r="BL47" s="423"/>
      <c r="BM47" s="423"/>
      <c r="BN47" s="423"/>
      <c r="BO47" s="423"/>
      <c r="BP47" s="423"/>
      <c r="BQ47" s="423"/>
      <c r="BR47" s="423"/>
    </row>
    <row r="48" spans="1:70" hidden="1" outlineLevel="1">
      <c r="A48" s="436" t="s">
        <v>66</v>
      </c>
      <c r="B48" s="2"/>
      <c r="C48" s="2"/>
      <c r="D48" s="1061"/>
      <c r="E48" s="2"/>
      <c r="F48" s="724"/>
      <c r="G48" s="169">
        <f t="shared" si="79"/>
        <v>49079035.512919545</v>
      </c>
      <c r="H48" s="169">
        <f t="shared" si="79"/>
        <v>19083688.239906892</v>
      </c>
      <c r="I48" s="169">
        <f t="shared" si="79"/>
        <v>1096017.3569592736</v>
      </c>
      <c r="J48" s="169">
        <f t="shared" si="79"/>
        <v>2231178.1909528063</v>
      </c>
      <c r="K48" s="406">
        <f t="shared" si="7"/>
        <v>71489919.300738513</v>
      </c>
      <c r="L48" s="671"/>
      <c r="M48" s="74"/>
      <c r="N48" s="169">
        <f t="shared" si="80"/>
        <v>82206216.531924203</v>
      </c>
      <c r="O48" s="169">
        <f t="shared" si="80"/>
        <v>31964723.660157334</v>
      </c>
      <c r="P48" s="169">
        <f t="shared" si="80"/>
        <v>1835802.9905706591</v>
      </c>
      <c r="Q48" s="169">
        <f t="shared" si="80"/>
        <v>3737170.3736616978</v>
      </c>
      <c r="R48" s="406">
        <f t="shared" si="72"/>
        <v>119743913.5563139</v>
      </c>
      <c r="S48" s="362"/>
      <c r="T48" s="169">
        <f t="shared" si="81"/>
        <v>14304847.921491524</v>
      </c>
      <c r="U48" s="169">
        <f t="shared" si="81"/>
        <v>5562237.6275337106</v>
      </c>
      <c r="V48" s="169">
        <f t="shared" si="81"/>
        <v>319451.29823283362</v>
      </c>
      <c r="W48" s="169">
        <f t="shared" si="81"/>
        <v>650311.57140255417</v>
      </c>
      <c r="X48" s="406">
        <f t="shared" si="74"/>
        <v>20836848.418660622</v>
      </c>
      <c r="Y48" s="671"/>
      <c r="Z48" s="671"/>
      <c r="AA48" s="671"/>
      <c r="AB48" s="154"/>
      <c r="AC48" s="169">
        <f t="shared" si="82"/>
        <v>14304847.921491524</v>
      </c>
      <c r="AD48" s="169">
        <f t="shared" si="82"/>
        <v>5562237.6275337106</v>
      </c>
      <c r="AE48" s="169">
        <f t="shared" si="82"/>
        <v>319451.29823283362</v>
      </c>
      <c r="AF48" s="169">
        <f t="shared" si="82"/>
        <v>650311.57140255417</v>
      </c>
      <c r="AG48" s="671">
        <f t="shared" si="76"/>
        <v>20836848.418660622</v>
      </c>
      <c r="AH48" s="615"/>
      <c r="AI48" s="169">
        <f t="shared" si="83"/>
        <v>0</v>
      </c>
      <c r="AJ48" s="169">
        <f t="shared" si="83"/>
        <v>0</v>
      </c>
      <c r="AK48" s="169">
        <f t="shared" si="83"/>
        <v>0</v>
      </c>
      <c r="AL48" s="169">
        <f t="shared" si="83"/>
        <v>0</v>
      </c>
      <c r="AM48" s="687">
        <f t="shared" si="78"/>
        <v>0</v>
      </c>
      <c r="AN48" s="406">
        <f t="shared" si="84"/>
        <v>20836848.418660622</v>
      </c>
      <c r="BG48" s="423"/>
      <c r="BH48" s="423"/>
      <c r="BI48" s="423"/>
      <c r="BJ48" s="423"/>
      <c r="BK48" s="423"/>
      <c r="BL48" s="423"/>
      <c r="BM48" s="423"/>
      <c r="BN48" s="423"/>
      <c r="BO48" s="423"/>
      <c r="BP48" s="423"/>
      <c r="BQ48" s="423"/>
      <c r="BR48" s="423"/>
    </row>
    <row r="49" spans="1:70" hidden="1" outlineLevel="1">
      <c r="A49" s="436" t="s">
        <v>328</v>
      </c>
      <c r="B49" s="2"/>
      <c r="C49" s="2"/>
      <c r="D49" s="1061"/>
      <c r="E49" s="2"/>
      <c r="F49" s="724"/>
      <c r="G49" s="169">
        <f t="shared" si="79"/>
        <v>0</v>
      </c>
      <c r="H49" s="169">
        <f t="shared" si="79"/>
        <v>0</v>
      </c>
      <c r="I49" s="169">
        <f t="shared" si="79"/>
        <v>0</v>
      </c>
      <c r="J49" s="169">
        <f t="shared" si="79"/>
        <v>0</v>
      </c>
      <c r="K49" s="406">
        <f t="shared" si="7"/>
        <v>0</v>
      </c>
      <c r="L49" s="671"/>
      <c r="M49" s="74"/>
      <c r="N49" s="169">
        <f t="shared" si="80"/>
        <v>0</v>
      </c>
      <c r="O49" s="169">
        <f t="shared" si="80"/>
        <v>0</v>
      </c>
      <c r="P49" s="169">
        <f t="shared" si="80"/>
        <v>0</v>
      </c>
      <c r="Q49" s="169">
        <f t="shared" si="80"/>
        <v>0</v>
      </c>
      <c r="R49" s="406">
        <f t="shared" si="72"/>
        <v>0</v>
      </c>
      <c r="S49" s="362"/>
      <c r="T49" s="169">
        <f t="shared" si="81"/>
        <v>0</v>
      </c>
      <c r="U49" s="169">
        <f t="shared" si="81"/>
        <v>0</v>
      </c>
      <c r="V49" s="169">
        <f t="shared" si="81"/>
        <v>0</v>
      </c>
      <c r="W49" s="169">
        <f t="shared" si="81"/>
        <v>0</v>
      </c>
      <c r="X49" s="406">
        <f t="shared" si="74"/>
        <v>0</v>
      </c>
      <c r="Y49" s="671"/>
      <c r="Z49" s="671"/>
      <c r="AA49" s="671"/>
      <c r="AB49" s="154"/>
      <c r="AC49" s="169">
        <f t="shared" si="82"/>
        <v>0</v>
      </c>
      <c r="AD49" s="169">
        <f t="shared" si="82"/>
        <v>0</v>
      </c>
      <c r="AE49" s="169">
        <f t="shared" si="82"/>
        <v>0</v>
      </c>
      <c r="AF49" s="169">
        <f t="shared" si="82"/>
        <v>0</v>
      </c>
      <c r="AG49" s="671">
        <f t="shared" si="76"/>
        <v>0</v>
      </c>
      <c r="AH49" s="615"/>
      <c r="AI49" s="169">
        <f t="shared" si="83"/>
        <v>0</v>
      </c>
      <c r="AJ49" s="169">
        <f t="shared" si="83"/>
        <v>0</v>
      </c>
      <c r="AK49" s="169">
        <f t="shared" si="83"/>
        <v>0</v>
      </c>
      <c r="AL49" s="169">
        <f t="shared" si="83"/>
        <v>0</v>
      </c>
      <c r="AM49" s="687">
        <f t="shared" si="78"/>
        <v>0</v>
      </c>
      <c r="AN49" s="406">
        <f t="shared" si="84"/>
        <v>0</v>
      </c>
      <c r="BG49" s="423"/>
      <c r="BH49" s="423"/>
      <c r="BI49" s="423"/>
      <c r="BJ49" s="423"/>
      <c r="BK49" s="423"/>
      <c r="BL49" s="423"/>
      <c r="BM49" s="423"/>
      <c r="BN49" s="423"/>
      <c r="BO49" s="423"/>
      <c r="BP49" s="423"/>
      <c r="BQ49" s="423"/>
      <c r="BR49" s="423"/>
    </row>
    <row r="50" spans="1:70" s="1101" customFormat="1" ht="20" collapsed="1">
      <c r="A50" s="1092" t="s">
        <v>343</v>
      </c>
      <c r="B50" s="1093"/>
      <c r="C50" s="1093"/>
      <c r="D50" s="1094"/>
      <c r="E50" s="1093"/>
      <c r="F50" s="1095"/>
      <c r="G50" s="1096">
        <f>G51+G55+G71</f>
        <v>44335608.599574983</v>
      </c>
      <c r="H50" s="1096">
        <f t="shared" ref="H50:J50" si="85">H51+H55+H71</f>
        <v>18607215.951213911</v>
      </c>
      <c r="I50" s="1096">
        <f t="shared" si="85"/>
        <v>1131491.4583451336</v>
      </c>
      <c r="J50" s="1096">
        <f t="shared" si="85"/>
        <v>2187253.8862141785</v>
      </c>
      <c r="K50" s="1088">
        <f t="shared" si="7"/>
        <v>66261569.895348206</v>
      </c>
      <c r="L50" s="1089"/>
      <c r="M50" s="1097"/>
      <c r="N50" s="1096">
        <f>N51+N55+N71</f>
        <v>42190058.725903332</v>
      </c>
      <c r="O50" s="1096">
        <f t="shared" ref="O50:Q50" si="86">O51+O55+O71</f>
        <v>17721263.872479536</v>
      </c>
      <c r="P50" s="1096">
        <f t="shared" si="86"/>
        <v>1082313.9457953235</v>
      </c>
      <c r="Q50" s="1096">
        <f t="shared" si="86"/>
        <v>2087142.5213806361</v>
      </c>
      <c r="R50" s="1088">
        <f t="shared" si="72"/>
        <v>63080779.065558821</v>
      </c>
      <c r="S50" s="1098"/>
      <c r="T50" s="1096">
        <f>T51+T55+T71</f>
        <v>3813489.4508788455</v>
      </c>
      <c r="U50" s="1096">
        <f t="shared" ref="U50:W50" si="87">U51+U55+U71</f>
        <v>1663886.3960909699</v>
      </c>
      <c r="V50" s="1096">
        <f t="shared" si="87"/>
        <v>197543.67393205981</v>
      </c>
      <c r="W50" s="1096">
        <f t="shared" si="87"/>
        <v>286003.0393732785</v>
      </c>
      <c r="X50" s="1088">
        <f t="shared" si="74"/>
        <v>5960922.5602751533</v>
      </c>
      <c r="Y50" s="1089"/>
      <c r="Z50" s="1089"/>
      <c r="AA50" s="1089"/>
      <c r="AB50" s="1231"/>
      <c r="AC50" s="1096">
        <f>AC51+AC55+AC71</f>
        <v>3365437.0261555775</v>
      </c>
      <c r="AD50" s="1096">
        <f t="shared" ref="AD50:AF50" si="88">AD51+AD55+AD71</f>
        <v>1368128.3358048629</v>
      </c>
      <c r="AE50" s="1096">
        <f t="shared" si="88"/>
        <v>170378.19653563428</v>
      </c>
      <c r="AF50" s="1096">
        <f t="shared" si="88"/>
        <v>245965.4727236632</v>
      </c>
      <c r="AG50" s="1088">
        <f t="shared" si="76"/>
        <v>5149909.0312197376</v>
      </c>
      <c r="AH50" s="1099"/>
      <c r="AI50" s="1096">
        <f>AI51+AI55+AI71</f>
        <v>4854474.1754545253</v>
      </c>
      <c r="AJ50" s="1096">
        <f t="shared" ref="AJ50:AL50" si="89">AJ51+AJ55+AJ71</f>
        <v>3144324.523128883</v>
      </c>
      <c r="AK50" s="1096">
        <f t="shared" si="89"/>
        <v>153325.25669425231</v>
      </c>
      <c r="AL50" s="1096">
        <f t="shared" si="89"/>
        <v>296862.83164876275</v>
      </c>
      <c r="AM50" s="1088">
        <f t="shared" si="78"/>
        <v>8448986.7869264241</v>
      </c>
      <c r="AN50" s="1088">
        <f>AM50+AG50</f>
        <v>13598895.818146162</v>
      </c>
      <c r="AO50" s="1100"/>
      <c r="AP50" s="1100"/>
      <c r="AQ50" s="1100"/>
      <c r="AR50" s="1100"/>
      <c r="AS50" s="1100"/>
      <c r="AT50" s="1100"/>
      <c r="AU50" s="1100"/>
      <c r="AV50" s="1100"/>
      <c r="AW50" s="1100"/>
      <c r="AX50" s="1100"/>
      <c r="AY50" s="1100"/>
      <c r="AZ50" s="1100"/>
    </row>
    <row r="51" spans="1:70" s="1114" customFormat="1" ht="20">
      <c r="A51" s="1102" t="s">
        <v>565</v>
      </c>
      <c r="B51" s="1103"/>
      <c r="C51" s="1103"/>
      <c r="D51" s="1104"/>
      <c r="E51" s="1103"/>
      <c r="F51" s="1105"/>
      <c r="G51" s="1106">
        <f>G52+G53+G54</f>
        <v>36615565.90673016</v>
      </c>
      <c r="H51" s="1106">
        <f t="shared" ref="H51:J51" si="90">H52+H53+H54</f>
        <v>15295109.809140446</v>
      </c>
      <c r="I51" s="1106">
        <f t="shared" si="90"/>
        <v>843548.48038289743</v>
      </c>
      <c r="J51" s="1106">
        <f t="shared" si="90"/>
        <v>1717223.692208041</v>
      </c>
      <c r="K51" s="1107">
        <f t="shared" si="7"/>
        <v>54471447.888461545</v>
      </c>
      <c r="L51" s="1108"/>
      <c r="M51" s="1109"/>
      <c r="N51" s="1106">
        <f>N52+N53+N54</f>
        <v>36615565.90673016</v>
      </c>
      <c r="O51" s="1106">
        <f t="shared" ref="O51:Q51" si="91">O52+O53+O54</f>
        <v>15295109.809140444</v>
      </c>
      <c r="P51" s="1106">
        <f t="shared" si="91"/>
        <v>843548.48038289743</v>
      </c>
      <c r="Q51" s="1106">
        <f t="shared" si="91"/>
        <v>1717223.6922080407</v>
      </c>
      <c r="R51" s="1107">
        <f t="shared" si="72"/>
        <v>54471447.888461545</v>
      </c>
      <c r="S51" s="1110"/>
      <c r="T51" s="1106">
        <f>T52+T53+T54</f>
        <v>2720008.2144224634</v>
      </c>
      <c r="U51" s="1106">
        <f t="shared" ref="U51:W51" si="92">U52+U53+U54</f>
        <v>1136205.9629865987</v>
      </c>
      <c r="V51" s="1106">
        <f t="shared" si="92"/>
        <v>62663.480382897258</v>
      </c>
      <c r="W51" s="1106">
        <f t="shared" si="92"/>
        <v>127564.94220804085</v>
      </c>
      <c r="X51" s="1107">
        <f t="shared" si="74"/>
        <v>4046442.6000000006</v>
      </c>
      <c r="Y51" s="1108"/>
      <c r="Z51" s="1108"/>
      <c r="AA51" s="1108"/>
      <c r="AB51" s="1232"/>
      <c r="AC51" s="1106">
        <f>AC52+AC53+AC54</f>
        <v>2412859.8849259708</v>
      </c>
      <c r="AD51" s="1106">
        <f t="shared" ref="AD51:AF51" si="93">AD52+AD53+AD54</f>
        <v>938206.41194922524</v>
      </c>
      <c r="AE51" s="1106">
        <f t="shared" si="93"/>
        <v>53883.216859334425</v>
      </c>
      <c r="AF51" s="1106">
        <f t="shared" si="93"/>
        <v>109690.83432078791</v>
      </c>
      <c r="AG51" s="1107">
        <f t="shared" si="76"/>
        <v>3514640.3480553185</v>
      </c>
      <c r="AH51" s="1111"/>
      <c r="AI51" s="1106">
        <f>AI52+AI53+AI54</f>
        <v>4134697.0359090674</v>
      </c>
      <c r="AJ51" s="1106">
        <f t="shared" ref="AJ51:AL51" si="94">AJ52+AJ53+AJ54</f>
        <v>2665383.7190897162</v>
      </c>
      <c r="AK51" s="1106">
        <f t="shared" si="94"/>
        <v>118196.08338709974</v>
      </c>
      <c r="AL51" s="1106">
        <f t="shared" si="94"/>
        <v>240613.45546659594</v>
      </c>
      <c r="AM51" s="1107">
        <f t="shared" si="78"/>
        <v>7158890.2938524801</v>
      </c>
      <c r="AN51" s="1112">
        <f t="shared" si="84"/>
        <v>10673530.641907798</v>
      </c>
      <c r="AO51" s="1113"/>
      <c r="AP51" s="1113"/>
      <c r="AQ51" s="1113"/>
      <c r="AR51" s="1113"/>
      <c r="AS51" s="1113"/>
      <c r="AT51" s="1113"/>
      <c r="AU51" s="1113"/>
      <c r="AV51" s="1113"/>
      <c r="AW51" s="1113"/>
      <c r="AX51" s="1113"/>
      <c r="AY51" s="1113"/>
      <c r="AZ51" s="1113"/>
    </row>
    <row r="52" spans="1:70" ht="20">
      <c r="A52" s="826" t="s">
        <v>499</v>
      </c>
      <c r="B52" s="13"/>
      <c r="C52" s="13"/>
      <c r="D52" s="1066"/>
      <c r="E52" s="13"/>
      <c r="G52" s="169">
        <f>G19*G146</f>
        <v>33895557.692307696</v>
      </c>
      <c r="H52" s="169">
        <f>H19*H146</f>
        <v>14158903.846153848</v>
      </c>
      <c r="I52" s="169">
        <f>I19*I146</f>
        <v>780885.00000000012</v>
      </c>
      <c r="J52" s="169">
        <f>J19*J146</f>
        <v>1589658.75</v>
      </c>
      <c r="K52" s="406">
        <f t="shared" ref="K52:K74" si="95">SUM(G52:J52)</f>
        <v>50425005.288461544</v>
      </c>
      <c r="L52" s="671"/>
      <c r="N52" s="169">
        <f>N19*N146</f>
        <v>33895557.692307696</v>
      </c>
      <c r="O52" s="169">
        <f>O19*O146</f>
        <v>14158903.846153846</v>
      </c>
      <c r="P52" s="169">
        <f>P19*P146</f>
        <v>780885.00000000012</v>
      </c>
      <c r="Q52" s="169">
        <f>Q19*Q146</f>
        <v>1589658.7499999998</v>
      </c>
      <c r="R52" s="406">
        <f t="shared" si="72"/>
        <v>50425005.288461544</v>
      </c>
      <c r="S52" s="80"/>
      <c r="T52" s="169">
        <f>T19*T146</f>
        <v>0</v>
      </c>
      <c r="U52" s="169">
        <f>U19*U146</f>
        <v>0</v>
      </c>
      <c r="V52" s="169">
        <f>V19*V146</f>
        <v>0</v>
      </c>
      <c r="W52" s="169">
        <f>W19*W146</f>
        <v>0</v>
      </c>
      <c r="X52" s="406">
        <f t="shared" si="74"/>
        <v>0</v>
      </c>
      <c r="Y52" s="671"/>
      <c r="Z52" s="671"/>
      <c r="AA52" s="671"/>
      <c r="AC52" s="169">
        <f>AC19*AC146</f>
        <v>0</v>
      </c>
      <c r="AD52" s="169">
        <f>AD19*AD146</f>
        <v>0</v>
      </c>
      <c r="AE52" s="169">
        <f>AE19*AE146</f>
        <v>0</v>
      </c>
      <c r="AF52" s="169">
        <f>AF19*AF146</f>
        <v>0</v>
      </c>
      <c r="AG52" s="406">
        <f t="shared" si="76"/>
        <v>0</v>
      </c>
      <c r="AI52" s="169">
        <f>AI19*AI146</f>
        <v>3827548.7064125752</v>
      </c>
      <c r="AJ52" s="169">
        <f>AJ19*AJ146</f>
        <v>2467384.1680523427</v>
      </c>
      <c r="AK52" s="169">
        <f>AK19*AK146</f>
        <v>109415.8198635369</v>
      </c>
      <c r="AL52" s="169">
        <f>AL19*AL146</f>
        <v>222739.34757934304</v>
      </c>
      <c r="AM52" s="406">
        <f t="shared" si="78"/>
        <v>6627088.0419077985</v>
      </c>
      <c r="AN52" s="406">
        <f t="shared" si="84"/>
        <v>6627088.0419077985</v>
      </c>
      <c r="AU52" s="80"/>
    </row>
    <row r="53" spans="1:70" ht="20">
      <c r="A53" s="826" t="s">
        <v>500</v>
      </c>
      <c r="B53" s="13"/>
      <c r="C53" s="13"/>
      <c r="D53" s="1066"/>
      <c r="E53" s="13"/>
      <c r="G53" s="169">
        <f>G7*G157*G149</f>
        <v>703416</v>
      </c>
      <c r="H53" s="169">
        <f>H7*H157*H149</f>
        <v>293832</v>
      </c>
      <c r="I53" s="169">
        <f>I7*I157*I149</f>
        <v>16205.28</v>
      </c>
      <c r="J53" s="169">
        <f>J7*J157*J149</f>
        <v>32989.32</v>
      </c>
      <c r="K53" s="406">
        <f>SUM(G53:J53)</f>
        <v>1046442.6</v>
      </c>
      <c r="L53" s="671"/>
      <c r="N53" s="169">
        <f>N7*N157*N149</f>
        <v>703416</v>
      </c>
      <c r="O53" s="169">
        <f>O7*O157*O149</f>
        <v>293832</v>
      </c>
      <c r="P53" s="169">
        <f>P7*P157*P149</f>
        <v>16205.28</v>
      </c>
      <c r="Q53" s="169">
        <f>Q7*Q157*Q149</f>
        <v>32989.32</v>
      </c>
      <c r="R53" s="406">
        <f>SUM(N53:Q53)</f>
        <v>1046442.6</v>
      </c>
      <c r="S53" s="80"/>
      <c r="T53" s="169">
        <f>T7*T157*T149</f>
        <v>703416</v>
      </c>
      <c r="U53" s="169">
        <f>U7*U157*U149</f>
        <v>293832</v>
      </c>
      <c r="V53" s="169">
        <f>V7*V157*V149</f>
        <v>16205.28</v>
      </c>
      <c r="W53" s="169">
        <f>W7*W157*W149</f>
        <v>32989.32</v>
      </c>
      <c r="X53" s="406">
        <f>SUM(T53:W53)</f>
        <v>1046442.6</v>
      </c>
      <c r="Y53" s="671"/>
      <c r="Z53" s="671"/>
      <c r="AA53" s="671"/>
      <c r="AC53" s="169">
        <f>AC7*AC157*AC149</f>
        <v>623984.97174224933</v>
      </c>
      <c r="AD53" s="169">
        <f>AD7*AD157*AD149</f>
        <v>242627.7236842105</v>
      </c>
      <c r="AE53" s="169">
        <f>AE7*AE157*AE149</f>
        <v>13934.633237265185</v>
      </c>
      <c r="AF53" s="169">
        <f>AF7*AF157*AF149</f>
        <v>28366.931947289831</v>
      </c>
      <c r="AG53" s="406">
        <f>SUM(AC53:AF53)</f>
        <v>908914.26061101491</v>
      </c>
      <c r="AI53" s="169">
        <f>AI7*AI157*AI149</f>
        <v>79431.028257750586</v>
      </c>
      <c r="AJ53" s="169">
        <f>AJ7*AJ157*AJ149</f>
        <v>51204.276315789481</v>
      </c>
      <c r="AK53" s="169">
        <f>AK7*AK157*AK149</f>
        <v>2270.6467627348165</v>
      </c>
      <c r="AL53" s="169">
        <f>AL7*AL157*AL149</f>
        <v>4622.3880527101637</v>
      </c>
      <c r="AM53" s="406">
        <f>SUM(AI53:AL53)</f>
        <v>137528.33938898504</v>
      </c>
      <c r="AN53" s="406">
        <f t="shared" si="84"/>
        <v>1046442.6</v>
      </c>
      <c r="AU53" s="80"/>
    </row>
    <row r="54" spans="1:70" s="424" customFormat="1" ht="20">
      <c r="A54" s="1115" t="s">
        <v>496</v>
      </c>
      <c r="B54" s="305"/>
      <c r="C54" s="305"/>
      <c r="D54" s="1116"/>
      <c r="E54" s="305"/>
      <c r="F54" s="1117"/>
      <c r="G54" s="373">
        <f>G147*G21</f>
        <v>2016592.2144224632</v>
      </c>
      <c r="H54" s="373">
        <f>H147*H21</f>
        <v>842373.96298659861</v>
      </c>
      <c r="I54" s="373">
        <f>I147*I21</f>
        <v>46458.200382897267</v>
      </c>
      <c r="J54" s="373">
        <f>J147*J21</f>
        <v>94575.622208040848</v>
      </c>
      <c r="K54" s="1091">
        <f>SUM(G54:J54)</f>
        <v>2999999.9999999995</v>
      </c>
      <c r="L54" s="1118"/>
      <c r="M54" s="287"/>
      <c r="N54" s="373">
        <f>N147*N21</f>
        <v>2016592.2144224634</v>
      </c>
      <c r="O54" s="373">
        <f>O147*O21</f>
        <v>842373.96298659872</v>
      </c>
      <c r="P54" s="373">
        <f>P147*P21</f>
        <v>46458.200382897267</v>
      </c>
      <c r="Q54" s="373">
        <f>Q147*Q21</f>
        <v>94575.622208040833</v>
      </c>
      <c r="R54" s="1091">
        <f>SUM(N54:Q54)</f>
        <v>3000000</v>
      </c>
      <c r="S54" s="1119"/>
      <c r="T54" s="373">
        <f>T147*T21</f>
        <v>2016592.2144224634</v>
      </c>
      <c r="U54" s="373">
        <f>U147*U21</f>
        <v>842373.96298659861</v>
      </c>
      <c r="V54" s="373">
        <f>V147*V21</f>
        <v>46458.200382897259</v>
      </c>
      <c r="W54" s="373">
        <f>W147*W21</f>
        <v>94575.622208040848</v>
      </c>
      <c r="X54" s="1091">
        <f>SUM(T54:W54)</f>
        <v>3000000</v>
      </c>
      <c r="Y54" s="1118"/>
      <c r="Z54" s="1118"/>
      <c r="AA54" s="1118"/>
      <c r="AB54" s="287"/>
      <c r="AC54" s="373">
        <f>AC147*AC21</f>
        <v>1788874.9131837217</v>
      </c>
      <c r="AD54" s="373">
        <f>AD147*AD21</f>
        <v>695578.68826501467</v>
      </c>
      <c r="AE54" s="373">
        <f>AE147*AE21</f>
        <v>39948.583622069236</v>
      </c>
      <c r="AF54" s="373">
        <f>AF147*AF21</f>
        <v>81323.902373498073</v>
      </c>
      <c r="AG54" s="1118">
        <f>SUM(AC54:AF54)</f>
        <v>2605726.0874443036</v>
      </c>
      <c r="AH54" s="286"/>
      <c r="AI54" s="373">
        <f>AI147*AI21</f>
        <v>227717.30123874152</v>
      </c>
      <c r="AJ54" s="373">
        <f>AJ147*AJ21</f>
        <v>146795.27472158385</v>
      </c>
      <c r="AK54" s="373">
        <f>AK147*AK21</f>
        <v>6509.6167608280211</v>
      </c>
      <c r="AL54" s="373">
        <f>AL147*AL21</f>
        <v>13251.719834542759</v>
      </c>
      <c r="AM54" s="1120">
        <f>SUM(AI54:AL54)</f>
        <v>394273.91255569615</v>
      </c>
      <c r="AN54" s="1091">
        <f t="shared" si="84"/>
        <v>2999999.9999999995</v>
      </c>
      <c r="AO54" s="287"/>
      <c r="AP54" s="287"/>
      <c r="AQ54" s="287"/>
      <c r="AR54" s="287"/>
      <c r="AS54" s="287"/>
      <c r="AT54" s="287"/>
      <c r="AU54" s="1119"/>
      <c r="AV54" s="287"/>
      <c r="AW54" s="287"/>
      <c r="AX54" s="287"/>
      <c r="AY54" s="287"/>
      <c r="AZ54" s="287"/>
      <c r="BG54" s="287"/>
      <c r="BH54" s="287"/>
      <c r="BI54" s="287"/>
      <c r="BJ54" s="287"/>
      <c r="BK54" s="287"/>
      <c r="BL54" s="287"/>
      <c r="BM54" s="287"/>
      <c r="BN54" s="287"/>
      <c r="BO54" s="287"/>
      <c r="BP54" s="287"/>
      <c r="BQ54" s="287"/>
      <c r="BR54" s="287"/>
    </row>
    <row r="55" spans="1:70" s="1114" customFormat="1" ht="20">
      <c r="A55" s="1102" t="s">
        <v>119</v>
      </c>
      <c r="B55" s="1103"/>
      <c r="C55" s="1103"/>
      <c r="D55" s="1104"/>
      <c r="E55" s="1103"/>
      <c r="F55" s="1121"/>
      <c r="G55" s="1106">
        <f>G56+G65</f>
        <v>3396700.6239873134</v>
      </c>
      <c r="H55" s="1106">
        <f t="shared" ref="H55:J55" si="96">H56+H65</f>
        <v>1506153.1259684281</v>
      </c>
      <c r="I55" s="1106">
        <f t="shared" si="96"/>
        <v>188341.93283159484</v>
      </c>
      <c r="J55" s="1106">
        <f t="shared" si="96"/>
        <v>267270.92356161762</v>
      </c>
      <c r="K55" s="1107">
        <f t="shared" ref="K55" si="97">SUM(G55:J55)</f>
        <v>5358466.6063489541</v>
      </c>
      <c r="L55" s="1108"/>
      <c r="M55" s="1113"/>
      <c r="N55" s="1106">
        <f>N56+N65</f>
        <v>5574492.8191731703</v>
      </c>
      <c r="O55" s="1106">
        <f t="shared" ref="O55:Q55" si="98">O56+O65</f>
        <v>2426154.0633390932</v>
      </c>
      <c r="P55" s="1106">
        <f t="shared" si="98"/>
        <v>238765.46541242604</v>
      </c>
      <c r="Q55" s="1106">
        <f t="shared" si="98"/>
        <v>369918.8291725954</v>
      </c>
      <c r="R55" s="1107">
        <f t="shared" ref="R55" si="99">SUM(N55:Q55)</f>
        <v>8609331.1770972852</v>
      </c>
      <c r="S55" s="1122"/>
      <c r="T55" s="1106">
        <f>T56+T65</f>
        <v>1093481.2364563819</v>
      </c>
      <c r="U55" s="1106">
        <f t="shared" ref="U55:W55" si="100">U56+U65</f>
        <v>527680.43310437119</v>
      </c>
      <c r="V55" s="1106">
        <f t="shared" si="100"/>
        <v>134880.19354916256</v>
      </c>
      <c r="W55" s="1106">
        <f t="shared" si="100"/>
        <v>158438.09716523765</v>
      </c>
      <c r="X55" s="1107">
        <f t="shared" ref="X55" si="101">SUM(T55:W55)</f>
        <v>1914479.9602751532</v>
      </c>
      <c r="Y55" s="1108"/>
      <c r="Z55" s="1108"/>
      <c r="AA55" s="1108"/>
      <c r="AB55" s="1113"/>
      <c r="AC55" s="1106">
        <f>AC56+AC65</f>
        <v>952577.14122960658</v>
      </c>
      <c r="AD55" s="1106">
        <f t="shared" ref="AD55:AF55" si="102">AD56+AD65</f>
        <v>429921.92385563778</v>
      </c>
      <c r="AE55" s="1106">
        <f t="shared" si="102"/>
        <v>116494.97967629986</v>
      </c>
      <c r="AF55" s="1106">
        <f t="shared" si="102"/>
        <v>136274.63840287528</v>
      </c>
      <c r="AG55" s="1107">
        <f t="shared" ref="AG55" si="103">SUM(AC55:AF55)</f>
        <v>1635268.6831644196</v>
      </c>
      <c r="AH55" s="1123"/>
      <c r="AI55" s="1106">
        <f>AI56+AI65</f>
        <v>719777.13954545837</v>
      </c>
      <c r="AJ55" s="1106">
        <f t="shared" ref="AJ55:AL55" si="104">AJ56+AJ65</f>
        <v>478940.80403916677</v>
      </c>
      <c r="AK55" s="1106">
        <f t="shared" si="104"/>
        <v>35129.173307152574</v>
      </c>
      <c r="AL55" s="1106">
        <f t="shared" si="104"/>
        <v>56249.376182166779</v>
      </c>
      <c r="AM55" s="1107">
        <f t="shared" ref="AM55" si="105">SUM(AI55:AL55)</f>
        <v>1290096.4930739445</v>
      </c>
      <c r="AN55" s="1107">
        <f t="shared" si="84"/>
        <v>2925365.1762383641</v>
      </c>
      <c r="AO55" s="1113"/>
      <c r="AP55" s="1113"/>
      <c r="AQ55" s="1113"/>
      <c r="AR55" s="1113"/>
      <c r="AS55" s="1113"/>
      <c r="AT55" s="1113"/>
      <c r="AU55" s="1122"/>
      <c r="AV55" s="1113"/>
      <c r="AW55" s="1113"/>
      <c r="AX55" s="1113"/>
      <c r="AY55" s="1113"/>
      <c r="AZ55" s="1113"/>
      <c r="BG55" s="1113"/>
      <c r="BH55" s="1113"/>
      <c r="BI55" s="1113"/>
      <c r="BJ55" s="1113"/>
      <c r="BK55" s="1113"/>
      <c r="BL55" s="1113"/>
      <c r="BM55" s="1113"/>
      <c r="BN55" s="1113"/>
      <c r="BO55" s="1113"/>
      <c r="BP55" s="1113"/>
      <c r="BQ55" s="1113"/>
      <c r="BR55" s="1113"/>
    </row>
    <row r="56" spans="1:70" ht="20">
      <c r="A56" s="826" t="s">
        <v>506</v>
      </c>
      <c r="B56" s="13"/>
      <c r="C56" s="13"/>
      <c r="D56" s="1066"/>
      <c r="E56" s="13"/>
      <c r="G56" s="169">
        <f>G57+G64+G63</f>
        <v>490963.05153261917</v>
      </c>
      <c r="H56" s="169">
        <f t="shared" ref="H56:J56" si="106">H57+H64+H63</f>
        <v>272691.45927934698</v>
      </c>
      <c r="I56" s="169">
        <f t="shared" si="106"/>
        <v>120918.6036137847</v>
      </c>
      <c r="J56" s="169">
        <f t="shared" si="106"/>
        <v>130016.28908250417</v>
      </c>
      <c r="K56" s="406">
        <f>SUM(G56:J56)</f>
        <v>1014589.403508255</v>
      </c>
      <c r="L56" s="671"/>
      <c r="N56" s="169">
        <f>N57+N64+N63</f>
        <v>719993.9773913332</v>
      </c>
      <c r="O56" s="169">
        <f t="shared" ref="O56:Q56" si="107">O57+O64+O63</f>
        <v>369444.79825387022</v>
      </c>
      <c r="P56" s="169">
        <f t="shared" si="107"/>
        <v>126221.4733630581</v>
      </c>
      <c r="Q56" s="169">
        <f t="shared" si="107"/>
        <v>140811.41678638218</v>
      </c>
      <c r="R56" s="406">
        <f>SUM(N56:Q56)</f>
        <v>1356471.6657946438</v>
      </c>
      <c r="S56" s="80"/>
      <c r="T56" s="169">
        <f>T57+T64+T63</f>
        <v>248741.37861633307</v>
      </c>
      <c r="U56" s="169">
        <f t="shared" ref="U56:W56" si="108">U57+U64+U63</f>
        <v>169788.84659228162</v>
      </c>
      <c r="V56" s="169">
        <f t="shared" si="108"/>
        <v>115296.21609998075</v>
      </c>
      <c r="W56" s="169">
        <f t="shared" si="108"/>
        <v>118570.71450083186</v>
      </c>
      <c r="X56" s="406">
        <f>SUM(T56:W56)</f>
        <v>652397.15580942738</v>
      </c>
      <c r="Y56" s="671"/>
      <c r="Z56" s="671"/>
      <c r="AA56" s="671"/>
      <c r="AC56" s="169">
        <f>AC57+AC64+AC63</f>
        <v>216963.7884517757</v>
      </c>
      <c r="AD56" s="169">
        <f t="shared" ref="AD56:AF56" si="109">AD57+AD64+AD63</f>
        <v>143889.08431808508</v>
      </c>
      <c r="AE56" s="169">
        <f t="shared" si="109"/>
        <v>100067.4970611765</v>
      </c>
      <c r="AF56" s="169">
        <f t="shared" si="109"/>
        <v>102832.9773649456</v>
      </c>
      <c r="AG56" s="406">
        <f>SUM(AC56:AF56)</f>
        <v>563753.34719598293</v>
      </c>
      <c r="AI56" s="169">
        <f>AI57+AI64+AI63</f>
        <v>92655.680180692128</v>
      </c>
      <c r="AJ56" s="169">
        <f t="shared" ref="AJ56:AL56" si="110">AJ57+AJ64+AJ63</f>
        <v>65987.395102429567</v>
      </c>
      <c r="AK56" s="169">
        <f t="shared" si="110"/>
        <v>16989.623747827172</v>
      </c>
      <c r="AL56" s="169">
        <f t="shared" si="110"/>
        <v>19322.436007825781</v>
      </c>
      <c r="AM56" s="406">
        <f>SUM(AI56:AL56)</f>
        <v>194955.13503877464</v>
      </c>
      <c r="AN56" s="406">
        <f t="shared" si="84"/>
        <v>758708.48223475763</v>
      </c>
      <c r="AU56" s="80"/>
    </row>
    <row r="57" spans="1:70" ht="40" hidden="1" outlineLevel="1">
      <c r="A57" s="1167" t="s">
        <v>510</v>
      </c>
      <c r="G57" s="169">
        <f>SUM(G58:G62)</f>
        <v>341500.92009552917</v>
      </c>
      <c r="H57" s="169">
        <f t="shared" ref="H57:J57" si="111">SUM(H58:H62)</f>
        <v>144964.32784225693</v>
      </c>
      <c r="I57" s="169">
        <f t="shared" si="111"/>
        <v>7924.0221766946725</v>
      </c>
      <c r="J57" s="169">
        <f t="shared" si="111"/>
        <v>16131.045145414151</v>
      </c>
      <c r="K57" s="407">
        <f>SUM(G57:J57)</f>
        <v>510520.31525989488</v>
      </c>
      <c r="L57" s="169"/>
      <c r="N57" s="169">
        <f>SUM(N58:N62)</f>
        <v>570531.84595424321</v>
      </c>
      <c r="O57" s="169">
        <f t="shared" ref="O57:Q57" si="112">SUM(O58:O62)</f>
        <v>241717.66681678017</v>
      </c>
      <c r="P57" s="169">
        <f t="shared" si="112"/>
        <v>13226.891925968077</v>
      </c>
      <c r="Q57" s="169">
        <f t="shared" si="112"/>
        <v>26926.172849292154</v>
      </c>
      <c r="R57" s="407">
        <f>SUM(N57:Q57)</f>
        <v>852402.57754628372</v>
      </c>
      <c r="S57" s="80"/>
      <c r="T57" s="169">
        <f>SUM(T58:T62)</f>
        <v>99279.247179243044</v>
      </c>
      <c r="U57" s="169">
        <f t="shared" ref="U57:W57" si="113">SUM(U58:U62)</f>
        <v>42061.715155191603</v>
      </c>
      <c r="V57" s="169">
        <f t="shared" si="113"/>
        <v>2301.6346628907272</v>
      </c>
      <c r="W57" s="169">
        <f t="shared" si="113"/>
        <v>4685.4705637418365</v>
      </c>
      <c r="X57" s="407">
        <f>SUM(T57:W57)</f>
        <v>148328.0675610672</v>
      </c>
      <c r="Y57" s="169"/>
      <c r="Z57" s="169"/>
      <c r="AA57" s="169"/>
      <c r="AC57" s="169">
        <f>SUM(AC58:AC62)</f>
        <v>86454.000247506265</v>
      </c>
      <c r="AD57" s="169">
        <f t="shared" ref="AD57:AF57" si="114">SUM(AD58:AD62)</f>
        <v>33616.414230103073</v>
      </c>
      <c r="AE57" s="169">
        <f t="shared" si="114"/>
        <v>1930.663140780036</v>
      </c>
      <c r="AF57" s="169">
        <f t="shared" si="114"/>
        <v>3930.2785365879295</v>
      </c>
      <c r="AG57" s="407">
        <f>SUM(AC57:AF57)</f>
        <v>125931.35615497729</v>
      </c>
      <c r="AI57" s="169">
        <f>SUM(AI58:AI62)</f>
        <v>73703.336947871561</v>
      </c>
      <c r="AJ57" s="169">
        <f t="shared" ref="AJ57:AL57" si="115">SUM(AJ58:AJ62)</f>
        <v>48532.933753321566</v>
      </c>
      <c r="AK57" s="169">
        <f t="shared" si="115"/>
        <v>2131.8762311336232</v>
      </c>
      <c r="AL57" s="169">
        <f t="shared" si="115"/>
        <v>4339.8908990934469</v>
      </c>
      <c r="AM57" s="407">
        <f>SUM(AI57:AL57)</f>
        <v>128708.0378314202</v>
      </c>
      <c r="AN57" s="1168">
        <f t="shared" si="84"/>
        <v>254639.39398639748</v>
      </c>
      <c r="AU57" s="80"/>
    </row>
    <row r="58" spans="1:70" hidden="1" outlineLevel="1">
      <c r="A58" s="39" t="s">
        <v>327</v>
      </c>
      <c r="B58" s="2"/>
      <c r="C58" s="2"/>
      <c r="D58" s="1061"/>
      <c r="E58" s="2"/>
      <c r="G58" s="169">
        <f t="shared" ref="G58:J62" si="116">(G22*G$153*G120)</f>
        <v>74.718300553261997</v>
      </c>
      <c r="H58" s="169">
        <f t="shared" si="116"/>
        <v>492.6474126653336</v>
      </c>
      <c r="I58" s="169">
        <f t="shared" si="116"/>
        <v>13.004092609308593</v>
      </c>
      <c r="J58" s="169">
        <f t="shared" si="116"/>
        <v>26.472617097521063</v>
      </c>
      <c r="K58" s="407">
        <f>SUM(G58:J58)</f>
        <v>606.84242292542524</v>
      </c>
      <c r="L58" s="169"/>
      <c r="N58" s="169">
        <f t="shared" ref="N58:Q62" si="117">(N22*N$153*N120)</f>
        <v>117.24402902888797</v>
      </c>
      <c r="O58" s="169">
        <f t="shared" si="117"/>
        <v>773.03641977734048</v>
      </c>
      <c r="P58" s="169">
        <f t="shared" si="117"/>
        <v>20.405338452435693</v>
      </c>
      <c r="Q58" s="169">
        <f t="shared" si="117"/>
        <v>41.539438992458365</v>
      </c>
      <c r="R58" s="407">
        <f>SUM(N58:Q58)</f>
        <v>952.22522625112254</v>
      </c>
      <c r="S58" s="80"/>
      <c r="T58" s="169">
        <f t="shared" ref="T58:W62" si="118">(T22*T$153*T120)</f>
        <v>20.40183912745659</v>
      </c>
      <c r="U58" s="169">
        <f t="shared" si="118"/>
        <v>134.51742324614557</v>
      </c>
      <c r="V58" s="169">
        <f t="shared" si="118"/>
        <v>3.5507687333512101</v>
      </c>
      <c r="W58" s="169">
        <f t="shared" si="118"/>
        <v>7.2283506357506768</v>
      </c>
      <c r="X58" s="407">
        <f>SUM(T58:W58)</f>
        <v>165.69838174270404</v>
      </c>
      <c r="Y58" s="169"/>
      <c r="Z58" s="169"/>
      <c r="AA58" s="169"/>
      <c r="AC58" s="169">
        <f t="shared" ref="AC58:AF62" si="119">(AC22*AC$153*AC120)</f>
        <v>0</v>
      </c>
      <c r="AD58" s="169">
        <f t="shared" si="119"/>
        <v>0</v>
      </c>
      <c r="AE58" s="169">
        <f t="shared" si="119"/>
        <v>0</v>
      </c>
      <c r="AF58" s="169">
        <f t="shared" si="119"/>
        <v>0</v>
      </c>
      <c r="AG58" s="407">
        <f>SUM(AC58:AF58)</f>
        <v>0</v>
      </c>
      <c r="AI58" s="169">
        <f t="shared" ref="AI58:AL62" si="120">(AI22*AI$153*AI120)</f>
        <v>117.24402902888798</v>
      </c>
      <c r="AJ58" s="169">
        <f t="shared" si="120"/>
        <v>773.03641977734048</v>
      </c>
      <c r="AK58" s="169">
        <f t="shared" si="120"/>
        <v>20.405338452435686</v>
      </c>
      <c r="AL58" s="169">
        <f t="shared" si="120"/>
        <v>41.539438992458372</v>
      </c>
      <c r="AM58" s="407">
        <f>SUM(AI58:AL58)</f>
        <v>952.22522625112254</v>
      </c>
      <c r="AN58" s="407">
        <f t="shared" si="84"/>
        <v>952.22522625112254</v>
      </c>
      <c r="AU58" s="80"/>
    </row>
    <row r="59" spans="1:70" hidden="1" outlineLevel="1">
      <c r="A59" s="39" t="s">
        <v>429</v>
      </c>
      <c r="B59" s="2"/>
      <c r="C59" s="2"/>
      <c r="D59" s="1061"/>
      <c r="E59" s="2"/>
      <c r="G59" s="169">
        <f t="shared" si="116"/>
        <v>3922.2033245460102</v>
      </c>
      <c r="H59" s="169">
        <f t="shared" si="116"/>
        <v>4481.9901570145994</v>
      </c>
      <c r="I59" s="169">
        <f t="shared" si="116"/>
        <v>159.88952616788444</v>
      </c>
      <c r="J59" s="169">
        <f t="shared" si="116"/>
        <v>325.48939255605046</v>
      </c>
      <c r="K59" s="407">
        <f t="shared" ref="K59:K64" si="121">SUM(G59:J59)</f>
        <v>8889.5724002845436</v>
      </c>
      <c r="L59" s="169"/>
      <c r="N59" s="169">
        <f t="shared" si="117"/>
        <v>6277.0254174300435</v>
      </c>
      <c r="O59" s="169">
        <f t="shared" si="117"/>
        <v>7172.8984472033544</v>
      </c>
      <c r="P59" s="169">
        <f t="shared" si="117"/>
        <v>255.88439371710177</v>
      </c>
      <c r="Q59" s="169">
        <f t="shared" si="117"/>
        <v>520.90751578124275</v>
      </c>
      <c r="R59" s="407">
        <f t="shared" ref="R59:R65" si="122">SUM(N59:Q59)</f>
        <v>14226.715774131742</v>
      </c>
      <c r="S59" s="80"/>
      <c r="T59" s="169">
        <f t="shared" si="118"/>
        <v>1092.276202260246</v>
      </c>
      <c r="U59" s="169">
        <f t="shared" si="118"/>
        <v>1248.1686394568458</v>
      </c>
      <c r="V59" s="169">
        <f t="shared" si="118"/>
        <v>44.526892150360865</v>
      </c>
      <c r="W59" s="169">
        <f t="shared" si="118"/>
        <v>90.644030448948911</v>
      </c>
      <c r="X59" s="407">
        <f t="shared" ref="X59:X65" si="123">SUM(T59:W59)</f>
        <v>2475.6157643164011</v>
      </c>
      <c r="Y59" s="169"/>
      <c r="Z59" s="169"/>
      <c r="AA59" s="169"/>
      <c r="AC59" s="169">
        <f t="shared" si="119"/>
        <v>0</v>
      </c>
      <c r="AD59" s="169">
        <f t="shared" si="119"/>
        <v>0</v>
      </c>
      <c r="AE59" s="169">
        <f t="shared" si="119"/>
        <v>0</v>
      </c>
      <c r="AF59" s="169">
        <f t="shared" si="119"/>
        <v>0</v>
      </c>
      <c r="AG59" s="407">
        <f t="shared" ref="AG59:AG65" si="124">SUM(AC59:AF59)</f>
        <v>0</v>
      </c>
      <c r="AI59" s="169">
        <f t="shared" si="120"/>
        <v>6277.0254174300444</v>
      </c>
      <c r="AJ59" s="169">
        <f t="shared" si="120"/>
        <v>7172.8984472033544</v>
      </c>
      <c r="AK59" s="169">
        <f t="shared" si="120"/>
        <v>255.88439371710169</v>
      </c>
      <c r="AL59" s="169">
        <f t="shared" si="120"/>
        <v>520.90751578124275</v>
      </c>
      <c r="AM59" s="407">
        <f t="shared" ref="AM59:AM65" si="125">SUM(AI59:AL59)</f>
        <v>14226.715774131742</v>
      </c>
      <c r="AN59" s="407">
        <f>AM59+AG59</f>
        <v>14226.715774131742</v>
      </c>
      <c r="AU59" s="80"/>
    </row>
    <row r="60" spans="1:70" hidden="1" outlineLevel="1">
      <c r="A60" s="39" t="s">
        <v>65</v>
      </c>
      <c r="B60" s="2"/>
      <c r="C60" s="2"/>
      <c r="D60" s="1061"/>
      <c r="E60" s="2"/>
      <c r="G60" s="169">
        <f t="shared" si="116"/>
        <v>40885.749072158702</v>
      </c>
      <c r="H60" s="169">
        <f t="shared" si="116"/>
        <v>24653.882658886792</v>
      </c>
      <c r="I60" s="169">
        <f t="shared" si="116"/>
        <v>1127.1444813395888</v>
      </c>
      <c r="J60" s="169">
        <f t="shared" si="116"/>
        <v>2294.5441227270198</v>
      </c>
      <c r="K60" s="407">
        <f t="shared" si="121"/>
        <v>68961.320335112105</v>
      </c>
      <c r="L60" s="169"/>
      <c r="N60" s="169">
        <f t="shared" si="117"/>
        <v>67309.067501412632</v>
      </c>
      <c r="O60" s="169">
        <f t="shared" si="117"/>
        <v>40586.998886340873</v>
      </c>
      <c r="P60" s="169">
        <f t="shared" si="117"/>
        <v>1855.5864989640863</v>
      </c>
      <c r="Q60" s="169">
        <f t="shared" si="117"/>
        <v>3777.4439443197457</v>
      </c>
      <c r="R60" s="407">
        <f t="shared" si="122"/>
        <v>113529.09683103733</v>
      </c>
      <c r="S60" s="80"/>
      <c r="T60" s="169">
        <f t="shared" si="118"/>
        <v>11712.568890349074</v>
      </c>
      <c r="U60" s="169">
        <f t="shared" si="118"/>
        <v>7062.6148623855415</v>
      </c>
      <c r="V60" s="169">
        <f t="shared" si="118"/>
        <v>322.89386122697925</v>
      </c>
      <c r="W60" s="169">
        <f t="shared" si="118"/>
        <v>657.31964606920758</v>
      </c>
      <c r="X60" s="407">
        <f t="shared" si="123"/>
        <v>19755.397260030801</v>
      </c>
      <c r="Y60" s="169"/>
      <c r="Z60" s="169"/>
      <c r="AA60" s="169"/>
      <c r="AC60" s="169">
        <f t="shared" si="119"/>
        <v>0</v>
      </c>
      <c r="AD60" s="169">
        <f t="shared" si="119"/>
        <v>0</v>
      </c>
      <c r="AE60" s="169">
        <f t="shared" si="119"/>
        <v>0</v>
      </c>
      <c r="AF60" s="169">
        <f t="shared" si="119"/>
        <v>0</v>
      </c>
      <c r="AG60" s="407">
        <f t="shared" si="124"/>
        <v>0</v>
      </c>
      <c r="AI60" s="169">
        <f t="shared" si="120"/>
        <v>67309.067501412632</v>
      </c>
      <c r="AJ60" s="169">
        <f t="shared" si="120"/>
        <v>40586.998886340873</v>
      </c>
      <c r="AK60" s="169">
        <f t="shared" si="120"/>
        <v>1855.5864989640856</v>
      </c>
      <c r="AL60" s="169">
        <f t="shared" si="120"/>
        <v>3777.4439443197457</v>
      </c>
      <c r="AM60" s="407">
        <f t="shared" si="125"/>
        <v>113529.09683103733</v>
      </c>
      <c r="AN60" s="407">
        <f t="shared" si="84"/>
        <v>113529.09683103733</v>
      </c>
      <c r="AU60" s="80"/>
    </row>
    <row r="61" spans="1:70" hidden="1" outlineLevel="1">
      <c r="A61" s="39" t="s">
        <v>66</v>
      </c>
      <c r="B61" s="2"/>
      <c r="C61" s="2"/>
      <c r="D61" s="1061"/>
      <c r="E61" s="2"/>
      <c r="G61" s="169">
        <f t="shared" si="116"/>
        <v>296618.2493982712</v>
      </c>
      <c r="H61" s="169">
        <f t="shared" si="116"/>
        <v>115335.80761369021</v>
      </c>
      <c r="I61" s="169">
        <f t="shared" si="116"/>
        <v>6623.9840765778908</v>
      </c>
      <c r="J61" s="169">
        <f t="shared" si="116"/>
        <v>13484.53901303356</v>
      </c>
      <c r="K61" s="407">
        <f t="shared" si="121"/>
        <v>432062.58010157285</v>
      </c>
      <c r="L61" s="169"/>
      <c r="N61" s="169">
        <f t="shared" si="117"/>
        <v>496828.50900637161</v>
      </c>
      <c r="O61" s="169">
        <f t="shared" si="117"/>
        <v>193184.73306345861</v>
      </c>
      <c r="P61" s="169">
        <f t="shared" si="117"/>
        <v>11095.015694834454</v>
      </c>
      <c r="Q61" s="169">
        <f t="shared" si="117"/>
        <v>22586.281950198707</v>
      </c>
      <c r="R61" s="407">
        <f t="shared" si="122"/>
        <v>723694.53971486329</v>
      </c>
      <c r="S61" s="80"/>
      <c r="T61" s="169">
        <f t="shared" si="118"/>
        <v>86454.000247506265</v>
      </c>
      <c r="U61" s="169">
        <f t="shared" si="118"/>
        <v>33616.414230103073</v>
      </c>
      <c r="V61" s="169">
        <f t="shared" si="118"/>
        <v>1930.663140780036</v>
      </c>
      <c r="W61" s="169">
        <f t="shared" si="118"/>
        <v>3930.2785365879295</v>
      </c>
      <c r="X61" s="407">
        <f t="shared" si="123"/>
        <v>125931.35615497729</v>
      </c>
      <c r="Y61" s="169"/>
      <c r="Z61" s="169"/>
      <c r="AA61" s="169"/>
      <c r="AC61" s="169">
        <f t="shared" si="119"/>
        <v>86454.000247506265</v>
      </c>
      <c r="AD61" s="169">
        <f t="shared" si="119"/>
        <v>33616.414230103073</v>
      </c>
      <c r="AE61" s="169">
        <f t="shared" si="119"/>
        <v>1930.663140780036</v>
      </c>
      <c r="AF61" s="169">
        <f t="shared" si="119"/>
        <v>3930.2785365879295</v>
      </c>
      <c r="AG61" s="407">
        <f t="shared" si="124"/>
        <v>125931.35615497729</v>
      </c>
      <c r="AI61" s="169">
        <f t="shared" si="120"/>
        <v>0</v>
      </c>
      <c r="AJ61" s="169">
        <f t="shared" si="120"/>
        <v>0</v>
      </c>
      <c r="AK61" s="169">
        <f t="shared" si="120"/>
        <v>0</v>
      </c>
      <c r="AL61" s="169">
        <f t="shared" si="120"/>
        <v>0</v>
      </c>
      <c r="AM61" s="407">
        <f t="shared" si="125"/>
        <v>0</v>
      </c>
      <c r="AN61" s="407">
        <f t="shared" si="84"/>
        <v>125931.35615497729</v>
      </c>
      <c r="AU61" s="80"/>
    </row>
    <row r="62" spans="1:70" hidden="1" outlineLevel="1">
      <c r="A62" s="39" t="s">
        <v>328</v>
      </c>
      <c r="B62" s="2"/>
      <c r="C62" s="2"/>
      <c r="D62" s="1061"/>
      <c r="E62" s="2"/>
      <c r="G62" s="169">
        <f t="shared" si="116"/>
        <v>0</v>
      </c>
      <c r="H62" s="169">
        <f t="shared" si="116"/>
        <v>0</v>
      </c>
      <c r="I62" s="169">
        <f t="shared" si="116"/>
        <v>0</v>
      </c>
      <c r="J62" s="169">
        <f t="shared" si="116"/>
        <v>0</v>
      </c>
      <c r="K62" s="407">
        <f t="shared" si="121"/>
        <v>0</v>
      </c>
      <c r="L62" s="169"/>
      <c r="N62" s="169">
        <f t="shared" si="117"/>
        <v>0</v>
      </c>
      <c r="O62" s="169">
        <f t="shared" si="117"/>
        <v>0</v>
      </c>
      <c r="P62" s="169">
        <f t="shared" si="117"/>
        <v>0</v>
      </c>
      <c r="Q62" s="169">
        <f t="shared" si="117"/>
        <v>0</v>
      </c>
      <c r="R62" s="407">
        <f t="shared" si="122"/>
        <v>0</v>
      </c>
      <c r="S62" s="80"/>
      <c r="T62" s="169">
        <f t="shared" si="118"/>
        <v>0</v>
      </c>
      <c r="U62" s="169">
        <f t="shared" si="118"/>
        <v>0</v>
      </c>
      <c r="V62" s="169">
        <f t="shared" si="118"/>
        <v>0</v>
      </c>
      <c r="W62" s="169">
        <f t="shared" si="118"/>
        <v>0</v>
      </c>
      <c r="X62" s="407">
        <f t="shared" si="123"/>
        <v>0</v>
      </c>
      <c r="Y62" s="169"/>
      <c r="Z62" s="169"/>
      <c r="AA62" s="169"/>
      <c r="AC62" s="169">
        <f t="shared" si="119"/>
        <v>0</v>
      </c>
      <c r="AD62" s="169">
        <f t="shared" si="119"/>
        <v>0</v>
      </c>
      <c r="AE62" s="169">
        <f t="shared" si="119"/>
        <v>0</v>
      </c>
      <c r="AF62" s="169">
        <f t="shared" si="119"/>
        <v>0</v>
      </c>
      <c r="AG62" s="407">
        <f t="shared" si="124"/>
        <v>0</v>
      </c>
      <c r="AI62" s="169">
        <f t="shared" si="120"/>
        <v>0</v>
      </c>
      <c r="AJ62" s="169">
        <f t="shared" si="120"/>
        <v>0</v>
      </c>
      <c r="AK62" s="169">
        <f t="shared" si="120"/>
        <v>0</v>
      </c>
      <c r="AL62" s="169">
        <f t="shared" si="120"/>
        <v>0</v>
      </c>
      <c r="AM62" s="407">
        <f t="shared" si="125"/>
        <v>0</v>
      </c>
      <c r="AN62" s="407">
        <f t="shared" si="84"/>
        <v>0</v>
      </c>
      <c r="AU62" s="80"/>
    </row>
    <row r="63" spans="1:70" ht="40" hidden="1" outlineLevel="1">
      <c r="A63" s="1318" t="s">
        <v>567</v>
      </c>
      <c r="B63" s="2"/>
      <c r="C63" s="2"/>
      <c r="D63" s="1061"/>
      <c r="E63" s="2"/>
      <c r="G63" s="169">
        <f>G164*G158*G154*G162</f>
        <v>112134.63143709002</v>
      </c>
      <c r="H63" s="169">
        <f t="shared" ref="H63:J63" si="126">H164*H158*H154*H162</f>
        <v>112134.63143709002</v>
      </c>
      <c r="I63" s="169">
        <f t="shared" si="126"/>
        <v>112134.63143709002</v>
      </c>
      <c r="J63" s="169">
        <f t="shared" si="126"/>
        <v>112134.63143709002</v>
      </c>
      <c r="K63" s="407">
        <f t="shared" si="121"/>
        <v>448538.52574836009</v>
      </c>
      <c r="L63" s="169"/>
      <c r="N63" s="169">
        <f>N164*N158*N154*N162</f>
        <v>112134.63143709002</v>
      </c>
      <c r="O63" s="169">
        <f t="shared" ref="O63:Q63" si="127">O164*O158*O154*O162</f>
        <v>112134.63143709002</v>
      </c>
      <c r="P63" s="169">
        <f t="shared" si="127"/>
        <v>112134.63143709002</v>
      </c>
      <c r="Q63" s="169">
        <f t="shared" si="127"/>
        <v>112134.63143709002</v>
      </c>
      <c r="R63" s="407">
        <f t="shared" si="122"/>
        <v>448538.52574836009</v>
      </c>
      <c r="S63" s="80"/>
      <c r="T63" s="169">
        <f>T164*T158*T154*T162</f>
        <v>112134.63143709002</v>
      </c>
      <c r="U63" s="169">
        <f t="shared" ref="U63:W63" si="128">U164*U158*U154*U162</f>
        <v>112134.63143709002</v>
      </c>
      <c r="V63" s="169">
        <f t="shared" si="128"/>
        <v>112134.63143709002</v>
      </c>
      <c r="W63" s="169">
        <f t="shared" si="128"/>
        <v>112134.63143709002</v>
      </c>
      <c r="X63" s="407">
        <f t="shared" si="123"/>
        <v>448538.52574836009</v>
      </c>
      <c r="Y63" s="169"/>
      <c r="Z63" s="169"/>
      <c r="AA63" s="169"/>
      <c r="AC63" s="169">
        <f>AC164*AC158*AC154*AC162</f>
        <v>97397.378147192532</v>
      </c>
      <c r="AD63" s="169">
        <f t="shared" ref="AD63:AF63" si="129">AD164*AD158*AD154*AD162</f>
        <v>97397.378147192532</v>
      </c>
      <c r="AE63" s="169">
        <f t="shared" si="129"/>
        <v>97397.378147192532</v>
      </c>
      <c r="AF63" s="169">
        <f t="shared" si="129"/>
        <v>97397.378147192532</v>
      </c>
      <c r="AG63" s="407">
        <f t="shared" si="124"/>
        <v>389589.51258877013</v>
      </c>
      <c r="AI63" s="169">
        <f>AI164*AI158*AI154*AI162</f>
        <v>14737.25328989748</v>
      </c>
      <c r="AJ63" s="169">
        <f t="shared" ref="AJ63:AL63" si="130">AJ164*AJ158*AJ154*AJ162</f>
        <v>14737.25328989748</v>
      </c>
      <c r="AK63" s="169">
        <f t="shared" si="130"/>
        <v>14737.25328989748</v>
      </c>
      <c r="AL63" s="169">
        <f t="shared" si="130"/>
        <v>14737.25328989748</v>
      </c>
      <c r="AM63" s="407">
        <f t="shared" si="125"/>
        <v>58949.013159589922</v>
      </c>
      <c r="AN63" s="1168">
        <f t="shared" si="84"/>
        <v>448538.52574836003</v>
      </c>
      <c r="AU63" s="80"/>
    </row>
    <row r="64" spans="1:70" ht="40" hidden="1" outlineLevel="1">
      <c r="A64" s="1167" t="s">
        <v>511</v>
      </c>
      <c r="G64" s="169">
        <f>G7*G156*G155</f>
        <v>37327.5</v>
      </c>
      <c r="H64" s="169">
        <f>H7*H156*H155</f>
        <v>15592.500000000002</v>
      </c>
      <c r="I64" s="169">
        <f>I7*I156*I155</f>
        <v>859.95</v>
      </c>
      <c r="J64" s="169">
        <f>J7*J156*J155</f>
        <v>1750.6125000000002</v>
      </c>
      <c r="K64" s="407">
        <f t="shared" si="121"/>
        <v>55530.5625</v>
      </c>
      <c r="L64" s="169"/>
      <c r="N64" s="169">
        <f>N7*N156*N155</f>
        <v>37327.5</v>
      </c>
      <c r="O64" s="169">
        <f>O7*O156*O155</f>
        <v>15592.500000000002</v>
      </c>
      <c r="P64" s="169">
        <f>P7*P156*P155</f>
        <v>859.95</v>
      </c>
      <c r="Q64" s="169">
        <f>Q7*Q156*Q155</f>
        <v>1750.6125000000002</v>
      </c>
      <c r="R64" s="407">
        <f t="shared" si="122"/>
        <v>55530.5625</v>
      </c>
      <c r="S64" s="80"/>
      <c r="T64" s="169">
        <f>T7*T156*T155</f>
        <v>37327.5</v>
      </c>
      <c r="U64" s="169">
        <f>U7*U156*U155</f>
        <v>15592.500000000002</v>
      </c>
      <c r="V64" s="169">
        <f>V7*V156*V155</f>
        <v>859.95</v>
      </c>
      <c r="W64" s="169">
        <f>W7*W156*W155</f>
        <v>1750.6125000000002</v>
      </c>
      <c r="X64" s="407">
        <f t="shared" si="123"/>
        <v>55530.5625</v>
      </c>
      <c r="Y64" s="169"/>
      <c r="Z64" s="169"/>
      <c r="AA64" s="169"/>
      <c r="AC64" s="169">
        <f>AC7*AC156*AC155</f>
        <v>33112.410057076915</v>
      </c>
      <c r="AD64" s="169">
        <f>AD7*AD156*AD155</f>
        <v>12875.291940789473</v>
      </c>
      <c r="AE64" s="169">
        <f>AE7*AE156*AE155</f>
        <v>739.45577320393079</v>
      </c>
      <c r="AF64" s="169">
        <f>AF7*AF156*AF155</f>
        <v>1505.3206811651446</v>
      </c>
      <c r="AG64" s="407">
        <f t="shared" si="124"/>
        <v>48232.478452235468</v>
      </c>
      <c r="AI64" s="169">
        <f>AI7*AI156*AI155</f>
        <v>4215.0899429230867</v>
      </c>
      <c r="AJ64" s="169">
        <f>AJ7*AJ156*AJ155</f>
        <v>2717.2080592105267</v>
      </c>
      <c r="AK64" s="169">
        <f>AK7*AK156*AK155</f>
        <v>120.4942267960693</v>
      </c>
      <c r="AL64" s="169">
        <f>AL7*AL156*AL155</f>
        <v>245.29181883485538</v>
      </c>
      <c r="AM64" s="407">
        <f t="shared" si="125"/>
        <v>7298.0840477645388</v>
      </c>
      <c r="AN64" s="1168">
        <f t="shared" si="84"/>
        <v>55530.562500000007</v>
      </c>
      <c r="AU64" s="80"/>
    </row>
    <row r="65" spans="1:70" s="424" customFormat="1" ht="20" collapsed="1">
      <c r="A65" s="1115" t="s">
        <v>508</v>
      </c>
      <c r="B65" s="305"/>
      <c r="C65" s="305"/>
      <c r="D65" s="1116"/>
      <c r="E65" s="305"/>
      <c r="F65" s="1117"/>
      <c r="G65" s="373">
        <f>SUM(G66:G70)</f>
        <v>2905737.5724546942</v>
      </c>
      <c r="H65" s="373">
        <f t="shared" ref="H65:J65" si="131">SUM(H66:H70)</f>
        <v>1233461.6666890811</v>
      </c>
      <c r="I65" s="373">
        <f t="shared" si="131"/>
        <v>67423.329217810126</v>
      </c>
      <c r="J65" s="373">
        <f t="shared" si="131"/>
        <v>137254.63447911345</v>
      </c>
      <c r="K65" s="1091">
        <f t="shared" si="95"/>
        <v>4343877.2028406989</v>
      </c>
      <c r="L65" s="1118"/>
      <c r="M65" s="287"/>
      <c r="N65" s="373">
        <f>SUM(N66:N70)</f>
        <v>4854498.8417818369</v>
      </c>
      <c r="O65" s="373">
        <f t="shared" ref="O65:Q65" si="132">SUM(O66:O70)</f>
        <v>2056709.2650852231</v>
      </c>
      <c r="P65" s="373">
        <f t="shared" si="132"/>
        <v>112543.99204936795</v>
      </c>
      <c r="Q65" s="373">
        <f t="shared" si="132"/>
        <v>229107.41238621325</v>
      </c>
      <c r="R65" s="1091">
        <f t="shared" si="122"/>
        <v>7252859.5113026416</v>
      </c>
      <c r="S65" s="1119"/>
      <c r="T65" s="373">
        <f>SUM(T66:T70)</f>
        <v>844739.85784004885</v>
      </c>
      <c r="U65" s="373">
        <f t="shared" ref="U65:W65" si="133">SUM(U66:U70)</f>
        <v>357891.58651208953</v>
      </c>
      <c r="V65" s="373">
        <f t="shared" si="133"/>
        <v>19583.977449181799</v>
      </c>
      <c r="W65" s="373">
        <f t="shared" si="133"/>
        <v>39867.382664405799</v>
      </c>
      <c r="X65" s="1091">
        <f t="shared" si="123"/>
        <v>1262082.8044657258</v>
      </c>
      <c r="Y65" s="1118"/>
      <c r="Z65" s="1118"/>
      <c r="AA65" s="1118"/>
      <c r="AB65" s="287"/>
      <c r="AC65" s="373">
        <f>SUM(AC66:AC70)</f>
        <v>735613.35277783091</v>
      </c>
      <c r="AD65" s="373">
        <f t="shared" ref="AD65:AF65" si="134">SUM(AD66:AD70)</f>
        <v>286032.83953755273</v>
      </c>
      <c r="AE65" s="373">
        <f t="shared" si="134"/>
        <v>16427.482615123357</v>
      </c>
      <c r="AF65" s="373">
        <f t="shared" si="134"/>
        <v>33441.661037929684</v>
      </c>
      <c r="AG65" s="1091">
        <f t="shared" si="124"/>
        <v>1071515.3359684367</v>
      </c>
      <c r="AH65" s="286"/>
      <c r="AI65" s="373">
        <f>SUM(AI66:AI70)</f>
        <v>627121.45936476626</v>
      </c>
      <c r="AJ65" s="373">
        <f t="shared" ref="AJ65:AL65" si="135">SUM(AJ66:AJ70)</f>
        <v>412953.40893673722</v>
      </c>
      <c r="AK65" s="373">
        <f t="shared" si="135"/>
        <v>18139.549559325402</v>
      </c>
      <c r="AL65" s="373">
        <f t="shared" si="135"/>
        <v>36926.940174340998</v>
      </c>
      <c r="AM65" s="1091">
        <f t="shared" si="125"/>
        <v>1095141.3580351698</v>
      </c>
      <c r="AN65" s="1091">
        <f>AM65+AG65</f>
        <v>2166656.6940036062</v>
      </c>
      <c r="AO65" s="287"/>
      <c r="AP65" s="287"/>
      <c r="AQ65" s="287"/>
      <c r="AR65" s="287"/>
      <c r="AS65" s="287"/>
      <c r="AT65" s="287"/>
      <c r="AU65" s="1119"/>
      <c r="AV65" s="287"/>
      <c r="AW65" s="287"/>
      <c r="AX65" s="287"/>
      <c r="AY65" s="287"/>
      <c r="AZ65" s="287"/>
      <c r="BG65" s="287"/>
      <c r="BH65" s="287"/>
      <c r="BI65" s="287"/>
      <c r="BJ65" s="287"/>
      <c r="BK65" s="287"/>
      <c r="BL65" s="287"/>
      <c r="BM65" s="287"/>
      <c r="BN65" s="287"/>
      <c r="BO65" s="287"/>
      <c r="BP65" s="287"/>
      <c r="BQ65" s="287"/>
      <c r="BR65" s="287"/>
    </row>
    <row r="66" spans="1:70" hidden="1" outlineLevel="1">
      <c r="A66" s="39" t="s">
        <v>327</v>
      </c>
      <c r="B66" s="2"/>
      <c r="C66" s="2"/>
      <c r="D66" s="1061"/>
      <c r="E66" s="2"/>
      <c r="G66" s="169">
        <f t="shared" ref="G66:J70" si="136">G22*G120*G$152</f>
        <v>635.75750603202562</v>
      </c>
      <c r="H66" s="169">
        <f t="shared" si="136"/>
        <v>4191.801581541311</v>
      </c>
      <c r="I66" s="169">
        <f t="shared" si="136"/>
        <v>110.64825383187325</v>
      </c>
      <c r="J66" s="169">
        <f t="shared" si="136"/>
        <v>225.24823101488477</v>
      </c>
      <c r="K66" s="407">
        <f>SUM(G66:J66)</f>
        <v>5163.4555724200945</v>
      </c>
      <c r="L66" s="169"/>
      <c r="N66" s="169">
        <f t="shared" ref="N66:Q70" si="137">N22*N120*N$152</f>
        <v>997.59725449614859</v>
      </c>
      <c r="O66" s="169">
        <f t="shared" si="137"/>
        <v>6577.5546642583822</v>
      </c>
      <c r="P66" s="169">
        <f t="shared" si="137"/>
        <v>173.62342275186495</v>
      </c>
      <c r="Q66" s="169">
        <f t="shared" si="137"/>
        <v>353.44768203058214</v>
      </c>
      <c r="R66" s="407">
        <f>SUM(N66:Q66)</f>
        <v>8102.223023536978</v>
      </c>
      <c r="S66" s="80"/>
      <c r="T66" s="169">
        <f t="shared" ref="T66:W70" si="138">T22*T120*T$152</f>
        <v>173.59364795633243</v>
      </c>
      <c r="U66" s="169">
        <f t="shared" si="138"/>
        <v>1144.5718236038006</v>
      </c>
      <c r="V66" s="169">
        <f t="shared" si="138"/>
        <v>30.212516313893961</v>
      </c>
      <c r="W66" s="169">
        <f t="shared" si="138"/>
        <v>61.504051067569854</v>
      </c>
      <c r="X66" s="407">
        <f>SUM(T66:W66)</f>
        <v>1409.8820389415969</v>
      </c>
      <c r="Y66" s="169"/>
      <c r="Z66" s="169"/>
      <c r="AA66" s="169"/>
      <c r="AC66" s="169">
        <f t="shared" ref="AC66:AF70" si="139">AC22*AC120*AC$152</f>
        <v>0</v>
      </c>
      <c r="AD66" s="169">
        <f t="shared" si="139"/>
        <v>0</v>
      </c>
      <c r="AE66" s="169">
        <f t="shared" si="139"/>
        <v>0</v>
      </c>
      <c r="AF66" s="169">
        <f t="shared" si="139"/>
        <v>0</v>
      </c>
      <c r="AG66" s="169">
        <f>SUM(AC66:AF66)</f>
        <v>0</v>
      </c>
      <c r="AI66" s="169">
        <f t="shared" ref="AI66:AL70" si="140">AI22*AI120*AI$152</f>
        <v>997.59725449614882</v>
      </c>
      <c r="AJ66" s="169">
        <f t="shared" si="140"/>
        <v>6577.5546642583831</v>
      </c>
      <c r="AK66" s="169">
        <f t="shared" si="140"/>
        <v>173.62342275186487</v>
      </c>
      <c r="AL66" s="169">
        <f t="shared" si="140"/>
        <v>353.4476820305822</v>
      </c>
      <c r="AM66" s="371">
        <f>SUM(AI66:AL66)</f>
        <v>8102.2230235369789</v>
      </c>
      <c r="AN66" s="406">
        <f t="shared" si="84"/>
        <v>8102.2230235369789</v>
      </c>
      <c r="AU66" s="80"/>
    </row>
    <row r="67" spans="1:70" hidden="1" outlineLevel="1">
      <c r="A67" s="39" t="s">
        <v>429</v>
      </c>
      <c r="B67" s="2"/>
      <c r="C67" s="2"/>
      <c r="D67" s="1061"/>
      <c r="E67" s="2"/>
      <c r="G67" s="169">
        <f t="shared" si="136"/>
        <v>33372.951275656771</v>
      </c>
      <c r="H67" s="169">
        <f t="shared" si="136"/>
        <v>38136.023747655876</v>
      </c>
      <c r="I67" s="169">
        <f t="shared" si="136"/>
        <v>1360.4560816352605</v>
      </c>
      <c r="J67" s="169">
        <f t="shared" si="136"/>
        <v>2769.4998804717798</v>
      </c>
      <c r="K67" s="407">
        <f t="shared" ref="K67:K70" si="141">SUM(G67:J67)</f>
        <v>75638.930985419676</v>
      </c>
      <c r="L67" s="169"/>
      <c r="N67" s="169">
        <f t="shared" si="137"/>
        <v>53409.485964422645</v>
      </c>
      <c r="O67" s="169">
        <f t="shared" si="137"/>
        <v>61032.223619222939</v>
      </c>
      <c r="P67" s="169">
        <f t="shared" si="137"/>
        <v>2177.2500549063866</v>
      </c>
      <c r="Q67" s="169">
        <f t="shared" si="137"/>
        <v>4432.2590403451431</v>
      </c>
      <c r="R67" s="407">
        <f t="shared" ref="R67:R70" si="142">SUM(N67:Q67)</f>
        <v>121051.21867889712</v>
      </c>
      <c r="S67" s="80"/>
      <c r="T67" s="169">
        <f t="shared" si="138"/>
        <v>9293.8783284035762</v>
      </c>
      <c r="U67" s="169">
        <f t="shared" si="138"/>
        <v>10620.324277354399</v>
      </c>
      <c r="V67" s="169">
        <f t="shared" si="138"/>
        <v>378.86710076725029</v>
      </c>
      <c r="W67" s="169">
        <f t="shared" si="138"/>
        <v>771.26516941904538</v>
      </c>
      <c r="X67" s="407">
        <f t="shared" ref="X67:X70" si="143">SUM(T67:W67)</f>
        <v>21064.334875944271</v>
      </c>
      <c r="Y67" s="169"/>
      <c r="Z67" s="169"/>
      <c r="AA67" s="169"/>
      <c r="AC67" s="169">
        <f t="shared" si="139"/>
        <v>0</v>
      </c>
      <c r="AD67" s="169">
        <f t="shared" si="139"/>
        <v>0</v>
      </c>
      <c r="AE67" s="169">
        <f t="shared" si="139"/>
        <v>0</v>
      </c>
      <c r="AF67" s="169">
        <f t="shared" si="139"/>
        <v>0</v>
      </c>
      <c r="AG67" s="169">
        <f t="shared" ref="AG67:AG70" si="144">SUM(AC67:AF67)</f>
        <v>0</v>
      </c>
      <c r="AI67" s="169">
        <f t="shared" si="140"/>
        <v>53409.485964422653</v>
      </c>
      <c r="AJ67" s="169">
        <f t="shared" si="140"/>
        <v>61032.223619222939</v>
      </c>
      <c r="AK67" s="169">
        <f t="shared" si="140"/>
        <v>2177.2500549063861</v>
      </c>
      <c r="AL67" s="169">
        <f t="shared" si="140"/>
        <v>4432.2590403451431</v>
      </c>
      <c r="AM67" s="371">
        <f t="shared" ref="AM67:AM70" si="145">SUM(AI67:AL67)</f>
        <v>121051.21867889713</v>
      </c>
      <c r="AN67" s="406">
        <f t="shared" si="84"/>
        <v>121051.21867889713</v>
      </c>
      <c r="AU67" s="80"/>
    </row>
    <row r="68" spans="1:70" hidden="1" outlineLevel="1">
      <c r="A68" s="39" t="s">
        <v>65</v>
      </c>
      <c r="B68" s="2"/>
      <c r="C68" s="2"/>
      <c r="D68" s="1061"/>
      <c r="E68" s="2"/>
      <c r="G68" s="169">
        <f t="shared" si="136"/>
        <v>347885.61396465037</v>
      </c>
      <c r="H68" s="169">
        <f t="shared" si="136"/>
        <v>209773.11899709416</v>
      </c>
      <c r="I68" s="169">
        <f t="shared" si="136"/>
        <v>9590.5629422527563</v>
      </c>
      <c r="J68" s="169">
        <f t="shared" si="136"/>
        <v>19523.645989585966</v>
      </c>
      <c r="K68" s="407">
        <f t="shared" si="141"/>
        <v>586772.94189358328</v>
      </c>
      <c r="L68" s="169"/>
      <c r="N68" s="169">
        <f t="shared" si="137"/>
        <v>572714.37614584737</v>
      </c>
      <c r="O68" s="169">
        <f t="shared" si="137"/>
        <v>345343.63065325591</v>
      </c>
      <c r="P68" s="169">
        <f t="shared" si="137"/>
        <v>15788.676081667158</v>
      </c>
      <c r="Q68" s="169">
        <f t="shared" si="137"/>
        <v>32141.233451965272</v>
      </c>
      <c r="R68" s="407">
        <f t="shared" si="142"/>
        <v>965987.91633273568</v>
      </c>
      <c r="S68" s="80"/>
      <c r="T68" s="169">
        <f t="shared" si="138"/>
        <v>99659.033085857998</v>
      </c>
      <c r="U68" s="169">
        <f t="shared" si="138"/>
        <v>60093.85087357858</v>
      </c>
      <c r="V68" s="169">
        <f t="shared" si="138"/>
        <v>2747.4152169772988</v>
      </c>
      <c r="W68" s="169">
        <f t="shared" si="138"/>
        <v>5592.9524059895002</v>
      </c>
      <c r="X68" s="407">
        <f t="shared" si="143"/>
        <v>168093.25158240338</v>
      </c>
      <c r="Y68" s="169"/>
      <c r="Z68" s="169"/>
      <c r="AA68" s="169"/>
      <c r="AC68" s="169">
        <f t="shared" si="139"/>
        <v>0</v>
      </c>
      <c r="AD68" s="169">
        <f t="shared" si="139"/>
        <v>0</v>
      </c>
      <c r="AE68" s="169">
        <f t="shared" si="139"/>
        <v>0</v>
      </c>
      <c r="AF68" s="169">
        <f t="shared" si="139"/>
        <v>0</v>
      </c>
      <c r="AG68" s="169">
        <f t="shared" si="144"/>
        <v>0</v>
      </c>
      <c r="AI68" s="169">
        <f t="shared" si="140"/>
        <v>572714.37614584749</v>
      </c>
      <c r="AJ68" s="169">
        <f t="shared" si="140"/>
        <v>345343.63065325591</v>
      </c>
      <c r="AK68" s="169">
        <f t="shared" si="140"/>
        <v>15788.676081667152</v>
      </c>
      <c r="AL68" s="169">
        <f t="shared" si="140"/>
        <v>32141.233451965272</v>
      </c>
      <c r="AM68" s="371">
        <f t="shared" si="145"/>
        <v>965987.91633273591</v>
      </c>
      <c r="AN68" s="406">
        <f t="shared" si="84"/>
        <v>965987.91633273591</v>
      </c>
      <c r="AU68" s="80"/>
    </row>
    <row r="69" spans="1:70" hidden="1" outlineLevel="1">
      <c r="A69" s="39" t="s">
        <v>66</v>
      </c>
      <c r="B69" s="2"/>
      <c r="C69" s="2"/>
      <c r="D69" s="1061"/>
      <c r="E69" s="2"/>
      <c r="G69" s="169">
        <f t="shared" si="136"/>
        <v>2523843.2497083549</v>
      </c>
      <c r="H69" s="169">
        <f t="shared" si="136"/>
        <v>981360.72236278967</v>
      </c>
      <c r="I69" s="169">
        <f t="shared" si="136"/>
        <v>56361.661940090242</v>
      </c>
      <c r="J69" s="169">
        <f t="shared" si="136"/>
        <v>114736.24037804082</v>
      </c>
      <c r="K69" s="407">
        <f t="shared" si="141"/>
        <v>3676301.8743892759</v>
      </c>
      <c r="L69" s="169"/>
      <c r="N69" s="169">
        <f t="shared" si="137"/>
        <v>4227377.3824170707</v>
      </c>
      <c r="O69" s="169">
        <f t="shared" si="137"/>
        <v>1643755.856148486</v>
      </c>
      <c r="P69" s="169">
        <f t="shared" si="137"/>
        <v>94404.442490042551</v>
      </c>
      <c r="Q69" s="169">
        <f t="shared" si="137"/>
        <v>192180.47221187226</v>
      </c>
      <c r="R69" s="407">
        <f t="shared" si="142"/>
        <v>6157718.1532674711</v>
      </c>
      <c r="S69" s="80"/>
      <c r="T69" s="169">
        <f t="shared" si="138"/>
        <v>735613.35277783091</v>
      </c>
      <c r="U69" s="169">
        <f t="shared" si="138"/>
        <v>286032.83953755273</v>
      </c>
      <c r="V69" s="169">
        <f t="shared" si="138"/>
        <v>16427.482615123357</v>
      </c>
      <c r="W69" s="169">
        <f t="shared" si="138"/>
        <v>33441.661037929684</v>
      </c>
      <c r="X69" s="407">
        <f t="shared" si="143"/>
        <v>1071515.3359684367</v>
      </c>
      <c r="Y69" s="169"/>
      <c r="Z69" s="169"/>
      <c r="AA69" s="169"/>
      <c r="AC69" s="169">
        <f t="shared" si="139"/>
        <v>735613.35277783091</v>
      </c>
      <c r="AD69" s="169">
        <f t="shared" si="139"/>
        <v>286032.83953755273</v>
      </c>
      <c r="AE69" s="169">
        <f t="shared" si="139"/>
        <v>16427.482615123357</v>
      </c>
      <c r="AF69" s="169">
        <f t="shared" si="139"/>
        <v>33441.661037929684</v>
      </c>
      <c r="AG69" s="169">
        <f t="shared" si="144"/>
        <v>1071515.3359684367</v>
      </c>
      <c r="AI69" s="169">
        <f t="shared" si="140"/>
        <v>0</v>
      </c>
      <c r="AJ69" s="169">
        <f t="shared" si="140"/>
        <v>0</v>
      </c>
      <c r="AK69" s="169">
        <f t="shared" si="140"/>
        <v>0</v>
      </c>
      <c r="AL69" s="169">
        <f t="shared" si="140"/>
        <v>0</v>
      </c>
      <c r="AM69" s="371">
        <f t="shared" si="145"/>
        <v>0</v>
      </c>
      <c r="AN69" s="406">
        <f t="shared" si="84"/>
        <v>1071515.3359684367</v>
      </c>
      <c r="AU69" s="80"/>
    </row>
    <row r="70" spans="1:70" hidden="1" outlineLevel="1">
      <c r="A70" s="39" t="s">
        <v>328</v>
      </c>
      <c r="B70" s="2"/>
      <c r="C70" s="2"/>
      <c r="D70" s="1061"/>
      <c r="E70" s="2"/>
      <c r="G70" s="169">
        <f t="shared" si="136"/>
        <v>0</v>
      </c>
      <c r="H70" s="169">
        <f t="shared" si="136"/>
        <v>0</v>
      </c>
      <c r="I70" s="169">
        <f t="shared" si="136"/>
        <v>0</v>
      </c>
      <c r="J70" s="169">
        <f t="shared" si="136"/>
        <v>0</v>
      </c>
      <c r="K70" s="407">
        <f t="shared" si="141"/>
        <v>0</v>
      </c>
      <c r="L70" s="169"/>
      <c r="N70" s="169">
        <f t="shared" si="137"/>
        <v>0</v>
      </c>
      <c r="O70" s="169">
        <f t="shared" si="137"/>
        <v>0</v>
      </c>
      <c r="P70" s="169">
        <f t="shared" si="137"/>
        <v>0</v>
      </c>
      <c r="Q70" s="169">
        <f t="shared" si="137"/>
        <v>0</v>
      </c>
      <c r="R70" s="407">
        <f t="shared" si="142"/>
        <v>0</v>
      </c>
      <c r="S70" s="80"/>
      <c r="T70" s="169">
        <f t="shared" si="138"/>
        <v>0</v>
      </c>
      <c r="U70" s="169">
        <f t="shared" si="138"/>
        <v>0</v>
      </c>
      <c r="V70" s="169">
        <f t="shared" si="138"/>
        <v>0</v>
      </c>
      <c r="W70" s="169">
        <f t="shared" si="138"/>
        <v>0</v>
      </c>
      <c r="X70" s="407">
        <f t="shared" si="143"/>
        <v>0</v>
      </c>
      <c r="Y70" s="169"/>
      <c r="Z70" s="169"/>
      <c r="AA70" s="169"/>
      <c r="AC70" s="169">
        <f t="shared" si="139"/>
        <v>0</v>
      </c>
      <c r="AD70" s="169">
        <f t="shared" si="139"/>
        <v>0</v>
      </c>
      <c r="AE70" s="169">
        <f t="shared" si="139"/>
        <v>0</v>
      </c>
      <c r="AF70" s="169">
        <f t="shared" si="139"/>
        <v>0</v>
      </c>
      <c r="AG70" s="169">
        <f t="shared" si="144"/>
        <v>0</v>
      </c>
      <c r="AI70" s="169">
        <f t="shared" si="140"/>
        <v>0</v>
      </c>
      <c r="AJ70" s="169">
        <f t="shared" si="140"/>
        <v>0</v>
      </c>
      <c r="AK70" s="169">
        <f t="shared" si="140"/>
        <v>0</v>
      </c>
      <c r="AL70" s="169">
        <f t="shared" si="140"/>
        <v>0</v>
      </c>
      <c r="AM70" s="371">
        <f t="shared" si="145"/>
        <v>0</v>
      </c>
      <c r="AN70" s="406">
        <f t="shared" si="84"/>
        <v>0</v>
      </c>
      <c r="AU70" s="80"/>
    </row>
    <row r="71" spans="1:70" s="1181" customFormat="1" ht="20" collapsed="1">
      <c r="A71" s="1176" t="s">
        <v>501</v>
      </c>
      <c r="B71" s="103"/>
      <c r="C71" s="103"/>
      <c r="D71" s="1177"/>
      <c r="E71" s="103"/>
      <c r="F71" s="257"/>
      <c r="G71" s="275">
        <f>G21*G167</f>
        <v>4323342.0688575087</v>
      </c>
      <c r="H71" s="275">
        <f>H21*H167</f>
        <v>1805953.0161050353</v>
      </c>
      <c r="I71" s="275">
        <f>I21*I167</f>
        <v>99601.04513064136</v>
      </c>
      <c r="J71" s="275">
        <f>J21*J167</f>
        <v>202759.27044451988</v>
      </c>
      <c r="K71" s="1178">
        <f>SUM(G71:J71)</f>
        <v>6431655.400537705</v>
      </c>
      <c r="L71" s="276"/>
      <c r="M71" s="25"/>
      <c r="N71" s="275">
        <f>N21*N167</f>
        <v>0</v>
      </c>
      <c r="O71" s="275">
        <f>O21*O167</f>
        <v>0</v>
      </c>
      <c r="P71" s="275">
        <f>P21*P167</f>
        <v>0</v>
      </c>
      <c r="Q71" s="275">
        <f>Q21*Q167</f>
        <v>0</v>
      </c>
      <c r="R71" s="1178">
        <f>SUM(N71:Q71)</f>
        <v>0</v>
      </c>
      <c r="S71" s="277"/>
      <c r="T71" s="275">
        <f>T19*T167</f>
        <v>0</v>
      </c>
      <c r="U71" s="275">
        <f>U19*U167</f>
        <v>0</v>
      </c>
      <c r="V71" s="275">
        <f>V19*V167</f>
        <v>0</v>
      </c>
      <c r="W71" s="275">
        <f>W19*W167</f>
        <v>0</v>
      </c>
      <c r="X71" s="1312">
        <f>SUM(T71:W71)</f>
        <v>0</v>
      </c>
      <c r="Y71" s="275"/>
      <c r="Z71" s="275"/>
      <c r="AA71" s="275"/>
      <c r="AB71" s="25"/>
      <c r="AC71" s="275">
        <f>AC19*AC167</f>
        <v>0</v>
      </c>
      <c r="AD71" s="275">
        <f>AD19*AD167</f>
        <v>0</v>
      </c>
      <c r="AE71" s="275">
        <f>AE19*AE167</f>
        <v>0</v>
      </c>
      <c r="AF71" s="275">
        <f>AF19*AF167</f>
        <v>0</v>
      </c>
      <c r="AG71" s="275">
        <f>SUM(AC71:AF71)</f>
        <v>0</v>
      </c>
      <c r="AH71" s="1179"/>
      <c r="AI71" s="275">
        <f>AI21*AI167</f>
        <v>0</v>
      </c>
      <c r="AJ71" s="275">
        <f>AJ21*AJ167</f>
        <v>0</v>
      </c>
      <c r="AK71" s="275">
        <f>AK21*AK167</f>
        <v>0</v>
      </c>
      <c r="AL71" s="275">
        <f>AL21*AL167</f>
        <v>0</v>
      </c>
      <c r="AM71" s="1180">
        <f>SUM(AI71:AL71)</f>
        <v>0</v>
      </c>
      <c r="AN71" s="406">
        <f t="shared" si="84"/>
        <v>0</v>
      </c>
      <c r="AO71" s="25"/>
      <c r="AP71" s="25"/>
      <c r="AQ71" s="25"/>
      <c r="AR71" s="25"/>
      <c r="AS71" s="25"/>
      <c r="AT71" s="25"/>
      <c r="AU71" s="277"/>
      <c r="AV71" s="25"/>
      <c r="AW71" s="25"/>
      <c r="AX71" s="25"/>
      <c r="AY71" s="25"/>
      <c r="AZ71" s="25"/>
      <c r="BG71" s="25"/>
      <c r="BH71" s="25"/>
      <c r="BI71" s="25"/>
      <c r="BJ71" s="25"/>
      <c r="BK71" s="25"/>
      <c r="BL71" s="25"/>
      <c r="BM71" s="25"/>
      <c r="BN71" s="25"/>
      <c r="BO71" s="25"/>
      <c r="BP71" s="25"/>
      <c r="BQ71" s="25"/>
      <c r="BR71" s="25"/>
    </row>
    <row r="72" spans="1:70">
      <c r="A72" s="13"/>
      <c r="B72" s="13"/>
      <c r="C72" s="13"/>
      <c r="D72" s="13"/>
      <c r="E72" s="13"/>
      <c r="G72" s="169"/>
      <c r="H72" s="169"/>
      <c r="I72" s="169"/>
      <c r="J72" s="169"/>
      <c r="K72" s="406"/>
      <c r="L72" s="671"/>
      <c r="N72" s="169"/>
      <c r="O72" s="169"/>
      <c r="P72" s="169"/>
      <c r="Q72" s="169"/>
      <c r="R72" s="406"/>
      <c r="S72" s="80"/>
      <c r="T72" s="169"/>
      <c r="U72" s="169"/>
      <c r="V72" s="169"/>
      <c r="W72" s="169"/>
      <c r="X72" s="407"/>
      <c r="Y72" s="169"/>
      <c r="Z72" s="169"/>
      <c r="AA72" s="169"/>
      <c r="AC72" s="169"/>
      <c r="AD72" s="169"/>
      <c r="AE72" s="169"/>
      <c r="AF72" s="169"/>
      <c r="AG72" s="169"/>
      <c r="AH72" s="1"/>
      <c r="AI72" s="169"/>
      <c r="AJ72" s="169"/>
      <c r="AK72" s="169"/>
      <c r="AL72" s="169"/>
      <c r="AM72" s="671"/>
      <c r="AN72" s="406"/>
      <c r="AU72" s="80"/>
    </row>
    <row r="73" spans="1:70">
      <c r="A73" s="13"/>
      <c r="B73" s="13"/>
      <c r="C73" s="13"/>
      <c r="D73" s="13"/>
      <c r="E73" s="13"/>
      <c r="G73" s="169"/>
      <c r="H73" s="169"/>
      <c r="I73" s="169"/>
      <c r="J73" s="169"/>
      <c r="K73" s="406"/>
      <c r="L73" s="671"/>
      <c r="N73" s="169"/>
      <c r="O73" s="169"/>
      <c r="P73" s="169"/>
      <c r="Q73" s="169"/>
      <c r="R73" s="406"/>
      <c r="S73" s="80"/>
      <c r="T73" s="169"/>
      <c r="U73" s="169"/>
      <c r="V73" s="169"/>
      <c r="W73" s="169"/>
      <c r="X73" s="407"/>
      <c r="Y73" s="169"/>
      <c r="Z73" s="169"/>
      <c r="AA73" s="169"/>
      <c r="AC73" s="169"/>
      <c r="AD73" s="169"/>
      <c r="AE73" s="169"/>
      <c r="AF73" s="169"/>
      <c r="AG73" s="169"/>
      <c r="AH73" s="1"/>
      <c r="AI73" s="169"/>
      <c r="AJ73" s="169"/>
      <c r="AK73" s="169"/>
      <c r="AL73" s="169"/>
      <c r="AM73" s="671"/>
      <c r="AN73" s="406"/>
      <c r="AU73" s="80"/>
    </row>
    <row r="74" spans="1:70" s="1185" customFormat="1" ht="60">
      <c r="A74" s="1182" t="s">
        <v>614</v>
      </c>
      <c r="B74" s="1183"/>
      <c r="C74" s="1183"/>
      <c r="D74" s="1184"/>
      <c r="E74" s="1183"/>
      <c r="G74" s="1186">
        <f>G44-G50</f>
        <v>12219915.526673704</v>
      </c>
      <c r="H74" s="1186">
        <f>H44-H50</f>
        <v>5465752.4962193705</v>
      </c>
      <c r="I74" s="1186">
        <f>I44-I50</f>
        <v>182399.92710222886</v>
      </c>
      <c r="J74" s="1186">
        <f>J44-J50</f>
        <v>487453.57701795129</v>
      </c>
      <c r="K74" s="1187">
        <f t="shared" si="95"/>
        <v>18355521.527013257</v>
      </c>
      <c r="L74" s="1188"/>
      <c r="M74" s="1188"/>
      <c r="N74" s="1186">
        <f>N44-N50</f>
        <v>52290654.043742746</v>
      </c>
      <c r="O74" s="1186">
        <f>O44-O50</f>
        <v>22411639.831313223</v>
      </c>
      <c r="P74" s="1186">
        <f>P44-P50</f>
        <v>1110621.6942494533</v>
      </c>
      <c r="Q74" s="1186">
        <f>Q44-Q50</f>
        <v>2377047.8887105156</v>
      </c>
      <c r="R74" s="1187">
        <f t="shared" ref="R74" si="146">SUM(N74:Q74)</f>
        <v>78189963.458015934</v>
      </c>
      <c r="S74" s="1188"/>
      <c r="T74" s="1186">
        <f>T44-T50</f>
        <v>12627265.08936996</v>
      </c>
      <c r="U74" s="1186">
        <f>U44-U50</f>
        <v>5319710.5671347193</v>
      </c>
      <c r="V74" s="1186">
        <f>V44-V50</f>
        <v>184052.90301631545</v>
      </c>
      <c r="W74" s="1186">
        <f>W44-W50</f>
        <v>490818.56370019971</v>
      </c>
      <c r="X74" s="1187">
        <f t="shared" ref="X74" si="147">SUM(T74:W74)</f>
        <v>18621847.123221193</v>
      </c>
      <c r="Y74" s="1189"/>
      <c r="Z74" s="1189"/>
      <c r="AA74" s="1189"/>
      <c r="AB74" s="1188"/>
      <c r="AC74" s="1186">
        <f>AC44-AC50</f>
        <v>10939410.895335946</v>
      </c>
      <c r="AD74" s="1186">
        <f>AD44-AD50</f>
        <v>4194109.2917288477</v>
      </c>
      <c r="AE74" s="1186">
        <f>AE44-AE50</f>
        <v>149073.10169719934</v>
      </c>
      <c r="AF74" s="1186">
        <f>AF44-AF50</f>
        <v>404346.09867889096</v>
      </c>
      <c r="AG74" s="1190">
        <f t="shared" si="76"/>
        <v>15686939.387440883</v>
      </c>
      <c r="AH74" s="1191"/>
      <c r="AI74" s="1186">
        <f>AI44-AI50</f>
        <v>7420022.0622673444</v>
      </c>
      <c r="AJ74" s="1186">
        <f>AJ44-AJ50</f>
        <v>5023855.5205065431</v>
      </c>
      <c r="AK74" s="1186">
        <f>AK44-AK50</f>
        <v>203807.39277986542</v>
      </c>
      <c r="AL74" s="1186">
        <f>AL44-AL50</f>
        <v>430157.20478069125</v>
      </c>
      <c r="AM74" s="1192">
        <f t="shared" ref="AM74" si="148">SUM(AI74:AL74)</f>
        <v>13077842.180334443</v>
      </c>
      <c r="AN74" s="1187">
        <f>AM74+AG74</f>
        <v>28764781.567775324</v>
      </c>
      <c r="AO74" s="1188"/>
      <c r="AP74" s="1188"/>
      <c r="AQ74" s="1188"/>
      <c r="AR74" s="1188"/>
      <c r="AS74" s="1188"/>
      <c r="AT74" s="1188"/>
      <c r="AU74" s="1188"/>
      <c r="AV74" s="1188"/>
      <c r="AW74" s="1188"/>
      <c r="AX74" s="1188"/>
      <c r="AY74" s="1188"/>
      <c r="AZ74" s="1188"/>
      <c r="BG74" s="1188"/>
      <c r="BH74" s="1188"/>
      <c r="BI74" s="1188"/>
      <c r="BJ74" s="1188"/>
      <c r="BK74" s="1188"/>
      <c r="BL74" s="1188"/>
      <c r="BM74" s="1188"/>
      <c r="BN74" s="1188"/>
      <c r="BO74" s="1188"/>
      <c r="BP74" s="1188"/>
      <c r="BQ74" s="1188"/>
      <c r="BR74" s="1188"/>
    </row>
    <row r="75" spans="1:70">
      <c r="G75" s="139"/>
      <c r="AN75" s="406"/>
    </row>
    <row r="76" spans="1:70" s="679" customFormat="1" ht="60">
      <c r="A76" s="568" t="s">
        <v>613</v>
      </c>
      <c r="B76" s="932"/>
      <c r="C76" s="932"/>
      <c r="D76" s="1065"/>
      <c r="E76" s="932"/>
      <c r="G76" s="492">
        <f>G19*G139</f>
        <v>0</v>
      </c>
      <c r="H76" s="492">
        <f>H19*H139</f>
        <v>0</v>
      </c>
      <c r="I76" s="492">
        <f>I6*I139</f>
        <v>5200000.0000000093</v>
      </c>
      <c r="J76" s="492">
        <f>J6*J139</f>
        <v>49320000</v>
      </c>
      <c r="K76" s="674">
        <f>SUM(G76:J76)</f>
        <v>54520000.000000007</v>
      </c>
      <c r="L76" s="677"/>
      <c r="M76" s="493"/>
      <c r="N76" s="492">
        <f>N21*N140</f>
        <v>31734787.267364468</v>
      </c>
      <c r="O76" s="492">
        <f>O21*O140</f>
        <v>13256303.542063639</v>
      </c>
      <c r="P76" s="492">
        <f>P6*P139</f>
        <v>6240000.0000000112</v>
      </c>
      <c r="Q76" s="492">
        <f>Q6*Q139</f>
        <v>59184000</v>
      </c>
      <c r="R76" s="674">
        <f>SUM(N76:Q76)</f>
        <v>110415090.80942813</v>
      </c>
      <c r="S76" s="494"/>
      <c r="T76" s="492">
        <f>T21*T140</f>
        <v>5522225.9925347818</v>
      </c>
      <c r="U76" s="492">
        <f>U21*U140</f>
        <v>2306752.6297930097</v>
      </c>
      <c r="V76" s="492">
        <f>V6*V139</f>
        <v>6240000.0000000112</v>
      </c>
      <c r="W76" s="492">
        <f>W6*W139</f>
        <v>59184000</v>
      </c>
      <c r="X76" s="674">
        <f>SUM(T76:W76)</f>
        <v>73252978.622327805</v>
      </c>
      <c r="Y76" s="677"/>
      <c r="Z76" s="677"/>
      <c r="AA76" s="677"/>
      <c r="AB76" s="493"/>
      <c r="AC76" s="492">
        <f>AC21*AC140</f>
        <v>4898646.0784317264</v>
      </c>
      <c r="AD76" s="492">
        <f>AD21*AD140</f>
        <v>1904769.1867095632</v>
      </c>
      <c r="AE76" s="492">
        <f>AE6*AE139</f>
        <v>5365665.4744956521</v>
      </c>
      <c r="AF76" s="492">
        <f>AF6*AF139</f>
        <v>50891273.308100976</v>
      </c>
      <c r="AG76" s="677">
        <f>SUM(AC76:AF76)</f>
        <v>63060354.047737919</v>
      </c>
      <c r="AH76" s="691"/>
      <c r="AI76" s="492">
        <f>AI21*AI140</f>
        <v>3583550.5365071753</v>
      </c>
      <c r="AJ76" s="492">
        <f>AJ21*AJ140</f>
        <v>2310093.6232057959</v>
      </c>
      <c r="AK76" s="492">
        <f>AK6*AK139</f>
        <v>874334.52550435893</v>
      </c>
      <c r="AL76" s="492">
        <f>AL6*AL139</f>
        <v>8292726.6918990249</v>
      </c>
      <c r="AM76" s="689">
        <f>SUM(AI76:AL76)</f>
        <v>15060705.377116356</v>
      </c>
      <c r="AN76" s="674">
        <f>AM76+AG76</f>
        <v>78121059.424854279</v>
      </c>
      <c r="AO76" s="493"/>
      <c r="AP76" s="493"/>
      <c r="AQ76" s="493"/>
      <c r="AR76" s="493"/>
      <c r="AS76" s="493"/>
      <c r="AT76" s="493"/>
      <c r="AU76" s="494"/>
      <c r="AV76" s="493"/>
      <c r="AW76" s="493"/>
      <c r="AX76" s="493"/>
      <c r="AY76" s="493"/>
      <c r="AZ76" s="493"/>
      <c r="BG76" s="493"/>
      <c r="BH76" s="493"/>
      <c r="BI76" s="493"/>
      <c r="BJ76" s="493"/>
      <c r="BK76" s="493"/>
      <c r="BL76" s="493"/>
      <c r="BM76" s="493"/>
      <c r="BN76" s="493"/>
      <c r="BO76" s="493"/>
      <c r="BP76" s="493"/>
      <c r="BQ76" s="493"/>
      <c r="BR76" s="493"/>
    </row>
    <row r="77" spans="1:70">
      <c r="G77" s="139"/>
      <c r="AN77" s="406"/>
    </row>
    <row r="78" spans="1:70" s="727" customFormat="1" ht="21" thickBot="1">
      <c r="A78" s="569" t="s">
        <v>612</v>
      </c>
      <c r="B78" s="933"/>
      <c r="C78" s="933"/>
      <c r="D78" s="1067"/>
      <c r="E78" s="933"/>
      <c r="G78" s="571">
        <f>G74+G76</f>
        <v>12219915.526673704</v>
      </c>
      <c r="H78" s="571">
        <f>H74+H76</f>
        <v>5465752.4962193705</v>
      </c>
      <c r="I78" s="571">
        <f>I74+I76</f>
        <v>5382399.9271022379</v>
      </c>
      <c r="J78" s="571">
        <f>J74+J76</f>
        <v>49807453.577017948</v>
      </c>
      <c r="K78" s="874">
        <f>SUM(G78:J78)</f>
        <v>72875521.527013257</v>
      </c>
      <c r="L78" s="574"/>
      <c r="M78" s="574"/>
      <c r="N78" s="571">
        <f>N74+N76</f>
        <v>84025441.311107218</v>
      </c>
      <c r="O78" s="571">
        <f>O74+O76</f>
        <v>35667943.373376861</v>
      </c>
      <c r="P78" s="571">
        <f>P74+P76</f>
        <v>7350621.6942494642</v>
      </c>
      <c r="Q78" s="571">
        <f>Q74+Q76</f>
        <v>61561047.888710514</v>
      </c>
      <c r="R78" s="874">
        <f>SUM(N78:Q78)</f>
        <v>188605054.26744407</v>
      </c>
      <c r="S78" s="575"/>
      <c r="T78" s="571">
        <f>T74+T76</f>
        <v>18149491.081904743</v>
      </c>
      <c r="U78" s="571">
        <f>U74+U76</f>
        <v>7626463.1969277291</v>
      </c>
      <c r="V78" s="571">
        <f>V74+V76</f>
        <v>6424052.9030163269</v>
      </c>
      <c r="W78" s="571">
        <f>W74+W76</f>
        <v>59674818.563700199</v>
      </c>
      <c r="X78" s="874">
        <f>SUM(T78:W78)</f>
        <v>91874825.745548993</v>
      </c>
      <c r="Y78" s="872"/>
      <c r="Z78" s="872"/>
      <c r="AA78" s="872"/>
      <c r="AB78" s="574"/>
      <c r="AC78" s="571">
        <f>AC74+AC76</f>
        <v>15838056.973767672</v>
      </c>
      <c r="AD78" s="571">
        <f>AD74+AD76</f>
        <v>6098878.4784384109</v>
      </c>
      <c r="AE78" s="571">
        <f>AE74+AE76</f>
        <v>5514738.5761928512</v>
      </c>
      <c r="AF78" s="571">
        <f>AF74+AF76</f>
        <v>51295619.40677987</v>
      </c>
      <c r="AG78" s="869">
        <f>SUM(AC78:AF78)</f>
        <v>78747293.435178801</v>
      </c>
      <c r="AH78" s="692"/>
      <c r="AI78" s="571">
        <f>AI74+AI76</f>
        <v>11003572.598774519</v>
      </c>
      <c r="AJ78" s="571">
        <f>AJ74+AJ76</f>
        <v>7333949.143712339</v>
      </c>
      <c r="AK78" s="571">
        <f>AK74+AK76</f>
        <v>1078141.9182842243</v>
      </c>
      <c r="AL78" s="571">
        <f>AL74+AL76</f>
        <v>8722883.8966797162</v>
      </c>
      <c r="AM78" s="870">
        <f>SUM(AI78:AL78)</f>
        <v>28138547.557450794</v>
      </c>
      <c r="AN78" s="874">
        <f>AM78+AG78</f>
        <v>106885840.99262959</v>
      </c>
      <c r="AO78" s="574"/>
      <c r="AP78" s="574"/>
      <c r="AQ78" s="574"/>
      <c r="AR78" s="574"/>
      <c r="AS78" s="574"/>
      <c r="AT78" s="574"/>
      <c r="AU78" s="575"/>
      <c r="AV78" s="574"/>
      <c r="AW78" s="574"/>
      <c r="AX78" s="574"/>
      <c r="AY78" s="574"/>
      <c r="AZ78" s="574"/>
      <c r="BG78" s="574"/>
      <c r="BH78" s="574"/>
      <c r="BI78" s="574"/>
      <c r="BJ78" s="574"/>
      <c r="BK78" s="574"/>
      <c r="BL78" s="574"/>
      <c r="BM78" s="574"/>
      <c r="BN78" s="574"/>
      <c r="BO78" s="574"/>
      <c r="BP78" s="574"/>
      <c r="BQ78" s="574"/>
      <c r="BR78" s="574"/>
    </row>
    <row r="79" spans="1:70">
      <c r="R79" s="1244">
        <f>R78/K78</f>
        <v>2.5880439730030966</v>
      </c>
    </row>
    <row r="80" spans="1:70">
      <c r="K80" s="407"/>
      <c r="L80" s="169"/>
      <c r="R80" s="1246">
        <f>(R78-K78)/K78</f>
        <v>1.5880439730030964</v>
      </c>
      <c r="S80" s="939"/>
    </row>
    <row r="81" spans="1:70" s="425" customFormat="1" ht="20">
      <c r="A81" s="558" t="s">
        <v>295</v>
      </c>
      <c r="B81" s="355"/>
      <c r="C81" s="355"/>
      <c r="D81" s="1068"/>
      <c r="E81" s="355"/>
      <c r="F81" s="452"/>
      <c r="G81" s="355"/>
      <c r="H81" s="355"/>
      <c r="I81" s="355"/>
      <c r="J81" s="355"/>
      <c r="K81" s="498"/>
      <c r="L81" s="355"/>
      <c r="M81" s="43"/>
      <c r="N81" s="43"/>
      <c r="O81" s="43"/>
      <c r="P81" s="43"/>
      <c r="Q81" s="43"/>
      <c r="R81" s="503"/>
      <c r="S81" s="43"/>
      <c r="T81" s="43"/>
      <c r="U81" s="43"/>
      <c r="V81" s="43"/>
      <c r="W81" s="43"/>
      <c r="X81" s="503"/>
      <c r="Y81" s="43"/>
      <c r="Z81" s="43"/>
      <c r="AA81" s="43"/>
      <c r="AB81" s="355"/>
      <c r="AC81" s="355"/>
      <c r="AD81" s="355"/>
      <c r="AE81" s="355"/>
      <c r="AF81" s="355"/>
      <c r="AG81" s="355"/>
      <c r="AH81" s="820"/>
      <c r="AI81" s="355"/>
      <c r="AJ81" s="355"/>
      <c r="AK81" s="355"/>
      <c r="AL81" s="355"/>
      <c r="AM81" s="821"/>
      <c r="AN81" s="498"/>
      <c r="AO81" s="355"/>
      <c r="AP81" s="355"/>
      <c r="AQ81" s="355"/>
      <c r="AR81" s="355"/>
      <c r="AS81" s="355"/>
      <c r="AT81" s="355"/>
      <c r="AU81" s="43"/>
      <c r="AV81" s="43"/>
      <c r="AW81" s="43"/>
      <c r="AX81" s="43"/>
      <c r="AY81" s="43"/>
      <c r="AZ81" s="43"/>
      <c r="BG81" s="43"/>
      <c r="BH81" s="43"/>
      <c r="BI81" s="43"/>
      <c r="BJ81" s="43"/>
      <c r="BK81" s="43"/>
      <c r="BL81" s="43"/>
      <c r="BM81" s="43"/>
      <c r="BN81" s="43"/>
      <c r="BO81" s="43"/>
      <c r="BP81" s="43"/>
      <c r="BQ81" s="43"/>
      <c r="BR81" s="43"/>
    </row>
    <row r="82" spans="1:70" s="418" customFormat="1" ht="20" hidden="1" outlineLevel="1">
      <c r="A82" s="1041" t="s">
        <v>332</v>
      </c>
      <c r="B82" s="417"/>
      <c r="C82" s="417"/>
      <c r="D82" s="1069"/>
      <c r="E82" s="417"/>
      <c r="G82" s="419"/>
      <c r="H82" s="420"/>
      <c r="I82" s="420"/>
      <c r="J82" s="420"/>
      <c r="K82" s="500"/>
      <c r="L82" s="420"/>
      <c r="M82" s="421"/>
      <c r="N82" s="421"/>
      <c r="O82" s="421"/>
      <c r="P82" s="421"/>
      <c r="Q82" s="421"/>
      <c r="R82" s="531"/>
      <c r="S82" s="421"/>
      <c r="T82" s="420"/>
      <c r="U82" s="420"/>
      <c r="V82" s="420"/>
      <c r="W82" s="420"/>
      <c r="X82" s="500"/>
      <c r="Y82" s="420"/>
      <c r="Z82" s="420"/>
      <c r="AA82" s="420"/>
      <c r="AB82" s="420"/>
      <c r="AC82" s="420"/>
      <c r="AD82" s="420"/>
      <c r="AE82" s="420"/>
      <c r="AF82" s="420"/>
      <c r="AG82" s="420"/>
      <c r="AH82" s="822"/>
      <c r="AI82" s="420"/>
      <c r="AJ82" s="420"/>
      <c r="AK82" s="420"/>
      <c r="AL82" s="420"/>
      <c r="AM82" s="823"/>
      <c r="AN82" s="500"/>
      <c r="AO82" s="417"/>
      <c r="AP82" s="417"/>
      <c r="AQ82" s="417"/>
      <c r="AR82" s="417"/>
      <c r="AS82" s="417"/>
      <c r="AT82" s="417"/>
      <c r="AU82" s="421"/>
      <c r="AV82" s="421"/>
      <c r="AW82" s="421"/>
      <c r="AX82" s="421"/>
      <c r="AY82" s="421"/>
      <c r="AZ82" s="421"/>
      <c r="BG82" s="421"/>
      <c r="BH82" s="421"/>
      <c r="BI82" s="421"/>
      <c r="BJ82" s="421"/>
      <c r="BK82" s="421"/>
      <c r="BL82" s="421"/>
      <c r="BM82" s="421"/>
      <c r="BN82" s="421"/>
      <c r="BO82" s="421"/>
      <c r="BP82" s="421"/>
      <c r="BQ82" s="421"/>
      <c r="BR82" s="421"/>
    </row>
    <row r="83" spans="1:70" s="801" customFormat="1" hidden="1" outlineLevel="1">
      <c r="A83" s="1042" t="s">
        <v>507</v>
      </c>
      <c r="B83" s="934"/>
      <c r="C83" s="934"/>
      <c r="D83" s="1070"/>
      <c r="E83" s="934"/>
      <c r="G83" s="802"/>
      <c r="H83" s="803"/>
      <c r="I83" s="803"/>
      <c r="J83" s="803"/>
      <c r="K83" s="804"/>
      <c r="L83" s="803"/>
      <c r="M83" s="806"/>
      <c r="N83" s="806"/>
      <c r="O83" s="806"/>
      <c r="P83" s="806"/>
      <c r="Q83" s="806"/>
      <c r="R83" s="807"/>
      <c r="S83" s="806"/>
      <c r="T83" s="803"/>
      <c r="U83" s="803"/>
      <c r="V83" s="803"/>
      <c r="W83" s="803"/>
      <c r="X83" s="804"/>
      <c r="Y83" s="803"/>
      <c r="Z83" s="803"/>
      <c r="AA83" s="803"/>
      <c r="AB83" s="803"/>
      <c r="AC83" s="803"/>
      <c r="AD83" s="803"/>
      <c r="AE83" s="803"/>
      <c r="AF83" s="803"/>
      <c r="AG83" s="803"/>
      <c r="AH83" s="824"/>
      <c r="AI83" s="803"/>
      <c r="AJ83" s="803"/>
      <c r="AK83" s="803"/>
      <c r="AL83" s="803"/>
      <c r="AM83" s="825"/>
      <c r="AN83" s="804"/>
      <c r="AO83" s="809"/>
      <c r="AP83" s="809"/>
      <c r="AQ83" s="809"/>
      <c r="AR83" s="809"/>
      <c r="AS83" s="809"/>
      <c r="AT83" s="809"/>
      <c r="AU83" s="806"/>
      <c r="AV83" s="806"/>
      <c r="AW83" s="806"/>
      <c r="AX83" s="806"/>
      <c r="AY83" s="806"/>
      <c r="AZ83" s="806"/>
      <c r="BG83" s="806"/>
      <c r="BH83" s="806"/>
      <c r="BI83" s="806"/>
      <c r="BJ83" s="806"/>
      <c r="BK83" s="806"/>
      <c r="BL83" s="806"/>
      <c r="BM83" s="806"/>
      <c r="BN83" s="806"/>
      <c r="BO83" s="806"/>
      <c r="BP83" s="806"/>
      <c r="BQ83" s="806"/>
      <c r="BR83" s="806"/>
    </row>
    <row r="84" spans="1:70" ht="60" hidden="1" outlineLevel="1">
      <c r="A84" s="161" t="s">
        <v>422</v>
      </c>
      <c r="B84" s="13"/>
      <c r="C84" s="13"/>
      <c r="D84" s="1066"/>
      <c r="E84" s="13"/>
      <c r="F84" s="61"/>
      <c r="G84" s="344" t="s">
        <v>403</v>
      </c>
      <c r="H84" s="13"/>
      <c r="I84" s="13"/>
      <c r="J84" s="13"/>
      <c r="K84" s="297"/>
      <c r="L84" s="13"/>
      <c r="N84" s="344" t="s">
        <v>403</v>
      </c>
      <c r="T84" s="344" t="s">
        <v>403</v>
      </c>
      <c r="AB84" s="13"/>
      <c r="AC84" s="13"/>
      <c r="AD84" s="13"/>
      <c r="AE84" s="13"/>
      <c r="AF84" s="13"/>
      <c r="AG84" s="13"/>
      <c r="AH84" s="826"/>
      <c r="AI84" s="13"/>
      <c r="AJ84" s="13"/>
      <c r="AK84" s="13"/>
      <c r="AL84" s="13"/>
      <c r="AM84" s="614"/>
      <c r="AN84" s="297"/>
      <c r="AO84" s="13"/>
      <c r="AP84" s="13"/>
      <c r="AQ84" s="13"/>
      <c r="AR84" s="13"/>
      <c r="AS84" s="13"/>
      <c r="AT84" s="13"/>
    </row>
    <row r="85" spans="1:70" hidden="1" outlineLevel="1">
      <c r="A85" s="1043" t="s">
        <v>327</v>
      </c>
      <c r="B85" s="2"/>
      <c r="C85" s="2"/>
      <c r="D85" s="1061"/>
      <c r="E85" s="2"/>
      <c r="F85" s="61"/>
      <c r="G85" s="764">
        <f>'База селлеров'!B38</f>
        <v>1.0916349572702888E-4</v>
      </c>
      <c r="H85" s="408">
        <f>'База селлеров'!C38</f>
        <v>1.7230576441102756E-3</v>
      </c>
      <c r="I85" s="408">
        <f>'База селлеров'!D38</f>
        <v>8.2468141254904686E-4</v>
      </c>
      <c r="J85" s="408">
        <f>'База селлеров'!E38</f>
        <v>8.2468141254904686E-4</v>
      </c>
      <c r="K85" s="468"/>
      <c r="L85" s="13"/>
      <c r="N85" s="408">
        <f t="shared" ref="N85:Q89" si="149">G85</f>
        <v>1.0916349572702888E-4</v>
      </c>
      <c r="O85" s="409">
        <f t="shared" si="149"/>
        <v>1.7230576441102756E-3</v>
      </c>
      <c r="P85" s="409">
        <f t="shared" si="149"/>
        <v>8.2468141254904686E-4</v>
      </c>
      <c r="Q85" s="410">
        <f t="shared" si="149"/>
        <v>8.2468141254904686E-4</v>
      </c>
      <c r="T85" s="408">
        <f t="shared" ref="T85:W89" si="150">N85</f>
        <v>1.0916349572702888E-4</v>
      </c>
      <c r="U85" s="409">
        <f t="shared" si="150"/>
        <v>1.7230576441102756E-3</v>
      </c>
      <c r="V85" s="409">
        <f t="shared" si="150"/>
        <v>8.2468141254904686E-4</v>
      </c>
      <c r="W85" s="410">
        <f t="shared" si="150"/>
        <v>8.2468141254904686E-4</v>
      </c>
      <c r="AB85" s="13"/>
      <c r="AC85" s="408">
        <v>0</v>
      </c>
      <c r="AD85" s="409">
        <v>0</v>
      </c>
      <c r="AE85" s="409">
        <v>0</v>
      </c>
      <c r="AF85" s="410">
        <v>0</v>
      </c>
      <c r="AG85" s="13"/>
      <c r="AH85" s="826"/>
      <c r="AI85" s="1160">
        <f>T85/(T85+T86+T87)</f>
        <v>9.6671730423974599E-4</v>
      </c>
      <c r="AJ85" s="1161">
        <f>U85/(U85+U86+U87)</f>
        <v>9.8876404494382016E-3</v>
      </c>
      <c r="AK85" s="1161">
        <f>V85/(V85+V86+V87)</f>
        <v>5.8856328604175697E-3</v>
      </c>
      <c r="AL85" s="1162">
        <f>W85/(W85+W86+W87)</f>
        <v>5.8856328604175697E-3</v>
      </c>
      <c r="AM85" s="614"/>
      <c r="AN85" s="297"/>
      <c r="AO85" s="13"/>
      <c r="AP85" s="13"/>
      <c r="AQ85" s="13"/>
      <c r="AR85" s="13"/>
      <c r="AS85" s="13"/>
      <c r="AT85" s="13"/>
    </row>
    <row r="86" spans="1:70" hidden="1" outlineLevel="1">
      <c r="A86" s="436" t="s">
        <v>429</v>
      </c>
      <c r="B86" s="2"/>
      <c r="C86" s="2"/>
      <c r="D86" s="1061"/>
      <c r="E86" s="2"/>
      <c r="G86" s="402">
        <f>'База селлеров'!B39</f>
        <v>7.5010916349572705E-3</v>
      </c>
      <c r="H86" s="362">
        <f>'База селлеров'!C39</f>
        <v>2.0520050125313282E-2</v>
      </c>
      <c r="I86" s="362">
        <f>'База селлеров'!D39</f>
        <v>1.3273030313552554E-2</v>
      </c>
      <c r="J86" s="362">
        <f>I86</f>
        <v>1.3273030313552554E-2</v>
      </c>
      <c r="K86" s="297"/>
      <c r="L86" s="13"/>
      <c r="N86" s="283">
        <f t="shared" si="149"/>
        <v>7.5010916349572705E-3</v>
      </c>
      <c r="O86" s="74">
        <f t="shared" si="149"/>
        <v>2.0520050125313282E-2</v>
      </c>
      <c r="P86" s="74">
        <f t="shared" si="149"/>
        <v>1.3273030313552554E-2</v>
      </c>
      <c r="Q86" s="289">
        <f t="shared" si="149"/>
        <v>1.3273030313552554E-2</v>
      </c>
      <c r="R86" s="532"/>
      <c r="S86" s="2"/>
      <c r="T86" s="283">
        <f t="shared" si="150"/>
        <v>7.5010916349572705E-3</v>
      </c>
      <c r="U86" s="74">
        <f t="shared" si="150"/>
        <v>2.0520050125313282E-2</v>
      </c>
      <c r="V86" s="74">
        <f t="shared" si="150"/>
        <v>1.3273030313552554E-2</v>
      </c>
      <c r="W86" s="289">
        <f t="shared" si="150"/>
        <v>1.3273030313552554E-2</v>
      </c>
      <c r="AC86" s="283">
        <v>0</v>
      </c>
      <c r="AD86" s="74">
        <v>0</v>
      </c>
      <c r="AE86" s="74">
        <v>0</v>
      </c>
      <c r="AF86" s="289">
        <v>0</v>
      </c>
      <c r="AI86" s="1163">
        <f>T86/(T85+T86+T87)</f>
        <v>6.6427289048473975E-2</v>
      </c>
      <c r="AJ86" s="1164">
        <f>U86/(U85+U86+U87)</f>
        <v>0.11775280898876403</v>
      </c>
      <c r="AK86" s="1164">
        <f>V86/(V85+V86+V87)</f>
        <v>9.4727712037668041E-2</v>
      </c>
      <c r="AL86" s="1165">
        <f>W86/(W85+W86+W87)</f>
        <v>9.4727712037668041E-2</v>
      </c>
      <c r="AO86" s="2"/>
      <c r="AP86" s="2"/>
      <c r="AQ86" s="2"/>
      <c r="AR86" s="2"/>
      <c r="AS86" s="2"/>
      <c r="AT86" s="2"/>
    </row>
    <row r="87" spans="1:70" hidden="1" outlineLevel="1">
      <c r="A87" s="436" t="s">
        <v>65</v>
      </c>
      <c r="B87" s="2"/>
      <c r="C87" s="2"/>
      <c r="D87" s="1061"/>
      <c r="E87" s="2"/>
      <c r="G87" s="402">
        <f>'База селлеров'!B40</f>
        <v>0.10531158380637515</v>
      </c>
      <c r="H87" s="362">
        <f>'База селлеров'!C40</f>
        <v>0.15202067669172933</v>
      </c>
      <c r="I87" s="362">
        <f>'База селлеров'!D40</f>
        <v>0.12602000069446856</v>
      </c>
      <c r="J87" s="362">
        <f>'База селлеров'!E40</f>
        <v>0.12602000069446856</v>
      </c>
      <c r="K87" s="297"/>
      <c r="L87" s="13"/>
      <c r="N87" s="283">
        <f t="shared" si="149"/>
        <v>0.10531158380637515</v>
      </c>
      <c r="O87" s="74">
        <f t="shared" si="149"/>
        <v>0.15202067669172933</v>
      </c>
      <c r="P87" s="74">
        <f t="shared" si="149"/>
        <v>0.12602000069446856</v>
      </c>
      <c r="Q87" s="289">
        <f t="shared" si="149"/>
        <v>0.12602000069446856</v>
      </c>
      <c r="R87" s="532"/>
      <c r="S87" s="2"/>
      <c r="T87" s="283">
        <f t="shared" si="150"/>
        <v>0.10531158380637515</v>
      </c>
      <c r="U87" s="74">
        <f t="shared" si="150"/>
        <v>0.15202067669172933</v>
      </c>
      <c r="V87" s="74">
        <f t="shared" si="150"/>
        <v>0.12602000069446856</v>
      </c>
      <c r="W87" s="289">
        <f t="shared" si="150"/>
        <v>0.12602000069446856</v>
      </c>
      <c r="AC87" s="283">
        <v>0</v>
      </c>
      <c r="AD87" s="74">
        <v>0</v>
      </c>
      <c r="AE87" s="74">
        <v>0</v>
      </c>
      <c r="AF87" s="289">
        <v>0</v>
      </c>
      <c r="AI87" s="1163">
        <f>T87/(T85+T86+T87)</f>
        <v>0.93260599364728636</v>
      </c>
      <c r="AJ87" s="1164">
        <f>U87/(U85+U86+U87)</f>
        <v>0.8723595505617977</v>
      </c>
      <c r="AK87" s="1164">
        <f>V87/(V85+V86+V87)</f>
        <v>0.89938665510191429</v>
      </c>
      <c r="AL87" s="1165">
        <f>W87/(W85+W86+W87)</f>
        <v>0.89938665510191429</v>
      </c>
      <c r="AO87" s="2"/>
      <c r="AP87" s="2"/>
      <c r="AQ87" s="2"/>
      <c r="AR87" s="2"/>
      <c r="AS87" s="2"/>
      <c r="AT87" s="2"/>
    </row>
    <row r="88" spans="1:70" hidden="1" outlineLevel="1">
      <c r="A88" s="436" t="s">
        <v>66</v>
      </c>
      <c r="B88" s="2"/>
      <c r="C88" s="2"/>
      <c r="D88" s="1061"/>
      <c r="E88" s="2"/>
      <c r="G88" s="402">
        <f>'База селлеров'!B41</f>
        <v>0.88707816106294057</v>
      </c>
      <c r="H88" s="362">
        <f>'База селлеров'!C41</f>
        <v>0.82573621553884713</v>
      </c>
      <c r="I88" s="362">
        <f>'База селлеров'!D41</f>
        <v>0.85988228757942986</v>
      </c>
      <c r="J88" s="362">
        <f>'База селлеров'!E41</f>
        <v>0.85988228757942986</v>
      </c>
      <c r="K88" s="297"/>
      <c r="L88" s="13"/>
      <c r="N88" s="283">
        <f t="shared" si="149"/>
        <v>0.88707816106294057</v>
      </c>
      <c r="O88" s="74">
        <f t="shared" si="149"/>
        <v>0.82573621553884713</v>
      </c>
      <c r="P88" s="74">
        <f t="shared" si="149"/>
        <v>0.85988228757942986</v>
      </c>
      <c r="Q88" s="289">
        <f t="shared" si="149"/>
        <v>0.85988228757942986</v>
      </c>
      <c r="R88" s="532"/>
      <c r="S88" s="2"/>
      <c r="T88" s="283">
        <f t="shared" si="150"/>
        <v>0.88707816106294057</v>
      </c>
      <c r="U88" s="74">
        <f t="shared" si="150"/>
        <v>0.82573621553884713</v>
      </c>
      <c r="V88" s="74">
        <f t="shared" si="150"/>
        <v>0.85988228757942986</v>
      </c>
      <c r="W88" s="289">
        <f t="shared" si="150"/>
        <v>0.85988228757942986</v>
      </c>
      <c r="AC88" s="283">
        <v>1</v>
      </c>
      <c r="AD88" s="74">
        <v>1</v>
      </c>
      <c r="AE88" s="74">
        <v>1</v>
      </c>
      <c r="AF88" s="289">
        <v>1</v>
      </c>
      <c r="AI88" s="283">
        <v>0</v>
      </c>
      <c r="AJ88" s="74">
        <v>0</v>
      </c>
      <c r="AK88" s="74">
        <v>0</v>
      </c>
      <c r="AL88" s="289">
        <v>0</v>
      </c>
      <c r="AO88" s="2"/>
      <c r="AP88" s="2"/>
      <c r="AQ88" s="2"/>
      <c r="AR88" s="2"/>
      <c r="AS88" s="2"/>
      <c r="AT88" s="2"/>
    </row>
    <row r="89" spans="1:70" hidden="1" outlineLevel="1">
      <c r="A89" s="436" t="s">
        <v>328</v>
      </c>
      <c r="B89" s="2"/>
      <c r="C89" s="2"/>
      <c r="D89" s="1061"/>
      <c r="E89" s="2"/>
      <c r="G89" s="643">
        <v>0</v>
      </c>
      <c r="H89" s="644">
        <v>0</v>
      </c>
      <c r="I89" s="644">
        <v>0</v>
      </c>
      <c r="J89" s="644">
        <v>0</v>
      </c>
      <c r="K89" s="297"/>
      <c r="L89" s="13"/>
      <c r="N89" s="283">
        <f t="shared" si="149"/>
        <v>0</v>
      </c>
      <c r="O89" s="74">
        <f t="shared" si="149"/>
        <v>0</v>
      </c>
      <c r="P89" s="74">
        <f t="shared" si="149"/>
        <v>0</v>
      </c>
      <c r="Q89" s="289">
        <f t="shared" si="149"/>
        <v>0</v>
      </c>
      <c r="R89" s="532"/>
      <c r="S89" s="2"/>
      <c r="T89" s="283">
        <f t="shared" si="150"/>
        <v>0</v>
      </c>
      <c r="U89" s="74">
        <f t="shared" si="150"/>
        <v>0</v>
      </c>
      <c r="V89" s="74">
        <f t="shared" si="150"/>
        <v>0</v>
      </c>
      <c r="W89" s="289">
        <f t="shared" si="150"/>
        <v>0</v>
      </c>
      <c r="AC89" s="283">
        <v>0</v>
      </c>
      <c r="AD89" s="74">
        <v>0</v>
      </c>
      <c r="AE89" s="74">
        <v>0</v>
      </c>
      <c r="AF89" s="289">
        <v>0</v>
      </c>
      <c r="AI89" s="283">
        <f t="shared" ref="AI89" si="151">AC89</f>
        <v>0</v>
      </c>
      <c r="AJ89" s="74">
        <f>AD89</f>
        <v>0</v>
      </c>
      <c r="AK89" s="74">
        <f t="shared" ref="AK89:AL89" si="152">AE89</f>
        <v>0</v>
      </c>
      <c r="AL89" s="289">
        <f t="shared" si="152"/>
        <v>0</v>
      </c>
      <c r="AO89" s="2"/>
      <c r="AP89" s="2"/>
      <c r="AQ89" s="2"/>
      <c r="AR89" s="2"/>
      <c r="AS89" s="2"/>
      <c r="AT89" s="2"/>
    </row>
    <row r="90" spans="1:70" hidden="1" outlineLevel="1">
      <c r="A90" s="1044"/>
      <c r="B90" s="2"/>
      <c r="C90" s="2"/>
      <c r="D90" s="1061"/>
      <c r="E90" s="2"/>
      <c r="G90" s="403"/>
      <c r="H90" s="404"/>
      <c r="I90" s="424"/>
      <c r="J90" s="404"/>
      <c r="K90" s="501"/>
      <c r="L90" s="362"/>
      <c r="N90" s="286"/>
      <c r="O90" s="287"/>
      <c r="P90" s="287"/>
      <c r="Q90" s="288"/>
      <c r="S90" s="2"/>
      <c r="T90" s="286"/>
      <c r="U90" s="287"/>
      <c r="V90" s="287"/>
      <c r="W90" s="288"/>
      <c r="AC90" s="286"/>
      <c r="AD90" s="287"/>
      <c r="AE90" s="287"/>
      <c r="AF90" s="288"/>
      <c r="AI90" s="286"/>
      <c r="AJ90" s="287"/>
      <c r="AK90" s="287"/>
      <c r="AL90" s="288"/>
      <c r="AO90" s="2"/>
      <c r="AP90" s="2"/>
      <c r="AQ90" s="2"/>
      <c r="AR90" s="2"/>
      <c r="AS90" s="2"/>
      <c r="AT90" s="2"/>
    </row>
    <row r="91" spans="1:70" hidden="1" outlineLevel="1">
      <c r="A91" s="161"/>
      <c r="B91" s="13"/>
      <c r="C91" s="13"/>
      <c r="D91" s="1066"/>
      <c r="E91" s="13"/>
      <c r="G91" s="400"/>
      <c r="H91" s="154"/>
      <c r="I91" s="401"/>
      <c r="J91" s="154"/>
      <c r="K91" s="299"/>
      <c r="L91" s="154"/>
      <c r="T91" s="154"/>
      <c r="U91" s="154"/>
      <c r="V91" s="154"/>
      <c r="W91" s="154"/>
      <c r="X91" s="299"/>
      <c r="Y91" s="154"/>
      <c r="Z91" s="154"/>
      <c r="AA91" s="154"/>
      <c r="AB91" s="154"/>
      <c r="AC91" s="154"/>
      <c r="AD91" s="154"/>
      <c r="AE91" s="154"/>
      <c r="AF91" s="154"/>
      <c r="AG91" s="154"/>
      <c r="AH91" s="615"/>
      <c r="AI91" s="154"/>
      <c r="AJ91" s="154"/>
      <c r="AK91" s="154"/>
      <c r="AL91" s="154"/>
      <c r="AM91" s="684"/>
      <c r="AN91" s="299"/>
      <c r="AO91" s="13"/>
      <c r="AP91" s="13"/>
      <c r="AQ91" s="13"/>
      <c r="AR91" s="13"/>
      <c r="AS91" s="13"/>
      <c r="AT91" s="13"/>
    </row>
    <row r="92" spans="1:70" hidden="1" outlineLevel="1">
      <c r="A92" s="161"/>
      <c r="B92" s="13"/>
      <c r="C92" s="13"/>
      <c r="D92" s="1066"/>
      <c r="E92" s="13"/>
      <c r="G92" s="400"/>
      <c r="H92" s="154"/>
      <c r="I92" s="154"/>
      <c r="J92" s="154"/>
      <c r="K92" s="299"/>
      <c r="L92" s="154"/>
      <c r="T92" s="154"/>
      <c r="U92" s="154"/>
      <c r="V92" s="154"/>
      <c r="W92" s="154"/>
      <c r="X92" s="299"/>
      <c r="Y92" s="154"/>
      <c r="Z92" s="154"/>
      <c r="AA92" s="154"/>
      <c r="AB92" s="154"/>
      <c r="AC92" s="154"/>
      <c r="AD92" s="154"/>
      <c r="AE92" s="154"/>
      <c r="AF92" s="154"/>
      <c r="AG92" s="154"/>
      <c r="AH92" s="615"/>
      <c r="AI92" s="154"/>
      <c r="AJ92" s="154"/>
      <c r="AK92" s="154"/>
      <c r="AL92" s="154"/>
      <c r="AM92" s="684"/>
      <c r="AN92" s="299"/>
      <c r="AO92" s="13"/>
      <c r="AP92" s="13"/>
      <c r="AQ92" s="13"/>
      <c r="AR92" s="13"/>
      <c r="AS92" s="13"/>
      <c r="AT92" s="13"/>
    </row>
    <row r="93" spans="1:70" s="425" customFormat="1" ht="80" hidden="1" outlineLevel="1">
      <c r="A93" s="382" t="s">
        <v>348</v>
      </c>
      <c r="B93" s="452"/>
      <c r="C93" s="452"/>
      <c r="D93" s="1071"/>
      <c r="E93" s="452"/>
      <c r="F93" s="356"/>
      <c r="G93" s="399" t="s">
        <v>404</v>
      </c>
      <c r="H93" s="43"/>
      <c r="I93" s="43"/>
      <c r="J93" s="43"/>
      <c r="K93" s="503"/>
      <c r="L93" s="43"/>
      <c r="M93" s="71" t="s">
        <v>363</v>
      </c>
      <c r="N93" s="399" t="s">
        <v>334</v>
      </c>
      <c r="O93" s="43"/>
      <c r="P93" s="43"/>
      <c r="Q93" s="43"/>
      <c r="R93" s="503"/>
      <c r="S93" s="43"/>
      <c r="T93" s="399" t="s">
        <v>334</v>
      </c>
      <c r="U93" s="43"/>
      <c r="V93" s="43"/>
      <c r="W93" s="43"/>
      <c r="X93" s="503"/>
      <c r="Y93" s="43"/>
      <c r="Z93" s="43"/>
      <c r="AA93" s="43"/>
      <c r="AB93" s="43"/>
      <c r="AC93" s="43"/>
      <c r="AD93" s="43"/>
      <c r="AE93" s="43"/>
      <c r="AF93" s="43"/>
      <c r="AG93" s="43"/>
      <c r="AH93" s="827"/>
      <c r="AI93" s="43"/>
      <c r="AJ93" s="43"/>
      <c r="AK93" s="43"/>
      <c r="AL93" s="43"/>
      <c r="AM93" s="828"/>
      <c r="AN93" s="503"/>
      <c r="AO93" s="43"/>
      <c r="AP93" s="43"/>
      <c r="AQ93" s="43"/>
      <c r="AR93" s="43"/>
      <c r="AS93" s="43"/>
      <c r="AT93" s="43"/>
      <c r="AU93" s="43"/>
      <c r="AV93" s="43"/>
      <c r="AW93" s="43"/>
      <c r="AX93" s="43"/>
      <c r="AY93" s="43"/>
      <c r="AZ93" s="43"/>
      <c r="BG93" s="43"/>
      <c r="BH93" s="43"/>
      <c r="BI93" s="43"/>
      <c r="BJ93" s="43"/>
      <c r="BK93" s="43"/>
      <c r="BL93" s="43"/>
      <c r="BM93" s="43"/>
      <c r="BN93" s="43"/>
      <c r="BO93" s="43"/>
      <c r="BP93" s="43"/>
      <c r="BQ93" s="43"/>
      <c r="BR93" s="43"/>
    </row>
    <row r="94" spans="1:70" hidden="1" outlineLevel="1">
      <c r="A94" s="436" t="s">
        <v>64</v>
      </c>
      <c r="B94" s="2"/>
      <c r="C94" s="2"/>
      <c r="D94" s="1061"/>
      <c r="E94" s="2"/>
      <c r="G94" s="423"/>
      <c r="K94" s="504"/>
      <c r="L94" s="423"/>
      <c r="T94" s="423"/>
    </row>
    <row r="95" spans="1:70" hidden="1" outlineLevel="1">
      <c r="A95" s="1043" t="s">
        <v>327</v>
      </c>
      <c r="B95" s="2"/>
      <c r="C95" s="2"/>
      <c r="D95" s="1061"/>
      <c r="E95" s="2"/>
      <c r="G95" s="367">
        <f t="shared" ref="G95:J100" si="153">G104/2</f>
        <v>55362.5</v>
      </c>
      <c r="H95" s="368">
        <f t="shared" si="153"/>
        <v>55362.5</v>
      </c>
      <c r="I95" s="368">
        <f t="shared" si="153"/>
        <v>55362.5</v>
      </c>
      <c r="J95" s="369">
        <f t="shared" si="153"/>
        <v>55362.5</v>
      </c>
      <c r="K95" s="504"/>
      <c r="L95" s="423"/>
      <c r="M95" s="423"/>
      <c r="N95" s="367">
        <f>N112/2*N120</f>
        <v>59174.344262295082</v>
      </c>
      <c r="O95" s="368">
        <f>N95</f>
        <v>59174.344262295082</v>
      </c>
      <c r="P95" s="368">
        <f>O95</f>
        <v>59174.344262295082</v>
      </c>
      <c r="Q95" s="369">
        <f>P95</f>
        <v>59174.344262295082</v>
      </c>
      <c r="T95" s="413">
        <f t="shared" ref="T95:T100" si="154">N95</f>
        <v>59174.344262295082</v>
      </c>
      <c r="U95" s="368">
        <f>T95</f>
        <v>59174.344262295082</v>
      </c>
      <c r="V95" s="368">
        <f t="shared" ref="V95:W95" si="155">U95</f>
        <v>59174.344262295082</v>
      </c>
      <c r="W95" s="369">
        <f t="shared" si="155"/>
        <v>59174.344262295082</v>
      </c>
      <c r="AC95" s="413">
        <f>T95</f>
        <v>59174.344262295082</v>
      </c>
      <c r="AD95" s="368">
        <f>AC95</f>
        <v>59174.344262295082</v>
      </c>
      <c r="AE95" s="368">
        <f t="shared" ref="AE95:AF100" si="156">AD95</f>
        <v>59174.344262295082</v>
      </c>
      <c r="AF95" s="369">
        <f t="shared" si="156"/>
        <v>59174.344262295082</v>
      </c>
      <c r="AI95" s="413">
        <f>AC95</f>
        <v>59174.344262295082</v>
      </c>
      <c r="AJ95" s="368">
        <f>AI95</f>
        <v>59174.344262295082</v>
      </c>
      <c r="AK95" s="368">
        <f t="shared" ref="AK95:AL100" si="157">AJ95</f>
        <v>59174.344262295082</v>
      </c>
      <c r="AL95" s="369">
        <f t="shared" si="157"/>
        <v>59174.344262295082</v>
      </c>
    </row>
    <row r="96" spans="1:70" hidden="1" outlineLevel="1">
      <c r="A96" s="436" t="s">
        <v>62</v>
      </c>
      <c r="B96" s="2"/>
      <c r="C96" s="2"/>
      <c r="D96" s="1061"/>
      <c r="E96" s="2"/>
      <c r="G96" s="370">
        <f t="shared" si="153"/>
        <v>35026.5</v>
      </c>
      <c r="H96" s="169">
        <f t="shared" si="153"/>
        <v>35026.5</v>
      </c>
      <c r="I96" s="169">
        <f t="shared" si="153"/>
        <v>35026.5</v>
      </c>
      <c r="J96" s="371">
        <f t="shared" si="153"/>
        <v>35026.5</v>
      </c>
      <c r="K96" s="504"/>
      <c r="L96" s="423"/>
      <c r="M96" s="423"/>
      <c r="N96" s="370">
        <f t="shared" ref="N96:N100" si="158">N113/2*N121</f>
        <v>38183.394849785407</v>
      </c>
      <c r="O96" s="169">
        <f t="shared" ref="O96:Q100" si="159">N96</f>
        <v>38183.394849785407</v>
      </c>
      <c r="P96" s="169">
        <f t="shared" si="159"/>
        <v>38183.394849785407</v>
      </c>
      <c r="Q96" s="371">
        <f t="shared" si="159"/>
        <v>38183.394849785407</v>
      </c>
      <c r="T96" s="414">
        <f t="shared" si="154"/>
        <v>38183.394849785407</v>
      </c>
      <c r="U96" s="169">
        <f t="shared" ref="U96:W100" si="160">T96</f>
        <v>38183.394849785407</v>
      </c>
      <c r="V96" s="169">
        <f t="shared" si="160"/>
        <v>38183.394849785407</v>
      </c>
      <c r="W96" s="371">
        <f t="shared" si="160"/>
        <v>38183.394849785407</v>
      </c>
      <c r="AB96" s="154"/>
      <c r="AC96" s="414">
        <f t="shared" ref="AC96:AC100" si="161">T96</f>
        <v>38183.394849785407</v>
      </c>
      <c r="AD96" s="169">
        <f t="shared" ref="AD96:AD100" si="162">AC96</f>
        <v>38183.394849785407</v>
      </c>
      <c r="AE96" s="169">
        <f t="shared" si="156"/>
        <v>38183.394849785407</v>
      </c>
      <c r="AF96" s="371">
        <f t="shared" si="156"/>
        <v>38183.394849785407</v>
      </c>
      <c r="AG96" s="154"/>
      <c r="AH96" s="615"/>
      <c r="AI96" s="414">
        <f t="shared" ref="AI96:AI100" si="163">AC96</f>
        <v>38183.394849785407</v>
      </c>
      <c r="AJ96" s="169">
        <f t="shared" ref="AJ96:AJ100" si="164">AI96</f>
        <v>38183.394849785407</v>
      </c>
      <c r="AK96" s="169">
        <f t="shared" si="157"/>
        <v>38183.394849785407</v>
      </c>
      <c r="AL96" s="371">
        <f t="shared" si="157"/>
        <v>38183.394849785407</v>
      </c>
      <c r="AM96" s="684"/>
      <c r="AN96" s="299"/>
      <c r="AO96" s="2"/>
      <c r="AP96" s="2"/>
      <c r="AQ96" s="2"/>
      <c r="AR96" s="2"/>
      <c r="AS96" s="2"/>
      <c r="AT96" s="2"/>
    </row>
    <row r="97" spans="1:70" hidden="1" outlineLevel="1">
      <c r="A97" s="436" t="s">
        <v>65</v>
      </c>
      <c r="B97" s="2"/>
      <c r="C97" s="2"/>
      <c r="D97" s="1061"/>
      <c r="E97" s="2"/>
      <c r="G97" s="370">
        <f t="shared" si="153"/>
        <v>23721.5</v>
      </c>
      <c r="H97" s="169">
        <f t="shared" si="153"/>
        <v>23721.5</v>
      </c>
      <c r="I97" s="169">
        <f t="shared" si="153"/>
        <v>23721.5</v>
      </c>
      <c r="J97" s="371">
        <f t="shared" si="153"/>
        <v>23721.5</v>
      </c>
      <c r="K97" s="504"/>
      <c r="L97" s="423"/>
      <c r="M97" s="423"/>
      <c r="N97" s="370">
        <f t="shared" si="158"/>
        <v>26600.988439306362</v>
      </c>
      <c r="O97" s="169">
        <f t="shared" si="159"/>
        <v>26600.988439306362</v>
      </c>
      <c r="P97" s="169">
        <f t="shared" si="159"/>
        <v>26600.988439306362</v>
      </c>
      <c r="Q97" s="371">
        <f t="shared" si="159"/>
        <v>26600.988439306362</v>
      </c>
      <c r="T97" s="414">
        <f t="shared" si="154"/>
        <v>26600.988439306362</v>
      </c>
      <c r="U97" s="169">
        <f t="shared" si="160"/>
        <v>26600.988439306362</v>
      </c>
      <c r="V97" s="169">
        <f t="shared" si="160"/>
        <v>26600.988439306362</v>
      </c>
      <c r="W97" s="371">
        <f t="shared" si="160"/>
        <v>26600.988439306362</v>
      </c>
      <c r="AB97" s="154"/>
      <c r="AC97" s="414">
        <f t="shared" si="161"/>
        <v>26600.988439306362</v>
      </c>
      <c r="AD97" s="169">
        <f t="shared" si="162"/>
        <v>26600.988439306362</v>
      </c>
      <c r="AE97" s="169">
        <f t="shared" si="156"/>
        <v>26600.988439306362</v>
      </c>
      <c r="AF97" s="371">
        <f t="shared" si="156"/>
        <v>26600.988439306362</v>
      </c>
      <c r="AG97" s="154"/>
      <c r="AH97" s="615"/>
      <c r="AI97" s="414">
        <f t="shared" si="163"/>
        <v>26600.988439306362</v>
      </c>
      <c r="AJ97" s="169">
        <f t="shared" si="164"/>
        <v>26600.988439306362</v>
      </c>
      <c r="AK97" s="169">
        <f t="shared" si="157"/>
        <v>26600.988439306362</v>
      </c>
      <c r="AL97" s="371">
        <f t="shared" si="157"/>
        <v>26600.988439306362</v>
      </c>
      <c r="AM97" s="684"/>
      <c r="AN97" s="299"/>
      <c r="AO97" s="2"/>
      <c r="AP97" s="2"/>
      <c r="AQ97" s="2"/>
      <c r="AR97" s="2"/>
      <c r="AS97" s="2"/>
      <c r="AT97" s="2"/>
    </row>
    <row r="98" spans="1:70" hidden="1" outlineLevel="1">
      <c r="A98" s="436" t="s">
        <v>66</v>
      </c>
      <c r="B98" s="2"/>
      <c r="C98" s="2"/>
      <c r="D98" s="1061"/>
      <c r="E98" s="2"/>
      <c r="G98" s="370">
        <f t="shared" si="153"/>
        <v>20475.5</v>
      </c>
      <c r="H98" s="169">
        <f t="shared" si="153"/>
        <v>20475.5</v>
      </c>
      <c r="I98" s="169">
        <f t="shared" si="153"/>
        <v>20475.5</v>
      </c>
      <c r="J98" s="371">
        <f t="shared" si="153"/>
        <v>20475.5</v>
      </c>
      <c r="K98" s="504"/>
      <c r="L98" s="423"/>
      <c r="M98" s="423"/>
      <c r="N98" s="370">
        <f t="shared" si="158"/>
        <v>23361.308724832215</v>
      </c>
      <c r="O98" s="169">
        <f t="shared" si="159"/>
        <v>23361.308724832215</v>
      </c>
      <c r="P98" s="169">
        <f t="shared" si="159"/>
        <v>23361.308724832215</v>
      </c>
      <c r="Q98" s="371">
        <f t="shared" si="159"/>
        <v>23361.308724832215</v>
      </c>
      <c r="T98" s="414">
        <f t="shared" si="154"/>
        <v>23361.308724832215</v>
      </c>
      <c r="U98" s="169">
        <f t="shared" si="160"/>
        <v>23361.308724832215</v>
      </c>
      <c r="V98" s="169">
        <f t="shared" si="160"/>
        <v>23361.308724832215</v>
      </c>
      <c r="W98" s="371">
        <f t="shared" si="160"/>
        <v>23361.308724832215</v>
      </c>
      <c r="AB98" s="154"/>
      <c r="AC98" s="414">
        <f t="shared" si="161"/>
        <v>23361.308724832215</v>
      </c>
      <c r="AD98" s="169">
        <f t="shared" si="162"/>
        <v>23361.308724832215</v>
      </c>
      <c r="AE98" s="169">
        <f t="shared" si="156"/>
        <v>23361.308724832215</v>
      </c>
      <c r="AF98" s="371">
        <f t="shared" si="156"/>
        <v>23361.308724832215</v>
      </c>
      <c r="AG98" s="154"/>
      <c r="AH98" s="615"/>
      <c r="AI98" s="414">
        <f t="shared" si="163"/>
        <v>23361.308724832215</v>
      </c>
      <c r="AJ98" s="169">
        <f t="shared" si="164"/>
        <v>23361.308724832215</v>
      </c>
      <c r="AK98" s="169">
        <f t="shared" si="157"/>
        <v>23361.308724832215</v>
      </c>
      <c r="AL98" s="371">
        <f t="shared" si="157"/>
        <v>23361.308724832215</v>
      </c>
      <c r="AM98" s="684"/>
      <c r="AN98" s="299"/>
      <c r="AO98" s="2"/>
      <c r="AP98" s="2"/>
      <c r="AQ98" s="2"/>
      <c r="AR98" s="2"/>
      <c r="AS98" s="2"/>
      <c r="AT98" s="2"/>
    </row>
    <row r="99" spans="1:70" hidden="1" outlineLevel="1">
      <c r="A99" s="436" t="s">
        <v>328</v>
      </c>
      <c r="B99" s="2"/>
      <c r="C99" s="2"/>
      <c r="D99" s="1061"/>
      <c r="E99" s="2"/>
      <c r="G99" s="370">
        <f t="shared" si="153"/>
        <v>16914</v>
      </c>
      <c r="H99" s="169">
        <f t="shared" si="153"/>
        <v>16914</v>
      </c>
      <c r="I99" s="169">
        <f t="shared" si="153"/>
        <v>16914</v>
      </c>
      <c r="J99" s="371">
        <f t="shared" si="153"/>
        <v>16914</v>
      </c>
      <c r="K99" s="504"/>
      <c r="L99" s="423"/>
      <c r="M99" s="423"/>
      <c r="N99" s="370">
        <f t="shared" si="158"/>
        <v>19667.441860465118</v>
      </c>
      <c r="O99" s="169">
        <f t="shared" si="159"/>
        <v>19667.441860465118</v>
      </c>
      <c r="P99" s="169">
        <f t="shared" si="159"/>
        <v>19667.441860465118</v>
      </c>
      <c r="Q99" s="371">
        <f t="shared" si="159"/>
        <v>19667.441860465118</v>
      </c>
      <c r="T99" s="414">
        <f t="shared" si="154"/>
        <v>19667.441860465118</v>
      </c>
      <c r="U99" s="169">
        <f t="shared" si="160"/>
        <v>19667.441860465118</v>
      </c>
      <c r="V99" s="169">
        <f t="shared" si="160"/>
        <v>19667.441860465118</v>
      </c>
      <c r="W99" s="371">
        <f t="shared" si="160"/>
        <v>19667.441860465118</v>
      </c>
      <c r="AB99" s="154"/>
      <c r="AC99" s="414">
        <f t="shared" si="161"/>
        <v>19667.441860465118</v>
      </c>
      <c r="AD99" s="169">
        <f t="shared" si="162"/>
        <v>19667.441860465118</v>
      </c>
      <c r="AE99" s="169">
        <f t="shared" si="156"/>
        <v>19667.441860465118</v>
      </c>
      <c r="AF99" s="371">
        <f t="shared" si="156"/>
        <v>19667.441860465118</v>
      </c>
      <c r="AG99" s="154"/>
      <c r="AH99" s="615"/>
      <c r="AI99" s="414">
        <f t="shared" si="163"/>
        <v>19667.441860465118</v>
      </c>
      <c r="AJ99" s="169">
        <f t="shared" si="164"/>
        <v>19667.441860465118</v>
      </c>
      <c r="AK99" s="169">
        <f t="shared" si="157"/>
        <v>19667.441860465118</v>
      </c>
      <c r="AL99" s="371">
        <f t="shared" si="157"/>
        <v>19667.441860465118</v>
      </c>
      <c r="AM99" s="684"/>
      <c r="AN99" s="299"/>
      <c r="AO99" s="2"/>
      <c r="AP99" s="2"/>
      <c r="AQ99" s="2"/>
      <c r="AR99" s="2"/>
      <c r="AS99" s="2"/>
      <c r="AT99" s="2"/>
    </row>
    <row r="100" spans="1:70" hidden="1" outlineLevel="1">
      <c r="A100" s="1044" t="s">
        <v>329</v>
      </c>
      <c r="B100" s="2"/>
      <c r="C100" s="2"/>
      <c r="D100" s="1061"/>
      <c r="E100" s="2"/>
      <c r="G100" s="372">
        <f t="shared" si="153"/>
        <v>10790.5</v>
      </c>
      <c r="H100" s="373">
        <f t="shared" si="153"/>
        <v>10790.5</v>
      </c>
      <c r="I100" s="373">
        <f t="shared" si="153"/>
        <v>10790.5</v>
      </c>
      <c r="J100" s="374">
        <f t="shared" si="153"/>
        <v>10790.5</v>
      </c>
      <c r="K100" s="504"/>
      <c r="L100" s="423"/>
      <c r="M100" s="423"/>
      <c r="N100" s="372">
        <f t="shared" si="158"/>
        <v>13126.58762886598</v>
      </c>
      <c r="O100" s="373">
        <f t="shared" si="159"/>
        <v>13126.58762886598</v>
      </c>
      <c r="P100" s="373">
        <f t="shared" si="159"/>
        <v>13126.58762886598</v>
      </c>
      <c r="Q100" s="374">
        <f t="shared" si="159"/>
        <v>13126.58762886598</v>
      </c>
      <c r="T100" s="415">
        <f t="shared" si="154"/>
        <v>13126.58762886598</v>
      </c>
      <c r="U100" s="373">
        <f t="shared" si="160"/>
        <v>13126.58762886598</v>
      </c>
      <c r="V100" s="373">
        <f t="shared" si="160"/>
        <v>13126.58762886598</v>
      </c>
      <c r="W100" s="374">
        <f t="shared" si="160"/>
        <v>13126.58762886598</v>
      </c>
      <c r="AB100" s="154"/>
      <c r="AC100" s="415">
        <f t="shared" si="161"/>
        <v>13126.58762886598</v>
      </c>
      <c r="AD100" s="373">
        <f t="shared" si="162"/>
        <v>13126.58762886598</v>
      </c>
      <c r="AE100" s="373">
        <f t="shared" si="156"/>
        <v>13126.58762886598</v>
      </c>
      <c r="AF100" s="374">
        <f t="shared" si="156"/>
        <v>13126.58762886598</v>
      </c>
      <c r="AG100" s="154"/>
      <c r="AH100" s="615"/>
      <c r="AI100" s="415">
        <f t="shared" si="163"/>
        <v>13126.58762886598</v>
      </c>
      <c r="AJ100" s="373">
        <f t="shared" si="164"/>
        <v>13126.58762886598</v>
      </c>
      <c r="AK100" s="373">
        <f t="shared" si="157"/>
        <v>13126.58762886598</v>
      </c>
      <c r="AL100" s="374">
        <f t="shared" si="157"/>
        <v>13126.58762886598</v>
      </c>
      <c r="AM100" s="684"/>
      <c r="AN100" s="299"/>
      <c r="AO100" s="2"/>
      <c r="AP100" s="2"/>
      <c r="AQ100" s="2"/>
      <c r="AR100" s="2"/>
      <c r="AS100" s="2"/>
      <c r="AT100" s="2"/>
    </row>
    <row r="101" spans="1:70" hidden="1" outlineLevel="1">
      <c r="A101" s="436"/>
      <c r="B101" s="2"/>
      <c r="C101" s="2"/>
      <c r="D101" s="1061"/>
      <c r="E101" s="2"/>
      <c r="G101" s="169"/>
      <c r="H101" s="169"/>
      <c r="I101" s="169"/>
      <c r="J101" s="169"/>
      <c r="K101" s="407"/>
      <c r="L101" s="169"/>
      <c r="M101" s="423"/>
      <c r="N101" s="169"/>
      <c r="O101" s="169"/>
      <c r="P101" s="169"/>
      <c r="Q101" s="169"/>
      <c r="T101" s="169"/>
      <c r="U101" s="169"/>
      <c r="V101" s="169"/>
      <c r="W101" s="169"/>
      <c r="AB101" s="154"/>
      <c r="AC101" s="154"/>
      <c r="AD101" s="154"/>
      <c r="AE101" s="154"/>
      <c r="AF101" s="154"/>
      <c r="AG101" s="154"/>
      <c r="AH101" s="615"/>
      <c r="AI101" s="154"/>
      <c r="AJ101" s="154"/>
      <c r="AK101" s="154"/>
      <c r="AL101" s="154"/>
      <c r="AM101" s="684"/>
      <c r="AN101" s="299"/>
      <c r="AO101" s="2"/>
      <c r="AP101" s="2"/>
      <c r="AQ101" s="2"/>
      <c r="AR101" s="2"/>
      <c r="AS101" s="2"/>
      <c r="AT101" s="2"/>
    </row>
    <row r="102" spans="1:70" s="489" customFormat="1" hidden="1" outlineLevel="1">
      <c r="A102" s="551" t="s">
        <v>347</v>
      </c>
      <c r="B102" s="148"/>
      <c r="C102" s="148"/>
      <c r="D102" s="1072"/>
      <c r="E102" s="148"/>
      <c r="F102" s="728"/>
      <c r="G102" s="506"/>
      <c r="H102" s="148"/>
      <c r="I102" s="148"/>
      <c r="J102" s="148"/>
      <c r="K102" s="507"/>
      <c r="L102" s="148"/>
      <c r="M102" s="21"/>
      <c r="N102" s="534"/>
      <c r="O102" s="21"/>
      <c r="P102" s="21"/>
      <c r="Q102" s="21"/>
      <c r="R102" s="535"/>
      <c r="S102" s="148"/>
      <c r="T102" s="405"/>
      <c r="U102" s="405"/>
      <c r="V102" s="405"/>
      <c r="W102" s="405"/>
      <c r="X102" s="1313"/>
      <c r="Y102" s="405"/>
      <c r="Z102" s="405"/>
      <c r="AA102" s="405"/>
      <c r="AB102" s="148"/>
      <c r="AC102" s="148"/>
      <c r="AD102" s="148"/>
      <c r="AE102" s="148"/>
      <c r="AF102" s="148"/>
      <c r="AG102" s="148"/>
      <c r="AH102" s="829"/>
      <c r="AI102" s="148"/>
      <c r="AJ102" s="148"/>
      <c r="AK102" s="148"/>
      <c r="AL102" s="148"/>
      <c r="AM102" s="830"/>
      <c r="AN102" s="507"/>
      <c r="AO102" s="148"/>
      <c r="AP102" s="148"/>
      <c r="AQ102" s="148"/>
      <c r="AR102" s="148"/>
      <c r="AS102" s="148"/>
      <c r="AT102" s="148"/>
      <c r="AU102" s="21"/>
      <c r="AV102" s="21"/>
      <c r="AW102" s="21"/>
      <c r="AX102" s="21"/>
      <c r="AY102" s="21"/>
      <c r="AZ102" s="21"/>
      <c r="BG102" s="21"/>
      <c r="BH102" s="21"/>
      <c r="BI102" s="21"/>
      <c r="BJ102" s="21"/>
      <c r="BK102" s="21"/>
      <c r="BL102" s="21"/>
      <c r="BM102" s="21"/>
      <c r="BN102" s="21"/>
      <c r="BO102" s="21"/>
      <c r="BP102" s="21"/>
      <c r="BQ102" s="21"/>
      <c r="BR102" s="21"/>
    </row>
    <row r="103" spans="1:70" hidden="1" outlineLevel="1">
      <c r="A103" s="436" t="s">
        <v>64</v>
      </c>
      <c r="B103" s="2"/>
      <c r="C103" s="2"/>
      <c r="D103" s="1061"/>
      <c r="E103" s="2"/>
      <c r="H103" s="2"/>
      <c r="I103" s="2"/>
      <c r="J103" s="2"/>
      <c r="K103" s="508"/>
      <c r="L103" s="2"/>
      <c r="S103" s="61"/>
      <c r="T103" s="326"/>
      <c r="U103" s="326"/>
      <c r="V103" s="326"/>
      <c r="W103" s="326"/>
      <c r="X103" s="1314"/>
      <c r="Y103" s="326"/>
      <c r="Z103" s="326"/>
      <c r="AA103" s="326"/>
      <c r="AB103" s="61"/>
      <c r="AC103" s="61"/>
      <c r="AD103" s="61"/>
      <c r="AE103" s="61"/>
      <c r="AF103" s="61"/>
      <c r="AG103" s="61"/>
      <c r="AH103" s="831"/>
      <c r="AI103" s="61"/>
      <c r="AJ103" s="61"/>
      <c r="AK103" s="61"/>
      <c r="AL103" s="61"/>
      <c r="AM103" s="832"/>
      <c r="AN103" s="560"/>
      <c r="AO103" s="2"/>
      <c r="AP103" s="2"/>
      <c r="AQ103" s="2"/>
      <c r="AR103" s="2"/>
      <c r="AS103" s="2"/>
      <c r="AT103" s="2"/>
    </row>
    <row r="104" spans="1:70" hidden="1" outlineLevel="1">
      <c r="A104" s="1043" t="s">
        <v>327</v>
      </c>
      <c r="B104" s="2"/>
      <c r="C104" s="2"/>
      <c r="D104" s="1061"/>
      <c r="E104" s="2"/>
      <c r="G104" s="386">
        <f>'MPS др метрики'!C110</f>
        <v>110725</v>
      </c>
      <c r="H104" s="426">
        <f t="shared" ref="H104:J109" si="165">G104</f>
        <v>110725</v>
      </c>
      <c r="I104" s="426">
        <f t="shared" si="165"/>
        <v>110725</v>
      </c>
      <c r="J104" s="486">
        <f t="shared" si="165"/>
        <v>110725</v>
      </c>
      <c r="K104" s="508"/>
      <c r="L104" s="2"/>
      <c r="N104" s="386">
        <f t="shared" ref="N104:N109" si="166">G104</f>
        <v>110725</v>
      </c>
      <c r="O104" s="387">
        <f>N104</f>
        <v>110725</v>
      </c>
      <c r="P104" s="387">
        <f t="shared" ref="P104:Q104" si="167">O104</f>
        <v>110725</v>
      </c>
      <c r="Q104" s="388">
        <f t="shared" si="167"/>
        <v>110725</v>
      </c>
      <c r="S104" s="61"/>
      <c r="T104" s="386">
        <f t="shared" ref="T104:W109" si="168">N104</f>
        <v>110725</v>
      </c>
      <c r="U104" s="387">
        <f t="shared" si="168"/>
        <v>110725</v>
      </c>
      <c r="V104" s="387">
        <f t="shared" si="168"/>
        <v>110725</v>
      </c>
      <c r="W104" s="388">
        <f t="shared" si="168"/>
        <v>110725</v>
      </c>
      <c r="X104" s="1314"/>
      <c r="Y104" s="326"/>
      <c r="Z104" s="326"/>
      <c r="AA104" s="326"/>
      <c r="AB104" s="61"/>
      <c r="AC104" s="386">
        <f t="shared" ref="AC104:AF109" si="169">T104</f>
        <v>110725</v>
      </c>
      <c r="AD104" s="387">
        <f t="shared" si="169"/>
        <v>110725</v>
      </c>
      <c r="AE104" s="387">
        <f t="shared" si="169"/>
        <v>110725</v>
      </c>
      <c r="AF104" s="388">
        <f t="shared" si="169"/>
        <v>110725</v>
      </c>
      <c r="AG104" s="61"/>
      <c r="AH104" s="831"/>
      <c r="AI104" s="386">
        <f t="shared" ref="AI104:AL109" si="170">AC104</f>
        <v>110725</v>
      </c>
      <c r="AJ104" s="387">
        <f t="shared" si="170"/>
        <v>110725</v>
      </c>
      <c r="AK104" s="387">
        <f t="shared" si="170"/>
        <v>110725</v>
      </c>
      <c r="AL104" s="388">
        <f t="shared" si="170"/>
        <v>110725</v>
      </c>
      <c r="AM104" s="832"/>
      <c r="AN104" s="560"/>
      <c r="AO104" s="2"/>
      <c r="AP104" s="2"/>
      <c r="AQ104" s="2"/>
      <c r="AR104" s="2"/>
      <c r="AS104" s="2"/>
      <c r="AT104" s="2"/>
    </row>
    <row r="105" spans="1:70" s="2" customFormat="1" hidden="1" outlineLevel="1">
      <c r="A105" s="436" t="s">
        <v>62</v>
      </c>
      <c r="D105" s="1061"/>
      <c r="G105" s="389">
        <f>'MPS др метрики'!C111</f>
        <v>70053</v>
      </c>
      <c r="H105" s="427">
        <f t="shared" si="165"/>
        <v>70053</v>
      </c>
      <c r="I105" s="427">
        <f t="shared" si="165"/>
        <v>70053</v>
      </c>
      <c r="J105" s="487">
        <f t="shared" si="165"/>
        <v>70053</v>
      </c>
      <c r="K105" s="508"/>
      <c r="M105" s="1"/>
      <c r="N105" s="389">
        <f t="shared" si="166"/>
        <v>70053</v>
      </c>
      <c r="O105" s="291">
        <f t="shared" ref="O105:Q109" si="171">N105</f>
        <v>70053</v>
      </c>
      <c r="P105" s="291">
        <f t="shared" si="171"/>
        <v>70053</v>
      </c>
      <c r="Q105" s="390">
        <f t="shared" si="171"/>
        <v>70053</v>
      </c>
      <c r="R105" s="295"/>
      <c r="S105" s="61"/>
      <c r="T105" s="389">
        <f t="shared" si="168"/>
        <v>70053</v>
      </c>
      <c r="U105" s="291">
        <f t="shared" si="168"/>
        <v>70053</v>
      </c>
      <c r="V105" s="291">
        <f t="shared" si="168"/>
        <v>70053</v>
      </c>
      <c r="W105" s="390">
        <f t="shared" si="168"/>
        <v>70053</v>
      </c>
      <c r="X105" s="1314"/>
      <c r="Y105" s="326"/>
      <c r="Z105" s="326"/>
      <c r="AA105" s="326"/>
      <c r="AB105" s="61"/>
      <c r="AC105" s="389">
        <f t="shared" si="169"/>
        <v>70053</v>
      </c>
      <c r="AD105" s="291">
        <f t="shared" si="169"/>
        <v>70053</v>
      </c>
      <c r="AE105" s="291">
        <f t="shared" si="169"/>
        <v>70053</v>
      </c>
      <c r="AF105" s="390">
        <f t="shared" si="169"/>
        <v>70053</v>
      </c>
      <c r="AG105" s="61"/>
      <c r="AH105" s="831"/>
      <c r="AI105" s="389">
        <f t="shared" si="170"/>
        <v>70053</v>
      </c>
      <c r="AJ105" s="291">
        <f t="shared" si="170"/>
        <v>70053</v>
      </c>
      <c r="AK105" s="291">
        <f t="shared" si="170"/>
        <v>70053</v>
      </c>
      <c r="AL105" s="390">
        <f t="shared" si="170"/>
        <v>70053</v>
      </c>
      <c r="AM105" s="832"/>
      <c r="AN105" s="560"/>
      <c r="AU105" s="1"/>
      <c r="AV105" s="1"/>
      <c r="AW105" s="1"/>
      <c r="AX105" s="1"/>
      <c r="AY105" s="1"/>
      <c r="AZ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</row>
    <row r="106" spans="1:70" s="2" customFormat="1" hidden="1" outlineLevel="1">
      <c r="A106" s="436" t="s">
        <v>65</v>
      </c>
      <c r="D106" s="1061"/>
      <c r="G106" s="389">
        <f>'MPS др метрики'!C112</f>
        <v>47443</v>
      </c>
      <c r="H106" s="427">
        <f t="shared" si="165"/>
        <v>47443</v>
      </c>
      <c r="I106" s="427">
        <f t="shared" si="165"/>
        <v>47443</v>
      </c>
      <c r="J106" s="487">
        <f t="shared" si="165"/>
        <v>47443</v>
      </c>
      <c r="K106" s="508"/>
      <c r="M106" s="1"/>
      <c r="N106" s="389">
        <f t="shared" si="166"/>
        <v>47443</v>
      </c>
      <c r="O106" s="291">
        <f t="shared" si="171"/>
        <v>47443</v>
      </c>
      <c r="P106" s="291">
        <f t="shared" si="171"/>
        <v>47443</v>
      </c>
      <c r="Q106" s="390">
        <f t="shared" si="171"/>
        <v>47443</v>
      </c>
      <c r="R106" s="295"/>
      <c r="S106" s="61"/>
      <c r="T106" s="389">
        <f t="shared" si="168"/>
        <v>47443</v>
      </c>
      <c r="U106" s="291">
        <f t="shared" si="168"/>
        <v>47443</v>
      </c>
      <c r="V106" s="291">
        <f t="shared" si="168"/>
        <v>47443</v>
      </c>
      <c r="W106" s="390">
        <f t="shared" si="168"/>
        <v>47443</v>
      </c>
      <c r="X106" s="1314"/>
      <c r="Y106" s="326"/>
      <c r="Z106" s="326"/>
      <c r="AA106" s="326"/>
      <c r="AB106" s="61"/>
      <c r="AC106" s="389">
        <f t="shared" si="169"/>
        <v>47443</v>
      </c>
      <c r="AD106" s="291">
        <f t="shared" si="169"/>
        <v>47443</v>
      </c>
      <c r="AE106" s="291">
        <f t="shared" si="169"/>
        <v>47443</v>
      </c>
      <c r="AF106" s="390">
        <f t="shared" si="169"/>
        <v>47443</v>
      </c>
      <c r="AG106" s="61"/>
      <c r="AH106" s="831"/>
      <c r="AI106" s="389">
        <f t="shared" si="170"/>
        <v>47443</v>
      </c>
      <c r="AJ106" s="291">
        <f t="shared" si="170"/>
        <v>47443</v>
      </c>
      <c r="AK106" s="291">
        <f t="shared" si="170"/>
        <v>47443</v>
      </c>
      <c r="AL106" s="390">
        <f t="shared" si="170"/>
        <v>47443</v>
      </c>
      <c r="AM106" s="832"/>
      <c r="AN106" s="560"/>
      <c r="AU106" s="1"/>
      <c r="AV106" s="1"/>
      <c r="AW106" s="1"/>
      <c r="AX106" s="1"/>
      <c r="AY106" s="1"/>
      <c r="AZ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</row>
    <row r="107" spans="1:70" s="2" customFormat="1" hidden="1" outlineLevel="1">
      <c r="A107" s="436" t="s">
        <v>66</v>
      </c>
      <c r="D107" s="1061"/>
      <c r="G107" s="389">
        <f>'MPS др метрики'!C113</f>
        <v>40951</v>
      </c>
      <c r="H107" s="427">
        <f t="shared" si="165"/>
        <v>40951</v>
      </c>
      <c r="I107" s="427">
        <f t="shared" si="165"/>
        <v>40951</v>
      </c>
      <c r="J107" s="487">
        <f t="shared" si="165"/>
        <v>40951</v>
      </c>
      <c r="K107" s="508"/>
      <c r="M107" s="1"/>
      <c r="N107" s="389">
        <f t="shared" si="166"/>
        <v>40951</v>
      </c>
      <c r="O107" s="291">
        <f t="shared" si="171"/>
        <v>40951</v>
      </c>
      <c r="P107" s="291">
        <f t="shared" si="171"/>
        <v>40951</v>
      </c>
      <c r="Q107" s="390">
        <f t="shared" si="171"/>
        <v>40951</v>
      </c>
      <c r="R107" s="295"/>
      <c r="S107" s="61"/>
      <c r="T107" s="389">
        <f t="shared" si="168"/>
        <v>40951</v>
      </c>
      <c r="U107" s="291">
        <f t="shared" si="168"/>
        <v>40951</v>
      </c>
      <c r="V107" s="291">
        <f t="shared" si="168"/>
        <v>40951</v>
      </c>
      <c r="W107" s="390">
        <f t="shared" si="168"/>
        <v>40951</v>
      </c>
      <c r="X107" s="1314"/>
      <c r="Y107" s="326"/>
      <c r="Z107" s="326"/>
      <c r="AA107" s="326"/>
      <c r="AB107" s="61"/>
      <c r="AC107" s="389">
        <f t="shared" si="169"/>
        <v>40951</v>
      </c>
      <c r="AD107" s="291">
        <f t="shared" si="169"/>
        <v>40951</v>
      </c>
      <c r="AE107" s="291">
        <f t="shared" si="169"/>
        <v>40951</v>
      </c>
      <c r="AF107" s="390">
        <f t="shared" si="169"/>
        <v>40951</v>
      </c>
      <c r="AG107" s="61"/>
      <c r="AH107" s="831"/>
      <c r="AI107" s="389">
        <f t="shared" si="170"/>
        <v>40951</v>
      </c>
      <c r="AJ107" s="291">
        <f t="shared" si="170"/>
        <v>40951</v>
      </c>
      <c r="AK107" s="291">
        <f t="shared" si="170"/>
        <v>40951</v>
      </c>
      <c r="AL107" s="390">
        <f t="shared" si="170"/>
        <v>40951</v>
      </c>
      <c r="AM107" s="832"/>
      <c r="AN107" s="560"/>
      <c r="AU107" s="1"/>
      <c r="AV107" s="1"/>
      <c r="AW107" s="1"/>
      <c r="AX107" s="1"/>
      <c r="AY107" s="1"/>
      <c r="AZ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</row>
    <row r="108" spans="1:70" s="2" customFormat="1" hidden="1" outlineLevel="1">
      <c r="A108" s="436" t="s">
        <v>328</v>
      </c>
      <c r="D108" s="1061"/>
      <c r="G108" s="389">
        <f>'MPS др метрики'!C114</f>
        <v>33828</v>
      </c>
      <c r="H108" s="427">
        <f t="shared" si="165"/>
        <v>33828</v>
      </c>
      <c r="I108" s="427">
        <f t="shared" si="165"/>
        <v>33828</v>
      </c>
      <c r="J108" s="487">
        <f t="shared" si="165"/>
        <v>33828</v>
      </c>
      <c r="K108" s="508"/>
      <c r="M108" s="1"/>
      <c r="N108" s="389">
        <f t="shared" si="166"/>
        <v>33828</v>
      </c>
      <c r="O108" s="291">
        <f t="shared" si="171"/>
        <v>33828</v>
      </c>
      <c r="P108" s="291">
        <f t="shared" si="171"/>
        <v>33828</v>
      </c>
      <c r="Q108" s="390">
        <f t="shared" si="171"/>
        <v>33828</v>
      </c>
      <c r="R108" s="295"/>
      <c r="S108" s="61"/>
      <c r="T108" s="389">
        <f t="shared" si="168"/>
        <v>33828</v>
      </c>
      <c r="U108" s="291">
        <f t="shared" si="168"/>
        <v>33828</v>
      </c>
      <c r="V108" s="291">
        <f t="shared" si="168"/>
        <v>33828</v>
      </c>
      <c r="W108" s="390">
        <f t="shared" si="168"/>
        <v>33828</v>
      </c>
      <c r="X108" s="1314"/>
      <c r="Y108" s="326"/>
      <c r="Z108" s="326"/>
      <c r="AA108" s="326"/>
      <c r="AB108" s="61"/>
      <c r="AC108" s="389">
        <f t="shared" si="169"/>
        <v>33828</v>
      </c>
      <c r="AD108" s="291">
        <f t="shared" si="169"/>
        <v>33828</v>
      </c>
      <c r="AE108" s="291">
        <f t="shared" si="169"/>
        <v>33828</v>
      </c>
      <c r="AF108" s="390">
        <f t="shared" si="169"/>
        <v>33828</v>
      </c>
      <c r="AG108" s="61"/>
      <c r="AH108" s="831"/>
      <c r="AI108" s="389">
        <f t="shared" si="170"/>
        <v>33828</v>
      </c>
      <c r="AJ108" s="291">
        <f t="shared" si="170"/>
        <v>33828</v>
      </c>
      <c r="AK108" s="291">
        <f t="shared" si="170"/>
        <v>33828</v>
      </c>
      <c r="AL108" s="390">
        <f t="shared" si="170"/>
        <v>33828</v>
      </c>
      <c r="AM108" s="832"/>
      <c r="AN108" s="560"/>
      <c r="AU108" s="1"/>
      <c r="AV108" s="1"/>
      <c r="AW108" s="1"/>
      <c r="AX108" s="1"/>
      <c r="AY108" s="1"/>
      <c r="AZ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</row>
    <row r="109" spans="1:70" s="2" customFormat="1" hidden="1" outlineLevel="1">
      <c r="A109" s="1044" t="s">
        <v>329</v>
      </c>
      <c r="D109" s="1061"/>
      <c r="F109" s="139"/>
      <c r="G109" s="391">
        <f>'MPS др метрики'!C115</f>
        <v>21581</v>
      </c>
      <c r="H109" s="428">
        <f t="shared" si="165"/>
        <v>21581</v>
      </c>
      <c r="I109" s="428">
        <f t="shared" si="165"/>
        <v>21581</v>
      </c>
      <c r="J109" s="488">
        <f t="shared" si="165"/>
        <v>21581</v>
      </c>
      <c r="K109" s="508"/>
      <c r="M109" s="1"/>
      <c r="N109" s="391">
        <f t="shared" si="166"/>
        <v>21581</v>
      </c>
      <c r="O109" s="392">
        <f t="shared" si="171"/>
        <v>21581</v>
      </c>
      <c r="P109" s="392">
        <f t="shared" si="171"/>
        <v>21581</v>
      </c>
      <c r="Q109" s="393">
        <f t="shared" si="171"/>
        <v>21581</v>
      </c>
      <c r="R109" s="295"/>
      <c r="S109" s="1"/>
      <c r="T109" s="391">
        <f t="shared" si="168"/>
        <v>21581</v>
      </c>
      <c r="U109" s="392">
        <f t="shared" si="168"/>
        <v>21581</v>
      </c>
      <c r="V109" s="392">
        <f t="shared" si="168"/>
        <v>21581</v>
      </c>
      <c r="W109" s="393">
        <f t="shared" si="168"/>
        <v>21581</v>
      </c>
      <c r="X109" s="1314"/>
      <c r="Y109" s="326"/>
      <c r="Z109" s="326"/>
      <c r="AA109" s="326"/>
      <c r="AB109" s="61"/>
      <c r="AC109" s="391">
        <f t="shared" si="169"/>
        <v>21581</v>
      </c>
      <c r="AD109" s="392">
        <f t="shared" si="169"/>
        <v>21581</v>
      </c>
      <c r="AE109" s="392">
        <f t="shared" si="169"/>
        <v>21581</v>
      </c>
      <c r="AF109" s="393">
        <f t="shared" si="169"/>
        <v>21581</v>
      </c>
      <c r="AG109" s="61"/>
      <c r="AH109" s="831"/>
      <c r="AI109" s="391">
        <f t="shared" si="170"/>
        <v>21581</v>
      </c>
      <c r="AJ109" s="392">
        <f t="shared" si="170"/>
        <v>21581</v>
      </c>
      <c r="AK109" s="392">
        <f t="shared" si="170"/>
        <v>21581</v>
      </c>
      <c r="AL109" s="393">
        <f t="shared" si="170"/>
        <v>21581</v>
      </c>
      <c r="AM109" s="832"/>
      <c r="AN109" s="560"/>
      <c r="AO109" s="84"/>
      <c r="AP109" s="84"/>
      <c r="AQ109" s="84"/>
      <c r="AR109" s="84"/>
      <c r="AS109" s="84"/>
      <c r="AT109" s="84"/>
      <c r="AU109" s="1"/>
      <c r="AV109" s="1"/>
      <c r="AW109" s="1"/>
      <c r="AX109" s="1"/>
      <c r="AY109" s="1"/>
      <c r="AZ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</row>
    <row r="110" spans="1:70" s="2" customFormat="1" hidden="1" outlineLevel="1">
      <c r="A110" s="436"/>
      <c r="D110" s="1061"/>
      <c r="F110" s="139"/>
      <c r="G110" s="1"/>
      <c r="H110" s="427"/>
      <c r="I110" s="427"/>
      <c r="J110" s="427"/>
      <c r="K110" s="510"/>
      <c r="L110" s="427"/>
      <c r="M110" s="1"/>
      <c r="N110" s="291"/>
      <c r="O110" s="291"/>
      <c r="P110" s="291"/>
      <c r="Q110" s="291"/>
      <c r="R110" s="295"/>
      <c r="S110" s="1"/>
      <c r="T110" s="291"/>
      <c r="U110" s="291"/>
      <c r="V110" s="291"/>
      <c r="W110" s="291"/>
      <c r="X110" s="1314"/>
      <c r="Y110" s="326"/>
      <c r="Z110" s="326"/>
      <c r="AA110" s="326"/>
      <c r="AB110" s="61"/>
      <c r="AC110" s="61"/>
      <c r="AD110" s="61"/>
      <c r="AE110" s="61"/>
      <c r="AF110" s="61"/>
      <c r="AG110" s="61"/>
      <c r="AH110" s="831"/>
      <c r="AI110" s="61"/>
      <c r="AJ110" s="61"/>
      <c r="AK110" s="61"/>
      <c r="AL110" s="61"/>
      <c r="AM110" s="832"/>
      <c r="AN110" s="560"/>
      <c r="AO110" s="84"/>
      <c r="AP110" s="84"/>
      <c r="AQ110" s="84"/>
      <c r="AR110" s="84"/>
      <c r="AS110" s="84"/>
      <c r="AT110" s="84"/>
      <c r="AU110" s="1"/>
      <c r="AV110" s="1"/>
      <c r="AW110" s="1"/>
      <c r="AX110" s="1"/>
      <c r="AY110" s="1"/>
      <c r="AZ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</row>
    <row r="111" spans="1:70" s="2" customFormat="1" hidden="1" outlineLevel="1">
      <c r="A111" s="436" t="s">
        <v>333</v>
      </c>
      <c r="D111" s="1061"/>
      <c r="F111" s="139"/>
      <c r="G111" s="1"/>
      <c r="H111" s="427"/>
      <c r="I111" s="427"/>
      <c r="J111" s="427"/>
      <c r="K111" s="510"/>
      <c r="L111" s="427"/>
      <c r="M111" s="1"/>
      <c r="N111" s="291"/>
      <c r="O111" s="291"/>
      <c r="P111" s="291"/>
      <c r="Q111" s="291"/>
      <c r="R111" s="295"/>
      <c r="S111" s="1"/>
      <c r="T111" s="291"/>
      <c r="U111" s="291"/>
      <c r="V111" s="291"/>
      <c r="W111" s="291"/>
      <c r="X111" s="1314"/>
      <c r="Y111" s="326"/>
      <c r="Z111" s="326"/>
      <c r="AA111" s="326"/>
      <c r="AB111" s="61"/>
      <c r="AC111" s="61"/>
      <c r="AD111" s="61"/>
      <c r="AE111" s="61"/>
      <c r="AF111" s="61"/>
      <c r="AG111" s="61"/>
      <c r="AH111" s="831"/>
      <c r="AI111" s="61"/>
      <c r="AJ111" s="61"/>
      <c r="AK111" s="61"/>
      <c r="AL111" s="61"/>
      <c r="AM111" s="832"/>
      <c r="AN111" s="560"/>
      <c r="AO111" s="84"/>
      <c r="AP111" s="84"/>
      <c r="AQ111" s="84"/>
      <c r="AR111" s="84"/>
      <c r="AS111" s="84"/>
      <c r="AT111" s="84"/>
      <c r="AU111" s="1"/>
      <c r="AV111" s="1"/>
      <c r="AW111" s="1"/>
      <c r="AX111" s="1"/>
      <c r="AY111" s="1"/>
      <c r="AZ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</row>
    <row r="112" spans="1:70" s="2" customFormat="1" hidden="1" outlineLevel="1">
      <c r="A112" s="1043" t="s">
        <v>327</v>
      </c>
      <c r="D112" s="1061"/>
      <c r="F112" s="139"/>
      <c r="G112" s="367">
        <f t="shared" ref="G112:J117" si="172">G104/G128</f>
        <v>10890.983606557378</v>
      </c>
      <c r="H112" s="368">
        <f t="shared" si="172"/>
        <v>10890.983606557378</v>
      </c>
      <c r="I112" s="368">
        <f t="shared" si="172"/>
        <v>10890.983606557378</v>
      </c>
      <c r="J112" s="369">
        <f t="shared" si="172"/>
        <v>10890.983606557378</v>
      </c>
      <c r="K112" s="407"/>
      <c r="L112" s="169"/>
      <c r="M112" s="1"/>
      <c r="N112" s="389">
        <f t="shared" ref="N112:N117" si="173">G112</f>
        <v>10890.983606557378</v>
      </c>
      <c r="O112" s="387">
        <f>N112</f>
        <v>10890.983606557378</v>
      </c>
      <c r="P112" s="387">
        <f t="shared" ref="P112:Q112" si="174">O112</f>
        <v>10890.983606557378</v>
      </c>
      <c r="Q112" s="388">
        <f t="shared" si="174"/>
        <v>10890.983606557378</v>
      </c>
      <c r="R112" s="295"/>
      <c r="S112" s="1"/>
      <c r="T112" s="386">
        <f t="shared" ref="T112:T117" si="175">N112</f>
        <v>10890.983606557378</v>
      </c>
      <c r="U112" s="387">
        <f>T112</f>
        <v>10890.983606557378</v>
      </c>
      <c r="V112" s="387">
        <f t="shared" ref="V112:W112" si="176">U112</f>
        <v>10890.983606557378</v>
      </c>
      <c r="W112" s="388">
        <f t="shared" si="176"/>
        <v>10890.983606557378</v>
      </c>
      <c r="X112" s="1314"/>
      <c r="Y112" s="326"/>
      <c r="Z112" s="326"/>
      <c r="AA112" s="326"/>
      <c r="AB112" s="61"/>
      <c r="AC112" s="386">
        <f t="shared" ref="AC112:AC117" si="177">T112</f>
        <v>10890.983606557378</v>
      </c>
      <c r="AD112" s="387">
        <f>AC112</f>
        <v>10890.983606557378</v>
      </c>
      <c r="AE112" s="387">
        <f t="shared" ref="AE112:AF117" si="178">AD112</f>
        <v>10890.983606557378</v>
      </c>
      <c r="AF112" s="388">
        <f t="shared" si="178"/>
        <v>10890.983606557378</v>
      </c>
      <c r="AG112" s="61"/>
      <c r="AH112" s="831"/>
      <c r="AI112" s="386">
        <f t="shared" ref="AI112:AI117" si="179">AC112</f>
        <v>10890.983606557378</v>
      </c>
      <c r="AJ112" s="387">
        <f>AI112</f>
        <v>10890.983606557378</v>
      </c>
      <c r="AK112" s="387">
        <f t="shared" ref="AK112:AL117" si="180">AJ112</f>
        <v>10890.983606557378</v>
      </c>
      <c r="AL112" s="388">
        <f t="shared" si="180"/>
        <v>10890.983606557378</v>
      </c>
      <c r="AM112" s="832"/>
      <c r="AN112" s="560"/>
      <c r="AO112" s="84"/>
      <c r="AP112" s="84"/>
      <c r="AQ112" s="84"/>
      <c r="AR112" s="84"/>
      <c r="AS112" s="84"/>
      <c r="AT112" s="84"/>
      <c r="AU112" s="1"/>
      <c r="AV112" s="1"/>
      <c r="AW112" s="1"/>
      <c r="AX112" s="1"/>
      <c r="AY112" s="1"/>
      <c r="AZ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</row>
    <row r="113" spans="1:70" s="2" customFormat="1" hidden="1" outlineLevel="1">
      <c r="A113" s="436" t="s">
        <v>62</v>
      </c>
      <c r="D113" s="1061"/>
      <c r="F113" s="139"/>
      <c r="G113" s="370">
        <f t="shared" si="172"/>
        <v>9019.69957081545</v>
      </c>
      <c r="H113" s="169">
        <f t="shared" si="172"/>
        <v>9019.69957081545</v>
      </c>
      <c r="I113" s="169">
        <f t="shared" si="172"/>
        <v>9019.69957081545</v>
      </c>
      <c r="J113" s="371">
        <f t="shared" si="172"/>
        <v>9019.69957081545</v>
      </c>
      <c r="K113" s="407"/>
      <c r="L113" s="169"/>
      <c r="M113" s="1"/>
      <c r="N113" s="389">
        <f t="shared" si="173"/>
        <v>9019.69957081545</v>
      </c>
      <c r="O113" s="291">
        <f t="shared" ref="O113:Q117" si="181">N113</f>
        <v>9019.69957081545</v>
      </c>
      <c r="P113" s="291">
        <f t="shared" si="181"/>
        <v>9019.69957081545</v>
      </c>
      <c r="Q113" s="390">
        <f t="shared" si="181"/>
        <v>9019.69957081545</v>
      </c>
      <c r="R113" s="295"/>
      <c r="S113" s="1"/>
      <c r="T113" s="389">
        <f t="shared" si="175"/>
        <v>9019.69957081545</v>
      </c>
      <c r="U113" s="291">
        <f t="shared" ref="U113:W117" si="182">T113</f>
        <v>9019.69957081545</v>
      </c>
      <c r="V113" s="291">
        <f t="shared" si="182"/>
        <v>9019.69957081545</v>
      </c>
      <c r="W113" s="390">
        <f t="shared" si="182"/>
        <v>9019.69957081545</v>
      </c>
      <c r="X113" s="1314"/>
      <c r="Y113" s="326"/>
      <c r="Z113" s="326"/>
      <c r="AA113" s="326"/>
      <c r="AB113" s="61"/>
      <c r="AC113" s="389">
        <f t="shared" si="177"/>
        <v>9019.69957081545</v>
      </c>
      <c r="AD113" s="291">
        <f t="shared" ref="AD113:AD117" si="183">AC113</f>
        <v>9019.69957081545</v>
      </c>
      <c r="AE113" s="291">
        <f t="shared" si="178"/>
        <v>9019.69957081545</v>
      </c>
      <c r="AF113" s="390">
        <f t="shared" si="178"/>
        <v>9019.69957081545</v>
      </c>
      <c r="AG113" s="61"/>
      <c r="AH113" s="831"/>
      <c r="AI113" s="389">
        <f t="shared" si="179"/>
        <v>9019.69957081545</v>
      </c>
      <c r="AJ113" s="291">
        <f t="shared" ref="AJ113:AJ117" si="184">AI113</f>
        <v>9019.69957081545</v>
      </c>
      <c r="AK113" s="291">
        <f t="shared" si="180"/>
        <v>9019.69957081545</v>
      </c>
      <c r="AL113" s="390">
        <f t="shared" si="180"/>
        <v>9019.69957081545</v>
      </c>
      <c r="AM113" s="832"/>
      <c r="AN113" s="560"/>
      <c r="AO113" s="84"/>
      <c r="AP113" s="84"/>
      <c r="AQ113" s="84"/>
      <c r="AR113" s="84"/>
      <c r="AS113" s="84"/>
      <c r="AT113" s="84"/>
      <c r="AU113" s="1"/>
      <c r="AV113" s="1"/>
      <c r="AW113" s="1"/>
      <c r="AX113" s="1"/>
      <c r="AY113" s="1"/>
      <c r="AZ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</row>
    <row r="114" spans="1:70" s="2" customFormat="1" hidden="1" outlineLevel="1">
      <c r="A114" s="436" t="s">
        <v>65</v>
      </c>
      <c r="D114" s="1061"/>
      <c r="F114" s="139"/>
      <c r="G114" s="370">
        <f t="shared" si="172"/>
        <v>8227.1098265895962</v>
      </c>
      <c r="H114" s="169">
        <f t="shared" si="172"/>
        <v>8227.1098265895962</v>
      </c>
      <c r="I114" s="169">
        <f t="shared" si="172"/>
        <v>8227.1098265895962</v>
      </c>
      <c r="J114" s="371">
        <f t="shared" si="172"/>
        <v>8227.1098265895962</v>
      </c>
      <c r="K114" s="407"/>
      <c r="L114" s="169"/>
      <c r="M114" s="1"/>
      <c r="N114" s="389">
        <f t="shared" si="173"/>
        <v>8227.1098265895962</v>
      </c>
      <c r="O114" s="291">
        <f t="shared" si="181"/>
        <v>8227.1098265895962</v>
      </c>
      <c r="P114" s="291">
        <f t="shared" si="181"/>
        <v>8227.1098265895962</v>
      </c>
      <c r="Q114" s="390">
        <f t="shared" si="181"/>
        <v>8227.1098265895962</v>
      </c>
      <c r="R114" s="295"/>
      <c r="S114" s="1"/>
      <c r="T114" s="389">
        <f t="shared" si="175"/>
        <v>8227.1098265895962</v>
      </c>
      <c r="U114" s="291">
        <f t="shared" si="182"/>
        <v>8227.1098265895962</v>
      </c>
      <c r="V114" s="291">
        <f t="shared" si="182"/>
        <v>8227.1098265895962</v>
      </c>
      <c r="W114" s="390">
        <f t="shared" si="182"/>
        <v>8227.1098265895962</v>
      </c>
      <c r="X114" s="1314"/>
      <c r="Y114" s="326"/>
      <c r="Z114" s="326"/>
      <c r="AA114" s="326"/>
      <c r="AB114" s="61"/>
      <c r="AC114" s="389">
        <f t="shared" si="177"/>
        <v>8227.1098265895962</v>
      </c>
      <c r="AD114" s="291">
        <f t="shared" si="183"/>
        <v>8227.1098265895962</v>
      </c>
      <c r="AE114" s="291">
        <f t="shared" si="178"/>
        <v>8227.1098265895962</v>
      </c>
      <c r="AF114" s="390">
        <f t="shared" si="178"/>
        <v>8227.1098265895962</v>
      </c>
      <c r="AG114" s="61"/>
      <c r="AH114" s="831"/>
      <c r="AI114" s="389">
        <f t="shared" si="179"/>
        <v>8227.1098265895962</v>
      </c>
      <c r="AJ114" s="291">
        <f t="shared" si="184"/>
        <v>8227.1098265895962</v>
      </c>
      <c r="AK114" s="291">
        <f t="shared" si="180"/>
        <v>8227.1098265895962</v>
      </c>
      <c r="AL114" s="390">
        <f t="shared" si="180"/>
        <v>8227.1098265895962</v>
      </c>
      <c r="AM114" s="832"/>
      <c r="AN114" s="560"/>
      <c r="AO114" s="84"/>
      <c r="AP114" s="84"/>
      <c r="AQ114" s="84"/>
      <c r="AR114" s="84"/>
      <c r="AS114" s="84"/>
      <c r="AT114" s="84"/>
      <c r="AU114" s="1"/>
      <c r="AV114" s="1"/>
      <c r="AW114" s="1"/>
      <c r="AX114" s="1"/>
      <c r="AY114" s="1"/>
      <c r="AZ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</row>
    <row r="115" spans="1:70" s="2" customFormat="1" hidden="1" outlineLevel="1">
      <c r="A115" s="436" t="s">
        <v>66</v>
      </c>
      <c r="D115" s="1061"/>
      <c r="F115" s="139"/>
      <c r="G115" s="370">
        <f t="shared" si="172"/>
        <v>8245.1677852348985</v>
      </c>
      <c r="H115" s="169">
        <f t="shared" si="172"/>
        <v>8245.1677852348985</v>
      </c>
      <c r="I115" s="169">
        <f t="shared" si="172"/>
        <v>8245.1677852348985</v>
      </c>
      <c r="J115" s="371">
        <f t="shared" si="172"/>
        <v>8245.1677852348985</v>
      </c>
      <c r="K115" s="407"/>
      <c r="L115" s="169"/>
      <c r="M115" s="1"/>
      <c r="N115" s="389">
        <f t="shared" si="173"/>
        <v>8245.1677852348985</v>
      </c>
      <c r="O115" s="291">
        <f t="shared" si="181"/>
        <v>8245.1677852348985</v>
      </c>
      <c r="P115" s="291">
        <f t="shared" si="181"/>
        <v>8245.1677852348985</v>
      </c>
      <c r="Q115" s="390">
        <f t="shared" si="181"/>
        <v>8245.1677852348985</v>
      </c>
      <c r="R115" s="295"/>
      <c r="S115" s="1"/>
      <c r="T115" s="389">
        <f t="shared" si="175"/>
        <v>8245.1677852348985</v>
      </c>
      <c r="U115" s="291">
        <f t="shared" si="182"/>
        <v>8245.1677852348985</v>
      </c>
      <c r="V115" s="291">
        <f t="shared" si="182"/>
        <v>8245.1677852348985</v>
      </c>
      <c r="W115" s="390">
        <f t="shared" si="182"/>
        <v>8245.1677852348985</v>
      </c>
      <c r="X115" s="1314"/>
      <c r="Y115" s="326"/>
      <c r="Z115" s="326"/>
      <c r="AA115" s="326"/>
      <c r="AB115" s="61"/>
      <c r="AC115" s="389">
        <f t="shared" si="177"/>
        <v>8245.1677852348985</v>
      </c>
      <c r="AD115" s="291">
        <f t="shared" si="183"/>
        <v>8245.1677852348985</v>
      </c>
      <c r="AE115" s="291">
        <f t="shared" si="178"/>
        <v>8245.1677852348985</v>
      </c>
      <c r="AF115" s="390">
        <f t="shared" si="178"/>
        <v>8245.1677852348985</v>
      </c>
      <c r="AG115" s="61"/>
      <c r="AH115" s="831"/>
      <c r="AI115" s="389">
        <f t="shared" si="179"/>
        <v>8245.1677852348985</v>
      </c>
      <c r="AJ115" s="291">
        <f t="shared" si="184"/>
        <v>8245.1677852348985</v>
      </c>
      <c r="AK115" s="291">
        <f t="shared" si="180"/>
        <v>8245.1677852348985</v>
      </c>
      <c r="AL115" s="390">
        <f t="shared" si="180"/>
        <v>8245.1677852348985</v>
      </c>
      <c r="AM115" s="832"/>
      <c r="AN115" s="560"/>
      <c r="AO115" s="84"/>
      <c r="AP115" s="84"/>
      <c r="AQ115" s="84"/>
      <c r="AR115" s="84"/>
      <c r="AS115" s="84"/>
      <c r="AT115" s="84"/>
      <c r="AU115" s="1"/>
      <c r="AV115" s="1"/>
      <c r="AW115" s="1"/>
      <c r="AX115" s="1"/>
      <c r="AY115" s="1"/>
      <c r="AZ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</row>
    <row r="116" spans="1:70" s="2" customFormat="1" hidden="1" outlineLevel="1">
      <c r="A116" s="436" t="s">
        <v>328</v>
      </c>
      <c r="D116" s="1061"/>
      <c r="F116" s="139"/>
      <c r="G116" s="370">
        <f t="shared" si="172"/>
        <v>7866.9767441860467</v>
      </c>
      <c r="H116" s="169">
        <f t="shared" si="172"/>
        <v>7866.9767441860467</v>
      </c>
      <c r="I116" s="169">
        <f t="shared" si="172"/>
        <v>7866.9767441860467</v>
      </c>
      <c r="J116" s="371">
        <f t="shared" si="172"/>
        <v>7866.9767441860467</v>
      </c>
      <c r="K116" s="407"/>
      <c r="L116" s="169"/>
      <c r="M116" s="1"/>
      <c r="N116" s="389">
        <f t="shared" si="173"/>
        <v>7866.9767441860467</v>
      </c>
      <c r="O116" s="291">
        <f t="shared" si="181"/>
        <v>7866.9767441860467</v>
      </c>
      <c r="P116" s="291">
        <f t="shared" si="181"/>
        <v>7866.9767441860467</v>
      </c>
      <c r="Q116" s="390">
        <f t="shared" si="181"/>
        <v>7866.9767441860467</v>
      </c>
      <c r="R116" s="295"/>
      <c r="S116" s="1"/>
      <c r="T116" s="389">
        <f t="shared" si="175"/>
        <v>7866.9767441860467</v>
      </c>
      <c r="U116" s="291">
        <f t="shared" si="182"/>
        <v>7866.9767441860467</v>
      </c>
      <c r="V116" s="291">
        <f t="shared" si="182"/>
        <v>7866.9767441860467</v>
      </c>
      <c r="W116" s="390">
        <f t="shared" si="182"/>
        <v>7866.9767441860467</v>
      </c>
      <c r="X116" s="1314"/>
      <c r="Y116" s="326"/>
      <c r="Z116" s="326"/>
      <c r="AA116" s="326"/>
      <c r="AB116" s="61"/>
      <c r="AC116" s="389">
        <f t="shared" si="177"/>
        <v>7866.9767441860467</v>
      </c>
      <c r="AD116" s="291">
        <f t="shared" si="183"/>
        <v>7866.9767441860467</v>
      </c>
      <c r="AE116" s="291">
        <f t="shared" si="178"/>
        <v>7866.9767441860467</v>
      </c>
      <c r="AF116" s="390">
        <f t="shared" si="178"/>
        <v>7866.9767441860467</v>
      </c>
      <c r="AG116" s="61"/>
      <c r="AH116" s="831"/>
      <c r="AI116" s="389">
        <f t="shared" si="179"/>
        <v>7866.9767441860467</v>
      </c>
      <c r="AJ116" s="291">
        <f t="shared" si="184"/>
        <v>7866.9767441860467</v>
      </c>
      <c r="AK116" s="291">
        <f t="shared" si="180"/>
        <v>7866.9767441860467</v>
      </c>
      <c r="AL116" s="390">
        <f t="shared" si="180"/>
        <v>7866.9767441860467</v>
      </c>
      <c r="AM116" s="832"/>
      <c r="AN116" s="560"/>
      <c r="AO116" s="84"/>
      <c r="AP116" s="84"/>
      <c r="AQ116" s="84"/>
      <c r="AR116" s="84"/>
      <c r="AS116" s="84"/>
      <c r="AT116" s="84"/>
      <c r="AU116" s="1"/>
      <c r="AV116" s="1"/>
      <c r="AW116" s="1"/>
      <c r="AX116" s="1"/>
      <c r="AY116" s="1"/>
      <c r="AZ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</row>
    <row r="117" spans="1:70" s="2" customFormat="1" hidden="1" outlineLevel="1">
      <c r="A117" s="1044" t="s">
        <v>329</v>
      </c>
      <c r="D117" s="1061"/>
      <c r="F117" s="139"/>
      <c r="G117" s="372">
        <f t="shared" si="172"/>
        <v>6674.5360824742265</v>
      </c>
      <c r="H117" s="373">
        <f t="shared" si="172"/>
        <v>6674.5360824742265</v>
      </c>
      <c r="I117" s="373">
        <f t="shared" si="172"/>
        <v>6674.5360824742265</v>
      </c>
      <c r="J117" s="374">
        <f t="shared" si="172"/>
        <v>6674.5360824742265</v>
      </c>
      <c r="K117" s="407"/>
      <c r="L117" s="169"/>
      <c r="M117" s="1"/>
      <c r="N117" s="391">
        <f t="shared" si="173"/>
        <v>6674.5360824742265</v>
      </c>
      <c r="O117" s="392">
        <f t="shared" si="181"/>
        <v>6674.5360824742265</v>
      </c>
      <c r="P117" s="392">
        <f t="shared" si="181"/>
        <v>6674.5360824742265</v>
      </c>
      <c r="Q117" s="393">
        <f t="shared" si="181"/>
        <v>6674.5360824742265</v>
      </c>
      <c r="R117" s="295"/>
      <c r="S117" s="1"/>
      <c r="T117" s="391">
        <f t="shared" si="175"/>
        <v>6674.5360824742265</v>
      </c>
      <c r="U117" s="392">
        <f t="shared" si="182"/>
        <v>6674.5360824742265</v>
      </c>
      <c r="V117" s="392">
        <f t="shared" si="182"/>
        <v>6674.5360824742265</v>
      </c>
      <c r="W117" s="393">
        <f t="shared" si="182"/>
        <v>6674.5360824742265</v>
      </c>
      <c r="X117" s="1314"/>
      <c r="Y117" s="326"/>
      <c r="Z117" s="326"/>
      <c r="AA117" s="326"/>
      <c r="AB117" s="61"/>
      <c r="AC117" s="391">
        <f t="shared" si="177"/>
        <v>6674.5360824742265</v>
      </c>
      <c r="AD117" s="392">
        <f t="shared" si="183"/>
        <v>6674.5360824742265</v>
      </c>
      <c r="AE117" s="392">
        <f t="shared" si="178"/>
        <v>6674.5360824742265</v>
      </c>
      <c r="AF117" s="393">
        <f t="shared" si="178"/>
        <v>6674.5360824742265</v>
      </c>
      <c r="AG117" s="61"/>
      <c r="AH117" s="831"/>
      <c r="AI117" s="391">
        <f t="shared" si="179"/>
        <v>6674.5360824742265</v>
      </c>
      <c r="AJ117" s="392">
        <f t="shared" si="184"/>
        <v>6674.5360824742265</v>
      </c>
      <c r="AK117" s="392">
        <f t="shared" si="180"/>
        <v>6674.5360824742265</v>
      </c>
      <c r="AL117" s="393">
        <f t="shared" si="180"/>
        <v>6674.5360824742265</v>
      </c>
      <c r="AM117" s="832"/>
      <c r="AN117" s="560"/>
      <c r="AO117" s="84"/>
      <c r="AP117" s="84"/>
      <c r="AQ117" s="84"/>
      <c r="AR117" s="84"/>
      <c r="AS117" s="84"/>
      <c r="AT117" s="84"/>
      <c r="AU117" s="1"/>
      <c r="AV117" s="1"/>
      <c r="AW117" s="1"/>
      <c r="AX117" s="1"/>
      <c r="AY117" s="1"/>
      <c r="AZ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</row>
    <row r="118" spans="1:70" hidden="1" outlineLevel="1">
      <c r="A118" s="436"/>
      <c r="B118" s="2"/>
      <c r="C118" s="2"/>
      <c r="D118" s="1061"/>
      <c r="E118" s="2"/>
      <c r="G118" s="290"/>
      <c r="H118" s="429"/>
      <c r="I118" s="429"/>
      <c r="J118" s="429"/>
      <c r="K118" s="511"/>
      <c r="L118" s="429"/>
      <c r="M118" s="423"/>
      <c r="N118" s="169"/>
      <c r="O118" s="169"/>
      <c r="P118" s="169"/>
      <c r="Q118" s="169"/>
      <c r="T118" s="169"/>
      <c r="U118" s="169"/>
      <c r="V118" s="169"/>
      <c r="W118" s="169"/>
      <c r="AB118" s="154"/>
      <c r="AC118" s="154"/>
      <c r="AD118" s="154"/>
      <c r="AE118" s="154"/>
      <c r="AF118" s="154"/>
      <c r="AG118" s="154"/>
      <c r="AH118" s="615"/>
      <c r="AI118" s="154"/>
      <c r="AJ118" s="154"/>
      <c r="AK118" s="154"/>
      <c r="AL118" s="154"/>
      <c r="AM118" s="684"/>
      <c r="AN118" s="299"/>
      <c r="AO118" s="2"/>
      <c r="AP118" s="2"/>
      <c r="AQ118" s="2"/>
      <c r="AR118" s="2"/>
      <c r="AS118" s="2"/>
      <c r="AT118" s="2"/>
    </row>
    <row r="119" spans="1:70" s="425" customFormat="1" hidden="1" outlineLevel="1">
      <c r="A119" s="382" t="s">
        <v>345</v>
      </c>
      <c r="B119" s="452"/>
      <c r="C119" s="452"/>
      <c r="D119" s="1071"/>
      <c r="E119" s="452"/>
      <c r="F119" s="356"/>
      <c r="G119" s="343"/>
      <c r="H119" s="430"/>
      <c r="I119" s="430"/>
      <c r="J119" s="430"/>
      <c r="K119" s="512"/>
      <c r="L119" s="430"/>
      <c r="N119" s="399" t="s">
        <v>334</v>
      </c>
      <c r="O119" s="354"/>
      <c r="P119" s="354"/>
      <c r="Q119" s="354"/>
      <c r="R119" s="503"/>
      <c r="S119" s="43"/>
      <c r="T119" s="399" t="s">
        <v>334</v>
      </c>
      <c r="U119" s="354"/>
      <c r="V119" s="354"/>
      <c r="W119" s="354"/>
      <c r="X119" s="503"/>
      <c r="Y119" s="43"/>
      <c r="Z119" s="43"/>
      <c r="AA119" s="43"/>
      <c r="AB119" s="633"/>
      <c r="AC119" s="633"/>
      <c r="AD119" s="633"/>
      <c r="AE119" s="633"/>
      <c r="AF119" s="633"/>
      <c r="AG119" s="633"/>
      <c r="AH119" s="833"/>
      <c r="AI119" s="633"/>
      <c r="AJ119" s="633"/>
      <c r="AK119" s="633"/>
      <c r="AL119" s="633"/>
      <c r="AM119" s="834"/>
      <c r="AN119" s="562"/>
      <c r="AO119" s="356"/>
      <c r="AP119" s="356"/>
      <c r="AQ119" s="356"/>
      <c r="AR119" s="356"/>
      <c r="AS119" s="356"/>
      <c r="AT119" s="356"/>
      <c r="AU119" s="43"/>
      <c r="AV119" s="43"/>
      <c r="AW119" s="43"/>
      <c r="AX119" s="43"/>
      <c r="AY119" s="43"/>
      <c r="AZ119" s="43"/>
      <c r="BG119" s="43"/>
      <c r="BH119" s="43"/>
      <c r="BI119" s="43"/>
      <c r="BJ119" s="43"/>
      <c r="BK119" s="43"/>
      <c r="BL119" s="43"/>
      <c r="BM119" s="43"/>
      <c r="BN119" s="43"/>
      <c r="BO119" s="43"/>
      <c r="BP119" s="43"/>
      <c r="BQ119" s="43"/>
      <c r="BR119" s="43"/>
    </row>
    <row r="120" spans="1:70" hidden="1" outlineLevel="1">
      <c r="A120" s="1043" t="s">
        <v>327</v>
      </c>
      <c r="B120" s="2"/>
      <c r="C120" s="2"/>
      <c r="D120" s="1061"/>
      <c r="E120" s="2"/>
      <c r="G120" s="378">
        <f t="shared" ref="G120:G125" si="185">G128</f>
        <v>10.166666666666666</v>
      </c>
      <c r="H120" s="431">
        <f t="shared" ref="H120:J126" si="186">G120</f>
        <v>10.166666666666666</v>
      </c>
      <c r="I120" s="431">
        <f t="shared" si="186"/>
        <v>10.166666666666666</v>
      </c>
      <c r="J120" s="432">
        <f t="shared" si="186"/>
        <v>10.166666666666666</v>
      </c>
      <c r="K120" s="511"/>
      <c r="L120" s="429"/>
      <c r="M120" s="423"/>
      <c r="N120" s="378">
        <f>G120+0.7</f>
        <v>10.866666666666665</v>
      </c>
      <c r="O120" s="394">
        <f>N120</f>
        <v>10.866666666666665</v>
      </c>
      <c r="P120" s="394">
        <f t="shared" ref="P120:Q120" si="187">O120</f>
        <v>10.866666666666665</v>
      </c>
      <c r="Q120" s="395">
        <f t="shared" si="187"/>
        <v>10.866666666666665</v>
      </c>
      <c r="T120" s="378">
        <f t="shared" ref="T120:T126" si="188">N120</f>
        <v>10.866666666666665</v>
      </c>
      <c r="U120" s="394">
        <f>T120</f>
        <v>10.866666666666665</v>
      </c>
      <c r="V120" s="394">
        <f t="shared" ref="V120:W120" si="189">U120</f>
        <v>10.866666666666665</v>
      </c>
      <c r="W120" s="395">
        <f t="shared" si="189"/>
        <v>10.866666666666665</v>
      </c>
      <c r="AB120" s="154"/>
      <c r="AC120" s="378">
        <f>T120</f>
        <v>10.866666666666665</v>
      </c>
      <c r="AD120" s="394">
        <f>AC120</f>
        <v>10.866666666666665</v>
      </c>
      <c r="AE120" s="394">
        <f t="shared" ref="AE120:AF126" si="190">AD120</f>
        <v>10.866666666666665</v>
      </c>
      <c r="AF120" s="395">
        <f t="shared" si="190"/>
        <v>10.866666666666665</v>
      </c>
      <c r="AG120" s="154"/>
      <c r="AH120" s="615"/>
      <c r="AI120" s="378">
        <f>AC120</f>
        <v>10.866666666666665</v>
      </c>
      <c r="AJ120" s="394">
        <f>AI120</f>
        <v>10.866666666666665</v>
      </c>
      <c r="AK120" s="394">
        <f t="shared" ref="AK120:AL126" si="191">AJ120</f>
        <v>10.866666666666665</v>
      </c>
      <c r="AL120" s="395">
        <f t="shared" si="191"/>
        <v>10.866666666666665</v>
      </c>
      <c r="AM120" s="684"/>
      <c r="AN120" s="299"/>
      <c r="AO120" s="2"/>
      <c r="AP120" s="2"/>
      <c r="AQ120" s="2"/>
      <c r="AR120" s="2"/>
      <c r="AS120" s="2"/>
      <c r="AT120" s="2"/>
    </row>
    <row r="121" spans="1:70" hidden="1" outlineLevel="1">
      <c r="A121" s="436" t="s">
        <v>62</v>
      </c>
      <c r="B121" s="2"/>
      <c r="C121" s="2"/>
      <c r="D121" s="1061"/>
      <c r="E121" s="2"/>
      <c r="G121" s="379">
        <f t="shared" si="185"/>
        <v>7.7666666666666666</v>
      </c>
      <c r="H121" s="429">
        <f t="shared" si="186"/>
        <v>7.7666666666666666</v>
      </c>
      <c r="I121" s="429">
        <f t="shared" si="186"/>
        <v>7.7666666666666666</v>
      </c>
      <c r="J121" s="433">
        <f t="shared" si="186"/>
        <v>7.7666666666666666</v>
      </c>
      <c r="K121" s="511"/>
      <c r="L121" s="429"/>
      <c r="M121" s="423"/>
      <c r="N121" s="379">
        <f t="shared" ref="N121:N125" si="192">G121+0.7</f>
        <v>8.4666666666666668</v>
      </c>
      <c r="O121" s="290">
        <f t="shared" ref="O121:Q126" si="193">N121</f>
        <v>8.4666666666666668</v>
      </c>
      <c r="P121" s="290">
        <f t="shared" si="193"/>
        <v>8.4666666666666668</v>
      </c>
      <c r="Q121" s="396">
        <f t="shared" si="193"/>
        <v>8.4666666666666668</v>
      </c>
      <c r="T121" s="379">
        <f t="shared" si="188"/>
        <v>8.4666666666666668</v>
      </c>
      <c r="U121" s="290">
        <f t="shared" ref="U121:W126" si="194">T121</f>
        <v>8.4666666666666668</v>
      </c>
      <c r="V121" s="290">
        <f t="shared" si="194"/>
        <v>8.4666666666666668</v>
      </c>
      <c r="W121" s="396">
        <f t="shared" si="194"/>
        <v>8.4666666666666668</v>
      </c>
      <c r="AB121" s="154"/>
      <c r="AC121" s="379">
        <f t="shared" ref="AC121:AC126" si="195">T121</f>
        <v>8.4666666666666668</v>
      </c>
      <c r="AD121" s="290">
        <f t="shared" ref="AD121:AD126" si="196">AC121</f>
        <v>8.4666666666666668</v>
      </c>
      <c r="AE121" s="290">
        <f t="shared" si="190"/>
        <v>8.4666666666666668</v>
      </c>
      <c r="AF121" s="396">
        <f t="shared" si="190"/>
        <v>8.4666666666666668</v>
      </c>
      <c r="AG121" s="154"/>
      <c r="AH121" s="615"/>
      <c r="AI121" s="379">
        <f t="shared" ref="AI121:AI126" si="197">AC121</f>
        <v>8.4666666666666668</v>
      </c>
      <c r="AJ121" s="290">
        <f t="shared" ref="AJ121:AJ126" si="198">AI121</f>
        <v>8.4666666666666668</v>
      </c>
      <c r="AK121" s="290">
        <f t="shared" si="191"/>
        <v>8.4666666666666668</v>
      </c>
      <c r="AL121" s="396">
        <f t="shared" si="191"/>
        <v>8.4666666666666668</v>
      </c>
      <c r="AM121" s="684"/>
      <c r="AN121" s="299"/>
      <c r="AO121" s="2"/>
      <c r="AP121" s="2"/>
      <c r="AQ121" s="2"/>
      <c r="AR121" s="2"/>
      <c r="AS121" s="2"/>
      <c r="AT121" s="2"/>
    </row>
    <row r="122" spans="1:70" hidden="1" outlineLevel="1">
      <c r="A122" s="436" t="s">
        <v>65</v>
      </c>
      <c r="B122" s="2"/>
      <c r="C122" s="2"/>
      <c r="D122" s="1061"/>
      <c r="E122" s="2"/>
      <c r="G122" s="379">
        <f t="shared" si="185"/>
        <v>5.7666666666666666</v>
      </c>
      <c r="H122" s="429">
        <f t="shared" si="186"/>
        <v>5.7666666666666666</v>
      </c>
      <c r="I122" s="429">
        <f t="shared" si="186"/>
        <v>5.7666666666666666</v>
      </c>
      <c r="J122" s="433">
        <f t="shared" si="186"/>
        <v>5.7666666666666666</v>
      </c>
      <c r="K122" s="511"/>
      <c r="L122" s="429"/>
      <c r="M122" s="423"/>
      <c r="N122" s="379">
        <f t="shared" si="192"/>
        <v>6.4666666666666668</v>
      </c>
      <c r="O122" s="290">
        <f t="shared" si="193"/>
        <v>6.4666666666666668</v>
      </c>
      <c r="P122" s="290">
        <f t="shared" si="193"/>
        <v>6.4666666666666668</v>
      </c>
      <c r="Q122" s="396">
        <f t="shared" si="193"/>
        <v>6.4666666666666668</v>
      </c>
      <c r="T122" s="379">
        <f t="shared" si="188"/>
        <v>6.4666666666666668</v>
      </c>
      <c r="U122" s="290">
        <f t="shared" si="194"/>
        <v>6.4666666666666668</v>
      </c>
      <c r="V122" s="290">
        <f t="shared" si="194"/>
        <v>6.4666666666666668</v>
      </c>
      <c r="W122" s="396">
        <f t="shared" si="194"/>
        <v>6.4666666666666668</v>
      </c>
      <c r="AB122" s="154"/>
      <c r="AC122" s="379">
        <f t="shared" si="195"/>
        <v>6.4666666666666668</v>
      </c>
      <c r="AD122" s="290">
        <f t="shared" si="196"/>
        <v>6.4666666666666668</v>
      </c>
      <c r="AE122" s="290">
        <f t="shared" si="190"/>
        <v>6.4666666666666668</v>
      </c>
      <c r="AF122" s="396">
        <f t="shared" si="190"/>
        <v>6.4666666666666668</v>
      </c>
      <c r="AG122" s="154"/>
      <c r="AH122" s="615"/>
      <c r="AI122" s="379">
        <f t="shared" si="197"/>
        <v>6.4666666666666668</v>
      </c>
      <c r="AJ122" s="290">
        <f t="shared" si="198"/>
        <v>6.4666666666666668</v>
      </c>
      <c r="AK122" s="290">
        <f t="shared" si="191"/>
        <v>6.4666666666666668</v>
      </c>
      <c r="AL122" s="396">
        <f t="shared" si="191"/>
        <v>6.4666666666666668</v>
      </c>
      <c r="AM122" s="684"/>
      <c r="AN122" s="299"/>
      <c r="AO122" s="2"/>
      <c r="AP122" s="2"/>
      <c r="AQ122" s="2"/>
      <c r="AR122" s="2"/>
      <c r="AS122" s="2"/>
      <c r="AT122" s="2"/>
    </row>
    <row r="123" spans="1:70" hidden="1" outlineLevel="1">
      <c r="A123" s="436" t="s">
        <v>66</v>
      </c>
      <c r="B123" s="2"/>
      <c r="C123" s="2"/>
      <c r="D123" s="1061"/>
      <c r="E123" s="2"/>
      <c r="G123" s="379">
        <f t="shared" si="185"/>
        <v>4.9666666666666668</v>
      </c>
      <c r="H123" s="429">
        <f t="shared" si="186"/>
        <v>4.9666666666666668</v>
      </c>
      <c r="I123" s="429">
        <f t="shared" si="186"/>
        <v>4.9666666666666668</v>
      </c>
      <c r="J123" s="433">
        <f t="shared" si="186"/>
        <v>4.9666666666666668</v>
      </c>
      <c r="K123" s="511"/>
      <c r="L123" s="429"/>
      <c r="M123" s="423"/>
      <c r="N123" s="379">
        <f t="shared" si="192"/>
        <v>5.666666666666667</v>
      </c>
      <c r="O123" s="290">
        <f t="shared" si="193"/>
        <v>5.666666666666667</v>
      </c>
      <c r="P123" s="290">
        <f t="shared" si="193"/>
        <v>5.666666666666667</v>
      </c>
      <c r="Q123" s="396">
        <f t="shared" si="193"/>
        <v>5.666666666666667</v>
      </c>
      <c r="T123" s="379">
        <f t="shared" si="188"/>
        <v>5.666666666666667</v>
      </c>
      <c r="U123" s="290">
        <f t="shared" si="194"/>
        <v>5.666666666666667</v>
      </c>
      <c r="V123" s="290">
        <f t="shared" si="194"/>
        <v>5.666666666666667</v>
      </c>
      <c r="W123" s="396">
        <f t="shared" si="194"/>
        <v>5.666666666666667</v>
      </c>
      <c r="AB123" s="154"/>
      <c r="AC123" s="379">
        <f t="shared" si="195"/>
        <v>5.666666666666667</v>
      </c>
      <c r="AD123" s="290">
        <f t="shared" si="196"/>
        <v>5.666666666666667</v>
      </c>
      <c r="AE123" s="290">
        <f t="shared" si="190"/>
        <v>5.666666666666667</v>
      </c>
      <c r="AF123" s="396">
        <f t="shared" si="190"/>
        <v>5.666666666666667</v>
      </c>
      <c r="AG123" s="154"/>
      <c r="AH123" s="615"/>
      <c r="AI123" s="379">
        <f t="shared" si="197"/>
        <v>5.666666666666667</v>
      </c>
      <c r="AJ123" s="290">
        <f t="shared" si="198"/>
        <v>5.666666666666667</v>
      </c>
      <c r="AK123" s="290">
        <f t="shared" si="191"/>
        <v>5.666666666666667</v>
      </c>
      <c r="AL123" s="396">
        <f t="shared" si="191"/>
        <v>5.666666666666667</v>
      </c>
      <c r="AM123" s="684"/>
      <c r="AN123" s="299"/>
      <c r="AO123" s="2"/>
      <c r="AP123" s="2"/>
      <c r="AQ123" s="2"/>
      <c r="AR123" s="2"/>
      <c r="AS123" s="2"/>
      <c r="AT123" s="2"/>
    </row>
    <row r="124" spans="1:70" hidden="1" outlineLevel="1">
      <c r="A124" s="436" t="s">
        <v>328</v>
      </c>
      <c r="B124" s="2"/>
      <c r="C124" s="2"/>
      <c r="D124" s="1061"/>
      <c r="E124" s="2"/>
      <c r="G124" s="379">
        <f t="shared" si="185"/>
        <v>4.3</v>
      </c>
      <c r="H124" s="429">
        <f t="shared" si="186"/>
        <v>4.3</v>
      </c>
      <c r="I124" s="429">
        <f t="shared" si="186"/>
        <v>4.3</v>
      </c>
      <c r="J124" s="433">
        <f t="shared" si="186"/>
        <v>4.3</v>
      </c>
      <c r="K124" s="511"/>
      <c r="L124" s="429"/>
      <c r="M124" s="423"/>
      <c r="N124" s="379">
        <f t="shared" si="192"/>
        <v>5</v>
      </c>
      <c r="O124" s="290">
        <f t="shared" si="193"/>
        <v>5</v>
      </c>
      <c r="P124" s="290">
        <f t="shared" si="193"/>
        <v>5</v>
      </c>
      <c r="Q124" s="396">
        <f t="shared" si="193"/>
        <v>5</v>
      </c>
      <c r="T124" s="379">
        <f t="shared" si="188"/>
        <v>5</v>
      </c>
      <c r="U124" s="290">
        <f t="shared" si="194"/>
        <v>5</v>
      </c>
      <c r="V124" s="290">
        <f t="shared" si="194"/>
        <v>5</v>
      </c>
      <c r="W124" s="396">
        <f t="shared" si="194"/>
        <v>5</v>
      </c>
      <c r="AB124" s="154"/>
      <c r="AC124" s="379">
        <f t="shared" si="195"/>
        <v>5</v>
      </c>
      <c r="AD124" s="290">
        <f t="shared" si="196"/>
        <v>5</v>
      </c>
      <c r="AE124" s="290">
        <f t="shared" si="190"/>
        <v>5</v>
      </c>
      <c r="AF124" s="396">
        <f t="shared" si="190"/>
        <v>5</v>
      </c>
      <c r="AG124" s="154"/>
      <c r="AH124" s="615"/>
      <c r="AI124" s="379">
        <f t="shared" si="197"/>
        <v>5</v>
      </c>
      <c r="AJ124" s="290">
        <f t="shared" si="198"/>
        <v>5</v>
      </c>
      <c r="AK124" s="290">
        <f t="shared" si="191"/>
        <v>5</v>
      </c>
      <c r="AL124" s="396">
        <f t="shared" si="191"/>
        <v>5</v>
      </c>
      <c r="AM124" s="684"/>
      <c r="AN124" s="299"/>
      <c r="AO124" s="2"/>
      <c r="AP124" s="2"/>
      <c r="AQ124" s="2"/>
      <c r="AR124" s="2"/>
      <c r="AS124" s="2"/>
      <c r="AT124" s="2"/>
    </row>
    <row r="125" spans="1:70" hidden="1" outlineLevel="1">
      <c r="A125" s="1044" t="s">
        <v>329</v>
      </c>
      <c r="B125" s="2"/>
      <c r="C125" s="2"/>
      <c r="D125" s="1061"/>
      <c r="E125" s="2"/>
      <c r="G125" s="380">
        <f t="shared" si="185"/>
        <v>3.2333333333333334</v>
      </c>
      <c r="H125" s="434">
        <f t="shared" si="186"/>
        <v>3.2333333333333334</v>
      </c>
      <c r="I125" s="434">
        <f t="shared" si="186"/>
        <v>3.2333333333333334</v>
      </c>
      <c r="J125" s="435">
        <f t="shared" si="186"/>
        <v>3.2333333333333334</v>
      </c>
      <c r="K125" s="511"/>
      <c r="L125" s="429"/>
      <c r="M125" s="423"/>
      <c r="N125" s="380">
        <f t="shared" si="192"/>
        <v>3.9333333333333336</v>
      </c>
      <c r="O125" s="397">
        <f t="shared" si="193"/>
        <v>3.9333333333333336</v>
      </c>
      <c r="P125" s="397">
        <f t="shared" si="193"/>
        <v>3.9333333333333336</v>
      </c>
      <c r="Q125" s="398">
        <f t="shared" si="193"/>
        <v>3.9333333333333336</v>
      </c>
      <c r="T125" s="380">
        <f t="shared" si="188"/>
        <v>3.9333333333333336</v>
      </c>
      <c r="U125" s="397">
        <f t="shared" si="194"/>
        <v>3.9333333333333336</v>
      </c>
      <c r="V125" s="397">
        <f t="shared" si="194"/>
        <v>3.9333333333333336</v>
      </c>
      <c r="W125" s="398">
        <f t="shared" si="194"/>
        <v>3.9333333333333336</v>
      </c>
      <c r="AB125" s="154"/>
      <c r="AC125" s="380">
        <f t="shared" si="195"/>
        <v>3.9333333333333336</v>
      </c>
      <c r="AD125" s="397">
        <f t="shared" si="196"/>
        <v>3.9333333333333336</v>
      </c>
      <c r="AE125" s="397">
        <f t="shared" si="190"/>
        <v>3.9333333333333336</v>
      </c>
      <c r="AF125" s="398">
        <f t="shared" si="190"/>
        <v>3.9333333333333336</v>
      </c>
      <c r="AG125" s="154"/>
      <c r="AH125" s="615"/>
      <c r="AI125" s="380">
        <f t="shared" si="197"/>
        <v>3.9333333333333336</v>
      </c>
      <c r="AJ125" s="397">
        <f t="shared" si="198"/>
        <v>3.9333333333333336</v>
      </c>
      <c r="AK125" s="397">
        <f t="shared" si="191"/>
        <v>3.9333333333333336</v>
      </c>
      <c r="AL125" s="398">
        <f t="shared" si="191"/>
        <v>3.9333333333333336</v>
      </c>
      <c r="AM125" s="684"/>
      <c r="AN125" s="299"/>
      <c r="AO125" s="2"/>
      <c r="AP125" s="2"/>
      <c r="AQ125" s="2"/>
      <c r="AR125" s="2"/>
      <c r="AS125" s="2"/>
      <c r="AT125" s="2"/>
    </row>
    <row r="126" spans="1:70" s="762" customFormat="1" hidden="1" outlineLevel="1">
      <c r="A126" s="1045"/>
      <c r="B126" s="400"/>
      <c r="C126" s="400"/>
      <c r="D126" s="1073"/>
      <c r="E126" s="400"/>
      <c r="F126" s="400"/>
      <c r="G126" s="154">
        <f>AVERAGE(G120:G125)</f>
        <v>6.0333333333333323</v>
      </c>
      <c r="H126" s="400">
        <f t="shared" si="186"/>
        <v>6.0333333333333323</v>
      </c>
      <c r="I126" s="400">
        <f t="shared" si="186"/>
        <v>6.0333333333333323</v>
      </c>
      <c r="J126" s="400">
        <f t="shared" si="186"/>
        <v>6.0333333333333323</v>
      </c>
      <c r="K126" s="760"/>
      <c r="L126" s="400"/>
      <c r="N126" s="154">
        <f t="shared" ref="N126" si="199">G126+1</f>
        <v>7.0333333333333323</v>
      </c>
      <c r="O126" s="154">
        <f t="shared" si="193"/>
        <v>7.0333333333333323</v>
      </c>
      <c r="P126" s="154">
        <f t="shared" si="193"/>
        <v>7.0333333333333323</v>
      </c>
      <c r="Q126" s="154">
        <f t="shared" si="193"/>
        <v>7.0333333333333323</v>
      </c>
      <c r="R126" s="299"/>
      <c r="S126" s="154"/>
      <c r="T126" s="154">
        <f t="shared" si="188"/>
        <v>7.0333333333333323</v>
      </c>
      <c r="U126" s="154">
        <f t="shared" si="194"/>
        <v>7.0333333333333323</v>
      </c>
      <c r="V126" s="154">
        <f t="shared" si="194"/>
        <v>7.0333333333333323</v>
      </c>
      <c r="W126" s="154">
        <f t="shared" si="194"/>
        <v>7.0333333333333323</v>
      </c>
      <c r="X126" s="299"/>
      <c r="Y126" s="154"/>
      <c r="Z126" s="154"/>
      <c r="AA126" s="154"/>
      <c r="AB126" s="154"/>
      <c r="AC126" s="154">
        <f t="shared" si="195"/>
        <v>7.0333333333333323</v>
      </c>
      <c r="AD126" s="154">
        <f t="shared" si="196"/>
        <v>7.0333333333333323</v>
      </c>
      <c r="AE126" s="154">
        <f t="shared" si="190"/>
        <v>7.0333333333333323</v>
      </c>
      <c r="AF126" s="154">
        <f t="shared" si="190"/>
        <v>7.0333333333333323</v>
      </c>
      <c r="AG126" s="154"/>
      <c r="AH126" s="615"/>
      <c r="AI126" s="154">
        <f t="shared" si="197"/>
        <v>7.0333333333333323</v>
      </c>
      <c r="AJ126" s="154">
        <f t="shared" si="198"/>
        <v>7.0333333333333323</v>
      </c>
      <c r="AK126" s="154">
        <f t="shared" si="191"/>
        <v>7.0333333333333323</v>
      </c>
      <c r="AL126" s="154">
        <f t="shared" si="191"/>
        <v>7.0333333333333323</v>
      </c>
      <c r="AM126" s="684"/>
      <c r="AN126" s="299"/>
      <c r="AO126" s="400"/>
      <c r="AP126" s="400"/>
      <c r="AQ126" s="400"/>
      <c r="AR126" s="400"/>
      <c r="AS126" s="400"/>
      <c r="AT126" s="400"/>
      <c r="AU126" s="154"/>
      <c r="AV126" s="154"/>
      <c r="AW126" s="154"/>
      <c r="AX126" s="154"/>
      <c r="AY126" s="154"/>
      <c r="AZ126" s="154"/>
      <c r="BG126" s="154"/>
      <c r="BH126" s="154"/>
      <c r="BI126" s="154"/>
      <c r="BJ126" s="154"/>
      <c r="BK126" s="154"/>
      <c r="BL126" s="154"/>
      <c r="BM126" s="154"/>
      <c r="BN126" s="154"/>
      <c r="BO126" s="154"/>
      <c r="BP126" s="154"/>
      <c r="BQ126" s="154"/>
      <c r="BR126" s="154"/>
    </row>
    <row r="127" spans="1:70" s="425" customFormat="1" hidden="1" outlineLevel="1">
      <c r="A127" s="382" t="s">
        <v>346</v>
      </c>
      <c r="B127" s="452"/>
      <c r="C127" s="452"/>
      <c r="D127" s="1071"/>
      <c r="E127" s="452"/>
      <c r="F127" s="356"/>
      <c r="G127" s="354"/>
      <c r="H127" s="354"/>
      <c r="I127" s="354"/>
      <c r="J127" s="354"/>
      <c r="K127" s="512"/>
      <c r="L127" s="430"/>
      <c r="N127" s="354"/>
      <c r="O127" s="354"/>
      <c r="P127" s="354"/>
      <c r="Q127" s="354"/>
      <c r="R127" s="503"/>
      <c r="S127" s="43"/>
      <c r="T127" s="354"/>
      <c r="U127" s="354"/>
      <c r="V127" s="354"/>
      <c r="W127" s="354"/>
      <c r="X127" s="503"/>
      <c r="Y127" s="43"/>
      <c r="Z127" s="43"/>
      <c r="AA127" s="43"/>
      <c r="AB127" s="633"/>
      <c r="AC127" s="633"/>
      <c r="AD127" s="633"/>
      <c r="AE127" s="633"/>
      <c r="AF127" s="633"/>
      <c r="AG127" s="633"/>
      <c r="AH127" s="833"/>
      <c r="AI127" s="633"/>
      <c r="AJ127" s="633"/>
      <c r="AK127" s="633"/>
      <c r="AL127" s="633"/>
      <c r="AM127" s="834"/>
      <c r="AN127" s="562"/>
      <c r="AO127" s="356"/>
      <c r="AP127" s="356"/>
      <c r="AQ127" s="356"/>
      <c r="AR127" s="356"/>
      <c r="AS127" s="356"/>
      <c r="AT127" s="356"/>
      <c r="AU127" s="43"/>
      <c r="AV127" s="43"/>
      <c r="AW127" s="43"/>
      <c r="AX127" s="43"/>
      <c r="AY127" s="43"/>
      <c r="AZ127" s="43"/>
      <c r="BG127" s="43"/>
      <c r="BH127" s="43"/>
      <c r="BI127" s="43"/>
      <c r="BJ127" s="43"/>
      <c r="BK127" s="43"/>
      <c r="BL127" s="43"/>
      <c r="BM127" s="43"/>
      <c r="BN127" s="43"/>
      <c r="BO127" s="43"/>
      <c r="BP127" s="43"/>
      <c r="BQ127" s="43"/>
      <c r="BR127" s="43"/>
    </row>
    <row r="128" spans="1:70" hidden="1" outlineLevel="1">
      <c r="A128" s="1043" t="s">
        <v>327</v>
      </c>
      <c r="B128" s="2"/>
      <c r="C128" s="2"/>
      <c r="D128" s="1061"/>
      <c r="E128" s="2"/>
      <c r="G128" s="378">
        <f>'MPS др метрики'!E110</f>
        <v>10.166666666666666</v>
      </c>
      <c r="H128" s="431">
        <f t="shared" ref="H128:J133" si="200">G128</f>
        <v>10.166666666666666</v>
      </c>
      <c r="I128" s="431">
        <f t="shared" si="200"/>
        <v>10.166666666666666</v>
      </c>
      <c r="J128" s="431">
        <f t="shared" si="200"/>
        <v>10.166666666666666</v>
      </c>
      <c r="K128" s="511"/>
      <c r="L128" s="429"/>
      <c r="M128" s="423"/>
      <c r="N128" s="378">
        <f t="shared" ref="N128:Q133" si="201">G128</f>
        <v>10.166666666666666</v>
      </c>
      <c r="O128" s="394">
        <f t="shared" si="201"/>
        <v>10.166666666666666</v>
      </c>
      <c r="P128" s="394">
        <f t="shared" si="201"/>
        <v>10.166666666666666</v>
      </c>
      <c r="Q128" s="395">
        <f t="shared" si="201"/>
        <v>10.166666666666666</v>
      </c>
      <c r="T128" s="378">
        <f t="shared" ref="T128:W133" si="202">N128</f>
        <v>10.166666666666666</v>
      </c>
      <c r="U128" s="394">
        <f t="shared" si="202"/>
        <v>10.166666666666666</v>
      </c>
      <c r="V128" s="394">
        <f t="shared" si="202"/>
        <v>10.166666666666666</v>
      </c>
      <c r="W128" s="395">
        <f t="shared" si="202"/>
        <v>10.166666666666666</v>
      </c>
      <c r="AB128" s="154"/>
      <c r="AC128" s="378">
        <f t="shared" ref="AC128:AF133" si="203">T128</f>
        <v>10.166666666666666</v>
      </c>
      <c r="AD128" s="394">
        <f t="shared" si="203"/>
        <v>10.166666666666666</v>
      </c>
      <c r="AE128" s="394">
        <f t="shared" si="203"/>
        <v>10.166666666666666</v>
      </c>
      <c r="AF128" s="395">
        <f t="shared" si="203"/>
        <v>10.166666666666666</v>
      </c>
      <c r="AG128" s="154"/>
      <c r="AH128" s="615"/>
      <c r="AI128" s="378">
        <f t="shared" ref="AI128:AL133" si="204">AC128</f>
        <v>10.166666666666666</v>
      </c>
      <c r="AJ128" s="394">
        <f t="shared" si="204"/>
        <v>10.166666666666666</v>
      </c>
      <c r="AK128" s="394">
        <f t="shared" si="204"/>
        <v>10.166666666666666</v>
      </c>
      <c r="AL128" s="395">
        <f t="shared" si="204"/>
        <v>10.166666666666666</v>
      </c>
      <c r="AM128" s="684"/>
      <c r="AN128" s="299"/>
      <c r="AO128" s="2"/>
      <c r="AP128" s="2"/>
      <c r="AQ128" s="2"/>
      <c r="AR128" s="2"/>
      <c r="AS128" s="2"/>
      <c r="AT128" s="2"/>
    </row>
    <row r="129" spans="1:70" hidden="1" outlineLevel="1">
      <c r="A129" s="436" t="s">
        <v>62</v>
      </c>
      <c r="B129" s="2"/>
      <c r="C129" s="2"/>
      <c r="D129" s="1061"/>
      <c r="E129" s="2"/>
      <c r="G129" s="379">
        <f>'MPS др метрики'!E111</f>
        <v>7.7666666666666666</v>
      </c>
      <c r="H129" s="429">
        <f t="shared" si="200"/>
        <v>7.7666666666666666</v>
      </c>
      <c r="I129" s="429">
        <f t="shared" si="200"/>
        <v>7.7666666666666666</v>
      </c>
      <c r="J129" s="429">
        <f t="shared" si="200"/>
        <v>7.7666666666666666</v>
      </c>
      <c r="K129" s="511"/>
      <c r="L129" s="429"/>
      <c r="M129" s="423"/>
      <c r="N129" s="379">
        <f t="shared" si="201"/>
        <v>7.7666666666666666</v>
      </c>
      <c r="O129" s="290">
        <f t="shared" si="201"/>
        <v>7.7666666666666666</v>
      </c>
      <c r="P129" s="290">
        <f t="shared" si="201"/>
        <v>7.7666666666666666</v>
      </c>
      <c r="Q129" s="396">
        <f t="shared" si="201"/>
        <v>7.7666666666666666</v>
      </c>
      <c r="T129" s="379">
        <f t="shared" si="202"/>
        <v>7.7666666666666666</v>
      </c>
      <c r="U129" s="290">
        <f t="shared" si="202"/>
        <v>7.7666666666666666</v>
      </c>
      <c r="V129" s="290">
        <f t="shared" si="202"/>
        <v>7.7666666666666666</v>
      </c>
      <c r="W129" s="396">
        <f t="shared" si="202"/>
        <v>7.7666666666666666</v>
      </c>
      <c r="AB129" s="154"/>
      <c r="AC129" s="379">
        <f t="shared" si="203"/>
        <v>7.7666666666666666</v>
      </c>
      <c r="AD129" s="290">
        <f t="shared" si="203"/>
        <v>7.7666666666666666</v>
      </c>
      <c r="AE129" s="290">
        <f t="shared" si="203"/>
        <v>7.7666666666666666</v>
      </c>
      <c r="AF129" s="396">
        <f t="shared" si="203"/>
        <v>7.7666666666666666</v>
      </c>
      <c r="AG129" s="154"/>
      <c r="AH129" s="615"/>
      <c r="AI129" s="379">
        <f t="shared" si="204"/>
        <v>7.7666666666666666</v>
      </c>
      <c r="AJ129" s="290">
        <f t="shared" si="204"/>
        <v>7.7666666666666666</v>
      </c>
      <c r="AK129" s="290">
        <f t="shared" si="204"/>
        <v>7.7666666666666666</v>
      </c>
      <c r="AL129" s="396">
        <f t="shared" si="204"/>
        <v>7.7666666666666666</v>
      </c>
      <c r="AM129" s="684"/>
      <c r="AN129" s="299"/>
      <c r="AO129" s="2"/>
      <c r="AP129" s="2"/>
      <c r="AQ129" s="2"/>
      <c r="AR129" s="2"/>
      <c r="AS129" s="2"/>
      <c r="AT129" s="2"/>
    </row>
    <row r="130" spans="1:70" hidden="1" outlineLevel="1">
      <c r="A130" s="436" t="s">
        <v>65</v>
      </c>
      <c r="B130" s="2"/>
      <c r="C130" s="2"/>
      <c r="D130" s="1061"/>
      <c r="E130" s="2"/>
      <c r="G130" s="379">
        <f>'MPS др метрики'!E112</f>
        <v>5.7666666666666666</v>
      </c>
      <c r="H130" s="429">
        <f t="shared" si="200"/>
        <v>5.7666666666666666</v>
      </c>
      <c r="I130" s="429">
        <f t="shared" si="200"/>
        <v>5.7666666666666666</v>
      </c>
      <c r="J130" s="429">
        <f t="shared" si="200"/>
        <v>5.7666666666666666</v>
      </c>
      <c r="K130" s="511"/>
      <c r="L130" s="429"/>
      <c r="M130" s="423"/>
      <c r="N130" s="379">
        <f t="shared" si="201"/>
        <v>5.7666666666666666</v>
      </c>
      <c r="O130" s="290">
        <f t="shared" si="201"/>
        <v>5.7666666666666666</v>
      </c>
      <c r="P130" s="290">
        <f t="shared" si="201"/>
        <v>5.7666666666666666</v>
      </c>
      <c r="Q130" s="396">
        <f t="shared" si="201"/>
        <v>5.7666666666666666</v>
      </c>
      <c r="T130" s="379">
        <f t="shared" si="202"/>
        <v>5.7666666666666666</v>
      </c>
      <c r="U130" s="290">
        <f t="shared" si="202"/>
        <v>5.7666666666666666</v>
      </c>
      <c r="V130" s="290">
        <f t="shared" si="202"/>
        <v>5.7666666666666666</v>
      </c>
      <c r="W130" s="396">
        <f t="shared" si="202"/>
        <v>5.7666666666666666</v>
      </c>
      <c r="AB130" s="154"/>
      <c r="AC130" s="379">
        <f t="shared" si="203"/>
        <v>5.7666666666666666</v>
      </c>
      <c r="AD130" s="290">
        <f t="shared" si="203"/>
        <v>5.7666666666666666</v>
      </c>
      <c r="AE130" s="290">
        <f t="shared" si="203"/>
        <v>5.7666666666666666</v>
      </c>
      <c r="AF130" s="396">
        <f t="shared" si="203"/>
        <v>5.7666666666666666</v>
      </c>
      <c r="AG130" s="154"/>
      <c r="AH130" s="615"/>
      <c r="AI130" s="379">
        <f t="shared" si="204"/>
        <v>5.7666666666666666</v>
      </c>
      <c r="AJ130" s="290">
        <f t="shared" si="204"/>
        <v>5.7666666666666666</v>
      </c>
      <c r="AK130" s="290">
        <f t="shared" si="204"/>
        <v>5.7666666666666666</v>
      </c>
      <c r="AL130" s="396">
        <f t="shared" si="204"/>
        <v>5.7666666666666666</v>
      </c>
      <c r="AM130" s="684"/>
      <c r="AN130" s="299"/>
      <c r="AO130" s="2"/>
      <c r="AP130" s="2"/>
      <c r="AQ130" s="2"/>
      <c r="AR130" s="2"/>
      <c r="AS130" s="2"/>
      <c r="AT130" s="2"/>
    </row>
    <row r="131" spans="1:70" hidden="1" outlineLevel="1">
      <c r="A131" s="436" t="s">
        <v>66</v>
      </c>
      <c r="B131" s="2"/>
      <c r="C131" s="2"/>
      <c r="D131" s="1061"/>
      <c r="E131" s="2"/>
      <c r="G131" s="379">
        <f>'MPS др метрики'!E113</f>
        <v>4.9666666666666668</v>
      </c>
      <c r="H131" s="429">
        <f t="shared" si="200"/>
        <v>4.9666666666666668</v>
      </c>
      <c r="I131" s="429">
        <f t="shared" si="200"/>
        <v>4.9666666666666668</v>
      </c>
      <c r="J131" s="429">
        <f t="shared" si="200"/>
        <v>4.9666666666666668</v>
      </c>
      <c r="K131" s="511"/>
      <c r="L131" s="429"/>
      <c r="M131" s="423"/>
      <c r="N131" s="379">
        <f t="shared" si="201"/>
        <v>4.9666666666666668</v>
      </c>
      <c r="O131" s="290">
        <f t="shared" si="201"/>
        <v>4.9666666666666668</v>
      </c>
      <c r="P131" s="290">
        <f t="shared" si="201"/>
        <v>4.9666666666666668</v>
      </c>
      <c r="Q131" s="396">
        <f t="shared" si="201"/>
        <v>4.9666666666666668</v>
      </c>
      <c r="T131" s="379">
        <f t="shared" si="202"/>
        <v>4.9666666666666668</v>
      </c>
      <c r="U131" s="290">
        <f t="shared" si="202"/>
        <v>4.9666666666666668</v>
      </c>
      <c r="V131" s="290">
        <f t="shared" si="202"/>
        <v>4.9666666666666668</v>
      </c>
      <c r="W131" s="396">
        <f t="shared" si="202"/>
        <v>4.9666666666666668</v>
      </c>
      <c r="AB131" s="154"/>
      <c r="AC131" s="379">
        <f t="shared" si="203"/>
        <v>4.9666666666666668</v>
      </c>
      <c r="AD131" s="290">
        <f t="shared" si="203"/>
        <v>4.9666666666666668</v>
      </c>
      <c r="AE131" s="290">
        <f t="shared" si="203"/>
        <v>4.9666666666666668</v>
      </c>
      <c r="AF131" s="396">
        <f t="shared" si="203"/>
        <v>4.9666666666666668</v>
      </c>
      <c r="AG131" s="154"/>
      <c r="AH131" s="615"/>
      <c r="AI131" s="379">
        <f t="shared" si="204"/>
        <v>4.9666666666666668</v>
      </c>
      <c r="AJ131" s="290">
        <f t="shared" si="204"/>
        <v>4.9666666666666668</v>
      </c>
      <c r="AK131" s="290">
        <f t="shared" si="204"/>
        <v>4.9666666666666668</v>
      </c>
      <c r="AL131" s="396">
        <f t="shared" si="204"/>
        <v>4.9666666666666668</v>
      </c>
      <c r="AM131" s="684"/>
      <c r="AN131" s="299"/>
      <c r="AO131" s="2"/>
      <c r="AP131" s="2"/>
      <c r="AQ131" s="2"/>
      <c r="AR131" s="2"/>
      <c r="AS131" s="2"/>
      <c r="AT131" s="2"/>
    </row>
    <row r="132" spans="1:70" hidden="1" outlineLevel="1">
      <c r="A132" s="436" t="s">
        <v>328</v>
      </c>
      <c r="B132" s="2"/>
      <c r="C132" s="2"/>
      <c r="D132" s="1061"/>
      <c r="E132" s="2"/>
      <c r="G132" s="379">
        <f>'MPS др метрики'!E114</f>
        <v>4.3</v>
      </c>
      <c r="H132" s="429">
        <f t="shared" si="200"/>
        <v>4.3</v>
      </c>
      <c r="I132" s="429">
        <f t="shared" si="200"/>
        <v>4.3</v>
      </c>
      <c r="J132" s="429">
        <f t="shared" si="200"/>
        <v>4.3</v>
      </c>
      <c r="K132" s="511"/>
      <c r="L132" s="429"/>
      <c r="M132" s="423"/>
      <c r="N132" s="379">
        <f t="shared" si="201"/>
        <v>4.3</v>
      </c>
      <c r="O132" s="290">
        <f t="shared" si="201"/>
        <v>4.3</v>
      </c>
      <c r="P132" s="290">
        <f t="shared" si="201"/>
        <v>4.3</v>
      </c>
      <c r="Q132" s="396">
        <f t="shared" si="201"/>
        <v>4.3</v>
      </c>
      <c r="T132" s="379">
        <f t="shared" si="202"/>
        <v>4.3</v>
      </c>
      <c r="U132" s="290">
        <f t="shared" si="202"/>
        <v>4.3</v>
      </c>
      <c r="V132" s="290">
        <f t="shared" si="202"/>
        <v>4.3</v>
      </c>
      <c r="W132" s="396">
        <f t="shared" si="202"/>
        <v>4.3</v>
      </c>
      <c r="AB132" s="154"/>
      <c r="AC132" s="379">
        <f t="shared" si="203"/>
        <v>4.3</v>
      </c>
      <c r="AD132" s="290">
        <f t="shared" si="203"/>
        <v>4.3</v>
      </c>
      <c r="AE132" s="290">
        <f t="shared" si="203"/>
        <v>4.3</v>
      </c>
      <c r="AF132" s="396">
        <f t="shared" si="203"/>
        <v>4.3</v>
      </c>
      <c r="AG132" s="154"/>
      <c r="AH132" s="615"/>
      <c r="AI132" s="379">
        <f t="shared" si="204"/>
        <v>4.3</v>
      </c>
      <c r="AJ132" s="290">
        <f t="shared" si="204"/>
        <v>4.3</v>
      </c>
      <c r="AK132" s="290">
        <f t="shared" si="204"/>
        <v>4.3</v>
      </c>
      <c r="AL132" s="396">
        <f t="shared" si="204"/>
        <v>4.3</v>
      </c>
      <c r="AM132" s="684"/>
      <c r="AN132" s="299"/>
      <c r="AO132" s="2"/>
      <c r="AP132" s="2"/>
      <c r="AQ132" s="2"/>
      <c r="AR132" s="2"/>
      <c r="AS132" s="2"/>
      <c r="AT132" s="2"/>
    </row>
    <row r="133" spans="1:70" hidden="1" outlineLevel="1">
      <c r="A133" s="1044" t="s">
        <v>329</v>
      </c>
      <c r="B133" s="2"/>
      <c r="C133" s="2"/>
      <c r="D133" s="1061"/>
      <c r="E133" s="2"/>
      <c r="G133" s="380">
        <f>'MPS др метрики'!E115</f>
        <v>3.2333333333333334</v>
      </c>
      <c r="H133" s="434">
        <f t="shared" si="200"/>
        <v>3.2333333333333334</v>
      </c>
      <c r="I133" s="434">
        <f t="shared" si="200"/>
        <v>3.2333333333333334</v>
      </c>
      <c r="J133" s="434">
        <f t="shared" si="200"/>
        <v>3.2333333333333334</v>
      </c>
      <c r="K133" s="511"/>
      <c r="L133" s="429"/>
      <c r="M133" s="423"/>
      <c r="N133" s="380">
        <f t="shared" si="201"/>
        <v>3.2333333333333334</v>
      </c>
      <c r="O133" s="397">
        <f t="shared" si="201"/>
        <v>3.2333333333333334</v>
      </c>
      <c r="P133" s="397">
        <f t="shared" si="201"/>
        <v>3.2333333333333334</v>
      </c>
      <c r="Q133" s="398">
        <f t="shared" si="201"/>
        <v>3.2333333333333334</v>
      </c>
      <c r="T133" s="380">
        <f t="shared" si="202"/>
        <v>3.2333333333333334</v>
      </c>
      <c r="U133" s="397">
        <f t="shared" si="202"/>
        <v>3.2333333333333334</v>
      </c>
      <c r="V133" s="397">
        <f t="shared" si="202"/>
        <v>3.2333333333333334</v>
      </c>
      <c r="W133" s="398">
        <f t="shared" si="202"/>
        <v>3.2333333333333334</v>
      </c>
      <c r="AB133" s="154"/>
      <c r="AC133" s="380">
        <f t="shared" si="203"/>
        <v>3.2333333333333334</v>
      </c>
      <c r="AD133" s="397">
        <f t="shared" si="203"/>
        <v>3.2333333333333334</v>
      </c>
      <c r="AE133" s="397">
        <f t="shared" si="203"/>
        <v>3.2333333333333334</v>
      </c>
      <c r="AF133" s="398">
        <f t="shared" si="203"/>
        <v>3.2333333333333334</v>
      </c>
      <c r="AG133" s="154"/>
      <c r="AH133" s="615"/>
      <c r="AI133" s="380">
        <f t="shared" si="204"/>
        <v>3.2333333333333334</v>
      </c>
      <c r="AJ133" s="397">
        <f t="shared" si="204"/>
        <v>3.2333333333333334</v>
      </c>
      <c r="AK133" s="397">
        <f t="shared" si="204"/>
        <v>3.2333333333333334</v>
      </c>
      <c r="AL133" s="398">
        <f t="shared" si="204"/>
        <v>3.2333333333333334</v>
      </c>
      <c r="AM133" s="684"/>
      <c r="AN133" s="299"/>
      <c r="AO133" s="2"/>
      <c r="AP133" s="2"/>
      <c r="AQ133" s="2"/>
      <c r="AR133" s="2"/>
      <c r="AS133" s="2"/>
      <c r="AT133" s="2"/>
    </row>
    <row r="134" spans="1:70" hidden="1" outlineLevel="1">
      <c r="A134" s="436"/>
      <c r="B134" s="2"/>
      <c r="C134" s="2"/>
      <c r="D134" s="1061"/>
      <c r="E134" s="2"/>
      <c r="G134" s="169"/>
      <c r="H134" s="169"/>
      <c r="I134" s="169"/>
      <c r="J134" s="169"/>
      <c r="K134" s="407"/>
      <c r="L134" s="169"/>
      <c r="M134" s="423"/>
      <c r="N134" s="169"/>
      <c r="O134" s="169"/>
      <c r="P134" s="169"/>
      <c r="Q134" s="169"/>
      <c r="T134" s="169"/>
      <c r="U134" s="169"/>
      <c r="V134" s="169"/>
      <c r="W134" s="169"/>
      <c r="AB134" s="154"/>
      <c r="AC134" s="154"/>
      <c r="AD134" s="154"/>
      <c r="AE134" s="154"/>
      <c r="AF134" s="154"/>
      <c r="AG134" s="154"/>
      <c r="AH134" s="615"/>
      <c r="AI134" s="154"/>
      <c r="AJ134" s="154"/>
      <c r="AK134" s="154"/>
      <c r="AL134" s="154"/>
      <c r="AM134" s="684"/>
      <c r="AN134" s="299"/>
      <c r="AO134" s="2"/>
      <c r="AP134" s="2"/>
      <c r="AQ134" s="2"/>
      <c r="AR134" s="2"/>
      <c r="AS134" s="2"/>
      <c r="AT134" s="2"/>
    </row>
    <row r="135" spans="1:70" hidden="1" outlineLevel="1">
      <c r="A135" s="436"/>
      <c r="B135" s="2"/>
      <c r="C135" s="2"/>
      <c r="D135" s="1061"/>
      <c r="E135" s="2"/>
      <c r="G135" s="169"/>
      <c r="AO135" s="2"/>
      <c r="AP135" s="2"/>
      <c r="AQ135" s="2"/>
      <c r="AR135" s="2"/>
      <c r="AS135" s="2"/>
      <c r="AT135" s="2"/>
    </row>
    <row r="136" spans="1:70" s="418" customFormat="1" ht="20" hidden="1" outlineLevel="1">
      <c r="A136" s="1041" t="s">
        <v>349</v>
      </c>
      <c r="B136" s="417"/>
      <c r="C136" s="417"/>
      <c r="D136" s="1069"/>
      <c r="E136" s="417"/>
      <c r="G136" s="419"/>
      <c r="H136" s="420"/>
      <c r="I136" s="420"/>
      <c r="J136" s="420"/>
      <c r="K136" s="500"/>
      <c r="L136" s="420"/>
      <c r="N136" s="421"/>
      <c r="O136" s="421"/>
      <c r="P136" s="421"/>
      <c r="Q136" s="421"/>
      <c r="R136" s="531"/>
      <c r="S136" s="421"/>
      <c r="T136" s="420"/>
      <c r="U136" s="420"/>
      <c r="V136" s="420"/>
      <c r="W136" s="420"/>
      <c r="X136" s="500"/>
      <c r="Y136" s="420"/>
      <c r="Z136" s="420"/>
      <c r="AA136" s="420"/>
      <c r="AB136" s="420"/>
      <c r="AC136" s="420"/>
      <c r="AD136" s="420"/>
      <c r="AE136" s="420"/>
      <c r="AF136" s="420"/>
      <c r="AG136" s="420"/>
      <c r="AH136" s="822"/>
      <c r="AI136" s="420"/>
      <c r="AJ136" s="420"/>
      <c r="AK136" s="420"/>
      <c r="AL136" s="420"/>
      <c r="AM136" s="823"/>
      <c r="AN136" s="500"/>
      <c r="AO136" s="417"/>
      <c r="AP136" s="417"/>
      <c r="AQ136" s="417"/>
      <c r="AR136" s="417"/>
      <c r="AS136" s="417"/>
      <c r="AT136" s="417"/>
      <c r="AU136" s="421"/>
      <c r="AV136" s="421"/>
      <c r="AW136" s="421"/>
      <c r="AX136" s="421"/>
      <c r="AY136" s="421"/>
      <c r="AZ136" s="421"/>
      <c r="BG136" s="421"/>
      <c r="BH136" s="421"/>
      <c r="BI136" s="421"/>
      <c r="BJ136" s="421"/>
      <c r="BK136" s="421"/>
      <c r="BL136" s="421"/>
      <c r="BM136" s="421"/>
      <c r="BN136" s="421"/>
      <c r="BO136" s="421"/>
      <c r="BP136" s="421"/>
      <c r="BQ136" s="421"/>
      <c r="BR136" s="421"/>
    </row>
    <row r="137" spans="1:70" ht="20" hidden="1" outlineLevel="1">
      <c r="A137" s="87" t="s">
        <v>350</v>
      </c>
      <c r="F137" s="729"/>
      <c r="G137" s="169">
        <v>60000</v>
      </c>
      <c r="H137" s="169">
        <f>G137</f>
        <v>60000</v>
      </c>
      <c r="I137" s="169">
        <f t="shared" ref="I137:J139" si="205">H137</f>
        <v>60000</v>
      </c>
      <c r="J137" s="169">
        <f t="shared" si="205"/>
        <v>60000</v>
      </c>
      <c r="K137" s="407"/>
      <c r="L137" s="169"/>
      <c r="N137" s="169">
        <f t="shared" ref="N137:Q138" si="206">G137</f>
        <v>60000</v>
      </c>
      <c r="O137" s="169">
        <f t="shared" si="206"/>
        <v>60000</v>
      </c>
      <c r="P137" s="169">
        <f t="shared" si="206"/>
        <v>60000</v>
      </c>
      <c r="Q137" s="169">
        <f t="shared" si="206"/>
        <v>60000</v>
      </c>
      <c r="R137" s="407"/>
      <c r="S137" s="788"/>
      <c r="T137" s="169">
        <f t="shared" ref="T137:W138" si="207">N137</f>
        <v>60000</v>
      </c>
      <c r="U137" s="169">
        <f t="shared" si="207"/>
        <v>60000</v>
      </c>
      <c r="V137" s="169">
        <f t="shared" si="207"/>
        <v>60000</v>
      </c>
      <c r="W137" s="169">
        <f t="shared" si="207"/>
        <v>60000</v>
      </c>
      <c r="AB137" s="788"/>
      <c r="AC137" s="169">
        <f t="shared" ref="AC137:AF138" si="208">T137</f>
        <v>60000</v>
      </c>
      <c r="AD137" s="169">
        <f t="shared" si="208"/>
        <v>60000</v>
      </c>
      <c r="AE137" s="169">
        <f t="shared" si="208"/>
        <v>60000</v>
      </c>
      <c r="AF137" s="169">
        <f t="shared" si="208"/>
        <v>60000</v>
      </c>
      <c r="AH137" s="835"/>
      <c r="AI137" s="169">
        <f>AC137</f>
        <v>60000</v>
      </c>
      <c r="AJ137" s="169">
        <f t="shared" ref="AJ137:AL138" si="209">AD137</f>
        <v>60000</v>
      </c>
      <c r="AK137" s="169">
        <f t="shared" si="209"/>
        <v>60000</v>
      </c>
      <c r="AL137" s="169">
        <f t="shared" si="209"/>
        <v>60000</v>
      </c>
      <c r="AO137" s="13"/>
      <c r="AP137" s="13"/>
      <c r="AQ137" s="13"/>
      <c r="AR137" s="13"/>
      <c r="AS137" s="13"/>
      <c r="AT137" s="13"/>
    </row>
    <row r="138" spans="1:70" ht="20" hidden="1" outlineLevel="1">
      <c r="A138" s="87" t="s">
        <v>351</v>
      </c>
      <c r="F138" s="729"/>
      <c r="G138" s="169">
        <v>40000</v>
      </c>
      <c r="H138" s="169">
        <f>G138</f>
        <v>40000</v>
      </c>
      <c r="I138" s="169">
        <f t="shared" si="205"/>
        <v>40000</v>
      </c>
      <c r="J138" s="169">
        <f t="shared" si="205"/>
        <v>40000</v>
      </c>
      <c r="K138" s="407"/>
      <c r="L138" s="169"/>
      <c r="N138" s="169">
        <f t="shared" si="206"/>
        <v>40000</v>
      </c>
      <c r="O138" s="169">
        <f t="shared" si="206"/>
        <v>40000</v>
      </c>
      <c r="P138" s="169">
        <f t="shared" si="206"/>
        <v>40000</v>
      </c>
      <c r="Q138" s="169">
        <f t="shared" si="206"/>
        <v>40000</v>
      </c>
      <c r="R138" s="407"/>
      <c r="S138" s="788"/>
      <c r="T138" s="169">
        <f t="shared" si="207"/>
        <v>40000</v>
      </c>
      <c r="U138" s="169">
        <f t="shared" si="207"/>
        <v>40000</v>
      </c>
      <c r="V138" s="169">
        <f t="shared" si="207"/>
        <v>40000</v>
      </c>
      <c r="W138" s="169">
        <f t="shared" si="207"/>
        <v>40000</v>
      </c>
      <c r="AB138" s="788"/>
      <c r="AC138" s="169">
        <f t="shared" si="208"/>
        <v>40000</v>
      </c>
      <c r="AD138" s="169">
        <f t="shared" si="208"/>
        <v>40000</v>
      </c>
      <c r="AE138" s="169">
        <f t="shared" si="208"/>
        <v>40000</v>
      </c>
      <c r="AF138" s="169">
        <f t="shared" si="208"/>
        <v>40000</v>
      </c>
      <c r="AH138" s="835"/>
      <c r="AI138" s="169">
        <f>AC138</f>
        <v>40000</v>
      </c>
      <c r="AJ138" s="169">
        <f t="shared" si="209"/>
        <v>40000</v>
      </c>
      <c r="AK138" s="169">
        <f t="shared" si="209"/>
        <v>40000</v>
      </c>
      <c r="AL138" s="169">
        <f t="shared" si="209"/>
        <v>40000</v>
      </c>
      <c r="AO138" s="13"/>
      <c r="AP138" s="13"/>
      <c r="AQ138" s="13"/>
      <c r="AR138" s="13"/>
      <c r="AS138" s="13"/>
      <c r="AT138" s="13"/>
    </row>
    <row r="139" spans="1:70" s="425" customFormat="1" ht="40" hidden="1" outlineLevel="1">
      <c r="A139" s="529" t="s">
        <v>352</v>
      </c>
      <c r="B139" s="43"/>
      <c r="C139" s="43"/>
      <c r="D139" s="1074"/>
      <c r="E139" s="43"/>
      <c r="F139" s="730"/>
      <c r="G139" s="354">
        <v>0</v>
      </c>
      <c r="H139" s="354">
        <f>G139</f>
        <v>0</v>
      </c>
      <c r="I139" s="354">
        <f>I138</f>
        <v>40000</v>
      </c>
      <c r="J139" s="354">
        <f t="shared" si="205"/>
        <v>40000</v>
      </c>
      <c r="K139" s="515"/>
      <c r="L139" s="354"/>
      <c r="N139" s="422">
        <f>N138+N140</f>
        <v>48000</v>
      </c>
      <c r="O139" s="422">
        <f t="shared" ref="O139:Q139" si="210">O138+O140</f>
        <v>48000</v>
      </c>
      <c r="P139" s="422">
        <f t="shared" si="210"/>
        <v>48000</v>
      </c>
      <c r="Q139" s="422">
        <f t="shared" si="210"/>
        <v>48000</v>
      </c>
      <c r="R139" s="515"/>
      <c r="S139" s="360"/>
      <c r="T139" s="354">
        <f>N139</f>
        <v>48000</v>
      </c>
      <c r="U139" s="354">
        <f>T139</f>
        <v>48000</v>
      </c>
      <c r="V139" s="354">
        <f t="shared" ref="V139:W140" si="211">U139</f>
        <v>48000</v>
      </c>
      <c r="W139" s="354">
        <f t="shared" si="211"/>
        <v>48000</v>
      </c>
      <c r="X139" s="503"/>
      <c r="Y139" s="43"/>
      <c r="Z139" s="43"/>
      <c r="AA139" s="43"/>
      <c r="AB139" s="360"/>
      <c r="AC139" s="354">
        <f>T139</f>
        <v>48000</v>
      </c>
      <c r="AD139" s="354">
        <f>AC139</f>
        <v>48000</v>
      </c>
      <c r="AE139" s="354">
        <f t="shared" ref="AE139:AF140" si="212">AD139</f>
        <v>48000</v>
      </c>
      <c r="AF139" s="354">
        <f t="shared" si="212"/>
        <v>48000</v>
      </c>
      <c r="AG139" s="43"/>
      <c r="AH139" s="836"/>
      <c r="AI139" s="354">
        <f>AC139</f>
        <v>48000</v>
      </c>
      <c r="AJ139" s="354">
        <f>AI139</f>
        <v>48000</v>
      </c>
      <c r="AK139" s="354">
        <f t="shared" ref="AK139:AL140" si="213">AJ139</f>
        <v>48000</v>
      </c>
      <c r="AL139" s="354">
        <f t="shared" si="213"/>
        <v>48000</v>
      </c>
      <c r="AM139" s="828"/>
      <c r="AN139" s="503"/>
      <c r="AO139" s="355"/>
      <c r="AP139" s="355"/>
      <c r="AQ139" s="355"/>
      <c r="AR139" s="355"/>
      <c r="AS139" s="355"/>
      <c r="AT139" s="355"/>
      <c r="AU139" s="43"/>
      <c r="AV139" s="43"/>
      <c r="AW139" s="43"/>
      <c r="AX139" s="43"/>
      <c r="AY139" s="43"/>
      <c r="AZ139" s="43"/>
      <c r="BG139" s="43"/>
      <c r="BH139" s="43"/>
      <c r="BI139" s="43"/>
      <c r="BJ139" s="43"/>
      <c r="BK139" s="43"/>
      <c r="BL139" s="43"/>
      <c r="BM139" s="43"/>
      <c r="BN139" s="43"/>
      <c r="BO139" s="43"/>
      <c r="BP139" s="43"/>
      <c r="BQ139" s="43"/>
      <c r="BR139" s="43"/>
    </row>
    <row r="140" spans="1:70" ht="60" hidden="1" outlineLevel="1">
      <c r="F140" s="729"/>
      <c r="G140" s="169"/>
      <c r="H140" s="169"/>
      <c r="I140" s="169"/>
      <c r="J140" s="169"/>
      <c r="K140" s="407"/>
      <c r="L140" s="169"/>
      <c r="M140" s="1026" t="s">
        <v>366</v>
      </c>
      <c r="N140" s="345">
        <f>N138*N141-N138</f>
        <v>8000</v>
      </c>
      <c r="O140" s="345">
        <f>N140</f>
        <v>8000</v>
      </c>
      <c r="P140" s="345">
        <f t="shared" ref="P140:Q141" si="214">O140</f>
        <v>8000</v>
      </c>
      <c r="Q140" s="345">
        <f t="shared" si="214"/>
        <v>8000</v>
      </c>
      <c r="R140" s="407"/>
      <c r="S140" s="1031" t="s">
        <v>353</v>
      </c>
      <c r="T140" s="345">
        <f>N140</f>
        <v>8000</v>
      </c>
      <c r="U140" s="345">
        <f>T140</f>
        <v>8000</v>
      </c>
      <c r="V140" s="345">
        <f t="shared" si="211"/>
        <v>8000</v>
      </c>
      <c r="W140" s="345">
        <f t="shared" si="211"/>
        <v>8000</v>
      </c>
      <c r="AB140" s="1031" t="s">
        <v>353</v>
      </c>
      <c r="AC140" s="345">
        <f>T140</f>
        <v>8000</v>
      </c>
      <c r="AD140" s="345">
        <f>AC140</f>
        <v>8000</v>
      </c>
      <c r="AE140" s="345">
        <f t="shared" si="212"/>
        <v>8000</v>
      </c>
      <c r="AF140" s="345">
        <f t="shared" si="212"/>
        <v>8000</v>
      </c>
      <c r="AH140" s="837" t="s">
        <v>353</v>
      </c>
      <c r="AI140" s="345">
        <f>AC140</f>
        <v>8000</v>
      </c>
      <c r="AJ140" s="345">
        <f>AI140</f>
        <v>8000</v>
      </c>
      <c r="AK140" s="345">
        <f t="shared" si="213"/>
        <v>8000</v>
      </c>
      <c r="AL140" s="345">
        <f t="shared" si="213"/>
        <v>8000</v>
      </c>
      <c r="AO140" s="13"/>
      <c r="AP140" s="13"/>
      <c r="AQ140" s="13"/>
      <c r="AR140" s="13"/>
      <c r="AS140" s="13"/>
      <c r="AT140" s="13"/>
    </row>
    <row r="141" spans="1:70" hidden="1" outlineLevel="1">
      <c r="G141" s="2"/>
      <c r="H141" s="2"/>
      <c r="I141" s="2"/>
      <c r="J141" s="2"/>
      <c r="M141" s="450"/>
      <c r="N141" s="490">
        <v>1.2</v>
      </c>
      <c r="O141" s="490">
        <f>N141</f>
        <v>1.2</v>
      </c>
      <c r="P141" s="490">
        <f t="shared" si="214"/>
        <v>1.2</v>
      </c>
      <c r="Q141" s="490">
        <f t="shared" si="214"/>
        <v>1.2</v>
      </c>
      <c r="S141" s="450"/>
      <c r="T141" s="490">
        <f>N141</f>
        <v>1.2</v>
      </c>
      <c r="U141" s="490">
        <f>O141</f>
        <v>1.2</v>
      </c>
      <c r="V141" s="490">
        <f>P141</f>
        <v>1.2</v>
      </c>
      <c r="W141" s="449">
        <f>Q141</f>
        <v>1.2</v>
      </c>
      <c r="AB141" s="450"/>
      <c r="AC141" s="490">
        <f>T141</f>
        <v>1.2</v>
      </c>
      <c r="AD141" s="490">
        <f>U141</f>
        <v>1.2</v>
      </c>
      <c r="AE141" s="490">
        <f>V141</f>
        <v>1.2</v>
      </c>
      <c r="AF141" s="449">
        <f>W141</f>
        <v>1.2</v>
      </c>
      <c r="AH141" s="838"/>
      <c r="AI141" s="490">
        <f>AC141</f>
        <v>1.2</v>
      </c>
      <c r="AJ141" s="490">
        <f t="shared" ref="AJ141:AL141" si="215">AD141</f>
        <v>1.2</v>
      </c>
      <c r="AK141" s="490">
        <f t="shared" si="215"/>
        <v>1.2</v>
      </c>
      <c r="AL141" s="449">
        <f t="shared" si="215"/>
        <v>1.2</v>
      </c>
    </row>
    <row r="142" spans="1:70" hidden="1" outlineLevel="1">
      <c r="G142" s="2"/>
      <c r="N142" s="344" t="s">
        <v>365</v>
      </c>
      <c r="S142" s="450"/>
      <c r="T142" s="451" t="s">
        <v>354</v>
      </c>
      <c r="U142" s="450"/>
      <c r="V142" s="450"/>
      <c r="W142" s="450"/>
      <c r="AB142" s="450"/>
      <c r="AC142" s="451" t="s">
        <v>354</v>
      </c>
      <c r="AD142" s="450"/>
      <c r="AE142" s="450"/>
      <c r="AF142" s="450"/>
      <c r="AH142" s="838"/>
      <c r="AI142" s="451" t="s">
        <v>354</v>
      </c>
      <c r="AJ142" s="450"/>
      <c r="AK142" s="450"/>
      <c r="AL142" s="450"/>
    </row>
    <row r="143" spans="1:70" hidden="1" outlineLevel="1">
      <c r="G143" s="2"/>
      <c r="N143" s="423"/>
      <c r="Q143" s="139"/>
    </row>
    <row r="144" spans="1:70" s="418" customFormat="1" ht="20" hidden="1" outlineLevel="1">
      <c r="A144" s="1041" t="s">
        <v>335</v>
      </c>
      <c r="B144" s="417"/>
      <c r="C144" s="417"/>
      <c r="D144" s="1069"/>
      <c r="E144" s="417"/>
      <c r="G144" s="419"/>
      <c r="H144" s="420"/>
      <c r="I144" s="420"/>
      <c r="J144" s="420"/>
      <c r="K144" s="500"/>
      <c r="L144" s="420"/>
      <c r="M144" s="421"/>
      <c r="N144" s="421"/>
      <c r="O144" s="421"/>
      <c r="P144" s="421"/>
      <c r="Q144" s="421"/>
      <c r="R144" s="531"/>
      <c r="S144" s="421"/>
      <c r="T144" s="465"/>
      <c r="U144" s="420"/>
      <c r="V144" s="420"/>
      <c r="W144" s="420"/>
      <c r="X144" s="500"/>
      <c r="Y144" s="420"/>
      <c r="Z144" s="420"/>
      <c r="AA144" s="420"/>
      <c r="AB144" s="420"/>
      <c r="AC144" s="420"/>
      <c r="AD144" s="420"/>
      <c r="AE144" s="420"/>
      <c r="AF144" s="420"/>
      <c r="AG144" s="420"/>
      <c r="AH144" s="822"/>
      <c r="AI144" s="420"/>
      <c r="AJ144" s="420"/>
      <c r="AK144" s="420"/>
      <c r="AL144" s="420"/>
      <c r="AM144" s="823"/>
      <c r="AN144" s="500"/>
      <c r="AO144" s="417"/>
      <c r="AP144" s="417"/>
      <c r="AQ144" s="417"/>
      <c r="AR144" s="417"/>
      <c r="AS144" s="417"/>
      <c r="AT144" s="417"/>
      <c r="AU144" s="421"/>
      <c r="AV144" s="421"/>
      <c r="AW144" s="421"/>
      <c r="AX144" s="421"/>
      <c r="AY144" s="421"/>
      <c r="AZ144" s="421"/>
      <c r="BG144" s="421"/>
      <c r="BH144" s="421"/>
      <c r="BI144" s="421"/>
      <c r="BJ144" s="421"/>
      <c r="BK144" s="421"/>
      <c r="BL144" s="421"/>
      <c r="BM144" s="421"/>
      <c r="BN144" s="421"/>
      <c r="BO144" s="421"/>
      <c r="BP144" s="421"/>
      <c r="BQ144" s="421"/>
      <c r="BR144" s="421"/>
    </row>
    <row r="145" spans="1:70" s="446" customFormat="1" ht="20" hidden="1" outlineLevel="1">
      <c r="A145" s="565" t="s">
        <v>358</v>
      </c>
      <c r="B145" s="383"/>
      <c r="C145" s="383"/>
      <c r="D145" s="1075"/>
      <c r="E145" s="383"/>
      <c r="G145" s="814"/>
      <c r="H145" s="814"/>
      <c r="I145" s="814"/>
      <c r="J145" s="814"/>
      <c r="K145" s="523"/>
      <c r="L145" s="383"/>
      <c r="M145" s="445"/>
      <c r="N145" s="815">
        <f>G145</f>
        <v>0</v>
      </c>
      <c r="O145" s="815">
        <f>N145</f>
        <v>0</v>
      </c>
      <c r="P145" s="815">
        <f t="shared" ref="P145:Q145" si="216">O145</f>
        <v>0</v>
      </c>
      <c r="Q145" s="815">
        <f t="shared" si="216"/>
        <v>0</v>
      </c>
      <c r="R145" s="547"/>
      <c r="S145" s="385"/>
      <c r="T145" s="816">
        <f>T146+T147</f>
        <v>2921.4193220612015</v>
      </c>
      <c r="U145" s="816">
        <f>U146+U147</f>
        <v>2921.4193220612015</v>
      </c>
      <c r="V145" s="816">
        <f>V146+V147</f>
        <v>2921.4193220612015</v>
      </c>
      <c r="W145" s="816">
        <f>W146+W147</f>
        <v>2921.4193220612015</v>
      </c>
      <c r="X145" s="1315"/>
      <c r="Y145" s="815"/>
      <c r="Z145" s="815"/>
      <c r="AA145" s="815"/>
      <c r="AB145" s="383"/>
      <c r="AC145" s="816"/>
      <c r="AD145" s="816"/>
      <c r="AE145" s="816"/>
      <c r="AF145" s="816"/>
      <c r="AG145" s="815"/>
      <c r="AH145" s="839"/>
      <c r="AI145" s="815"/>
      <c r="AJ145" s="815"/>
      <c r="AK145" s="815"/>
      <c r="AL145" s="815"/>
      <c r="AM145" s="840"/>
      <c r="AN145" s="523"/>
      <c r="AO145" s="383"/>
      <c r="AP145" s="383"/>
      <c r="AQ145" s="383"/>
      <c r="AR145" s="383"/>
      <c r="AS145" s="383"/>
      <c r="AT145" s="383"/>
      <c r="AU145" s="385"/>
      <c r="AV145" s="385"/>
      <c r="AW145" s="385"/>
      <c r="AX145" s="385"/>
      <c r="AY145" s="385"/>
      <c r="AZ145" s="385"/>
      <c r="BG145" s="445" t="s">
        <v>141</v>
      </c>
      <c r="BH145" s="385"/>
      <c r="BI145" s="385"/>
      <c r="BJ145" s="385"/>
      <c r="BK145" s="385"/>
      <c r="BL145" s="385"/>
      <c r="BM145" s="385" t="s">
        <v>33</v>
      </c>
      <c r="BN145" s="385"/>
      <c r="BO145" s="385"/>
      <c r="BP145" s="385"/>
      <c r="BQ145" s="385"/>
      <c r="BR145" s="385"/>
    </row>
    <row r="146" spans="1:70" ht="20" hidden="1" outlineLevel="1">
      <c r="A146" s="1046" t="s">
        <v>479</v>
      </c>
      <c r="B146" s="935"/>
      <c r="C146" s="935"/>
      <c r="D146" s="1076"/>
      <c r="E146" s="935"/>
      <c r="F146" s="423"/>
      <c r="G146" s="169">
        <f>G172</f>
        <v>13400</v>
      </c>
      <c r="H146" s="169">
        <f>G146</f>
        <v>13400</v>
      </c>
      <c r="I146" s="169">
        <f t="shared" ref="I146:J146" si="217">H146</f>
        <v>13400</v>
      </c>
      <c r="J146" s="169">
        <f t="shared" si="217"/>
        <v>13400</v>
      </c>
      <c r="K146" s="297"/>
      <c r="L146" s="13"/>
      <c r="M146" s="788"/>
      <c r="N146" s="275">
        <f>N172</f>
        <v>8933.3333333333321</v>
      </c>
      <c r="O146" s="275">
        <f>N146</f>
        <v>8933.3333333333321</v>
      </c>
      <c r="P146" s="275">
        <f>O146</f>
        <v>8933.3333333333321</v>
      </c>
      <c r="Q146" s="275">
        <f>P146</f>
        <v>8933.3333333333321</v>
      </c>
      <c r="T146" s="169">
        <v>0</v>
      </c>
      <c r="U146" s="169">
        <v>0</v>
      </c>
      <c r="V146" s="169">
        <v>0</v>
      </c>
      <c r="W146" s="169">
        <v>0</v>
      </c>
      <c r="X146" s="407">
        <v>0</v>
      </c>
      <c r="Y146" s="169"/>
      <c r="Z146" s="169"/>
      <c r="AA146" s="169"/>
      <c r="AB146" s="13"/>
      <c r="AC146" s="169">
        <f>T146</f>
        <v>0</v>
      </c>
      <c r="AD146" s="169">
        <f>U146</f>
        <v>0</v>
      </c>
      <c r="AE146" s="169">
        <f>V146</f>
        <v>0</v>
      </c>
      <c r="AF146" s="169">
        <f>W146</f>
        <v>0</v>
      </c>
      <c r="AG146" s="169"/>
      <c r="AH146" s="826"/>
      <c r="AI146" s="275">
        <f>N146</f>
        <v>8933.3333333333321</v>
      </c>
      <c r="AJ146" s="275">
        <f>O146</f>
        <v>8933.3333333333321</v>
      </c>
      <c r="AK146" s="275">
        <f>P146</f>
        <v>8933.3333333333321</v>
      </c>
      <c r="AL146" s="275">
        <f>Q146</f>
        <v>8933.3333333333321</v>
      </c>
      <c r="AM146" s="614"/>
      <c r="AN146" s="297"/>
      <c r="AO146" s="13"/>
      <c r="AP146" s="13"/>
      <c r="AQ146" s="13"/>
      <c r="AR146" s="13"/>
      <c r="AS146" s="13"/>
      <c r="AT146" s="13"/>
      <c r="BG146" s="788"/>
    </row>
    <row r="147" spans="1:70" ht="20" hidden="1" outlineLevel="1">
      <c r="A147" s="1047" t="s">
        <v>505</v>
      </c>
      <c r="B147" s="359"/>
      <c r="C147" s="359"/>
      <c r="D147" s="1077"/>
      <c r="E147" s="359"/>
      <c r="F147" s="423"/>
      <c r="G147" s="427">
        <f>K147</f>
        <v>746.30864078922923</v>
      </c>
      <c r="H147" s="427">
        <f>K147</f>
        <v>746.30864078922923</v>
      </c>
      <c r="I147" s="427">
        <f>K147</f>
        <v>746.30864078922923</v>
      </c>
      <c r="J147" s="427">
        <f>K147</f>
        <v>746.30864078922923</v>
      </c>
      <c r="K147" s="510">
        <f>3000000/K21</f>
        <v>746.30864078922923</v>
      </c>
      <c r="L147" s="427"/>
      <c r="N147" s="427">
        <f>R147</f>
        <v>508.36130015499896</v>
      </c>
      <c r="O147" s="427">
        <f>R147</f>
        <v>508.36130015499896</v>
      </c>
      <c r="P147" s="427">
        <f>R147</f>
        <v>508.36130015499896</v>
      </c>
      <c r="Q147" s="427">
        <f>R147</f>
        <v>508.36130015499896</v>
      </c>
      <c r="R147" s="510">
        <f>3000000/R21</f>
        <v>508.36130015499896</v>
      </c>
      <c r="T147" s="427">
        <f>X147</f>
        <v>2921.4193220612015</v>
      </c>
      <c r="U147" s="427">
        <f>X147</f>
        <v>2921.4193220612015</v>
      </c>
      <c r="V147" s="427">
        <f>X147</f>
        <v>2921.4193220612015</v>
      </c>
      <c r="W147" s="427">
        <f>X147</f>
        <v>2921.4193220612015</v>
      </c>
      <c r="X147" s="510">
        <f>3000000/X21</f>
        <v>2921.4193220612015</v>
      </c>
      <c r="Y147" s="427"/>
      <c r="Z147" s="427"/>
      <c r="AA147" s="427"/>
      <c r="AB147" s="423"/>
      <c r="AC147" s="427">
        <f>AG147</f>
        <v>2921.419322061201</v>
      </c>
      <c r="AD147" s="427">
        <f>AG147</f>
        <v>2921.419322061201</v>
      </c>
      <c r="AE147" s="427">
        <f>AG147</f>
        <v>2921.419322061201</v>
      </c>
      <c r="AF147" s="427">
        <f>AG147</f>
        <v>2921.419322061201</v>
      </c>
      <c r="AG147" s="427">
        <f>3000000*AG148/AG21</f>
        <v>2921.419322061201</v>
      </c>
      <c r="AH147" s="841"/>
      <c r="AI147" s="427">
        <f>AM147</f>
        <v>508.36130015499907</v>
      </c>
      <c r="AJ147" s="427">
        <f>AM147</f>
        <v>508.36130015499907</v>
      </c>
      <c r="AK147" s="427">
        <f>AM147</f>
        <v>508.36130015499907</v>
      </c>
      <c r="AL147" s="427">
        <f>AM147</f>
        <v>508.36130015499907</v>
      </c>
      <c r="AM147" s="487">
        <f>3000000*AM148/AM21</f>
        <v>508.36130015499907</v>
      </c>
      <c r="AN147" s="504"/>
      <c r="AO147" s="423"/>
      <c r="AP147" s="423"/>
      <c r="AQ147" s="423"/>
      <c r="AR147" s="423"/>
      <c r="AS147" s="423"/>
      <c r="AT147" s="423"/>
      <c r="AU147" s="423"/>
      <c r="AV147" s="423"/>
      <c r="AW147" s="423"/>
      <c r="AX147" s="423"/>
      <c r="AY147" s="423"/>
      <c r="AZ147" s="423"/>
      <c r="BG147" s="423"/>
    </row>
    <row r="148" spans="1:70" hidden="1" outlineLevel="1">
      <c r="A148" s="1047"/>
      <c r="B148" s="359"/>
      <c r="C148" s="359"/>
      <c r="D148" s="1077"/>
      <c r="E148" s="359"/>
      <c r="F148" s="423"/>
      <c r="G148" s="427"/>
      <c r="H148" s="427"/>
      <c r="I148" s="427"/>
      <c r="J148" s="427"/>
      <c r="K148" s="510"/>
      <c r="L148" s="427"/>
      <c r="N148" s="427"/>
      <c r="O148" s="427"/>
      <c r="P148" s="427"/>
      <c r="Q148" s="427"/>
      <c r="R148" s="510"/>
      <c r="T148" s="427"/>
      <c r="U148" s="427"/>
      <c r="V148" s="427"/>
      <c r="W148" s="427"/>
      <c r="X148" s="510"/>
      <c r="Y148" s="427"/>
      <c r="Z148" s="427"/>
      <c r="AA148" s="427"/>
      <c r="AB148" s="423"/>
      <c r="AC148" s="427"/>
      <c r="AD148" s="427"/>
      <c r="AE148" s="427"/>
      <c r="AF148" s="427"/>
      <c r="AG148" s="817">
        <f>AG7/AN7</f>
        <v>0.86857536248143463</v>
      </c>
      <c r="AH148" s="841"/>
      <c r="AI148" s="427"/>
      <c r="AJ148" s="427"/>
      <c r="AK148" s="427"/>
      <c r="AL148" s="427"/>
      <c r="AM148" s="842">
        <f>100%-AG148</f>
        <v>0.13142463751856537</v>
      </c>
      <c r="AN148" s="504"/>
      <c r="AO148" s="423"/>
      <c r="AP148" s="423"/>
      <c r="AQ148" s="423"/>
      <c r="AR148" s="423"/>
      <c r="AS148" s="423"/>
      <c r="AT148" s="423"/>
      <c r="AU148" s="423"/>
      <c r="AV148" s="423"/>
      <c r="AW148" s="423"/>
      <c r="AX148" s="423"/>
      <c r="AY148" s="423"/>
      <c r="AZ148" s="423"/>
      <c r="BG148" s="423"/>
    </row>
    <row r="149" spans="1:70" ht="40" hidden="1" outlineLevel="1">
      <c r="A149" s="161" t="s">
        <v>504</v>
      </c>
      <c r="B149" s="13"/>
      <c r="C149" s="13"/>
      <c r="D149" s="1066"/>
      <c r="E149" s="13"/>
      <c r="F149" s="423"/>
      <c r="G149" s="255">
        <f>G181*4</f>
        <v>84.8</v>
      </c>
      <c r="H149" s="255">
        <f>G149</f>
        <v>84.8</v>
      </c>
      <c r="I149" s="255">
        <f>H149</f>
        <v>84.8</v>
      </c>
      <c r="J149" s="255">
        <f>I149</f>
        <v>84.8</v>
      </c>
      <c r="K149" s="407"/>
      <c r="L149" s="169"/>
      <c r="N149" s="255">
        <f>G149</f>
        <v>84.8</v>
      </c>
      <c r="O149" s="1166">
        <f>N149</f>
        <v>84.8</v>
      </c>
      <c r="P149" s="1166">
        <f t="shared" ref="P149:Q149" si="218">O149</f>
        <v>84.8</v>
      </c>
      <c r="Q149" s="1166">
        <f t="shared" si="218"/>
        <v>84.8</v>
      </c>
      <c r="T149" s="255">
        <f>N149</f>
        <v>84.8</v>
      </c>
      <c r="U149" s="1166">
        <f>T149</f>
        <v>84.8</v>
      </c>
      <c r="V149" s="1166">
        <f t="shared" ref="V149:W149" si="219">U149</f>
        <v>84.8</v>
      </c>
      <c r="W149" s="1166">
        <f t="shared" si="219"/>
        <v>84.8</v>
      </c>
      <c r="AB149" s="423"/>
      <c r="AC149" s="255">
        <f>T149</f>
        <v>84.8</v>
      </c>
      <c r="AD149" s="1166">
        <f>AC149</f>
        <v>84.8</v>
      </c>
      <c r="AE149" s="1166">
        <f t="shared" ref="AE149:AF149" si="220">AD149</f>
        <v>84.8</v>
      </c>
      <c r="AF149" s="1166">
        <f t="shared" si="220"/>
        <v>84.8</v>
      </c>
      <c r="AG149" s="423"/>
      <c r="AH149" s="841"/>
      <c r="AI149" s="255">
        <f>AC149</f>
        <v>84.8</v>
      </c>
      <c r="AJ149" s="1166">
        <f>AI149</f>
        <v>84.8</v>
      </c>
      <c r="AK149" s="1166">
        <f t="shared" ref="AK149:AL149" si="221">AJ149</f>
        <v>84.8</v>
      </c>
      <c r="AL149" s="1166">
        <f t="shared" si="221"/>
        <v>84.8</v>
      </c>
      <c r="AM149" s="423"/>
      <c r="AN149" s="504"/>
      <c r="AO149" s="423"/>
      <c r="AP149" s="423"/>
      <c r="AQ149" s="423"/>
      <c r="AR149" s="423"/>
      <c r="AS149" s="423"/>
      <c r="AT149" s="423"/>
      <c r="AU149" s="423"/>
      <c r="AV149" s="423"/>
      <c r="AW149" s="423"/>
      <c r="AX149" s="423"/>
      <c r="AY149" s="423"/>
      <c r="AZ149" s="423"/>
      <c r="BG149" s="423"/>
    </row>
    <row r="150" spans="1:70" s="440" customFormat="1" hidden="1" outlineLevel="1">
      <c r="A150" s="1048"/>
      <c r="B150" s="439"/>
      <c r="C150" s="439"/>
      <c r="D150" s="1078"/>
      <c r="E150" s="439"/>
      <c r="G150" s="441"/>
      <c r="H150" s="442"/>
      <c r="I150" s="442"/>
      <c r="J150" s="442"/>
      <c r="K150" s="520"/>
      <c r="L150" s="442"/>
      <c r="M150" s="443"/>
      <c r="N150" s="443"/>
      <c r="O150" s="443"/>
      <c r="P150" s="443"/>
      <c r="Q150" s="443"/>
      <c r="R150" s="543"/>
      <c r="S150" s="443"/>
      <c r="T150" s="442"/>
      <c r="U150" s="442"/>
      <c r="V150" s="442"/>
      <c r="W150" s="442"/>
      <c r="X150" s="520"/>
      <c r="Y150" s="442"/>
      <c r="Z150" s="442"/>
      <c r="AA150" s="442"/>
      <c r="AB150" s="442"/>
      <c r="AC150" s="442"/>
      <c r="AD150" s="442"/>
      <c r="AE150" s="442"/>
      <c r="AF150" s="442"/>
      <c r="AG150" s="442"/>
      <c r="AH150" s="843"/>
      <c r="AI150" s="442"/>
      <c r="AJ150" s="442"/>
      <c r="AK150" s="442"/>
      <c r="AL150" s="442"/>
      <c r="AM150" s="844"/>
      <c r="AN150" s="520"/>
      <c r="AO150" s="439"/>
      <c r="AP150" s="439"/>
      <c r="AQ150" s="439"/>
      <c r="AR150" s="439"/>
      <c r="AS150" s="439"/>
      <c r="AT150" s="439"/>
      <c r="AU150" s="443"/>
      <c r="AV150" s="443"/>
      <c r="AW150" s="443"/>
      <c r="AX150" s="443"/>
      <c r="AY150" s="443"/>
      <c r="AZ150" s="443"/>
      <c r="BG150" s="443"/>
      <c r="BH150" s="443"/>
      <c r="BI150" s="443"/>
      <c r="BJ150" s="443"/>
      <c r="BK150" s="443"/>
      <c r="BL150" s="443"/>
      <c r="BM150" s="443"/>
      <c r="BN150" s="443"/>
      <c r="BO150" s="443"/>
      <c r="BP150" s="443"/>
      <c r="BQ150" s="443"/>
      <c r="BR150" s="443"/>
    </row>
    <row r="151" spans="1:70" s="775" customFormat="1" ht="20" hidden="1" outlineLevel="1">
      <c r="A151" s="558" t="s">
        <v>361</v>
      </c>
      <c r="B151" s="355"/>
      <c r="C151" s="355"/>
      <c r="D151" s="1068"/>
      <c r="E151" s="355"/>
      <c r="G151" s="354">
        <f>G152</f>
        <v>212</v>
      </c>
      <c r="H151" s="354">
        <f t="shared" ref="H151:J156" si="222">G151</f>
        <v>212</v>
      </c>
      <c r="I151" s="354">
        <f t="shared" si="222"/>
        <v>212</v>
      </c>
      <c r="J151" s="354">
        <f t="shared" si="222"/>
        <v>212</v>
      </c>
      <c r="K151" s="776"/>
      <c r="L151" s="780"/>
      <c r="M151" s="43"/>
      <c r="N151" s="777">
        <f>G151</f>
        <v>212</v>
      </c>
      <c r="O151" s="777">
        <f>H151</f>
        <v>212</v>
      </c>
      <c r="P151" s="777">
        <f>I151</f>
        <v>212</v>
      </c>
      <c r="Q151" s="777">
        <f>J151</f>
        <v>212</v>
      </c>
      <c r="R151" s="778"/>
      <c r="S151" s="783"/>
      <c r="T151" s="777">
        <f>N151</f>
        <v>212</v>
      </c>
      <c r="U151" s="777">
        <f>O151</f>
        <v>212</v>
      </c>
      <c r="V151" s="777">
        <f>P151</f>
        <v>212</v>
      </c>
      <c r="W151" s="777">
        <f>Q151</f>
        <v>212</v>
      </c>
      <c r="X151" s="776"/>
      <c r="Y151" s="780"/>
      <c r="Z151" s="780"/>
      <c r="AA151" s="780"/>
      <c r="AB151" s="780"/>
      <c r="AC151" s="777">
        <f t="shared" ref="AC151:AF158" si="223">T151</f>
        <v>212</v>
      </c>
      <c r="AD151" s="777">
        <f t="shared" si="223"/>
        <v>212</v>
      </c>
      <c r="AE151" s="777">
        <f t="shared" si="223"/>
        <v>212</v>
      </c>
      <c r="AF151" s="777">
        <f t="shared" si="223"/>
        <v>212</v>
      </c>
      <c r="AG151" s="780"/>
      <c r="AH151" s="845"/>
      <c r="AI151" s="354">
        <f>N151</f>
        <v>212</v>
      </c>
      <c r="AJ151" s="354">
        <f>O151</f>
        <v>212</v>
      </c>
      <c r="AK151" s="354">
        <f>P151</f>
        <v>212</v>
      </c>
      <c r="AL151" s="354">
        <f>Q151</f>
        <v>212</v>
      </c>
      <c r="AM151" s="846"/>
      <c r="AN151" s="776"/>
      <c r="AO151" s="782"/>
      <c r="AP151" s="782"/>
      <c r="AQ151" s="782"/>
      <c r="AR151" s="782"/>
      <c r="AS151" s="782"/>
      <c r="AT151" s="782"/>
      <c r="AU151" s="783"/>
      <c r="AV151" s="783"/>
      <c r="AW151" s="783"/>
      <c r="AX151" s="783"/>
      <c r="AY151" s="783"/>
      <c r="AZ151" s="783"/>
      <c r="BG151" s="783"/>
      <c r="BH151" s="783"/>
      <c r="BI151" s="783"/>
      <c r="BJ151" s="783"/>
      <c r="BK151" s="783"/>
      <c r="BL151" s="783"/>
      <c r="BM151" s="783"/>
      <c r="BN151" s="783"/>
      <c r="BO151" s="783"/>
      <c r="BP151" s="783"/>
      <c r="BQ151" s="783"/>
      <c r="BR151" s="783"/>
    </row>
    <row r="152" spans="1:70" s="440" customFormat="1" ht="20" hidden="1" outlineLevel="1">
      <c r="A152" s="161" t="s">
        <v>502</v>
      </c>
      <c r="B152" s="13"/>
      <c r="C152" s="13"/>
      <c r="D152" s="1066"/>
      <c r="E152" s="13"/>
      <c r="G152" s="169">
        <f>G182</f>
        <v>212</v>
      </c>
      <c r="H152" s="169">
        <f t="shared" si="222"/>
        <v>212</v>
      </c>
      <c r="I152" s="169">
        <f t="shared" si="222"/>
        <v>212</v>
      </c>
      <c r="J152" s="169">
        <f t="shared" si="222"/>
        <v>212</v>
      </c>
      <c r="K152" s="520"/>
      <c r="L152" s="442"/>
      <c r="M152" s="443"/>
      <c r="N152" s="169">
        <f>N182</f>
        <v>212</v>
      </c>
      <c r="O152" s="169">
        <f>O182</f>
        <v>212</v>
      </c>
      <c r="P152" s="169">
        <f>P182</f>
        <v>212</v>
      </c>
      <c r="Q152" s="169">
        <f>Q182</f>
        <v>212</v>
      </c>
      <c r="R152" s="543"/>
      <c r="S152" s="443"/>
      <c r="T152" s="169">
        <f>T182</f>
        <v>212</v>
      </c>
      <c r="U152" s="169">
        <f>U182</f>
        <v>212</v>
      </c>
      <c r="V152" s="169">
        <f>V182</f>
        <v>212</v>
      </c>
      <c r="W152" s="169">
        <f>W182</f>
        <v>212</v>
      </c>
      <c r="X152" s="520"/>
      <c r="Y152" s="442"/>
      <c r="Z152" s="442"/>
      <c r="AA152" s="442"/>
      <c r="AB152" s="442"/>
      <c r="AC152" s="169">
        <f t="shared" si="223"/>
        <v>212</v>
      </c>
      <c r="AD152" s="169">
        <f t="shared" si="223"/>
        <v>212</v>
      </c>
      <c r="AE152" s="169">
        <f t="shared" si="223"/>
        <v>212</v>
      </c>
      <c r="AF152" s="169">
        <f t="shared" si="223"/>
        <v>212</v>
      </c>
      <c r="AG152" s="442"/>
      <c r="AH152" s="843"/>
      <c r="AI152" s="169">
        <f>AC152</f>
        <v>212</v>
      </c>
      <c r="AJ152" s="169">
        <f t="shared" ref="AJ152:AL152" si="224">AD152</f>
        <v>212</v>
      </c>
      <c r="AK152" s="169">
        <f t="shared" si="224"/>
        <v>212</v>
      </c>
      <c r="AL152" s="169">
        <f t="shared" si="224"/>
        <v>212</v>
      </c>
      <c r="AM152" s="844"/>
      <c r="AN152" s="520"/>
      <c r="AO152" s="439"/>
      <c r="AP152" s="439"/>
      <c r="AQ152" s="439"/>
      <c r="AR152" s="439"/>
      <c r="AS152" s="439"/>
      <c r="AT152" s="439"/>
      <c r="AU152" s="443"/>
      <c r="AV152" s="443"/>
      <c r="AW152" s="443"/>
      <c r="AX152" s="443"/>
      <c r="AY152" s="443"/>
      <c r="AZ152" s="443"/>
      <c r="BG152" s="443"/>
      <c r="BH152" s="443"/>
      <c r="BI152" s="443"/>
      <c r="BJ152" s="443"/>
      <c r="BK152" s="443"/>
      <c r="BL152" s="443"/>
      <c r="BM152" s="443"/>
      <c r="BN152" s="443"/>
      <c r="BO152" s="443"/>
      <c r="BP152" s="443"/>
      <c r="BQ152" s="443"/>
      <c r="BR152" s="443"/>
    </row>
    <row r="153" spans="1:70" s="440" customFormat="1" ht="40" hidden="1" outlineLevel="1">
      <c r="A153" s="161" t="s">
        <v>582</v>
      </c>
      <c r="B153" s="13"/>
      <c r="C153" s="13"/>
      <c r="D153" s="1066"/>
      <c r="E153" s="13"/>
      <c r="G153" s="169">
        <f>2.7*G163</f>
        <v>24.915600000000005</v>
      </c>
      <c r="H153" s="169">
        <f t="shared" si="222"/>
        <v>24.915600000000005</v>
      </c>
      <c r="I153" s="169">
        <f t="shared" si="222"/>
        <v>24.915600000000005</v>
      </c>
      <c r="J153" s="169">
        <f t="shared" si="222"/>
        <v>24.915600000000005</v>
      </c>
      <c r="K153" s="520"/>
      <c r="L153" s="442"/>
      <c r="M153" s="443"/>
      <c r="N153" s="169">
        <f t="shared" ref="N153:N158" si="225">G153</f>
        <v>24.915600000000005</v>
      </c>
      <c r="O153" s="169">
        <f>N153</f>
        <v>24.915600000000005</v>
      </c>
      <c r="P153" s="169">
        <f t="shared" ref="P153:Q155" si="226">O153</f>
        <v>24.915600000000005</v>
      </c>
      <c r="Q153" s="169">
        <f t="shared" si="226"/>
        <v>24.915600000000005</v>
      </c>
      <c r="R153" s="543"/>
      <c r="S153" s="443"/>
      <c r="T153" s="169">
        <f t="shared" ref="T153:T158" si="227">N153</f>
        <v>24.915600000000005</v>
      </c>
      <c r="U153" s="169">
        <f>T153</f>
        <v>24.915600000000005</v>
      </c>
      <c r="V153" s="169">
        <f t="shared" ref="V153:W155" si="228">U153</f>
        <v>24.915600000000005</v>
      </c>
      <c r="W153" s="169">
        <f t="shared" si="228"/>
        <v>24.915600000000005</v>
      </c>
      <c r="X153" s="520"/>
      <c r="Y153" s="442"/>
      <c r="Z153" s="442"/>
      <c r="AA153" s="442"/>
      <c r="AB153" s="442"/>
      <c r="AC153" s="169">
        <f t="shared" si="223"/>
        <v>24.915600000000005</v>
      </c>
      <c r="AD153" s="169">
        <f>AC153</f>
        <v>24.915600000000005</v>
      </c>
      <c r="AE153" s="169">
        <f t="shared" ref="AE153:AF153" si="229">AD153</f>
        <v>24.915600000000005</v>
      </c>
      <c r="AF153" s="169">
        <f t="shared" si="229"/>
        <v>24.915600000000005</v>
      </c>
      <c r="AG153" s="442"/>
      <c r="AH153" s="843"/>
      <c r="AI153" s="169">
        <f>AC153</f>
        <v>24.915600000000005</v>
      </c>
      <c r="AJ153" s="169">
        <f>AI153</f>
        <v>24.915600000000005</v>
      </c>
      <c r="AK153" s="169">
        <f t="shared" ref="AK153:AL153" si="230">AJ153</f>
        <v>24.915600000000005</v>
      </c>
      <c r="AL153" s="169">
        <f t="shared" si="230"/>
        <v>24.915600000000005</v>
      </c>
      <c r="AM153" s="844"/>
      <c r="AN153" s="520"/>
      <c r="AO153" s="439"/>
      <c r="AP153" s="439"/>
      <c r="AQ153" s="439"/>
      <c r="AR153" s="439"/>
      <c r="AS153" s="439"/>
      <c r="AT153" s="439"/>
      <c r="AU153" s="443"/>
      <c r="AV153" s="443"/>
      <c r="AW153" s="443"/>
      <c r="AX153" s="443"/>
      <c r="AY153" s="443"/>
      <c r="AZ153" s="443"/>
      <c r="BG153" s="443"/>
      <c r="BH153" s="443"/>
      <c r="BI153" s="443"/>
      <c r="BJ153" s="443"/>
      <c r="BK153" s="443"/>
      <c r="BL153" s="443"/>
      <c r="BM153" s="443"/>
      <c r="BN153" s="443"/>
      <c r="BO153" s="443"/>
      <c r="BP153" s="443"/>
      <c r="BQ153" s="443"/>
      <c r="BR153" s="443"/>
    </row>
    <row r="154" spans="1:70" s="440" customFormat="1" ht="40" hidden="1" outlineLevel="1">
      <c r="A154" s="161" t="s">
        <v>583</v>
      </c>
      <c r="B154" s="13"/>
      <c r="C154" s="13"/>
      <c r="D154" s="1066"/>
      <c r="E154" s="13"/>
      <c r="G154" s="1317">
        <f>2.7*G162</f>
        <v>5.6052000000000008</v>
      </c>
      <c r="H154" s="1317">
        <f t="shared" si="222"/>
        <v>5.6052000000000008</v>
      </c>
      <c r="I154" s="1317">
        <f t="shared" si="222"/>
        <v>5.6052000000000008</v>
      </c>
      <c r="J154" s="1317">
        <f t="shared" si="222"/>
        <v>5.6052000000000008</v>
      </c>
      <c r="K154" s="520"/>
      <c r="L154" s="442"/>
      <c r="M154" s="443"/>
      <c r="N154" s="169">
        <f t="shared" si="225"/>
        <v>5.6052000000000008</v>
      </c>
      <c r="O154" s="169">
        <f>N154</f>
        <v>5.6052000000000008</v>
      </c>
      <c r="P154" s="169">
        <f t="shared" si="226"/>
        <v>5.6052000000000008</v>
      </c>
      <c r="Q154" s="169">
        <f t="shared" si="226"/>
        <v>5.6052000000000008</v>
      </c>
      <c r="R154" s="543"/>
      <c r="S154" s="443"/>
      <c r="T154" s="169">
        <f t="shared" si="227"/>
        <v>5.6052000000000008</v>
      </c>
      <c r="U154" s="169">
        <f>T154</f>
        <v>5.6052000000000008</v>
      </c>
      <c r="V154" s="169">
        <f t="shared" si="228"/>
        <v>5.6052000000000008</v>
      </c>
      <c r="W154" s="169">
        <f t="shared" si="228"/>
        <v>5.6052000000000008</v>
      </c>
      <c r="X154" s="520"/>
      <c r="Y154" s="442"/>
      <c r="Z154" s="442"/>
      <c r="AA154" s="442"/>
      <c r="AB154" s="442"/>
      <c r="AC154" s="169">
        <f t="shared" si="223"/>
        <v>5.6052000000000008</v>
      </c>
      <c r="AD154" s="169">
        <f t="shared" ref="AD154:AF155" si="231">AC154</f>
        <v>5.6052000000000008</v>
      </c>
      <c r="AE154" s="169">
        <f t="shared" si="231"/>
        <v>5.6052000000000008</v>
      </c>
      <c r="AF154" s="169">
        <f t="shared" si="231"/>
        <v>5.6052000000000008</v>
      </c>
      <c r="AG154" s="442"/>
      <c r="AH154" s="843"/>
      <c r="AI154" s="169">
        <f t="shared" ref="AI154:AI155" si="232">AC154</f>
        <v>5.6052000000000008</v>
      </c>
      <c r="AJ154" s="169">
        <f t="shared" ref="AJ154:AL155" si="233">AI154</f>
        <v>5.6052000000000008</v>
      </c>
      <c r="AK154" s="169">
        <f t="shared" si="233"/>
        <v>5.6052000000000008</v>
      </c>
      <c r="AL154" s="169">
        <f t="shared" si="233"/>
        <v>5.6052000000000008</v>
      </c>
      <c r="AM154" s="844"/>
      <c r="AN154" s="520"/>
      <c r="AO154" s="439"/>
      <c r="AP154" s="439"/>
      <c r="AQ154" s="439"/>
      <c r="AR154" s="439"/>
      <c r="AS154" s="439"/>
      <c r="AT154" s="439"/>
      <c r="AU154" s="443"/>
      <c r="AV154" s="443"/>
      <c r="AW154" s="443"/>
      <c r="AX154" s="443"/>
      <c r="AY154" s="443"/>
      <c r="AZ154" s="443"/>
      <c r="BG154" s="443"/>
      <c r="BH154" s="443"/>
      <c r="BI154" s="443"/>
      <c r="BJ154" s="443"/>
      <c r="BK154" s="443"/>
      <c r="BL154" s="443"/>
      <c r="BM154" s="443"/>
      <c r="BN154" s="443"/>
      <c r="BO154" s="443"/>
      <c r="BP154" s="443"/>
      <c r="BQ154" s="443"/>
      <c r="BR154" s="443"/>
    </row>
    <row r="155" spans="1:70" s="440" customFormat="1" ht="40" hidden="1" outlineLevel="1">
      <c r="A155" s="161" t="s">
        <v>581</v>
      </c>
      <c r="B155" s="13"/>
      <c r="C155" s="13"/>
      <c r="D155" s="1066"/>
      <c r="E155" s="13"/>
      <c r="G155" s="1317">
        <f>2.7*1</f>
        <v>2.7</v>
      </c>
      <c r="H155" s="1317">
        <f t="shared" si="222"/>
        <v>2.7</v>
      </c>
      <c r="I155" s="1317">
        <f t="shared" si="222"/>
        <v>2.7</v>
      </c>
      <c r="J155" s="1317">
        <f t="shared" si="222"/>
        <v>2.7</v>
      </c>
      <c r="K155" s="520"/>
      <c r="L155" s="442"/>
      <c r="M155" s="443"/>
      <c r="N155" s="169">
        <f t="shared" si="225"/>
        <v>2.7</v>
      </c>
      <c r="O155" s="169">
        <f>N155</f>
        <v>2.7</v>
      </c>
      <c r="P155" s="169">
        <f t="shared" si="226"/>
        <v>2.7</v>
      </c>
      <c r="Q155" s="169">
        <f t="shared" si="226"/>
        <v>2.7</v>
      </c>
      <c r="R155" s="543"/>
      <c r="S155" s="443"/>
      <c r="T155" s="169">
        <f t="shared" si="227"/>
        <v>2.7</v>
      </c>
      <c r="U155" s="169">
        <f>T155</f>
        <v>2.7</v>
      </c>
      <c r="V155" s="169">
        <f t="shared" si="228"/>
        <v>2.7</v>
      </c>
      <c r="W155" s="169">
        <f t="shared" si="228"/>
        <v>2.7</v>
      </c>
      <c r="X155" s="520"/>
      <c r="Y155" s="442"/>
      <c r="Z155" s="442"/>
      <c r="AA155" s="442"/>
      <c r="AB155" s="442"/>
      <c r="AC155" s="169">
        <f t="shared" si="223"/>
        <v>2.7</v>
      </c>
      <c r="AD155" s="169">
        <f t="shared" si="231"/>
        <v>2.7</v>
      </c>
      <c r="AE155" s="169">
        <f t="shared" si="231"/>
        <v>2.7</v>
      </c>
      <c r="AF155" s="169">
        <f t="shared" si="231"/>
        <v>2.7</v>
      </c>
      <c r="AG155" s="442"/>
      <c r="AH155" s="843"/>
      <c r="AI155" s="169">
        <f t="shared" si="232"/>
        <v>2.7</v>
      </c>
      <c r="AJ155" s="169">
        <f t="shared" si="233"/>
        <v>2.7</v>
      </c>
      <c r="AK155" s="169">
        <f t="shared" si="233"/>
        <v>2.7</v>
      </c>
      <c r="AL155" s="169">
        <f t="shared" si="233"/>
        <v>2.7</v>
      </c>
      <c r="AM155" s="844"/>
      <c r="AN155" s="520"/>
      <c r="AO155" s="439"/>
      <c r="AP155" s="439"/>
      <c r="AQ155" s="439"/>
      <c r="AR155" s="439"/>
      <c r="AS155" s="439"/>
      <c r="AT155" s="439"/>
      <c r="AU155" s="443"/>
      <c r="AV155" s="443"/>
      <c r="AW155" s="443"/>
      <c r="AX155" s="443"/>
      <c r="AY155" s="443"/>
      <c r="AZ155" s="443"/>
      <c r="BG155" s="443"/>
      <c r="BH155" s="443"/>
      <c r="BI155" s="443"/>
      <c r="BJ155" s="443"/>
      <c r="BK155" s="443"/>
      <c r="BL155" s="443"/>
      <c r="BM155" s="443"/>
      <c r="BN155" s="443"/>
      <c r="BO155" s="443"/>
      <c r="BP155" s="443"/>
      <c r="BQ155" s="443"/>
      <c r="BR155" s="443"/>
    </row>
    <row r="156" spans="1:70" s="440" customFormat="1" ht="20" hidden="1" outlineLevel="1">
      <c r="A156" s="161" t="s">
        <v>647</v>
      </c>
      <c r="B156" s="13"/>
      <c r="C156" s="13"/>
      <c r="D156" s="1066"/>
      <c r="E156" s="13"/>
      <c r="G156" s="812">
        <v>0.35</v>
      </c>
      <c r="H156" s="812">
        <f t="shared" si="222"/>
        <v>0.35</v>
      </c>
      <c r="I156" s="812">
        <f t="shared" si="222"/>
        <v>0.35</v>
      </c>
      <c r="J156" s="812">
        <f t="shared" si="222"/>
        <v>0.35</v>
      </c>
      <c r="K156" s="520"/>
      <c r="L156" s="442"/>
      <c r="M156" s="443"/>
      <c r="N156" s="812">
        <f t="shared" si="225"/>
        <v>0.35</v>
      </c>
      <c r="O156" s="644">
        <f>H156</f>
        <v>0.35</v>
      </c>
      <c r="P156" s="644">
        <f>I156</f>
        <v>0.35</v>
      </c>
      <c r="Q156" s="644">
        <f>J156</f>
        <v>0.35</v>
      </c>
      <c r="R156" s="543"/>
      <c r="S156" s="443"/>
      <c r="T156" s="812">
        <f t="shared" si="227"/>
        <v>0.35</v>
      </c>
      <c r="U156" s="644">
        <f>O156</f>
        <v>0.35</v>
      </c>
      <c r="V156" s="644">
        <f>P156</f>
        <v>0.35</v>
      </c>
      <c r="W156" s="644">
        <f>Q156</f>
        <v>0.35</v>
      </c>
      <c r="X156" s="520"/>
      <c r="Y156" s="442"/>
      <c r="Z156" s="442"/>
      <c r="AA156" s="442"/>
      <c r="AB156" s="442"/>
      <c r="AC156" s="812">
        <f t="shared" si="223"/>
        <v>0.35</v>
      </c>
      <c r="AD156" s="644">
        <f>U156</f>
        <v>0.35</v>
      </c>
      <c r="AE156" s="644">
        <f t="shared" ref="AE156:AF156" si="234">V156</f>
        <v>0.35</v>
      </c>
      <c r="AF156" s="644">
        <f t="shared" si="234"/>
        <v>0.35</v>
      </c>
      <c r="AG156" s="442"/>
      <c r="AH156" s="843"/>
      <c r="AI156" s="811">
        <f>AC156</f>
        <v>0.35</v>
      </c>
      <c r="AJ156" s="644">
        <f>AD156</f>
        <v>0.35</v>
      </c>
      <c r="AK156" s="644">
        <f t="shared" ref="AK156:AL156" si="235">AE156</f>
        <v>0.35</v>
      </c>
      <c r="AL156" s="644">
        <f t="shared" si="235"/>
        <v>0.35</v>
      </c>
      <c r="AM156" s="844"/>
      <c r="AN156" s="520"/>
      <c r="AO156" s="439"/>
      <c r="AP156" s="439"/>
      <c r="AQ156" s="439"/>
      <c r="AR156" s="439"/>
      <c r="AS156" s="439"/>
      <c r="AT156" s="439"/>
      <c r="AU156" s="443"/>
      <c r="AV156" s="443"/>
      <c r="AW156" s="443"/>
      <c r="AX156" s="443"/>
      <c r="AY156" s="443"/>
      <c r="AZ156" s="443"/>
      <c r="BG156" s="443"/>
      <c r="BH156" s="443"/>
      <c r="BI156" s="443"/>
      <c r="BJ156" s="443"/>
      <c r="BK156" s="443"/>
      <c r="BL156" s="443"/>
      <c r="BM156" s="443"/>
      <c r="BN156" s="443"/>
      <c r="BO156" s="443"/>
      <c r="BP156" s="443"/>
      <c r="BQ156" s="443"/>
      <c r="BR156" s="443"/>
    </row>
    <row r="157" spans="1:70" s="440" customFormat="1" ht="40" hidden="1" outlineLevel="1">
      <c r="A157" s="161" t="s">
        <v>603</v>
      </c>
      <c r="B157" s="13"/>
      <c r="C157" s="13"/>
      <c r="D157" s="1066"/>
      <c r="E157" s="13"/>
      <c r="G157" s="812">
        <f>60%*G156</f>
        <v>0.21</v>
      </c>
      <c r="H157" s="812">
        <f t="shared" ref="H157:J157" si="236">60%*H156</f>
        <v>0.21</v>
      </c>
      <c r="I157" s="812">
        <f t="shared" si="236"/>
        <v>0.21</v>
      </c>
      <c r="J157" s="812">
        <f t="shared" si="236"/>
        <v>0.21</v>
      </c>
      <c r="K157" s="520"/>
      <c r="L157" s="442"/>
      <c r="M157" s="443"/>
      <c r="N157" s="812">
        <f t="shared" si="225"/>
        <v>0.21</v>
      </c>
      <c r="O157" s="812">
        <f t="shared" ref="O157:Q158" si="237">N157</f>
        <v>0.21</v>
      </c>
      <c r="P157" s="812">
        <f t="shared" si="237"/>
        <v>0.21</v>
      </c>
      <c r="Q157" s="812">
        <f t="shared" si="237"/>
        <v>0.21</v>
      </c>
      <c r="R157" s="543"/>
      <c r="S157" s="443"/>
      <c r="T157" s="812">
        <f t="shared" si="227"/>
        <v>0.21</v>
      </c>
      <c r="U157" s="812">
        <f t="shared" ref="U157:W158" si="238">T157</f>
        <v>0.21</v>
      </c>
      <c r="V157" s="812">
        <f t="shared" si="238"/>
        <v>0.21</v>
      </c>
      <c r="W157" s="812">
        <f t="shared" si="238"/>
        <v>0.21</v>
      </c>
      <c r="X157" s="520"/>
      <c r="Y157" s="442"/>
      <c r="Z157" s="442"/>
      <c r="AA157" s="442"/>
      <c r="AB157" s="442"/>
      <c r="AC157" s="812">
        <f t="shared" si="223"/>
        <v>0.21</v>
      </c>
      <c r="AD157" s="812">
        <f t="shared" ref="AD157:AF158" si="239">AC157</f>
        <v>0.21</v>
      </c>
      <c r="AE157" s="812">
        <f t="shared" si="239"/>
        <v>0.21</v>
      </c>
      <c r="AF157" s="812">
        <f t="shared" si="239"/>
        <v>0.21</v>
      </c>
      <c r="AG157" s="442"/>
      <c r="AH157" s="843"/>
      <c r="AI157" s="811">
        <f>AC157</f>
        <v>0.21</v>
      </c>
      <c r="AJ157" s="811">
        <f t="shared" ref="AJ157:AL158" si="240">AI157</f>
        <v>0.21</v>
      </c>
      <c r="AK157" s="811">
        <f t="shared" si="240"/>
        <v>0.21</v>
      </c>
      <c r="AL157" s="811">
        <f t="shared" si="240"/>
        <v>0.21</v>
      </c>
      <c r="AM157" s="844"/>
      <c r="AN157" s="520"/>
      <c r="AO157" s="439"/>
      <c r="AP157" s="439"/>
      <c r="AQ157" s="439"/>
      <c r="AR157" s="439"/>
      <c r="AS157" s="439"/>
      <c r="AT157" s="439"/>
      <c r="AU157" s="443"/>
      <c r="AV157" s="443"/>
      <c r="AW157" s="443"/>
      <c r="AX157" s="443"/>
      <c r="AY157" s="443"/>
      <c r="AZ157" s="443"/>
      <c r="BG157" s="443"/>
      <c r="BH157" s="443"/>
      <c r="BI157" s="443"/>
      <c r="BJ157" s="443"/>
      <c r="BK157" s="443"/>
      <c r="BL157" s="443"/>
      <c r="BM157" s="443"/>
      <c r="BN157" s="443"/>
      <c r="BO157" s="443"/>
      <c r="BP157" s="443"/>
      <c r="BQ157" s="443"/>
      <c r="BR157" s="443"/>
    </row>
    <row r="158" spans="1:70" s="440" customFormat="1" ht="20" hidden="1" outlineLevel="1">
      <c r="A158" s="161" t="s">
        <v>597</v>
      </c>
      <c r="B158" s="13"/>
      <c r="C158" s="13"/>
      <c r="D158" s="1066"/>
      <c r="E158" s="13"/>
      <c r="G158" s="812">
        <f>G198</f>
        <v>0.62</v>
      </c>
      <c r="H158" s="812">
        <f>G158</f>
        <v>0.62</v>
      </c>
      <c r="I158" s="812">
        <f t="shared" ref="I158:J158" si="241">H158</f>
        <v>0.62</v>
      </c>
      <c r="J158" s="812">
        <f t="shared" si="241"/>
        <v>0.62</v>
      </c>
      <c r="K158" s="520"/>
      <c r="L158" s="442"/>
      <c r="M158" s="443"/>
      <c r="N158" s="812">
        <f t="shared" si="225"/>
        <v>0.62</v>
      </c>
      <c r="O158" s="812">
        <f t="shared" si="237"/>
        <v>0.62</v>
      </c>
      <c r="P158" s="812">
        <f t="shared" si="237"/>
        <v>0.62</v>
      </c>
      <c r="Q158" s="812">
        <f t="shared" si="237"/>
        <v>0.62</v>
      </c>
      <c r="R158" s="543"/>
      <c r="S158" s="443"/>
      <c r="T158" s="812">
        <f t="shared" si="227"/>
        <v>0.62</v>
      </c>
      <c r="U158" s="812">
        <f t="shared" si="238"/>
        <v>0.62</v>
      </c>
      <c r="V158" s="812">
        <f t="shared" si="238"/>
        <v>0.62</v>
      </c>
      <c r="W158" s="812">
        <f t="shared" si="238"/>
        <v>0.62</v>
      </c>
      <c r="X158" s="520"/>
      <c r="Y158" s="442"/>
      <c r="Z158" s="442"/>
      <c r="AA158" s="442"/>
      <c r="AB158" s="442"/>
      <c r="AC158" s="812">
        <f t="shared" si="223"/>
        <v>0.62</v>
      </c>
      <c r="AD158" s="812">
        <f t="shared" si="239"/>
        <v>0.62</v>
      </c>
      <c r="AE158" s="812">
        <f t="shared" si="239"/>
        <v>0.62</v>
      </c>
      <c r="AF158" s="812">
        <f t="shared" si="239"/>
        <v>0.62</v>
      </c>
      <c r="AG158" s="442"/>
      <c r="AH158" s="843"/>
      <c r="AI158" s="811">
        <f>AC158</f>
        <v>0.62</v>
      </c>
      <c r="AJ158" s="811">
        <f t="shared" si="240"/>
        <v>0.62</v>
      </c>
      <c r="AK158" s="811">
        <f t="shared" si="240"/>
        <v>0.62</v>
      </c>
      <c r="AL158" s="811">
        <f t="shared" si="240"/>
        <v>0.62</v>
      </c>
      <c r="AM158" s="844"/>
      <c r="AN158" s="520"/>
      <c r="AO158" s="439"/>
      <c r="AP158" s="439"/>
      <c r="AQ158" s="439"/>
      <c r="AR158" s="439"/>
      <c r="AS158" s="439"/>
      <c r="AT158" s="439"/>
      <c r="AU158" s="443"/>
      <c r="AV158" s="443"/>
      <c r="AW158" s="443"/>
      <c r="AX158" s="443"/>
      <c r="AY158" s="443"/>
      <c r="AZ158" s="443"/>
      <c r="BG158" s="443"/>
      <c r="BH158" s="443"/>
      <c r="BI158" s="443"/>
      <c r="BJ158" s="443"/>
      <c r="BK158" s="443"/>
      <c r="BL158" s="443"/>
      <c r="BM158" s="443"/>
      <c r="BN158" s="443"/>
      <c r="BO158" s="443"/>
      <c r="BP158" s="443"/>
      <c r="BQ158" s="443"/>
      <c r="BR158" s="443"/>
    </row>
    <row r="159" spans="1:70" s="440" customFormat="1" hidden="1" outlineLevel="1">
      <c r="A159" s="13"/>
      <c r="B159" s="13"/>
      <c r="C159" s="13"/>
      <c r="D159" s="1066"/>
      <c r="E159" s="13"/>
      <c r="G159" s="812"/>
      <c r="H159" s="812"/>
      <c r="I159" s="812"/>
      <c r="J159" s="812"/>
      <c r="K159" s="520"/>
      <c r="L159" s="442"/>
      <c r="M159" s="443"/>
      <c r="N159" s="812"/>
      <c r="O159" s="812"/>
      <c r="P159" s="812"/>
      <c r="Q159" s="812"/>
      <c r="R159" s="543"/>
      <c r="S159" s="443"/>
      <c r="T159" s="812"/>
      <c r="U159" s="812"/>
      <c r="V159" s="812"/>
      <c r="W159" s="812"/>
      <c r="X159" s="520"/>
      <c r="Y159" s="442"/>
      <c r="Z159" s="442"/>
      <c r="AA159" s="442"/>
      <c r="AB159" s="442"/>
      <c r="AC159" s="812"/>
      <c r="AD159" s="812"/>
      <c r="AE159" s="812"/>
      <c r="AF159" s="812"/>
      <c r="AG159" s="442"/>
      <c r="AH159" s="843"/>
      <c r="AI159" s="811"/>
      <c r="AJ159" s="811"/>
      <c r="AK159" s="811"/>
      <c r="AL159" s="811"/>
      <c r="AM159" s="844"/>
      <c r="AN159" s="520"/>
      <c r="AO159" s="439"/>
      <c r="AP159" s="439"/>
      <c r="AQ159" s="439"/>
      <c r="AR159" s="439"/>
      <c r="AS159" s="439"/>
      <c r="AT159" s="439"/>
      <c r="AU159" s="443"/>
      <c r="AV159" s="443"/>
      <c r="AW159" s="443"/>
      <c r="AX159" s="443"/>
      <c r="AY159" s="443"/>
      <c r="AZ159" s="443"/>
      <c r="BG159" s="443"/>
      <c r="BH159" s="443"/>
      <c r="BI159" s="443"/>
      <c r="BJ159" s="443"/>
      <c r="BK159" s="443"/>
      <c r="BL159" s="443"/>
      <c r="BM159" s="443"/>
      <c r="BN159" s="443"/>
      <c r="BO159" s="443"/>
      <c r="BP159" s="443"/>
      <c r="BQ159" s="443"/>
      <c r="BR159" s="443"/>
    </row>
    <row r="160" spans="1:70" s="440" customFormat="1" ht="20" hidden="1" outlineLevel="1">
      <c r="A160" s="1" t="s">
        <v>584</v>
      </c>
      <c r="B160" s="13"/>
      <c r="C160" s="13"/>
      <c r="D160" s="1066"/>
      <c r="E160" s="13"/>
      <c r="G160" s="812"/>
      <c r="H160" s="812"/>
      <c r="I160" s="812"/>
      <c r="J160" s="812"/>
      <c r="K160" s="520"/>
      <c r="L160" s="442"/>
      <c r="M160" s="443"/>
      <c r="N160" s="812"/>
      <c r="O160" s="812"/>
      <c r="P160" s="812"/>
      <c r="Q160" s="812"/>
      <c r="R160" s="543"/>
      <c r="S160" s="443"/>
      <c r="T160" s="812"/>
      <c r="U160" s="812"/>
      <c r="V160" s="812"/>
      <c r="W160" s="812"/>
      <c r="X160" s="520"/>
      <c r="Y160" s="442"/>
      <c r="Z160" s="442"/>
      <c r="AA160" s="442"/>
      <c r="AB160" s="442"/>
      <c r="AC160" s="812"/>
      <c r="AD160" s="812"/>
      <c r="AE160" s="812"/>
      <c r="AF160" s="812"/>
      <c r="AG160" s="442"/>
      <c r="AH160" s="843"/>
      <c r="AI160" s="811"/>
      <c r="AJ160" s="811"/>
      <c r="AK160" s="811"/>
      <c r="AL160" s="811"/>
      <c r="AM160" s="844"/>
      <c r="AN160" s="520"/>
      <c r="AO160" s="439"/>
      <c r="AP160" s="439"/>
      <c r="AQ160" s="439"/>
      <c r="AR160" s="439"/>
      <c r="AS160" s="439"/>
      <c r="AT160" s="439"/>
      <c r="AU160" s="443"/>
      <c r="AV160" s="443"/>
      <c r="AW160" s="443"/>
      <c r="AX160" s="443"/>
      <c r="AY160" s="443"/>
      <c r="AZ160" s="443"/>
      <c r="BG160" s="443"/>
      <c r="BH160" s="443"/>
      <c r="BI160" s="443"/>
      <c r="BJ160" s="443"/>
      <c r="BK160" s="443"/>
      <c r="BL160" s="443"/>
      <c r="BM160" s="443"/>
      <c r="BN160" s="443"/>
      <c r="BO160" s="443"/>
      <c r="BP160" s="443"/>
      <c r="BQ160" s="443"/>
      <c r="BR160" s="443"/>
    </row>
    <row r="161" spans="1:70" s="440" customFormat="1" hidden="1" outlineLevel="1">
      <c r="A161" s="2" t="s">
        <v>577</v>
      </c>
      <c r="B161" s="13"/>
      <c r="C161" s="13"/>
      <c r="D161" s="1066"/>
      <c r="E161" s="13"/>
      <c r="G161" s="939">
        <f>G194+(G194/100*20)</f>
        <v>1.8</v>
      </c>
      <c r="H161" s="1143">
        <f>G161</f>
        <v>1.8</v>
      </c>
      <c r="I161" s="1143">
        <f t="shared" ref="I161:J161" si="242">H161</f>
        <v>1.8</v>
      </c>
      <c r="J161" s="1143">
        <f t="shared" si="242"/>
        <v>1.8</v>
      </c>
      <c r="K161" s="520"/>
      <c r="L161" s="442"/>
      <c r="M161" s="443"/>
      <c r="N161" s="1143">
        <f>G161</f>
        <v>1.8</v>
      </c>
      <c r="O161" s="1143">
        <f>N161</f>
        <v>1.8</v>
      </c>
      <c r="P161" s="1143">
        <f t="shared" ref="P161:Q161" si="243">O161</f>
        <v>1.8</v>
      </c>
      <c r="Q161" s="1143">
        <f t="shared" si="243"/>
        <v>1.8</v>
      </c>
      <c r="R161" s="543"/>
      <c r="S161" s="443"/>
      <c r="T161" s="1144">
        <f>N161</f>
        <v>1.8</v>
      </c>
      <c r="U161" s="1144">
        <f>O161</f>
        <v>1.8</v>
      </c>
      <c r="V161" s="1144">
        <f t="shared" ref="V161:W164" si="244">P161</f>
        <v>1.8</v>
      </c>
      <c r="W161" s="1144">
        <f t="shared" si="244"/>
        <v>1.8</v>
      </c>
      <c r="X161" s="520"/>
      <c r="Y161" s="442"/>
      <c r="Z161" s="442"/>
      <c r="AA161" s="442"/>
      <c r="AB161" s="442"/>
      <c r="AC161" s="1143">
        <f>T161</f>
        <v>1.8</v>
      </c>
      <c r="AD161" s="1143">
        <f t="shared" ref="AD161:AF163" si="245">U161</f>
        <v>1.8</v>
      </c>
      <c r="AE161" s="1143">
        <f t="shared" si="245"/>
        <v>1.8</v>
      </c>
      <c r="AF161" s="1143">
        <f t="shared" si="245"/>
        <v>1.8</v>
      </c>
      <c r="AG161" s="442"/>
      <c r="AH161" s="843"/>
      <c r="AI161" s="1146">
        <f>AC161</f>
        <v>1.8</v>
      </c>
      <c r="AJ161" s="1146">
        <f>AI161</f>
        <v>1.8</v>
      </c>
      <c r="AK161" s="1146">
        <f t="shared" ref="AK161:AL161" si="246">AJ161</f>
        <v>1.8</v>
      </c>
      <c r="AL161" s="1146">
        <f t="shared" si="246"/>
        <v>1.8</v>
      </c>
      <c r="AM161" s="844"/>
      <c r="AN161" s="520"/>
      <c r="AO161" s="439"/>
      <c r="AP161" s="439"/>
      <c r="AQ161" s="439"/>
      <c r="AR161" s="439"/>
      <c r="AS161" s="439"/>
      <c r="AT161" s="439"/>
      <c r="AU161" s="443"/>
      <c r="AV161" s="443"/>
      <c r="AW161" s="443"/>
      <c r="AX161" s="443"/>
      <c r="AY161" s="443"/>
      <c r="AZ161" s="443"/>
      <c r="BG161" s="443"/>
      <c r="BH161" s="443"/>
      <c r="BI161" s="443"/>
      <c r="BJ161" s="443"/>
      <c r="BK161" s="443"/>
      <c r="BL161" s="443"/>
      <c r="BM161" s="443"/>
      <c r="BN161" s="443"/>
      <c r="BO161" s="443"/>
      <c r="BP161" s="443"/>
      <c r="BQ161" s="443"/>
      <c r="BR161" s="443"/>
    </row>
    <row r="162" spans="1:70" s="440" customFormat="1" hidden="1" outlineLevel="1">
      <c r="A162" s="2" t="s">
        <v>578</v>
      </c>
      <c r="B162" s="13"/>
      <c r="C162" s="13"/>
      <c r="D162" s="1066"/>
      <c r="E162" s="13"/>
      <c r="G162" s="939">
        <f>G195+(G195/100*20)</f>
        <v>2.0760000000000001</v>
      </c>
      <c r="H162" s="1143">
        <f t="shared" ref="H162:J164" si="247">G162</f>
        <v>2.0760000000000001</v>
      </c>
      <c r="I162" s="1143">
        <f t="shared" si="247"/>
        <v>2.0760000000000001</v>
      </c>
      <c r="J162" s="1143">
        <f t="shared" si="247"/>
        <v>2.0760000000000001</v>
      </c>
      <c r="K162" s="520"/>
      <c r="L162" s="442"/>
      <c r="M162" s="443"/>
      <c r="N162" s="1143">
        <f t="shared" ref="N162:N164" si="248">G162</f>
        <v>2.0760000000000001</v>
      </c>
      <c r="O162" s="1143">
        <f t="shared" ref="O162:Q164" si="249">N162</f>
        <v>2.0760000000000001</v>
      </c>
      <c r="P162" s="1143">
        <f t="shared" si="249"/>
        <v>2.0760000000000001</v>
      </c>
      <c r="Q162" s="1143">
        <f t="shared" si="249"/>
        <v>2.0760000000000001</v>
      </c>
      <c r="R162" s="543"/>
      <c r="S162" s="443"/>
      <c r="T162" s="1144">
        <f t="shared" ref="T162:U164" si="250">N162</f>
        <v>2.0760000000000001</v>
      </c>
      <c r="U162" s="1144">
        <f t="shared" si="250"/>
        <v>2.0760000000000001</v>
      </c>
      <c r="V162" s="1144">
        <f t="shared" si="244"/>
        <v>2.0760000000000001</v>
      </c>
      <c r="W162" s="1144">
        <f t="shared" si="244"/>
        <v>2.0760000000000001</v>
      </c>
      <c r="X162" s="520"/>
      <c r="Y162" s="442"/>
      <c r="Z162" s="442"/>
      <c r="AA162" s="442"/>
      <c r="AB162" s="442"/>
      <c r="AC162" s="1143">
        <f t="shared" ref="AC162:AC163" si="251">T162</f>
        <v>2.0760000000000001</v>
      </c>
      <c r="AD162" s="1143">
        <f t="shared" si="245"/>
        <v>2.0760000000000001</v>
      </c>
      <c r="AE162" s="1143">
        <f t="shared" si="245"/>
        <v>2.0760000000000001</v>
      </c>
      <c r="AF162" s="1143">
        <f t="shared" si="245"/>
        <v>2.0760000000000001</v>
      </c>
      <c r="AG162" s="442"/>
      <c r="AH162" s="843"/>
      <c r="AI162" s="1146">
        <f t="shared" ref="AI162:AI163" si="252">AC162</f>
        <v>2.0760000000000001</v>
      </c>
      <c r="AJ162" s="1146">
        <f t="shared" ref="AJ162:AL164" si="253">AI162</f>
        <v>2.0760000000000001</v>
      </c>
      <c r="AK162" s="1146">
        <f t="shared" si="253"/>
        <v>2.0760000000000001</v>
      </c>
      <c r="AL162" s="1146">
        <f t="shared" si="253"/>
        <v>2.0760000000000001</v>
      </c>
      <c r="AM162" s="844"/>
      <c r="AN162" s="520"/>
      <c r="AO162" s="439"/>
      <c r="AP162" s="439"/>
      <c r="AQ162" s="439"/>
      <c r="AR162" s="439"/>
      <c r="AS162" s="439"/>
      <c r="AT162" s="439"/>
      <c r="AU162" s="443"/>
      <c r="AV162" s="443"/>
      <c r="AW162" s="443"/>
      <c r="AX162" s="443"/>
      <c r="AY162" s="443"/>
      <c r="AZ162" s="443"/>
      <c r="BG162" s="443"/>
      <c r="BH162" s="443"/>
      <c r="BI162" s="443"/>
      <c r="BJ162" s="443"/>
      <c r="BK162" s="443"/>
      <c r="BL162" s="443"/>
      <c r="BM162" s="443"/>
      <c r="BN162" s="443"/>
      <c r="BO162" s="443"/>
      <c r="BP162" s="443"/>
      <c r="BQ162" s="443"/>
      <c r="BR162" s="443"/>
    </row>
    <row r="163" spans="1:70" s="440" customFormat="1" hidden="1" outlineLevel="1">
      <c r="A163" s="2" t="s">
        <v>579</v>
      </c>
      <c r="B163" s="13"/>
      <c r="C163" s="13"/>
      <c r="D163" s="1066"/>
      <c r="E163" s="13"/>
      <c r="G163" s="939">
        <f>G196+(G196/100*20)</f>
        <v>9.2280000000000015</v>
      </c>
      <c r="H163" s="1143">
        <f t="shared" si="247"/>
        <v>9.2280000000000015</v>
      </c>
      <c r="I163" s="1143">
        <f t="shared" si="247"/>
        <v>9.2280000000000015</v>
      </c>
      <c r="J163" s="1143">
        <f t="shared" si="247"/>
        <v>9.2280000000000015</v>
      </c>
      <c r="K163" s="520"/>
      <c r="L163" s="442"/>
      <c r="M163" s="443"/>
      <c r="N163" s="1143">
        <f t="shared" si="248"/>
        <v>9.2280000000000015</v>
      </c>
      <c r="O163" s="1143">
        <f t="shared" si="249"/>
        <v>9.2280000000000015</v>
      </c>
      <c r="P163" s="1143">
        <f t="shared" si="249"/>
        <v>9.2280000000000015</v>
      </c>
      <c r="Q163" s="1143">
        <f t="shared" si="249"/>
        <v>9.2280000000000015</v>
      </c>
      <c r="R163" s="543"/>
      <c r="S163" s="443"/>
      <c r="T163" s="1144">
        <f t="shared" si="250"/>
        <v>9.2280000000000015</v>
      </c>
      <c r="U163" s="1144">
        <f t="shared" si="250"/>
        <v>9.2280000000000015</v>
      </c>
      <c r="V163" s="1144">
        <f t="shared" si="244"/>
        <v>9.2280000000000015</v>
      </c>
      <c r="W163" s="1144">
        <f t="shared" si="244"/>
        <v>9.2280000000000015</v>
      </c>
      <c r="X163" s="520"/>
      <c r="Y163" s="442"/>
      <c r="Z163" s="442"/>
      <c r="AA163" s="442"/>
      <c r="AB163" s="442"/>
      <c r="AC163" s="1143">
        <f t="shared" si="251"/>
        <v>9.2280000000000015</v>
      </c>
      <c r="AD163" s="1143">
        <f t="shared" si="245"/>
        <v>9.2280000000000015</v>
      </c>
      <c r="AE163" s="1143">
        <f t="shared" si="245"/>
        <v>9.2280000000000015</v>
      </c>
      <c r="AF163" s="1143">
        <f t="shared" si="245"/>
        <v>9.2280000000000015</v>
      </c>
      <c r="AG163" s="442"/>
      <c r="AH163" s="843"/>
      <c r="AI163" s="1146">
        <f t="shared" si="252"/>
        <v>9.2280000000000015</v>
      </c>
      <c r="AJ163" s="1146">
        <f t="shared" si="253"/>
        <v>9.2280000000000015</v>
      </c>
      <c r="AK163" s="1146">
        <f t="shared" si="253"/>
        <v>9.2280000000000015</v>
      </c>
      <c r="AL163" s="1146">
        <f t="shared" si="253"/>
        <v>9.2280000000000015</v>
      </c>
      <c r="AM163" s="844"/>
      <c r="AN163" s="520"/>
      <c r="AO163" s="439"/>
      <c r="AP163" s="439"/>
      <c r="AQ163" s="439"/>
      <c r="AR163" s="439"/>
      <c r="AS163" s="439"/>
      <c r="AT163" s="439"/>
      <c r="AU163" s="443"/>
      <c r="AV163" s="443"/>
      <c r="AW163" s="443"/>
      <c r="AX163" s="443"/>
      <c r="AY163" s="443"/>
      <c r="AZ163" s="443"/>
      <c r="BG163" s="443"/>
      <c r="BH163" s="443"/>
      <c r="BI163" s="443"/>
      <c r="BJ163" s="443"/>
      <c r="BK163" s="443"/>
      <c r="BL163" s="443"/>
      <c r="BM163" s="443"/>
      <c r="BN163" s="443"/>
      <c r="BO163" s="443"/>
      <c r="BP163" s="443"/>
      <c r="BQ163" s="443"/>
      <c r="BR163" s="443"/>
    </row>
    <row r="164" spans="1:70" s="440" customFormat="1" ht="40" hidden="1" outlineLevel="1">
      <c r="A164" s="87" t="s">
        <v>605</v>
      </c>
      <c r="B164" s="423"/>
      <c r="C164" s="1"/>
      <c r="D164" s="1057"/>
      <c r="E164" s="1"/>
      <c r="F164" s="2"/>
      <c r="G164" s="154">
        <v>15542.8125</v>
      </c>
      <c r="H164" s="1145">
        <f t="shared" si="247"/>
        <v>15542.8125</v>
      </c>
      <c r="I164" s="1145">
        <f t="shared" si="247"/>
        <v>15542.8125</v>
      </c>
      <c r="J164" s="1145">
        <f t="shared" si="247"/>
        <v>15542.8125</v>
      </c>
      <c r="K164" s="520"/>
      <c r="L164" s="442"/>
      <c r="M164" s="443"/>
      <c r="N164" s="1145">
        <f t="shared" si="248"/>
        <v>15542.8125</v>
      </c>
      <c r="O164" s="1145">
        <f t="shared" si="249"/>
        <v>15542.8125</v>
      </c>
      <c r="P164" s="1145">
        <f t="shared" si="249"/>
        <v>15542.8125</v>
      </c>
      <c r="Q164" s="1145">
        <f t="shared" si="249"/>
        <v>15542.8125</v>
      </c>
      <c r="R164" s="543"/>
      <c r="S164" s="443"/>
      <c r="T164" s="1144">
        <f t="shared" si="250"/>
        <v>15542.8125</v>
      </c>
      <c r="U164" s="1144">
        <f t="shared" si="250"/>
        <v>15542.8125</v>
      </c>
      <c r="V164" s="1144">
        <f t="shared" si="244"/>
        <v>15542.8125</v>
      </c>
      <c r="W164" s="1144">
        <f t="shared" si="244"/>
        <v>15542.8125</v>
      </c>
      <c r="X164" s="520"/>
      <c r="Y164" s="442"/>
      <c r="Z164" s="442"/>
      <c r="AA164" s="442"/>
      <c r="AB164" s="442"/>
      <c r="AC164" s="1145">
        <f>AG164*T164</f>
        <v>13500.104001168473</v>
      </c>
      <c r="AD164" s="1145">
        <f>AC164</f>
        <v>13500.104001168473</v>
      </c>
      <c r="AE164" s="1145">
        <f t="shared" ref="AE164:AF164" si="254">AD164</f>
        <v>13500.104001168473</v>
      </c>
      <c r="AF164" s="1145">
        <f t="shared" si="254"/>
        <v>13500.104001168473</v>
      </c>
      <c r="AG164" s="812">
        <f>AG7/AN7</f>
        <v>0.86857536248143463</v>
      </c>
      <c r="AH164" s="843"/>
      <c r="AI164" s="1148">
        <f>AM164*T164</f>
        <v>2042.7084988315269</v>
      </c>
      <c r="AJ164" s="1148">
        <f>AI164</f>
        <v>2042.7084988315269</v>
      </c>
      <c r="AK164" s="1148">
        <f t="shared" si="253"/>
        <v>2042.7084988315269</v>
      </c>
      <c r="AL164" s="1148">
        <f t="shared" si="253"/>
        <v>2042.7084988315269</v>
      </c>
      <c r="AM164" s="1147">
        <f>100%-AG164</f>
        <v>0.13142463751856537</v>
      </c>
      <c r="AN164" s="520"/>
      <c r="AO164" s="439"/>
      <c r="AP164" s="439"/>
      <c r="AQ164" s="439"/>
      <c r="AR164" s="439"/>
      <c r="AS164" s="439"/>
      <c r="AT164" s="439"/>
      <c r="AU164" s="443"/>
      <c r="AV164" s="443"/>
      <c r="AW164" s="443"/>
      <c r="AX164" s="443"/>
      <c r="AY164" s="443"/>
      <c r="AZ164" s="443"/>
      <c r="BG164" s="443"/>
      <c r="BH164" s="443"/>
      <c r="BI164" s="443"/>
      <c r="BJ164" s="443"/>
      <c r="BK164" s="443"/>
      <c r="BL164" s="443"/>
      <c r="BM164" s="443"/>
      <c r="BN164" s="443"/>
      <c r="BO164" s="443"/>
      <c r="BP164" s="443"/>
      <c r="BQ164" s="443"/>
      <c r="BR164" s="443"/>
    </row>
    <row r="165" spans="1:70" s="440" customFormat="1" hidden="1" outlineLevel="1">
      <c r="A165" s="161"/>
      <c r="B165" s="13"/>
      <c r="C165" s="13"/>
      <c r="D165" s="1066"/>
      <c r="E165" s="13"/>
      <c r="G165" s="812"/>
      <c r="H165" s="812"/>
      <c r="I165" s="812"/>
      <c r="J165" s="812"/>
      <c r="K165" s="520"/>
      <c r="L165" s="442"/>
      <c r="M165" s="443"/>
      <c r="N165" s="1143"/>
      <c r="O165" s="1143"/>
      <c r="P165" s="1143"/>
      <c r="Q165" s="1143"/>
      <c r="R165" s="543"/>
      <c r="S165" s="443"/>
      <c r="T165" s="812"/>
      <c r="U165" s="812"/>
      <c r="V165" s="812"/>
      <c r="W165" s="812"/>
      <c r="X165" s="520"/>
      <c r="Y165" s="442"/>
      <c r="Z165" s="442"/>
      <c r="AA165" s="442"/>
      <c r="AB165" s="442"/>
      <c r="AC165" s="812"/>
      <c r="AD165" s="812"/>
      <c r="AE165" s="812"/>
      <c r="AF165" s="812"/>
      <c r="AG165" s="442"/>
      <c r="AH165" s="843"/>
      <c r="AI165" s="811"/>
      <c r="AJ165" s="811"/>
      <c r="AK165" s="811"/>
      <c r="AL165" s="811"/>
      <c r="AM165" s="844"/>
      <c r="AN165" s="520"/>
      <c r="AO165" s="439"/>
      <c r="AP165" s="439"/>
      <c r="AQ165" s="439"/>
      <c r="AR165" s="439"/>
      <c r="AS165" s="439"/>
      <c r="AT165" s="439"/>
      <c r="AU165" s="443"/>
      <c r="AV165" s="443"/>
      <c r="AW165" s="443"/>
      <c r="AX165" s="443"/>
      <c r="AY165" s="443"/>
      <c r="AZ165" s="443"/>
      <c r="BG165" s="443"/>
      <c r="BH165" s="443"/>
      <c r="BI165" s="443"/>
      <c r="BJ165" s="443"/>
      <c r="BK165" s="443"/>
      <c r="BL165" s="443"/>
      <c r="BM165" s="443"/>
      <c r="BN165" s="443"/>
      <c r="BO165" s="443"/>
      <c r="BP165" s="443"/>
      <c r="BQ165" s="443"/>
      <c r="BR165" s="443"/>
    </row>
    <row r="166" spans="1:70" s="440" customFormat="1" hidden="1" outlineLevel="1">
      <c r="A166" s="161"/>
      <c r="B166" s="13"/>
      <c r="C166" s="13"/>
      <c r="D166" s="1066"/>
      <c r="E166" s="13"/>
      <c r="G166" s="812"/>
      <c r="H166" s="812"/>
      <c r="I166" s="812"/>
      <c r="J166" s="812"/>
      <c r="K166" s="520"/>
      <c r="L166" s="442"/>
      <c r="M166" s="443"/>
      <c r="N166" s="443"/>
      <c r="O166" s="443"/>
      <c r="P166" s="443"/>
      <c r="Q166" s="443"/>
      <c r="R166" s="543"/>
      <c r="S166" s="443"/>
      <c r="T166" s="442"/>
      <c r="U166" s="442"/>
      <c r="V166" s="442"/>
      <c r="W166" s="442"/>
      <c r="X166" s="520"/>
      <c r="Y166" s="442"/>
      <c r="Z166" s="442"/>
      <c r="AA166" s="442"/>
      <c r="AB166" s="442"/>
      <c r="AC166" s="442"/>
      <c r="AD166" s="442"/>
      <c r="AE166" s="442"/>
      <c r="AF166" s="442"/>
      <c r="AG166" s="442"/>
      <c r="AH166" s="843"/>
      <c r="AI166" s="442"/>
      <c r="AJ166" s="442"/>
      <c r="AK166" s="442"/>
      <c r="AL166" s="442"/>
      <c r="AM166" s="844"/>
      <c r="AN166" s="520"/>
      <c r="AO166" s="439"/>
      <c r="AP166" s="439"/>
      <c r="AQ166" s="439"/>
      <c r="AR166" s="439"/>
      <c r="AS166" s="439"/>
      <c r="AT166" s="439"/>
      <c r="AU166" s="443"/>
      <c r="AV166" s="443"/>
      <c r="AW166" s="443"/>
      <c r="AX166" s="443"/>
      <c r="AY166" s="443"/>
      <c r="AZ166" s="443"/>
      <c r="BG166" s="443"/>
      <c r="BH166" s="443"/>
      <c r="BI166" s="443"/>
      <c r="BJ166" s="443"/>
      <c r="BK166" s="443"/>
      <c r="BL166" s="443"/>
      <c r="BM166" s="443"/>
      <c r="BN166" s="443"/>
      <c r="BO166" s="443"/>
      <c r="BP166" s="443"/>
      <c r="BQ166" s="443"/>
      <c r="BR166" s="443"/>
    </row>
    <row r="167" spans="1:70" s="425" customFormat="1" ht="40" hidden="1" outlineLevel="1">
      <c r="A167" s="558" t="s">
        <v>356</v>
      </c>
      <c r="B167" s="355"/>
      <c r="C167" s="355"/>
      <c r="D167" s="1068"/>
      <c r="E167" s="355"/>
      <c r="F167" s="452"/>
      <c r="G167" s="438">
        <f>G178</f>
        <v>1600</v>
      </c>
      <c r="H167" s="354">
        <f>G167</f>
        <v>1600</v>
      </c>
      <c r="I167" s="354">
        <f t="shared" ref="I167:J167" si="255">H167</f>
        <v>1600</v>
      </c>
      <c r="J167" s="354">
        <f t="shared" si="255"/>
        <v>1600</v>
      </c>
      <c r="K167" s="498"/>
      <c r="L167" s="355"/>
      <c r="M167" s="463"/>
      <c r="N167" s="361">
        <v>0</v>
      </c>
      <c r="O167" s="361">
        <f>N167</f>
        <v>0</v>
      </c>
      <c r="P167" s="361">
        <f t="shared" ref="P167:Q167" si="256">O167</f>
        <v>0</v>
      </c>
      <c r="Q167" s="361">
        <f t="shared" si="256"/>
        <v>0</v>
      </c>
      <c r="R167" s="503"/>
      <c r="S167" s="43"/>
      <c r="T167" s="361">
        <v>0</v>
      </c>
      <c r="U167" s="361">
        <f>T167</f>
        <v>0</v>
      </c>
      <c r="V167" s="361">
        <f t="shared" ref="V167:W167" si="257">U167</f>
        <v>0</v>
      </c>
      <c r="W167" s="361">
        <f t="shared" si="257"/>
        <v>0</v>
      </c>
      <c r="X167" s="1316"/>
      <c r="Y167" s="361"/>
      <c r="Z167" s="361"/>
      <c r="AA167" s="361"/>
      <c r="AB167" s="355"/>
      <c r="AC167" s="361">
        <v>0</v>
      </c>
      <c r="AD167" s="361">
        <f>AC167</f>
        <v>0</v>
      </c>
      <c r="AE167" s="361">
        <f t="shared" ref="AE167:AG167" si="258">AD167</f>
        <v>0</v>
      </c>
      <c r="AF167" s="361">
        <f t="shared" si="258"/>
        <v>0</v>
      </c>
      <c r="AG167" s="361">
        <f t="shared" si="258"/>
        <v>0</v>
      </c>
      <c r="AH167" s="820"/>
      <c r="AI167" s="361">
        <f>N167</f>
        <v>0</v>
      </c>
      <c r="AJ167" s="361">
        <f>O167</f>
        <v>0</v>
      </c>
      <c r="AK167" s="361">
        <f>P167</f>
        <v>0</v>
      </c>
      <c r="AL167" s="361">
        <f>Q167</f>
        <v>0</v>
      </c>
      <c r="AM167" s="821"/>
      <c r="AN167" s="498"/>
      <c r="AO167" s="355"/>
      <c r="AP167" s="355"/>
      <c r="AQ167" s="355"/>
      <c r="AR167" s="355"/>
      <c r="AS167" s="355"/>
      <c r="AT167" s="355"/>
      <c r="AU167" s="43"/>
      <c r="AV167" s="43"/>
      <c r="AW167" s="43"/>
      <c r="AX167" s="43"/>
      <c r="AY167" s="43"/>
      <c r="AZ167" s="43"/>
      <c r="BG167" s="463" t="s">
        <v>141</v>
      </c>
      <c r="BH167" s="43"/>
      <c r="BI167" s="43"/>
      <c r="BJ167" s="43"/>
      <c r="BK167" s="43"/>
      <c r="BL167" s="43"/>
      <c r="BM167" s="43" t="s">
        <v>33</v>
      </c>
      <c r="BN167" s="43"/>
      <c r="BO167" s="43"/>
      <c r="BP167" s="43"/>
      <c r="BQ167" s="43"/>
      <c r="BR167" s="43"/>
    </row>
    <row r="168" spans="1:70" s="440" customFormat="1" hidden="1" outlineLevel="1">
      <c r="A168" s="161"/>
      <c r="B168" s="13"/>
      <c r="C168" s="13"/>
      <c r="D168" s="1066"/>
      <c r="E168" s="13"/>
      <c r="G168" s="812"/>
      <c r="H168" s="442"/>
      <c r="I168" s="442"/>
      <c r="J168" s="442"/>
      <c r="K168" s="520"/>
      <c r="L168" s="442"/>
      <c r="M168" s="443"/>
      <c r="N168" s="443"/>
      <c r="O168" s="443"/>
      <c r="P168" s="443"/>
      <c r="Q168" s="443"/>
      <c r="R168" s="543"/>
      <c r="S168" s="443"/>
      <c r="T168" s="442"/>
      <c r="U168" s="442"/>
      <c r="V168" s="442"/>
      <c r="W168" s="442"/>
      <c r="X168" s="520"/>
      <c r="Y168" s="442"/>
      <c r="Z168" s="442"/>
      <c r="AA168" s="442"/>
      <c r="AB168" s="442"/>
      <c r="AC168" s="442"/>
      <c r="AD168" s="442"/>
      <c r="AE168" s="442"/>
      <c r="AF168" s="442"/>
      <c r="AG168" s="442"/>
      <c r="AH168" s="843"/>
      <c r="AI168" s="442"/>
      <c r="AJ168" s="442"/>
      <c r="AK168" s="442"/>
      <c r="AL168" s="442"/>
      <c r="AM168" s="844"/>
      <c r="AN168" s="520"/>
      <c r="AO168" s="439"/>
      <c r="AP168" s="439"/>
      <c r="AQ168" s="439"/>
      <c r="AR168" s="439"/>
      <c r="AS168" s="439"/>
      <c r="AT168" s="439"/>
      <c r="AU168" s="443"/>
      <c r="AV168" s="443"/>
      <c r="AW168" s="443"/>
      <c r="AX168" s="443"/>
      <c r="AY168" s="443"/>
      <c r="AZ168" s="443"/>
      <c r="BG168" s="443"/>
      <c r="BH168" s="443"/>
      <c r="BI168" s="443"/>
      <c r="BJ168" s="443"/>
      <c r="BK168" s="443"/>
      <c r="BL168" s="443"/>
      <c r="BM168" s="443"/>
      <c r="BN168" s="443"/>
      <c r="BO168" s="443"/>
      <c r="BP168" s="443"/>
      <c r="BQ168" s="443"/>
      <c r="BR168" s="443"/>
    </row>
    <row r="169" spans="1:70" s="440" customFormat="1" hidden="1" outlineLevel="1">
      <c r="A169" s="161"/>
      <c r="B169" s="13"/>
      <c r="C169" s="13"/>
      <c r="D169" s="1066"/>
      <c r="E169" s="13"/>
      <c r="G169" s="812"/>
      <c r="H169" s="442"/>
      <c r="I169" s="442"/>
      <c r="J169" s="442"/>
      <c r="K169" s="520"/>
      <c r="L169" s="442"/>
      <c r="M169" s="443"/>
      <c r="N169" s="443"/>
      <c r="O169" s="443"/>
      <c r="P169" s="443"/>
      <c r="Q169" s="443"/>
      <c r="R169" s="543"/>
      <c r="S169" s="443"/>
      <c r="T169" s="442"/>
      <c r="U169" s="442"/>
      <c r="V169" s="442"/>
      <c r="W169" s="442"/>
      <c r="X169" s="520"/>
      <c r="Y169" s="442"/>
      <c r="Z169" s="442"/>
      <c r="AA169" s="442"/>
      <c r="AB169" s="442"/>
      <c r="AC169" s="442"/>
      <c r="AD169" s="442"/>
      <c r="AE169" s="442"/>
      <c r="AF169" s="442"/>
      <c r="AG169" s="442"/>
      <c r="AH169" s="843"/>
      <c r="AI169" s="442"/>
      <c r="AJ169" s="442"/>
      <c r="AK169" s="442"/>
      <c r="AL169" s="442"/>
      <c r="AM169" s="844"/>
      <c r="AN169" s="520"/>
      <c r="AO169" s="439"/>
      <c r="AP169" s="439"/>
      <c r="AQ169" s="439"/>
      <c r="AR169" s="439"/>
      <c r="AS169" s="439"/>
      <c r="AT169" s="439"/>
      <c r="AU169" s="443"/>
      <c r="AV169" s="443"/>
      <c r="AW169" s="443"/>
      <c r="AX169" s="443"/>
      <c r="AY169" s="443"/>
      <c r="AZ169" s="443"/>
      <c r="BG169" s="443"/>
      <c r="BH169" s="443"/>
      <c r="BI169" s="443"/>
      <c r="BJ169" s="443"/>
      <c r="BK169" s="443"/>
      <c r="BL169" s="443"/>
      <c r="BM169" s="443"/>
      <c r="BN169" s="443"/>
      <c r="BO169" s="443"/>
      <c r="BP169" s="443"/>
      <c r="BQ169" s="443"/>
      <c r="BR169" s="443"/>
    </row>
    <row r="170" spans="1:70" s="446" customFormat="1" ht="20" hidden="1" outlineLevel="1">
      <c r="A170" s="565" t="s">
        <v>362</v>
      </c>
      <c r="B170" s="383"/>
      <c r="C170" s="383"/>
      <c r="D170" s="1075"/>
      <c r="E170" s="383"/>
      <c r="F170" s="731"/>
      <c r="G170" s="384"/>
      <c r="H170" s="383"/>
      <c r="I170" s="383"/>
      <c r="J170" s="383"/>
      <c r="K170" s="523"/>
      <c r="L170" s="383"/>
      <c r="M170" s="445"/>
      <c r="N170" s="385"/>
      <c r="O170" s="385"/>
      <c r="P170" s="385"/>
      <c r="Q170" s="385"/>
      <c r="R170" s="547"/>
      <c r="S170" s="385"/>
      <c r="T170" s="385"/>
      <c r="U170" s="385"/>
      <c r="V170" s="385"/>
      <c r="W170" s="385"/>
      <c r="X170" s="547"/>
      <c r="Y170" s="385"/>
      <c r="Z170" s="385"/>
      <c r="AA170" s="385"/>
      <c r="AB170" s="383"/>
      <c r="AC170" s="383"/>
      <c r="AD170" s="383"/>
      <c r="AE170" s="383"/>
      <c r="AF170" s="383"/>
      <c r="AG170" s="383"/>
      <c r="AH170" s="839"/>
      <c r="AI170" s="383"/>
      <c r="AJ170" s="383"/>
      <c r="AK170" s="383"/>
      <c r="AL170" s="383"/>
      <c r="AM170" s="840"/>
      <c r="AN170" s="523"/>
      <c r="AO170" s="383"/>
      <c r="AP170" s="383"/>
      <c r="AQ170" s="383"/>
      <c r="AR170" s="383"/>
      <c r="AS170" s="383"/>
      <c r="AT170" s="383"/>
      <c r="AU170" s="385"/>
      <c r="AV170" s="385"/>
      <c r="AW170" s="385"/>
      <c r="AX170" s="385"/>
      <c r="AY170" s="385"/>
      <c r="AZ170" s="385"/>
      <c r="BG170" s="445" t="s">
        <v>141</v>
      </c>
      <c r="BH170" s="385"/>
      <c r="BI170" s="385"/>
      <c r="BJ170" s="385"/>
      <c r="BK170" s="385"/>
      <c r="BL170" s="385"/>
      <c r="BM170" s="385" t="s">
        <v>33</v>
      </c>
      <c r="BN170" s="385"/>
      <c r="BO170" s="385"/>
      <c r="BP170" s="385"/>
      <c r="BQ170" s="385"/>
      <c r="BR170" s="385"/>
    </row>
    <row r="171" spans="1:70" s="489" customFormat="1" ht="20" hidden="1" outlineLevel="1">
      <c r="A171" s="1049" t="s">
        <v>357</v>
      </c>
      <c r="B171" s="259"/>
      <c r="C171" s="259"/>
      <c r="D171" s="1079"/>
      <c r="E171" s="259"/>
      <c r="F171" s="728"/>
      <c r="G171" s="773">
        <v>37600</v>
      </c>
      <c r="H171" s="773">
        <f>G171</f>
        <v>37600</v>
      </c>
      <c r="I171" s="773">
        <f t="shared" ref="I171:J175" si="259">H171</f>
        <v>37600</v>
      </c>
      <c r="J171" s="773">
        <f t="shared" si="259"/>
        <v>37600</v>
      </c>
      <c r="K171" s="767"/>
      <c r="L171" s="722"/>
      <c r="M171" s="21"/>
      <c r="N171" s="768">
        <f t="shared" ref="N171:Q176" si="260">G171</f>
        <v>37600</v>
      </c>
      <c r="O171" s="768">
        <f t="shared" si="260"/>
        <v>37600</v>
      </c>
      <c r="P171" s="768">
        <f t="shared" si="260"/>
        <v>37600</v>
      </c>
      <c r="Q171" s="768">
        <f t="shared" si="260"/>
        <v>37600</v>
      </c>
      <c r="R171" s="767"/>
      <c r="S171" s="21"/>
      <c r="T171" s="768">
        <f>N171</f>
        <v>37600</v>
      </c>
      <c r="U171" s="722">
        <f>O171</f>
        <v>37600</v>
      </c>
      <c r="V171" s="722">
        <f>P171</f>
        <v>37600</v>
      </c>
      <c r="W171" s="722">
        <f>Q171</f>
        <v>37600</v>
      </c>
      <c r="X171" s="770"/>
      <c r="AH171" s="847"/>
      <c r="AM171" s="848"/>
      <c r="AN171" s="770"/>
      <c r="BH171" s="21"/>
      <c r="BI171" s="21"/>
      <c r="BJ171" s="21"/>
      <c r="BK171" s="21"/>
      <c r="BL171" s="21"/>
      <c r="BM171" s="21" t="s">
        <v>33</v>
      </c>
      <c r="BN171" s="21"/>
      <c r="BO171" s="21"/>
      <c r="BP171" s="21"/>
      <c r="BQ171" s="21"/>
      <c r="BR171" s="21"/>
    </row>
    <row r="172" spans="1:70" s="489" customFormat="1" ht="20" hidden="1" outlineLevel="1">
      <c r="A172" s="1050" t="s">
        <v>323</v>
      </c>
      <c r="B172" s="936"/>
      <c r="C172" s="936"/>
      <c r="D172" s="1080"/>
      <c r="E172" s="936"/>
      <c r="F172" s="728"/>
      <c r="G172" s="774">
        <v>13400</v>
      </c>
      <c r="H172" s="773">
        <f>G172</f>
        <v>13400</v>
      </c>
      <c r="I172" s="773">
        <f t="shared" si="259"/>
        <v>13400</v>
      </c>
      <c r="J172" s="773">
        <f t="shared" si="259"/>
        <v>13400</v>
      </c>
      <c r="K172" s="767"/>
      <c r="L172" s="722"/>
      <c r="M172" s="728"/>
      <c r="N172" s="275">
        <f>G172*(F19/M19)</f>
        <v>8933.3333333333321</v>
      </c>
      <c r="O172" s="275">
        <f>N172</f>
        <v>8933.3333333333321</v>
      </c>
      <c r="P172" s="275">
        <f>O172</f>
        <v>8933.3333333333321</v>
      </c>
      <c r="Q172" s="275">
        <f>P172</f>
        <v>8933.3333333333321</v>
      </c>
      <c r="R172" s="767"/>
      <c r="S172" s="728"/>
      <c r="T172" s="722">
        <v>13100</v>
      </c>
      <c r="U172" s="722">
        <f>T172</f>
        <v>13100</v>
      </c>
      <c r="V172" s="722">
        <f t="shared" ref="V172:W172" si="261">U172</f>
        <v>13100</v>
      </c>
      <c r="W172" s="722">
        <f t="shared" si="261"/>
        <v>13100</v>
      </c>
      <c r="X172" s="770"/>
      <c r="AH172" s="847"/>
      <c r="AM172" s="848"/>
      <c r="AN172" s="770"/>
      <c r="BH172" s="21"/>
      <c r="BI172" s="21"/>
      <c r="BJ172" s="21"/>
      <c r="BK172" s="21"/>
      <c r="BL172" s="21"/>
      <c r="BM172" s="21"/>
      <c r="BN172" s="21"/>
      <c r="BO172" s="21"/>
      <c r="BP172" s="21"/>
      <c r="BQ172" s="21"/>
      <c r="BR172" s="21"/>
    </row>
    <row r="173" spans="1:70" ht="20" hidden="1" outlineLevel="1">
      <c r="A173" s="485" t="s">
        <v>284</v>
      </c>
      <c r="B173" s="80"/>
      <c r="C173" s="80"/>
      <c r="D173" s="1081"/>
      <c r="E173" s="80"/>
      <c r="F173" s="423"/>
      <c r="G173" s="1">
        <v>5700</v>
      </c>
      <c r="H173" s="169">
        <f>G173</f>
        <v>5700</v>
      </c>
      <c r="I173" s="169">
        <f t="shared" si="259"/>
        <v>5700</v>
      </c>
      <c r="J173" s="169">
        <f t="shared" si="259"/>
        <v>5700</v>
      </c>
      <c r="K173" s="407"/>
      <c r="L173" s="169"/>
      <c r="M173" s="423"/>
      <c r="S173" s="423"/>
      <c r="T173" s="1">
        <f t="shared" ref="T173:W174" si="262">N173</f>
        <v>0</v>
      </c>
      <c r="U173" s="1">
        <f t="shared" si="262"/>
        <v>0</v>
      </c>
      <c r="V173" s="1">
        <f t="shared" si="262"/>
        <v>0</v>
      </c>
      <c r="W173" s="1">
        <f t="shared" si="262"/>
        <v>0</v>
      </c>
      <c r="X173" s="504"/>
      <c r="Y173" s="423"/>
      <c r="Z173" s="423"/>
      <c r="AA173" s="423"/>
      <c r="AB173" s="423"/>
      <c r="AC173" s="423"/>
      <c r="AD173" s="423"/>
      <c r="AE173" s="423"/>
      <c r="AF173" s="423"/>
      <c r="AG173" s="423"/>
      <c r="AH173" s="841"/>
      <c r="AI173" s="423"/>
      <c r="AJ173" s="423"/>
      <c r="AK173" s="423"/>
      <c r="AL173" s="423"/>
      <c r="AM173" s="849"/>
      <c r="AN173" s="504"/>
      <c r="AO173" s="423"/>
      <c r="AP173" s="423"/>
      <c r="AQ173" s="423"/>
      <c r="AR173" s="423"/>
      <c r="AS173" s="423"/>
      <c r="AT173" s="423"/>
      <c r="AU173" s="423"/>
      <c r="AV173" s="423"/>
      <c r="AW173" s="423"/>
      <c r="AX173" s="423"/>
      <c r="AY173" s="423"/>
      <c r="AZ173" s="423"/>
      <c r="BG173" s="423"/>
      <c r="BM173" s="14"/>
    </row>
    <row r="174" spans="1:70" ht="20" hidden="1" outlineLevel="1">
      <c r="A174" s="485" t="s">
        <v>498</v>
      </c>
      <c r="B174" s="80"/>
      <c r="C174" s="80"/>
      <c r="D174" s="1081"/>
      <c r="E174" s="80"/>
      <c r="F174" s="423"/>
      <c r="G174" s="1">
        <v>7800</v>
      </c>
      <c r="H174" s="169">
        <f>G174</f>
        <v>7800</v>
      </c>
      <c r="I174" s="169">
        <f t="shared" si="259"/>
        <v>7800</v>
      </c>
      <c r="J174" s="169">
        <f t="shared" si="259"/>
        <v>7800</v>
      </c>
      <c r="K174" s="407"/>
      <c r="L174" s="169"/>
      <c r="M174" s="423"/>
      <c r="S174" s="423"/>
      <c r="T174" s="1">
        <f t="shared" si="262"/>
        <v>0</v>
      </c>
      <c r="U174" s="1">
        <f t="shared" si="262"/>
        <v>0</v>
      </c>
      <c r="V174" s="1">
        <f t="shared" si="262"/>
        <v>0</v>
      </c>
      <c r="W174" s="1">
        <f t="shared" si="262"/>
        <v>0</v>
      </c>
      <c r="X174" s="504"/>
      <c r="Y174" s="423"/>
      <c r="Z174" s="423"/>
      <c r="AA174" s="423"/>
      <c r="AB174" s="423"/>
      <c r="AC174" s="423"/>
      <c r="AD174" s="423"/>
      <c r="AE174" s="423"/>
      <c r="AF174" s="423"/>
      <c r="AG174" s="423"/>
      <c r="AH174" s="841"/>
      <c r="AI174" s="423"/>
      <c r="AJ174" s="423"/>
      <c r="AK174" s="423"/>
      <c r="AL174" s="423"/>
      <c r="AM174" s="849"/>
      <c r="AN174" s="504"/>
      <c r="AO174" s="423"/>
      <c r="AP174" s="423"/>
      <c r="AQ174" s="423"/>
      <c r="AR174" s="423"/>
      <c r="AS174" s="423"/>
      <c r="AT174" s="423"/>
      <c r="AU174" s="423"/>
      <c r="AV174" s="423"/>
      <c r="AW174" s="423"/>
      <c r="AX174" s="423"/>
      <c r="AY174" s="423"/>
      <c r="AZ174" s="423"/>
      <c r="BG174" s="423"/>
      <c r="BM174" s="14"/>
    </row>
    <row r="175" spans="1:70" s="489" customFormat="1" ht="20" hidden="1" outlineLevel="1">
      <c r="A175" s="1051" t="s">
        <v>321</v>
      </c>
      <c r="B175" s="628"/>
      <c r="C175" s="628"/>
      <c r="D175" s="1082"/>
      <c r="E175" s="628"/>
      <c r="G175" s="722">
        <v>20900</v>
      </c>
      <c r="H175" s="722">
        <f>G175</f>
        <v>20900</v>
      </c>
      <c r="I175" s="722">
        <f t="shared" si="259"/>
        <v>20900</v>
      </c>
      <c r="J175" s="722">
        <f t="shared" si="259"/>
        <v>20900</v>
      </c>
      <c r="K175" s="767"/>
      <c r="L175" s="722"/>
      <c r="N175" s="722">
        <f t="shared" si="260"/>
        <v>20900</v>
      </c>
      <c r="O175" s="722">
        <f>N175</f>
        <v>20900</v>
      </c>
      <c r="P175" s="722">
        <f t="shared" ref="P175:Q175" si="263">O175</f>
        <v>20900</v>
      </c>
      <c r="Q175" s="722">
        <f t="shared" si="263"/>
        <v>20900</v>
      </c>
      <c r="R175" s="535"/>
      <c r="S175" s="21"/>
      <c r="T175" s="722">
        <f>N175</f>
        <v>20900</v>
      </c>
      <c r="U175" s="722">
        <f>T175</f>
        <v>20900</v>
      </c>
      <c r="V175" s="722">
        <f t="shared" ref="V175:W175" si="264">U175</f>
        <v>20900</v>
      </c>
      <c r="W175" s="722">
        <f t="shared" si="264"/>
        <v>20900</v>
      </c>
      <c r="X175" s="535"/>
      <c r="Y175" s="21"/>
      <c r="Z175" s="21"/>
      <c r="AA175" s="21"/>
      <c r="AH175" s="847"/>
      <c r="AM175" s="848"/>
      <c r="AN175" s="770"/>
      <c r="BH175" s="21"/>
      <c r="BI175" s="21"/>
      <c r="BJ175" s="21"/>
      <c r="BK175" s="21"/>
      <c r="BL175" s="21"/>
      <c r="BM175" s="21"/>
      <c r="BN175" s="21"/>
      <c r="BO175" s="21"/>
      <c r="BP175" s="21"/>
      <c r="BQ175" s="21"/>
      <c r="BR175" s="21"/>
    </row>
    <row r="176" spans="1:70" s="489" customFormat="1" ht="20" hidden="1" outlineLevel="1">
      <c r="A176" s="1051" t="s">
        <v>491</v>
      </c>
      <c r="B176" s="628"/>
      <c r="C176" s="628"/>
      <c r="D176" s="1082"/>
      <c r="E176" s="628"/>
      <c r="G176" s="722"/>
      <c r="H176" s="722"/>
      <c r="I176" s="722"/>
      <c r="J176" s="722"/>
      <c r="K176" s="767"/>
      <c r="L176" s="722"/>
      <c r="N176" s="722">
        <f t="shared" si="260"/>
        <v>0</v>
      </c>
      <c r="O176" s="722">
        <f>H176</f>
        <v>0</v>
      </c>
      <c r="P176" s="722">
        <f>I176</f>
        <v>0</v>
      </c>
      <c r="Q176" s="722">
        <f>J176</f>
        <v>0</v>
      </c>
      <c r="R176" s="535"/>
      <c r="T176" s="722">
        <f>N176</f>
        <v>0</v>
      </c>
      <c r="U176" s="722">
        <f>O176</f>
        <v>0</v>
      </c>
      <c r="V176" s="722">
        <f>P176</f>
        <v>0</v>
      </c>
      <c r="W176" s="722">
        <f>Q176</f>
        <v>0</v>
      </c>
      <c r="X176" s="535"/>
      <c r="Y176" s="21"/>
      <c r="Z176" s="21"/>
      <c r="AA176" s="21"/>
      <c r="AH176" s="847"/>
      <c r="AM176" s="848"/>
      <c r="AN176" s="770"/>
      <c r="BH176" s="21"/>
      <c r="BI176" s="21"/>
      <c r="BJ176" s="21"/>
      <c r="BK176" s="21"/>
      <c r="BL176" s="21"/>
      <c r="BM176" s="21"/>
      <c r="BN176" s="21"/>
      <c r="BO176" s="21"/>
      <c r="BP176" s="21"/>
      <c r="BQ176" s="21"/>
      <c r="BR176" s="21"/>
    </row>
    <row r="177" spans="1:70" hidden="1" outlineLevel="1">
      <c r="A177" s="1052"/>
      <c r="B177" s="273"/>
      <c r="C177" s="273"/>
      <c r="D177" s="1083"/>
      <c r="E177" s="273"/>
      <c r="F177" s="423"/>
      <c r="G177" s="169"/>
      <c r="H177" s="169"/>
      <c r="I177" s="169"/>
      <c r="J177" s="169"/>
      <c r="K177" s="407"/>
      <c r="L177" s="169"/>
      <c r="M177" s="423"/>
      <c r="S177" s="423"/>
      <c r="AB177" s="423"/>
      <c r="AC177" s="423"/>
      <c r="AD177" s="423"/>
      <c r="AE177" s="423"/>
      <c r="AF177" s="423"/>
      <c r="AG177" s="423"/>
      <c r="AH177" s="841"/>
      <c r="AI177" s="423"/>
      <c r="AJ177" s="423"/>
      <c r="AK177" s="423"/>
      <c r="AL177" s="423"/>
      <c r="AM177" s="849"/>
      <c r="AN177" s="504"/>
      <c r="AO177" s="423"/>
      <c r="AP177" s="423"/>
      <c r="AQ177" s="423"/>
      <c r="AR177" s="423"/>
      <c r="AS177" s="423"/>
      <c r="AT177" s="423"/>
      <c r="AU177" s="423"/>
      <c r="AV177" s="423"/>
      <c r="AW177" s="423"/>
      <c r="AX177" s="423"/>
      <c r="AY177" s="423"/>
      <c r="AZ177" s="423"/>
      <c r="BG177" s="423"/>
      <c r="BM177" s="14"/>
    </row>
    <row r="178" spans="1:70" s="489" customFormat="1" ht="40" hidden="1" outlineLevel="1">
      <c r="A178" s="1049" t="s">
        <v>355</v>
      </c>
      <c r="B178" s="259"/>
      <c r="C178" s="259"/>
      <c r="D178" s="1079"/>
      <c r="E178" s="259"/>
      <c r="F178" s="728"/>
      <c r="G178" s="722">
        <v>1600</v>
      </c>
      <c r="H178" s="722">
        <f>G178</f>
        <v>1600</v>
      </c>
      <c r="I178" s="722">
        <f t="shared" ref="I178:J178" si="265">H178</f>
        <v>1600</v>
      </c>
      <c r="J178" s="722">
        <f t="shared" si="265"/>
        <v>1600</v>
      </c>
      <c r="K178" s="767"/>
      <c r="L178" s="722"/>
      <c r="M178" s="21"/>
      <c r="N178" s="772">
        <f>G178</f>
        <v>1600</v>
      </c>
      <c r="O178" s="722">
        <f>H178</f>
        <v>1600</v>
      </c>
      <c r="P178" s="722">
        <f>I178</f>
        <v>1600</v>
      </c>
      <c r="Q178" s="722">
        <f>J178</f>
        <v>1600</v>
      </c>
      <c r="R178" s="767"/>
      <c r="S178" s="21"/>
      <c r="T178" s="772">
        <f>N178</f>
        <v>1600</v>
      </c>
      <c r="U178" s="722">
        <f>O178</f>
        <v>1600</v>
      </c>
      <c r="V178" s="722">
        <f>P178</f>
        <v>1600</v>
      </c>
      <c r="W178" s="722">
        <f>Q178</f>
        <v>1600</v>
      </c>
      <c r="X178" s="535"/>
      <c r="Y178" s="21"/>
      <c r="Z178" s="21"/>
      <c r="AA178" s="21"/>
      <c r="AH178" s="847"/>
      <c r="AM178" s="848"/>
      <c r="AN178" s="770"/>
      <c r="BH178" s="21"/>
      <c r="BI178" s="21"/>
      <c r="BJ178" s="21"/>
      <c r="BK178" s="21"/>
      <c r="BL178" s="21"/>
      <c r="BM178" s="21" t="s">
        <v>33</v>
      </c>
      <c r="BN178" s="21"/>
      <c r="BO178" s="21"/>
      <c r="BP178" s="21"/>
      <c r="BQ178" s="21"/>
      <c r="BR178" s="21"/>
    </row>
    <row r="179" spans="1:70" hidden="1" outlineLevel="1">
      <c r="A179" s="1047"/>
      <c r="B179" s="359"/>
      <c r="C179" s="359"/>
      <c r="D179" s="1077"/>
      <c r="E179" s="359"/>
      <c r="F179" s="423"/>
      <c r="H179" s="169"/>
      <c r="I179" s="169"/>
      <c r="J179" s="169"/>
      <c r="K179" s="407"/>
      <c r="L179" s="169"/>
      <c r="T179" s="423"/>
      <c r="AB179" s="423"/>
      <c r="AC179" s="423"/>
      <c r="AD179" s="423"/>
      <c r="AE179" s="423"/>
      <c r="AF179" s="423"/>
      <c r="AG179" s="423"/>
      <c r="AH179" s="841"/>
      <c r="AI179" s="423"/>
      <c r="AJ179" s="423"/>
      <c r="AK179" s="423"/>
      <c r="AL179" s="423"/>
      <c r="AM179" s="849"/>
      <c r="AN179" s="504"/>
      <c r="AO179" s="423"/>
      <c r="AP179" s="423"/>
      <c r="AQ179" s="423"/>
      <c r="AR179" s="423"/>
      <c r="AS179" s="423"/>
      <c r="AT179" s="423"/>
      <c r="AU179" s="423"/>
      <c r="AV179" s="423"/>
      <c r="AW179" s="423"/>
      <c r="AX179" s="423"/>
      <c r="AY179" s="423"/>
      <c r="AZ179" s="423"/>
      <c r="BG179" s="423"/>
    </row>
    <row r="180" spans="1:70" hidden="1" outlineLevel="1"/>
    <row r="181" spans="1:70" ht="20" hidden="1" outlineLevel="1">
      <c r="A181" s="558" t="s">
        <v>580</v>
      </c>
      <c r="B181" s="355"/>
      <c r="C181" s="355"/>
      <c r="D181" s="1068"/>
      <c r="E181" s="355"/>
      <c r="F181" s="423"/>
      <c r="G181" s="785">
        <f>G182/10</f>
        <v>21.2</v>
      </c>
      <c r="H181" s="785">
        <f>G181</f>
        <v>21.2</v>
      </c>
      <c r="I181" s="785">
        <f t="shared" ref="I181:J182" si="266">H181</f>
        <v>21.2</v>
      </c>
      <c r="J181" s="785">
        <f t="shared" si="266"/>
        <v>21.2</v>
      </c>
      <c r="K181" s="407"/>
      <c r="L181" s="169"/>
      <c r="N181" s="785">
        <f>J181</f>
        <v>21.2</v>
      </c>
      <c r="O181" s="785">
        <f>N181</f>
        <v>21.2</v>
      </c>
      <c r="P181" s="785">
        <f t="shared" ref="P181:Q182" si="267">O181</f>
        <v>21.2</v>
      </c>
      <c r="Q181" s="785">
        <f t="shared" si="267"/>
        <v>21.2</v>
      </c>
      <c r="T181" s="785">
        <f>G181</f>
        <v>21.2</v>
      </c>
      <c r="U181" s="785">
        <f>O181</f>
        <v>21.2</v>
      </c>
      <c r="V181" s="785">
        <f>P181</f>
        <v>21.2</v>
      </c>
      <c r="W181" s="785">
        <f>Q181</f>
        <v>21.2</v>
      </c>
      <c r="AB181" s="423"/>
      <c r="AC181" s="423"/>
      <c r="AD181" s="423"/>
      <c r="AE181" s="423"/>
      <c r="AF181" s="423"/>
      <c r="AG181" s="423"/>
      <c r="AH181" s="841"/>
      <c r="AI181" s="423"/>
      <c r="AJ181" s="423"/>
      <c r="AK181" s="423"/>
      <c r="AL181" s="423"/>
      <c r="AM181" s="849"/>
      <c r="AN181" s="504"/>
      <c r="AO181" s="423"/>
      <c r="AP181" s="423"/>
      <c r="AQ181" s="423"/>
      <c r="AR181" s="423"/>
      <c r="AS181" s="423"/>
      <c r="AT181" s="423"/>
      <c r="AU181" s="423"/>
      <c r="AV181" s="423"/>
      <c r="AW181" s="423"/>
      <c r="AX181" s="423"/>
      <c r="AY181" s="423"/>
      <c r="AZ181" s="423"/>
      <c r="BG181" s="423"/>
    </row>
    <row r="182" spans="1:70" s="489" customFormat="1" ht="20" hidden="1" outlineLevel="1">
      <c r="A182" s="1049" t="s">
        <v>495</v>
      </c>
      <c r="B182" s="259"/>
      <c r="C182" s="259"/>
      <c r="D182" s="1079"/>
      <c r="E182" s="259"/>
      <c r="G182" s="722">
        <f>'MPS др метрики'!H58</f>
        <v>212</v>
      </c>
      <c r="H182" s="722">
        <f>G182</f>
        <v>212</v>
      </c>
      <c r="I182" s="722">
        <f t="shared" si="266"/>
        <v>212</v>
      </c>
      <c r="J182" s="722">
        <f t="shared" si="266"/>
        <v>212</v>
      </c>
      <c r="K182" s="767"/>
      <c r="L182" s="722"/>
      <c r="M182" s="21"/>
      <c r="N182" s="722">
        <f>G182</f>
        <v>212</v>
      </c>
      <c r="O182" s="722">
        <f>N182</f>
        <v>212</v>
      </c>
      <c r="P182" s="722">
        <f t="shared" si="267"/>
        <v>212</v>
      </c>
      <c r="Q182" s="722">
        <f t="shared" si="267"/>
        <v>212</v>
      </c>
      <c r="R182" s="535"/>
      <c r="S182" s="1"/>
      <c r="T182" s="722">
        <f>N182</f>
        <v>212</v>
      </c>
      <c r="U182" s="722">
        <f>T182</f>
        <v>212</v>
      </c>
      <c r="V182" s="722">
        <f t="shared" ref="V182:W182" si="268">U182</f>
        <v>212</v>
      </c>
      <c r="W182" s="722">
        <f t="shared" si="268"/>
        <v>212</v>
      </c>
      <c r="X182" s="535"/>
      <c r="Y182" s="21"/>
      <c r="Z182" s="21"/>
      <c r="AA182" s="21"/>
      <c r="AB182" s="423"/>
      <c r="AC182" s="722"/>
      <c r="AD182" s="722"/>
      <c r="AE182" s="722"/>
      <c r="AF182" s="722"/>
      <c r="AH182" s="847"/>
      <c r="AI182" s="722"/>
      <c r="AJ182" s="722"/>
      <c r="AK182" s="722"/>
      <c r="AL182" s="722"/>
      <c r="AM182" s="848"/>
      <c r="AN182" s="770"/>
      <c r="BH182" s="21"/>
      <c r="BI182" s="21"/>
      <c r="BJ182" s="21"/>
      <c r="BK182" s="21"/>
      <c r="BL182" s="21"/>
      <c r="BM182" s="21"/>
      <c r="BN182" s="21"/>
      <c r="BO182" s="21"/>
      <c r="BP182" s="21"/>
      <c r="BQ182" s="21"/>
      <c r="BR182" s="21"/>
    </row>
    <row r="183" spans="1:70" hidden="1" outlineLevel="1">
      <c r="A183" s="1047"/>
      <c r="B183" s="359"/>
      <c r="C183" s="359"/>
      <c r="D183" s="1077"/>
      <c r="E183" s="359"/>
      <c r="F183" s="423"/>
      <c r="G183" s="652"/>
      <c r="H183" s="169"/>
      <c r="I183" s="169"/>
      <c r="J183" s="169"/>
      <c r="K183" s="407"/>
      <c r="L183" s="169"/>
      <c r="T183" s="423"/>
      <c r="AB183" s="423"/>
      <c r="AC183" s="423"/>
      <c r="AD183" s="423"/>
      <c r="AE183" s="423"/>
      <c r="AF183" s="423"/>
      <c r="AG183" s="423"/>
      <c r="AH183" s="841"/>
      <c r="AI183" s="423"/>
      <c r="AJ183" s="423"/>
      <c r="AK183" s="423"/>
      <c r="AL183" s="423"/>
      <c r="AM183" s="849"/>
      <c r="AN183" s="504"/>
      <c r="AO183" s="423"/>
      <c r="AP183" s="423"/>
      <c r="AQ183" s="423"/>
      <c r="AR183" s="423"/>
      <c r="AS183" s="423"/>
      <c r="AT183" s="423"/>
      <c r="AU183" s="423"/>
      <c r="AV183" s="423"/>
      <c r="AW183" s="423"/>
      <c r="AX183" s="423"/>
      <c r="AY183" s="423"/>
      <c r="AZ183" s="423"/>
      <c r="BG183" s="423"/>
    </row>
    <row r="184" spans="1:70" s="456" customFormat="1" ht="20" hidden="1" outlineLevel="1">
      <c r="A184" s="1053" t="s">
        <v>360</v>
      </c>
      <c r="B184" s="455"/>
      <c r="C184" s="455"/>
      <c r="D184" s="1084"/>
      <c r="E184" s="455"/>
      <c r="G184" s="457"/>
      <c r="H184" s="458"/>
      <c r="I184" s="458"/>
      <c r="J184" s="458"/>
      <c r="K184" s="525"/>
      <c r="L184" s="458"/>
      <c r="M184" s="457"/>
      <c r="N184" s="457"/>
      <c r="O184" s="457"/>
      <c r="P184" s="457"/>
      <c r="Q184" s="457"/>
      <c r="R184" s="549"/>
      <c r="S184" s="457"/>
      <c r="U184" s="457"/>
      <c r="V184" s="457"/>
      <c r="W184" s="457"/>
      <c r="X184" s="549"/>
      <c r="Y184" s="457"/>
      <c r="Z184" s="457"/>
      <c r="AA184" s="457"/>
      <c r="AH184" s="850"/>
      <c r="AM184" s="851"/>
      <c r="AN184" s="566"/>
      <c r="BH184" s="457"/>
      <c r="BI184" s="457"/>
      <c r="BJ184" s="457"/>
      <c r="BK184" s="457"/>
      <c r="BL184" s="457"/>
      <c r="BM184" s="457"/>
      <c r="BN184" s="457"/>
      <c r="BO184" s="457"/>
      <c r="BP184" s="457"/>
      <c r="BQ184" s="457"/>
      <c r="BR184" s="457"/>
    </row>
    <row r="185" spans="1:70" s="2" customFormat="1" hidden="1" outlineLevel="1">
      <c r="A185" s="89" t="s">
        <v>359</v>
      </c>
      <c r="B185" s="15"/>
      <c r="C185" s="15"/>
      <c r="D185" s="1085"/>
      <c r="E185" s="15"/>
      <c r="F185" s="526"/>
      <c r="G185" s="526">
        <v>400000</v>
      </c>
      <c r="H185" s="526">
        <v>400000</v>
      </c>
      <c r="I185" s="526">
        <v>400000</v>
      </c>
      <c r="J185" s="526">
        <v>400000</v>
      </c>
      <c r="K185" s="295"/>
      <c r="L185" s="1"/>
      <c r="M185" s="1"/>
      <c r="N185" s="1"/>
      <c r="O185" s="1"/>
      <c r="P185" s="1"/>
      <c r="Q185" s="1"/>
      <c r="R185" s="295"/>
      <c r="S185" s="1"/>
      <c r="T185" s="1"/>
      <c r="U185" s="1"/>
      <c r="V185" s="1"/>
      <c r="W185" s="1"/>
      <c r="X185" s="295"/>
      <c r="Y185" s="1"/>
      <c r="Z185" s="1"/>
      <c r="AA185" s="1"/>
      <c r="AB185" s="1"/>
      <c r="AC185" s="1"/>
      <c r="AD185" s="1"/>
      <c r="AE185" s="1"/>
      <c r="AF185" s="1"/>
      <c r="AG185" s="1"/>
      <c r="AH185" s="28"/>
      <c r="AI185" s="1"/>
      <c r="AJ185" s="1"/>
      <c r="AK185" s="1"/>
      <c r="AL185" s="1"/>
      <c r="AM185" s="24"/>
      <c r="AN185" s="295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</row>
    <row r="186" spans="1:70" s="2" customFormat="1" hidden="1" outlineLevel="1">
      <c r="A186" s="89" t="s">
        <v>371</v>
      </c>
      <c r="B186" s="15"/>
      <c r="C186" s="15"/>
      <c r="D186" s="1085"/>
      <c r="E186" s="15"/>
      <c r="F186" s="15"/>
      <c r="G186" s="15">
        <v>547</v>
      </c>
      <c r="H186" s="15">
        <v>547</v>
      </c>
      <c r="I186" s="15">
        <v>547</v>
      </c>
      <c r="J186" s="15">
        <v>547</v>
      </c>
      <c r="K186" s="295"/>
      <c r="L186" s="1"/>
      <c r="M186" s="1"/>
      <c r="N186" s="1"/>
      <c r="O186" s="1"/>
      <c r="P186" s="1"/>
      <c r="Q186" s="1"/>
      <c r="R186" s="295"/>
      <c r="S186" s="1"/>
      <c r="T186" s="1"/>
      <c r="U186" s="1"/>
      <c r="V186" s="1"/>
      <c r="W186" s="1"/>
      <c r="X186" s="295"/>
      <c r="Y186" s="1"/>
      <c r="Z186" s="1"/>
      <c r="AA186" s="1"/>
      <c r="AB186" s="1"/>
      <c r="AC186" s="1"/>
      <c r="AD186" s="1"/>
      <c r="AE186" s="1"/>
      <c r="AF186" s="1"/>
      <c r="AG186" s="1"/>
      <c r="AH186" s="28"/>
      <c r="AI186" s="1"/>
      <c r="AJ186" s="1"/>
      <c r="AK186" s="1"/>
      <c r="AL186" s="1"/>
      <c r="AM186" s="24"/>
      <c r="AN186" s="295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</row>
    <row r="187" spans="1:70" ht="40" hidden="1" outlineLevel="1">
      <c r="A187" s="87" t="s">
        <v>372</v>
      </c>
      <c r="F187" s="527"/>
      <c r="G187" s="527">
        <f>G185/G186</f>
        <v>731.26142595978058</v>
      </c>
      <c r="H187" s="527">
        <f t="shared" ref="H187:J187" si="269">H185/H186</f>
        <v>731.26142595978058</v>
      </c>
      <c r="I187" s="527">
        <f t="shared" si="269"/>
        <v>731.26142595978058</v>
      </c>
      <c r="J187" s="527">
        <f t="shared" si="269"/>
        <v>731.26142595978058</v>
      </c>
    </row>
    <row r="188" spans="1:70" hidden="1" outlineLevel="1"/>
    <row r="189" spans="1:70" hidden="1" outlineLevel="1">
      <c r="A189" s="89" t="s">
        <v>492</v>
      </c>
      <c r="B189" s="15"/>
      <c r="C189" s="15"/>
      <c r="D189" s="1085"/>
      <c r="E189" s="15"/>
      <c r="F189" s="527"/>
      <c r="G189" s="15">
        <v>3697</v>
      </c>
      <c r="H189" s="15">
        <v>3697</v>
      </c>
      <c r="I189" s="15">
        <v>3697</v>
      </c>
      <c r="J189" s="15">
        <v>3697</v>
      </c>
    </row>
    <row r="190" spans="1:70" ht="40" hidden="1" outlineLevel="1">
      <c r="A190" s="87" t="s">
        <v>489</v>
      </c>
      <c r="F190" s="527"/>
      <c r="G190" s="766">
        <f>G185/G189</f>
        <v>108.19583446037328</v>
      </c>
      <c r="H190" s="766">
        <f>H185/H189</f>
        <v>108.19583446037328</v>
      </c>
      <c r="I190" s="766">
        <f>I185/I189</f>
        <v>108.19583446037328</v>
      </c>
      <c r="J190" s="766">
        <f>J185/J189</f>
        <v>108.19583446037328</v>
      </c>
    </row>
    <row r="191" spans="1:70" hidden="1" outlineLevel="1">
      <c r="F191" s="527"/>
      <c r="G191" s="766"/>
      <c r="H191" s="766"/>
      <c r="I191" s="766"/>
      <c r="J191" s="766"/>
    </row>
    <row r="192" spans="1:70" ht="40" hidden="1" outlineLevel="1">
      <c r="A192" s="87" t="s">
        <v>494</v>
      </c>
      <c r="F192" s="527"/>
      <c r="G192" s="423"/>
      <c r="H192" s="766">
        <v>81</v>
      </c>
      <c r="I192" s="766">
        <v>81</v>
      </c>
      <c r="J192" s="766">
        <v>81</v>
      </c>
      <c r="N192" s="766">
        <v>81</v>
      </c>
      <c r="O192" s="766">
        <v>81</v>
      </c>
      <c r="P192" s="766">
        <v>81</v>
      </c>
      <c r="Q192" s="766">
        <v>81</v>
      </c>
      <c r="T192" s="766">
        <v>81</v>
      </c>
      <c r="U192" s="766">
        <v>81</v>
      </c>
      <c r="V192" s="766">
        <v>81</v>
      </c>
      <c r="W192" s="766">
        <v>81</v>
      </c>
      <c r="AC192" s="766"/>
      <c r="AD192" s="766"/>
      <c r="AE192" s="766"/>
      <c r="AF192" s="766"/>
    </row>
    <row r="193" spans="1:18" hidden="1" outlineLevel="1">
      <c r="G193" s="423"/>
    </row>
    <row r="194" spans="1:18" hidden="1" outlineLevel="1">
      <c r="A194" s="1133" t="s">
        <v>577</v>
      </c>
      <c r="B194" s="423"/>
      <c r="G194" s="1127">
        <v>1.5</v>
      </c>
      <c r="H194" s="1131">
        <f>G194</f>
        <v>1.5</v>
      </c>
      <c r="I194" s="1131">
        <f t="shared" ref="I194:J194" si="270">H194</f>
        <v>1.5</v>
      </c>
      <c r="J194" s="592">
        <f t="shared" si="270"/>
        <v>1.5</v>
      </c>
    </row>
    <row r="195" spans="1:18" hidden="1" outlineLevel="1">
      <c r="A195" s="1134" t="s">
        <v>578</v>
      </c>
      <c r="B195" s="423"/>
      <c r="G195" s="1129">
        <v>1.73</v>
      </c>
      <c r="H195" s="93">
        <f t="shared" ref="H195:J196" si="271">G195</f>
        <v>1.73</v>
      </c>
      <c r="I195" s="93">
        <f t="shared" si="271"/>
        <v>1.73</v>
      </c>
      <c r="J195" s="595">
        <f t="shared" si="271"/>
        <v>1.73</v>
      </c>
    </row>
    <row r="196" spans="1:18" hidden="1" outlineLevel="1">
      <c r="A196" s="1135" t="s">
        <v>579</v>
      </c>
      <c r="B196" s="423"/>
      <c r="G196" s="1130">
        <v>7.69</v>
      </c>
      <c r="H196" s="1132">
        <f t="shared" si="271"/>
        <v>7.69</v>
      </c>
      <c r="I196" s="1132">
        <f t="shared" si="271"/>
        <v>7.69</v>
      </c>
      <c r="J196" s="597">
        <f t="shared" si="271"/>
        <v>7.69</v>
      </c>
    </row>
    <row r="197" spans="1:18" hidden="1" outlineLevel="1">
      <c r="G197" s="423"/>
    </row>
    <row r="198" spans="1:18" ht="20" hidden="1" outlineLevel="1">
      <c r="A198" s="87" t="s">
        <v>598</v>
      </c>
      <c r="G198" s="1142">
        <v>0.62</v>
      </c>
    </row>
    <row r="199" spans="1:18" ht="40" hidden="1" outlineLevel="1">
      <c r="A199" s="87" t="s">
        <v>599</v>
      </c>
      <c r="B199" s="423"/>
      <c r="G199" s="154">
        <v>15542.8125</v>
      </c>
    </row>
    <row r="200" spans="1:18" hidden="1" outlineLevel="1">
      <c r="A200" s="423"/>
      <c r="B200" s="423"/>
    </row>
    <row r="201" spans="1:18" collapsed="1">
      <c r="R201" s="1152">
        <f>R78-K78</f>
        <v>115729532.74043082</v>
      </c>
    </row>
    <row r="202" spans="1:18">
      <c r="R202" s="1152">
        <f>R76-K76</f>
        <v>55895090.809428118</v>
      </c>
    </row>
  </sheetData>
  <mergeCells count="5">
    <mergeCell ref="F2:K2"/>
    <mergeCell ref="M2:R2"/>
    <mergeCell ref="AB2:AN2"/>
    <mergeCell ref="AB3:AG3"/>
    <mergeCell ref="AH3:AM3"/>
  </mergeCells>
  <pageMargins left="0.7" right="0.7" top="0.75" bottom="0.75" header="0.3" footer="0.3"/>
  <legacy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5953D6-BDF7-3749-9FFE-06A6833DA002}">
  <sheetPr codeName="Лист17"/>
  <dimension ref="A1:M15"/>
  <sheetViews>
    <sheetView workbookViewId="0">
      <selection activeCell="C21" sqref="C21"/>
    </sheetView>
  </sheetViews>
  <sheetFormatPr baseColWidth="10" defaultColWidth="10.6640625" defaultRowHeight="16"/>
  <cols>
    <col min="1" max="1" width="16.5" customWidth="1"/>
    <col min="3" max="3" width="11.5" customWidth="1"/>
  </cols>
  <sheetData>
    <row r="1" spans="1:13">
      <c r="B1" s="7" t="s">
        <v>739</v>
      </c>
    </row>
    <row r="2" spans="1:13">
      <c r="B2">
        <v>2023</v>
      </c>
      <c r="C2">
        <v>48000</v>
      </c>
    </row>
    <row r="3" spans="1:13">
      <c r="B3">
        <v>2024</v>
      </c>
      <c r="C3">
        <v>100000</v>
      </c>
      <c r="D3" t="s">
        <v>740</v>
      </c>
    </row>
    <row r="4" spans="1:13">
      <c r="A4" s="1354" t="s">
        <v>743</v>
      </c>
      <c r="B4" s="1355">
        <v>2025</v>
      </c>
      <c r="C4" s="1355">
        <v>53000</v>
      </c>
      <c r="D4" t="s">
        <v>741</v>
      </c>
    </row>
    <row r="5" spans="1:13">
      <c r="A5" s="611" t="s">
        <v>744</v>
      </c>
      <c r="B5" s="611">
        <v>2026</v>
      </c>
      <c r="C5" s="611">
        <v>15000</v>
      </c>
    </row>
    <row r="6" spans="1:13">
      <c r="M6" s="1354"/>
    </row>
    <row r="7" spans="1:13">
      <c r="C7" s="1356" t="s">
        <v>752</v>
      </c>
    </row>
    <row r="9" spans="1:13">
      <c r="B9" s="7" t="s">
        <v>737</v>
      </c>
    </row>
    <row r="10" spans="1:13">
      <c r="B10" t="s">
        <v>738</v>
      </c>
    </row>
    <row r="11" spans="1:13">
      <c r="B11" t="s">
        <v>742</v>
      </c>
    </row>
    <row r="12" spans="1:13">
      <c r="B12" t="s">
        <v>751</v>
      </c>
    </row>
    <row r="14" spans="1:13">
      <c r="B14" s="7" t="s">
        <v>736</v>
      </c>
    </row>
    <row r="15" spans="1:13">
      <c r="B15" t="s">
        <v>750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F22744-F2B0-784C-9DF4-58EF104561DB}">
  <sheetPr codeName="Лист18"/>
  <dimension ref="A1:A25"/>
  <sheetViews>
    <sheetView workbookViewId="0">
      <selection activeCell="A9" sqref="A9"/>
    </sheetView>
  </sheetViews>
  <sheetFormatPr baseColWidth="10" defaultColWidth="10.83203125" defaultRowHeight="19"/>
  <cols>
    <col min="1" max="1" width="103" style="135" customWidth="1"/>
    <col min="2" max="16384" width="10.83203125" style="172"/>
  </cols>
  <sheetData>
    <row r="1" spans="1:1" ht="20">
      <c r="A1" s="1352" t="s">
        <v>724</v>
      </c>
    </row>
    <row r="3" spans="1:1" ht="80">
      <c r="A3" s="135" t="s">
        <v>725</v>
      </c>
    </row>
    <row r="4" spans="1:1" ht="40">
      <c r="A4" s="1350" t="s">
        <v>726</v>
      </c>
    </row>
    <row r="5" spans="1:1" ht="39">
      <c r="A5" s="1349" t="s">
        <v>727</v>
      </c>
    </row>
    <row r="6" spans="1:1">
      <c r="A6" s="18"/>
    </row>
    <row r="7" spans="1:1">
      <c r="A7" s="18"/>
    </row>
    <row r="8" spans="1:1" ht="20">
      <c r="A8" s="1350" t="s">
        <v>746</v>
      </c>
    </row>
    <row r="9" spans="1:1" ht="20">
      <c r="A9" s="135" t="s">
        <v>747</v>
      </c>
    </row>
    <row r="10" spans="1:1" ht="40">
      <c r="A10" s="135" t="s">
        <v>748</v>
      </c>
    </row>
    <row r="11" spans="1:1" ht="40">
      <c r="A11" s="135" t="s">
        <v>749</v>
      </c>
    </row>
    <row r="13" spans="1:1" ht="20">
      <c r="A13" s="135" t="s">
        <v>745</v>
      </c>
    </row>
    <row r="14" spans="1:1">
      <c r="A14" s="1351"/>
    </row>
    <row r="15" spans="1:1" ht="20">
      <c r="A15" s="1353" t="s">
        <v>730</v>
      </c>
    </row>
    <row r="16" spans="1:1" ht="20">
      <c r="A16" s="1351" t="s">
        <v>728</v>
      </c>
    </row>
    <row r="17" spans="1:1" ht="20">
      <c r="A17" s="1351" t="s">
        <v>729</v>
      </c>
    </row>
    <row r="20" spans="1:1" ht="20">
      <c r="A20" s="1353" t="s">
        <v>731</v>
      </c>
    </row>
    <row r="21" spans="1:1" ht="20">
      <c r="A21" s="135" t="s">
        <v>732</v>
      </c>
    </row>
    <row r="22" spans="1:1" ht="20">
      <c r="A22" s="135" t="s">
        <v>733</v>
      </c>
    </row>
    <row r="24" spans="1:1" ht="20">
      <c r="A24" s="135" t="s">
        <v>734</v>
      </c>
    </row>
    <row r="25" spans="1:1" ht="20">
      <c r="A25" s="135" t="s">
        <v>735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8E28-DD6C-6F47-AE29-C9676FEF6CE3}">
  <sheetPr codeName="Лист19"/>
  <dimension ref="A1:L99"/>
  <sheetViews>
    <sheetView tabSelected="1" topLeftCell="A71" workbookViewId="0">
      <selection activeCell="E96" sqref="E96"/>
    </sheetView>
  </sheetViews>
  <sheetFormatPr baseColWidth="10" defaultColWidth="10.83203125" defaultRowHeight="19" outlineLevelRow="1"/>
  <cols>
    <col min="1" max="1" width="25.83203125" style="15" customWidth="1"/>
    <col min="2" max="8" width="22.5" style="15" customWidth="1"/>
    <col min="9" max="9" width="12" style="15" customWidth="1"/>
    <col min="10" max="10" width="18.5" style="15" customWidth="1"/>
    <col min="11" max="11" width="14.6640625" style="15" customWidth="1"/>
    <col min="12" max="12" width="15.1640625" style="15" customWidth="1"/>
    <col min="13" max="16384" width="10.83203125" style="15"/>
  </cols>
  <sheetData>
    <row r="1" spans="1:8" s="27" customFormat="1">
      <c r="B1" s="26" t="s">
        <v>45</v>
      </c>
    </row>
    <row r="2" spans="1:8" outlineLevel="1">
      <c r="B2" s="18" t="s">
        <v>2</v>
      </c>
    </row>
    <row r="3" spans="1:8" outlineLevel="1">
      <c r="B3" s="15" t="s">
        <v>68</v>
      </c>
    </row>
    <row r="4" spans="1:8" ht="60" outlineLevel="1">
      <c r="B4" s="3" t="s">
        <v>48</v>
      </c>
      <c r="C4" s="3" t="s">
        <v>49</v>
      </c>
      <c r="D4" s="3" t="s">
        <v>35</v>
      </c>
      <c r="E4" s="3" t="s">
        <v>36</v>
      </c>
      <c r="F4" s="3" t="s">
        <v>34</v>
      </c>
    </row>
    <row r="5" spans="1:8" outlineLevel="1">
      <c r="B5" s="17">
        <v>79000</v>
      </c>
      <c r="C5" s="17">
        <v>33000</v>
      </c>
      <c r="D5" s="17">
        <v>13000</v>
      </c>
      <c r="E5" s="17">
        <v>247000</v>
      </c>
      <c r="F5" s="17">
        <f>SUM(B5:E5)</f>
        <v>372000</v>
      </c>
    </row>
    <row r="6" spans="1:8" outlineLevel="1"/>
    <row r="7" spans="1:8" outlineLevel="1">
      <c r="B7" s="621" t="s">
        <v>46</v>
      </c>
    </row>
    <row r="8" spans="1:8" ht="76" customHeight="1" outlineLevel="1">
      <c r="B8" s="3" t="s">
        <v>48</v>
      </c>
      <c r="C8" s="3" t="s">
        <v>49</v>
      </c>
      <c r="D8" s="3" t="s">
        <v>35</v>
      </c>
      <c r="E8" s="3" t="s">
        <v>36</v>
      </c>
      <c r="F8" s="3" t="s">
        <v>34</v>
      </c>
    </row>
    <row r="9" spans="1:8" outlineLevel="1">
      <c r="B9" s="20">
        <f>B5</f>
        <v>79000</v>
      </c>
      <c r="C9" s="20">
        <f t="shared" ref="C9:F9" si="0">C5</f>
        <v>33000</v>
      </c>
      <c r="D9" s="20">
        <f t="shared" si="0"/>
        <v>13000</v>
      </c>
      <c r="E9" s="20">
        <f t="shared" si="0"/>
        <v>247000</v>
      </c>
      <c r="F9" s="20">
        <f t="shared" si="0"/>
        <v>372000</v>
      </c>
      <c r="G9" s="641"/>
    </row>
    <row r="10" spans="1:8" outlineLevel="1">
      <c r="D10" s="72"/>
      <c r="E10" s="72"/>
    </row>
    <row r="11" spans="1:8" outlineLevel="1"/>
    <row r="12" spans="1:8" s="81" customFormat="1" outlineLevel="1">
      <c r="B12" s="82" t="s">
        <v>131</v>
      </c>
      <c r="C12" s="83"/>
    </row>
    <row r="13" spans="1:8" outlineLevel="1">
      <c r="B13" s="18" t="s">
        <v>2</v>
      </c>
      <c r="C13" s="18"/>
    </row>
    <row r="14" spans="1:8" outlineLevel="1">
      <c r="B14" s="640" t="s">
        <v>430</v>
      </c>
      <c r="C14" s="18"/>
    </row>
    <row r="15" spans="1:8" ht="63" customHeight="1" outlineLevel="1">
      <c r="A15" s="989" t="s">
        <v>64</v>
      </c>
      <c r="B15" s="22" t="s">
        <v>48</v>
      </c>
      <c r="C15" s="22" t="s">
        <v>49</v>
      </c>
      <c r="D15" s="22" t="s">
        <v>35</v>
      </c>
      <c r="E15" s="22" t="s">
        <v>36</v>
      </c>
      <c r="F15" s="22" t="s">
        <v>34</v>
      </c>
      <c r="G15" s="496" t="s">
        <v>125</v>
      </c>
      <c r="H15" s="980" t="s">
        <v>572</v>
      </c>
    </row>
    <row r="16" spans="1:8" ht="63" customHeight="1" outlineLevel="1">
      <c r="A16" s="990"/>
      <c r="B16" s="1"/>
      <c r="C16" s="1"/>
      <c r="D16" s="1"/>
      <c r="E16" s="1"/>
      <c r="F16" s="1"/>
      <c r="G16" s="39"/>
      <c r="H16" s="982"/>
    </row>
    <row r="17" spans="1:12" ht="18" customHeight="1" outlineLevel="1">
      <c r="A17" s="990" t="s">
        <v>327</v>
      </c>
      <c r="B17" s="1">
        <v>7</v>
      </c>
      <c r="C17" s="1">
        <v>88</v>
      </c>
      <c r="D17" s="1"/>
      <c r="E17" s="1"/>
      <c r="F17" s="1"/>
      <c r="G17" s="992">
        <f>B17+C17</f>
        <v>95</v>
      </c>
      <c r="H17" s="991">
        <f>G17/$G$22</f>
        <v>8.2468141254904686E-4</v>
      </c>
    </row>
    <row r="18" spans="1:12" outlineLevel="1">
      <c r="A18" s="992" t="s">
        <v>429</v>
      </c>
      <c r="B18" s="1">
        <v>481</v>
      </c>
      <c r="C18" s="15">
        <v>1048</v>
      </c>
      <c r="D18" s="976" t="s">
        <v>31</v>
      </c>
      <c r="E18" s="976" t="s">
        <v>31</v>
      </c>
      <c r="F18" s="976" t="s">
        <v>31</v>
      </c>
      <c r="G18" s="992">
        <f>B18+C18</f>
        <v>1529</v>
      </c>
      <c r="H18" s="991">
        <f>G18/$G$22</f>
        <v>1.3273030313552554E-2</v>
      </c>
    </row>
    <row r="19" spans="1:12" outlineLevel="1">
      <c r="A19" s="992" t="s">
        <v>65</v>
      </c>
      <c r="B19" s="1">
        <v>6753</v>
      </c>
      <c r="C19" s="15">
        <v>7764</v>
      </c>
      <c r="D19" s="976" t="s">
        <v>31</v>
      </c>
      <c r="E19" s="976" t="s">
        <v>31</v>
      </c>
      <c r="F19" s="976" t="s">
        <v>31</v>
      </c>
      <c r="G19" s="992">
        <f t="shared" ref="G19:G21" si="1">B19+C19</f>
        <v>14517</v>
      </c>
      <c r="H19" s="991">
        <f>G19/$G$22</f>
        <v>0.12602000069446856</v>
      </c>
    </row>
    <row r="20" spans="1:12" outlineLevel="1">
      <c r="A20" s="992" t="s">
        <v>66</v>
      </c>
      <c r="B20" s="1">
        <v>56883</v>
      </c>
      <c r="C20" s="15">
        <v>42172</v>
      </c>
      <c r="D20" s="976" t="s">
        <v>31</v>
      </c>
      <c r="E20" s="976" t="s">
        <v>31</v>
      </c>
      <c r="F20" s="976" t="s">
        <v>31</v>
      </c>
      <c r="G20" s="992">
        <f t="shared" si="1"/>
        <v>99055</v>
      </c>
      <c r="H20" s="991">
        <f>G20/$G$22</f>
        <v>0.85988228757942986</v>
      </c>
    </row>
    <row r="21" spans="1:12" outlineLevel="1">
      <c r="A21" s="992" t="s">
        <v>31</v>
      </c>
      <c r="D21" s="976" t="s">
        <v>31</v>
      </c>
      <c r="E21" s="976" t="s">
        <v>31</v>
      </c>
      <c r="F21" s="976" t="s">
        <v>31</v>
      </c>
      <c r="G21" s="992">
        <f t="shared" si="1"/>
        <v>0</v>
      </c>
      <c r="H21" s="991">
        <f>G21/$G$22</f>
        <v>0</v>
      </c>
    </row>
    <row r="22" spans="1:12" outlineLevel="1">
      <c r="A22" s="986" t="s">
        <v>126</v>
      </c>
      <c r="B22" s="987">
        <f>SUM(B17:B20)</f>
        <v>64124</v>
      </c>
      <c r="C22" s="987">
        <f>SUM(C17:C20)</f>
        <v>51072</v>
      </c>
      <c r="D22" s="987"/>
      <c r="E22" s="987"/>
      <c r="F22" s="987"/>
      <c r="G22" s="986">
        <f>SUM(G17:G20)</f>
        <v>115196</v>
      </c>
      <c r="H22" s="993"/>
    </row>
    <row r="23" spans="1:12" outlineLevel="1">
      <c r="B23" s="72"/>
    </row>
    <row r="24" spans="1:12" outlineLevel="1">
      <c r="B24" s="72"/>
    </row>
    <row r="25" spans="1:12" ht="60" outlineLevel="1">
      <c r="A25" s="978" t="s">
        <v>64</v>
      </c>
      <c r="B25" s="22" t="s">
        <v>48</v>
      </c>
      <c r="C25" s="22" t="s">
        <v>49</v>
      </c>
      <c r="D25" s="22" t="s">
        <v>35</v>
      </c>
      <c r="E25" s="22" t="s">
        <v>36</v>
      </c>
      <c r="F25" s="22" t="s">
        <v>34</v>
      </c>
      <c r="G25" s="978" t="s">
        <v>571</v>
      </c>
      <c r="H25" s="980" t="s">
        <v>572</v>
      </c>
      <c r="J25" s="15" t="s">
        <v>608</v>
      </c>
    </row>
    <row r="26" spans="1:12" ht="40" outlineLevel="1">
      <c r="A26" s="981"/>
      <c r="G26" s="992"/>
      <c r="H26" s="982"/>
      <c r="J26" s="16" t="s">
        <v>64</v>
      </c>
      <c r="K26" s="16" t="s">
        <v>607</v>
      </c>
      <c r="L26" s="1169" t="s">
        <v>572</v>
      </c>
    </row>
    <row r="27" spans="1:12" outlineLevel="1">
      <c r="A27" s="981" t="s">
        <v>573</v>
      </c>
      <c r="B27" s="15">
        <v>7</v>
      </c>
      <c r="C27" s="15">
        <v>88</v>
      </c>
      <c r="G27" s="975">
        <f t="shared" ref="G27:G32" si="2">B27+C27</f>
        <v>95</v>
      </c>
      <c r="H27" s="983">
        <f t="shared" ref="H27:H33" si="3">G27/$G$33</f>
        <v>8.2468857155258474E-4</v>
      </c>
      <c r="J27" s="984" t="s">
        <v>573</v>
      </c>
      <c r="K27" s="1170">
        <f t="shared" ref="K27:K32" si="4">F27+G27</f>
        <v>95</v>
      </c>
      <c r="L27" s="1171">
        <f t="shared" ref="L27:L33" si="5">K27/$G$33</f>
        <v>8.2468857155258474E-4</v>
      </c>
    </row>
    <row r="28" spans="1:12" outlineLevel="1">
      <c r="A28" s="981" t="s">
        <v>560</v>
      </c>
      <c r="B28" s="15">
        <v>481</v>
      </c>
      <c r="C28" s="15">
        <v>1048</v>
      </c>
      <c r="G28" s="975">
        <f t="shared" si="2"/>
        <v>1529</v>
      </c>
      <c r="H28" s="983">
        <f t="shared" si="3"/>
        <v>1.3273145535830548E-2</v>
      </c>
      <c r="J28" s="984" t="s">
        <v>560</v>
      </c>
      <c r="K28" s="1170">
        <f t="shared" si="4"/>
        <v>1529</v>
      </c>
      <c r="L28" s="1171">
        <f t="shared" si="5"/>
        <v>1.3273145535830548E-2</v>
      </c>
    </row>
    <row r="29" spans="1:12" outlineLevel="1">
      <c r="A29" s="984" t="s">
        <v>561</v>
      </c>
      <c r="B29" s="977">
        <v>6753</v>
      </c>
      <c r="C29" s="977">
        <v>7763</v>
      </c>
      <c r="G29" s="994">
        <f t="shared" si="2"/>
        <v>14516</v>
      </c>
      <c r="H29" s="985">
        <f t="shared" si="3"/>
        <v>0.12601241373323496</v>
      </c>
      <c r="J29" s="1173" t="s">
        <v>561</v>
      </c>
      <c r="K29" s="1174">
        <f t="shared" si="4"/>
        <v>14516</v>
      </c>
      <c r="L29" s="1175">
        <f t="shared" si="5"/>
        <v>0.12601241373323496</v>
      </c>
    </row>
    <row r="30" spans="1:12" outlineLevel="1">
      <c r="A30" s="984" t="s">
        <v>562</v>
      </c>
      <c r="B30" s="977">
        <v>5224</v>
      </c>
      <c r="C30" s="977">
        <v>4371</v>
      </c>
      <c r="G30" s="994">
        <f t="shared" si="2"/>
        <v>9595</v>
      </c>
      <c r="H30" s="985">
        <f t="shared" si="3"/>
        <v>8.3293545726811066E-2</v>
      </c>
      <c r="I30" s="72"/>
      <c r="J30" s="1173" t="s">
        <v>562</v>
      </c>
      <c r="K30" s="1174">
        <f t="shared" si="4"/>
        <v>9595</v>
      </c>
      <c r="L30" s="1175">
        <f t="shared" si="5"/>
        <v>8.3293545726811066E-2</v>
      </c>
    </row>
    <row r="31" spans="1:12" outlineLevel="1">
      <c r="A31" s="984" t="s">
        <v>559</v>
      </c>
      <c r="B31" s="977">
        <v>18240</v>
      </c>
      <c r="C31" s="977">
        <v>11402</v>
      </c>
      <c r="G31" s="994">
        <f t="shared" si="2"/>
        <v>29642</v>
      </c>
      <c r="H31" s="985">
        <f t="shared" si="3"/>
        <v>0.2573201961890707</v>
      </c>
      <c r="J31" s="1173" t="s">
        <v>559</v>
      </c>
      <c r="K31" s="1174">
        <f t="shared" si="4"/>
        <v>29642</v>
      </c>
      <c r="L31" s="1175">
        <f t="shared" si="5"/>
        <v>0.2573201961890707</v>
      </c>
    </row>
    <row r="32" spans="1:12" outlineLevel="1">
      <c r="A32" s="981" t="s">
        <v>563</v>
      </c>
      <c r="B32" s="15">
        <v>33419</v>
      </c>
      <c r="C32" s="15">
        <v>26399</v>
      </c>
      <c r="G32" s="975">
        <f t="shared" si="2"/>
        <v>59818</v>
      </c>
      <c r="H32" s="1124">
        <f t="shared" si="3"/>
        <v>0.51927601024350012</v>
      </c>
      <c r="J32" s="981" t="s">
        <v>563</v>
      </c>
      <c r="K32" s="992">
        <f t="shared" si="4"/>
        <v>59818</v>
      </c>
      <c r="L32" s="1172">
        <f t="shared" si="5"/>
        <v>0.51927601024350012</v>
      </c>
    </row>
    <row r="33" spans="1:12" outlineLevel="1">
      <c r="A33" s="986" t="s">
        <v>126</v>
      </c>
      <c r="B33" s="987">
        <f>SUM(B27:B32)</f>
        <v>64124</v>
      </c>
      <c r="C33" s="987">
        <f>SUM(C27:C32)</f>
        <v>51071</v>
      </c>
      <c r="D33" s="987"/>
      <c r="E33" s="987"/>
      <c r="F33" s="987"/>
      <c r="G33" s="995">
        <f>SUM(G27:G32)</f>
        <v>115195</v>
      </c>
      <c r="H33" s="988">
        <f t="shared" si="3"/>
        <v>1</v>
      </c>
      <c r="J33" s="986" t="s">
        <v>126</v>
      </c>
      <c r="K33" s="986">
        <f>SUM(K27:K32)</f>
        <v>115195</v>
      </c>
      <c r="L33" s="1010">
        <f t="shared" si="5"/>
        <v>1</v>
      </c>
    </row>
    <row r="34" spans="1:12" outlineLevel="1">
      <c r="B34" s="72"/>
    </row>
    <row r="35" spans="1:12" outlineLevel="1">
      <c r="B35" s="18"/>
    </row>
    <row r="36" spans="1:12">
      <c r="B36" s="15" t="s">
        <v>68</v>
      </c>
    </row>
    <row r="37" spans="1:12" ht="60">
      <c r="A37" s="29" t="s">
        <v>64</v>
      </c>
      <c r="B37" s="3" t="s">
        <v>48</v>
      </c>
      <c r="C37" s="3" t="s">
        <v>49</v>
      </c>
      <c r="D37" s="3" t="s">
        <v>35</v>
      </c>
      <c r="E37" s="3" t="s">
        <v>36</v>
      </c>
      <c r="F37" s="3" t="s">
        <v>34</v>
      </c>
      <c r="G37" s="60" t="s">
        <v>125</v>
      </c>
    </row>
    <row r="38" spans="1:12" ht="20">
      <c r="A38" s="29" t="s">
        <v>327</v>
      </c>
      <c r="B38" s="645">
        <f>B17/$B$22</f>
        <v>1.0916349572702888E-4</v>
      </c>
      <c r="C38" s="645">
        <f>C17/$C$22</f>
        <v>1.7230576441102756E-3</v>
      </c>
      <c r="D38" s="646">
        <f>G38</f>
        <v>8.2468141254904686E-4</v>
      </c>
      <c r="E38" s="646">
        <f>G38</f>
        <v>8.2468141254904686E-4</v>
      </c>
      <c r="F38" s="646">
        <f>G38</f>
        <v>8.2468141254904686E-4</v>
      </c>
      <c r="G38" s="70">
        <f>G17/$G$22</f>
        <v>8.2468141254904686E-4</v>
      </c>
    </row>
    <row r="39" spans="1:12">
      <c r="A39" s="17" t="s">
        <v>429</v>
      </c>
      <c r="B39" s="645">
        <f>B18/$B$22</f>
        <v>7.5010916349572705E-3</v>
      </c>
      <c r="C39" s="645">
        <f>C18/$C$22</f>
        <v>2.0520050125313282E-2</v>
      </c>
      <c r="D39" s="645">
        <f>G39</f>
        <v>1.3273030313552554E-2</v>
      </c>
      <c r="E39" s="645">
        <f>G39</f>
        <v>1.3273030313552554E-2</v>
      </c>
      <c r="F39" s="645">
        <f>G39</f>
        <v>1.3273030313552554E-2</v>
      </c>
      <c r="G39" s="70">
        <f>G18/$G$22</f>
        <v>1.3273030313552554E-2</v>
      </c>
    </row>
    <row r="40" spans="1:12">
      <c r="A40" s="17" t="s">
        <v>65</v>
      </c>
      <c r="B40" s="645">
        <f>B19/$B$22</f>
        <v>0.10531158380637515</v>
      </c>
      <c r="C40" s="645">
        <f>C19/$C$22</f>
        <v>0.15202067669172933</v>
      </c>
      <c r="D40" s="645">
        <f t="shared" ref="D40:D41" si="6">G40</f>
        <v>0.12602000069446856</v>
      </c>
      <c r="E40" s="645">
        <f t="shared" ref="E40:E41" si="7">G40</f>
        <v>0.12602000069446856</v>
      </c>
      <c r="F40" s="645">
        <f t="shared" ref="F40:F41" si="8">G40</f>
        <v>0.12602000069446856</v>
      </c>
      <c r="G40" s="70">
        <f>G19/$G$22</f>
        <v>0.12602000069446856</v>
      </c>
    </row>
    <row r="41" spans="1:12">
      <c r="A41" s="17" t="s">
        <v>66</v>
      </c>
      <c r="B41" s="645">
        <f>B20/$B$22</f>
        <v>0.88707816106294057</v>
      </c>
      <c r="C41" s="645">
        <f>C20/$C$22</f>
        <v>0.82573621553884713</v>
      </c>
      <c r="D41" s="645">
        <f t="shared" si="6"/>
        <v>0.85988228757942986</v>
      </c>
      <c r="E41" s="645">
        <f t="shared" si="7"/>
        <v>0.85988228757942986</v>
      </c>
      <c r="F41" s="645">
        <f t="shared" si="8"/>
        <v>0.85988228757942986</v>
      </c>
      <c r="G41" s="70">
        <f>G20/$G$22</f>
        <v>0.85988228757942986</v>
      </c>
    </row>
    <row r="42" spans="1:12">
      <c r="A42" s="17" t="s">
        <v>31</v>
      </c>
      <c r="B42" s="70"/>
      <c r="C42" s="70"/>
      <c r="D42" s="70"/>
      <c r="E42" s="70"/>
      <c r="F42" s="70"/>
      <c r="G42" s="70">
        <f>G21/$G$22</f>
        <v>0</v>
      </c>
    </row>
    <row r="43" spans="1:12">
      <c r="B43" s="122"/>
      <c r="C43" s="122"/>
      <c r="D43" s="122"/>
      <c r="E43" s="122"/>
      <c r="F43" s="122"/>
      <c r="G43" s="122"/>
    </row>
    <row r="44" spans="1:12">
      <c r="B44" s="122"/>
      <c r="C44" s="122"/>
      <c r="D44" s="122"/>
      <c r="E44" s="122"/>
      <c r="F44" s="122"/>
      <c r="G44" s="122"/>
    </row>
    <row r="45" spans="1:12" ht="60">
      <c r="A45" s="978" t="s">
        <v>64</v>
      </c>
      <c r="B45" s="22" t="s">
        <v>48</v>
      </c>
      <c r="C45" s="22" t="s">
        <v>49</v>
      </c>
      <c r="D45" s="22" t="s">
        <v>35</v>
      </c>
      <c r="E45" s="22" t="s">
        <v>36</v>
      </c>
      <c r="F45" s="22" t="s">
        <v>34</v>
      </c>
      <c r="G45" s="996" t="s">
        <v>571</v>
      </c>
    </row>
    <row r="46" spans="1:12">
      <c r="A46" s="981"/>
      <c r="G46" s="997"/>
    </row>
    <row r="47" spans="1:12">
      <c r="A47" s="981" t="s">
        <v>573</v>
      </c>
      <c r="B47" s="122">
        <f>B27/$B$33</f>
        <v>1.0916349572702888E-4</v>
      </c>
      <c r="C47" s="122">
        <f>C27/$C$33</f>
        <v>1.7230913825850287E-3</v>
      </c>
      <c r="G47" s="998">
        <f>G27/$G$33</f>
        <v>8.2468857155258474E-4</v>
      </c>
    </row>
    <row r="48" spans="1:12">
      <c r="A48" s="981" t="s">
        <v>560</v>
      </c>
      <c r="B48" s="122">
        <f t="shared" ref="B48:B53" si="9">B28/$B$33</f>
        <v>7.5010916349572705E-3</v>
      </c>
      <c r="C48" s="122">
        <f t="shared" ref="C48:C53" si="10">C28/$C$33</f>
        <v>2.052045191987625E-2</v>
      </c>
      <c r="G48" s="998">
        <f t="shared" ref="G48:G53" si="11">G28/$G$33</f>
        <v>1.3273145535830548E-2</v>
      </c>
    </row>
    <row r="49" spans="1:12">
      <c r="A49" s="981" t="s">
        <v>561</v>
      </c>
      <c r="B49" s="122">
        <f t="shared" si="9"/>
        <v>0.10531158380637515</v>
      </c>
      <c r="C49" s="122">
        <f t="shared" si="10"/>
        <v>0.15200407276144975</v>
      </c>
      <c r="G49" s="998">
        <f t="shared" si="11"/>
        <v>0.12601241373323496</v>
      </c>
    </row>
    <row r="50" spans="1:12">
      <c r="A50" s="984" t="s">
        <v>562</v>
      </c>
      <c r="B50" s="1000">
        <f t="shared" si="9"/>
        <v>8.1467157382571265E-2</v>
      </c>
      <c r="C50" s="1000">
        <f t="shared" si="10"/>
        <v>8.5586732196354098E-2</v>
      </c>
      <c r="D50" s="977"/>
      <c r="E50" s="977"/>
      <c r="F50" s="977"/>
      <c r="G50" s="1001">
        <f t="shared" si="11"/>
        <v>8.3293545726811066E-2</v>
      </c>
    </row>
    <row r="51" spans="1:12">
      <c r="A51" s="984" t="s">
        <v>559</v>
      </c>
      <c r="B51" s="1000">
        <f t="shared" si="9"/>
        <v>0.28444888029442955</v>
      </c>
      <c r="C51" s="1000">
        <f t="shared" si="10"/>
        <v>0.2232578175481193</v>
      </c>
      <c r="D51" s="977"/>
      <c r="E51" s="977"/>
      <c r="F51" s="977"/>
      <c r="G51" s="1001">
        <f t="shared" si="11"/>
        <v>0.2573201961890707</v>
      </c>
    </row>
    <row r="52" spans="1:12" ht="21" customHeight="1">
      <c r="A52" s="984" t="s">
        <v>563</v>
      </c>
      <c r="B52" s="1000">
        <f t="shared" si="9"/>
        <v>0.5211621233859397</v>
      </c>
      <c r="C52" s="1000">
        <f t="shared" si="10"/>
        <v>0.51690783419161557</v>
      </c>
      <c r="D52" s="977"/>
      <c r="E52" s="977"/>
      <c r="F52" s="977"/>
      <c r="G52" s="1001">
        <f t="shared" si="11"/>
        <v>0.51927601024350012</v>
      </c>
    </row>
    <row r="53" spans="1:12">
      <c r="A53" s="986" t="s">
        <v>126</v>
      </c>
      <c r="B53" s="1002">
        <f t="shared" si="9"/>
        <v>1</v>
      </c>
      <c r="C53" s="1002">
        <f t="shared" si="10"/>
        <v>1</v>
      </c>
      <c r="D53" s="987"/>
      <c r="E53" s="987"/>
      <c r="F53" s="987"/>
      <c r="G53" s="999">
        <f t="shared" si="11"/>
        <v>1</v>
      </c>
    </row>
    <row r="55" spans="1:12" s="622" customFormat="1">
      <c r="A55" s="623" t="s">
        <v>417</v>
      </c>
      <c r="J55" s="622" t="s">
        <v>546</v>
      </c>
    </row>
    <row r="56" spans="1:12">
      <c r="B56" s="15" t="s">
        <v>68</v>
      </c>
      <c r="C56" s="18"/>
    </row>
    <row r="57" spans="1:12" ht="60">
      <c r="A57" s="989" t="s">
        <v>64</v>
      </c>
      <c r="B57" s="22" t="s">
        <v>48</v>
      </c>
      <c r="C57" s="22" t="s">
        <v>49</v>
      </c>
      <c r="D57" s="22" t="s">
        <v>35</v>
      </c>
      <c r="E57" s="22" t="s">
        <v>36</v>
      </c>
      <c r="F57" s="22" t="s">
        <v>34</v>
      </c>
      <c r="G57" s="496" t="s">
        <v>125</v>
      </c>
      <c r="H57" s="1016" t="s">
        <v>572</v>
      </c>
      <c r="J57" s="1004" t="s">
        <v>64</v>
      </c>
      <c r="K57" s="1005" t="s">
        <v>547</v>
      </c>
      <c r="L57" s="1006" t="s">
        <v>548</v>
      </c>
    </row>
    <row r="58" spans="1:12" ht="20">
      <c r="A58" s="990" t="s">
        <v>327</v>
      </c>
      <c r="B58" s="154">
        <f t="shared" ref="B58:E61" si="12">B$9*B38</f>
        <v>8.6239161624352825</v>
      </c>
      <c r="C58" s="154">
        <f t="shared" si="12"/>
        <v>56.860902255639097</v>
      </c>
      <c r="D58" s="154">
        <f t="shared" si="12"/>
        <v>10.720858363137609</v>
      </c>
      <c r="E58" s="154">
        <f t="shared" si="12"/>
        <v>203.69630889961456</v>
      </c>
      <c r="F58" s="1"/>
      <c r="G58" s="1014">
        <f>B58+C58</f>
        <v>65.484818418074383</v>
      </c>
      <c r="H58" s="991">
        <f>G58/$G$63</f>
        <v>5.8468587873280694E-4</v>
      </c>
      <c r="J58" s="1004" t="s">
        <v>327</v>
      </c>
      <c r="K58" s="1007">
        <v>8.2468141254904686E-4</v>
      </c>
      <c r="L58" s="1008">
        <v>95</v>
      </c>
    </row>
    <row r="59" spans="1:12">
      <c r="A59" s="992" t="s">
        <v>429</v>
      </c>
      <c r="B59" s="154">
        <f t="shared" si="12"/>
        <v>592.58623916162435</v>
      </c>
      <c r="C59" s="154">
        <f t="shared" si="12"/>
        <v>677.16165413533827</v>
      </c>
      <c r="D59" s="154">
        <f t="shared" si="12"/>
        <v>172.54939407618321</v>
      </c>
      <c r="E59" s="154">
        <f t="shared" si="12"/>
        <v>3278.4384874474808</v>
      </c>
      <c r="F59" s="1011">
        <f>SUM(B59:E59)</f>
        <v>4720.7357748206268</v>
      </c>
      <c r="G59" s="1014">
        <f>B59+C59</f>
        <v>1269.7478932969625</v>
      </c>
      <c r="H59" s="991">
        <f>G59/$G$63</f>
        <v>1.1337034761580022E-2</v>
      </c>
      <c r="J59" s="1008" t="s">
        <v>429</v>
      </c>
      <c r="K59" s="1007">
        <v>1.3273030313552554E-2</v>
      </c>
      <c r="L59" s="1008">
        <v>1529</v>
      </c>
    </row>
    <row r="60" spans="1:12">
      <c r="A60" s="992" t="s">
        <v>65</v>
      </c>
      <c r="B60" s="154">
        <f t="shared" si="12"/>
        <v>8319.6151207036364</v>
      </c>
      <c r="C60" s="154">
        <f t="shared" si="12"/>
        <v>5016.6823308270677</v>
      </c>
      <c r="D60" s="154">
        <f t="shared" si="12"/>
        <v>1638.2600090280912</v>
      </c>
      <c r="E60" s="154">
        <f t="shared" si="12"/>
        <v>31126.940171533734</v>
      </c>
      <c r="F60" s="1011">
        <f t="shared" ref="F60:F62" si="13">SUM(B60:E60)</f>
        <v>46101.497632092527</v>
      </c>
      <c r="G60" s="1014">
        <f>B60+C60</f>
        <v>13336.297451530703</v>
      </c>
      <c r="H60" s="991">
        <f t="shared" ref="H60:H62" si="14">G60/$G$63</f>
        <v>0.119074084388667</v>
      </c>
      <c r="J60" s="1008" t="s">
        <v>65</v>
      </c>
      <c r="K60" s="1007">
        <v>0.12602000069446856</v>
      </c>
      <c r="L60" s="1008">
        <v>14517</v>
      </c>
    </row>
    <row r="61" spans="1:12">
      <c r="A61" s="992" t="s">
        <v>66</v>
      </c>
      <c r="B61" s="154">
        <f t="shared" si="12"/>
        <v>70079.174723972304</v>
      </c>
      <c r="C61" s="154">
        <f t="shared" si="12"/>
        <v>27249.295112781954</v>
      </c>
      <c r="D61" s="154">
        <f t="shared" si="12"/>
        <v>11178.469738532589</v>
      </c>
      <c r="E61" s="154">
        <f t="shared" si="12"/>
        <v>212390.92503211918</v>
      </c>
      <c r="F61" s="1011">
        <f t="shared" si="13"/>
        <v>320897.86460740602</v>
      </c>
      <c r="G61" s="1014">
        <f>B61+C61</f>
        <v>97328.469836754259</v>
      </c>
      <c r="H61" s="991">
        <f t="shared" si="14"/>
        <v>0.86900419497102022</v>
      </c>
      <c r="J61" s="1008" t="s">
        <v>66</v>
      </c>
      <c r="K61" s="1009">
        <v>0.85988228757942986</v>
      </c>
      <c r="L61" s="1008">
        <v>99055</v>
      </c>
    </row>
    <row r="62" spans="1:12">
      <c r="A62" s="986" t="s">
        <v>31</v>
      </c>
      <c r="B62" s="987"/>
      <c r="C62" s="987"/>
      <c r="D62" s="1012">
        <f t="shared" ref="D62:E62" si="15">D$9*D42</f>
        <v>0</v>
      </c>
      <c r="E62" s="1012">
        <f t="shared" si="15"/>
        <v>0</v>
      </c>
      <c r="F62" s="1013">
        <f t="shared" si="13"/>
        <v>0</v>
      </c>
      <c r="G62" s="1015">
        <f>B62+C62</f>
        <v>0</v>
      </c>
      <c r="H62" s="1010">
        <f t="shared" si="14"/>
        <v>0</v>
      </c>
      <c r="J62" s="1008" t="s">
        <v>420</v>
      </c>
      <c r="K62" s="1009">
        <v>1</v>
      </c>
      <c r="L62" s="1008">
        <v>115196</v>
      </c>
    </row>
    <row r="63" spans="1:12">
      <c r="A63" s="625" t="s">
        <v>143</v>
      </c>
      <c r="B63" s="642">
        <f>SUM(B58:B61)</f>
        <v>79000</v>
      </c>
      <c r="C63" s="642">
        <f t="shared" ref="C63:G63" si="16">SUM(C58:C61)</f>
        <v>33000</v>
      </c>
      <c r="D63" s="1003">
        <f t="shared" si="16"/>
        <v>13000</v>
      </c>
      <c r="E63" s="1003">
        <f t="shared" si="16"/>
        <v>247000</v>
      </c>
      <c r="F63" s="642">
        <f t="shared" si="16"/>
        <v>371720.0980143192</v>
      </c>
      <c r="G63" s="642">
        <f t="shared" si="16"/>
        <v>112000</v>
      </c>
      <c r="K63" s="69"/>
    </row>
    <row r="64" spans="1:12" s="2" customFormat="1" ht="120" hidden="1" outlineLevel="1">
      <c r="A64" s="1208" t="s">
        <v>431</v>
      </c>
      <c r="B64" s="624" t="s">
        <v>1</v>
      </c>
      <c r="C64" s="624" t="s">
        <v>1</v>
      </c>
      <c r="D64" s="1209">
        <v>0.14000000000000001</v>
      </c>
      <c r="E64" s="1210">
        <v>1.4999999999999999E-2</v>
      </c>
    </row>
    <row r="65" spans="1:7" ht="20" collapsed="1">
      <c r="A65" s="1193" t="s">
        <v>615</v>
      </c>
      <c r="B65" s="1194"/>
      <c r="C65" s="1194"/>
      <c r="D65" s="1195"/>
      <c r="E65" s="1196"/>
      <c r="G65" s="69"/>
    </row>
    <row r="66" spans="1:7">
      <c r="A66" s="1129" t="s">
        <v>616</v>
      </c>
      <c r="B66" s="95"/>
      <c r="C66" s="95"/>
      <c r="D66" s="1197">
        <v>1690</v>
      </c>
      <c r="E66" s="1198">
        <v>2472</v>
      </c>
    </row>
    <row r="67" spans="1:7">
      <c r="A67" s="1129" t="s">
        <v>617</v>
      </c>
      <c r="B67" s="1199"/>
      <c r="C67" s="1199"/>
      <c r="D67" s="954">
        <f>D64*D63</f>
        <v>1820.0000000000002</v>
      </c>
      <c r="E67" s="1200">
        <f>E64*E63</f>
        <v>3705</v>
      </c>
    </row>
    <row r="68" spans="1:7">
      <c r="A68" s="176"/>
      <c r="B68" s="172"/>
      <c r="C68" s="172"/>
      <c r="D68" s="1201">
        <f>D69/D67</f>
        <v>7.142857142857155E-2</v>
      </c>
      <c r="E68" s="1202">
        <f>E69/E67</f>
        <v>0.33279352226720649</v>
      </c>
    </row>
    <row r="69" spans="1:7" ht="35">
      <c r="A69" s="1203" t="s">
        <v>618</v>
      </c>
      <c r="B69" s="182"/>
      <c r="C69" s="182"/>
      <c r="D69" s="1204">
        <f>D67-D66</f>
        <v>130.00000000000023</v>
      </c>
      <c r="E69" s="1205">
        <f>E67-E66</f>
        <v>1233</v>
      </c>
    </row>
    <row r="70" spans="1:7">
      <c r="A70" s="1206"/>
      <c r="B70" s="172"/>
      <c r="C70" s="172"/>
      <c r="D70" s="1207"/>
      <c r="E70" s="1207"/>
    </row>
    <row r="71" spans="1:7">
      <c r="A71" s="1206"/>
      <c r="B71" s="172"/>
      <c r="C71" s="172"/>
      <c r="D71" s="1207"/>
      <c r="E71" s="1207"/>
    </row>
    <row r="72" spans="1:7">
      <c r="A72" s="1206"/>
      <c r="B72" s="172"/>
      <c r="C72" s="172"/>
      <c r="D72" s="1207"/>
      <c r="E72" s="1207"/>
    </row>
    <row r="73" spans="1:7">
      <c r="A73" s="978">
        <v>2026</v>
      </c>
      <c r="B73" s="979" t="s">
        <v>437</v>
      </c>
      <c r="C73" s="979" t="s">
        <v>438</v>
      </c>
      <c r="D73" s="980" t="s">
        <v>226</v>
      </c>
    </row>
    <row r="74" spans="1:7">
      <c r="A74" s="992" t="s">
        <v>433</v>
      </c>
      <c r="B74" s="15">
        <v>1031</v>
      </c>
      <c r="C74" s="15">
        <v>36</v>
      </c>
      <c r="D74" s="1017">
        <f>C74/B74</f>
        <v>3.4917555771096023E-2</v>
      </c>
    </row>
    <row r="75" spans="1:7">
      <c r="A75" s="992" t="s">
        <v>434</v>
      </c>
      <c r="B75" s="15">
        <v>958</v>
      </c>
      <c r="C75" s="15">
        <v>31</v>
      </c>
      <c r="D75" s="1017">
        <f>C75/B75</f>
        <v>3.2359081419624215E-2</v>
      </c>
    </row>
    <row r="76" spans="1:7">
      <c r="A76" s="992" t="s">
        <v>435</v>
      </c>
      <c r="B76" s="15">
        <v>1023</v>
      </c>
      <c r="C76" s="15">
        <v>7</v>
      </c>
      <c r="D76" s="1017">
        <f>C76/B76</f>
        <v>6.8426197458455523E-3</v>
      </c>
    </row>
    <row r="77" spans="1:7">
      <c r="A77" s="986" t="s">
        <v>436</v>
      </c>
      <c r="B77" s="1013">
        <f>AVERAGE(B74:B76)</f>
        <v>1004</v>
      </c>
      <c r="C77" s="1013">
        <f>AVERAGE(C74:C76)</f>
        <v>24.666666666666668</v>
      </c>
      <c r="D77" s="1018">
        <f>C77/B77</f>
        <v>2.4568393094289511E-2</v>
      </c>
    </row>
    <row r="79" spans="1:7">
      <c r="D79" s="647" t="s">
        <v>439</v>
      </c>
    </row>
    <row r="85" spans="1:5">
      <c r="A85" s="15" t="s">
        <v>650</v>
      </c>
    </row>
    <row r="86" spans="1:5">
      <c r="B86" s="15" t="s">
        <v>1163</v>
      </c>
      <c r="C86" s="15" t="s">
        <v>399</v>
      </c>
      <c r="E86" s="15" t="s">
        <v>1166</v>
      </c>
    </row>
    <row r="87" spans="1:5">
      <c r="A87" s="1322" t="s">
        <v>651</v>
      </c>
      <c r="B87" s="1323">
        <v>4149</v>
      </c>
      <c r="C87" s="15">
        <v>33419</v>
      </c>
      <c r="D87" s="2087">
        <f>B87*C87</f>
        <v>138655431</v>
      </c>
      <c r="E87" s="2087">
        <f>D87/C87</f>
        <v>4149</v>
      </c>
    </row>
    <row r="88" spans="1:5">
      <c r="A88" s="1322" t="s">
        <v>652</v>
      </c>
      <c r="B88" s="1323">
        <v>6747</v>
      </c>
      <c r="C88" s="15">
        <v>18240</v>
      </c>
      <c r="D88" s="2087">
        <f t="shared" ref="D88:D92" si="17">B88*C88</f>
        <v>123065280</v>
      </c>
      <c r="E88" s="2087">
        <f t="shared" ref="E88:E93" si="18">D88/C88</f>
        <v>6747</v>
      </c>
    </row>
    <row r="89" spans="1:5">
      <c r="A89" s="254" t="s">
        <v>653</v>
      </c>
      <c r="B89" s="15">
        <v>20058</v>
      </c>
      <c r="C89" s="15">
        <v>5224</v>
      </c>
      <c r="D89" s="2087">
        <f t="shared" si="17"/>
        <v>104782992</v>
      </c>
      <c r="E89" s="2087">
        <f t="shared" si="18"/>
        <v>20058</v>
      </c>
    </row>
    <row r="90" spans="1:5">
      <c r="A90" s="254" t="s">
        <v>654</v>
      </c>
      <c r="B90" s="15">
        <v>21687</v>
      </c>
      <c r="C90" s="15">
        <v>6753</v>
      </c>
      <c r="D90" s="2087">
        <f t="shared" si="17"/>
        <v>146452311</v>
      </c>
      <c r="E90" s="2087">
        <f t="shared" si="18"/>
        <v>21687</v>
      </c>
    </row>
    <row r="91" spans="1:5">
      <c r="A91" s="254" t="s">
        <v>655</v>
      </c>
      <c r="B91" s="15">
        <v>73743</v>
      </c>
      <c r="C91" s="15">
        <v>481</v>
      </c>
      <c r="D91" s="2087">
        <f t="shared" si="17"/>
        <v>35470383</v>
      </c>
      <c r="E91" s="2087">
        <f t="shared" si="18"/>
        <v>73743</v>
      </c>
    </row>
    <row r="92" spans="1:5">
      <c r="A92" s="254" t="s">
        <v>656</v>
      </c>
      <c r="B92" s="15">
        <v>117174</v>
      </c>
      <c r="C92" s="15">
        <v>7</v>
      </c>
      <c r="D92" s="2087">
        <f t="shared" si="17"/>
        <v>820218</v>
      </c>
      <c r="E92" s="2087">
        <f t="shared" si="18"/>
        <v>117174</v>
      </c>
    </row>
    <row r="93" spans="1:5">
      <c r="B93" s="2087">
        <f>SUM(B87:B92)</f>
        <v>243558</v>
      </c>
      <c r="C93" s="1011">
        <f>SUM(C87:C92)</f>
        <v>64124</v>
      </c>
      <c r="D93" s="2087">
        <f>SUM(D87:D92)</f>
        <v>549246615</v>
      </c>
      <c r="E93" s="2087">
        <f t="shared" si="18"/>
        <v>8565.3829299482259</v>
      </c>
    </row>
    <row r="95" spans="1:5">
      <c r="A95" s="164" t="s">
        <v>1164</v>
      </c>
      <c r="B95" s="164"/>
      <c r="C95" s="164"/>
      <c r="E95" s="2088">
        <f>D93/C93</f>
        <v>8565.3829299482259</v>
      </c>
    </row>
    <row r="96" spans="1:5">
      <c r="E96" s="164" t="s">
        <v>1165</v>
      </c>
    </row>
    <row r="97" spans="1:1">
      <c r="A97" s="953"/>
    </row>
    <row r="98" spans="1:1" ht="20">
      <c r="A98" s="952"/>
    </row>
    <row r="99" spans="1:1" ht="20">
      <c r="A99" s="952"/>
    </row>
  </sheetData>
  <pageMargins left="0.7" right="0.7" top="0.75" bottom="0.75" header="0.3" footer="0.3"/>
  <pageSetup paperSize="9" orientation="portrait" horizontalDpi="0" verticalDpi="0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95860D-0E76-644F-A1B2-233A30180411}">
  <sheetPr codeName="Лист20"/>
  <dimension ref="A1:BM177"/>
  <sheetViews>
    <sheetView topLeftCell="J15" workbookViewId="0">
      <selection activeCell="AB177" sqref="AB177"/>
    </sheetView>
  </sheetViews>
  <sheetFormatPr baseColWidth="10" defaultColWidth="10.83203125" defaultRowHeight="19" outlineLevelRow="1" outlineLevelCol="1"/>
  <cols>
    <col min="1" max="1" width="58.83203125" style="732" customWidth="1"/>
    <col min="2" max="2" width="18.33203125" style="1" hidden="1" customWidth="1" outlineLevel="1"/>
    <col min="3" max="3" width="14.33203125" style="1" hidden="1" customWidth="1" outlineLevel="1"/>
    <col min="4" max="4" width="15.33203125" style="1" customWidth="1" collapsed="1"/>
    <col min="5" max="5" width="16" style="2" customWidth="1"/>
    <col min="6" max="9" width="19.33203125" style="1" hidden="1" customWidth="1" outlineLevel="1"/>
    <col min="10" max="10" width="20.5" style="295" customWidth="1" collapsed="1"/>
    <col min="11" max="11" width="17" style="87" customWidth="1"/>
    <col min="12" max="15" width="17" style="1" hidden="1" customWidth="1" outlineLevel="1"/>
    <col min="16" max="16" width="18.1640625" style="295" customWidth="1" collapsed="1"/>
    <col min="17" max="17" width="17" style="87" customWidth="1"/>
    <col min="18" max="20" width="17" style="1" hidden="1" customWidth="1" outlineLevel="1"/>
    <col min="21" max="21" width="17.33203125" style="1" hidden="1" customWidth="1" outlineLevel="1"/>
    <col min="22" max="22" width="16.5" style="1" customWidth="1" collapsed="1"/>
    <col min="23" max="23" width="14.33203125" style="87" customWidth="1"/>
    <col min="24" max="27" width="14.33203125" style="1" hidden="1" customWidth="1" outlineLevel="1"/>
    <col min="28" max="28" width="14.33203125" style="1" customWidth="1" collapsed="1"/>
    <col min="29" max="29" width="14.33203125" style="28" customWidth="1"/>
    <col min="30" max="33" width="14.33203125" style="1" hidden="1" customWidth="1" outlineLevel="1"/>
    <col min="34" max="34" width="14.33203125" style="24" customWidth="1" collapsed="1"/>
    <col min="35" max="35" width="17" style="295" customWidth="1"/>
    <col min="36" max="40" width="11.83203125" style="1" customWidth="1"/>
    <col min="41" max="41" width="13.83203125" style="1" customWidth="1"/>
    <col min="42" max="42" width="16.33203125" style="1" customWidth="1"/>
    <col min="43" max="47" width="17" style="1" customWidth="1"/>
    <col min="48" max="53" width="10.83203125" style="423"/>
    <col min="54" max="65" width="17" style="1" customWidth="1"/>
    <col min="66" max="16384" width="10.83203125" style="423"/>
  </cols>
  <sheetData>
    <row r="1" spans="1:65" s="799" customFormat="1" ht="41" thickBot="1">
      <c r="A1" s="937" t="s">
        <v>535</v>
      </c>
      <c r="B1" s="1"/>
      <c r="C1" s="1"/>
      <c r="D1" s="1"/>
      <c r="E1" s="309" t="s">
        <v>314</v>
      </c>
      <c r="F1" s="670"/>
      <c r="G1" s="310"/>
      <c r="H1" s="310"/>
      <c r="I1" s="310"/>
      <c r="J1" s="852"/>
      <c r="K1" s="669" t="s">
        <v>315</v>
      </c>
      <c r="L1" s="670"/>
      <c r="M1" s="310"/>
      <c r="N1" s="310"/>
      <c r="O1" s="310"/>
      <c r="P1" s="852"/>
      <c r="Q1" s="669" t="s">
        <v>401</v>
      </c>
      <c r="R1" s="670"/>
      <c r="S1" s="310"/>
      <c r="T1" s="310"/>
      <c r="U1" s="310"/>
      <c r="V1" s="310"/>
      <c r="W1" s="2113" t="s">
        <v>448</v>
      </c>
      <c r="X1" s="2114"/>
      <c r="Y1" s="2114"/>
      <c r="Z1" s="2114"/>
      <c r="AA1" s="2114"/>
      <c r="AB1" s="2114"/>
      <c r="AC1" s="2106"/>
      <c r="AD1" s="2106"/>
      <c r="AE1" s="2106"/>
      <c r="AF1" s="2106"/>
      <c r="AG1" s="2106"/>
      <c r="AH1" s="2106"/>
      <c r="AI1" s="2115"/>
      <c r="AJ1" s="853" t="s">
        <v>316</v>
      </c>
      <c r="AK1" s="854"/>
      <c r="AL1" s="855"/>
      <c r="AM1" s="855"/>
      <c r="AN1" s="855"/>
      <c r="AO1" s="856"/>
      <c r="AP1" s="857" t="s">
        <v>317</v>
      </c>
      <c r="AQ1" s="854"/>
      <c r="AR1" s="855"/>
      <c r="AS1" s="855"/>
      <c r="AT1" s="855"/>
      <c r="AU1" s="856"/>
    </row>
    <row r="2" spans="1:65" s="454" customFormat="1" ht="21" customHeight="1" thickBot="1">
      <c r="A2" s="858"/>
      <c r="B2" s="88"/>
      <c r="C2" s="88"/>
      <c r="D2" s="88"/>
      <c r="E2" s="859"/>
      <c r="F2" s="88"/>
      <c r="G2" s="860"/>
      <c r="H2" s="860"/>
      <c r="I2" s="860"/>
      <c r="J2" s="861"/>
      <c r="K2" s="862"/>
      <c r="L2" s="88"/>
      <c r="M2" s="860"/>
      <c r="N2" s="860"/>
      <c r="O2" s="860"/>
      <c r="P2" s="861"/>
      <c r="Q2" s="863"/>
      <c r="R2" s="864"/>
      <c r="S2" s="865"/>
      <c r="T2" s="865"/>
      <c r="U2" s="865"/>
      <c r="V2" s="865"/>
      <c r="W2" s="2116" t="s">
        <v>447</v>
      </c>
      <c r="X2" s="2117"/>
      <c r="Y2" s="2117"/>
      <c r="Z2" s="2117"/>
      <c r="AA2" s="2117"/>
      <c r="AB2" s="2117"/>
      <c r="AC2" s="2118" t="s">
        <v>446</v>
      </c>
      <c r="AD2" s="2119"/>
      <c r="AE2" s="2119"/>
      <c r="AF2" s="2119"/>
      <c r="AG2" s="2119"/>
      <c r="AH2" s="2120"/>
      <c r="AI2" s="866"/>
      <c r="AJ2" s="867"/>
      <c r="AK2" s="88"/>
      <c r="AL2" s="860"/>
      <c r="AM2" s="860"/>
      <c r="AN2" s="860"/>
      <c r="AO2" s="868"/>
      <c r="AP2" s="867"/>
      <c r="AQ2" s="88"/>
      <c r="AR2" s="860"/>
      <c r="AS2" s="860"/>
      <c r="AT2" s="860"/>
      <c r="AU2" s="868"/>
    </row>
    <row r="3" spans="1:65" s="578" customFormat="1" ht="114" customHeight="1">
      <c r="A3" s="733" t="s">
        <v>39</v>
      </c>
      <c r="B3" s="347" t="s">
        <v>536</v>
      </c>
      <c r="C3" s="347" t="s">
        <v>536</v>
      </c>
      <c r="D3" s="347"/>
      <c r="E3" s="627" t="s">
        <v>402</v>
      </c>
      <c r="F3" s="347" t="s">
        <v>37</v>
      </c>
      <c r="G3" s="347" t="s">
        <v>214</v>
      </c>
      <c r="H3" s="347" t="s">
        <v>210</v>
      </c>
      <c r="I3" s="347" t="s">
        <v>209</v>
      </c>
      <c r="J3" s="348" t="s">
        <v>420</v>
      </c>
      <c r="K3" s="577" t="s">
        <v>402</v>
      </c>
      <c r="L3" s="347" t="s">
        <v>301</v>
      </c>
      <c r="M3" s="347" t="s">
        <v>302</v>
      </c>
      <c r="N3" s="347" t="s">
        <v>303</v>
      </c>
      <c r="O3" s="347" t="s">
        <v>304</v>
      </c>
      <c r="P3" s="348" t="s">
        <v>420</v>
      </c>
      <c r="Q3" s="577" t="s">
        <v>402</v>
      </c>
      <c r="R3" s="347" t="s">
        <v>301</v>
      </c>
      <c r="S3" s="347" t="s">
        <v>302</v>
      </c>
      <c r="T3" s="347" t="s">
        <v>303</v>
      </c>
      <c r="U3" s="347" t="s">
        <v>304</v>
      </c>
      <c r="V3" s="347" t="s">
        <v>420</v>
      </c>
      <c r="W3" s="659" t="s">
        <v>402</v>
      </c>
      <c r="X3" s="85" t="s">
        <v>301</v>
      </c>
      <c r="Y3" s="85" t="s">
        <v>302</v>
      </c>
      <c r="Z3" s="85" t="s">
        <v>303</v>
      </c>
      <c r="AA3" s="85" t="s">
        <v>304</v>
      </c>
      <c r="AB3" s="85" t="s">
        <v>443</v>
      </c>
      <c r="AC3" s="661" t="s">
        <v>402</v>
      </c>
      <c r="AD3" s="85" t="s">
        <v>301</v>
      </c>
      <c r="AE3" s="85" t="s">
        <v>302</v>
      </c>
      <c r="AF3" s="85" t="s">
        <v>303</v>
      </c>
      <c r="AG3" s="85" t="s">
        <v>304</v>
      </c>
      <c r="AH3" s="660" t="s">
        <v>444</v>
      </c>
      <c r="AI3" s="680" t="s">
        <v>445</v>
      </c>
      <c r="AJ3" s="627" t="s">
        <v>402</v>
      </c>
      <c r="AK3" s="347" t="s">
        <v>301</v>
      </c>
      <c r="AL3" s="347" t="s">
        <v>302</v>
      </c>
      <c r="AM3" s="347" t="s">
        <v>303</v>
      </c>
      <c r="AN3" s="347" t="s">
        <v>304</v>
      </c>
      <c r="AO3" s="412" t="s">
        <v>34</v>
      </c>
      <c r="AP3" s="411" t="s">
        <v>127</v>
      </c>
      <c r="AQ3" s="347" t="s">
        <v>301</v>
      </c>
      <c r="AR3" s="347" t="s">
        <v>302</v>
      </c>
      <c r="AS3" s="347" t="s">
        <v>303</v>
      </c>
      <c r="AT3" s="347" t="s">
        <v>304</v>
      </c>
      <c r="AU3" s="412" t="s">
        <v>34</v>
      </c>
    </row>
    <row r="4" spans="1:65" ht="20">
      <c r="A4" s="732" t="s">
        <v>45</v>
      </c>
      <c r="E4" s="789">
        <v>1</v>
      </c>
      <c r="F4" s="1">
        <f>'База селлеров'!B63</f>
        <v>79000</v>
      </c>
      <c r="G4" s="1">
        <f>'База селлеров'!C63</f>
        <v>33000</v>
      </c>
      <c r="H4" s="1">
        <f>'База селлеров'!D65</f>
        <v>0</v>
      </c>
      <c r="I4" s="1">
        <f>'База селлеров'!E65</f>
        <v>0</v>
      </c>
      <c r="J4" s="297">
        <f>SUM(F4:I4)</f>
        <v>112000</v>
      </c>
      <c r="K4" s="296">
        <f>E4</f>
        <v>1</v>
      </c>
      <c r="L4" s="1">
        <f>F4</f>
        <v>79000</v>
      </c>
      <c r="M4" s="1">
        <f t="shared" ref="M4:O4" si="0">G4</f>
        <v>33000</v>
      </c>
      <c r="N4" s="1">
        <f t="shared" si="0"/>
        <v>0</v>
      </c>
      <c r="O4" s="1">
        <f t="shared" si="0"/>
        <v>0</v>
      </c>
      <c r="P4" s="297">
        <f>SUM(L4:O4)</f>
        <v>112000</v>
      </c>
      <c r="Q4" s="296">
        <f>K4</f>
        <v>1</v>
      </c>
      <c r="R4" s="1">
        <f>L4</f>
        <v>79000</v>
      </c>
      <c r="S4" s="1">
        <f>M4</f>
        <v>33000</v>
      </c>
      <c r="T4" s="1">
        <f>N4</f>
        <v>0</v>
      </c>
      <c r="U4" s="1">
        <f>O4</f>
        <v>0</v>
      </c>
      <c r="V4" s="13">
        <f>SUM(R4:U4)</f>
        <v>112000</v>
      </c>
      <c r="X4" s="154">
        <f>R4*R67</f>
        <v>70079.174723972304</v>
      </c>
      <c r="Y4" s="154">
        <f>S4*S67</f>
        <v>27249.295112781954</v>
      </c>
      <c r="Z4" s="154">
        <f>T4*T67</f>
        <v>0</v>
      </c>
      <c r="AA4" s="154">
        <f>U4*U67</f>
        <v>0</v>
      </c>
      <c r="AB4" s="279">
        <f>SUM(X4:AA4)</f>
        <v>97328.469836754259</v>
      </c>
      <c r="AD4" s="154">
        <f>R4-X4</f>
        <v>8920.8252760276955</v>
      </c>
      <c r="AE4" s="154">
        <f t="shared" ref="AE4:AG4" si="1">S4-Y4</f>
        <v>5750.7048872180458</v>
      </c>
      <c r="AF4" s="154">
        <f t="shared" si="1"/>
        <v>0</v>
      </c>
      <c r="AG4" s="154">
        <f t="shared" si="1"/>
        <v>0</v>
      </c>
      <c r="AH4" s="681">
        <f>SUM(AD4:AG4)</f>
        <v>14671.530163245741</v>
      </c>
      <c r="AI4" s="301">
        <f>AB4+AH4</f>
        <v>112000</v>
      </c>
      <c r="AO4" s="24"/>
      <c r="AP4" s="28"/>
      <c r="AQ4" s="1">
        <f>R4</f>
        <v>79000</v>
      </c>
      <c r="AR4" s="1">
        <f>S4</f>
        <v>33000</v>
      </c>
      <c r="AS4" s="1">
        <f>T4</f>
        <v>0</v>
      </c>
      <c r="AT4" s="1">
        <f>U4</f>
        <v>0</v>
      </c>
      <c r="AU4" s="24">
        <f>V4</f>
        <v>112000</v>
      </c>
      <c r="BB4" s="423"/>
      <c r="BC4" s="423"/>
      <c r="BD4" s="423"/>
      <c r="BE4" s="423"/>
      <c r="BF4" s="423"/>
      <c r="BG4" s="423"/>
      <c r="BH4" s="423"/>
      <c r="BI4" s="423"/>
      <c r="BJ4" s="423"/>
      <c r="BK4" s="423"/>
      <c r="BL4" s="423"/>
      <c r="BM4" s="423"/>
    </row>
    <row r="5" spans="1:65" s="272" customFormat="1" ht="20" hidden="1" outlineLevel="1">
      <c r="A5" s="734" t="s">
        <v>318</v>
      </c>
      <c r="B5" s="1"/>
      <c r="C5" s="1"/>
      <c r="D5" s="662"/>
      <c r="E5" s="790"/>
      <c r="F5" s="662"/>
      <c r="G5" s="662"/>
      <c r="H5" s="285">
        <f>'База селлеров'!D67</f>
        <v>1820.0000000000002</v>
      </c>
      <c r="I5" s="285">
        <f>'База селлеров'!E67</f>
        <v>3705</v>
      </c>
      <c r="J5" s="350"/>
      <c r="K5" s="351"/>
      <c r="L5" s="662"/>
      <c r="M5" s="662"/>
      <c r="N5" s="285">
        <f>H5</f>
        <v>1820.0000000000002</v>
      </c>
      <c r="O5" s="285">
        <f>I5</f>
        <v>3705</v>
      </c>
      <c r="P5" s="350"/>
      <c r="Q5" s="351"/>
      <c r="R5" s="662"/>
      <c r="S5" s="662"/>
      <c r="T5" s="285">
        <f>N5</f>
        <v>1820.0000000000002</v>
      </c>
      <c r="U5" s="285">
        <f>O5</f>
        <v>3705</v>
      </c>
      <c r="V5" s="663"/>
      <c r="W5" s="351"/>
      <c r="X5" s="662"/>
      <c r="Y5" s="662"/>
      <c r="Z5" s="285">
        <f>'База селлеров'!D66*Гипотезы_v1!W4</f>
        <v>0</v>
      </c>
      <c r="AA5" s="285">
        <f>'База селлеров'!E66*Гипотезы_v1!X4</f>
        <v>0</v>
      </c>
      <c r="AB5" s="662"/>
      <c r="AC5" s="470"/>
      <c r="AD5" s="663"/>
      <c r="AE5" s="662"/>
      <c r="AF5" s="285">
        <f>AF4*'База селлеров'!D66</f>
        <v>0</v>
      </c>
      <c r="AG5" s="285">
        <f>AG4*'База селлеров'!E66</f>
        <v>0</v>
      </c>
      <c r="AH5" s="352"/>
      <c r="AI5" s="637"/>
      <c r="AJ5" s="662"/>
      <c r="AK5" s="662"/>
      <c r="AL5" s="662"/>
      <c r="AM5" s="662"/>
      <c r="AN5" s="662"/>
      <c r="AO5" s="352"/>
      <c r="AP5" s="470"/>
      <c r="AQ5" s="662"/>
      <c r="AR5" s="662"/>
      <c r="AS5" s="662"/>
      <c r="AT5" s="662"/>
      <c r="AU5" s="352"/>
    </row>
    <row r="6" spans="1:65" ht="20" collapsed="1">
      <c r="A6" s="735" t="s">
        <v>325</v>
      </c>
      <c r="C6" s="644">
        <v>1</v>
      </c>
      <c r="D6" s="644" t="s">
        <v>542</v>
      </c>
      <c r="E6" s="791">
        <v>0.8</v>
      </c>
      <c r="F6" s="1">
        <f>F4*$E$6</f>
        <v>63200</v>
      </c>
      <c r="G6" s="1">
        <f>G4*$E$6</f>
        <v>26400</v>
      </c>
      <c r="H6" s="1">
        <f>H4*$E$6</f>
        <v>0</v>
      </c>
      <c r="I6" s="1">
        <f>I4*$E$6</f>
        <v>0</v>
      </c>
      <c r="J6" s="297">
        <f>SUM(F6:I6)</f>
        <v>89600</v>
      </c>
      <c r="K6" s="298">
        <f>E6</f>
        <v>0.8</v>
      </c>
      <c r="L6" s="1">
        <f>F6</f>
        <v>63200</v>
      </c>
      <c r="M6" s="1">
        <f t="shared" ref="M6:O6" si="2">G6</f>
        <v>26400</v>
      </c>
      <c r="N6" s="1">
        <f t="shared" si="2"/>
        <v>0</v>
      </c>
      <c r="O6" s="1">
        <f t="shared" si="2"/>
        <v>0</v>
      </c>
      <c r="P6" s="297">
        <f>SUM(L6:O6)</f>
        <v>89600</v>
      </c>
      <c r="Q6" s="298">
        <f>K6</f>
        <v>0.8</v>
      </c>
      <c r="R6" s="1">
        <f>L6</f>
        <v>63200</v>
      </c>
      <c r="S6" s="1">
        <f t="shared" ref="S6:U6" si="3">M6</f>
        <v>26400</v>
      </c>
      <c r="T6" s="1">
        <f t="shared" si="3"/>
        <v>0</v>
      </c>
      <c r="U6" s="1">
        <f t="shared" si="3"/>
        <v>0</v>
      </c>
      <c r="V6" s="13">
        <f>SUM(R6:U6)</f>
        <v>89600</v>
      </c>
      <c r="W6" s="296">
        <f>Q6</f>
        <v>0.8</v>
      </c>
      <c r="X6" s="154">
        <f>$W$6*X4</f>
        <v>56063.339779177848</v>
      </c>
      <c r="Y6" s="154">
        <f t="shared" ref="Y6:AA6" si="4">$W$6*Y4</f>
        <v>21799.436090225565</v>
      </c>
      <c r="Z6" s="154">
        <f t="shared" si="4"/>
        <v>0</v>
      </c>
      <c r="AA6" s="154">
        <f t="shared" si="4"/>
        <v>0</v>
      </c>
      <c r="AB6" s="279">
        <f>SUM(X6:AA6)</f>
        <v>77862.775869403413</v>
      </c>
      <c r="AC6" s="283">
        <f>K6</f>
        <v>0.8</v>
      </c>
      <c r="AD6" s="154">
        <f>$AC$6*AD4</f>
        <v>7136.6602208221566</v>
      </c>
      <c r="AE6" s="154">
        <f t="shared" ref="AE6:AG6" si="5">$AC$6*AE4</f>
        <v>4600.563909774437</v>
      </c>
      <c r="AF6" s="154">
        <f t="shared" si="5"/>
        <v>0</v>
      </c>
      <c r="AG6" s="154">
        <f t="shared" si="5"/>
        <v>0</v>
      </c>
      <c r="AH6" s="681">
        <f>SUM(AD6:AG6)</f>
        <v>11737.224130596594</v>
      </c>
      <c r="AI6" s="301">
        <f>AB6+AH6</f>
        <v>89600</v>
      </c>
      <c r="AO6" s="24"/>
      <c r="AP6" s="28"/>
      <c r="AT6" s="1">
        <f>AT4</f>
        <v>0</v>
      </c>
      <c r="AU6" s="24">
        <f>AU4</f>
        <v>112000</v>
      </c>
      <c r="BB6" s="423"/>
      <c r="BC6" s="423"/>
      <c r="BD6" s="423"/>
      <c r="BE6" s="423"/>
      <c r="BF6" s="423"/>
      <c r="BG6" s="423"/>
      <c r="BH6" s="423"/>
      <c r="BI6" s="423"/>
      <c r="BJ6" s="423"/>
      <c r="BK6" s="423"/>
      <c r="BL6" s="423"/>
      <c r="BM6" s="423"/>
    </row>
    <row r="7" spans="1:65" ht="20" hidden="1" outlineLevel="1">
      <c r="A7" s="732" t="s">
        <v>0</v>
      </c>
      <c r="E7" s="790"/>
      <c r="F7" s="285"/>
      <c r="G7" s="285"/>
      <c r="H7" s="285"/>
      <c r="I7" s="285"/>
      <c r="J7" s="346"/>
      <c r="K7" s="296"/>
      <c r="L7" s="154"/>
      <c r="M7" s="154"/>
      <c r="N7" s="154"/>
      <c r="O7" s="154"/>
      <c r="P7" s="299"/>
      <c r="AO7" s="24"/>
      <c r="AP7" s="28"/>
      <c r="AU7" s="24"/>
      <c r="BB7" s="423"/>
      <c r="BC7" s="423"/>
      <c r="BD7" s="423"/>
      <c r="BE7" s="423"/>
      <c r="BF7" s="423"/>
      <c r="BG7" s="423"/>
      <c r="BH7" s="423"/>
      <c r="BI7" s="423"/>
      <c r="BJ7" s="423"/>
      <c r="BK7" s="423"/>
      <c r="BL7" s="423"/>
      <c r="BM7" s="423"/>
    </row>
    <row r="8" spans="1:65" ht="20" hidden="1" outlineLevel="1">
      <c r="A8" s="732" t="s">
        <v>55</v>
      </c>
      <c r="E8" s="789"/>
      <c r="J8" s="297"/>
      <c r="K8" s="296"/>
      <c r="AO8" s="24"/>
      <c r="AP8" s="28"/>
      <c r="AU8" s="24"/>
      <c r="BB8" s="423"/>
      <c r="BC8" s="423"/>
      <c r="BD8" s="423"/>
      <c r="BE8" s="423"/>
      <c r="BF8" s="423"/>
      <c r="BG8" s="423"/>
      <c r="BH8" s="423"/>
      <c r="BI8" s="423"/>
      <c r="BJ8" s="423"/>
      <c r="BK8" s="423"/>
      <c r="BL8" s="423"/>
      <c r="BM8" s="423"/>
    </row>
    <row r="9" spans="1:65" ht="20" hidden="1" outlineLevel="1">
      <c r="A9" s="732" t="s">
        <v>53</v>
      </c>
      <c r="E9" s="789"/>
      <c r="J9" s="297"/>
      <c r="K9" s="296"/>
      <c r="AO9" s="24"/>
      <c r="AP9" s="28"/>
      <c r="AU9" s="24"/>
      <c r="BB9" s="423"/>
      <c r="BC9" s="423"/>
      <c r="BD9" s="423"/>
      <c r="BE9" s="423"/>
      <c r="BF9" s="423"/>
      <c r="BG9" s="423"/>
      <c r="BH9" s="423"/>
      <c r="BI9" s="423"/>
      <c r="BJ9" s="423"/>
      <c r="BK9" s="423"/>
      <c r="BL9" s="423"/>
      <c r="BM9" s="423"/>
    </row>
    <row r="10" spans="1:65" ht="20" hidden="1" outlineLevel="1">
      <c r="A10" s="732" t="s">
        <v>38</v>
      </c>
      <c r="E10" s="789"/>
      <c r="J10" s="297"/>
      <c r="K10" s="296"/>
      <c r="AO10" s="24"/>
      <c r="AP10" s="28"/>
      <c r="AU10" s="24"/>
      <c r="BB10" s="423"/>
      <c r="BC10" s="423"/>
      <c r="BD10" s="423"/>
      <c r="BE10" s="423"/>
      <c r="BF10" s="423"/>
      <c r="BG10" s="423"/>
      <c r="BH10" s="423"/>
      <c r="BI10" s="423"/>
      <c r="BJ10" s="423"/>
      <c r="BK10" s="423"/>
      <c r="BL10" s="423"/>
      <c r="BM10" s="423"/>
    </row>
    <row r="11" spans="1:65" ht="20" hidden="1" outlineLevel="1">
      <c r="A11" s="732" t="s">
        <v>124</v>
      </c>
      <c r="E11" s="790"/>
      <c r="F11" s="285"/>
      <c r="G11" s="285"/>
      <c r="H11" s="285"/>
      <c r="I11" s="285"/>
      <c r="J11" s="346"/>
      <c r="K11" s="296"/>
      <c r="L11" s="154"/>
      <c r="M11" s="154"/>
      <c r="N11" s="154"/>
      <c r="O11" s="154"/>
      <c r="P11" s="299"/>
      <c r="AO11" s="24"/>
      <c r="AP11" s="28"/>
      <c r="AU11" s="24"/>
      <c r="BB11" s="423"/>
      <c r="BC11" s="423"/>
      <c r="BD11" s="423"/>
      <c r="BE11" s="423"/>
      <c r="BF11" s="423"/>
      <c r="BG11" s="423"/>
      <c r="BH11" s="423"/>
      <c r="BI11" s="423"/>
      <c r="BJ11" s="423"/>
      <c r="BK11" s="423"/>
      <c r="BL11" s="423"/>
      <c r="BM11" s="423"/>
    </row>
    <row r="12" spans="1:65" ht="20" collapsed="1">
      <c r="A12" s="734" t="s">
        <v>538</v>
      </c>
      <c r="D12" s="644" t="s">
        <v>539</v>
      </c>
      <c r="E12" s="790">
        <f>F12/F6</f>
        <v>0.2</v>
      </c>
      <c r="F12" s="285">
        <f>F6-F13</f>
        <v>12640</v>
      </c>
      <c r="G12" s="285">
        <f t="shared" ref="G12:I12" si="6">G6-G13</f>
        <v>5280</v>
      </c>
      <c r="H12" s="285">
        <f t="shared" si="6"/>
        <v>0</v>
      </c>
      <c r="I12" s="285">
        <f t="shared" si="6"/>
        <v>0</v>
      </c>
      <c r="J12" s="473">
        <f>SUM(F12:I12)</f>
        <v>17920</v>
      </c>
      <c r="K12" s="472">
        <f>L12/L6</f>
        <v>0.2</v>
      </c>
      <c r="L12" s="285">
        <f>L6-L13</f>
        <v>12640</v>
      </c>
      <c r="M12" s="285">
        <f t="shared" ref="M12:O12" si="7">M6-M13</f>
        <v>5280</v>
      </c>
      <c r="N12" s="285">
        <f t="shared" si="7"/>
        <v>0</v>
      </c>
      <c r="O12" s="285">
        <f t="shared" si="7"/>
        <v>0</v>
      </c>
      <c r="P12" s="473">
        <f>SUM(L12:O12)</f>
        <v>17920</v>
      </c>
      <c r="Q12" s="1" t="s">
        <v>1</v>
      </c>
      <c r="R12" s="1" t="s">
        <v>1</v>
      </c>
      <c r="S12" s="1" t="s">
        <v>1</v>
      </c>
      <c r="T12" s="1" t="s">
        <v>1</v>
      </c>
      <c r="U12" s="1" t="s">
        <v>1</v>
      </c>
      <c r="V12" s="1" t="s">
        <v>1</v>
      </c>
      <c r="AC12" s="156">
        <f>K12</f>
        <v>0.2</v>
      </c>
      <c r="AD12" s="285">
        <f>AD6-AD13</f>
        <v>1427.332044164431</v>
      </c>
      <c r="AE12" s="285">
        <f t="shared" ref="AE12:AG12" si="8">AE6-AE13</f>
        <v>920.1127819548874</v>
      </c>
      <c r="AF12" s="285">
        <f t="shared" si="8"/>
        <v>0</v>
      </c>
      <c r="AG12" s="285">
        <f t="shared" si="8"/>
        <v>0</v>
      </c>
      <c r="AH12" s="682">
        <f>SUM(AD12:AG12)</f>
        <v>2347.4448261193183</v>
      </c>
      <c r="AI12" s="346">
        <f>AB12+AH12</f>
        <v>2347.4448261193183</v>
      </c>
      <c r="AO12" s="24"/>
      <c r="AP12" s="28"/>
      <c r="AU12" s="24"/>
      <c r="BB12" s="423"/>
      <c r="BC12" s="423"/>
      <c r="BD12" s="423"/>
      <c r="BE12" s="423"/>
      <c r="BF12" s="423"/>
      <c r="BG12" s="423"/>
      <c r="BH12" s="423"/>
      <c r="BI12" s="423"/>
      <c r="BJ12" s="423"/>
      <c r="BK12" s="423"/>
      <c r="BL12" s="423"/>
      <c r="BM12" s="423"/>
    </row>
    <row r="13" spans="1:65" ht="20">
      <c r="A13" s="736" t="s">
        <v>537</v>
      </c>
      <c r="B13" s="1" t="s">
        <v>539</v>
      </c>
      <c r="C13" s="644">
        <v>0.13</v>
      </c>
      <c r="D13" s="644" t="s">
        <v>539</v>
      </c>
      <c r="E13" s="944">
        <v>0.8</v>
      </c>
      <c r="F13" s="154">
        <f>$F$6*E13</f>
        <v>50560</v>
      </c>
      <c r="G13" s="154">
        <f>$G$6*E13</f>
        <v>21120</v>
      </c>
      <c r="H13" s="154">
        <f>$H$6*E13</f>
        <v>0</v>
      </c>
      <c r="I13" s="154">
        <f>$I$6*E13</f>
        <v>0</v>
      </c>
      <c r="J13" s="301">
        <f>SUM(F13:I13)</f>
        <v>71680</v>
      </c>
      <c r="K13" s="300">
        <f>E13</f>
        <v>0.8</v>
      </c>
      <c r="L13" s="154">
        <f>$L$6*K13</f>
        <v>50560</v>
      </c>
      <c r="M13" s="154">
        <f>$M$6*K13</f>
        <v>21120</v>
      </c>
      <c r="N13" s="154">
        <f>$N$6*K13</f>
        <v>0</v>
      </c>
      <c r="O13" s="154">
        <f>$O$6*K13</f>
        <v>0</v>
      </c>
      <c r="P13" s="301">
        <f>SUM(L13:O13)</f>
        <v>71680</v>
      </c>
      <c r="Q13" s="87" t="s">
        <v>1</v>
      </c>
      <c r="R13" s="1" t="s">
        <v>1</v>
      </c>
      <c r="S13" s="1" t="s">
        <v>1</v>
      </c>
      <c r="T13" s="1" t="s">
        <v>1</v>
      </c>
      <c r="U13" s="1" t="s">
        <v>1</v>
      </c>
      <c r="V13" s="1" t="s">
        <v>1</v>
      </c>
      <c r="W13" s="342"/>
      <c r="X13" s="154"/>
      <c r="Y13" s="154"/>
      <c r="Z13" s="154"/>
      <c r="AA13" s="154"/>
      <c r="AB13" s="154"/>
      <c r="AC13" s="156">
        <f t="shared" ref="AC13:AC17" si="9">K13</f>
        <v>0.8</v>
      </c>
      <c r="AD13" s="154">
        <f>$AD$6*AC13</f>
        <v>5709.3281766577256</v>
      </c>
      <c r="AE13" s="154">
        <f>$AE$6*AC13</f>
        <v>3680.4511278195496</v>
      </c>
      <c r="AF13" s="154">
        <f>$AF$6*AC13</f>
        <v>0</v>
      </c>
      <c r="AG13" s="154">
        <f>$AG$6*AC13</f>
        <v>0</v>
      </c>
      <c r="AH13" s="681">
        <f>SUM(AD13:AG13)</f>
        <v>9389.7793044772752</v>
      </c>
      <c r="AI13" s="301">
        <f t="shared" ref="AI13:AI25" si="10">AB13+AH13</f>
        <v>9389.7793044772752</v>
      </c>
      <c r="AO13" s="24"/>
      <c r="AP13" s="28"/>
      <c r="AU13" s="24"/>
      <c r="BB13" s="423"/>
      <c r="BC13" s="423"/>
      <c r="BD13" s="423"/>
      <c r="BE13" s="423"/>
      <c r="BF13" s="423"/>
      <c r="BG13" s="423"/>
      <c r="BH13" s="423"/>
      <c r="BI13" s="423"/>
      <c r="BJ13" s="423"/>
      <c r="BK13" s="423"/>
      <c r="BL13" s="423"/>
      <c r="BM13" s="423"/>
    </row>
    <row r="14" spans="1:65" ht="27" customHeight="1">
      <c r="A14" s="736" t="s">
        <v>171</v>
      </c>
      <c r="B14" s="1" t="s">
        <v>540</v>
      </c>
      <c r="C14" s="644">
        <v>1</v>
      </c>
      <c r="D14" s="644" t="s">
        <v>543</v>
      </c>
      <c r="E14" s="940">
        <f>E13</f>
        <v>0.8</v>
      </c>
      <c r="F14" s="154">
        <f>$F$13*E14</f>
        <v>40448</v>
      </c>
      <c r="G14" s="154">
        <f>$G$13*E14</f>
        <v>16896</v>
      </c>
      <c r="H14" s="154">
        <f>$H$13*E14</f>
        <v>0</v>
      </c>
      <c r="I14" s="154">
        <f>$I$13*E14</f>
        <v>0</v>
      </c>
      <c r="J14" s="301">
        <f t="shared" ref="J14:J33" si="11">SUM(F14:I14)</f>
        <v>57344</v>
      </c>
      <c r="K14" s="296">
        <f t="shared" ref="K14:K17" si="12">E14</f>
        <v>0.8</v>
      </c>
      <c r="L14" s="154">
        <f t="shared" ref="L14:L17" si="13">$L$6*K14</f>
        <v>50560</v>
      </c>
      <c r="M14" s="154">
        <f t="shared" ref="M14:M17" si="14">$M$6*K14</f>
        <v>21120</v>
      </c>
      <c r="N14" s="154">
        <f t="shared" ref="N14:N17" si="15">$N$6*K14</f>
        <v>0</v>
      </c>
      <c r="O14" s="154">
        <f t="shared" ref="O14:O17" si="16">$O$6*K14</f>
        <v>0</v>
      </c>
      <c r="P14" s="301">
        <f t="shared" ref="P14:P25" si="17">SUM(L14:O14)</f>
        <v>71680</v>
      </c>
      <c r="Q14" s="87" t="s">
        <v>1</v>
      </c>
      <c r="R14" s="1" t="s">
        <v>1</v>
      </c>
      <c r="S14" s="1" t="s">
        <v>1</v>
      </c>
      <c r="T14" s="1" t="s">
        <v>1</v>
      </c>
      <c r="U14" s="1" t="s">
        <v>1</v>
      </c>
      <c r="V14" s="1" t="s">
        <v>1</v>
      </c>
      <c r="W14" s="342"/>
      <c r="X14" s="154"/>
      <c r="Y14" s="154"/>
      <c r="Z14" s="154"/>
      <c r="AA14" s="154"/>
      <c r="AB14" s="154"/>
      <c r="AC14" s="156">
        <f t="shared" si="9"/>
        <v>0.8</v>
      </c>
      <c r="AD14" s="154">
        <f>$AD$6*AC14</f>
        <v>5709.3281766577256</v>
      </c>
      <c r="AE14" s="154">
        <f>$AE$6*AC14</f>
        <v>3680.4511278195496</v>
      </c>
      <c r="AF14" s="154">
        <f>$AF$6*AC14</f>
        <v>0</v>
      </c>
      <c r="AG14" s="154">
        <f>$AG$6*AC14</f>
        <v>0</v>
      </c>
      <c r="AH14" s="681">
        <f t="shared" ref="AH14:AH25" si="18">SUM(AD14:AG14)</f>
        <v>9389.7793044772752</v>
      </c>
      <c r="AI14" s="301">
        <f t="shared" si="10"/>
        <v>9389.7793044772752</v>
      </c>
      <c r="AO14" s="24"/>
      <c r="AP14" s="28"/>
      <c r="AU14" s="24"/>
      <c r="BB14" s="423"/>
      <c r="BC14" s="423"/>
      <c r="BD14" s="423"/>
      <c r="BE14" s="423"/>
      <c r="BF14" s="423"/>
      <c r="BG14" s="423"/>
      <c r="BH14" s="423"/>
      <c r="BI14" s="423"/>
      <c r="BJ14" s="423"/>
      <c r="BK14" s="423"/>
      <c r="BL14" s="423"/>
      <c r="BM14" s="423"/>
    </row>
    <row r="15" spans="1:65" ht="20">
      <c r="A15" s="736" t="s">
        <v>211</v>
      </c>
      <c r="B15" s="1" t="s">
        <v>540</v>
      </c>
      <c r="C15" s="74">
        <v>0.4</v>
      </c>
      <c r="D15" s="644" t="s">
        <v>543</v>
      </c>
      <c r="E15" s="74">
        <f>'Воронка MPS_обработано'!N10</f>
        <v>0.4</v>
      </c>
      <c r="F15" s="154">
        <f t="shared" ref="F15:F17" si="19">$F$13*E15</f>
        <v>20224</v>
      </c>
      <c r="G15" s="154">
        <f t="shared" ref="G15:G17" si="20">$G$13*E15</f>
        <v>8448</v>
      </c>
      <c r="H15" s="154">
        <f t="shared" ref="H15:H17" si="21">$H$13*E15</f>
        <v>0</v>
      </c>
      <c r="I15" s="154">
        <f t="shared" ref="I15:I17" si="22">$I$13*E15</f>
        <v>0</v>
      </c>
      <c r="J15" s="301">
        <f t="shared" si="11"/>
        <v>28672</v>
      </c>
      <c r="K15" s="296">
        <f t="shared" si="12"/>
        <v>0.4</v>
      </c>
      <c r="L15" s="154">
        <f t="shared" si="13"/>
        <v>25280</v>
      </c>
      <c r="M15" s="154">
        <f t="shared" si="14"/>
        <v>10560</v>
      </c>
      <c r="N15" s="154">
        <f t="shared" si="15"/>
        <v>0</v>
      </c>
      <c r="O15" s="154">
        <f t="shared" si="16"/>
        <v>0</v>
      </c>
      <c r="P15" s="301">
        <f t="shared" si="17"/>
        <v>35840</v>
      </c>
      <c r="Q15" s="87" t="s">
        <v>1</v>
      </c>
      <c r="R15" s="1" t="s">
        <v>1</v>
      </c>
      <c r="S15" s="1" t="s">
        <v>1</v>
      </c>
      <c r="T15" s="1" t="s">
        <v>1</v>
      </c>
      <c r="U15" s="1" t="s">
        <v>1</v>
      </c>
      <c r="V15" s="1" t="s">
        <v>1</v>
      </c>
      <c r="W15" s="342"/>
      <c r="X15" s="154"/>
      <c r="Y15" s="154"/>
      <c r="Z15" s="154"/>
      <c r="AA15" s="154"/>
      <c r="AB15" s="154"/>
      <c r="AC15" s="156">
        <f t="shared" si="9"/>
        <v>0.4</v>
      </c>
      <c r="AD15" s="154">
        <f>$AD$6*AC15</f>
        <v>2854.6640883288628</v>
      </c>
      <c r="AE15" s="154">
        <f>$AE$6*AC15</f>
        <v>1840.2255639097748</v>
      </c>
      <c r="AF15" s="154">
        <f>$AF$6*AC15</f>
        <v>0</v>
      </c>
      <c r="AG15" s="154">
        <f>$AG$6*AC15</f>
        <v>0</v>
      </c>
      <c r="AH15" s="681">
        <f t="shared" si="18"/>
        <v>4694.8896522386376</v>
      </c>
      <c r="AI15" s="301">
        <f t="shared" si="10"/>
        <v>4694.8896522386376</v>
      </c>
      <c r="AO15" s="24"/>
      <c r="AP15" s="28"/>
      <c r="AU15" s="24"/>
      <c r="BB15" s="423"/>
      <c r="BC15" s="423"/>
      <c r="BD15" s="423"/>
      <c r="BE15" s="423"/>
      <c r="BF15" s="423"/>
      <c r="BG15" s="423"/>
      <c r="BH15" s="423"/>
      <c r="BI15" s="423"/>
      <c r="BJ15" s="423"/>
      <c r="BK15" s="423"/>
      <c r="BL15" s="423"/>
      <c r="BM15" s="423"/>
    </row>
    <row r="16" spans="1:65" ht="20">
      <c r="A16" s="736" t="s">
        <v>212</v>
      </c>
      <c r="B16" s="1" t="s">
        <v>540</v>
      </c>
      <c r="C16" s="74">
        <v>0.29799999999999999</v>
      </c>
      <c r="D16" s="644" t="s">
        <v>543</v>
      </c>
      <c r="E16" s="326">
        <f>'Воронка MPS_обработано'!N11</f>
        <v>0.29799999999999999</v>
      </c>
      <c r="F16" s="154">
        <f t="shared" si="19"/>
        <v>15066.88</v>
      </c>
      <c r="G16" s="154">
        <f t="shared" si="20"/>
        <v>6293.7599999999993</v>
      </c>
      <c r="H16" s="154">
        <f t="shared" si="21"/>
        <v>0</v>
      </c>
      <c r="I16" s="154">
        <f t="shared" si="22"/>
        <v>0</v>
      </c>
      <c r="J16" s="301">
        <f t="shared" si="11"/>
        <v>21360.639999999999</v>
      </c>
      <c r="K16" s="296">
        <f t="shared" si="12"/>
        <v>0.29799999999999999</v>
      </c>
      <c r="L16" s="154">
        <f t="shared" si="13"/>
        <v>18833.599999999999</v>
      </c>
      <c r="M16" s="154">
        <f t="shared" si="14"/>
        <v>7867.2</v>
      </c>
      <c r="N16" s="154">
        <f t="shared" si="15"/>
        <v>0</v>
      </c>
      <c r="O16" s="154">
        <f t="shared" si="16"/>
        <v>0</v>
      </c>
      <c r="P16" s="301">
        <f t="shared" si="17"/>
        <v>26700.799999999999</v>
      </c>
      <c r="Q16" s="87" t="s">
        <v>1</v>
      </c>
      <c r="R16" s="1" t="s">
        <v>1</v>
      </c>
      <c r="S16" s="1" t="s">
        <v>1</v>
      </c>
      <c r="T16" s="1" t="s">
        <v>1</v>
      </c>
      <c r="U16" s="1" t="s">
        <v>1</v>
      </c>
      <c r="V16" s="1" t="s">
        <v>1</v>
      </c>
      <c r="W16" s="342"/>
      <c r="X16" s="154"/>
      <c r="Y16" s="154"/>
      <c r="Z16" s="154"/>
      <c r="AA16" s="154"/>
      <c r="AB16" s="154"/>
      <c r="AC16" s="156">
        <f t="shared" si="9"/>
        <v>0.29799999999999999</v>
      </c>
      <c r="AD16" s="154">
        <f>$AD$6*AC16</f>
        <v>2126.7247458050024</v>
      </c>
      <c r="AE16" s="154">
        <f>$AE$6*AC16</f>
        <v>1370.9680451127822</v>
      </c>
      <c r="AF16" s="154">
        <f>$AF$6*AC16</f>
        <v>0</v>
      </c>
      <c r="AG16" s="154">
        <f>$AG$6*AC16</f>
        <v>0</v>
      </c>
      <c r="AH16" s="681">
        <f t="shared" si="18"/>
        <v>3497.6927909177848</v>
      </c>
      <c r="AI16" s="301">
        <f t="shared" si="10"/>
        <v>3497.6927909177848</v>
      </c>
      <c r="AO16" s="24"/>
      <c r="AP16" s="28"/>
      <c r="AU16" s="24"/>
      <c r="BB16" s="423"/>
      <c r="BC16" s="423"/>
      <c r="BD16" s="423"/>
      <c r="BE16" s="423"/>
      <c r="BF16" s="423"/>
      <c r="BG16" s="423"/>
      <c r="BH16" s="423"/>
      <c r="BI16" s="423"/>
      <c r="BJ16" s="423"/>
      <c r="BK16" s="423"/>
      <c r="BL16" s="423"/>
      <c r="BM16" s="423"/>
    </row>
    <row r="17" spans="1:65" ht="20">
      <c r="A17" s="736" t="s">
        <v>213</v>
      </c>
      <c r="B17" s="1" t="s">
        <v>540</v>
      </c>
      <c r="C17" s="74">
        <v>0.45500000000000002</v>
      </c>
      <c r="D17" s="644" t="s">
        <v>543</v>
      </c>
      <c r="E17" s="326">
        <f>'Воронка MPS_обработано'!N12</f>
        <v>0.45500000000000002</v>
      </c>
      <c r="F17" s="154">
        <f t="shared" si="19"/>
        <v>23004.799999999999</v>
      </c>
      <c r="G17" s="154">
        <f t="shared" si="20"/>
        <v>9609.6</v>
      </c>
      <c r="H17" s="154">
        <f t="shared" si="21"/>
        <v>0</v>
      </c>
      <c r="I17" s="154">
        <f t="shared" si="22"/>
        <v>0</v>
      </c>
      <c r="J17" s="301">
        <f t="shared" si="11"/>
        <v>32614.400000000001</v>
      </c>
      <c r="K17" s="296">
        <f t="shared" si="12"/>
        <v>0.45500000000000002</v>
      </c>
      <c r="L17" s="154">
        <f t="shared" si="13"/>
        <v>28756</v>
      </c>
      <c r="M17" s="154">
        <f t="shared" si="14"/>
        <v>12012</v>
      </c>
      <c r="N17" s="154">
        <f t="shared" si="15"/>
        <v>0</v>
      </c>
      <c r="O17" s="154">
        <f t="shared" si="16"/>
        <v>0</v>
      </c>
      <c r="P17" s="301">
        <f t="shared" si="17"/>
        <v>40768</v>
      </c>
      <c r="Q17" s="87" t="s">
        <v>1</v>
      </c>
      <c r="R17" s="1" t="s">
        <v>1</v>
      </c>
      <c r="S17" s="1" t="s">
        <v>1</v>
      </c>
      <c r="T17" s="1" t="s">
        <v>1</v>
      </c>
      <c r="U17" s="1" t="s">
        <v>1</v>
      </c>
      <c r="V17" s="1" t="s">
        <v>1</v>
      </c>
      <c r="W17" s="342"/>
      <c r="X17" s="154"/>
      <c r="Y17" s="154"/>
      <c r="Z17" s="154"/>
      <c r="AA17" s="154"/>
      <c r="AB17" s="154"/>
      <c r="AC17" s="156">
        <f t="shared" si="9"/>
        <v>0.45500000000000002</v>
      </c>
      <c r="AD17" s="154">
        <f>$AD$6*AC17</f>
        <v>3247.1804004740816</v>
      </c>
      <c r="AE17" s="154">
        <f>$AE$6*AC17</f>
        <v>2093.2565789473688</v>
      </c>
      <c r="AF17" s="154">
        <f>$AF$6*AC17</f>
        <v>0</v>
      </c>
      <c r="AG17" s="154">
        <f>$AG$6*AC17</f>
        <v>0</v>
      </c>
      <c r="AH17" s="681">
        <f t="shared" si="18"/>
        <v>5340.4369794214508</v>
      </c>
      <c r="AI17" s="301">
        <f t="shared" si="10"/>
        <v>5340.4369794214508</v>
      </c>
      <c r="AO17" s="24"/>
      <c r="AP17" s="28"/>
      <c r="AU17" s="24"/>
      <c r="BB17" s="423"/>
      <c r="BC17" s="423"/>
      <c r="BD17" s="423"/>
      <c r="BE17" s="423"/>
      <c r="BF17" s="423"/>
      <c r="BG17" s="423"/>
      <c r="BH17" s="423"/>
      <c r="BI17" s="423"/>
      <c r="BJ17" s="423"/>
      <c r="BK17" s="423"/>
      <c r="BL17" s="423"/>
      <c r="BM17" s="423"/>
    </row>
    <row r="18" spans="1:65" ht="40">
      <c r="A18" s="735" t="s">
        <v>337</v>
      </c>
      <c r="B18" s="1" t="s">
        <v>539</v>
      </c>
      <c r="C18" s="110" t="s">
        <v>541</v>
      </c>
      <c r="D18" s="644" t="s">
        <v>543</v>
      </c>
      <c r="E18" s="723">
        <f>'Воронка MPS_обработано'!N14</f>
        <v>8.5384615384615392E-2</v>
      </c>
      <c r="F18" s="154">
        <f>$F$13*E18</f>
        <v>4317.0461538461541</v>
      </c>
      <c r="G18" s="154">
        <f>$G$13*E18</f>
        <v>1803.323076923077</v>
      </c>
      <c r="H18" s="154">
        <f>$H$13*E18</f>
        <v>0</v>
      </c>
      <c r="I18" s="154">
        <f>$I$13*E18</f>
        <v>0</v>
      </c>
      <c r="J18" s="301">
        <f t="shared" si="11"/>
        <v>6120.3692307692309</v>
      </c>
      <c r="K18" s="926">
        <f>E18*1.5</f>
        <v>0.12807692307692309</v>
      </c>
      <c r="L18" s="154">
        <f>L13*$K$18</f>
        <v>6475.5692307692316</v>
      </c>
      <c r="M18" s="154">
        <f t="shared" ref="M18:O18" si="23">M13*$K$18</f>
        <v>2704.9846153846156</v>
      </c>
      <c r="N18" s="154">
        <f t="shared" si="23"/>
        <v>0</v>
      </c>
      <c r="O18" s="154">
        <f t="shared" si="23"/>
        <v>0</v>
      </c>
      <c r="P18" s="301">
        <f t="shared" si="17"/>
        <v>9180.5538461538472</v>
      </c>
      <c r="Q18" s="618">
        <f>'Воронка Селлер as is'!F12</f>
        <v>1.7475398710553106E-2</v>
      </c>
      <c r="R18" s="154">
        <f>$Q$18*R6</f>
        <v>1104.4451985069563</v>
      </c>
      <c r="S18" s="154">
        <f t="shared" ref="S18:U18" si="24">$Q$18*S6</f>
        <v>461.35052595860196</v>
      </c>
      <c r="T18" s="154">
        <f t="shared" si="24"/>
        <v>0</v>
      </c>
      <c r="U18" s="154">
        <f t="shared" si="24"/>
        <v>0</v>
      </c>
      <c r="V18" s="279">
        <f>SUM(R18:U18)</f>
        <v>1565.7957244655584</v>
      </c>
      <c r="W18" s="927">
        <f>Q18</f>
        <v>1.7475398710553106E-2</v>
      </c>
      <c r="X18" s="154">
        <f>$Q$18*X6</f>
        <v>979.72921568634524</v>
      </c>
      <c r="Y18" s="154">
        <f t="shared" ref="Y18:AA18" si="25">$Q$18*Y6</f>
        <v>380.95383734191267</v>
      </c>
      <c r="Z18" s="154">
        <f t="shared" si="25"/>
        <v>0</v>
      </c>
      <c r="AA18" s="154">
        <f t="shared" si="25"/>
        <v>0</v>
      </c>
      <c r="AB18" s="279">
        <f>SUM(X18:AA18)</f>
        <v>1360.683053028258</v>
      </c>
      <c r="AC18" s="928">
        <f>K18</f>
        <v>0.12807692307692309</v>
      </c>
      <c r="AD18" s="154">
        <f>AD13*$AC$18</f>
        <v>731.23318570270112</v>
      </c>
      <c r="AE18" s="154">
        <f>AE13*$AC$18</f>
        <v>471.38085598611929</v>
      </c>
      <c r="AF18" s="154">
        <f t="shared" ref="AF18:AG18" si="26">AF13*$AC$18</f>
        <v>0</v>
      </c>
      <c r="AG18" s="154">
        <f t="shared" si="26"/>
        <v>0</v>
      </c>
      <c r="AH18" s="681">
        <f t="shared" si="18"/>
        <v>1202.6140416888204</v>
      </c>
      <c r="AI18" s="301">
        <f t="shared" si="10"/>
        <v>2563.2970947170784</v>
      </c>
      <c r="AO18" s="24"/>
      <c r="AP18" s="28"/>
      <c r="AU18" s="24"/>
      <c r="BB18" s="423"/>
      <c r="BC18" s="423"/>
      <c r="BD18" s="423"/>
      <c r="BE18" s="423"/>
      <c r="BF18" s="423"/>
      <c r="BG18" s="423"/>
      <c r="BH18" s="423"/>
      <c r="BI18" s="423"/>
      <c r="BJ18" s="423"/>
      <c r="BK18" s="423"/>
      <c r="BL18" s="423"/>
      <c r="BM18" s="423"/>
    </row>
    <row r="19" spans="1:65" ht="20">
      <c r="A19" s="735" t="s">
        <v>338</v>
      </c>
      <c r="B19" s="938"/>
      <c r="C19" s="939"/>
      <c r="D19" s="939"/>
      <c r="E19" s="724">
        <f>Q18</f>
        <v>1.7475398710553106E-2</v>
      </c>
      <c r="F19" s="154">
        <f>F12*$E$19</f>
        <v>220.88903970139125</v>
      </c>
      <c r="G19" s="154">
        <f t="shared" ref="G19:I19" si="27">G12*$E$19</f>
        <v>92.270105191720404</v>
      </c>
      <c r="H19" s="154">
        <f t="shared" si="27"/>
        <v>0</v>
      </c>
      <c r="I19" s="154">
        <f t="shared" si="27"/>
        <v>0</v>
      </c>
      <c r="J19" s="301">
        <f t="shared" si="11"/>
        <v>313.15914489311166</v>
      </c>
      <c r="K19" s="478">
        <f>Q18</f>
        <v>1.7475398710553106E-2</v>
      </c>
      <c r="L19" s="154">
        <f>L12*$K$19</f>
        <v>220.88903970139125</v>
      </c>
      <c r="M19" s="154">
        <f t="shared" ref="M19:O19" si="28">M12*$K$19</f>
        <v>92.270105191720404</v>
      </c>
      <c r="N19" s="154">
        <f t="shared" si="28"/>
        <v>0</v>
      </c>
      <c r="O19" s="154">
        <f t="shared" si="28"/>
        <v>0</v>
      </c>
      <c r="P19" s="301">
        <f t="shared" si="17"/>
        <v>313.15914489311166</v>
      </c>
      <c r="Q19" s="328"/>
      <c r="R19" s="154"/>
      <c r="S19" s="154"/>
      <c r="T19" s="154"/>
      <c r="U19" s="154"/>
      <c r="V19" s="279"/>
      <c r="W19" s="342"/>
      <c r="X19" s="154"/>
      <c r="Y19" s="154"/>
      <c r="Z19" s="154"/>
      <c r="AA19" s="154"/>
      <c r="AB19" s="154"/>
      <c r="AC19" s="156">
        <f>K19</f>
        <v>1.7475398710553106E-2</v>
      </c>
      <c r="AD19" s="154">
        <f>AD12*$AC$19</f>
        <v>24.943196564122225</v>
      </c>
      <c r="AE19" s="154">
        <f>AE12*$AC$19</f>
        <v>16.079337723337868</v>
      </c>
      <c r="AF19" s="154">
        <f t="shared" ref="AF19:AG19" si="29">AF12*$AC$19</f>
        <v>0</v>
      </c>
      <c r="AG19" s="154">
        <f t="shared" si="29"/>
        <v>0</v>
      </c>
      <c r="AH19" s="681">
        <f t="shared" si="18"/>
        <v>41.02253428746009</v>
      </c>
      <c r="AI19" s="301">
        <f t="shared" si="10"/>
        <v>41.02253428746009</v>
      </c>
      <c r="AK19" s="84"/>
      <c r="AO19" s="24"/>
      <c r="AP19" s="28"/>
      <c r="AU19" s="24"/>
      <c r="BB19" s="423"/>
      <c r="BC19" s="423"/>
      <c r="BD19" s="423"/>
      <c r="BE19" s="423"/>
      <c r="BF19" s="423"/>
      <c r="BG19" s="423"/>
      <c r="BH19" s="423"/>
      <c r="BI19" s="423"/>
      <c r="BJ19" s="423"/>
      <c r="BK19" s="423"/>
      <c r="BL19" s="423"/>
      <c r="BM19" s="423"/>
    </row>
    <row r="20" spans="1:65" s="454" customFormat="1" ht="21" thickBot="1">
      <c r="A20" s="737" t="s">
        <v>339</v>
      </c>
      <c r="B20" s="88"/>
      <c r="C20" s="88"/>
      <c r="D20" s="88"/>
      <c r="E20" s="363"/>
      <c r="F20" s="363">
        <f>SUM(F18:F19)</f>
        <v>4537.9351935475452</v>
      </c>
      <c r="G20" s="363">
        <f t="shared" ref="G20:I20" si="30">SUM(G18:G19)</f>
        <v>1895.5931821147974</v>
      </c>
      <c r="H20" s="363">
        <f t="shared" si="30"/>
        <v>0</v>
      </c>
      <c r="I20" s="363">
        <f t="shared" si="30"/>
        <v>0</v>
      </c>
      <c r="J20" s="364">
        <f t="shared" si="11"/>
        <v>6433.528375662343</v>
      </c>
      <c r="K20" s="474"/>
      <c r="L20" s="363">
        <f>SUM(L18:L19)</f>
        <v>6696.4582704706227</v>
      </c>
      <c r="M20" s="363">
        <f t="shared" ref="M20:O20" si="31">SUM(M18:M19)</f>
        <v>2797.2547205763358</v>
      </c>
      <c r="N20" s="363">
        <f t="shared" si="31"/>
        <v>0</v>
      </c>
      <c r="O20" s="363">
        <f t="shared" si="31"/>
        <v>0</v>
      </c>
      <c r="P20" s="364">
        <f t="shared" si="17"/>
        <v>9493.7129910469594</v>
      </c>
      <c r="Q20" s="365"/>
      <c r="R20" s="363">
        <f>R18</f>
        <v>1104.4451985069563</v>
      </c>
      <c r="S20" s="363">
        <f t="shared" ref="S20:U20" si="32">S18</f>
        <v>461.35052595860196</v>
      </c>
      <c r="T20" s="363">
        <f t="shared" si="32"/>
        <v>0</v>
      </c>
      <c r="U20" s="363">
        <f t="shared" si="32"/>
        <v>0</v>
      </c>
      <c r="V20" s="626">
        <f>SUM(R20:U20)</f>
        <v>1565.7957244655584</v>
      </c>
      <c r="W20" s="474"/>
      <c r="X20" s="363">
        <f>X18</f>
        <v>979.72921568634524</v>
      </c>
      <c r="Y20" s="363">
        <f t="shared" ref="Y20:AA20" si="33">Y18</f>
        <v>380.95383734191267</v>
      </c>
      <c r="Z20" s="363">
        <f t="shared" si="33"/>
        <v>0</v>
      </c>
      <c r="AA20" s="363">
        <f t="shared" si="33"/>
        <v>0</v>
      </c>
      <c r="AB20" s="626">
        <f>SUM(X20:AA20)</f>
        <v>1360.683053028258</v>
      </c>
      <c r="AC20" s="664"/>
      <c r="AD20" s="363">
        <f>SUM(AD18:AD19)</f>
        <v>756.17638226682334</v>
      </c>
      <c r="AE20" s="363">
        <f t="shared" ref="AE20:AG20" si="34">SUM(AE18:AE19)</f>
        <v>487.46019370945714</v>
      </c>
      <c r="AF20" s="363">
        <f t="shared" si="34"/>
        <v>0</v>
      </c>
      <c r="AG20" s="363">
        <f t="shared" si="34"/>
        <v>0</v>
      </c>
      <c r="AH20" s="683">
        <f t="shared" si="18"/>
        <v>1243.6365759762805</v>
      </c>
      <c r="AI20" s="364">
        <f t="shared" si="10"/>
        <v>2604.3196290045385</v>
      </c>
      <c r="AJ20" s="88"/>
      <c r="AK20" s="88"/>
      <c r="AL20" s="88"/>
      <c r="AM20" s="88"/>
      <c r="AN20" s="88"/>
      <c r="AO20" s="131"/>
      <c r="AP20" s="133"/>
      <c r="AQ20" s="88"/>
      <c r="AR20" s="88"/>
      <c r="AS20" s="88"/>
      <c r="AT20" s="88"/>
      <c r="AU20" s="131"/>
    </row>
    <row r="21" spans="1:65" s="799" customFormat="1" hidden="1" outlineLevel="1">
      <c r="A21" s="793" t="s">
        <v>327</v>
      </c>
      <c r="B21" s="929"/>
      <c r="C21" s="929"/>
      <c r="D21" s="929"/>
      <c r="E21" s="810"/>
      <c r="F21" s="794">
        <f t="shared" ref="F21:I25" si="35">F$20*F64</f>
        <v>0.49537686911036144</v>
      </c>
      <c r="G21" s="794">
        <f t="shared" si="35"/>
        <v>3.2662163225662235</v>
      </c>
      <c r="H21" s="794">
        <f t="shared" si="35"/>
        <v>0</v>
      </c>
      <c r="I21" s="794">
        <f t="shared" si="35"/>
        <v>0</v>
      </c>
      <c r="J21" s="795">
        <f t="shared" si="11"/>
        <v>3.7615931916765848</v>
      </c>
      <c r="K21" s="796"/>
      <c r="L21" s="794">
        <f t="shared" ref="L21:O25" si="36">L$20*L64</f>
        <v>0.73100879379474704</v>
      </c>
      <c r="M21" s="794">
        <f t="shared" si="36"/>
        <v>4.8198311288126083</v>
      </c>
      <c r="N21" s="794">
        <f t="shared" si="36"/>
        <v>0</v>
      </c>
      <c r="O21" s="794">
        <f t="shared" si="36"/>
        <v>0</v>
      </c>
      <c r="P21" s="795">
        <f t="shared" si="17"/>
        <v>5.5508399226073557</v>
      </c>
      <c r="Q21" s="797"/>
      <c r="R21" s="794">
        <f t="shared" ref="R21:U25" si="37">R$20*R64</f>
        <v>0.12056509870795169</v>
      </c>
      <c r="S21" s="794">
        <f t="shared" si="37"/>
        <v>0.79493355036726521</v>
      </c>
      <c r="T21" s="794">
        <f t="shared" si="37"/>
        <v>0</v>
      </c>
      <c r="U21" s="794">
        <f t="shared" si="37"/>
        <v>0</v>
      </c>
      <c r="V21" s="795">
        <f t="shared" ref="V21:V25" si="38">SUM(R21:U21)</f>
        <v>0.91549864907521694</v>
      </c>
      <c r="W21" s="796"/>
      <c r="X21" s="794">
        <f t="shared" ref="X21:AA25" si="39">X$20*X64</f>
        <v>0</v>
      </c>
      <c r="Y21" s="794">
        <f t="shared" si="39"/>
        <v>0</v>
      </c>
      <c r="Z21" s="794">
        <f t="shared" si="39"/>
        <v>0</v>
      </c>
      <c r="AA21" s="794">
        <f t="shared" si="39"/>
        <v>0</v>
      </c>
      <c r="AB21" s="818">
        <f t="shared" ref="AB21:AB25" si="40">SUM(X21:AA21)</f>
        <v>0</v>
      </c>
      <c r="AC21" s="798"/>
      <c r="AD21" s="794">
        <f t="shared" ref="AD21:AG25" si="41">AD$20*AD64</f>
        <v>0.73100879379474715</v>
      </c>
      <c r="AE21" s="794">
        <f t="shared" si="41"/>
        <v>4.8198311288126092</v>
      </c>
      <c r="AF21" s="794">
        <f t="shared" si="41"/>
        <v>0</v>
      </c>
      <c r="AG21" s="794">
        <f t="shared" si="41"/>
        <v>0</v>
      </c>
      <c r="AH21" s="819">
        <f t="shared" si="18"/>
        <v>5.5508399226073566</v>
      </c>
      <c r="AI21" s="795">
        <f t="shared" si="10"/>
        <v>5.5508399226073566</v>
      </c>
      <c r="AJ21" s="85"/>
      <c r="AK21" s="85"/>
      <c r="AL21" s="85"/>
      <c r="AM21" s="85"/>
      <c r="AN21" s="85"/>
      <c r="AO21" s="85"/>
      <c r="AP21" s="85"/>
      <c r="AQ21" s="85"/>
      <c r="AR21" s="85"/>
      <c r="AS21" s="85"/>
      <c r="AT21" s="85"/>
      <c r="AU21" s="85"/>
    </row>
    <row r="22" spans="1:65" hidden="1" outlineLevel="1">
      <c r="A22" s="739" t="s">
        <v>429</v>
      </c>
      <c r="B22" s="2"/>
      <c r="C22" s="2"/>
      <c r="D22" s="2"/>
      <c r="E22" s="154"/>
      <c r="F22" s="154">
        <f t="shared" si="35"/>
        <v>34.039467720297694</v>
      </c>
      <c r="G22" s="154">
        <f t="shared" si="35"/>
        <v>38.897667114197752</v>
      </c>
      <c r="H22" s="154">
        <f t="shared" si="35"/>
        <v>0</v>
      </c>
      <c r="I22" s="154">
        <f t="shared" si="35"/>
        <v>0</v>
      </c>
      <c r="J22" s="301">
        <f t="shared" si="11"/>
        <v>72.937134834495453</v>
      </c>
      <c r="K22" s="342"/>
      <c r="L22" s="154">
        <f t="shared" si="36"/>
        <v>50.230747116467619</v>
      </c>
      <c r="M22" s="154">
        <f t="shared" si="36"/>
        <v>57.399807079495609</v>
      </c>
      <c r="N22" s="154">
        <f t="shared" si="36"/>
        <v>0</v>
      </c>
      <c r="O22" s="154">
        <f t="shared" si="36"/>
        <v>0</v>
      </c>
      <c r="P22" s="301">
        <f t="shared" si="17"/>
        <v>107.63055419596323</v>
      </c>
      <c r="Q22" s="328"/>
      <c r="R22" s="154">
        <f t="shared" si="37"/>
        <v>8.284544639789253</v>
      </c>
      <c r="S22" s="154">
        <f t="shared" si="37"/>
        <v>9.466935918010158</v>
      </c>
      <c r="T22" s="154">
        <f t="shared" si="37"/>
        <v>0</v>
      </c>
      <c r="U22" s="154">
        <f t="shared" si="37"/>
        <v>0</v>
      </c>
      <c r="V22" s="301">
        <f t="shared" si="38"/>
        <v>17.751480557799411</v>
      </c>
      <c r="W22" s="342"/>
      <c r="X22" s="154">
        <f t="shared" si="39"/>
        <v>0</v>
      </c>
      <c r="Y22" s="154">
        <f t="shared" si="39"/>
        <v>0</v>
      </c>
      <c r="Z22" s="154">
        <f t="shared" si="39"/>
        <v>0</v>
      </c>
      <c r="AA22" s="154">
        <f t="shared" si="39"/>
        <v>0</v>
      </c>
      <c r="AB22" s="279">
        <f t="shared" si="40"/>
        <v>0</v>
      </c>
      <c r="AC22" s="615"/>
      <c r="AD22" s="154">
        <f t="shared" si="41"/>
        <v>50.230747116467626</v>
      </c>
      <c r="AE22" s="154">
        <f t="shared" si="41"/>
        <v>57.399807079495623</v>
      </c>
      <c r="AF22" s="154">
        <f t="shared" si="41"/>
        <v>0</v>
      </c>
      <c r="AG22" s="154">
        <f t="shared" si="41"/>
        <v>0</v>
      </c>
      <c r="AH22" s="681">
        <f t="shared" si="18"/>
        <v>107.63055419596324</v>
      </c>
      <c r="AI22" s="301">
        <f t="shared" si="10"/>
        <v>107.63055419596324</v>
      </c>
      <c r="BB22" s="423"/>
      <c r="BC22" s="423"/>
      <c r="BD22" s="423"/>
      <c r="BE22" s="423"/>
      <c r="BF22" s="423"/>
      <c r="BG22" s="423"/>
      <c r="BH22" s="423"/>
      <c r="BI22" s="423"/>
      <c r="BJ22" s="423"/>
      <c r="BK22" s="423"/>
      <c r="BL22" s="423"/>
      <c r="BM22" s="423"/>
    </row>
    <row r="23" spans="1:65" hidden="1" outlineLevel="1">
      <c r="A23" s="739" t="s">
        <v>65</v>
      </c>
      <c r="B23" s="2"/>
      <c r="C23" s="2"/>
      <c r="D23" s="2"/>
      <c r="E23" s="154"/>
      <c r="F23" s="154">
        <f t="shared" si="35"/>
        <v>477.89714244318151</v>
      </c>
      <c r="G23" s="154">
        <f t="shared" si="35"/>
        <v>288.16935827732004</v>
      </c>
      <c r="H23" s="154">
        <f t="shared" si="35"/>
        <v>0</v>
      </c>
      <c r="I23" s="154">
        <f t="shared" si="35"/>
        <v>0</v>
      </c>
      <c r="J23" s="301">
        <f t="shared" si="11"/>
        <v>766.06650072050161</v>
      </c>
      <c r="K23" s="342"/>
      <c r="L23" s="154">
        <f t="shared" si="36"/>
        <v>705.21462635656098</v>
      </c>
      <c r="M23" s="154">
        <f t="shared" si="36"/>
        <v>425.24055550114883</v>
      </c>
      <c r="N23" s="154">
        <f t="shared" si="36"/>
        <v>0</v>
      </c>
      <c r="O23" s="154">
        <f t="shared" si="36"/>
        <v>0</v>
      </c>
      <c r="P23" s="301">
        <f t="shared" si="17"/>
        <v>1130.4551818577097</v>
      </c>
      <c r="Q23" s="328"/>
      <c r="R23" s="154">
        <f t="shared" si="37"/>
        <v>116.31087308211397</v>
      </c>
      <c r="S23" s="154">
        <f t="shared" si="37"/>
        <v>70.134819148311905</v>
      </c>
      <c r="T23" s="154">
        <f t="shared" si="37"/>
        <v>0</v>
      </c>
      <c r="U23" s="154">
        <f t="shared" si="37"/>
        <v>0</v>
      </c>
      <c r="V23" s="301">
        <f t="shared" si="38"/>
        <v>186.44569223042589</v>
      </c>
      <c r="W23" s="342"/>
      <c r="X23" s="154">
        <f t="shared" si="39"/>
        <v>0</v>
      </c>
      <c r="Y23" s="154">
        <f t="shared" si="39"/>
        <v>0</v>
      </c>
      <c r="Z23" s="154">
        <f t="shared" si="39"/>
        <v>0</v>
      </c>
      <c r="AA23" s="154">
        <f t="shared" si="39"/>
        <v>0</v>
      </c>
      <c r="AB23" s="279">
        <f t="shared" si="40"/>
        <v>0</v>
      </c>
      <c r="AC23" s="615"/>
      <c r="AD23" s="154">
        <f t="shared" si="41"/>
        <v>705.21462635656098</v>
      </c>
      <c r="AE23" s="154">
        <f t="shared" si="41"/>
        <v>425.24055550114889</v>
      </c>
      <c r="AF23" s="154">
        <f t="shared" si="41"/>
        <v>0</v>
      </c>
      <c r="AG23" s="154">
        <f t="shared" si="41"/>
        <v>0</v>
      </c>
      <c r="AH23" s="681">
        <f t="shared" si="18"/>
        <v>1130.4551818577099</v>
      </c>
      <c r="AI23" s="301">
        <f t="shared" si="10"/>
        <v>1130.4551818577099</v>
      </c>
      <c r="BB23" s="423"/>
      <c r="BC23" s="423"/>
      <c r="BD23" s="423"/>
      <c r="BE23" s="423"/>
      <c r="BF23" s="423"/>
      <c r="BG23" s="423"/>
      <c r="BH23" s="423"/>
      <c r="BI23" s="423"/>
      <c r="BJ23" s="423"/>
      <c r="BK23" s="423"/>
      <c r="BL23" s="423"/>
      <c r="BM23" s="423"/>
    </row>
    <row r="24" spans="1:65" hidden="1" outlineLevel="1">
      <c r="A24" s="739" t="s">
        <v>66</v>
      </c>
      <c r="B24" s="2"/>
      <c r="C24" s="2"/>
      <c r="D24" s="2"/>
      <c r="E24" s="811"/>
      <c r="F24" s="154">
        <f t="shared" si="35"/>
        <v>4025.5032065149558</v>
      </c>
      <c r="G24" s="154">
        <f t="shared" si="35"/>
        <v>1565.2599404007135</v>
      </c>
      <c r="H24" s="154">
        <f t="shared" si="35"/>
        <v>0</v>
      </c>
      <c r="I24" s="154">
        <f t="shared" si="35"/>
        <v>0</v>
      </c>
      <c r="J24" s="301">
        <f t="shared" si="11"/>
        <v>5590.7631469156695</v>
      </c>
      <c r="K24" s="342"/>
      <c r="L24" s="154">
        <f t="shared" si="36"/>
        <v>5940.2818882037991</v>
      </c>
      <c r="M24" s="154">
        <f t="shared" si="36"/>
        <v>2309.7945268668786</v>
      </c>
      <c r="N24" s="154">
        <f t="shared" si="36"/>
        <v>0</v>
      </c>
      <c r="O24" s="154">
        <f t="shared" si="36"/>
        <v>0</v>
      </c>
      <c r="P24" s="301">
        <f t="shared" si="17"/>
        <v>8250.0764150706782</v>
      </c>
      <c r="Q24" s="328"/>
      <c r="R24" s="154">
        <f t="shared" si="37"/>
        <v>979.72921568634513</v>
      </c>
      <c r="S24" s="154">
        <f t="shared" si="37"/>
        <v>380.95383734191262</v>
      </c>
      <c r="T24" s="154">
        <f t="shared" si="37"/>
        <v>0</v>
      </c>
      <c r="U24" s="154">
        <f t="shared" si="37"/>
        <v>0</v>
      </c>
      <c r="V24" s="301">
        <f t="shared" si="38"/>
        <v>1360.6830530282577</v>
      </c>
      <c r="W24" s="342"/>
      <c r="X24" s="154">
        <f t="shared" si="39"/>
        <v>979.72921568634524</v>
      </c>
      <c r="Y24" s="154">
        <f t="shared" si="39"/>
        <v>380.95383734191267</v>
      </c>
      <c r="Z24" s="154">
        <f t="shared" si="39"/>
        <v>0</v>
      </c>
      <c r="AA24" s="154">
        <f t="shared" si="39"/>
        <v>0</v>
      </c>
      <c r="AB24" s="279">
        <f t="shared" si="40"/>
        <v>1360.683053028258</v>
      </c>
      <c r="AC24" s="615"/>
      <c r="AD24" s="154">
        <f t="shared" si="41"/>
        <v>0</v>
      </c>
      <c r="AE24" s="154">
        <f t="shared" si="41"/>
        <v>0</v>
      </c>
      <c r="AF24" s="154">
        <f t="shared" si="41"/>
        <v>0</v>
      </c>
      <c r="AG24" s="154">
        <f t="shared" si="41"/>
        <v>0</v>
      </c>
      <c r="AH24" s="681">
        <f t="shared" si="18"/>
        <v>0</v>
      </c>
      <c r="AI24" s="301">
        <f t="shared" si="10"/>
        <v>1360.683053028258</v>
      </c>
      <c r="BB24" s="423"/>
      <c r="BC24" s="423"/>
      <c r="BD24" s="423"/>
      <c r="BE24" s="423"/>
      <c r="BF24" s="423"/>
      <c r="BG24" s="423"/>
      <c r="BH24" s="423"/>
      <c r="BI24" s="423"/>
      <c r="BJ24" s="423"/>
      <c r="BK24" s="423"/>
      <c r="BL24" s="423"/>
      <c r="BM24" s="423"/>
    </row>
    <row r="25" spans="1:65" s="454" customFormat="1" ht="20" hidden="1" outlineLevel="1" thickBot="1">
      <c r="A25" s="792" t="s">
        <v>328</v>
      </c>
      <c r="B25" s="930"/>
      <c r="C25" s="930"/>
      <c r="D25" s="930"/>
      <c r="E25" s="363"/>
      <c r="F25" s="363">
        <f t="shared" si="35"/>
        <v>0</v>
      </c>
      <c r="G25" s="363">
        <f t="shared" si="35"/>
        <v>0</v>
      </c>
      <c r="H25" s="363">
        <f t="shared" si="35"/>
        <v>0</v>
      </c>
      <c r="I25" s="363">
        <f t="shared" si="35"/>
        <v>0</v>
      </c>
      <c r="J25" s="364">
        <f t="shared" si="11"/>
        <v>0</v>
      </c>
      <c r="K25" s="474"/>
      <c r="L25" s="363">
        <f t="shared" si="36"/>
        <v>0</v>
      </c>
      <c r="M25" s="363">
        <f t="shared" si="36"/>
        <v>0</v>
      </c>
      <c r="N25" s="363">
        <f t="shared" si="36"/>
        <v>0</v>
      </c>
      <c r="O25" s="363">
        <f t="shared" si="36"/>
        <v>0</v>
      </c>
      <c r="P25" s="364">
        <f t="shared" si="17"/>
        <v>0</v>
      </c>
      <c r="Q25" s="365"/>
      <c r="R25" s="363">
        <f t="shared" si="37"/>
        <v>0</v>
      </c>
      <c r="S25" s="363">
        <f t="shared" si="37"/>
        <v>0</v>
      </c>
      <c r="T25" s="363">
        <f t="shared" si="37"/>
        <v>0</v>
      </c>
      <c r="U25" s="363">
        <f t="shared" si="37"/>
        <v>0</v>
      </c>
      <c r="V25" s="364">
        <f t="shared" si="38"/>
        <v>0</v>
      </c>
      <c r="W25" s="474"/>
      <c r="X25" s="363">
        <f t="shared" si="39"/>
        <v>0</v>
      </c>
      <c r="Y25" s="363">
        <f t="shared" si="39"/>
        <v>0</v>
      </c>
      <c r="Z25" s="363">
        <f t="shared" si="39"/>
        <v>0</v>
      </c>
      <c r="AA25" s="363">
        <f t="shared" si="39"/>
        <v>0</v>
      </c>
      <c r="AB25" s="626">
        <f t="shared" si="40"/>
        <v>0</v>
      </c>
      <c r="AC25" s="664"/>
      <c r="AD25" s="363">
        <f t="shared" si="41"/>
        <v>0</v>
      </c>
      <c r="AE25" s="363">
        <f t="shared" si="41"/>
        <v>0</v>
      </c>
      <c r="AF25" s="363">
        <f t="shared" si="41"/>
        <v>0</v>
      </c>
      <c r="AG25" s="363">
        <f t="shared" si="41"/>
        <v>0</v>
      </c>
      <c r="AH25" s="683">
        <f t="shared" si="18"/>
        <v>0</v>
      </c>
      <c r="AI25" s="364">
        <f t="shared" si="10"/>
        <v>0</v>
      </c>
      <c r="AJ25" s="88"/>
      <c r="AK25" s="88"/>
      <c r="AL25" s="88"/>
      <c r="AM25" s="88"/>
      <c r="AN25" s="88"/>
      <c r="AO25" s="88"/>
      <c r="AP25" s="88"/>
      <c r="AQ25" s="88"/>
      <c r="AR25" s="88"/>
      <c r="AS25" s="88"/>
      <c r="AT25" s="88"/>
      <c r="AU25" s="88"/>
    </row>
    <row r="26" spans="1:65" hidden="1" outlineLevel="1">
      <c r="A26" s="739"/>
      <c r="B26" s="2"/>
      <c r="C26" s="2"/>
      <c r="D26" s="2"/>
      <c r="E26" s="154"/>
      <c r="F26" s="154"/>
      <c r="G26" s="154"/>
      <c r="H26" s="154"/>
      <c r="I26" s="154"/>
      <c r="J26" s="301"/>
      <c r="K26" s="342"/>
      <c r="L26" s="154"/>
      <c r="M26" s="154"/>
      <c r="N26" s="154"/>
      <c r="O26" s="154"/>
      <c r="P26" s="301"/>
      <c r="Q26" s="328"/>
      <c r="R26" s="154"/>
      <c r="S26" s="154"/>
      <c r="T26" s="154"/>
      <c r="U26" s="154"/>
      <c r="V26" s="279"/>
      <c r="W26" s="342"/>
      <c r="X26" s="154"/>
      <c r="Y26" s="154"/>
      <c r="Z26" s="154"/>
      <c r="AA26" s="154"/>
      <c r="AB26" s="279"/>
      <c r="AC26" s="615"/>
      <c r="AD26" s="154"/>
      <c r="AE26" s="154"/>
      <c r="AF26" s="154"/>
      <c r="AG26" s="154"/>
      <c r="AH26" s="681"/>
      <c r="AI26" s="301"/>
      <c r="BB26" s="423"/>
      <c r="BC26" s="423"/>
      <c r="BD26" s="423"/>
      <c r="BE26" s="423"/>
      <c r="BF26" s="423"/>
      <c r="BG26" s="423"/>
      <c r="BH26" s="423"/>
      <c r="BI26" s="423"/>
      <c r="BJ26" s="423"/>
      <c r="BK26" s="423"/>
      <c r="BL26" s="423"/>
      <c r="BM26" s="423"/>
    </row>
    <row r="27" spans="1:65" ht="20" collapsed="1" thickBot="1">
      <c r="E27" s="898"/>
      <c r="F27" s="784"/>
      <c r="G27" s="784"/>
      <c r="H27" s="154"/>
      <c r="I27" s="154"/>
      <c r="J27" s="301"/>
      <c r="K27" s="899"/>
      <c r="L27" s="154"/>
      <c r="M27" s="154"/>
      <c r="N27" s="154"/>
      <c r="O27" s="154"/>
      <c r="P27" s="903"/>
      <c r="Q27" s="904"/>
      <c r="R27" s="154"/>
      <c r="S27" s="154"/>
      <c r="T27" s="154"/>
      <c r="U27" s="154"/>
      <c r="V27" s="279"/>
      <c r="W27" s="555"/>
      <c r="X27" s="154"/>
      <c r="Y27" s="154"/>
      <c r="Z27" s="154"/>
      <c r="AA27" s="154"/>
      <c r="AB27" s="154"/>
      <c r="AC27" s="615"/>
      <c r="AD27" s="154"/>
      <c r="AE27" s="154"/>
      <c r="AF27" s="154"/>
      <c r="AG27" s="154"/>
      <c r="AH27" s="684"/>
      <c r="AI27" s="299"/>
      <c r="BB27" s="423"/>
      <c r="BC27" s="423"/>
      <c r="BD27" s="423"/>
      <c r="BE27" s="423"/>
      <c r="BF27" s="423"/>
      <c r="BG27" s="423"/>
      <c r="BH27" s="423"/>
      <c r="BI27" s="423"/>
      <c r="BJ27" s="423"/>
      <c r="BK27" s="423"/>
      <c r="BL27" s="423"/>
      <c r="BM27" s="423"/>
    </row>
    <row r="28" spans="1:65" s="482" customFormat="1" ht="21" customHeight="1">
      <c r="A28" s="738" t="s">
        <v>342</v>
      </c>
      <c r="B28" s="931"/>
      <c r="C28" s="931"/>
      <c r="D28" s="931"/>
      <c r="E28" s="725"/>
      <c r="F28" s="476">
        <f>SUM(F29:F33)</f>
        <v>94980336.687484041</v>
      </c>
      <c r="G28" s="476">
        <f t="shared" ref="G28:I28" si="42">SUM(G29:G33)</f>
        <v>40428564.380383775</v>
      </c>
      <c r="H28" s="476">
        <f t="shared" si="42"/>
        <v>0</v>
      </c>
      <c r="I28" s="476">
        <f t="shared" si="42"/>
        <v>0</v>
      </c>
      <c r="J28" s="477">
        <f t="shared" si="11"/>
        <v>135408901.06786782</v>
      </c>
      <c r="K28" s="483"/>
      <c r="L28" s="476">
        <f>SUM(L29:L33)</f>
        <v>159493402.64256939</v>
      </c>
      <c r="M28" s="476">
        <f t="shared" ref="M28:O28" si="43">SUM(M29:M33)</f>
        <v>67748571.978395551</v>
      </c>
      <c r="N28" s="476">
        <f t="shared" si="43"/>
        <v>0</v>
      </c>
      <c r="O28" s="476">
        <f t="shared" si="43"/>
        <v>0</v>
      </c>
      <c r="P28" s="477">
        <f t="shared" ref="P28:P34" si="44">SUM(L28:O28)</f>
        <v>227241974.62096494</v>
      </c>
      <c r="Q28" s="484"/>
      <c r="R28" s="476">
        <f>SUM(R29:R33)</f>
        <v>26305207.264398091</v>
      </c>
      <c r="S28" s="476">
        <f t="shared" ref="S28:U28" si="45">SUM(S29:S33)</f>
        <v>11173755.141161103</v>
      </c>
      <c r="T28" s="476">
        <f t="shared" si="45"/>
        <v>0</v>
      </c>
      <c r="U28" s="476">
        <f t="shared" si="45"/>
        <v>0</v>
      </c>
      <c r="V28" s="635">
        <f t="shared" ref="V28:V34" si="46">SUM(R28:U28)</f>
        <v>37478962.405559197</v>
      </c>
      <c r="W28" s="567"/>
      <c r="X28" s="476">
        <f>SUM(X29:X33)</f>
        <v>22887756.674386442</v>
      </c>
      <c r="Y28" s="476">
        <f t="shared" ref="Y28:AA28" si="47">SUM(Y29:Y33)</f>
        <v>8899580.2040539365</v>
      </c>
      <c r="Z28" s="476">
        <f t="shared" si="47"/>
        <v>0</v>
      </c>
      <c r="AA28" s="476">
        <f t="shared" si="47"/>
        <v>0</v>
      </c>
      <c r="AB28" s="635">
        <f t="shared" ref="AB28:AB53" si="48">SUM(X28:AA28)</f>
        <v>31787336.87844038</v>
      </c>
      <c r="AC28" s="685"/>
      <c r="AD28" s="476">
        <f>SUM(AD29:AD33)</f>
        <v>20720643.539711211</v>
      </c>
      <c r="AE28" s="476">
        <f t="shared" ref="AE28:AG28" si="49">SUM(AE29:AE33)</f>
        <v>13788748.94533065</v>
      </c>
      <c r="AF28" s="476">
        <f t="shared" si="49"/>
        <v>0</v>
      </c>
      <c r="AG28" s="476">
        <f t="shared" si="49"/>
        <v>0</v>
      </c>
      <c r="AH28" s="686">
        <f t="shared" ref="AH28:AH34" si="50">SUM(AD28:AG28)</f>
        <v>34509392.485041857</v>
      </c>
      <c r="AI28" s="477">
        <f>AH28+AB28</f>
        <v>66296729.363482237</v>
      </c>
      <c r="AJ28" s="481"/>
      <c r="AK28" s="481"/>
      <c r="AL28" s="481"/>
      <c r="AM28" s="481"/>
      <c r="AN28" s="481"/>
      <c r="AO28" s="481"/>
      <c r="AP28" s="481"/>
      <c r="AQ28" s="481"/>
      <c r="AR28" s="481"/>
      <c r="AS28" s="481"/>
      <c r="AT28" s="481"/>
      <c r="AU28" s="481"/>
    </row>
    <row r="29" spans="1:65" hidden="1" outlineLevel="1">
      <c r="A29" s="739" t="s">
        <v>327</v>
      </c>
      <c r="B29" s="2"/>
      <c r="C29" s="2"/>
      <c r="D29" s="2"/>
      <c r="E29" s="724"/>
      <c r="F29" s="169">
        <f t="shared" ref="F29:I33" si="51">F$20*F64*F74</f>
        <v>27425.301916122386</v>
      </c>
      <c r="G29" s="169">
        <f t="shared" si="51"/>
        <v>180825.90115807255</v>
      </c>
      <c r="H29" s="169">
        <f t="shared" si="51"/>
        <v>0</v>
      </c>
      <c r="I29" s="169">
        <f t="shared" si="51"/>
        <v>0</v>
      </c>
      <c r="J29" s="406">
        <f t="shared" si="11"/>
        <v>208251.20307419493</v>
      </c>
      <c r="K29" s="296"/>
      <c r="L29" s="169">
        <f t="shared" ref="L29:O33" si="52">L$20*L64*L74</f>
        <v>43256.966022775436</v>
      </c>
      <c r="M29" s="169">
        <f t="shared" si="52"/>
        <v>285210.34650248359</v>
      </c>
      <c r="N29" s="169">
        <f t="shared" si="52"/>
        <v>0</v>
      </c>
      <c r="O29" s="169">
        <f t="shared" si="52"/>
        <v>0</v>
      </c>
      <c r="P29" s="406">
        <f t="shared" si="44"/>
        <v>328467.31252525904</v>
      </c>
      <c r="Q29" s="469"/>
      <c r="R29" s="169">
        <f t="shared" ref="R29:U33" si="53">R$20*R64*R74</f>
        <v>7134.3606569619214</v>
      </c>
      <c r="S29" s="169">
        <f t="shared" si="53"/>
        <v>47039.67157508104</v>
      </c>
      <c r="T29" s="169">
        <f t="shared" si="53"/>
        <v>0</v>
      </c>
      <c r="U29" s="169">
        <f t="shared" si="53"/>
        <v>0</v>
      </c>
      <c r="V29" s="671">
        <f t="shared" si="46"/>
        <v>54174.032232042962</v>
      </c>
      <c r="W29" s="342"/>
      <c r="X29" s="169">
        <f t="shared" ref="X29:AA33" si="54">X$20*X64*X74</f>
        <v>0</v>
      </c>
      <c r="Y29" s="169">
        <f t="shared" si="54"/>
        <v>0</v>
      </c>
      <c r="Z29" s="169">
        <f t="shared" si="54"/>
        <v>0</v>
      </c>
      <c r="AA29" s="169">
        <f t="shared" si="54"/>
        <v>0</v>
      </c>
      <c r="AB29" s="671">
        <f t="shared" si="48"/>
        <v>0</v>
      </c>
      <c r="AC29" s="615"/>
      <c r="AD29" s="169">
        <f t="shared" ref="AD29:AG33" si="55">AD$20*AD64*AD74</f>
        <v>43256.966022775443</v>
      </c>
      <c r="AE29" s="169">
        <f t="shared" si="55"/>
        <v>285210.34650248365</v>
      </c>
      <c r="AF29" s="169">
        <f t="shared" si="55"/>
        <v>0</v>
      </c>
      <c r="AG29" s="169">
        <f t="shared" si="55"/>
        <v>0</v>
      </c>
      <c r="AH29" s="687">
        <f t="shared" si="50"/>
        <v>328467.3125252591</v>
      </c>
      <c r="AI29" s="406">
        <f>AH29+AB29</f>
        <v>328467.3125252591</v>
      </c>
      <c r="BB29" s="423"/>
      <c r="BC29" s="423"/>
      <c r="BD29" s="423"/>
      <c r="BE29" s="423"/>
      <c r="BF29" s="423"/>
      <c r="BG29" s="423"/>
      <c r="BH29" s="423"/>
      <c r="BI29" s="423"/>
      <c r="BJ29" s="423"/>
      <c r="BK29" s="423"/>
      <c r="BL29" s="423"/>
      <c r="BM29" s="423"/>
    </row>
    <row r="30" spans="1:65" hidden="1" outlineLevel="1">
      <c r="A30" s="739" t="s">
        <v>429</v>
      </c>
      <c r="B30" s="2"/>
      <c r="C30" s="2"/>
      <c r="D30" s="2"/>
      <c r="E30" s="724"/>
      <c r="F30" s="169">
        <f t="shared" si="51"/>
        <v>1192283.4161050071</v>
      </c>
      <c r="G30" s="169">
        <f t="shared" si="51"/>
        <v>1362449.1371754475</v>
      </c>
      <c r="H30" s="169">
        <f t="shared" si="51"/>
        <v>0</v>
      </c>
      <c r="I30" s="169">
        <f t="shared" si="51"/>
        <v>0</v>
      </c>
      <c r="J30" s="406">
        <f t="shared" si="11"/>
        <v>2554732.5532804546</v>
      </c>
      <c r="K30" s="296"/>
      <c r="L30" s="169">
        <f t="shared" si="52"/>
        <v>1917980.4507478029</v>
      </c>
      <c r="M30" s="169">
        <f t="shared" si="52"/>
        <v>2191719.4980178885</v>
      </c>
      <c r="N30" s="169">
        <f t="shared" si="52"/>
        <v>0</v>
      </c>
      <c r="O30" s="169">
        <f t="shared" si="52"/>
        <v>0</v>
      </c>
      <c r="P30" s="406">
        <f t="shared" si="44"/>
        <v>4109699.9487656914</v>
      </c>
      <c r="Q30" s="469"/>
      <c r="R30" s="169">
        <f t="shared" si="53"/>
        <v>316332.03913174628</v>
      </c>
      <c r="S30" s="169">
        <f t="shared" si="53"/>
        <v>361479.75217499753</v>
      </c>
      <c r="T30" s="169">
        <f t="shared" si="53"/>
        <v>0</v>
      </c>
      <c r="U30" s="169">
        <f t="shared" si="53"/>
        <v>0</v>
      </c>
      <c r="V30" s="671">
        <f t="shared" si="46"/>
        <v>677811.79130674386</v>
      </c>
      <c r="W30" s="342"/>
      <c r="X30" s="169">
        <f t="shared" si="54"/>
        <v>0</v>
      </c>
      <c r="Y30" s="169">
        <f t="shared" si="54"/>
        <v>0</v>
      </c>
      <c r="Z30" s="169">
        <f t="shared" si="54"/>
        <v>0</v>
      </c>
      <c r="AA30" s="169">
        <f t="shared" si="54"/>
        <v>0</v>
      </c>
      <c r="AB30" s="671">
        <f t="shared" si="48"/>
        <v>0</v>
      </c>
      <c r="AC30" s="615"/>
      <c r="AD30" s="169">
        <f t="shared" si="55"/>
        <v>1917980.4507478031</v>
      </c>
      <c r="AE30" s="169">
        <f t="shared" si="55"/>
        <v>2191719.498017889</v>
      </c>
      <c r="AF30" s="169">
        <f t="shared" si="55"/>
        <v>0</v>
      </c>
      <c r="AG30" s="169">
        <f t="shared" si="55"/>
        <v>0</v>
      </c>
      <c r="AH30" s="687">
        <f t="shared" si="50"/>
        <v>4109699.9487656923</v>
      </c>
      <c r="AI30" s="406">
        <f t="shared" ref="AI30:AI51" si="56">AH30+AB30</f>
        <v>4109699.9487656923</v>
      </c>
      <c r="BB30" s="423"/>
      <c r="BC30" s="423"/>
      <c r="BD30" s="423"/>
      <c r="BE30" s="423"/>
      <c r="BF30" s="423"/>
      <c r="BG30" s="423"/>
      <c r="BH30" s="423"/>
      <c r="BI30" s="423"/>
      <c r="BJ30" s="423"/>
      <c r="BK30" s="423"/>
      <c r="BL30" s="423"/>
      <c r="BM30" s="423"/>
    </row>
    <row r="31" spans="1:65" hidden="1" outlineLevel="1">
      <c r="A31" s="739" t="s">
        <v>65</v>
      </c>
      <c r="B31" s="2"/>
      <c r="C31" s="2"/>
      <c r="D31" s="2"/>
      <c r="E31" s="724"/>
      <c r="F31" s="169">
        <f t="shared" si="51"/>
        <v>11336437.064465931</v>
      </c>
      <c r="G31" s="169">
        <f t="shared" si="51"/>
        <v>6835809.4323754478</v>
      </c>
      <c r="H31" s="169">
        <f t="shared" si="51"/>
        <v>0</v>
      </c>
      <c r="I31" s="169">
        <f t="shared" si="51"/>
        <v>0</v>
      </c>
      <c r="J31" s="406">
        <f t="shared" si="11"/>
        <v>18172246.496841379</v>
      </c>
      <c r="K31" s="296"/>
      <c r="L31" s="169">
        <f t="shared" si="52"/>
        <v>18759406.122940633</v>
      </c>
      <c r="M31" s="169">
        <f t="shared" si="52"/>
        <v>11311819.100810276</v>
      </c>
      <c r="N31" s="169">
        <f t="shared" si="52"/>
        <v>0</v>
      </c>
      <c r="O31" s="169">
        <f t="shared" si="52"/>
        <v>0</v>
      </c>
      <c r="P31" s="406">
        <f t="shared" si="44"/>
        <v>30071225.223750912</v>
      </c>
      <c r="Q31" s="469"/>
      <c r="R31" s="169">
        <f t="shared" si="53"/>
        <v>3093984.1902229432</v>
      </c>
      <c r="S31" s="169">
        <f t="shared" si="53"/>
        <v>1865655.5133570875</v>
      </c>
      <c r="T31" s="169">
        <f t="shared" si="53"/>
        <v>0</v>
      </c>
      <c r="U31" s="169">
        <f t="shared" si="53"/>
        <v>0</v>
      </c>
      <c r="V31" s="671">
        <f t="shared" si="46"/>
        <v>4959639.7035800312</v>
      </c>
      <c r="W31" s="342"/>
      <c r="X31" s="169">
        <f t="shared" si="54"/>
        <v>0</v>
      </c>
      <c r="Y31" s="169">
        <f t="shared" si="54"/>
        <v>0</v>
      </c>
      <c r="Z31" s="169">
        <f t="shared" si="54"/>
        <v>0</v>
      </c>
      <c r="AA31" s="169">
        <f t="shared" si="54"/>
        <v>0</v>
      </c>
      <c r="AB31" s="671">
        <f t="shared" si="48"/>
        <v>0</v>
      </c>
      <c r="AC31" s="615"/>
      <c r="AD31" s="169">
        <f t="shared" si="55"/>
        <v>18759406.122940633</v>
      </c>
      <c r="AE31" s="169">
        <f t="shared" si="55"/>
        <v>11311819.100810276</v>
      </c>
      <c r="AF31" s="169">
        <f t="shared" si="55"/>
        <v>0</v>
      </c>
      <c r="AG31" s="169">
        <f t="shared" si="55"/>
        <v>0</v>
      </c>
      <c r="AH31" s="687">
        <f t="shared" si="50"/>
        <v>30071225.223750912</v>
      </c>
      <c r="AI31" s="406">
        <f t="shared" si="56"/>
        <v>30071225.223750912</v>
      </c>
      <c r="BB31" s="423"/>
      <c r="BC31" s="423"/>
      <c r="BD31" s="423"/>
      <c r="BE31" s="423"/>
      <c r="BF31" s="423"/>
      <c r="BG31" s="423"/>
      <c r="BH31" s="423"/>
      <c r="BI31" s="423"/>
      <c r="BJ31" s="423"/>
      <c r="BK31" s="423"/>
      <c r="BL31" s="423"/>
      <c r="BM31" s="423"/>
    </row>
    <row r="32" spans="1:65" s="887" customFormat="1" hidden="1" outlineLevel="1">
      <c r="A32" s="877" t="s">
        <v>66</v>
      </c>
      <c r="B32" s="888"/>
      <c r="C32" s="888"/>
      <c r="D32" s="888"/>
      <c r="E32" s="878"/>
      <c r="F32" s="879">
        <f t="shared" si="51"/>
        <v>82424190.904996976</v>
      </c>
      <c r="G32" s="879">
        <f t="shared" si="51"/>
        <v>32049479.909674808</v>
      </c>
      <c r="H32" s="879">
        <f t="shared" si="51"/>
        <v>0</v>
      </c>
      <c r="I32" s="879">
        <f t="shared" si="51"/>
        <v>0</v>
      </c>
      <c r="J32" s="880">
        <f t="shared" si="11"/>
        <v>114473670.81467178</v>
      </c>
      <c r="K32" s="881"/>
      <c r="L32" s="879">
        <f t="shared" si="52"/>
        <v>138772759.10285819</v>
      </c>
      <c r="M32" s="879">
        <f t="shared" si="52"/>
        <v>53959823.033064909</v>
      </c>
      <c r="N32" s="879">
        <f t="shared" si="52"/>
        <v>0</v>
      </c>
      <c r="O32" s="879">
        <f t="shared" si="52"/>
        <v>0</v>
      </c>
      <c r="P32" s="880">
        <f t="shared" si="44"/>
        <v>192732582.13592309</v>
      </c>
      <c r="Q32" s="882"/>
      <c r="R32" s="879">
        <f t="shared" si="53"/>
        <v>22887756.674386438</v>
      </c>
      <c r="S32" s="879">
        <f t="shared" si="53"/>
        <v>8899580.2040539365</v>
      </c>
      <c r="T32" s="879">
        <f t="shared" si="53"/>
        <v>0</v>
      </c>
      <c r="U32" s="879">
        <f t="shared" si="53"/>
        <v>0</v>
      </c>
      <c r="V32" s="883">
        <f t="shared" si="46"/>
        <v>31787336.878440373</v>
      </c>
      <c r="W32" s="884"/>
      <c r="X32" s="879">
        <f t="shared" si="54"/>
        <v>22887756.674386442</v>
      </c>
      <c r="Y32" s="879">
        <f t="shared" si="54"/>
        <v>8899580.2040539365</v>
      </c>
      <c r="Z32" s="879">
        <f t="shared" si="54"/>
        <v>0</v>
      </c>
      <c r="AA32" s="879">
        <f t="shared" si="54"/>
        <v>0</v>
      </c>
      <c r="AB32" s="883">
        <f t="shared" si="48"/>
        <v>31787336.87844038</v>
      </c>
      <c r="AC32" s="885"/>
      <c r="AD32" s="879">
        <f t="shared" si="55"/>
        <v>0</v>
      </c>
      <c r="AE32" s="879">
        <f t="shared" si="55"/>
        <v>0</v>
      </c>
      <c r="AF32" s="879">
        <f t="shared" si="55"/>
        <v>0</v>
      </c>
      <c r="AG32" s="879">
        <f t="shared" si="55"/>
        <v>0</v>
      </c>
      <c r="AH32" s="886">
        <f t="shared" si="50"/>
        <v>0</v>
      </c>
      <c r="AI32" s="880">
        <f t="shared" si="56"/>
        <v>31787336.87844038</v>
      </c>
      <c r="AJ32" s="14"/>
      <c r="AK32" s="14"/>
      <c r="AL32" s="14"/>
      <c r="AM32" s="14"/>
      <c r="AN32" s="14"/>
      <c r="AO32" s="14"/>
      <c r="AP32" s="14"/>
      <c r="AQ32" s="14"/>
      <c r="AR32" s="14"/>
      <c r="AS32" s="14"/>
      <c r="AT32" s="14"/>
      <c r="AU32" s="14"/>
    </row>
    <row r="33" spans="1:65" hidden="1" outlineLevel="1">
      <c r="A33" s="739" t="s">
        <v>328</v>
      </c>
      <c r="B33" s="2"/>
      <c r="C33" s="2"/>
      <c r="D33" s="2"/>
      <c r="E33" s="724"/>
      <c r="F33" s="169">
        <f t="shared" si="51"/>
        <v>0</v>
      </c>
      <c r="G33" s="169">
        <f t="shared" si="51"/>
        <v>0</v>
      </c>
      <c r="H33" s="169">
        <f t="shared" si="51"/>
        <v>0</v>
      </c>
      <c r="I33" s="169">
        <f t="shared" si="51"/>
        <v>0</v>
      </c>
      <c r="J33" s="406">
        <f t="shared" si="11"/>
        <v>0</v>
      </c>
      <c r="K33" s="296"/>
      <c r="L33" s="169">
        <f t="shared" si="52"/>
        <v>0</v>
      </c>
      <c r="M33" s="169">
        <f t="shared" si="52"/>
        <v>0</v>
      </c>
      <c r="N33" s="169">
        <f t="shared" si="52"/>
        <v>0</v>
      </c>
      <c r="O33" s="169">
        <f t="shared" si="52"/>
        <v>0</v>
      </c>
      <c r="P33" s="406">
        <f t="shared" si="44"/>
        <v>0</v>
      </c>
      <c r="Q33" s="469"/>
      <c r="R33" s="169">
        <f t="shared" si="53"/>
        <v>0</v>
      </c>
      <c r="S33" s="169">
        <f t="shared" si="53"/>
        <v>0</v>
      </c>
      <c r="T33" s="169">
        <f t="shared" si="53"/>
        <v>0</v>
      </c>
      <c r="U33" s="169">
        <f t="shared" si="53"/>
        <v>0</v>
      </c>
      <c r="V33" s="671">
        <f t="shared" si="46"/>
        <v>0</v>
      </c>
      <c r="W33" s="342"/>
      <c r="X33" s="169">
        <f t="shared" si="54"/>
        <v>0</v>
      </c>
      <c r="Y33" s="169">
        <f t="shared" si="54"/>
        <v>0</v>
      </c>
      <c r="Z33" s="169">
        <f t="shared" si="54"/>
        <v>0</v>
      </c>
      <c r="AA33" s="169">
        <f t="shared" si="54"/>
        <v>0</v>
      </c>
      <c r="AB33" s="671">
        <f t="shared" si="48"/>
        <v>0</v>
      </c>
      <c r="AC33" s="615"/>
      <c r="AD33" s="169">
        <f t="shared" si="55"/>
        <v>0</v>
      </c>
      <c r="AE33" s="169">
        <f t="shared" si="55"/>
        <v>0</v>
      </c>
      <c r="AF33" s="169">
        <f t="shared" si="55"/>
        <v>0</v>
      </c>
      <c r="AG33" s="169">
        <f t="shared" si="55"/>
        <v>0</v>
      </c>
      <c r="AH33" s="687">
        <f t="shared" si="50"/>
        <v>0</v>
      </c>
      <c r="AI33" s="406">
        <f t="shared" si="56"/>
        <v>0</v>
      </c>
      <c r="BB33" s="423"/>
      <c r="BC33" s="423"/>
      <c r="BD33" s="423"/>
      <c r="BE33" s="423"/>
      <c r="BF33" s="423"/>
      <c r="BG33" s="423"/>
      <c r="BH33" s="423"/>
      <c r="BI33" s="423"/>
      <c r="BJ33" s="423"/>
      <c r="BK33" s="423"/>
      <c r="BL33" s="423"/>
      <c r="BM33" s="423"/>
    </row>
    <row r="34" spans="1:65" s="495" customFormat="1" ht="20" collapsed="1">
      <c r="A34" s="740" t="s">
        <v>343</v>
      </c>
      <c r="B34" s="932"/>
      <c r="C34" s="932"/>
      <c r="D34" s="932"/>
      <c r="E34" s="726"/>
      <c r="F34" s="492">
        <f>SUM(F35:F47)</f>
        <v>71034286.708248124</v>
      </c>
      <c r="G34" s="492">
        <f>SUM(G35:G46)</f>
        <v>29717765.747689471</v>
      </c>
      <c r="H34" s="492">
        <f>SUM(H35:H46)</f>
        <v>0</v>
      </c>
      <c r="I34" s="492">
        <f>SUM(I35:I46)</f>
        <v>0</v>
      </c>
      <c r="J34" s="674">
        <f>SUM(J35:J46)</f>
        <v>100750984.75365901</v>
      </c>
      <c r="K34" s="675"/>
      <c r="L34" s="492">
        <f>SUM(L35:L46)</f>
        <v>104538952.11296637</v>
      </c>
      <c r="M34" s="492">
        <f>SUM(M35:M46)</f>
        <v>43735550.964193739</v>
      </c>
      <c r="N34" s="492">
        <f>SUM(N35:N46)</f>
        <v>0</v>
      </c>
      <c r="O34" s="492">
        <f>SUM(O35:O46)</f>
        <v>0</v>
      </c>
      <c r="P34" s="674">
        <f t="shared" si="44"/>
        <v>148274503.07716012</v>
      </c>
      <c r="Q34" s="676"/>
      <c r="R34" s="492">
        <f>SUM(R35:R46)</f>
        <v>5348423.8085498009</v>
      </c>
      <c r="S34" s="492">
        <f>SUM(S35:S46)</f>
        <v>2245264.8646213431</v>
      </c>
      <c r="T34" s="492">
        <f>SUM(T35:T46)</f>
        <v>0</v>
      </c>
      <c r="U34" s="492">
        <f>SUM(U35:U46)</f>
        <v>0</v>
      </c>
      <c r="V34" s="677">
        <f t="shared" si="46"/>
        <v>7593688.673171144</v>
      </c>
      <c r="W34" s="678"/>
      <c r="X34" s="492">
        <f>SUM(X35:X46)</f>
        <v>3965554.2199540259</v>
      </c>
      <c r="Y34" s="492">
        <f>SUM(Y35:Y46)</f>
        <v>1541949.6255611726</v>
      </c>
      <c r="Z34" s="492">
        <f>SUM(Z35:Z46)</f>
        <v>0</v>
      </c>
      <c r="AA34" s="492">
        <f>SUM(AA35:AA46)</f>
        <v>0</v>
      </c>
      <c r="AB34" s="677">
        <f t="shared" si="48"/>
        <v>5507503.845515199</v>
      </c>
      <c r="AC34" s="688"/>
      <c r="AD34" s="492">
        <f>SUM(AD35:AD46)</f>
        <v>12621024.003145257</v>
      </c>
      <c r="AE34" s="492">
        <f>SUM(AE35:AE46)</f>
        <v>8156261.8211081373</v>
      </c>
      <c r="AF34" s="492">
        <f>SUM(AF35:AF46)</f>
        <v>0</v>
      </c>
      <c r="AG34" s="492">
        <f>SUM(AG35:AG46)</f>
        <v>0</v>
      </c>
      <c r="AH34" s="689">
        <f t="shared" si="50"/>
        <v>20777285.824253395</v>
      </c>
      <c r="AI34" s="674">
        <f>AH34+AB34</f>
        <v>26284789.669768594</v>
      </c>
      <c r="AJ34" s="493"/>
      <c r="AK34" s="493"/>
      <c r="AL34" s="493"/>
      <c r="AM34" s="493"/>
      <c r="AN34" s="493"/>
      <c r="AO34" s="493"/>
      <c r="AP34" s="493"/>
      <c r="AQ34" s="493"/>
      <c r="AR34" s="493"/>
      <c r="AS34" s="493"/>
      <c r="AT34" s="493"/>
      <c r="AU34" s="493"/>
    </row>
    <row r="35" spans="1:65" ht="20" customHeight="1">
      <c r="A35" s="741" t="s">
        <v>499</v>
      </c>
      <c r="B35" s="13"/>
      <c r="C35" s="13"/>
      <c r="D35" s="13"/>
      <c r="F35" s="169">
        <f>F20*F125</f>
        <v>60808331.593537107</v>
      </c>
      <c r="G35" s="169">
        <f>G20*G125</f>
        <v>25400948.640338287</v>
      </c>
      <c r="H35" s="169">
        <f>H20*H125</f>
        <v>0</v>
      </c>
      <c r="I35" s="169">
        <f>I20*I125</f>
        <v>0</v>
      </c>
      <c r="J35" s="406">
        <f t="shared" ref="J35:J53" si="57">SUM(F35:I35)</f>
        <v>86209280.233875394</v>
      </c>
      <c r="L35" s="169">
        <f>L20*L125</f>
        <v>89732540.824306339</v>
      </c>
      <c r="M35" s="169">
        <f>M20*M125</f>
        <v>37483213.255722903</v>
      </c>
      <c r="N35" s="169">
        <f>N20*N125</f>
        <v>0</v>
      </c>
      <c r="O35" s="169">
        <f>O20*O125</f>
        <v>0</v>
      </c>
      <c r="P35" s="406">
        <f t="shared" ref="P35" si="58">SUM(L35:O35)</f>
        <v>127215754.08002925</v>
      </c>
      <c r="Q35" s="485"/>
      <c r="R35" s="169">
        <f>R20*R125</f>
        <v>0</v>
      </c>
      <c r="S35" s="169">
        <f>S20*S125</f>
        <v>0</v>
      </c>
      <c r="T35" s="169">
        <f>T20*T125</f>
        <v>0</v>
      </c>
      <c r="U35" s="169">
        <f>U20*U125</f>
        <v>0</v>
      </c>
      <c r="V35" s="406">
        <f t="shared" ref="V35" si="59">SUM(R35:U35)</f>
        <v>0</v>
      </c>
      <c r="X35" s="169">
        <f>X20*X125</f>
        <v>0</v>
      </c>
      <c r="Y35" s="169">
        <f>Y20*Y125</f>
        <v>0</v>
      </c>
      <c r="Z35" s="169">
        <f>Z20*Z125</f>
        <v>0</v>
      </c>
      <c r="AA35" s="169">
        <f>AA20*AA125</f>
        <v>0</v>
      </c>
      <c r="AB35" s="406">
        <f t="shared" ref="AB35" si="60">SUM(X35:AA35)</f>
        <v>0</v>
      </c>
      <c r="AD35" s="169">
        <f>AD20*AD125</f>
        <v>10132763.522375433</v>
      </c>
      <c r="AE35" s="169">
        <f>AE20*AE125</f>
        <v>6531966.5957067255</v>
      </c>
      <c r="AF35" s="169">
        <f>AF20*AF125</f>
        <v>0</v>
      </c>
      <c r="AG35" s="169">
        <f>AG20*AG125</f>
        <v>0</v>
      </c>
      <c r="AH35" s="406">
        <f t="shared" ref="AH35" si="61">SUM(AD35:AG35)</f>
        <v>16664730.118082158</v>
      </c>
      <c r="AI35" s="406">
        <f t="shared" si="56"/>
        <v>16664730.118082158</v>
      </c>
      <c r="AP35" s="80"/>
    </row>
    <row r="36" spans="1:65" ht="20" customHeight="1">
      <c r="A36" s="741" t="s">
        <v>500</v>
      </c>
      <c r="B36" s="13"/>
      <c r="C36" s="13"/>
      <c r="D36" s="13"/>
      <c r="F36" s="169">
        <f>F6*F134*F127</f>
        <v>1125465.5999999999</v>
      </c>
      <c r="G36" s="169">
        <f>G6*G134*G127</f>
        <v>470131.20000000001</v>
      </c>
      <c r="H36" s="169">
        <f>H6*H134*H127</f>
        <v>0</v>
      </c>
      <c r="I36" s="169">
        <f>I6*I134*I127</f>
        <v>0</v>
      </c>
      <c r="J36" s="406">
        <f>SUM(F36:I36)</f>
        <v>1595596.7999999998</v>
      </c>
      <c r="L36" s="169">
        <f>L6*L134*L127</f>
        <v>1125465.5999999999</v>
      </c>
      <c r="M36" s="169">
        <f>M6*M134*M127</f>
        <v>470131.20000000001</v>
      </c>
      <c r="N36" s="169">
        <f>N6*N134*N127</f>
        <v>0</v>
      </c>
      <c r="O36" s="169">
        <f>O6*O134*O127</f>
        <v>0</v>
      </c>
      <c r="P36" s="406">
        <f>SUM(L36:O36)</f>
        <v>1595596.7999999998</v>
      </c>
      <c r="Q36" s="485"/>
      <c r="R36" s="169">
        <f>R6*R134*R127</f>
        <v>1125465.5999999999</v>
      </c>
      <c r="S36" s="169">
        <f>S6*S134*S127</f>
        <v>470131.20000000001</v>
      </c>
      <c r="T36" s="169">
        <f>T6*T134*T127</f>
        <v>0</v>
      </c>
      <c r="U36" s="169">
        <f>U6*U134*U127</f>
        <v>0</v>
      </c>
      <c r="V36" s="406">
        <f>SUM(R36:U36)</f>
        <v>1595596.7999999998</v>
      </c>
      <c r="X36" s="169">
        <f>X6*X134*X127</f>
        <v>998375.95478759916</v>
      </c>
      <c r="Y36" s="169">
        <f>Y6*Y134*Y127</f>
        <v>388204.35789473681</v>
      </c>
      <c r="Z36" s="169">
        <f>Z6*Z134*Z127</f>
        <v>0</v>
      </c>
      <c r="AA36" s="169">
        <f>AA6*AA134*AA127</f>
        <v>0</v>
      </c>
      <c r="AB36" s="406">
        <f>SUM(X36:AA36)</f>
        <v>1386580.312682336</v>
      </c>
      <c r="AD36" s="169">
        <f>AD6*AD134*AD127</f>
        <v>127089.64521240095</v>
      </c>
      <c r="AE36" s="169">
        <f>AE6*AE134*AE127</f>
        <v>81926.84210526316</v>
      </c>
      <c r="AF36" s="169">
        <f>AF6*AF134*AF127</f>
        <v>0</v>
      </c>
      <c r="AG36" s="169">
        <f>AG6*AG134*AG127</f>
        <v>0</v>
      </c>
      <c r="AH36" s="406">
        <f>SUM(AD36:AG36)</f>
        <v>209016.48731766411</v>
      </c>
      <c r="AI36" s="406"/>
      <c r="AP36" s="80"/>
    </row>
    <row r="37" spans="1:65" ht="20" customHeight="1">
      <c r="A37" s="741" t="s">
        <v>496</v>
      </c>
      <c r="B37" s="13"/>
      <c r="C37" s="13"/>
      <c r="D37" s="13"/>
      <c r="F37" s="169">
        <f>F126*F20</f>
        <v>2116071.4285714282</v>
      </c>
      <c r="G37" s="169">
        <f>G126*G20</f>
        <v>883928.57142857136</v>
      </c>
      <c r="H37" s="169">
        <f>H126*H20</f>
        <v>0</v>
      </c>
      <c r="I37" s="169">
        <f>I126*I20</f>
        <v>0</v>
      </c>
      <c r="J37" s="406">
        <f>SUM(F37:I37)</f>
        <v>2999999.9999999995</v>
      </c>
      <c r="L37" s="169">
        <f>L126*L20</f>
        <v>2116071.4285714286</v>
      </c>
      <c r="M37" s="169">
        <f>M126*M20</f>
        <v>883928.57142857125</v>
      </c>
      <c r="N37" s="169">
        <f>N126*N20</f>
        <v>0</v>
      </c>
      <c r="O37" s="169">
        <f>O126*O20</f>
        <v>0</v>
      </c>
      <c r="P37" s="406">
        <f>SUM(L37:O37)</f>
        <v>3000000</v>
      </c>
      <c r="Q37" s="485"/>
      <c r="R37" s="169">
        <f>R126*R20</f>
        <v>2116071.4285714286</v>
      </c>
      <c r="S37" s="169">
        <f>S126*S20</f>
        <v>883928.57142857136</v>
      </c>
      <c r="T37" s="169">
        <f>T126*T20</f>
        <v>0</v>
      </c>
      <c r="U37" s="169">
        <f>U126*U20</f>
        <v>0</v>
      </c>
      <c r="V37" s="406">
        <f>SUM(R37:U37)</f>
        <v>3000000</v>
      </c>
      <c r="X37" s="169">
        <f>X126*X20</f>
        <v>1128581.7663565725</v>
      </c>
      <c r="Y37" s="169">
        <f>Y126*Y20</f>
        <v>438833.04464536073</v>
      </c>
      <c r="Z37" s="169">
        <f>Z126*Z20</f>
        <v>0</v>
      </c>
      <c r="AA37" s="169">
        <f>AA126*AA20</f>
        <v>0</v>
      </c>
      <c r="AB37" s="671">
        <f>SUM(X37:AA37)</f>
        <v>1567414.8110019332</v>
      </c>
      <c r="AD37" s="169">
        <f>AD126*AD20</f>
        <v>871064.02821514674</v>
      </c>
      <c r="AE37" s="169">
        <f>AE126*AE20</f>
        <v>561521.16078291973</v>
      </c>
      <c r="AF37" s="169">
        <f>AF126*AF20</f>
        <v>0</v>
      </c>
      <c r="AG37" s="169">
        <f>AG126*AG20</f>
        <v>0</v>
      </c>
      <c r="AH37" s="687">
        <f>SUM(AD37:AG37)</f>
        <v>1432585.1889980664</v>
      </c>
      <c r="AI37" s="406">
        <f t="shared" si="56"/>
        <v>2999999.9999999995</v>
      </c>
      <c r="AP37" s="80"/>
    </row>
    <row r="38" spans="1:65" ht="20">
      <c r="A38" s="741" t="s">
        <v>506</v>
      </c>
      <c r="B38" s="13"/>
      <c r="C38" s="13"/>
      <c r="D38" s="13"/>
      <c r="F38" s="671">
        <f>F39+F45</f>
        <v>740950.62240357616</v>
      </c>
      <c r="G38" s="671">
        <f t="shared" ref="G38:I38" si="62">G39+G45</f>
        <v>313718.74426590611</v>
      </c>
      <c r="H38" s="671">
        <f t="shared" si="62"/>
        <v>0</v>
      </c>
      <c r="I38" s="671">
        <f t="shared" si="62"/>
        <v>0</v>
      </c>
      <c r="J38" s="406">
        <f>SUM(F38:I38)</f>
        <v>1054669.3666694823</v>
      </c>
      <c r="L38" s="671">
        <f>L39+L45</f>
        <v>1163138.8294279608</v>
      </c>
      <c r="M38" s="671">
        <f t="shared" ref="M38:O38" si="63">M39+M45</f>
        <v>492077.29795269936</v>
      </c>
      <c r="N38" s="671">
        <f t="shared" si="63"/>
        <v>0</v>
      </c>
      <c r="O38" s="671">
        <f t="shared" si="63"/>
        <v>0</v>
      </c>
      <c r="P38" s="406">
        <f>SUM(L38:O38)</f>
        <v>1655216.1273806603</v>
      </c>
      <c r="Q38" s="485"/>
      <c r="R38" s="671">
        <f>R39+R45</f>
        <v>291583.66914476466</v>
      </c>
      <c r="S38" s="671">
        <f t="shared" ref="S38:U38" si="64">S39+S45</f>
        <v>122824.85159114277</v>
      </c>
      <c r="T38" s="671">
        <f t="shared" si="64"/>
        <v>0</v>
      </c>
      <c r="U38" s="671">
        <f t="shared" si="64"/>
        <v>0</v>
      </c>
      <c r="V38" s="406">
        <f>SUM(R38:U38)</f>
        <v>414408.52073590743</v>
      </c>
      <c r="X38" s="671">
        <f>X39+X45</f>
        <v>255858.28218265696</v>
      </c>
      <c r="Y38" s="671">
        <f t="shared" ref="Y38:AA38" si="65">Y39+Y45</f>
        <v>99486.871323838961</v>
      </c>
      <c r="Z38" s="671">
        <f t="shared" si="65"/>
        <v>0</v>
      </c>
      <c r="AA38" s="671">
        <f t="shared" si="65"/>
        <v>0</v>
      </c>
      <c r="AB38" s="406">
        <f>SUM(X38:AA38)</f>
        <v>355345.15350649593</v>
      </c>
      <c r="AD38" s="671">
        <f>AD39+AD45</f>
        <v>148315.98835013332</v>
      </c>
      <c r="AE38" s="671">
        <f t="shared" ref="AE38:AG38" si="66">AE39+AE45</f>
        <v>97477.801131540618</v>
      </c>
      <c r="AF38" s="671">
        <f t="shared" si="66"/>
        <v>0</v>
      </c>
      <c r="AG38" s="671">
        <f t="shared" si="66"/>
        <v>0</v>
      </c>
      <c r="AH38" s="406">
        <f>SUM(AD38:AG38)</f>
        <v>245793.78948167394</v>
      </c>
      <c r="AI38" s="406">
        <f t="shared" si="56"/>
        <v>601138.94298816985</v>
      </c>
      <c r="AP38" s="80"/>
    </row>
    <row r="39" spans="1:65" ht="40" hidden="1" outlineLevel="1">
      <c r="A39" s="945" t="s">
        <v>510</v>
      </c>
      <c r="F39" s="169">
        <f>SUM(F40:F44)</f>
        <v>621502.62240357616</v>
      </c>
      <c r="G39" s="169">
        <f t="shared" ref="G39:I39" si="67">SUM(G40:G44)</f>
        <v>263822.74426590611</v>
      </c>
      <c r="H39" s="169">
        <f t="shared" si="67"/>
        <v>0</v>
      </c>
      <c r="I39" s="169">
        <f t="shared" si="67"/>
        <v>0</v>
      </c>
      <c r="J39" s="407">
        <f>SUM(F39:I39)</f>
        <v>885325.36666948232</v>
      </c>
      <c r="L39" s="169">
        <f>SUM(L40:L44)</f>
        <v>1043690.8294279607</v>
      </c>
      <c r="M39" s="169">
        <f t="shared" ref="M39:O39" si="68">SUM(M40:M44)</f>
        <v>442181.29795269936</v>
      </c>
      <c r="N39" s="169">
        <f t="shared" si="68"/>
        <v>0</v>
      </c>
      <c r="O39" s="169">
        <f t="shared" si="68"/>
        <v>0</v>
      </c>
      <c r="P39" s="407">
        <f>SUM(L39:O39)</f>
        <v>1485872.12738066</v>
      </c>
      <c r="Q39" s="485"/>
      <c r="R39" s="169">
        <f>SUM(R40:R44)</f>
        <v>172135.66914476466</v>
      </c>
      <c r="S39" s="169">
        <f t="shared" ref="S39:U39" si="69">SUM(S40:S44)</f>
        <v>72928.851591142768</v>
      </c>
      <c r="T39" s="169">
        <f t="shared" si="69"/>
        <v>0</v>
      </c>
      <c r="U39" s="169">
        <f t="shared" si="69"/>
        <v>0</v>
      </c>
      <c r="V39" s="407">
        <f>SUM(R39:U39)</f>
        <v>245064.52073590743</v>
      </c>
      <c r="X39" s="169">
        <f>SUM(X40:X44)</f>
        <v>149898.57000001083</v>
      </c>
      <c r="Y39" s="169">
        <f t="shared" ref="Y39:AA39" si="70">SUM(Y40:Y44)</f>
        <v>58285.937113312641</v>
      </c>
      <c r="Z39" s="169">
        <f t="shared" si="70"/>
        <v>0</v>
      </c>
      <c r="AA39" s="169">
        <f t="shared" si="70"/>
        <v>0</v>
      </c>
      <c r="AB39" s="407">
        <f>SUM(X39:AA39)</f>
        <v>208184.50711332349</v>
      </c>
      <c r="AD39" s="169">
        <f>SUM(AD40:AD44)</f>
        <v>134827.70053277945</v>
      </c>
      <c r="AE39" s="169">
        <f t="shared" ref="AE39:AG39" si="71">SUM(AE40:AE44)</f>
        <v>88782.735342066924</v>
      </c>
      <c r="AF39" s="169">
        <f t="shared" si="71"/>
        <v>0</v>
      </c>
      <c r="AG39" s="169">
        <f t="shared" si="71"/>
        <v>0</v>
      </c>
      <c r="AH39" s="407">
        <f>SUM(AD39:AG39)</f>
        <v>223610.43587484636</v>
      </c>
      <c r="AI39" s="407">
        <f t="shared" si="56"/>
        <v>431794.94298816985</v>
      </c>
      <c r="AP39" s="80"/>
    </row>
    <row r="40" spans="1:65" hidden="1" outlineLevel="1">
      <c r="A40" s="739" t="s">
        <v>327</v>
      </c>
      <c r="B40" s="2"/>
      <c r="C40" s="2"/>
      <c r="D40" s="2"/>
      <c r="F40" s="169">
        <f t="shared" ref="F40:I44" si="72">(F21*F$131*F99)</f>
        <v>135.98095057079419</v>
      </c>
      <c r="G40" s="169">
        <f t="shared" si="72"/>
        <v>896.57638054442839</v>
      </c>
      <c r="H40" s="169">
        <f t="shared" si="72"/>
        <v>0</v>
      </c>
      <c r="I40" s="169">
        <f t="shared" si="72"/>
        <v>0</v>
      </c>
      <c r="J40" s="407">
        <f>SUM(F40:I40)</f>
        <v>1032.5573311152225</v>
      </c>
      <c r="L40" s="169">
        <f t="shared" ref="L40:O44" si="73">(L21*L$131*L99)</f>
        <v>214.47798009937875</v>
      </c>
      <c r="M40" s="169">
        <f t="shared" si="73"/>
        <v>1414.1384531936192</v>
      </c>
      <c r="N40" s="169">
        <f t="shared" si="73"/>
        <v>0</v>
      </c>
      <c r="O40" s="169">
        <f t="shared" si="73"/>
        <v>0</v>
      </c>
      <c r="P40" s="407">
        <f>SUM(L40:O40)</f>
        <v>1628.616433292998</v>
      </c>
      <c r="Q40" s="485"/>
      <c r="R40" s="169">
        <f t="shared" ref="R40:U44" si="74">(R21*R$131*R99)</f>
        <v>35.373799960913018</v>
      </c>
      <c r="S40" s="169">
        <f t="shared" si="74"/>
        <v>233.23350367775561</v>
      </c>
      <c r="T40" s="169">
        <f t="shared" si="74"/>
        <v>0</v>
      </c>
      <c r="U40" s="169">
        <f t="shared" si="74"/>
        <v>0</v>
      </c>
      <c r="V40" s="407">
        <f>SUM(R40:U40)</f>
        <v>268.60730363866861</v>
      </c>
      <c r="X40" s="169">
        <f t="shared" ref="X40:AA44" si="75">(X21*X$131*X99)</f>
        <v>0</v>
      </c>
      <c r="Y40" s="169">
        <f t="shared" si="75"/>
        <v>0</v>
      </c>
      <c r="Z40" s="169">
        <f t="shared" si="75"/>
        <v>0</v>
      </c>
      <c r="AA40" s="169">
        <f t="shared" si="75"/>
        <v>0</v>
      </c>
      <c r="AB40" s="407">
        <f>SUM(X40:AA40)</f>
        <v>0</v>
      </c>
      <c r="AD40" s="169">
        <f t="shared" ref="AD40:AG44" si="76">(AD21*AD$131*AD99)</f>
        <v>214.47798009937878</v>
      </c>
      <c r="AE40" s="169">
        <f t="shared" si="76"/>
        <v>1414.1384531936194</v>
      </c>
      <c r="AF40" s="169">
        <f t="shared" si="76"/>
        <v>0</v>
      </c>
      <c r="AG40" s="169">
        <f t="shared" si="76"/>
        <v>0</v>
      </c>
      <c r="AH40" s="407">
        <f>SUM(AD40:AG40)</f>
        <v>1628.6164332929982</v>
      </c>
      <c r="AI40" s="407">
        <f t="shared" si="56"/>
        <v>1628.6164332929982</v>
      </c>
      <c r="AP40" s="80"/>
    </row>
    <row r="41" spans="1:65" hidden="1" outlineLevel="1">
      <c r="A41" s="739" t="s">
        <v>429</v>
      </c>
      <c r="B41" s="2"/>
      <c r="C41" s="2"/>
      <c r="D41" s="2"/>
      <c r="F41" s="169">
        <f t="shared" si="72"/>
        <v>7138.0763809464261</v>
      </c>
      <c r="G41" s="169">
        <f t="shared" si="72"/>
        <v>8156.8407938472683</v>
      </c>
      <c r="H41" s="169">
        <f t="shared" si="72"/>
        <v>0</v>
      </c>
      <c r="I41" s="169">
        <f t="shared" si="72"/>
        <v>0</v>
      </c>
      <c r="J41" s="407">
        <f t="shared" ref="J41:J45" si="77">SUM(F41:I41)</f>
        <v>15294.917174793694</v>
      </c>
      <c r="L41" s="169">
        <f t="shared" si="73"/>
        <v>11482.748790824497</v>
      </c>
      <c r="M41" s="169">
        <f t="shared" si="73"/>
        <v>13121.595898372696</v>
      </c>
      <c r="N41" s="169">
        <f t="shared" si="73"/>
        <v>0</v>
      </c>
      <c r="O41" s="169">
        <f t="shared" si="73"/>
        <v>0</v>
      </c>
      <c r="P41" s="407">
        <f t="shared" ref="P41:P46" si="78">SUM(L41:O41)</f>
        <v>24604.344689197191</v>
      </c>
      <c r="Q41" s="485"/>
      <c r="R41" s="169">
        <f t="shared" si="74"/>
        <v>1893.8469046558232</v>
      </c>
      <c r="S41" s="169">
        <f t="shared" si="74"/>
        <v>2164.1415508571222</v>
      </c>
      <c r="T41" s="169">
        <f t="shared" si="74"/>
        <v>0</v>
      </c>
      <c r="U41" s="169">
        <f t="shared" si="74"/>
        <v>0</v>
      </c>
      <c r="V41" s="407">
        <f t="shared" ref="V41:V53" si="79">SUM(R41:U41)</f>
        <v>4057.9884555129456</v>
      </c>
      <c r="X41" s="169">
        <f t="shared" si="75"/>
        <v>0</v>
      </c>
      <c r="Y41" s="169">
        <f t="shared" si="75"/>
        <v>0</v>
      </c>
      <c r="Z41" s="169">
        <f t="shared" si="75"/>
        <v>0</v>
      </c>
      <c r="AA41" s="169">
        <f t="shared" si="75"/>
        <v>0</v>
      </c>
      <c r="AB41" s="407">
        <f t="shared" ref="AB41:AB46" si="80">SUM(X41:AA41)</f>
        <v>0</v>
      </c>
      <c r="AD41" s="169">
        <f t="shared" si="76"/>
        <v>11482.748790824498</v>
      </c>
      <c r="AE41" s="169">
        <f t="shared" si="76"/>
        <v>13121.5958983727</v>
      </c>
      <c r="AF41" s="169">
        <f t="shared" si="76"/>
        <v>0</v>
      </c>
      <c r="AG41" s="169">
        <f t="shared" si="76"/>
        <v>0</v>
      </c>
      <c r="AH41" s="407">
        <f t="shared" ref="AH41:AH46" si="81">SUM(AD41:AG41)</f>
        <v>24604.344689197198</v>
      </c>
      <c r="AI41" s="407">
        <f t="shared" si="56"/>
        <v>24604.344689197198</v>
      </c>
      <c r="AP41" s="80"/>
    </row>
    <row r="42" spans="1:65" hidden="1" outlineLevel="1">
      <c r="A42" s="739" t="s">
        <v>65</v>
      </c>
      <c r="B42" s="2"/>
      <c r="C42" s="2"/>
      <c r="D42" s="2"/>
      <c r="F42" s="169">
        <f t="shared" si="72"/>
        <v>74408.585078403354</v>
      </c>
      <c r="G42" s="169">
        <f t="shared" si="72"/>
        <v>44867.969083778728</v>
      </c>
      <c r="H42" s="169">
        <f t="shared" si="72"/>
        <v>0</v>
      </c>
      <c r="I42" s="169">
        <f t="shared" si="72"/>
        <v>0</v>
      </c>
      <c r="J42" s="407">
        <f t="shared" si="77"/>
        <v>119276.55416218209</v>
      </c>
      <c r="L42" s="169">
        <f t="shared" si="73"/>
        <v>123130.47376185557</v>
      </c>
      <c r="M42" s="169">
        <f t="shared" si="73"/>
        <v>74247.000990500586</v>
      </c>
      <c r="N42" s="169">
        <f t="shared" si="73"/>
        <v>0</v>
      </c>
      <c r="O42" s="169">
        <f t="shared" si="73"/>
        <v>0</v>
      </c>
      <c r="P42" s="407">
        <f t="shared" si="78"/>
        <v>197377.47475235615</v>
      </c>
      <c r="Q42" s="485"/>
      <c r="R42" s="169">
        <f t="shared" si="74"/>
        <v>20307.878440137098</v>
      </c>
      <c r="S42" s="169">
        <f t="shared" si="74"/>
        <v>12245.539423295259</v>
      </c>
      <c r="T42" s="169">
        <f t="shared" si="74"/>
        <v>0</v>
      </c>
      <c r="U42" s="169">
        <f t="shared" si="74"/>
        <v>0</v>
      </c>
      <c r="V42" s="407">
        <f t="shared" si="79"/>
        <v>32553.417863432354</v>
      </c>
      <c r="X42" s="169">
        <f t="shared" si="75"/>
        <v>0</v>
      </c>
      <c r="Y42" s="169">
        <f t="shared" si="75"/>
        <v>0</v>
      </c>
      <c r="Z42" s="169">
        <f t="shared" si="75"/>
        <v>0</v>
      </c>
      <c r="AA42" s="169">
        <f t="shared" si="75"/>
        <v>0</v>
      </c>
      <c r="AB42" s="407">
        <f t="shared" si="80"/>
        <v>0</v>
      </c>
      <c r="AD42" s="169">
        <f t="shared" si="76"/>
        <v>123130.47376185557</v>
      </c>
      <c r="AE42" s="169">
        <f t="shared" si="76"/>
        <v>74247.000990500601</v>
      </c>
      <c r="AF42" s="169">
        <f t="shared" si="76"/>
        <v>0</v>
      </c>
      <c r="AG42" s="169">
        <f t="shared" si="76"/>
        <v>0</v>
      </c>
      <c r="AH42" s="407">
        <f t="shared" si="81"/>
        <v>197377.47475235618</v>
      </c>
      <c r="AI42" s="407">
        <f t="shared" si="56"/>
        <v>197377.47475235618</v>
      </c>
      <c r="AP42" s="80"/>
    </row>
    <row r="43" spans="1:65" hidden="1" outlineLevel="1">
      <c r="A43" s="739" t="s">
        <v>66</v>
      </c>
      <c r="B43" s="2"/>
      <c r="C43" s="2"/>
      <c r="D43" s="2"/>
      <c r="F43" s="169">
        <f t="shared" si="72"/>
        <v>539819.97999365558</v>
      </c>
      <c r="G43" s="169">
        <f t="shared" si="72"/>
        <v>209901.35800773569</v>
      </c>
      <c r="H43" s="169">
        <f t="shared" si="72"/>
        <v>0</v>
      </c>
      <c r="I43" s="169">
        <f t="shared" si="72"/>
        <v>0</v>
      </c>
      <c r="J43" s="407">
        <f t="shared" si="77"/>
        <v>749721.33800139127</v>
      </c>
      <c r="L43" s="169">
        <f t="shared" si="73"/>
        <v>908863.12889518123</v>
      </c>
      <c r="M43" s="169">
        <f t="shared" si="73"/>
        <v>353398.56261063245</v>
      </c>
      <c r="N43" s="169">
        <f t="shared" si="73"/>
        <v>0</v>
      </c>
      <c r="O43" s="169">
        <f t="shared" si="73"/>
        <v>0</v>
      </c>
      <c r="P43" s="407">
        <f t="shared" si="78"/>
        <v>1262261.6915058137</v>
      </c>
      <c r="Q43" s="485"/>
      <c r="R43" s="169">
        <f t="shared" si="74"/>
        <v>149898.57000001083</v>
      </c>
      <c r="S43" s="169">
        <f t="shared" si="74"/>
        <v>58285.937113312633</v>
      </c>
      <c r="T43" s="169">
        <f t="shared" si="74"/>
        <v>0</v>
      </c>
      <c r="U43" s="169">
        <f t="shared" si="74"/>
        <v>0</v>
      </c>
      <c r="V43" s="407">
        <f t="shared" si="79"/>
        <v>208184.50711332346</v>
      </c>
      <c r="X43" s="169">
        <f t="shared" si="75"/>
        <v>149898.57000001083</v>
      </c>
      <c r="Y43" s="169">
        <f t="shared" si="75"/>
        <v>58285.937113312641</v>
      </c>
      <c r="Z43" s="169">
        <f t="shared" si="75"/>
        <v>0</v>
      </c>
      <c r="AA43" s="169">
        <f t="shared" si="75"/>
        <v>0</v>
      </c>
      <c r="AB43" s="407">
        <f t="shared" si="80"/>
        <v>208184.50711332349</v>
      </c>
      <c r="AD43" s="169">
        <f t="shared" si="76"/>
        <v>0</v>
      </c>
      <c r="AE43" s="169">
        <f t="shared" si="76"/>
        <v>0</v>
      </c>
      <c r="AF43" s="169">
        <f t="shared" si="76"/>
        <v>0</v>
      </c>
      <c r="AG43" s="169">
        <f t="shared" si="76"/>
        <v>0</v>
      </c>
      <c r="AH43" s="407">
        <f t="shared" si="81"/>
        <v>0</v>
      </c>
      <c r="AI43" s="407">
        <f t="shared" si="56"/>
        <v>208184.50711332349</v>
      </c>
      <c r="AP43" s="80"/>
    </row>
    <row r="44" spans="1:65" hidden="1" outlineLevel="1">
      <c r="A44" s="739" t="s">
        <v>328</v>
      </c>
      <c r="B44" s="2"/>
      <c r="C44" s="2"/>
      <c r="D44" s="2"/>
      <c r="F44" s="169">
        <f t="shared" si="72"/>
        <v>0</v>
      </c>
      <c r="G44" s="169">
        <f t="shared" si="72"/>
        <v>0</v>
      </c>
      <c r="H44" s="169">
        <f t="shared" si="72"/>
        <v>0</v>
      </c>
      <c r="I44" s="169">
        <f t="shared" si="72"/>
        <v>0</v>
      </c>
      <c r="J44" s="407">
        <f t="shared" si="77"/>
        <v>0</v>
      </c>
      <c r="L44" s="169">
        <f t="shared" si="73"/>
        <v>0</v>
      </c>
      <c r="M44" s="169">
        <f t="shared" si="73"/>
        <v>0</v>
      </c>
      <c r="N44" s="169">
        <f t="shared" si="73"/>
        <v>0</v>
      </c>
      <c r="O44" s="169">
        <f t="shared" si="73"/>
        <v>0</v>
      </c>
      <c r="P44" s="407">
        <f t="shared" si="78"/>
        <v>0</v>
      </c>
      <c r="Q44" s="485"/>
      <c r="R44" s="169">
        <f t="shared" si="74"/>
        <v>0</v>
      </c>
      <c r="S44" s="169">
        <f t="shared" si="74"/>
        <v>0</v>
      </c>
      <c r="T44" s="169">
        <f t="shared" si="74"/>
        <v>0</v>
      </c>
      <c r="U44" s="169">
        <f t="shared" si="74"/>
        <v>0</v>
      </c>
      <c r="V44" s="407">
        <f t="shared" si="79"/>
        <v>0</v>
      </c>
      <c r="X44" s="169">
        <f t="shared" si="75"/>
        <v>0</v>
      </c>
      <c r="Y44" s="169">
        <f t="shared" si="75"/>
        <v>0</v>
      </c>
      <c r="Z44" s="169">
        <f t="shared" si="75"/>
        <v>0</v>
      </c>
      <c r="AA44" s="169">
        <f t="shared" si="75"/>
        <v>0</v>
      </c>
      <c r="AB44" s="407">
        <f t="shared" si="80"/>
        <v>0</v>
      </c>
      <c r="AD44" s="169">
        <f t="shared" si="76"/>
        <v>0</v>
      </c>
      <c r="AE44" s="169">
        <f t="shared" si="76"/>
        <v>0</v>
      </c>
      <c r="AF44" s="169">
        <f t="shared" si="76"/>
        <v>0</v>
      </c>
      <c r="AG44" s="169">
        <f t="shared" si="76"/>
        <v>0</v>
      </c>
      <c r="AH44" s="407">
        <f t="shared" si="81"/>
        <v>0</v>
      </c>
      <c r="AI44" s="407">
        <f t="shared" si="56"/>
        <v>0</v>
      </c>
      <c r="AP44" s="80"/>
    </row>
    <row r="45" spans="1:65" ht="20" hidden="1" outlineLevel="1">
      <c r="A45" s="945" t="s">
        <v>511</v>
      </c>
      <c r="F45" s="169">
        <f>F6*F133*F132</f>
        <v>119448.00000000001</v>
      </c>
      <c r="G45" s="169">
        <f>G6*G133*G132</f>
        <v>49896</v>
      </c>
      <c r="H45" s="169">
        <f>H6*H133*H132</f>
        <v>0</v>
      </c>
      <c r="I45" s="169">
        <f>I6*I133*I132</f>
        <v>0</v>
      </c>
      <c r="J45" s="407">
        <f t="shared" si="77"/>
        <v>169344</v>
      </c>
      <c r="L45" s="169">
        <f>L6*L133*L132</f>
        <v>119448.00000000001</v>
      </c>
      <c r="M45" s="169">
        <f>M6*M133*M132</f>
        <v>49896</v>
      </c>
      <c r="N45" s="169">
        <f>N6*N133*N132</f>
        <v>0</v>
      </c>
      <c r="O45" s="169">
        <f>O6*O133*O132</f>
        <v>0</v>
      </c>
      <c r="P45" s="407">
        <f t="shared" si="78"/>
        <v>169344</v>
      </c>
      <c r="Q45" s="485"/>
      <c r="R45" s="169">
        <f>R6*R133*R132</f>
        <v>119448.00000000001</v>
      </c>
      <c r="S45" s="169">
        <f>S6*S133*S132</f>
        <v>49896</v>
      </c>
      <c r="T45" s="169">
        <f>T6*T133*T132</f>
        <v>0</v>
      </c>
      <c r="U45" s="169">
        <f>U6*U133*U132</f>
        <v>0</v>
      </c>
      <c r="V45" s="407">
        <f t="shared" si="79"/>
        <v>169344</v>
      </c>
      <c r="X45" s="169">
        <f>X6*X133*X132</f>
        <v>105959.71218264612</v>
      </c>
      <c r="Y45" s="169">
        <f>Y6*Y133*Y132</f>
        <v>41200.93421052632</v>
      </c>
      <c r="Z45" s="169">
        <f>Z6*Z133*Z132</f>
        <v>0</v>
      </c>
      <c r="AA45" s="169">
        <f>AA6*AA133*AA132</f>
        <v>0</v>
      </c>
      <c r="AB45" s="407">
        <f t="shared" si="80"/>
        <v>147160.64639317244</v>
      </c>
      <c r="AD45" s="169">
        <f>AD6*AD133*AD132</f>
        <v>13488.287817353877</v>
      </c>
      <c r="AE45" s="169">
        <f>AE6*AE133*AE132</f>
        <v>8695.0657894736869</v>
      </c>
      <c r="AF45" s="169">
        <f>AF6*AF133*AF132</f>
        <v>0</v>
      </c>
      <c r="AG45" s="169">
        <f>AG6*AG133*AG132</f>
        <v>0</v>
      </c>
      <c r="AH45" s="407">
        <f t="shared" si="81"/>
        <v>22183.353606827564</v>
      </c>
      <c r="AI45" s="407">
        <f t="shared" si="56"/>
        <v>169344</v>
      </c>
      <c r="AP45" s="80"/>
    </row>
    <row r="46" spans="1:65" ht="20" collapsed="1">
      <c r="A46" s="741" t="s">
        <v>508</v>
      </c>
      <c r="B46" s="13"/>
      <c r="C46" s="13"/>
      <c r="D46" s="13"/>
      <c r="F46" s="169">
        <f>SUM(F47:F51)</f>
        <v>4879946.5166503023</v>
      </c>
      <c r="G46" s="169">
        <f t="shared" ref="G46:I46" si="82">SUM(G47:G51)</f>
        <v>2071497.1031248926</v>
      </c>
      <c r="H46" s="169">
        <f t="shared" si="82"/>
        <v>0</v>
      </c>
      <c r="I46" s="169">
        <f t="shared" si="82"/>
        <v>0</v>
      </c>
      <c r="J46" s="406">
        <f t="shared" si="57"/>
        <v>6951443.6197751947</v>
      </c>
      <c r="L46" s="169">
        <f>SUM(L47:L51)</f>
        <v>8194905.7718047285</v>
      </c>
      <c r="M46" s="169">
        <f t="shared" ref="M46:O46" si="83">SUM(M47:M51)</f>
        <v>3471942.0431841584</v>
      </c>
      <c r="N46" s="169">
        <f t="shared" si="83"/>
        <v>0</v>
      </c>
      <c r="O46" s="169">
        <f t="shared" si="83"/>
        <v>0</v>
      </c>
      <c r="P46" s="406">
        <f t="shared" si="78"/>
        <v>11666847.814988887</v>
      </c>
      <c r="Q46" s="485"/>
      <c r="R46" s="169">
        <f>SUM(R47:R51)</f>
        <v>1351583.7725440781</v>
      </c>
      <c r="S46" s="169">
        <f t="shared" ref="S46:U46" si="84">SUM(S47:S51)</f>
        <v>572626.5384193433</v>
      </c>
      <c r="T46" s="169">
        <f t="shared" si="84"/>
        <v>0</v>
      </c>
      <c r="U46" s="169">
        <f t="shared" si="84"/>
        <v>0</v>
      </c>
      <c r="V46" s="406">
        <f t="shared" si="79"/>
        <v>1924210.3109634214</v>
      </c>
      <c r="X46" s="169">
        <f>SUM(X47:X51)</f>
        <v>1176981.3644445294</v>
      </c>
      <c r="Y46" s="169">
        <f t="shared" ref="Y46:AA46" si="85">SUM(Y47:Y51)</f>
        <v>457652.54326008447</v>
      </c>
      <c r="Z46" s="169">
        <f t="shared" si="85"/>
        <v>0</v>
      </c>
      <c r="AA46" s="169">
        <f t="shared" si="85"/>
        <v>0</v>
      </c>
      <c r="AB46" s="671">
        <f t="shared" si="80"/>
        <v>1634633.9077046139</v>
      </c>
      <c r="AD46" s="169">
        <f>SUM(AD47:AD51)</f>
        <v>1058647.1301092312</v>
      </c>
      <c r="AE46" s="169">
        <f t="shared" ref="AE46:AG46" si="86">SUM(AE47:AE51)</f>
        <v>697108.88490808092</v>
      </c>
      <c r="AF46" s="169">
        <f t="shared" si="86"/>
        <v>0</v>
      </c>
      <c r="AG46" s="169">
        <f t="shared" si="86"/>
        <v>0</v>
      </c>
      <c r="AH46" s="687">
        <f t="shared" si="81"/>
        <v>1755756.015017312</v>
      </c>
      <c r="AI46" s="406">
        <f t="shared" si="56"/>
        <v>3390389.9227219261</v>
      </c>
      <c r="AP46" s="80"/>
    </row>
    <row r="47" spans="1:65" hidden="1" outlineLevel="1">
      <c r="A47" s="739" t="s">
        <v>327</v>
      </c>
      <c r="B47" s="2"/>
      <c r="C47" s="2"/>
      <c r="D47" s="2"/>
      <c r="F47" s="169">
        <f t="shared" ref="F47:I51" si="87">F21*F99*F$130</f>
        <v>1067.7022785558656</v>
      </c>
      <c r="G47" s="169">
        <f t="shared" si="87"/>
        <v>7039.7849139044001</v>
      </c>
      <c r="H47" s="169">
        <f t="shared" si="87"/>
        <v>0</v>
      </c>
      <c r="I47" s="169">
        <f t="shared" si="87"/>
        <v>0</v>
      </c>
      <c r="J47" s="407">
        <f>SUM(F47:I47)</f>
        <v>8107.4871924602658</v>
      </c>
      <c r="L47" s="169">
        <f t="shared" ref="L47:O51" si="88">L21*L99*L$130</f>
        <v>1684.0493252247518</v>
      </c>
      <c r="M47" s="169">
        <f t="shared" si="88"/>
        <v>11103.605632483232</v>
      </c>
      <c r="N47" s="169">
        <f t="shared" si="88"/>
        <v>0</v>
      </c>
      <c r="O47" s="169">
        <f t="shared" si="88"/>
        <v>0</v>
      </c>
      <c r="P47" s="407">
        <f>SUM(L47:O47)</f>
        <v>12787.654957707984</v>
      </c>
      <c r="Q47" s="485"/>
      <c r="R47" s="169">
        <f t="shared" ref="R47:U51" si="89">R21*R99*R$130</f>
        <v>277.74983673013185</v>
      </c>
      <c r="S47" s="169">
        <f t="shared" si="89"/>
        <v>1831.3149177660807</v>
      </c>
      <c r="T47" s="169">
        <f t="shared" si="89"/>
        <v>0</v>
      </c>
      <c r="U47" s="169">
        <f t="shared" si="89"/>
        <v>0</v>
      </c>
      <c r="V47" s="407">
        <f>SUM(R47:U47)</f>
        <v>2109.0647544962126</v>
      </c>
      <c r="X47" s="169">
        <f t="shared" ref="X47:AA51" si="90">X21*X99*X$130</f>
        <v>0</v>
      </c>
      <c r="Y47" s="169">
        <f t="shared" si="90"/>
        <v>0</v>
      </c>
      <c r="Z47" s="169">
        <f t="shared" si="90"/>
        <v>0</v>
      </c>
      <c r="AA47" s="169">
        <f t="shared" si="90"/>
        <v>0</v>
      </c>
      <c r="AB47" s="169">
        <f>SUM(X47:AA47)</f>
        <v>0</v>
      </c>
      <c r="AD47" s="169">
        <f t="shared" ref="AD47:AG51" si="91">AD21*AD99*AD$130</f>
        <v>1684.049325224752</v>
      </c>
      <c r="AE47" s="169">
        <f t="shared" si="91"/>
        <v>11103.605632483233</v>
      </c>
      <c r="AF47" s="169">
        <f t="shared" si="91"/>
        <v>0</v>
      </c>
      <c r="AG47" s="169">
        <f t="shared" si="91"/>
        <v>0</v>
      </c>
      <c r="AH47" s="371">
        <f>SUM(AD47:AG47)</f>
        <v>12787.654957707986</v>
      </c>
      <c r="AI47" s="407">
        <f t="shared" si="56"/>
        <v>12787.654957707986</v>
      </c>
      <c r="AP47" s="80"/>
    </row>
    <row r="48" spans="1:65" hidden="1" outlineLevel="1">
      <c r="A48" s="739" t="s">
        <v>429</v>
      </c>
      <c r="B48" s="2"/>
      <c r="C48" s="2"/>
      <c r="D48" s="2"/>
      <c r="F48" s="169">
        <f t="shared" si="87"/>
        <v>56047.11825039416</v>
      </c>
      <c r="G48" s="169">
        <f t="shared" si="87"/>
        <v>64046.305492430402</v>
      </c>
      <c r="H48" s="169">
        <f t="shared" si="87"/>
        <v>0</v>
      </c>
      <c r="I48" s="169">
        <f t="shared" si="87"/>
        <v>0</v>
      </c>
      <c r="J48" s="407">
        <f t="shared" ref="J48:J51" si="92">SUM(F48:I48)</f>
        <v>120093.42374282455</v>
      </c>
      <c r="L48" s="169">
        <f t="shared" si="88"/>
        <v>90160.842357584945</v>
      </c>
      <c r="M48" s="169">
        <f t="shared" si="88"/>
        <v>103028.82705388931</v>
      </c>
      <c r="N48" s="169">
        <f t="shared" si="88"/>
        <v>0</v>
      </c>
      <c r="O48" s="169">
        <f t="shared" si="88"/>
        <v>0</v>
      </c>
      <c r="P48" s="407">
        <f t="shared" ref="P48:P51" si="93">SUM(L48:O48)</f>
        <v>193189.66941147426</v>
      </c>
      <c r="Q48" s="485"/>
      <c r="R48" s="169">
        <f t="shared" si="89"/>
        <v>14870.205325445724</v>
      </c>
      <c r="S48" s="169">
        <f t="shared" si="89"/>
        <v>16992.518843767033</v>
      </c>
      <c r="T48" s="169">
        <f t="shared" si="89"/>
        <v>0</v>
      </c>
      <c r="U48" s="169">
        <f t="shared" si="89"/>
        <v>0</v>
      </c>
      <c r="V48" s="407">
        <f t="shared" ref="V48:V51" si="94">SUM(R48:U48)</f>
        <v>31862.724169212757</v>
      </c>
      <c r="X48" s="169">
        <f t="shared" si="90"/>
        <v>0</v>
      </c>
      <c r="Y48" s="169">
        <f t="shared" si="90"/>
        <v>0</v>
      </c>
      <c r="Z48" s="169">
        <f t="shared" si="90"/>
        <v>0</v>
      </c>
      <c r="AA48" s="169">
        <f t="shared" si="90"/>
        <v>0</v>
      </c>
      <c r="AB48" s="169">
        <f t="shared" ref="AB48:AB51" si="95">SUM(X48:AA48)</f>
        <v>0</v>
      </c>
      <c r="AD48" s="169">
        <f t="shared" si="91"/>
        <v>90160.842357584959</v>
      </c>
      <c r="AE48" s="169">
        <f t="shared" si="91"/>
        <v>103028.82705388934</v>
      </c>
      <c r="AF48" s="169">
        <f t="shared" si="91"/>
        <v>0</v>
      </c>
      <c r="AG48" s="169">
        <f t="shared" si="91"/>
        <v>0</v>
      </c>
      <c r="AH48" s="371">
        <f t="shared" ref="AH48:AH51" si="96">SUM(AD48:AG48)</f>
        <v>193189.66941147431</v>
      </c>
      <c r="AI48" s="407">
        <f t="shared" si="56"/>
        <v>193189.66941147431</v>
      </c>
      <c r="AP48" s="80"/>
    </row>
    <row r="49" spans="1:65" hidden="1" outlineLevel="1">
      <c r="A49" s="739" t="s">
        <v>65</v>
      </c>
      <c r="B49" s="2"/>
      <c r="C49" s="2"/>
      <c r="D49" s="2"/>
      <c r="F49" s="169">
        <f t="shared" si="87"/>
        <v>584245.18654153752</v>
      </c>
      <c r="G49" s="169">
        <f t="shared" si="87"/>
        <v>352296.64613929967</v>
      </c>
      <c r="H49" s="169">
        <f t="shared" si="87"/>
        <v>0</v>
      </c>
      <c r="I49" s="169">
        <f t="shared" si="87"/>
        <v>0</v>
      </c>
      <c r="J49" s="407">
        <f t="shared" si="92"/>
        <v>936541.83268083725</v>
      </c>
      <c r="L49" s="169">
        <f t="shared" si="88"/>
        <v>966802.23842642142</v>
      </c>
      <c r="M49" s="169">
        <f t="shared" si="88"/>
        <v>582976.45222170837</v>
      </c>
      <c r="N49" s="169">
        <f t="shared" si="88"/>
        <v>0</v>
      </c>
      <c r="O49" s="169">
        <f t="shared" si="88"/>
        <v>0</v>
      </c>
      <c r="P49" s="407">
        <f t="shared" si="93"/>
        <v>1549778.6906481297</v>
      </c>
      <c r="Q49" s="485"/>
      <c r="R49" s="169">
        <f t="shared" si="89"/>
        <v>159454.45293737279</v>
      </c>
      <c r="S49" s="169">
        <f t="shared" si="89"/>
        <v>96150.161397725737</v>
      </c>
      <c r="T49" s="169">
        <f t="shared" si="89"/>
        <v>0</v>
      </c>
      <c r="U49" s="169">
        <f t="shared" si="89"/>
        <v>0</v>
      </c>
      <c r="V49" s="407">
        <f t="shared" si="94"/>
        <v>255604.61433509854</v>
      </c>
      <c r="X49" s="169">
        <f t="shared" si="90"/>
        <v>0</v>
      </c>
      <c r="Y49" s="169">
        <f t="shared" si="90"/>
        <v>0</v>
      </c>
      <c r="Z49" s="169">
        <f t="shared" si="90"/>
        <v>0</v>
      </c>
      <c r="AA49" s="169">
        <f t="shared" si="90"/>
        <v>0</v>
      </c>
      <c r="AB49" s="169">
        <f t="shared" si="95"/>
        <v>0</v>
      </c>
      <c r="AD49" s="169">
        <f t="shared" si="91"/>
        <v>966802.23842642142</v>
      </c>
      <c r="AE49" s="169">
        <f t="shared" si="91"/>
        <v>582976.45222170837</v>
      </c>
      <c r="AF49" s="169">
        <f t="shared" si="91"/>
        <v>0</v>
      </c>
      <c r="AG49" s="169">
        <f t="shared" si="91"/>
        <v>0</v>
      </c>
      <c r="AH49" s="371">
        <f t="shared" si="96"/>
        <v>1549778.6906481297</v>
      </c>
      <c r="AI49" s="407">
        <f t="shared" si="56"/>
        <v>1549778.6906481297</v>
      </c>
      <c r="AP49" s="80"/>
    </row>
    <row r="50" spans="1:65" hidden="1" outlineLevel="1">
      <c r="A50" s="739" t="s">
        <v>66</v>
      </c>
      <c r="B50" s="2"/>
      <c r="C50" s="2"/>
      <c r="D50" s="2"/>
      <c r="F50" s="169">
        <f t="shared" si="87"/>
        <v>4238586.509579815</v>
      </c>
      <c r="G50" s="169">
        <f t="shared" si="87"/>
        <v>1648114.3665792581</v>
      </c>
      <c r="H50" s="169">
        <f t="shared" si="87"/>
        <v>0</v>
      </c>
      <c r="I50" s="169">
        <f t="shared" si="87"/>
        <v>0</v>
      </c>
      <c r="J50" s="407">
        <f t="shared" si="92"/>
        <v>5886700.8761590729</v>
      </c>
      <c r="L50" s="169">
        <f t="shared" si="88"/>
        <v>7136258.6416954976</v>
      </c>
      <c r="M50" s="169">
        <f t="shared" si="88"/>
        <v>2774833.1582760774</v>
      </c>
      <c r="N50" s="169">
        <f t="shared" si="88"/>
        <v>0</v>
      </c>
      <c r="O50" s="169">
        <f t="shared" si="88"/>
        <v>0</v>
      </c>
      <c r="P50" s="407">
        <f t="shared" si="93"/>
        <v>9911091.7999715749</v>
      </c>
      <c r="Q50" s="485"/>
      <c r="R50" s="169">
        <f t="shared" si="89"/>
        <v>1176981.3644445294</v>
      </c>
      <c r="S50" s="169">
        <f t="shared" si="89"/>
        <v>457652.54326008441</v>
      </c>
      <c r="T50" s="169">
        <f t="shared" si="89"/>
        <v>0</v>
      </c>
      <c r="U50" s="169">
        <f t="shared" si="89"/>
        <v>0</v>
      </c>
      <c r="V50" s="407">
        <f t="shared" si="94"/>
        <v>1634633.9077046139</v>
      </c>
      <c r="X50" s="169">
        <f t="shared" si="90"/>
        <v>1176981.3644445294</v>
      </c>
      <c r="Y50" s="169">
        <f t="shared" si="90"/>
        <v>457652.54326008447</v>
      </c>
      <c r="Z50" s="169">
        <f t="shared" si="90"/>
        <v>0</v>
      </c>
      <c r="AA50" s="169">
        <f t="shared" si="90"/>
        <v>0</v>
      </c>
      <c r="AB50" s="169">
        <f t="shared" si="95"/>
        <v>1634633.9077046139</v>
      </c>
      <c r="AD50" s="169">
        <f t="shared" si="91"/>
        <v>0</v>
      </c>
      <c r="AE50" s="169">
        <f t="shared" si="91"/>
        <v>0</v>
      </c>
      <c r="AF50" s="169">
        <f t="shared" si="91"/>
        <v>0</v>
      </c>
      <c r="AG50" s="169">
        <f t="shared" si="91"/>
        <v>0</v>
      </c>
      <c r="AH50" s="371">
        <f t="shared" si="96"/>
        <v>0</v>
      </c>
      <c r="AI50" s="407">
        <f t="shared" si="56"/>
        <v>1634633.9077046139</v>
      </c>
      <c r="AP50" s="80"/>
    </row>
    <row r="51" spans="1:65" hidden="1" outlineLevel="1">
      <c r="A51" s="739" t="s">
        <v>328</v>
      </c>
      <c r="B51" s="2"/>
      <c r="C51" s="2"/>
      <c r="D51" s="2"/>
      <c r="F51" s="169">
        <f t="shared" si="87"/>
        <v>0</v>
      </c>
      <c r="G51" s="169">
        <f t="shared" si="87"/>
        <v>0</v>
      </c>
      <c r="H51" s="169">
        <f t="shared" si="87"/>
        <v>0</v>
      </c>
      <c r="I51" s="169">
        <f t="shared" si="87"/>
        <v>0</v>
      </c>
      <c r="J51" s="407">
        <f t="shared" si="92"/>
        <v>0</v>
      </c>
      <c r="L51" s="169">
        <f t="shared" si="88"/>
        <v>0</v>
      </c>
      <c r="M51" s="169">
        <f t="shared" si="88"/>
        <v>0</v>
      </c>
      <c r="N51" s="169">
        <f t="shared" si="88"/>
        <v>0</v>
      </c>
      <c r="O51" s="169">
        <f t="shared" si="88"/>
        <v>0</v>
      </c>
      <c r="P51" s="407">
        <f t="shared" si="93"/>
        <v>0</v>
      </c>
      <c r="Q51" s="485"/>
      <c r="R51" s="169">
        <f t="shared" si="89"/>
        <v>0</v>
      </c>
      <c r="S51" s="169">
        <f t="shared" si="89"/>
        <v>0</v>
      </c>
      <c r="T51" s="169">
        <f t="shared" si="89"/>
        <v>0</v>
      </c>
      <c r="U51" s="169">
        <f t="shared" si="89"/>
        <v>0</v>
      </c>
      <c r="V51" s="407">
        <f t="shared" si="94"/>
        <v>0</v>
      </c>
      <c r="X51" s="169">
        <f t="shared" si="90"/>
        <v>0</v>
      </c>
      <c r="Y51" s="169">
        <f t="shared" si="90"/>
        <v>0</v>
      </c>
      <c r="Z51" s="169">
        <f t="shared" si="90"/>
        <v>0</v>
      </c>
      <c r="AA51" s="169">
        <f t="shared" si="90"/>
        <v>0</v>
      </c>
      <c r="AB51" s="169">
        <f t="shared" si="95"/>
        <v>0</v>
      </c>
      <c r="AD51" s="169">
        <f t="shared" si="91"/>
        <v>0</v>
      </c>
      <c r="AE51" s="169">
        <f t="shared" si="91"/>
        <v>0</v>
      </c>
      <c r="AF51" s="169">
        <f t="shared" si="91"/>
        <v>0</v>
      </c>
      <c r="AG51" s="169">
        <f t="shared" si="91"/>
        <v>0</v>
      </c>
      <c r="AH51" s="371">
        <f t="shared" si="96"/>
        <v>0</v>
      </c>
      <c r="AI51" s="407">
        <f t="shared" si="56"/>
        <v>0</v>
      </c>
      <c r="AP51" s="80"/>
    </row>
    <row r="52" spans="1:65" ht="20" collapsed="1">
      <c r="A52" s="741" t="s">
        <v>501</v>
      </c>
      <c r="B52" s="13"/>
      <c r="C52" s="13"/>
      <c r="D52" s="13"/>
      <c r="F52" s="169">
        <f>F20*F136</f>
        <v>7260696.3096760726</v>
      </c>
      <c r="G52" s="169">
        <f>G20*G136</f>
        <v>3032949.091383676</v>
      </c>
      <c r="H52" s="169">
        <f>H20*H136</f>
        <v>0</v>
      </c>
      <c r="I52" s="169">
        <f>I20*I136</f>
        <v>0</v>
      </c>
      <c r="J52" s="406">
        <f>SUM(F52:I52)</f>
        <v>10293645.401059749</v>
      </c>
      <c r="L52" s="169">
        <f>L20*L136</f>
        <v>0</v>
      </c>
      <c r="M52" s="169">
        <f>M20*M136</f>
        <v>0</v>
      </c>
      <c r="N52" s="169">
        <f>N20*N136</f>
        <v>0</v>
      </c>
      <c r="O52" s="169">
        <f>O20*O136</f>
        <v>0</v>
      </c>
      <c r="P52" s="406">
        <f>SUM(L52:O52)</f>
        <v>0</v>
      </c>
      <c r="Q52" s="485"/>
      <c r="R52" s="169">
        <f>R18*R136</f>
        <v>0</v>
      </c>
      <c r="S52" s="169">
        <f>S18*S136</f>
        <v>0</v>
      </c>
      <c r="T52" s="169">
        <f>T18*T136</f>
        <v>0</v>
      </c>
      <c r="U52" s="169">
        <f>U18*U136</f>
        <v>0</v>
      </c>
      <c r="V52" s="169">
        <f>SUM(R52:U52)</f>
        <v>0</v>
      </c>
      <c r="X52" s="169">
        <f>X18*X136</f>
        <v>0</v>
      </c>
      <c r="Y52" s="169">
        <f>Y18*Y136</f>
        <v>0</v>
      </c>
      <c r="Z52" s="169">
        <f>Z18*Z136</f>
        <v>0</v>
      </c>
      <c r="AA52" s="169">
        <f>AA18*AA136</f>
        <v>0</v>
      </c>
      <c r="AB52" s="169">
        <f>SUM(X52:AA52)</f>
        <v>0</v>
      </c>
      <c r="AD52" s="169">
        <f>AD20*AD136</f>
        <v>0</v>
      </c>
      <c r="AE52" s="169">
        <f>AE20*AE136</f>
        <v>0</v>
      </c>
      <c r="AF52" s="169">
        <f>AF20*AF136</f>
        <v>0</v>
      </c>
      <c r="AG52" s="169">
        <f>AG20*AG136</f>
        <v>0</v>
      </c>
      <c r="AH52" s="687">
        <f>SUM(AD52:AG52)</f>
        <v>0</v>
      </c>
      <c r="AI52" s="407">
        <f>AH52+AB52</f>
        <v>0</v>
      </c>
      <c r="AP52" s="80"/>
    </row>
    <row r="53" spans="1:65" s="679" customFormat="1" ht="20">
      <c r="A53" s="740" t="s">
        <v>344</v>
      </c>
      <c r="B53" s="932"/>
      <c r="C53" s="932"/>
      <c r="D53" s="932"/>
      <c r="F53" s="492">
        <f>F28-F34</f>
        <v>23946049.979235917</v>
      </c>
      <c r="G53" s="492">
        <f>G28-G34</f>
        <v>10710798.632694304</v>
      </c>
      <c r="H53" s="492">
        <f>H28-H34</f>
        <v>0</v>
      </c>
      <c r="I53" s="492">
        <f>I28-I34</f>
        <v>0</v>
      </c>
      <c r="J53" s="873">
        <f t="shared" si="57"/>
        <v>34656848.611930221</v>
      </c>
      <c r="K53" s="528"/>
      <c r="L53" s="492">
        <f>L28-L34</f>
        <v>54954450.529603019</v>
      </c>
      <c r="M53" s="492">
        <f>M28-M34</f>
        <v>24013021.014201812</v>
      </c>
      <c r="N53" s="492">
        <f>N28-N34</f>
        <v>0</v>
      </c>
      <c r="O53" s="492">
        <f>O28-O34</f>
        <v>0</v>
      </c>
      <c r="P53" s="873">
        <f t="shared" ref="P53" si="97">SUM(L53:O53)</f>
        <v>78967471.543804824</v>
      </c>
      <c r="Q53" s="528"/>
      <c r="R53" s="492">
        <f>R28-R34</f>
        <v>20956783.455848292</v>
      </c>
      <c r="S53" s="492">
        <f>S28-S34</f>
        <v>8928490.2765397597</v>
      </c>
      <c r="T53" s="492">
        <f>T28-T34</f>
        <v>0</v>
      </c>
      <c r="U53" s="492">
        <f>U28-U34</f>
        <v>0</v>
      </c>
      <c r="V53" s="871">
        <f t="shared" si="79"/>
        <v>29885273.732388049</v>
      </c>
      <c r="W53" s="528"/>
      <c r="X53" s="492">
        <f>X28-X34</f>
        <v>18922202.454432417</v>
      </c>
      <c r="Y53" s="492">
        <f>Y28-Y34</f>
        <v>7357630.5784927644</v>
      </c>
      <c r="Z53" s="492">
        <f>Z28-Z34</f>
        <v>0</v>
      </c>
      <c r="AA53" s="492">
        <f>AA28-AA34</f>
        <v>0</v>
      </c>
      <c r="AB53" s="677">
        <f t="shared" si="48"/>
        <v>26279833.032925181</v>
      </c>
      <c r="AC53" s="691"/>
      <c r="AD53" s="492">
        <f>AD28-AD34</f>
        <v>8099619.5365659539</v>
      </c>
      <c r="AE53" s="492">
        <f>AE28-AE34</f>
        <v>5632487.1242225124</v>
      </c>
      <c r="AF53" s="492">
        <f>AF28-AF34</f>
        <v>0</v>
      </c>
      <c r="AG53" s="492">
        <f>AG28-AG34</f>
        <v>0</v>
      </c>
      <c r="AH53" s="689">
        <f t="shared" ref="AH53" si="98">SUM(AD53:AG53)</f>
        <v>13732106.660788465</v>
      </c>
      <c r="AI53" s="873">
        <f>AH53+AB53</f>
        <v>40011939.69371365</v>
      </c>
      <c r="AJ53" s="493"/>
      <c r="AK53" s="493"/>
      <c r="AL53" s="493"/>
      <c r="AM53" s="493"/>
      <c r="AN53" s="493"/>
      <c r="AO53" s="493"/>
      <c r="AP53" s="493"/>
      <c r="AQ53" s="493"/>
      <c r="AR53" s="493"/>
      <c r="AS53" s="493"/>
      <c r="AT53" s="493"/>
      <c r="AU53" s="493"/>
      <c r="BB53" s="493"/>
      <c r="BC53" s="493"/>
      <c r="BD53" s="493"/>
      <c r="BE53" s="493"/>
      <c r="BF53" s="493"/>
      <c r="BG53" s="493"/>
      <c r="BH53" s="493"/>
      <c r="BI53" s="493"/>
      <c r="BJ53" s="493"/>
      <c r="BK53" s="493"/>
      <c r="BL53" s="493"/>
      <c r="BM53" s="493"/>
    </row>
    <row r="54" spans="1:65">
      <c r="F54" s="139"/>
      <c r="AI54" s="406"/>
    </row>
    <row r="55" spans="1:65" s="679" customFormat="1" ht="20">
      <c r="A55" s="740" t="s">
        <v>367</v>
      </c>
      <c r="B55" s="932"/>
      <c r="C55" s="932"/>
      <c r="D55" s="932"/>
      <c r="F55" s="492">
        <f>F18*F118</f>
        <v>0</v>
      </c>
      <c r="G55" s="492">
        <f>G18*G118</f>
        <v>0</v>
      </c>
      <c r="H55" s="492">
        <f>H5*H118</f>
        <v>72800000.000000015</v>
      </c>
      <c r="I55" s="492">
        <f>I5*I118</f>
        <v>148200000</v>
      </c>
      <c r="J55" s="674">
        <f>SUM(F55:I55)</f>
        <v>221000000</v>
      </c>
      <c r="K55" s="528"/>
      <c r="L55" s="492">
        <f>L20*L119</f>
        <v>53571666.163764983</v>
      </c>
      <c r="M55" s="492">
        <f>M20*M119</f>
        <v>22378037.764610685</v>
      </c>
      <c r="N55" s="492">
        <f>N5*N118</f>
        <v>87360000.000000015</v>
      </c>
      <c r="O55" s="492">
        <f>O5*O118</f>
        <v>177840000</v>
      </c>
      <c r="P55" s="674">
        <f>SUM(L55:O55)</f>
        <v>341149703.92837566</v>
      </c>
      <c r="Q55" s="550"/>
      <c r="R55" s="492">
        <f>R20*R119</f>
        <v>8835561.5880556498</v>
      </c>
      <c r="S55" s="492">
        <f>S20*S119</f>
        <v>3690804.2076688157</v>
      </c>
      <c r="T55" s="492">
        <f>T5*T118</f>
        <v>87360000.000000015</v>
      </c>
      <c r="U55" s="492">
        <f>U5*U118</f>
        <v>177840000</v>
      </c>
      <c r="V55" s="677">
        <f>SUM(R55:U55)</f>
        <v>277726365.79572451</v>
      </c>
      <c r="W55" s="528"/>
      <c r="X55" s="492">
        <f>X20*X119</f>
        <v>7837833.7254907619</v>
      </c>
      <c r="Y55" s="492">
        <f>Y20*Y119</f>
        <v>3047630.6987353014</v>
      </c>
      <c r="Z55" s="492">
        <f>Z5*Z118</f>
        <v>0</v>
      </c>
      <c r="AA55" s="492">
        <f>AA5*AA118</f>
        <v>0</v>
      </c>
      <c r="AB55" s="677">
        <f>SUM(X55:AA55)</f>
        <v>10885464.424226064</v>
      </c>
      <c r="AC55" s="691"/>
      <c r="AD55" s="492">
        <f>AD20*AD119</f>
        <v>6049411.0581345866</v>
      </c>
      <c r="AE55" s="492">
        <f>AE20*AE119</f>
        <v>3899681.5496756569</v>
      </c>
      <c r="AF55" s="492">
        <f>AF5*AF118</f>
        <v>0</v>
      </c>
      <c r="AG55" s="492">
        <f>AG5*AG118</f>
        <v>0</v>
      </c>
      <c r="AH55" s="689">
        <f>SUM(AD55:AG55)</f>
        <v>9949092.607810244</v>
      </c>
      <c r="AI55" s="674">
        <f>AH55+AB55</f>
        <v>20834557.032036308</v>
      </c>
      <c r="AJ55" s="493"/>
      <c r="AK55" s="493"/>
      <c r="AL55" s="493"/>
      <c r="AM55" s="493"/>
      <c r="AN55" s="493"/>
      <c r="AO55" s="493"/>
      <c r="AP55" s="494"/>
      <c r="AQ55" s="493"/>
      <c r="AR55" s="493"/>
      <c r="AS55" s="493"/>
      <c r="AT55" s="493"/>
      <c r="AU55" s="493"/>
      <c r="BB55" s="493"/>
      <c r="BC55" s="493"/>
      <c r="BD55" s="493"/>
      <c r="BE55" s="493"/>
      <c r="BF55" s="493"/>
      <c r="BG55" s="493"/>
      <c r="BH55" s="493"/>
      <c r="BI55" s="493"/>
      <c r="BJ55" s="493"/>
      <c r="BK55" s="493"/>
      <c r="BL55" s="493"/>
      <c r="BM55" s="493"/>
    </row>
    <row r="56" spans="1:65">
      <c r="F56" s="139"/>
      <c r="AI56" s="406"/>
    </row>
    <row r="57" spans="1:65" s="727" customFormat="1" ht="21" thickBot="1">
      <c r="A57" s="742" t="s">
        <v>364</v>
      </c>
      <c r="B57" s="933"/>
      <c r="C57" s="933"/>
      <c r="D57" s="933"/>
      <c r="F57" s="571">
        <f>F53+F55</f>
        <v>23946049.979235917</v>
      </c>
      <c r="G57" s="571">
        <f t="shared" ref="G57:I57" si="99">G53+G55</f>
        <v>10710798.632694304</v>
      </c>
      <c r="H57" s="571">
        <f t="shared" si="99"/>
        <v>72800000.000000015</v>
      </c>
      <c r="I57" s="571">
        <f t="shared" si="99"/>
        <v>148200000</v>
      </c>
      <c r="J57" s="874">
        <f>SUM(F57:I57)</f>
        <v>255656848.61193025</v>
      </c>
      <c r="K57" s="572"/>
      <c r="L57" s="571">
        <f>L53+L55</f>
        <v>108526116.693368</v>
      </c>
      <c r="M57" s="571">
        <f t="shared" ref="M57:O57" si="100">M53+M55</f>
        <v>46391058.778812498</v>
      </c>
      <c r="N57" s="571">
        <f t="shared" si="100"/>
        <v>87360000.000000015</v>
      </c>
      <c r="O57" s="571">
        <f t="shared" si="100"/>
        <v>177840000</v>
      </c>
      <c r="P57" s="874">
        <f>SUM(L57:O57)</f>
        <v>420117175.47218049</v>
      </c>
      <c r="Q57" s="573"/>
      <c r="R57" s="571">
        <f>R53+R55</f>
        <v>29792345.043903939</v>
      </c>
      <c r="S57" s="571">
        <f t="shared" ref="S57:U57" si="101">S53+S55</f>
        <v>12619294.484208576</v>
      </c>
      <c r="T57" s="571">
        <f t="shared" si="101"/>
        <v>87360000.000000015</v>
      </c>
      <c r="U57" s="571">
        <f t="shared" si="101"/>
        <v>177840000</v>
      </c>
      <c r="V57" s="872">
        <f>SUM(R57:U57)</f>
        <v>307611639.52811253</v>
      </c>
      <c r="W57" s="572"/>
      <c r="X57" s="571">
        <f>X53+X55</f>
        <v>26760036.179923177</v>
      </c>
      <c r="Y57" s="571">
        <f t="shared" ref="Y57:AA57" si="102">Y53+Y55</f>
        <v>10405261.277228065</v>
      </c>
      <c r="Z57" s="571">
        <f t="shared" si="102"/>
        <v>0</v>
      </c>
      <c r="AA57" s="571">
        <f t="shared" si="102"/>
        <v>0</v>
      </c>
      <c r="AB57" s="869">
        <f>SUM(X57:AA57)</f>
        <v>37165297.457151242</v>
      </c>
      <c r="AC57" s="692"/>
      <c r="AD57" s="571">
        <f>AD53+AD55</f>
        <v>14149030.594700541</v>
      </c>
      <c r="AE57" s="571">
        <f t="shared" ref="AE57:AG57" si="103">AE53+AE55</f>
        <v>9532168.6738981698</v>
      </c>
      <c r="AF57" s="571">
        <f t="shared" si="103"/>
        <v>0</v>
      </c>
      <c r="AG57" s="571">
        <f t="shared" si="103"/>
        <v>0</v>
      </c>
      <c r="AH57" s="870">
        <f>SUM(AD57:AG57)</f>
        <v>23681199.268598713</v>
      </c>
      <c r="AI57" s="875">
        <f>AH57+AB57</f>
        <v>60846496.725749955</v>
      </c>
      <c r="AJ57" s="574"/>
      <c r="AK57" s="574"/>
      <c r="AL57" s="574"/>
      <c r="AM57" s="574"/>
      <c r="AN57" s="574"/>
      <c r="AO57" s="574"/>
      <c r="AP57" s="575"/>
      <c r="AQ57" s="574"/>
      <c r="AR57" s="574"/>
      <c r="AS57" s="574"/>
      <c r="AT57" s="574"/>
      <c r="AU57" s="574"/>
      <c r="BB57" s="574"/>
      <c r="BC57" s="574"/>
      <c r="BD57" s="574"/>
      <c r="BE57" s="574"/>
      <c r="BF57" s="574"/>
      <c r="BG57" s="574"/>
      <c r="BH57" s="574"/>
      <c r="BI57" s="574"/>
      <c r="BJ57" s="574"/>
      <c r="BK57" s="574"/>
      <c r="BL57" s="574"/>
      <c r="BM57" s="574"/>
    </row>
    <row r="58" spans="1:65">
      <c r="P58" s="946">
        <f>(P57-J57)/J57</f>
        <v>0.64328543417935125</v>
      </c>
    </row>
    <row r="59" spans="1:65">
      <c r="I59" s="169"/>
      <c r="P59" s="947">
        <f>(100%+P58)/100%</f>
        <v>1.6432854341793512</v>
      </c>
      <c r="Q59" s="948"/>
    </row>
    <row r="60" spans="1:65" s="425" customFormat="1" ht="20">
      <c r="A60" s="743" t="s">
        <v>295</v>
      </c>
      <c r="B60" s="355"/>
      <c r="C60" s="355"/>
      <c r="D60" s="355"/>
      <c r="E60" s="452"/>
      <c r="F60" s="355"/>
      <c r="G60" s="355"/>
      <c r="H60" s="355"/>
      <c r="I60" s="355"/>
      <c r="J60" s="498"/>
      <c r="K60" s="529"/>
      <c r="L60" s="43"/>
      <c r="M60" s="43"/>
      <c r="N60" s="43"/>
      <c r="O60" s="43"/>
      <c r="P60" s="503"/>
      <c r="Q60" s="529"/>
      <c r="R60" s="43"/>
      <c r="S60" s="43"/>
      <c r="T60" s="43"/>
      <c r="U60" s="43"/>
      <c r="V60" s="43"/>
      <c r="W60" s="558"/>
      <c r="X60" s="355"/>
      <c r="Y60" s="355"/>
      <c r="Z60" s="355"/>
      <c r="AA60" s="355"/>
      <c r="AB60" s="355"/>
      <c r="AC60" s="820"/>
      <c r="AD60" s="355"/>
      <c r="AE60" s="355"/>
      <c r="AF60" s="355"/>
      <c r="AG60" s="355"/>
      <c r="AH60" s="821"/>
      <c r="AI60" s="498"/>
      <c r="AJ60" s="355"/>
      <c r="AK60" s="355"/>
      <c r="AL60" s="355"/>
      <c r="AM60" s="355"/>
      <c r="AN60" s="355"/>
      <c r="AO60" s="355"/>
      <c r="AP60" s="43"/>
      <c r="AQ60" s="43"/>
      <c r="AR60" s="43"/>
      <c r="AS60" s="43"/>
      <c r="AT60" s="43"/>
      <c r="AU60" s="43"/>
      <c r="BB60" s="43"/>
      <c r="BC60" s="43"/>
      <c r="BD60" s="43"/>
      <c r="BE60" s="43"/>
      <c r="BF60" s="43"/>
      <c r="BG60" s="43"/>
      <c r="BH60" s="43"/>
      <c r="BI60" s="43"/>
      <c r="BJ60" s="43"/>
      <c r="BK60" s="43"/>
      <c r="BL60" s="43"/>
      <c r="BM60" s="43"/>
    </row>
    <row r="61" spans="1:65" s="418" customFormat="1" ht="20" hidden="1" outlineLevel="1">
      <c r="A61" s="744" t="s">
        <v>332</v>
      </c>
      <c r="B61" s="417"/>
      <c r="C61" s="417"/>
      <c r="D61" s="417"/>
      <c r="F61" s="419"/>
      <c r="G61" s="420"/>
      <c r="H61" s="420"/>
      <c r="I61" s="420"/>
      <c r="J61" s="500"/>
      <c r="K61" s="530"/>
      <c r="L61" s="421"/>
      <c r="M61" s="421"/>
      <c r="N61" s="421"/>
      <c r="O61" s="421"/>
      <c r="P61" s="531"/>
      <c r="Q61" s="530"/>
      <c r="R61" s="420"/>
      <c r="S61" s="420"/>
      <c r="T61" s="420"/>
      <c r="U61" s="420"/>
      <c r="V61" s="420"/>
      <c r="W61" s="559"/>
      <c r="X61" s="420"/>
      <c r="Y61" s="420"/>
      <c r="Z61" s="420"/>
      <c r="AA61" s="420"/>
      <c r="AB61" s="420"/>
      <c r="AC61" s="822"/>
      <c r="AD61" s="420"/>
      <c r="AE61" s="420"/>
      <c r="AF61" s="420"/>
      <c r="AG61" s="420"/>
      <c r="AH61" s="823"/>
      <c r="AI61" s="500"/>
      <c r="AJ61" s="417"/>
      <c r="AK61" s="417"/>
      <c r="AL61" s="417"/>
      <c r="AM61" s="417"/>
      <c r="AN61" s="417"/>
      <c r="AO61" s="417"/>
      <c r="AP61" s="421"/>
      <c r="AQ61" s="421"/>
      <c r="AR61" s="421"/>
      <c r="AS61" s="421"/>
      <c r="AT61" s="421"/>
      <c r="AU61" s="421"/>
      <c r="BB61" s="421"/>
      <c r="BC61" s="421"/>
      <c r="BD61" s="421"/>
      <c r="BE61" s="421"/>
      <c r="BF61" s="421"/>
      <c r="BG61" s="421"/>
      <c r="BH61" s="421"/>
      <c r="BI61" s="421"/>
      <c r="BJ61" s="421"/>
      <c r="BK61" s="421"/>
      <c r="BL61" s="421"/>
      <c r="BM61" s="421"/>
    </row>
    <row r="62" spans="1:65" s="801" customFormat="1" hidden="1" outlineLevel="1">
      <c r="A62" s="800" t="s">
        <v>507</v>
      </c>
      <c r="B62" s="934"/>
      <c r="C62" s="934"/>
      <c r="D62" s="934"/>
      <c r="F62" s="802"/>
      <c r="G62" s="803"/>
      <c r="H62" s="803"/>
      <c r="I62" s="803"/>
      <c r="J62" s="804"/>
      <c r="K62" s="805"/>
      <c r="L62" s="806"/>
      <c r="M62" s="806"/>
      <c r="N62" s="806"/>
      <c r="O62" s="806"/>
      <c r="P62" s="807"/>
      <c r="Q62" s="805"/>
      <c r="R62" s="803"/>
      <c r="S62" s="803"/>
      <c r="T62" s="803"/>
      <c r="U62" s="803"/>
      <c r="V62" s="803"/>
      <c r="W62" s="808"/>
      <c r="X62" s="803"/>
      <c r="Y62" s="803"/>
      <c r="Z62" s="803"/>
      <c r="AA62" s="803"/>
      <c r="AB62" s="803"/>
      <c r="AC62" s="824"/>
      <c r="AD62" s="803"/>
      <c r="AE62" s="803"/>
      <c r="AF62" s="803"/>
      <c r="AG62" s="803"/>
      <c r="AH62" s="825"/>
      <c r="AI62" s="804"/>
      <c r="AJ62" s="809"/>
      <c r="AK62" s="809"/>
      <c r="AL62" s="809"/>
      <c r="AM62" s="809"/>
      <c r="AN62" s="809"/>
      <c r="AO62" s="809"/>
      <c r="AP62" s="806"/>
      <c r="AQ62" s="806"/>
      <c r="AR62" s="806"/>
      <c r="AS62" s="806"/>
      <c r="AT62" s="806"/>
      <c r="AU62" s="806"/>
      <c r="BB62" s="806"/>
      <c r="BC62" s="806"/>
      <c r="BD62" s="806"/>
      <c r="BE62" s="806"/>
      <c r="BF62" s="806"/>
      <c r="BG62" s="806"/>
      <c r="BH62" s="806"/>
      <c r="BI62" s="806"/>
      <c r="BJ62" s="806"/>
      <c r="BK62" s="806"/>
      <c r="BL62" s="806"/>
      <c r="BM62" s="806"/>
    </row>
    <row r="63" spans="1:65" ht="40" hidden="1" outlineLevel="1">
      <c r="A63" s="741" t="s">
        <v>422</v>
      </c>
      <c r="B63" s="13"/>
      <c r="C63" s="13"/>
      <c r="D63" s="13"/>
      <c r="E63" s="61"/>
      <c r="F63" s="344" t="s">
        <v>403</v>
      </c>
      <c r="G63" s="13"/>
      <c r="H63" s="13"/>
      <c r="I63" s="13"/>
      <c r="J63" s="297"/>
      <c r="L63" s="344" t="s">
        <v>403</v>
      </c>
      <c r="R63" s="344" t="s">
        <v>403</v>
      </c>
      <c r="W63" s="161"/>
      <c r="X63" s="13"/>
      <c r="Y63" s="13"/>
      <c r="Z63" s="13"/>
      <c r="AA63" s="13"/>
      <c r="AB63" s="13"/>
      <c r="AC63" s="826"/>
      <c r="AD63" s="13"/>
      <c r="AE63" s="13"/>
      <c r="AF63" s="13"/>
      <c r="AG63" s="13"/>
      <c r="AH63" s="614"/>
      <c r="AI63" s="297"/>
      <c r="AJ63" s="13"/>
      <c r="AK63" s="13"/>
      <c r="AL63" s="13"/>
      <c r="AM63" s="13"/>
      <c r="AN63" s="13"/>
      <c r="AO63" s="13"/>
    </row>
    <row r="64" spans="1:65" hidden="1" outlineLevel="1">
      <c r="A64" s="745" t="s">
        <v>327</v>
      </c>
      <c r="B64" s="2"/>
      <c r="C64" s="2"/>
      <c r="D64" s="2"/>
      <c r="E64" s="61"/>
      <c r="F64" s="764">
        <f>'База селлеров'!B38</f>
        <v>1.0916349572702888E-4</v>
      </c>
      <c r="G64" s="408">
        <f>'База селлеров'!C38</f>
        <v>1.7230576441102756E-3</v>
      </c>
      <c r="H64" s="408">
        <f>'База селлеров'!D38</f>
        <v>8.2468141254904686E-4</v>
      </c>
      <c r="I64" s="408">
        <f>'База селлеров'!E38</f>
        <v>8.2468141254904686E-4</v>
      </c>
      <c r="J64" s="468"/>
      <c r="L64" s="408">
        <f>F64</f>
        <v>1.0916349572702888E-4</v>
      </c>
      <c r="M64" s="409">
        <f>G64</f>
        <v>1.7230576441102756E-3</v>
      </c>
      <c r="N64" s="409">
        <f t="shared" ref="N64:O68" si="104">H64</f>
        <v>8.2468141254904686E-4</v>
      </c>
      <c r="O64" s="410">
        <f t="shared" si="104"/>
        <v>8.2468141254904686E-4</v>
      </c>
      <c r="R64" s="408">
        <f>L64</f>
        <v>1.0916349572702888E-4</v>
      </c>
      <c r="S64" s="409">
        <f>M64</f>
        <v>1.7230576441102756E-3</v>
      </c>
      <c r="T64" s="409">
        <f t="shared" ref="T64:U68" si="105">N64</f>
        <v>8.2468141254904686E-4</v>
      </c>
      <c r="U64" s="410">
        <f t="shared" si="105"/>
        <v>8.2468141254904686E-4</v>
      </c>
      <c r="W64" s="161"/>
      <c r="X64" s="408">
        <v>0</v>
      </c>
      <c r="Y64" s="409">
        <v>0</v>
      </c>
      <c r="Z64" s="409">
        <v>0</v>
      </c>
      <c r="AA64" s="410">
        <v>0</v>
      </c>
      <c r="AB64" s="13"/>
      <c r="AC64" s="826"/>
      <c r="AD64" s="408">
        <f>R64/(R64+R65+R66)</f>
        <v>9.6671730423974599E-4</v>
      </c>
      <c r="AE64" s="409">
        <f t="shared" ref="AE64:AG64" si="106">S64/(S64+S65+S66)</f>
        <v>9.8876404494382016E-3</v>
      </c>
      <c r="AF64" s="409">
        <f t="shared" si="106"/>
        <v>5.8856328604175697E-3</v>
      </c>
      <c r="AG64" s="410">
        <f t="shared" si="106"/>
        <v>5.8856328604175697E-3</v>
      </c>
      <c r="AH64" s="614"/>
      <c r="AI64" s="297"/>
      <c r="AJ64" s="13"/>
      <c r="AK64" s="13"/>
      <c r="AL64" s="13"/>
      <c r="AM64" s="13"/>
      <c r="AN64" s="13"/>
      <c r="AO64" s="13"/>
    </row>
    <row r="65" spans="1:65" hidden="1" outlineLevel="1">
      <c r="A65" s="739" t="s">
        <v>429</v>
      </c>
      <c r="B65" s="2"/>
      <c r="C65" s="2"/>
      <c r="D65" s="2"/>
      <c r="F65" s="402">
        <f>'База селлеров'!B39</f>
        <v>7.5010916349572705E-3</v>
      </c>
      <c r="G65" s="362">
        <f>'База селлеров'!C39</f>
        <v>2.0520050125313282E-2</v>
      </c>
      <c r="H65" s="362">
        <f>'База селлеров'!D39</f>
        <v>1.3273030313552554E-2</v>
      </c>
      <c r="I65" s="362">
        <f>H65</f>
        <v>1.3273030313552554E-2</v>
      </c>
      <c r="J65" s="297"/>
      <c r="L65" s="283">
        <f>F65</f>
        <v>7.5010916349572705E-3</v>
      </c>
      <c r="M65" s="74">
        <f>G65</f>
        <v>2.0520050125313282E-2</v>
      </c>
      <c r="N65" s="74">
        <f t="shared" si="104"/>
        <v>1.3273030313552554E-2</v>
      </c>
      <c r="O65" s="289">
        <f t="shared" si="104"/>
        <v>1.3273030313552554E-2</v>
      </c>
      <c r="P65" s="532"/>
      <c r="Q65" s="436"/>
      <c r="R65" s="283">
        <f>L65</f>
        <v>7.5010916349572705E-3</v>
      </c>
      <c r="S65" s="74">
        <f>M65</f>
        <v>2.0520050125313282E-2</v>
      </c>
      <c r="T65" s="74">
        <f t="shared" si="105"/>
        <v>1.3273030313552554E-2</v>
      </c>
      <c r="U65" s="289">
        <f t="shared" si="105"/>
        <v>1.3273030313552554E-2</v>
      </c>
      <c r="X65" s="283">
        <v>0</v>
      </c>
      <c r="Y65" s="74">
        <v>0</v>
      </c>
      <c r="Z65" s="74">
        <v>0</v>
      </c>
      <c r="AA65" s="289">
        <v>0</v>
      </c>
      <c r="AD65" s="283">
        <f>R65/(R64+R65+R66)</f>
        <v>6.6427289048473975E-2</v>
      </c>
      <c r="AE65" s="74">
        <f t="shared" ref="AE65:AG65" si="107">S65/(S64+S65+S66)</f>
        <v>0.11775280898876403</v>
      </c>
      <c r="AF65" s="74">
        <f t="shared" si="107"/>
        <v>9.4727712037668041E-2</v>
      </c>
      <c r="AG65" s="289">
        <f t="shared" si="107"/>
        <v>9.4727712037668041E-2</v>
      </c>
      <c r="AJ65" s="2"/>
      <c r="AK65" s="2"/>
      <c r="AL65" s="2"/>
      <c r="AM65" s="2"/>
      <c r="AN65" s="2"/>
      <c r="AO65" s="2"/>
    </row>
    <row r="66" spans="1:65" hidden="1" outlineLevel="1">
      <c r="A66" s="739" t="s">
        <v>65</v>
      </c>
      <c r="B66" s="2"/>
      <c r="C66" s="2"/>
      <c r="D66" s="2"/>
      <c r="F66" s="402">
        <f>'База селлеров'!B40</f>
        <v>0.10531158380637515</v>
      </c>
      <c r="G66" s="362">
        <f>'База селлеров'!C40</f>
        <v>0.15202067669172933</v>
      </c>
      <c r="H66" s="362">
        <f>'База селлеров'!D40</f>
        <v>0.12602000069446856</v>
      </c>
      <c r="I66" s="362">
        <f>'База селлеров'!E40</f>
        <v>0.12602000069446856</v>
      </c>
      <c r="J66" s="297"/>
      <c r="L66" s="283">
        <f t="shared" ref="L66:L68" si="108">F66</f>
        <v>0.10531158380637515</v>
      </c>
      <c r="M66" s="74">
        <f>G66</f>
        <v>0.15202067669172933</v>
      </c>
      <c r="N66" s="74">
        <f t="shared" si="104"/>
        <v>0.12602000069446856</v>
      </c>
      <c r="O66" s="289">
        <f t="shared" si="104"/>
        <v>0.12602000069446856</v>
      </c>
      <c r="P66" s="532"/>
      <c r="Q66" s="436"/>
      <c r="R66" s="283">
        <f t="shared" ref="R66:R68" si="109">L66</f>
        <v>0.10531158380637515</v>
      </c>
      <c r="S66" s="74">
        <f>M66</f>
        <v>0.15202067669172933</v>
      </c>
      <c r="T66" s="74">
        <f t="shared" si="105"/>
        <v>0.12602000069446856</v>
      </c>
      <c r="U66" s="289">
        <f t="shared" si="105"/>
        <v>0.12602000069446856</v>
      </c>
      <c r="X66" s="283">
        <v>0</v>
      </c>
      <c r="Y66" s="74">
        <v>0</v>
      </c>
      <c r="Z66" s="74">
        <v>0</v>
      </c>
      <c r="AA66" s="289">
        <v>0</v>
      </c>
      <c r="AD66" s="283">
        <f>R66/(R64+R65+R66)</f>
        <v>0.93260599364728636</v>
      </c>
      <c r="AE66" s="74">
        <f t="shared" ref="AE66:AG66" si="110">S66/(S64+S65+S66)</f>
        <v>0.8723595505617977</v>
      </c>
      <c r="AF66" s="74">
        <f t="shared" si="110"/>
        <v>0.89938665510191429</v>
      </c>
      <c r="AG66" s="289">
        <f t="shared" si="110"/>
        <v>0.89938665510191429</v>
      </c>
      <c r="AJ66" s="2"/>
      <c r="AK66" s="2"/>
      <c r="AL66" s="2"/>
      <c r="AM66" s="2"/>
      <c r="AN66" s="2"/>
      <c r="AO66" s="2"/>
    </row>
    <row r="67" spans="1:65" hidden="1" outlineLevel="1">
      <c r="A67" s="739" t="s">
        <v>66</v>
      </c>
      <c r="B67" s="2"/>
      <c r="C67" s="2"/>
      <c r="D67" s="2"/>
      <c r="F67" s="402">
        <f>'База селлеров'!B41</f>
        <v>0.88707816106294057</v>
      </c>
      <c r="G67" s="362">
        <f>'База селлеров'!C41</f>
        <v>0.82573621553884713</v>
      </c>
      <c r="H67" s="362">
        <f>'База селлеров'!D41</f>
        <v>0.85988228757942986</v>
      </c>
      <c r="I67" s="362">
        <f>'База селлеров'!E41</f>
        <v>0.85988228757942986</v>
      </c>
      <c r="J67" s="297"/>
      <c r="L67" s="283">
        <f t="shared" si="108"/>
        <v>0.88707816106294057</v>
      </c>
      <c r="M67" s="74">
        <f>G67</f>
        <v>0.82573621553884713</v>
      </c>
      <c r="N67" s="74">
        <f t="shared" si="104"/>
        <v>0.85988228757942986</v>
      </c>
      <c r="O67" s="289">
        <f t="shared" si="104"/>
        <v>0.85988228757942986</v>
      </c>
      <c r="P67" s="532"/>
      <c r="Q67" s="436"/>
      <c r="R67" s="283">
        <f t="shared" si="109"/>
        <v>0.88707816106294057</v>
      </c>
      <c r="S67" s="74">
        <f>M67</f>
        <v>0.82573621553884713</v>
      </c>
      <c r="T67" s="74">
        <f t="shared" si="105"/>
        <v>0.85988228757942986</v>
      </c>
      <c r="U67" s="289">
        <f t="shared" si="105"/>
        <v>0.85988228757942986</v>
      </c>
      <c r="X67" s="283">
        <v>1</v>
      </c>
      <c r="Y67" s="74">
        <v>1</v>
      </c>
      <c r="Z67" s="74">
        <v>1</v>
      </c>
      <c r="AA67" s="289">
        <v>1</v>
      </c>
      <c r="AD67" s="283">
        <v>0</v>
      </c>
      <c r="AE67" s="74">
        <v>0</v>
      </c>
      <c r="AF67" s="74">
        <v>0</v>
      </c>
      <c r="AG67" s="289">
        <v>0</v>
      </c>
      <c r="AJ67" s="2"/>
      <c r="AK67" s="2"/>
      <c r="AL67" s="2"/>
      <c r="AM67" s="2"/>
      <c r="AN67" s="2"/>
      <c r="AO67" s="2"/>
    </row>
    <row r="68" spans="1:65" hidden="1" outlineLevel="1">
      <c r="A68" s="739" t="s">
        <v>328</v>
      </c>
      <c r="B68" s="2"/>
      <c r="C68" s="2"/>
      <c r="D68" s="2"/>
      <c r="F68" s="643">
        <v>0</v>
      </c>
      <c r="G68" s="644">
        <v>0</v>
      </c>
      <c r="H68" s="644">
        <v>0</v>
      </c>
      <c r="I68" s="644">
        <v>0</v>
      </c>
      <c r="J68" s="297"/>
      <c r="L68" s="283">
        <f t="shared" si="108"/>
        <v>0</v>
      </c>
      <c r="M68" s="74">
        <f>G68</f>
        <v>0</v>
      </c>
      <c r="N68" s="74">
        <f t="shared" si="104"/>
        <v>0</v>
      </c>
      <c r="O68" s="289">
        <f t="shared" si="104"/>
        <v>0</v>
      </c>
      <c r="P68" s="532"/>
      <c r="Q68" s="436"/>
      <c r="R68" s="283">
        <f t="shared" si="109"/>
        <v>0</v>
      </c>
      <c r="S68" s="74">
        <f>M68</f>
        <v>0</v>
      </c>
      <c r="T68" s="74">
        <f t="shared" si="105"/>
        <v>0</v>
      </c>
      <c r="U68" s="289">
        <f t="shared" si="105"/>
        <v>0</v>
      </c>
      <c r="X68" s="283">
        <v>0</v>
      </c>
      <c r="Y68" s="74">
        <v>0</v>
      </c>
      <c r="Z68" s="74">
        <v>0</v>
      </c>
      <c r="AA68" s="289">
        <v>0</v>
      </c>
      <c r="AD68" s="283">
        <f t="shared" ref="AD68" si="111">X68</f>
        <v>0</v>
      </c>
      <c r="AE68" s="74">
        <f>Y68</f>
        <v>0</v>
      </c>
      <c r="AF68" s="74">
        <f t="shared" ref="AF68:AG68" si="112">Z68</f>
        <v>0</v>
      </c>
      <c r="AG68" s="289">
        <f t="shared" si="112"/>
        <v>0</v>
      </c>
      <c r="AJ68" s="2"/>
      <c r="AK68" s="2"/>
      <c r="AL68" s="2"/>
      <c r="AM68" s="2"/>
      <c r="AN68" s="2"/>
      <c r="AO68" s="2"/>
    </row>
    <row r="69" spans="1:65" hidden="1" outlineLevel="1">
      <c r="A69" s="746"/>
      <c r="B69" s="2"/>
      <c r="C69" s="2"/>
      <c r="D69" s="2"/>
      <c r="F69" s="403"/>
      <c r="G69" s="404"/>
      <c r="H69" s="424"/>
      <c r="I69" s="404"/>
      <c r="J69" s="501"/>
      <c r="L69" s="286"/>
      <c r="M69" s="287"/>
      <c r="N69" s="287"/>
      <c r="O69" s="288"/>
      <c r="Q69" s="436"/>
      <c r="R69" s="286"/>
      <c r="S69" s="287"/>
      <c r="T69" s="287"/>
      <c r="U69" s="288"/>
      <c r="X69" s="286"/>
      <c r="Y69" s="287"/>
      <c r="Z69" s="287"/>
      <c r="AA69" s="288"/>
      <c r="AD69" s="286"/>
      <c r="AE69" s="287"/>
      <c r="AF69" s="287"/>
      <c r="AG69" s="288"/>
      <c r="AJ69" s="2"/>
      <c r="AK69" s="2"/>
      <c r="AL69" s="2"/>
      <c r="AM69" s="2"/>
      <c r="AN69" s="2"/>
      <c r="AO69" s="2"/>
    </row>
    <row r="70" spans="1:65" hidden="1" outlineLevel="1">
      <c r="A70" s="741"/>
      <c r="B70" s="13"/>
      <c r="C70" s="13"/>
      <c r="D70" s="13"/>
      <c r="F70" s="400"/>
      <c r="G70" s="154"/>
      <c r="H70" s="401"/>
      <c r="I70" s="154"/>
      <c r="J70" s="299"/>
      <c r="R70" s="154"/>
      <c r="S70" s="154"/>
      <c r="T70" s="154"/>
      <c r="U70" s="154"/>
      <c r="V70" s="154"/>
      <c r="W70" s="342"/>
      <c r="X70" s="154"/>
      <c r="Y70" s="154"/>
      <c r="Z70" s="154"/>
      <c r="AA70" s="154"/>
      <c r="AB70" s="154"/>
      <c r="AC70" s="615"/>
      <c r="AD70" s="154"/>
      <c r="AE70" s="154"/>
      <c r="AF70" s="154"/>
      <c r="AG70" s="154"/>
      <c r="AH70" s="684"/>
      <c r="AI70" s="299"/>
      <c r="AJ70" s="13"/>
      <c r="AK70" s="13"/>
      <c r="AL70" s="13"/>
      <c r="AM70" s="13"/>
      <c r="AN70" s="13"/>
      <c r="AO70" s="13"/>
    </row>
    <row r="71" spans="1:65" hidden="1" outlineLevel="1">
      <c r="A71" s="741"/>
      <c r="B71" s="13"/>
      <c r="C71" s="13"/>
      <c r="D71" s="13"/>
      <c r="F71" s="400"/>
      <c r="G71" s="154"/>
      <c r="H71" s="154"/>
      <c r="I71" s="154"/>
      <c r="J71" s="299"/>
      <c r="R71" s="154"/>
      <c r="S71" s="154"/>
      <c r="T71" s="154"/>
      <c r="U71" s="154"/>
      <c r="V71" s="154"/>
      <c r="W71" s="342"/>
      <c r="X71" s="154"/>
      <c r="Y71" s="154"/>
      <c r="Z71" s="154"/>
      <c r="AA71" s="154"/>
      <c r="AB71" s="154"/>
      <c r="AC71" s="615"/>
      <c r="AD71" s="154"/>
      <c r="AE71" s="154"/>
      <c r="AF71" s="154"/>
      <c r="AG71" s="154"/>
      <c r="AH71" s="684"/>
      <c r="AI71" s="299"/>
      <c r="AJ71" s="13"/>
      <c r="AK71" s="13"/>
      <c r="AL71" s="13"/>
      <c r="AM71" s="13"/>
      <c r="AN71" s="13"/>
      <c r="AO71" s="13"/>
    </row>
    <row r="72" spans="1:65" s="425" customFormat="1" ht="80" hidden="1" outlineLevel="1">
      <c r="A72" s="747" t="s">
        <v>348</v>
      </c>
      <c r="B72" s="452"/>
      <c r="C72" s="452"/>
      <c r="D72" s="452"/>
      <c r="E72" s="356"/>
      <c r="F72" s="399" t="s">
        <v>404</v>
      </c>
      <c r="G72" s="43"/>
      <c r="H72" s="43"/>
      <c r="I72" s="43"/>
      <c r="J72" s="503"/>
      <c r="K72" s="533" t="s">
        <v>363</v>
      </c>
      <c r="L72" s="399" t="s">
        <v>334</v>
      </c>
      <c r="M72" s="43"/>
      <c r="N72" s="43"/>
      <c r="O72" s="43"/>
      <c r="P72" s="503"/>
      <c r="Q72" s="529"/>
      <c r="R72" s="399" t="s">
        <v>334</v>
      </c>
      <c r="S72" s="43"/>
      <c r="T72" s="43"/>
      <c r="U72" s="43"/>
      <c r="V72" s="43"/>
      <c r="W72" s="529"/>
      <c r="X72" s="43"/>
      <c r="Y72" s="43"/>
      <c r="Z72" s="43"/>
      <c r="AA72" s="43"/>
      <c r="AB72" s="43"/>
      <c r="AC72" s="827"/>
      <c r="AD72" s="43"/>
      <c r="AE72" s="43"/>
      <c r="AF72" s="43"/>
      <c r="AG72" s="43"/>
      <c r="AH72" s="828"/>
      <c r="AI72" s="503"/>
      <c r="AJ72" s="43"/>
      <c r="AK72" s="43"/>
      <c r="AL72" s="43"/>
      <c r="AM72" s="43"/>
      <c r="AN72" s="43"/>
      <c r="AO72" s="43"/>
      <c r="AP72" s="43"/>
      <c r="AQ72" s="43"/>
      <c r="AR72" s="43"/>
      <c r="AS72" s="43"/>
      <c r="AT72" s="43"/>
      <c r="AU72" s="43"/>
      <c r="BB72" s="43"/>
      <c r="BC72" s="43"/>
      <c r="BD72" s="43"/>
      <c r="BE72" s="43"/>
      <c r="BF72" s="43"/>
      <c r="BG72" s="43"/>
      <c r="BH72" s="43"/>
      <c r="BI72" s="43"/>
      <c r="BJ72" s="43"/>
      <c r="BK72" s="43"/>
      <c r="BL72" s="43"/>
      <c r="BM72" s="43"/>
    </row>
    <row r="73" spans="1:65" hidden="1" outlineLevel="1">
      <c r="A73" s="739" t="s">
        <v>64</v>
      </c>
      <c r="B73" s="2"/>
      <c r="C73" s="2"/>
      <c r="D73" s="2"/>
      <c r="F73" s="423"/>
      <c r="J73" s="504"/>
      <c r="R73" s="423"/>
    </row>
    <row r="74" spans="1:65" hidden="1" outlineLevel="1">
      <c r="A74" s="745" t="s">
        <v>327</v>
      </c>
      <c r="B74" s="2"/>
      <c r="C74" s="2"/>
      <c r="D74" s="2"/>
      <c r="F74" s="367">
        <f t="shared" ref="F74:I79" si="113">F83/2</f>
        <v>55362.5</v>
      </c>
      <c r="G74" s="368">
        <f t="shared" si="113"/>
        <v>55362.5</v>
      </c>
      <c r="H74" s="368">
        <f t="shared" si="113"/>
        <v>55362.5</v>
      </c>
      <c r="I74" s="369">
        <f t="shared" si="113"/>
        <v>55362.5</v>
      </c>
      <c r="J74" s="504"/>
      <c r="K74" s="518"/>
      <c r="L74" s="367">
        <f>L91/2*L99</f>
        <v>59174.344262295082</v>
      </c>
      <c r="M74" s="368">
        <f>L74</f>
        <v>59174.344262295082</v>
      </c>
      <c r="N74" s="368">
        <f>M74</f>
        <v>59174.344262295082</v>
      </c>
      <c r="O74" s="369">
        <f>N74</f>
        <v>59174.344262295082</v>
      </c>
      <c r="R74" s="413">
        <f>L74</f>
        <v>59174.344262295082</v>
      </c>
      <c r="S74" s="368">
        <f>R74</f>
        <v>59174.344262295082</v>
      </c>
      <c r="T74" s="368">
        <f t="shared" ref="T74:U74" si="114">S74</f>
        <v>59174.344262295082</v>
      </c>
      <c r="U74" s="369">
        <f t="shared" si="114"/>
        <v>59174.344262295082</v>
      </c>
      <c r="X74" s="413">
        <f>R74</f>
        <v>59174.344262295082</v>
      </c>
      <c r="Y74" s="368">
        <f>X74</f>
        <v>59174.344262295082</v>
      </c>
      <c r="Z74" s="368">
        <f t="shared" ref="Z74:AA79" si="115">Y74</f>
        <v>59174.344262295082</v>
      </c>
      <c r="AA74" s="369">
        <f t="shared" si="115"/>
        <v>59174.344262295082</v>
      </c>
      <c r="AD74" s="413">
        <f>X74</f>
        <v>59174.344262295082</v>
      </c>
      <c r="AE74" s="368">
        <f>AD74</f>
        <v>59174.344262295082</v>
      </c>
      <c r="AF74" s="368">
        <f t="shared" ref="AF74:AG79" si="116">AE74</f>
        <v>59174.344262295082</v>
      </c>
      <c r="AG74" s="369">
        <f t="shared" si="116"/>
        <v>59174.344262295082</v>
      </c>
    </row>
    <row r="75" spans="1:65" hidden="1" outlineLevel="1">
      <c r="A75" s="739" t="s">
        <v>62</v>
      </c>
      <c r="B75" s="2"/>
      <c r="C75" s="2"/>
      <c r="D75" s="2"/>
      <c r="F75" s="370">
        <f t="shared" si="113"/>
        <v>35026.5</v>
      </c>
      <c r="G75" s="169">
        <f t="shared" si="113"/>
        <v>35026.5</v>
      </c>
      <c r="H75" s="169">
        <f t="shared" si="113"/>
        <v>35026.5</v>
      </c>
      <c r="I75" s="371">
        <f t="shared" si="113"/>
        <v>35026.5</v>
      </c>
      <c r="J75" s="504"/>
      <c r="K75" s="518"/>
      <c r="L75" s="370">
        <f t="shared" ref="L75:L79" si="117">L92/2*L100</f>
        <v>38183.394849785407</v>
      </c>
      <c r="M75" s="169">
        <f t="shared" ref="M75:O79" si="118">L75</f>
        <v>38183.394849785407</v>
      </c>
      <c r="N75" s="169">
        <f t="shared" si="118"/>
        <v>38183.394849785407</v>
      </c>
      <c r="O75" s="371">
        <f t="shared" si="118"/>
        <v>38183.394849785407</v>
      </c>
      <c r="R75" s="414">
        <f t="shared" ref="R75:R79" si="119">L75</f>
        <v>38183.394849785407</v>
      </c>
      <c r="S75" s="169">
        <f t="shared" ref="S75:U79" si="120">R75</f>
        <v>38183.394849785407</v>
      </c>
      <c r="T75" s="169">
        <f t="shared" si="120"/>
        <v>38183.394849785407</v>
      </c>
      <c r="U75" s="371">
        <f t="shared" si="120"/>
        <v>38183.394849785407</v>
      </c>
      <c r="W75" s="342"/>
      <c r="X75" s="414">
        <f t="shared" ref="X75:X79" si="121">R75</f>
        <v>38183.394849785407</v>
      </c>
      <c r="Y75" s="169">
        <f t="shared" ref="Y75:Y79" si="122">X75</f>
        <v>38183.394849785407</v>
      </c>
      <c r="Z75" s="169">
        <f t="shared" si="115"/>
        <v>38183.394849785407</v>
      </c>
      <c r="AA75" s="371">
        <f t="shared" si="115"/>
        <v>38183.394849785407</v>
      </c>
      <c r="AB75" s="154"/>
      <c r="AC75" s="615"/>
      <c r="AD75" s="414">
        <f t="shared" ref="AD75:AD79" si="123">X75</f>
        <v>38183.394849785407</v>
      </c>
      <c r="AE75" s="169">
        <f t="shared" ref="AE75:AE79" si="124">AD75</f>
        <v>38183.394849785407</v>
      </c>
      <c r="AF75" s="169">
        <f t="shared" si="116"/>
        <v>38183.394849785407</v>
      </c>
      <c r="AG75" s="371">
        <f t="shared" si="116"/>
        <v>38183.394849785407</v>
      </c>
      <c r="AH75" s="684"/>
      <c r="AI75" s="299"/>
      <c r="AJ75" s="2"/>
      <c r="AK75" s="2"/>
      <c r="AL75" s="2"/>
      <c r="AM75" s="2"/>
      <c r="AN75" s="2"/>
      <c r="AO75" s="2"/>
    </row>
    <row r="76" spans="1:65" hidden="1" outlineLevel="1">
      <c r="A76" s="739" t="s">
        <v>65</v>
      </c>
      <c r="B76" s="2"/>
      <c r="C76" s="2"/>
      <c r="D76" s="2"/>
      <c r="F76" s="370">
        <f t="shared" si="113"/>
        <v>23721.5</v>
      </c>
      <c r="G76" s="169">
        <f t="shared" si="113"/>
        <v>23721.5</v>
      </c>
      <c r="H76" s="169">
        <f t="shared" si="113"/>
        <v>23721.5</v>
      </c>
      <c r="I76" s="371">
        <f t="shared" si="113"/>
        <v>23721.5</v>
      </c>
      <c r="J76" s="504"/>
      <c r="K76" s="518"/>
      <c r="L76" s="370">
        <f t="shared" si="117"/>
        <v>26600.988439306362</v>
      </c>
      <c r="M76" s="169">
        <f t="shared" si="118"/>
        <v>26600.988439306362</v>
      </c>
      <c r="N76" s="169">
        <f t="shared" si="118"/>
        <v>26600.988439306362</v>
      </c>
      <c r="O76" s="371">
        <f t="shared" si="118"/>
        <v>26600.988439306362</v>
      </c>
      <c r="R76" s="414">
        <f t="shared" si="119"/>
        <v>26600.988439306362</v>
      </c>
      <c r="S76" s="169">
        <f t="shared" si="120"/>
        <v>26600.988439306362</v>
      </c>
      <c r="T76" s="169">
        <f t="shared" si="120"/>
        <v>26600.988439306362</v>
      </c>
      <c r="U76" s="371">
        <f t="shared" si="120"/>
        <v>26600.988439306362</v>
      </c>
      <c r="W76" s="342"/>
      <c r="X76" s="414">
        <f t="shared" si="121"/>
        <v>26600.988439306362</v>
      </c>
      <c r="Y76" s="169">
        <f t="shared" si="122"/>
        <v>26600.988439306362</v>
      </c>
      <c r="Z76" s="169">
        <f t="shared" si="115"/>
        <v>26600.988439306362</v>
      </c>
      <c r="AA76" s="371">
        <f t="shared" si="115"/>
        <v>26600.988439306362</v>
      </c>
      <c r="AB76" s="154"/>
      <c r="AC76" s="615"/>
      <c r="AD76" s="414">
        <f t="shared" si="123"/>
        <v>26600.988439306362</v>
      </c>
      <c r="AE76" s="169">
        <f t="shared" si="124"/>
        <v>26600.988439306362</v>
      </c>
      <c r="AF76" s="169">
        <f t="shared" si="116"/>
        <v>26600.988439306362</v>
      </c>
      <c r="AG76" s="371">
        <f t="shared" si="116"/>
        <v>26600.988439306362</v>
      </c>
      <c r="AH76" s="684"/>
      <c r="AI76" s="299"/>
      <c r="AJ76" s="2"/>
      <c r="AK76" s="2"/>
      <c r="AL76" s="2"/>
      <c r="AM76" s="2"/>
      <c r="AN76" s="2"/>
      <c r="AO76" s="2"/>
    </row>
    <row r="77" spans="1:65" s="887" customFormat="1" hidden="1" outlineLevel="1">
      <c r="A77" s="877" t="s">
        <v>66</v>
      </c>
      <c r="B77" s="888"/>
      <c r="C77" s="888"/>
      <c r="D77" s="888"/>
      <c r="E77" s="888"/>
      <c r="F77" s="889">
        <f t="shared" si="113"/>
        <v>20475.5</v>
      </c>
      <c r="G77" s="879">
        <f t="shared" si="113"/>
        <v>20475.5</v>
      </c>
      <c r="H77" s="879">
        <f t="shared" si="113"/>
        <v>20475.5</v>
      </c>
      <c r="I77" s="890">
        <f t="shared" si="113"/>
        <v>20475.5</v>
      </c>
      <c r="J77" s="891"/>
      <c r="K77" s="892"/>
      <c r="L77" s="889">
        <f t="shared" si="117"/>
        <v>23361.308724832215</v>
      </c>
      <c r="M77" s="879">
        <f t="shared" si="118"/>
        <v>23361.308724832215</v>
      </c>
      <c r="N77" s="879">
        <f t="shared" si="118"/>
        <v>23361.308724832215</v>
      </c>
      <c r="O77" s="890">
        <f t="shared" si="118"/>
        <v>23361.308724832215</v>
      </c>
      <c r="P77" s="893"/>
      <c r="Q77" s="158"/>
      <c r="R77" s="894">
        <f t="shared" si="119"/>
        <v>23361.308724832215</v>
      </c>
      <c r="S77" s="879">
        <f t="shared" si="120"/>
        <v>23361.308724832215</v>
      </c>
      <c r="T77" s="879">
        <f t="shared" si="120"/>
        <v>23361.308724832215</v>
      </c>
      <c r="U77" s="890">
        <f t="shared" si="120"/>
        <v>23361.308724832215</v>
      </c>
      <c r="V77" s="14"/>
      <c r="W77" s="884"/>
      <c r="X77" s="894">
        <f t="shared" si="121"/>
        <v>23361.308724832215</v>
      </c>
      <c r="Y77" s="879">
        <f t="shared" si="122"/>
        <v>23361.308724832215</v>
      </c>
      <c r="Z77" s="879">
        <f t="shared" si="115"/>
        <v>23361.308724832215</v>
      </c>
      <c r="AA77" s="890">
        <f t="shared" si="115"/>
        <v>23361.308724832215</v>
      </c>
      <c r="AB77" s="895"/>
      <c r="AC77" s="885"/>
      <c r="AD77" s="894">
        <f t="shared" si="123"/>
        <v>23361.308724832215</v>
      </c>
      <c r="AE77" s="879">
        <f t="shared" si="124"/>
        <v>23361.308724832215</v>
      </c>
      <c r="AF77" s="879">
        <f t="shared" si="116"/>
        <v>23361.308724832215</v>
      </c>
      <c r="AG77" s="890">
        <f t="shared" si="116"/>
        <v>23361.308724832215</v>
      </c>
      <c r="AH77" s="896"/>
      <c r="AI77" s="897"/>
      <c r="AJ77" s="888"/>
      <c r="AK77" s="888"/>
      <c r="AL77" s="888"/>
      <c r="AM77" s="888"/>
      <c r="AN77" s="888"/>
      <c r="AO77" s="888"/>
      <c r="AP77" s="14"/>
      <c r="AQ77" s="14"/>
      <c r="AR77" s="14"/>
      <c r="AS77" s="14"/>
      <c r="AT77" s="14"/>
      <c r="AU77" s="14"/>
      <c r="BB77" s="14"/>
      <c r="BC77" s="14"/>
      <c r="BD77" s="14"/>
      <c r="BE77" s="14"/>
      <c r="BF77" s="14"/>
      <c r="BG77" s="14"/>
      <c r="BH77" s="14"/>
      <c r="BI77" s="14"/>
      <c r="BJ77" s="14"/>
      <c r="BK77" s="14"/>
      <c r="BL77" s="14"/>
      <c r="BM77" s="14"/>
    </row>
    <row r="78" spans="1:65" hidden="1" outlineLevel="1">
      <c r="A78" s="739" t="s">
        <v>328</v>
      </c>
      <c r="B78" s="2"/>
      <c r="C78" s="2"/>
      <c r="D78" s="2"/>
      <c r="F78" s="370">
        <f t="shared" si="113"/>
        <v>16914</v>
      </c>
      <c r="G78" s="169">
        <f t="shared" si="113"/>
        <v>16914</v>
      </c>
      <c r="H78" s="169">
        <f t="shared" si="113"/>
        <v>16914</v>
      </c>
      <c r="I78" s="371">
        <f t="shared" si="113"/>
        <v>16914</v>
      </c>
      <c r="J78" s="504"/>
      <c r="K78" s="518"/>
      <c r="L78" s="370">
        <f t="shared" si="117"/>
        <v>19667.441860465118</v>
      </c>
      <c r="M78" s="169">
        <f t="shared" si="118"/>
        <v>19667.441860465118</v>
      </c>
      <c r="N78" s="169">
        <f t="shared" si="118"/>
        <v>19667.441860465118</v>
      </c>
      <c r="O78" s="371">
        <f t="shared" si="118"/>
        <v>19667.441860465118</v>
      </c>
      <c r="R78" s="414">
        <f t="shared" si="119"/>
        <v>19667.441860465118</v>
      </c>
      <c r="S78" s="169">
        <f t="shared" si="120"/>
        <v>19667.441860465118</v>
      </c>
      <c r="T78" s="169">
        <f t="shared" si="120"/>
        <v>19667.441860465118</v>
      </c>
      <c r="U78" s="371">
        <f t="shared" si="120"/>
        <v>19667.441860465118</v>
      </c>
      <c r="W78" s="342"/>
      <c r="X78" s="414">
        <f t="shared" si="121"/>
        <v>19667.441860465118</v>
      </c>
      <c r="Y78" s="169">
        <f t="shared" si="122"/>
        <v>19667.441860465118</v>
      </c>
      <c r="Z78" s="169">
        <f t="shared" si="115"/>
        <v>19667.441860465118</v>
      </c>
      <c r="AA78" s="371">
        <f t="shared" si="115"/>
        <v>19667.441860465118</v>
      </c>
      <c r="AB78" s="154"/>
      <c r="AC78" s="615"/>
      <c r="AD78" s="414">
        <f t="shared" si="123"/>
        <v>19667.441860465118</v>
      </c>
      <c r="AE78" s="169">
        <f t="shared" si="124"/>
        <v>19667.441860465118</v>
      </c>
      <c r="AF78" s="169">
        <f t="shared" si="116"/>
        <v>19667.441860465118</v>
      </c>
      <c r="AG78" s="371">
        <f t="shared" si="116"/>
        <v>19667.441860465118</v>
      </c>
      <c r="AH78" s="684"/>
      <c r="AI78" s="299"/>
      <c r="AJ78" s="2"/>
      <c r="AK78" s="2"/>
      <c r="AL78" s="2"/>
      <c r="AM78" s="2"/>
      <c r="AN78" s="2"/>
      <c r="AO78" s="2"/>
    </row>
    <row r="79" spans="1:65" hidden="1" outlineLevel="1">
      <c r="A79" s="746" t="s">
        <v>329</v>
      </c>
      <c r="B79" s="2"/>
      <c r="C79" s="2"/>
      <c r="D79" s="2"/>
      <c r="F79" s="372">
        <f t="shared" si="113"/>
        <v>10790.5</v>
      </c>
      <c r="G79" s="373">
        <f t="shared" si="113"/>
        <v>10790.5</v>
      </c>
      <c r="H79" s="373">
        <f t="shared" si="113"/>
        <v>10790.5</v>
      </c>
      <c r="I79" s="374">
        <f t="shared" si="113"/>
        <v>10790.5</v>
      </c>
      <c r="J79" s="504"/>
      <c r="K79" s="518"/>
      <c r="L79" s="372">
        <f t="shared" si="117"/>
        <v>13126.58762886598</v>
      </c>
      <c r="M79" s="373">
        <f t="shared" si="118"/>
        <v>13126.58762886598</v>
      </c>
      <c r="N79" s="373">
        <f t="shared" si="118"/>
        <v>13126.58762886598</v>
      </c>
      <c r="O79" s="374">
        <f t="shared" si="118"/>
        <v>13126.58762886598</v>
      </c>
      <c r="R79" s="415">
        <f t="shared" si="119"/>
        <v>13126.58762886598</v>
      </c>
      <c r="S79" s="373">
        <f t="shared" si="120"/>
        <v>13126.58762886598</v>
      </c>
      <c r="T79" s="373">
        <f t="shared" si="120"/>
        <v>13126.58762886598</v>
      </c>
      <c r="U79" s="374">
        <f t="shared" si="120"/>
        <v>13126.58762886598</v>
      </c>
      <c r="W79" s="342"/>
      <c r="X79" s="415">
        <f t="shared" si="121"/>
        <v>13126.58762886598</v>
      </c>
      <c r="Y79" s="373">
        <f t="shared" si="122"/>
        <v>13126.58762886598</v>
      </c>
      <c r="Z79" s="373">
        <f t="shared" si="115"/>
        <v>13126.58762886598</v>
      </c>
      <c r="AA79" s="374">
        <f t="shared" si="115"/>
        <v>13126.58762886598</v>
      </c>
      <c r="AB79" s="154"/>
      <c r="AC79" s="615"/>
      <c r="AD79" s="415">
        <f t="shared" si="123"/>
        <v>13126.58762886598</v>
      </c>
      <c r="AE79" s="373">
        <f t="shared" si="124"/>
        <v>13126.58762886598</v>
      </c>
      <c r="AF79" s="373">
        <f t="shared" si="116"/>
        <v>13126.58762886598</v>
      </c>
      <c r="AG79" s="374">
        <f t="shared" si="116"/>
        <v>13126.58762886598</v>
      </c>
      <c r="AH79" s="684"/>
      <c r="AI79" s="299"/>
      <c r="AJ79" s="2"/>
      <c r="AK79" s="2"/>
      <c r="AL79" s="2"/>
      <c r="AM79" s="2"/>
      <c r="AN79" s="2"/>
      <c r="AO79" s="2"/>
    </row>
    <row r="80" spans="1:65" hidden="1" outlineLevel="1">
      <c r="A80" s="739"/>
      <c r="B80" s="2"/>
      <c r="C80" s="2"/>
      <c r="D80" s="2"/>
      <c r="F80" s="169"/>
      <c r="G80" s="169"/>
      <c r="H80" s="169"/>
      <c r="I80" s="169"/>
      <c r="J80" s="407"/>
      <c r="K80" s="518"/>
      <c r="L80" s="169"/>
      <c r="M80" s="169"/>
      <c r="N80" s="169"/>
      <c r="O80" s="169"/>
      <c r="R80" s="169"/>
      <c r="S80" s="169"/>
      <c r="T80" s="169"/>
      <c r="U80" s="169"/>
      <c r="W80" s="342"/>
      <c r="X80" s="154"/>
      <c r="Y80" s="154"/>
      <c r="Z80" s="154"/>
      <c r="AA80" s="154"/>
      <c r="AB80" s="154"/>
      <c r="AC80" s="615"/>
      <c r="AD80" s="154"/>
      <c r="AE80" s="154"/>
      <c r="AF80" s="154"/>
      <c r="AG80" s="154"/>
      <c r="AH80" s="684"/>
      <c r="AI80" s="299"/>
      <c r="AJ80" s="2"/>
      <c r="AK80" s="2"/>
      <c r="AL80" s="2"/>
      <c r="AM80" s="2"/>
      <c r="AN80" s="2"/>
      <c r="AO80" s="2"/>
    </row>
    <row r="81" spans="1:65" s="489" customFormat="1" hidden="1" outlineLevel="1">
      <c r="A81" s="748" t="s">
        <v>347</v>
      </c>
      <c r="B81" s="148"/>
      <c r="C81" s="148"/>
      <c r="D81" s="148"/>
      <c r="E81" s="728"/>
      <c r="F81" s="506"/>
      <c r="G81" s="148"/>
      <c r="H81" s="148"/>
      <c r="I81" s="148"/>
      <c r="J81" s="507"/>
      <c r="K81" s="129"/>
      <c r="L81" s="534"/>
      <c r="M81" s="21"/>
      <c r="N81" s="21"/>
      <c r="O81" s="21"/>
      <c r="P81" s="535"/>
      <c r="Q81" s="551"/>
      <c r="R81" s="405"/>
      <c r="S81" s="405"/>
      <c r="T81" s="405"/>
      <c r="U81" s="405"/>
      <c r="V81" s="405"/>
      <c r="W81" s="551"/>
      <c r="X81" s="148"/>
      <c r="Y81" s="148"/>
      <c r="Z81" s="148"/>
      <c r="AA81" s="148"/>
      <c r="AB81" s="148"/>
      <c r="AC81" s="829"/>
      <c r="AD81" s="148"/>
      <c r="AE81" s="148"/>
      <c r="AF81" s="148"/>
      <c r="AG81" s="148"/>
      <c r="AH81" s="830"/>
      <c r="AI81" s="507"/>
      <c r="AJ81" s="148"/>
      <c r="AK81" s="148"/>
      <c r="AL81" s="148"/>
      <c r="AM81" s="148"/>
      <c r="AN81" s="148"/>
      <c r="AO81" s="148"/>
      <c r="AP81" s="21"/>
      <c r="AQ81" s="21"/>
      <c r="AR81" s="21"/>
      <c r="AS81" s="21"/>
      <c r="AT81" s="21"/>
      <c r="AU81" s="21"/>
      <c r="BB81" s="21"/>
      <c r="BC81" s="21"/>
      <c r="BD81" s="21"/>
      <c r="BE81" s="21"/>
      <c r="BF81" s="21"/>
      <c r="BG81" s="21"/>
      <c r="BH81" s="21"/>
      <c r="BI81" s="21"/>
      <c r="BJ81" s="21"/>
      <c r="BK81" s="21"/>
      <c r="BL81" s="21"/>
      <c r="BM81" s="21"/>
    </row>
    <row r="82" spans="1:65" hidden="1" outlineLevel="1">
      <c r="A82" s="739" t="s">
        <v>64</v>
      </c>
      <c r="B82" s="2"/>
      <c r="C82" s="2"/>
      <c r="D82" s="2"/>
      <c r="G82" s="2"/>
      <c r="H82" s="2"/>
      <c r="I82" s="2"/>
      <c r="J82" s="508"/>
      <c r="Q82" s="381"/>
      <c r="R82" s="326"/>
      <c r="S82" s="326"/>
      <c r="T82" s="326"/>
      <c r="U82" s="326"/>
      <c r="V82" s="326"/>
      <c r="W82" s="381"/>
      <c r="X82" s="61"/>
      <c r="Y82" s="61"/>
      <c r="Z82" s="61"/>
      <c r="AA82" s="61"/>
      <c r="AB82" s="61"/>
      <c r="AC82" s="831"/>
      <c r="AD82" s="61"/>
      <c r="AE82" s="61"/>
      <c r="AF82" s="61"/>
      <c r="AG82" s="61"/>
      <c r="AH82" s="832"/>
      <c r="AI82" s="560"/>
      <c r="AJ82" s="2"/>
      <c r="AK82" s="2"/>
      <c r="AL82" s="2"/>
      <c r="AM82" s="2"/>
      <c r="AN82" s="2"/>
      <c r="AO82" s="2"/>
    </row>
    <row r="83" spans="1:65" hidden="1" outlineLevel="1">
      <c r="A83" s="745" t="s">
        <v>327</v>
      </c>
      <c r="B83" s="2"/>
      <c r="C83" s="2"/>
      <c r="D83" s="2"/>
      <c r="F83" s="386">
        <f>'MPS др метрики'!C110</f>
        <v>110725</v>
      </c>
      <c r="G83" s="426">
        <f t="shared" ref="G83:I88" si="125">F83</f>
        <v>110725</v>
      </c>
      <c r="H83" s="426">
        <f t="shared" si="125"/>
        <v>110725</v>
      </c>
      <c r="I83" s="486">
        <f t="shared" si="125"/>
        <v>110725</v>
      </c>
      <c r="J83" s="508"/>
      <c r="L83" s="386">
        <f t="shared" ref="L83:L88" si="126">F83</f>
        <v>110725</v>
      </c>
      <c r="M83" s="387">
        <f>L83</f>
        <v>110725</v>
      </c>
      <c r="N83" s="387">
        <f t="shared" ref="N83:O83" si="127">M83</f>
        <v>110725</v>
      </c>
      <c r="O83" s="388">
        <f t="shared" si="127"/>
        <v>110725</v>
      </c>
      <c r="Q83" s="381"/>
      <c r="R83" s="386">
        <f t="shared" ref="R83:U88" si="128">L83</f>
        <v>110725</v>
      </c>
      <c r="S83" s="387">
        <f t="shared" si="128"/>
        <v>110725</v>
      </c>
      <c r="T83" s="387">
        <f t="shared" si="128"/>
        <v>110725</v>
      </c>
      <c r="U83" s="388">
        <f t="shared" si="128"/>
        <v>110725</v>
      </c>
      <c r="V83" s="326"/>
      <c r="W83" s="381"/>
      <c r="X83" s="386">
        <f t="shared" ref="X83:AA88" si="129">R83</f>
        <v>110725</v>
      </c>
      <c r="Y83" s="387">
        <f t="shared" si="129"/>
        <v>110725</v>
      </c>
      <c r="Z83" s="387">
        <f t="shared" si="129"/>
        <v>110725</v>
      </c>
      <c r="AA83" s="388">
        <f t="shared" si="129"/>
        <v>110725</v>
      </c>
      <c r="AB83" s="61"/>
      <c r="AC83" s="831"/>
      <c r="AD83" s="386">
        <f t="shared" ref="AD83:AG88" si="130">X83</f>
        <v>110725</v>
      </c>
      <c r="AE83" s="387">
        <f t="shared" si="130"/>
        <v>110725</v>
      </c>
      <c r="AF83" s="387">
        <f t="shared" si="130"/>
        <v>110725</v>
      </c>
      <c r="AG83" s="388">
        <f t="shared" si="130"/>
        <v>110725</v>
      </c>
      <c r="AH83" s="832"/>
      <c r="AI83" s="560"/>
      <c r="AJ83" s="2"/>
      <c r="AK83" s="2"/>
      <c r="AL83" s="2"/>
      <c r="AM83" s="2"/>
      <c r="AN83" s="2"/>
      <c r="AO83" s="2"/>
    </row>
    <row r="84" spans="1:65" s="2" customFormat="1" hidden="1" outlineLevel="1">
      <c r="A84" s="739" t="s">
        <v>62</v>
      </c>
      <c r="F84" s="389">
        <f>'MPS др метрики'!C111</f>
        <v>70053</v>
      </c>
      <c r="G84" s="427">
        <f t="shared" si="125"/>
        <v>70053</v>
      </c>
      <c r="H84" s="427">
        <f t="shared" si="125"/>
        <v>70053</v>
      </c>
      <c r="I84" s="487">
        <f t="shared" si="125"/>
        <v>70053</v>
      </c>
      <c r="J84" s="508"/>
      <c r="K84" s="87"/>
      <c r="L84" s="389">
        <f t="shared" si="126"/>
        <v>70053</v>
      </c>
      <c r="M84" s="291">
        <f t="shared" ref="M84:O88" si="131">L84</f>
        <v>70053</v>
      </c>
      <c r="N84" s="291">
        <f t="shared" si="131"/>
        <v>70053</v>
      </c>
      <c r="O84" s="390">
        <f t="shared" si="131"/>
        <v>70053</v>
      </c>
      <c r="P84" s="295"/>
      <c r="Q84" s="381"/>
      <c r="R84" s="389">
        <f t="shared" si="128"/>
        <v>70053</v>
      </c>
      <c r="S84" s="291">
        <f t="shared" si="128"/>
        <v>70053</v>
      </c>
      <c r="T84" s="291">
        <f t="shared" si="128"/>
        <v>70053</v>
      </c>
      <c r="U84" s="390">
        <f t="shared" si="128"/>
        <v>70053</v>
      </c>
      <c r="V84" s="326"/>
      <c r="W84" s="381"/>
      <c r="X84" s="389">
        <f t="shared" si="129"/>
        <v>70053</v>
      </c>
      <c r="Y84" s="291">
        <f t="shared" si="129"/>
        <v>70053</v>
      </c>
      <c r="Z84" s="291">
        <f t="shared" si="129"/>
        <v>70053</v>
      </c>
      <c r="AA84" s="390">
        <f t="shared" si="129"/>
        <v>70053</v>
      </c>
      <c r="AB84" s="61"/>
      <c r="AC84" s="831"/>
      <c r="AD84" s="389">
        <f t="shared" si="130"/>
        <v>70053</v>
      </c>
      <c r="AE84" s="291">
        <f t="shared" si="130"/>
        <v>70053</v>
      </c>
      <c r="AF84" s="291">
        <f t="shared" si="130"/>
        <v>70053</v>
      </c>
      <c r="AG84" s="390">
        <f t="shared" si="130"/>
        <v>70053</v>
      </c>
      <c r="AH84" s="832"/>
      <c r="AI84" s="560"/>
      <c r="AP84" s="1"/>
      <c r="AQ84" s="1"/>
      <c r="AR84" s="1"/>
      <c r="AS84" s="1"/>
      <c r="AT84" s="1"/>
      <c r="AU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</row>
    <row r="85" spans="1:65" s="2" customFormat="1" hidden="1" outlineLevel="1">
      <c r="A85" s="739" t="s">
        <v>65</v>
      </c>
      <c r="F85" s="389">
        <f>'MPS др метрики'!C112</f>
        <v>47443</v>
      </c>
      <c r="G85" s="427">
        <f t="shared" si="125"/>
        <v>47443</v>
      </c>
      <c r="H85" s="427">
        <f t="shared" si="125"/>
        <v>47443</v>
      </c>
      <c r="I85" s="487">
        <f t="shared" si="125"/>
        <v>47443</v>
      </c>
      <c r="J85" s="508"/>
      <c r="K85" s="87"/>
      <c r="L85" s="389">
        <f t="shared" si="126"/>
        <v>47443</v>
      </c>
      <c r="M85" s="291">
        <f t="shared" si="131"/>
        <v>47443</v>
      </c>
      <c r="N85" s="291">
        <f t="shared" si="131"/>
        <v>47443</v>
      </c>
      <c r="O85" s="390">
        <f t="shared" si="131"/>
        <v>47443</v>
      </c>
      <c r="P85" s="295"/>
      <c r="Q85" s="381"/>
      <c r="R85" s="389">
        <f t="shared" si="128"/>
        <v>47443</v>
      </c>
      <c r="S85" s="291">
        <f t="shared" si="128"/>
        <v>47443</v>
      </c>
      <c r="T85" s="291">
        <f t="shared" si="128"/>
        <v>47443</v>
      </c>
      <c r="U85" s="390">
        <f t="shared" si="128"/>
        <v>47443</v>
      </c>
      <c r="V85" s="326"/>
      <c r="W85" s="381"/>
      <c r="X85" s="389">
        <f t="shared" si="129"/>
        <v>47443</v>
      </c>
      <c r="Y85" s="291">
        <f t="shared" si="129"/>
        <v>47443</v>
      </c>
      <c r="Z85" s="291">
        <f t="shared" si="129"/>
        <v>47443</v>
      </c>
      <c r="AA85" s="390">
        <f t="shared" si="129"/>
        <v>47443</v>
      </c>
      <c r="AB85" s="61"/>
      <c r="AC85" s="831"/>
      <c r="AD85" s="389">
        <f t="shared" si="130"/>
        <v>47443</v>
      </c>
      <c r="AE85" s="291">
        <f t="shared" si="130"/>
        <v>47443</v>
      </c>
      <c r="AF85" s="291">
        <f t="shared" si="130"/>
        <v>47443</v>
      </c>
      <c r="AG85" s="390">
        <f t="shared" si="130"/>
        <v>47443</v>
      </c>
      <c r="AH85" s="832"/>
      <c r="AI85" s="560"/>
      <c r="AP85" s="1"/>
      <c r="AQ85" s="1"/>
      <c r="AR85" s="1"/>
      <c r="AS85" s="1"/>
      <c r="AT85" s="1"/>
      <c r="AU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</row>
    <row r="86" spans="1:65" s="2" customFormat="1" hidden="1" outlineLevel="1">
      <c r="A86" s="739" t="s">
        <v>66</v>
      </c>
      <c r="F86" s="389">
        <f>'MPS др метрики'!C113</f>
        <v>40951</v>
      </c>
      <c r="G86" s="427">
        <f t="shared" si="125"/>
        <v>40951</v>
      </c>
      <c r="H86" s="427">
        <f t="shared" si="125"/>
        <v>40951</v>
      </c>
      <c r="I86" s="487">
        <f t="shared" si="125"/>
        <v>40951</v>
      </c>
      <c r="J86" s="508"/>
      <c r="K86" s="87"/>
      <c r="L86" s="389">
        <f t="shared" si="126"/>
        <v>40951</v>
      </c>
      <c r="M86" s="291">
        <f t="shared" si="131"/>
        <v>40951</v>
      </c>
      <c r="N86" s="291">
        <f t="shared" si="131"/>
        <v>40951</v>
      </c>
      <c r="O86" s="390">
        <f t="shared" si="131"/>
        <v>40951</v>
      </c>
      <c r="P86" s="295"/>
      <c r="Q86" s="381"/>
      <c r="R86" s="389">
        <f t="shared" si="128"/>
        <v>40951</v>
      </c>
      <c r="S86" s="291">
        <f t="shared" si="128"/>
        <v>40951</v>
      </c>
      <c r="T86" s="291">
        <f t="shared" si="128"/>
        <v>40951</v>
      </c>
      <c r="U86" s="390">
        <f t="shared" si="128"/>
        <v>40951</v>
      </c>
      <c r="V86" s="326"/>
      <c r="W86" s="381"/>
      <c r="X86" s="389">
        <f t="shared" si="129"/>
        <v>40951</v>
      </c>
      <c r="Y86" s="291">
        <f t="shared" si="129"/>
        <v>40951</v>
      </c>
      <c r="Z86" s="291">
        <f t="shared" si="129"/>
        <v>40951</v>
      </c>
      <c r="AA86" s="390">
        <f t="shared" si="129"/>
        <v>40951</v>
      </c>
      <c r="AB86" s="61"/>
      <c r="AC86" s="831"/>
      <c r="AD86" s="389">
        <f t="shared" si="130"/>
        <v>40951</v>
      </c>
      <c r="AE86" s="291">
        <f t="shared" si="130"/>
        <v>40951</v>
      </c>
      <c r="AF86" s="291">
        <f t="shared" si="130"/>
        <v>40951</v>
      </c>
      <c r="AG86" s="390">
        <f t="shared" si="130"/>
        <v>40951</v>
      </c>
      <c r="AH86" s="832"/>
      <c r="AI86" s="560"/>
      <c r="AP86" s="1"/>
      <c r="AQ86" s="1"/>
      <c r="AR86" s="1"/>
      <c r="AS86" s="1"/>
      <c r="AT86" s="1"/>
      <c r="AU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</row>
    <row r="87" spans="1:65" s="2" customFormat="1" hidden="1" outlineLevel="1">
      <c r="A87" s="739" t="s">
        <v>328</v>
      </c>
      <c r="F87" s="389">
        <f>'MPS др метрики'!C114</f>
        <v>33828</v>
      </c>
      <c r="G87" s="427">
        <f t="shared" si="125"/>
        <v>33828</v>
      </c>
      <c r="H87" s="427">
        <f t="shared" si="125"/>
        <v>33828</v>
      </c>
      <c r="I87" s="487">
        <f t="shared" si="125"/>
        <v>33828</v>
      </c>
      <c r="J87" s="508"/>
      <c r="K87" s="87"/>
      <c r="L87" s="389">
        <f t="shared" si="126"/>
        <v>33828</v>
      </c>
      <c r="M87" s="291">
        <f t="shared" si="131"/>
        <v>33828</v>
      </c>
      <c r="N87" s="291">
        <f t="shared" si="131"/>
        <v>33828</v>
      </c>
      <c r="O87" s="390">
        <f t="shared" si="131"/>
        <v>33828</v>
      </c>
      <c r="P87" s="295"/>
      <c r="Q87" s="381"/>
      <c r="R87" s="389">
        <f t="shared" si="128"/>
        <v>33828</v>
      </c>
      <c r="S87" s="291">
        <f t="shared" si="128"/>
        <v>33828</v>
      </c>
      <c r="T87" s="291">
        <f t="shared" si="128"/>
        <v>33828</v>
      </c>
      <c r="U87" s="390">
        <f t="shared" si="128"/>
        <v>33828</v>
      </c>
      <c r="V87" s="326"/>
      <c r="W87" s="381"/>
      <c r="X87" s="389">
        <f t="shared" si="129"/>
        <v>33828</v>
      </c>
      <c r="Y87" s="291">
        <f t="shared" si="129"/>
        <v>33828</v>
      </c>
      <c r="Z87" s="291">
        <f t="shared" si="129"/>
        <v>33828</v>
      </c>
      <c r="AA87" s="390">
        <f t="shared" si="129"/>
        <v>33828</v>
      </c>
      <c r="AB87" s="61"/>
      <c r="AC87" s="831"/>
      <c r="AD87" s="389">
        <f t="shared" si="130"/>
        <v>33828</v>
      </c>
      <c r="AE87" s="291">
        <f t="shared" si="130"/>
        <v>33828</v>
      </c>
      <c r="AF87" s="291">
        <f t="shared" si="130"/>
        <v>33828</v>
      </c>
      <c r="AG87" s="390">
        <f t="shared" si="130"/>
        <v>33828</v>
      </c>
      <c r="AH87" s="832"/>
      <c r="AI87" s="560"/>
      <c r="AP87" s="1"/>
      <c r="AQ87" s="1"/>
      <c r="AR87" s="1"/>
      <c r="AS87" s="1"/>
      <c r="AT87" s="1"/>
      <c r="AU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</row>
    <row r="88" spans="1:65" s="2" customFormat="1" hidden="1" outlineLevel="1">
      <c r="A88" s="746" t="s">
        <v>329</v>
      </c>
      <c r="E88" s="139"/>
      <c r="F88" s="391">
        <f>'MPS др метрики'!C115</f>
        <v>21581</v>
      </c>
      <c r="G88" s="428">
        <f t="shared" si="125"/>
        <v>21581</v>
      </c>
      <c r="H88" s="428">
        <f t="shared" si="125"/>
        <v>21581</v>
      </c>
      <c r="I88" s="488">
        <f t="shared" si="125"/>
        <v>21581</v>
      </c>
      <c r="J88" s="508"/>
      <c r="K88" s="87"/>
      <c r="L88" s="391">
        <f t="shared" si="126"/>
        <v>21581</v>
      </c>
      <c r="M88" s="392">
        <f t="shared" si="131"/>
        <v>21581</v>
      </c>
      <c r="N88" s="392">
        <f t="shared" si="131"/>
        <v>21581</v>
      </c>
      <c r="O88" s="393">
        <f t="shared" si="131"/>
        <v>21581</v>
      </c>
      <c r="P88" s="295"/>
      <c r="Q88" s="87"/>
      <c r="R88" s="391">
        <f t="shared" si="128"/>
        <v>21581</v>
      </c>
      <c r="S88" s="392">
        <f t="shared" si="128"/>
        <v>21581</v>
      </c>
      <c r="T88" s="392">
        <f t="shared" si="128"/>
        <v>21581</v>
      </c>
      <c r="U88" s="393">
        <f t="shared" si="128"/>
        <v>21581</v>
      </c>
      <c r="V88" s="326"/>
      <c r="W88" s="381"/>
      <c r="X88" s="391">
        <f t="shared" si="129"/>
        <v>21581</v>
      </c>
      <c r="Y88" s="392">
        <f t="shared" si="129"/>
        <v>21581</v>
      </c>
      <c r="Z88" s="392">
        <f t="shared" si="129"/>
        <v>21581</v>
      </c>
      <c r="AA88" s="393">
        <f t="shared" si="129"/>
        <v>21581</v>
      </c>
      <c r="AB88" s="61"/>
      <c r="AC88" s="831"/>
      <c r="AD88" s="391">
        <f t="shared" si="130"/>
        <v>21581</v>
      </c>
      <c r="AE88" s="392">
        <f t="shared" si="130"/>
        <v>21581</v>
      </c>
      <c r="AF88" s="392">
        <f t="shared" si="130"/>
        <v>21581</v>
      </c>
      <c r="AG88" s="393">
        <f t="shared" si="130"/>
        <v>21581</v>
      </c>
      <c r="AH88" s="832"/>
      <c r="AI88" s="560"/>
      <c r="AJ88" s="84"/>
      <c r="AK88" s="84"/>
      <c r="AL88" s="84"/>
      <c r="AM88" s="84"/>
      <c r="AN88" s="84"/>
      <c r="AO88" s="84"/>
      <c r="AP88" s="1"/>
      <c r="AQ88" s="1"/>
      <c r="AR88" s="1"/>
      <c r="AS88" s="1"/>
      <c r="AT88" s="1"/>
      <c r="AU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</row>
    <row r="89" spans="1:65" s="2" customFormat="1" hidden="1" outlineLevel="1">
      <c r="A89" s="739"/>
      <c r="E89" s="139"/>
      <c r="F89" s="1"/>
      <c r="G89" s="427"/>
      <c r="H89" s="427"/>
      <c r="I89" s="427"/>
      <c r="J89" s="510"/>
      <c r="K89" s="87"/>
      <c r="L89" s="291"/>
      <c r="M89" s="291"/>
      <c r="N89" s="291"/>
      <c r="O89" s="291"/>
      <c r="P89" s="295"/>
      <c r="Q89" s="87"/>
      <c r="R89" s="291"/>
      <c r="S89" s="291"/>
      <c r="T89" s="291"/>
      <c r="U89" s="291"/>
      <c r="V89" s="326"/>
      <c r="W89" s="381"/>
      <c r="X89" s="61"/>
      <c r="Y89" s="61"/>
      <c r="Z89" s="61"/>
      <c r="AA89" s="61"/>
      <c r="AB89" s="61"/>
      <c r="AC89" s="831"/>
      <c r="AD89" s="61"/>
      <c r="AE89" s="61"/>
      <c r="AF89" s="61"/>
      <c r="AG89" s="61"/>
      <c r="AH89" s="832"/>
      <c r="AI89" s="560"/>
      <c r="AJ89" s="84"/>
      <c r="AK89" s="84"/>
      <c r="AL89" s="84"/>
      <c r="AM89" s="84"/>
      <c r="AN89" s="84"/>
      <c r="AO89" s="84"/>
      <c r="AP89" s="1"/>
      <c r="AQ89" s="1"/>
      <c r="AR89" s="1"/>
      <c r="AS89" s="1"/>
      <c r="AT89" s="1"/>
      <c r="AU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</row>
    <row r="90" spans="1:65" s="2" customFormat="1" hidden="1" outlineLevel="1">
      <c r="A90" s="739" t="s">
        <v>333</v>
      </c>
      <c r="E90" s="139"/>
      <c r="F90" s="1"/>
      <c r="G90" s="427"/>
      <c r="H90" s="427"/>
      <c r="I90" s="427"/>
      <c r="J90" s="510"/>
      <c r="K90" s="87"/>
      <c r="L90" s="291"/>
      <c r="M90" s="291"/>
      <c r="N90" s="291"/>
      <c r="O90" s="291"/>
      <c r="P90" s="295"/>
      <c r="Q90" s="87"/>
      <c r="R90" s="291"/>
      <c r="S90" s="291"/>
      <c r="T90" s="291"/>
      <c r="U90" s="291"/>
      <c r="V90" s="326"/>
      <c r="W90" s="381"/>
      <c r="X90" s="61"/>
      <c r="Y90" s="61"/>
      <c r="Z90" s="61"/>
      <c r="AA90" s="61"/>
      <c r="AB90" s="61"/>
      <c r="AC90" s="831"/>
      <c r="AD90" s="61"/>
      <c r="AE90" s="61"/>
      <c r="AF90" s="61"/>
      <c r="AG90" s="61"/>
      <c r="AH90" s="832"/>
      <c r="AI90" s="560"/>
      <c r="AJ90" s="84"/>
      <c r="AK90" s="84"/>
      <c r="AL90" s="84"/>
      <c r="AM90" s="84"/>
      <c r="AN90" s="84"/>
      <c r="AO90" s="84"/>
      <c r="AP90" s="1"/>
      <c r="AQ90" s="1"/>
      <c r="AR90" s="1"/>
      <c r="AS90" s="1"/>
      <c r="AT90" s="1"/>
      <c r="AU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</row>
    <row r="91" spans="1:65" s="2" customFormat="1" hidden="1" outlineLevel="1">
      <c r="A91" s="745" t="s">
        <v>327</v>
      </c>
      <c r="E91" s="139"/>
      <c r="F91" s="367">
        <f t="shared" ref="F91:I96" si="132">F83/F107</f>
        <v>10890.983606557378</v>
      </c>
      <c r="G91" s="368">
        <f t="shared" si="132"/>
        <v>10890.983606557378</v>
      </c>
      <c r="H91" s="368">
        <f t="shared" si="132"/>
        <v>10890.983606557378</v>
      </c>
      <c r="I91" s="369">
        <f t="shared" si="132"/>
        <v>10890.983606557378</v>
      </c>
      <c r="J91" s="407"/>
      <c r="K91" s="87"/>
      <c r="L91" s="389">
        <f t="shared" ref="L91:L96" si="133">F91</f>
        <v>10890.983606557378</v>
      </c>
      <c r="M91" s="387">
        <f>L91</f>
        <v>10890.983606557378</v>
      </c>
      <c r="N91" s="387">
        <f t="shared" ref="N91:O91" si="134">M91</f>
        <v>10890.983606557378</v>
      </c>
      <c r="O91" s="388">
        <f t="shared" si="134"/>
        <v>10890.983606557378</v>
      </c>
      <c r="P91" s="295"/>
      <c r="Q91" s="87"/>
      <c r="R91" s="386">
        <f t="shared" ref="R91:R96" si="135">L91</f>
        <v>10890.983606557378</v>
      </c>
      <c r="S91" s="387">
        <f>R91</f>
        <v>10890.983606557378</v>
      </c>
      <c r="T91" s="387">
        <f t="shared" ref="T91:U91" si="136">S91</f>
        <v>10890.983606557378</v>
      </c>
      <c r="U91" s="388">
        <f t="shared" si="136"/>
        <v>10890.983606557378</v>
      </c>
      <c r="V91" s="326"/>
      <c r="W91" s="381"/>
      <c r="X91" s="386">
        <f t="shared" ref="X91:X96" si="137">R91</f>
        <v>10890.983606557378</v>
      </c>
      <c r="Y91" s="387">
        <f>X91</f>
        <v>10890.983606557378</v>
      </c>
      <c r="Z91" s="387">
        <f t="shared" ref="Z91:AA96" si="138">Y91</f>
        <v>10890.983606557378</v>
      </c>
      <c r="AA91" s="388">
        <f t="shared" si="138"/>
        <v>10890.983606557378</v>
      </c>
      <c r="AB91" s="61"/>
      <c r="AC91" s="831"/>
      <c r="AD91" s="386">
        <f t="shared" ref="AD91:AD96" si="139">X91</f>
        <v>10890.983606557378</v>
      </c>
      <c r="AE91" s="387">
        <f>AD91</f>
        <v>10890.983606557378</v>
      </c>
      <c r="AF91" s="387">
        <f t="shared" ref="AF91:AG96" si="140">AE91</f>
        <v>10890.983606557378</v>
      </c>
      <c r="AG91" s="388">
        <f t="shared" si="140"/>
        <v>10890.983606557378</v>
      </c>
      <c r="AH91" s="832"/>
      <c r="AI91" s="560"/>
      <c r="AJ91" s="84"/>
      <c r="AK91" s="84"/>
      <c r="AL91" s="84"/>
      <c r="AM91" s="84"/>
      <c r="AN91" s="84"/>
      <c r="AO91" s="84"/>
      <c r="AP91" s="1"/>
      <c r="AQ91" s="1"/>
      <c r="AR91" s="1"/>
      <c r="AS91" s="1"/>
      <c r="AT91" s="1"/>
      <c r="AU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</row>
    <row r="92" spans="1:65" s="2" customFormat="1" hidden="1" outlineLevel="1">
      <c r="A92" s="739" t="s">
        <v>62</v>
      </c>
      <c r="E92" s="139"/>
      <c r="F92" s="370">
        <f t="shared" si="132"/>
        <v>9019.69957081545</v>
      </c>
      <c r="G92" s="169">
        <f t="shared" si="132"/>
        <v>9019.69957081545</v>
      </c>
      <c r="H92" s="169">
        <f t="shared" si="132"/>
        <v>9019.69957081545</v>
      </c>
      <c r="I92" s="371">
        <f t="shared" si="132"/>
        <v>9019.69957081545</v>
      </c>
      <c r="J92" s="407"/>
      <c r="K92" s="87"/>
      <c r="L92" s="389">
        <f t="shared" si="133"/>
        <v>9019.69957081545</v>
      </c>
      <c r="M92" s="291">
        <f t="shared" ref="M92:O96" si="141">L92</f>
        <v>9019.69957081545</v>
      </c>
      <c r="N92" s="291">
        <f t="shared" si="141"/>
        <v>9019.69957081545</v>
      </c>
      <c r="O92" s="390">
        <f t="shared" si="141"/>
        <v>9019.69957081545</v>
      </c>
      <c r="P92" s="295"/>
      <c r="Q92" s="87"/>
      <c r="R92" s="389">
        <f t="shared" si="135"/>
        <v>9019.69957081545</v>
      </c>
      <c r="S92" s="291">
        <f t="shared" ref="S92:U96" si="142">R92</f>
        <v>9019.69957081545</v>
      </c>
      <c r="T92" s="291">
        <f t="shared" si="142"/>
        <v>9019.69957081545</v>
      </c>
      <c r="U92" s="390">
        <f t="shared" si="142"/>
        <v>9019.69957081545</v>
      </c>
      <c r="V92" s="326"/>
      <c r="W92" s="381"/>
      <c r="X92" s="389">
        <f t="shared" si="137"/>
        <v>9019.69957081545</v>
      </c>
      <c r="Y92" s="291">
        <f t="shared" ref="Y92:Y96" si="143">X92</f>
        <v>9019.69957081545</v>
      </c>
      <c r="Z92" s="291">
        <f t="shared" si="138"/>
        <v>9019.69957081545</v>
      </c>
      <c r="AA92" s="390">
        <f t="shared" si="138"/>
        <v>9019.69957081545</v>
      </c>
      <c r="AB92" s="61"/>
      <c r="AC92" s="831"/>
      <c r="AD92" s="389">
        <f t="shared" si="139"/>
        <v>9019.69957081545</v>
      </c>
      <c r="AE92" s="291">
        <f t="shared" ref="AE92:AE96" si="144">AD92</f>
        <v>9019.69957081545</v>
      </c>
      <c r="AF92" s="291">
        <f t="shared" si="140"/>
        <v>9019.69957081545</v>
      </c>
      <c r="AG92" s="390">
        <f t="shared" si="140"/>
        <v>9019.69957081545</v>
      </c>
      <c r="AH92" s="832"/>
      <c r="AI92" s="560"/>
      <c r="AJ92" s="84"/>
      <c r="AK92" s="84"/>
      <c r="AL92" s="84"/>
      <c r="AM92" s="84"/>
      <c r="AN92" s="84"/>
      <c r="AO92" s="84"/>
      <c r="AP92" s="1"/>
      <c r="AQ92" s="1"/>
      <c r="AR92" s="1"/>
      <c r="AS92" s="1"/>
      <c r="AT92" s="1"/>
      <c r="AU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</row>
    <row r="93" spans="1:65" s="2" customFormat="1" hidden="1" outlineLevel="1">
      <c r="A93" s="739" t="s">
        <v>65</v>
      </c>
      <c r="E93" s="139"/>
      <c r="F93" s="370">
        <f t="shared" si="132"/>
        <v>8227.1098265895962</v>
      </c>
      <c r="G93" s="169">
        <f t="shared" si="132"/>
        <v>8227.1098265895962</v>
      </c>
      <c r="H93" s="169">
        <f t="shared" si="132"/>
        <v>8227.1098265895962</v>
      </c>
      <c r="I93" s="371">
        <f t="shared" si="132"/>
        <v>8227.1098265895962</v>
      </c>
      <c r="J93" s="407"/>
      <c r="K93" s="87"/>
      <c r="L93" s="389">
        <f t="shared" si="133"/>
        <v>8227.1098265895962</v>
      </c>
      <c r="M93" s="291">
        <f t="shared" si="141"/>
        <v>8227.1098265895962</v>
      </c>
      <c r="N93" s="291">
        <f t="shared" si="141"/>
        <v>8227.1098265895962</v>
      </c>
      <c r="O93" s="390">
        <f t="shared" si="141"/>
        <v>8227.1098265895962</v>
      </c>
      <c r="P93" s="295"/>
      <c r="Q93" s="87"/>
      <c r="R93" s="389">
        <f t="shared" si="135"/>
        <v>8227.1098265895962</v>
      </c>
      <c r="S93" s="291">
        <f t="shared" si="142"/>
        <v>8227.1098265895962</v>
      </c>
      <c r="T93" s="291">
        <f t="shared" si="142"/>
        <v>8227.1098265895962</v>
      </c>
      <c r="U93" s="390">
        <f t="shared" si="142"/>
        <v>8227.1098265895962</v>
      </c>
      <c r="V93" s="326"/>
      <c r="W93" s="381"/>
      <c r="X93" s="389">
        <f t="shared" si="137"/>
        <v>8227.1098265895962</v>
      </c>
      <c r="Y93" s="291">
        <f t="shared" si="143"/>
        <v>8227.1098265895962</v>
      </c>
      <c r="Z93" s="291">
        <f t="shared" si="138"/>
        <v>8227.1098265895962</v>
      </c>
      <c r="AA93" s="390">
        <f t="shared" si="138"/>
        <v>8227.1098265895962</v>
      </c>
      <c r="AB93" s="61"/>
      <c r="AC93" s="831"/>
      <c r="AD93" s="389">
        <f t="shared" si="139"/>
        <v>8227.1098265895962</v>
      </c>
      <c r="AE93" s="291">
        <f t="shared" si="144"/>
        <v>8227.1098265895962</v>
      </c>
      <c r="AF93" s="291">
        <f t="shared" si="140"/>
        <v>8227.1098265895962</v>
      </c>
      <c r="AG93" s="390">
        <f t="shared" si="140"/>
        <v>8227.1098265895962</v>
      </c>
      <c r="AH93" s="832"/>
      <c r="AI93" s="560"/>
      <c r="AJ93" s="84"/>
      <c r="AK93" s="84"/>
      <c r="AL93" s="84"/>
      <c r="AM93" s="84"/>
      <c r="AN93" s="84"/>
      <c r="AO93" s="84"/>
      <c r="AP93" s="1"/>
      <c r="AQ93" s="1"/>
      <c r="AR93" s="1"/>
      <c r="AS93" s="1"/>
      <c r="AT93" s="1"/>
      <c r="AU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</row>
    <row r="94" spans="1:65" s="2" customFormat="1" hidden="1" outlineLevel="1">
      <c r="A94" s="739" t="s">
        <v>66</v>
      </c>
      <c r="E94" s="139"/>
      <c r="F94" s="370">
        <f t="shared" si="132"/>
        <v>8245.1677852348985</v>
      </c>
      <c r="G94" s="169">
        <f t="shared" si="132"/>
        <v>8245.1677852348985</v>
      </c>
      <c r="H94" s="169">
        <f t="shared" si="132"/>
        <v>8245.1677852348985</v>
      </c>
      <c r="I94" s="371">
        <f t="shared" si="132"/>
        <v>8245.1677852348985</v>
      </c>
      <c r="J94" s="407"/>
      <c r="K94" s="87"/>
      <c r="L94" s="389">
        <f t="shared" si="133"/>
        <v>8245.1677852348985</v>
      </c>
      <c r="M94" s="291">
        <f t="shared" si="141"/>
        <v>8245.1677852348985</v>
      </c>
      <c r="N94" s="291">
        <f t="shared" si="141"/>
        <v>8245.1677852348985</v>
      </c>
      <c r="O94" s="390">
        <f t="shared" si="141"/>
        <v>8245.1677852348985</v>
      </c>
      <c r="P94" s="295"/>
      <c r="Q94" s="87"/>
      <c r="R94" s="389">
        <f t="shared" si="135"/>
        <v>8245.1677852348985</v>
      </c>
      <c r="S94" s="291">
        <f t="shared" si="142"/>
        <v>8245.1677852348985</v>
      </c>
      <c r="T94" s="291">
        <f t="shared" si="142"/>
        <v>8245.1677852348985</v>
      </c>
      <c r="U94" s="390">
        <f t="shared" si="142"/>
        <v>8245.1677852348985</v>
      </c>
      <c r="V94" s="326"/>
      <c r="W94" s="381"/>
      <c r="X94" s="389">
        <f t="shared" si="137"/>
        <v>8245.1677852348985</v>
      </c>
      <c r="Y94" s="291">
        <f t="shared" si="143"/>
        <v>8245.1677852348985</v>
      </c>
      <c r="Z94" s="291">
        <f t="shared" si="138"/>
        <v>8245.1677852348985</v>
      </c>
      <c r="AA94" s="390">
        <f t="shared" si="138"/>
        <v>8245.1677852348985</v>
      </c>
      <c r="AB94" s="61"/>
      <c r="AC94" s="831"/>
      <c r="AD94" s="389">
        <f t="shared" si="139"/>
        <v>8245.1677852348985</v>
      </c>
      <c r="AE94" s="291">
        <f t="shared" si="144"/>
        <v>8245.1677852348985</v>
      </c>
      <c r="AF94" s="291">
        <f t="shared" si="140"/>
        <v>8245.1677852348985</v>
      </c>
      <c r="AG94" s="390">
        <f t="shared" si="140"/>
        <v>8245.1677852348985</v>
      </c>
      <c r="AH94" s="832"/>
      <c r="AI94" s="560"/>
      <c r="AJ94" s="84"/>
      <c r="AK94" s="84"/>
      <c r="AL94" s="84"/>
      <c r="AM94" s="84"/>
      <c r="AN94" s="84"/>
      <c r="AO94" s="84"/>
      <c r="AP94" s="1"/>
      <c r="AQ94" s="1"/>
      <c r="AR94" s="1"/>
      <c r="AS94" s="1"/>
      <c r="AT94" s="1"/>
      <c r="AU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</row>
    <row r="95" spans="1:65" s="2" customFormat="1" hidden="1" outlineLevel="1">
      <c r="A95" s="739" t="s">
        <v>328</v>
      </c>
      <c r="E95" s="139"/>
      <c r="F95" s="370">
        <f t="shared" si="132"/>
        <v>7866.9767441860467</v>
      </c>
      <c r="G95" s="169">
        <f t="shared" si="132"/>
        <v>7866.9767441860467</v>
      </c>
      <c r="H95" s="169">
        <f t="shared" si="132"/>
        <v>7866.9767441860467</v>
      </c>
      <c r="I95" s="371">
        <f t="shared" si="132"/>
        <v>7866.9767441860467</v>
      </c>
      <c r="J95" s="407"/>
      <c r="K95" s="87"/>
      <c r="L95" s="389">
        <f t="shared" si="133"/>
        <v>7866.9767441860467</v>
      </c>
      <c r="M95" s="291">
        <f t="shared" si="141"/>
        <v>7866.9767441860467</v>
      </c>
      <c r="N95" s="291">
        <f t="shared" si="141"/>
        <v>7866.9767441860467</v>
      </c>
      <c r="O95" s="390">
        <f t="shared" si="141"/>
        <v>7866.9767441860467</v>
      </c>
      <c r="P95" s="295"/>
      <c r="Q95" s="87"/>
      <c r="R95" s="389">
        <f t="shared" si="135"/>
        <v>7866.9767441860467</v>
      </c>
      <c r="S95" s="291">
        <f t="shared" si="142"/>
        <v>7866.9767441860467</v>
      </c>
      <c r="T95" s="291">
        <f t="shared" si="142"/>
        <v>7866.9767441860467</v>
      </c>
      <c r="U95" s="390">
        <f t="shared" si="142"/>
        <v>7866.9767441860467</v>
      </c>
      <c r="V95" s="326"/>
      <c r="W95" s="381"/>
      <c r="X95" s="389">
        <f t="shared" si="137"/>
        <v>7866.9767441860467</v>
      </c>
      <c r="Y95" s="291">
        <f t="shared" si="143"/>
        <v>7866.9767441860467</v>
      </c>
      <c r="Z95" s="291">
        <f t="shared" si="138"/>
        <v>7866.9767441860467</v>
      </c>
      <c r="AA95" s="390">
        <f t="shared" si="138"/>
        <v>7866.9767441860467</v>
      </c>
      <c r="AB95" s="61"/>
      <c r="AC95" s="831"/>
      <c r="AD95" s="389">
        <f t="shared" si="139"/>
        <v>7866.9767441860467</v>
      </c>
      <c r="AE95" s="291">
        <f t="shared" si="144"/>
        <v>7866.9767441860467</v>
      </c>
      <c r="AF95" s="291">
        <f t="shared" si="140"/>
        <v>7866.9767441860467</v>
      </c>
      <c r="AG95" s="390">
        <f t="shared" si="140"/>
        <v>7866.9767441860467</v>
      </c>
      <c r="AH95" s="832"/>
      <c r="AI95" s="560"/>
      <c r="AJ95" s="84"/>
      <c r="AK95" s="84"/>
      <c r="AL95" s="84"/>
      <c r="AM95" s="84"/>
      <c r="AN95" s="84"/>
      <c r="AO95" s="84"/>
      <c r="AP95" s="1"/>
      <c r="AQ95" s="1"/>
      <c r="AR95" s="1"/>
      <c r="AS95" s="1"/>
      <c r="AT95" s="1"/>
      <c r="AU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</row>
    <row r="96" spans="1:65" s="2" customFormat="1" hidden="1" outlineLevel="1">
      <c r="A96" s="746" t="s">
        <v>329</v>
      </c>
      <c r="E96" s="139"/>
      <c r="F96" s="372">
        <f t="shared" si="132"/>
        <v>6674.5360824742265</v>
      </c>
      <c r="G96" s="373">
        <f t="shared" si="132"/>
        <v>6674.5360824742265</v>
      </c>
      <c r="H96" s="373">
        <f t="shared" si="132"/>
        <v>6674.5360824742265</v>
      </c>
      <c r="I96" s="374">
        <f t="shared" si="132"/>
        <v>6674.5360824742265</v>
      </c>
      <c r="J96" s="407"/>
      <c r="K96" s="87"/>
      <c r="L96" s="391">
        <f t="shared" si="133"/>
        <v>6674.5360824742265</v>
      </c>
      <c r="M96" s="392">
        <f t="shared" si="141"/>
        <v>6674.5360824742265</v>
      </c>
      <c r="N96" s="392">
        <f t="shared" si="141"/>
        <v>6674.5360824742265</v>
      </c>
      <c r="O96" s="393">
        <f t="shared" si="141"/>
        <v>6674.5360824742265</v>
      </c>
      <c r="P96" s="295"/>
      <c r="Q96" s="87"/>
      <c r="R96" s="391">
        <f t="shared" si="135"/>
        <v>6674.5360824742265</v>
      </c>
      <c r="S96" s="392">
        <f t="shared" si="142"/>
        <v>6674.5360824742265</v>
      </c>
      <c r="T96" s="392">
        <f t="shared" si="142"/>
        <v>6674.5360824742265</v>
      </c>
      <c r="U96" s="393">
        <f t="shared" si="142"/>
        <v>6674.5360824742265</v>
      </c>
      <c r="V96" s="326"/>
      <c r="W96" s="381"/>
      <c r="X96" s="391">
        <f t="shared" si="137"/>
        <v>6674.5360824742265</v>
      </c>
      <c r="Y96" s="392">
        <f t="shared" si="143"/>
        <v>6674.5360824742265</v>
      </c>
      <c r="Z96" s="392">
        <f t="shared" si="138"/>
        <v>6674.5360824742265</v>
      </c>
      <c r="AA96" s="393">
        <f t="shared" si="138"/>
        <v>6674.5360824742265</v>
      </c>
      <c r="AB96" s="61"/>
      <c r="AC96" s="831"/>
      <c r="AD96" s="391">
        <f t="shared" si="139"/>
        <v>6674.5360824742265</v>
      </c>
      <c r="AE96" s="392">
        <f t="shared" si="144"/>
        <v>6674.5360824742265</v>
      </c>
      <c r="AF96" s="392">
        <f t="shared" si="140"/>
        <v>6674.5360824742265</v>
      </c>
      <c r="AG96" s="393">
        <f t="shared" si="140"/>
        <v>6674.5360824742265</v>
      </c>
      <c r="AH96" s="832"/>
      <c r="AI96" s="560"/>
      <c r="AJ96" s="84"/>
      <c r="AK96" s="84"/>
      <c r="AL96" s="84"/>
      <c r="AM96" s="84"/>
      <c r="AN96" s="84"/>
      <c r="AO96" s="84"/>
      <c r="AP96" s="1"/>
      <c r="AQ96" s="1"/>
      <c r="AR96" s="1"/>
      <c r="AS96" s="1"/>
      <c r="AT96" s="1"/>
      <c r="AU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</row>
    <row r="97" spans="1:65" hidden="1" outlineLevel="1">
      <c r="A97" s="739"/>
      <c r="B97" s="2"/>
      <c r="C97" s="2"/>
      <c r="D97" s="2"/>
      <c r="F97" s="290"/>
      <c r="G97" s="429"/>
      <c r="H97" s="429"/>
      <c r="I97" s="429"/>
      <c r="J97" s="511"/>
      <c r="K97" s="518"/>
      <c r="L97" s="169"/>
      <c r="M97" s="169"/>
      <c r="N97" s="169"/>
      <c r="O97" s="169"/>
      <c r="R97" s="169"/>
      <c r="S97" s="169"/>
      <c r="T97" s="169"/>
      <c r="U97" s="169"/>
      <c r="W97" s="342"/>
      <c r="X97" s="154"/>
      <c r="Y97" s="154"/>
      <c r="Z97" s="154"/>
      <c r="AA97" s="154"/>
      <c r="AB97" s="154"/>
      <c r="AC97" s="615"/>
      <c r="AD97" s="154"/>
      <c r="AE97" s="154"/>
      <c r="AF97" s="154"/>
      <c r="AG97" s="154"/>
      <c r="AH97" s="684"/>
      <c r="AI97" s="299"/>
      <c r="AJ97" s="2"/>
      <c r="AK97" s="2"/>
      <c r="AL97" s="2"/>
      <c r="AM97" s="2"/>
      <c r="AN97" s="2"/>
      <c r="AO97" s="2"/>
    </row>
    <row r="98" spans="1:65" s="425" customFormat="1" hidden="1" outlineLevel="1">
      <c r="A98" s="747" t="s">
        <v>345</v>
      </c>
      <c r="B98" s="452"/>
      <c r="C98" s="452"/>
      <c r="D98" s="452"/>
      <c r="E98" s="356"/>
      <c r="F98" s="343"/>
      <c r="G98" s="430"/>
      <c r="H98" s="430"/>
      <c r="I98" s="430"/>
      <c r="J98" s="512"/>
      <c r="K98" s="517"/>
      <c r="L98" s="399" t="s">
        <v>334</v>
      </c>
      <c r="M98" s="354"/>
      <c r="N98" s="354"/>
      <c r="O98" s="354"/>
      <c r="P98" s="503"/>
      <c r="Q98" s="529"/>
      <c r="R98" s="399" t="s">
        <v>334</v>
      </c>
      <c r="S98" s="354"/>
      <c r="T98" s="354"/>
      <c r="U98" s="354"/>
      <c r="V98" s="43"/>
      <c r="W98" s="561"/>
      <c r="X98" s="633"/>
      <c r="Y98" s="633"/>
      <c r="Z98" s="633"/>
      <c r="AA98" s="633"/>
      <c r="AB98" s="633"/>
      <c r="AC98" s="833"/>
      <c r="AD98" s="633"/>
      <c r="AE98" s="633"/>
      <c r="AF98" s="633"/>
      <c r="AG98" s="633"/>
      <c r="AH98" s="834"/>
      <c r="AI98" s="562"/>
      <c r="AJ98" s="356"/>
      <c r="AK98" s="356"/>
      <c r="AL98" s="356"/>
      <c r="AM98" s="356"/>
      <c r="AN98" s="356"/>
      <c r="AO98" s="356"/>
      <c r="AP98" s="43"/>
      <c r="AQ98" s="43"/>
      <c r="AR98" s="43"/>
      <c r="AS98" s="43"/>
      <c r="AT98" s="43"/>
      <c r="AU98" s="43"/>
      <c r="BB98" s="43"/>
      <c r="BC98" s="43"/>
      <c r="BD98" s="43"/>
      <c r="BE98" s="43"/>
      <c r="BF98" s="43"/>
      <c r="BG98" s="43"/>
      <c r="BH98" s="43"/>
      <c r="BI98" s="43"/>
      <c r="BJ98" s="43"/>
      <c r="BK98" s="43"/>
      <c r="BL98" s="43"/>
      <c r="BM98" s="43"/>
    </row>
    <row r="99" spans="1:65" hidden="1" outlineLevel="1">
      <c r="A99" s="745" t="s">
        <v>327</v>
      </c>
      <c r="B99" s="2"/>
      <c r="C99" s="2"/>
      <c r="D99" s="2"/>
      <c r="F99" s="378">
        <f t="shared" ref="F99:F104" si="145">F107</f>
        <v>10.166666666666666</v>
      </c>
      <c r="G99" s="431">
        <f t="shared" ref="G99:I105" si="146">F99</f>
        <v>10.166666666666666</v>
      </c>
      <c r="H99" s="431">
        <f t="shared" si="146"/>
        <v>10.166666666666666</v>
      </c>
      <c r="I99" s="432">
        <f t="shared" si="146"/>
        <v>10.166666666666666</v>
      </c>
      <c r="J99" s="511"/>
      <c r="K99" s="518"/>
      <c r="L99" s="378">
        <f>F99+0.7</f>
        <v>10.866666666666665</v>
      </c>
      <c r="M99" s="394">
        <f>L99</f>
        <v>10.866666666666665</v>
      </c>
      <c r="N99" s="394">
        <f t="shared" ref="N99:O99" si="147">M99</f>
        <v>10.866666666666665</v>
      </c>
      <c r="O99" s="395">
        <f t="shared" si="147"/>
        <v>10.866666666666665</v>
      </c>
      <c r="R99" s="378">
        <f>L99</f>
        <v>10.866666666666665</v>
      </c>
      <c r="S99" s="394">
        <f>R99</f>
        <v>10.866666666666665</v>
      </c>
      <c r="T99" s="394">
        <f t="shared" ref="T99:U99" si="148">S99</f>
        <v>10.866666666666665</v>
      </c>
      <c r="U99" s="395">
        <f t="shared" si="148"/>
        <v>10.866666666666665</v>
      </c>
      <c r="W99" s="342"/>
      <c r="X99" s="378">
        <f>R99</f>
        <v>10.866666666666665</v>
      </c>
      <c r="Y99" s="394">
        <f>X99</f>
        <v>10.866666666666665</v>
      </c>
      <c r="Z99" s="394">
        <f t="shared" ref="Z99:AA105" si="149">Y99</f>
        <v>10.866666666666665</v>
      </c>
      <c r="AA99" s="395">
        <f t="shared" si="149"/>
        <v>10.866666666666665</v>
      </c>
      <c r="AB99" s="154"/>
      <c r="AC99" s="615"/>
      <c r="AD99" s="378">
        <f>X99</f>
        <v>10.866666666666665</v>
      </c>
      <c r="AE99" s="394">
        <f>AD99</f>
        <v>10.866666666666665</v>
      </c>
      <c r="AF99" s="394">
        <f t="shared" ref="AF99:AG105" si="150">AE99</f>
        <v>10.866666666666665</v>
      </c>
      <c r="AG99" s="395">
        <f t="shared" si="150"/>
        <v>10.866666666666665</v>
      </c>
      <c r="AH99" s="684"/>
      <c r="AI99" s="299"/>
      <c r="AJ99" s="2"/>
      <c r="AK99" s="2"/>
      <c r="AL99" s="2"/>
      <c r="AM99" s="2"/>
      <c r="AN99" s="2"/>
      <c r="AO99" s="2"/>
    </row>
    <row r="100" spans="1:65" hidden="1" outlineLevel="1">
      <c r="A100" s="739" t="s">
        <v>62</v>
      </c>
      <c r="B100" s="2"/>
      <c r="C100" s="2"/>
      <c r="D100" s="2"/>
      <c r="F100" s="379">
        <f t="shared" si="145"/>
        <v>7.7666666666666666</v>
      </c>
      <c r="G100" s="429">
        <f t="shared" si="146"/>
        <v>7.7666666666666666</v>
      </c>
      <c r="H100" s="429">
        <f t="shared" si="146"/>
        <v>7.7666666666666666</v>
      </c>
      <c r="I100" s="433">
        <f t="shared" si="146"/>
        <v>7.7666666666666666</v>
      </c>
      <c r="J100" s="511"/>
      <c r="K100" s="518"/>
      <c r="L100" s="379">
        <f t="shared" ref="L100:L104" si="151">F100+0.7</f>
        <v>8.4666666666666668</v>
      </c>
      <c r="M100" s="290">
        <f t="shared" ref="M100:O105" si="152">L100</f>
        <v>8.4666666666666668</v>
      </c>
      <c r="N100" s="290">
        <f t="shared" si="152"/>
        <v>8.4666666666666668</v>
      </c>
      <c r="O100" s="396">
        <f t="shared" si="152"/>
        <v>8.4666666666666668</v>
      </c>
      <c r="R100" s="379">
        <f t="shared" ref="R100:R105" si="153">L100</f>
        <v>8.4666666666666668</v>
      </c>
      <c r="S100" s="290">
        <f t="shared" ref="S100:U105" si="154">R100</f>
        <v>8.4666666666666668</v>
      </c>
      <c r="T100" s="290">
        <f t="shared" si="154"/>
        <v>8.4666666666666668</v>
      </c>
      <c r="U100" s="396">
        <f t="shared" si="154"/>
        <v>8.4666666666666668</v>
      </c>
      <c r="W100" s="342"/>
      <c r="X100" s="379">
        <f t="shared" ref="X100:X105" si="155">R100</f>
        <v>8.4666666666666668</v>
      </c>
      <c r="Y100" s="290">
        <f t="shared" ref="Y100:Y105" si="156">X100</f>
        <v>8.4666666666666668</v>
      </c>
      <c r="Z100" s="290">
        <f t="shared" si="149"/>
        <v>8.4666666666666668</v>
      </c>
      <c r="AA100" s="396">
        <f t="shared" si="149"/>
        <v>8.4666666666666668</v>
      </c>
      <c r="AB100" s="154"/>
      <c r="AC100" s="615"/>
      <c r="AD100" s="379">
        <f t="shared" ref="AD100:AD105" si="157">X100</f>
        <v>8.4666666666666668</v>
      </c>
      <c r="AE100" s="290">
        <f t="shared" ref="AE100:AE105" si="158">AD100</f>
        <v>8.4666666666666668</v>
      </c>
      <c r="AF100" s="290">
        <f t="shared" si="150"/>
        <v>8.4666666666666668</v>
      </c>
      <c r="AG100" s="396">
        <f t="shared" si="150"/>
        <v>8.4666666666666668</v>
      </c>
      <c r="AH100" s="684"/>
      <c r="AI100" s="299"/>
      <c r="AJ100" s="2"/>
      <c r="AK100" s="2"/>
      <c r="AL100" s="2"/>
      <c r="AM100" s="2"/>
      <c r="AN100" s="2"/>
      <c r="AO100" s="2"/>
    </row>
    <row r="101" spans="1:65" hidden="1" outlineLevel="1">
      <c r="A101" s="739" t="s">
        <v>65</v>
      </c>
      <c r="B101" s="2"/>
      <c r="C101" s="2"/>
      <c r="D101" s="2"/>
      <c r="F101" s="379">
        <f t="shared" si="145"/>
        <v>5.7666666666666666</v>
      </c>
      <c r="G101" s="429">
        <f t="shared" si="146"/>
        <v>5.7666666666666666</v>
      </c>
      <c r="H101" s="429">
        <f t="shared" si="146"/>
        <v>5.7666666666666666</v>
      </c>
      <c r="I101" s="433">
        <f t="shared" si="146"/>
        <v>5.7666666666666666</v>
      </c>
      <c r="J101" s="511"/>
      <c r="K101" s="518"/>
      <c r="L101" s="379">
        <f t="shared" si="151"/>
        <v>6.4666666666666668</v>
      </c>
      <c r="M101" s="290">
        <f t="shared" si="152"/>
        <v>6.4666666666666668</v>
      </c>
      <c r="N101" s="290">
        <f t="shared" si="152"/>
        <v>6.4666666666666668</v>
      </c>
      <c r="O101" s="396">
        <f t="shared" si="152"/>
        <v>6.4666666666666668</v>
      </c>
      <c r="R101" s="379">
        <f t="shared" si="153"/>
        <v>6.4666666666666668</v>
      </c>
      <c r="S101" s="290">
        <f t="shared" si="154"/>
        <v>6.4666666666666668</v>
      </c>
      <c r="T101" s="290">
        <f t="shared" si="154"/>
        <v>6.4666666666666668</v>
      </c>
      <c r="U101" s="396">
        <f t="shared" si="154"/>
        <v>6.4666666666666668</v>
      </c>
      <c r="W101" s="342"/>
      <c r="X101" s="379">
        <f t="shared" si="155"/>
        <v>6.4666666666666668</v>
      </c>
      <c r="Y101" s="290">
        <f t="shared" si="156"/>
        <v>6.4666666666666668</v>
      </c>
      <c r="Z101" s="290">
        <f t="shared" si="149"/>
        <v>6.4666666666666668</v>
      </c>
      <c r="AA101" s="396">
        <f t="shared" si="149"/>
        <v>6.4666666666666668</v>
      </c>
      <c r="AB101" s="154"/>
      <c r="AC101" s="615"/>
      <c r="AD101" s="379">
        <f t="shared" si="157"/>
        <v>6.4666666666666668</v>
      </c>
      <c r="AE101" s="290">
        <f t="shared" si="158"/>
        <v>6.4666666666666668</v>
      </c>
      <c r="AF101" s="290">
        <f t="shared" si="150"/>
        <v>6.4666666666666668</v>
      </c>
      <c r="AG101" s="396">
        <f t="shared" si="150"/>
        <v>6.4666666666666668</v>
      </c>
      <c r="AH101" s="684"/>
      <c r="AI101" s="299"/>
      <c r="AJ101" s="2"/>
      <c r="AK101" s="2"/>
      <c r="AL101" s="2"/>
      <c r="AM101" s="2"/>
      <c r="AN101" s="2"/>
      <c r="AO101" s="2"/>
    </row>
    <row r="102" spans="1:65" hidden="1" outlineLevel="1">
      <c r="A102" s="739" t="s">
        <v>66</v>
      </c>
      <c r="B102" s="2"/>
      <c r="C102" s="2"/>
      <c r="D102" s="2"/>
      <c r="F102" s="379">
        <f t="shared" si="145"/>
        <v>4.9666666666666668</v>
      </c>
      <c r="G102" s="429">
        <f t="shared" si="146"/>
        <v>4.9666666666666668</v>
      </c>
      <c r="H102" s="429">
        <f t="shared" si="146"/>
        <v>4.9666666666666668</v>
      </c>
      <c r="I102" s="433">
        <f t="shared" si="146"/>
        <v>4.9666666666666668</v>
      </c>
      <c r="J102" s="511"/>
      <c r="K102" s="518"/>
      <c r="L102" s="379">
        <f t="shared" si="151"/>
        <v>5.666666666666667</v>
      </c>
      <c r="M102" s="290">
        <f t="shared" si="152"/>
        <v>5.666666666666667</v>
      </c>
      <c r="N102" s="290">
        <f t="shared" si="152"/>
        <v>5.666666666666667</v>
      </c>
      <c r="O102" s="396">
        <f t="shared" si="152"/>
        <v>5.666666666666667</v>
      </c>
      <c r="R102" s="379">
        <f t="shared" si="153"/>
        <v>5.666666666666667</v>
      </c>
      <c r="S102" s="290">
        <f t="shared" si="154"/>
        <v>5.666666666666667</v>
      </c>
      <c r="T102" s="290">
        <f t="shared" si="154"/>
        <v>5.666666666666667</v>
      </c>
      <c r="U102" s="396">
        <f t="shared" si="154"/>
        <v>5.666666666666667</v>
      </c>
      <c r="W102" s="342"/>
      <c r="X102" s="379">
        <f t="shared" si="155"/>
        <v>5.666666666666667</v>
      </c>
      <c r="Y102" s="290">
        <f t="shared" si="156"/>
        <v>5.666666666666667</v>
      </c>
      <c r="Z102" s="290">
        <f t="shared" si="149"/>
        <v>5.666666666666667</v>
      </c>
      <c r="AA102" s="396">
        <f t="shared" si="149"/>
        <v>5.666666666666667</v>
      </c>
      <c r="AB102" s="154"/>
      <c r="AC102" s="615"/>
      <c r="AD102" s="379">
        <f t="shared" si="157"/>
        <v>5.666666666666667</v>
      </c>
      <c r="AE102" s="290">
        <f t="shared" si="158"/>
        <v>5.666666666666667</v>
      </c>
      <c r="AF102" s="290">
        <f t="shared" si="150"/>
        <v>5.666666666666667</v>
      </c>
      <c r="AG102" s="396">
        <f t="shared" si="150"/>
        <v>5.666666666666667</v>
      </c>
      <c r="AH102" s="684"/>
      <c r="AI102" s="299"/>
      <c r="AJ102" s="2"/>
      <c r="AK102" s="2"/>
      <c r="AL102" s="2"/>
      <c r="AM102" s="2"/>
      <c r="AN102" s="2"/>
      <c r="AO102" s="2"/>
    </row>
    <row r="103" spans="1:65" hidden="1" outlineLevel="1">
      <c r="A103" s="739" t="s">
        <v>328</v>
      </c>
      <c r="B103" s="2"/>
      <c r="C103" s="2"/>
      <c r="D103" s="2"/>
      <c r="F103" s="379">
        <f t="shared" si="145"/>
        <v>4.3</v>
      </c>
      <c r="G103" s="429">
        <f t="shared" si="146"/>
        <v>4.3</v>
      </c>
      <c r="H103" s="429">
        <f t="shared" si="146"/>
        <v>4.3</v>
      </c>
      <c r="I103" s="433">
        <f t="shared" si="146"/>
        <v>4.3</v>
      </c>
      <c r="J103" s="511"/>
      <c r="K103" s="518"/>
      <c r="L103" s="379">
        <f t="shared" si="151"/>
        <v>5</v>
      </c>
      <c r="M103" s="290">
        <f t="shared" si="152"/>
        <v>5</v>
      </c>
      <c r="N103" s="290">
        <f t="shared" si="152"/>
        <v>5</v>
      </c>
      <c r="O103" s="396">
        <f t="shared" si="152"/>
        <v>5</v>
      </c>
      <c r="R103" s="379">
        <f t="shared" si="153"/>
        <v>5</v>
      </c>
      <c r="S103" s="290">
        <f t="shared" si="154"/>
        <v>5</v>
      </c>
      <c r="T103" s="290">
        <f t="shared" si="154"/>
        <v>5</v>
      </c>
      <c r="U103" s="396">
        <f t="shared" si="154"/>
        <v>5</v>
      </c>
      <c r="W103" s="342"/>
      <c r="X103" s="379">
        <f t="shared" si="155"/>
        <v>5</v>
      </c>
      <c r="Y103" s="290">
        <f t="shared" si="156"/>
        <v>5</v>
      </c>
      <c r="Z103" s="290">
        <f t="shared" si="149"/>
        <v>5</v>
      </c>
      <c r="AA103" s="396">
        <f t="shared" si="149"/>
        <v>5</v>
      </c>
      <c r="AB103" s="154"/>
      <c r="AC103" s="615"/>
      <c r="AD103" s="379">
        <f t="shared" si="157"/>
        <v>5</v>
      </c>
      <c r="AE103" s="290">
        <f t="shared" si="158"/>
        <v>5</v>
      </c>
      <c r="AF103" s="290">
        <f t="shared" si="150"/>
        <v>5</v>
      </c>
      <c r="AG103" s="396">
        <f t="shared" si="150"/>
        <v>5</v>
      </c>
      <c r="AH103" s="684"/>
      <c r="AI103" s="299"/>
      <c r="AJ103" s="2"/>
      <c r="AK103" s="2"/>
      <c r="AL103" s="2"/>
      <c r="AM103" s="2"/>
      <c r="AN103" s="2"/>
      <c r="AO103" s="2"/>
    </row>
    <row r="104" spans="1:65" hidden="1" outlineLevel="1">
      <c r="A104" s="746" t="s">
        <v>329</v>
      </c>
      <c r="B104" s="2"/>
      <c r="C104" s="2"/>
      <c r="D104" s="2"/>
      <c r="F104" s="380">
        <f t="shared" si="145"/>
        <v>3.2333333333333334</v>
      </c>
      <c r="G104" s="434">
        <f t="shared" si="146"/>
        <v>3.2333333333333334</v>
      </c>
      <c r="H104" s="434">
        <f t="shared" si="146"/>
        <v>3.2333333333333334</v>
      </c>
      <c r="I104" s="435">
        <f t="shared" si="146"/>
        <v>3.2333333333333334</v>
      </c>
      <c r="J104" s="511"/>
      <c r="K104" s="518"/>
      <c r="L104" s="380">
        <f t="shared" si="151"/>
        <v>3.9333333333333336</v>
      </c>
      <c r="M104" s="397">
        <f t="shared" si="152"/>
        <v>3.9333333333333336</v>
      </c>
      <c r="N104" s="397">
        <f t="shared" si="152"/>
        <v>3.9333333333333336</v>
      </c>
      <c r="O104" s="398">
        <f t="shared" si="152"/>
        <v>3.9333333333333336</v>
      </c>
      <c r="R104" s="380">
        <f t="shared" si="153"/>
        <v>3.9333333333333336</v>
      </c>
      <c r="S104" s="397">
        <f t="shared" si="154"/>
        <v>3.9333333333333336</v>
      </c>
      <c r="T104" s="397">
        <f t="shared" si="154"/>
        <v>3.9333333333333336</v>
      </c>
      <c r="U104" s="398">
        <f t="shared" si="154"/>
        <v>3.9333333333333336</v>
      </c>
      <c r="W104" s="342"/>
      <c r="X104" s="380">
        <f t="shared" si="155"/>
        <v>3.9333333333333336</v>
      </c>
      <c r="Y104" s="397">
        <f t="shared" si="156"/>
        <v>3.9333333333333336</v>
      </c>
      <c r="Z104" s="397">
        <f t="shared" si="149"/>
        <v>3.9333333333333336</v>
      </c>
      <c r="AA104" s="398">
        <f t="shared" si="149"/>
        <v>3.9333333333333336</v>
      </c>
      <c r="AB104" s="154"/>
      <c r="AC104" s="615"/>
      <c r="AD104" s="380">
        <f t="shared" si="157"/>
        <v>3.9333333333333336</v>
      </c>
      <c r="AE104" s="397">
        <f t="shared" si="158"/>
        <v>3.9333333333333336</v>
      </c>
      <c r="AF104" s="397">
        <f t="shared" si="150"/>
        <v>3.9333333333333336</v>
      </c>
      <c r="AG104" s="398">
        <f t="shared" si="150"/>
        <v>3.9333333333333336</v>
      </c>
      <c r="AH104" s="684"/>
      <c r="AI104" s="299"/>
      <c r="AJ104" s="2"/>
      <c r="AK104" s="2"/>
      <c r="AL104" s="2"/>
      <c r="AM104" s="2"/>
      <c r="AN104" s="2"/>
      <c r="AO104" s="2"/>
    </row>
    <row r="105" spans="1:65" s="762" customFormat="1" hidden="1" outlineLevel="1">
      <c r="A105" s="759"/>
      <c r="B105" s="400"/>
      <c r="C105" s="400"/>
      <c r="D105" s="400"/>
      <c r="E105" s="400"/>
      <c r="F105" s="154">
        <f>AVERAGE(F99:F104)</f>
        <v>6.0333333333333323</v>
      </c>
      <c r="G105" s="400">
        <f t="shared" si="146"/>
        <v>6.0333333333333323</v>
      </c>
      <c r="H105" s="400">
        <f t="shared" si="146"/>
        <v>6.0333333333333323</v>
      </c>
      <c r="I105" s="400">
        <f t="shared" si="146"/>
        <v>6.0333333333333323</v>
      </c>
      <c r="J105" s="760"/>
      <c r="K105" s="761"/>
      <c r="L105" s="154">
        <f t="shared" ref="L105" si="159">F105+1</f>
        <v>7.0333333333333323</v>
      </c>
      <c r="M105" s="154">
        <f t="shared" si="152"/>
        <v>7.0333333333333323</v>
      </c>
      <c r="N105" s="154">
        <f t="shared" si="152"/>
        <v>7.0333333333333323</v>
      </c>
      <c r="O105" s="154">
        <f t="shared" si="152"/>
        <v>7.0333333333333323</v>
      </c>
      <c r="P105" s="299"/>
      <c r="Q105" s="342"/>
      <c r="R105" s="154">
        <f t="shared" si="153"/>
        <v>7.0333333333333323</v>
      </c>
      <c r="S105" s="154">
        <f t="shared" si="154"/>
        <v>7.0333333333333323</v>
      </c>
      <c r="T105" s="154">
        <f t="shared" si="154"/>
        <v>7.0333333333333323</v>
      </c>
      <c r="U105" s="154">
        <f t="shared" si="154"/>
        <v>7.0333333333333323</v>
      </c>
      <c r="V105" s="154"/>
      <c r="W105" s="342"/>
      <c r="X105" s="154">
        <f t="shared" si="155"/>
        <v>7.0333333333333323</v>
      </c>
      <c r="Y105" s="154">
        <f t="shared" si="156"/>
        <v>7.0333333333333323</v>
      </c>
      <c r="Z105" s="154">
        <f t="shared" si="149"/>
        <v>7.0333333333333323</v>
      </c>
      <c r="AA105" s="154">
        <f t="shared" si="149"/>
        <v>7.0333333333333323</v>
      </c>
      <c r="AB105" s="154"/>
      <c r="AC105" s="615"/>
      <c r="AD105" s="154">
        <f t="shared" si="157"/>
        <v>7.0333333333333323</v>
      </c>
      <c r="AE105" s="154">
        <f t="shared" si="158"/>
        <v>7.0333333333333323</v>
      </c>
      <c r="AF105" s="154">
        <f t="shared" si="150"/>
        <v>7.0333333333333323</v>
      </c>
      <c r="AG105" s="154">
        <f t="shared" si="150"/>
        <v>7.0333333333333323</v>
      </c>
      <c r="AH105" s="684"/>
      <c r="AI105" s="299"/>
      <c r="AJ105" s="400"/>
      <c r="AK105" s="400"/>
      <c r="AL105" s="400"/>
      <c r="AM105" s="400"/>
      <c r="AN105" s="400"/>
      <c r="AO105" s="400"/>
      <c r="AP105" s="154"/>
      <c r="AQ105" s="154"/>
      <c r="AR105" s="154"/>
      <c r="AS105" s="154"/>
      <c r="AT105" s="154"/>
      <c r="AU105" s="154"/>
      <c r="BB105" s="154"/>
      <c r="BC105" s="154"/>
      <c r="BD105" s="154"/>
      <c r="BE105" s="154"/>
      <c r="BF105" s="154"/>
      <c r="BG105" s="154"/>
      <c r="BH105" s="154"/>
      <c r="BI105" s="154"/>
      <c r="BJ105" s="154"/>
      <c r="BK105" s="154"/>
      <c r="BL105" s="154"/>
      <c r="BM105" s="154"/>
    </row>
    <row r="106" spans="1:65" s="425" customFormat="1" hidden="1" outlineLevel="1">
      <c r="A106" s="747" t="s">
        <v>346</v>
      </c>
      <c r="B106" s="452"/>
      <c r="C106" s="452"/>
      <c r="D106" s="452"/>
      <c r="E106" s="356"/>
      <c r="F106" s="354"/>
      <c r="G106" s="354"/>
      <c r="H106" s="354"/>
      <c r="I106" s="354"/>
      <c r="J106" s="512"/>
      <c r="K106" s="517"/>
      <c r="L106" s="354"/>
      <c r="M106" s="354"/>
      <c r="N106" s="354"/>
      <c r="O106" s="354"/>
      <c r="P106" s="503"/>
      <c r="Q106" s="529"/>
      <c r="R106" s="354"/>
      <c r="S106" s="354"/>
      <c r="T106" s="354"/>
      <c r="U106" s="354"/>
      <c r="V106" s="43"/>
      <c r="W106" s="561"/>
      <c r="X106" s="633"/>
      <c r="Y106" s="633"/>
      <c r="Z106" s="633"/>
      <c r="AA106" s="633"/>
      <c r="AB106" s="633"/>
      <c r="AC106" s="833"/>
      <c r="AD106" s="633"/>
      <c r="AE106" s="633"/>
      <c r="AF106" s="633"/>
      <c r="AG106" s="633"/>
      <c r="AH106" s="834"/>
      <c r="AI106" s="562"/>
      <c r="AJ106" s="356"/>
      <c r="AK106" s="356"/>
      <c r="AL106" s="356"/>
      <c r="AM106" s="356"/>
      <c r="AN106" s="356"/>
      <c r="AO106" s="356"/>
      <c r="AP106" s="43"/>
      <c r="AQ106" s="43"/>
      <c r="AR106" s="43"/>
      <c r="AS106" s="43"/>
      <c r="AT106" s="43"/>
      <c r="AU106" s="43"/>
      <c r="BB106" s="43"/>
      <c r="BC106" s="43"/>
      <c r="BD106" s="43"/>
      <c r="BE106" s="43"/>
      <c r="BF106" s="43"/>
      <c r="BG106" s="43"/>
      <c r="BH106" s="43"/>
      <c r="BI106" s="43"/>
      <c r="BJ106" s="43"/>
      <c r="BK106" s="43"/>
      <c r="BL106" s="43"/>
      <c r="BM106" s="43"/>
    </row>
    <row r="107" spans="1:65" hidden="1" outlineLevel="1">
      <c r="A107" s="745" t="s">
        <v>327</v>
      </c>
      <c r="B107" s="2"/>
      <c r="C107" s="2"/>
      <c r="D107" s="2"/>
      <c r="F107" s="378">
        <f>'MPS др метрики'!E110</f>
        <v>10.166666666666666</v>
      </c>
      <c r="G107" s="431">
        <f t="shared" ref="G107:I112" si="160">F107</f>
        <v>10.166666666666666</v>
      </c>
      <c r="H107" s="431">
        <f t="shared" si="160"/>
        <v>10.166666666666666</v>
      </c>
      <c r="I107" s="431">
        <f t="shared" si="160"/>
        <v>10.166666666666666</v>
      </c>
      <c r="J107" s="511"/>
      <c r="K107" s="518"/>
      <c r="L107" s="378">
        <f t="shared" ref="L107:O112" si="161">F107</f>
        <v>10.166666666666666</v>
      </c>
      <c r="M107" s="394">
        <f t="shared" si="161"/>
        <v>10.166666666666666</v>
      </c>
      <c r="N107" s="394">
        <f t="shared" si="161"/>
        <v>10.166666666666666</v>
      </c>
      <c r="O107" s="395">
        <f t="shared" si="161"/>
        <v>10.166666666666666</v>
      </c>
      <c r="R107" s="378">
        <f t="shared" ref="R107:U112" si="162">L107</f>
        <v>10.166666666666666</v>
      </c>
      <c r="S107" s="394">
        <f t="shared" si="162"/>
        <v>10.166666666666666</v>
      </c>
      <c r="T107" s="394">
        <f t="shared" si="162"/>
        <v>10.166666666666666</v>
      </c>
      <c r="U107" s="395">
        <f t="shared" si="162"/>
        <v>10.166666666666666</v>
      </c>
      <c r="W107" s="342"/>
      <c r="X107" s="378">
        <f t="shared" ref="X107:AA112" si="163">R107</f>
        <v>10.166666666666666</v>
      </c>
      <c r="Y107" s="394">
        <f t="shared" si="163"/>
        <v>10.166666666666666</v>
      </c>
      <c r="Z107" s="394">
        <f t="shared" si="163"/>
        <v>10.166666666666666</v>
      </c>
      <c r="AA107" s="395">
        <f t="shared" si="163"/>
        <v>10.166666666666666</v>
      </c>
      <c r="AB107" s="154"/>
      <c r="AC107" s="615"/>
      <c r="AD107" s="378">
        <f t="shared" ref="AD107:AG112" si="164">X107</f>
        <v>10.166666666666666</v>
      </c>
      <c r="AE107" s="394">
        <f t="shared" si="164"/>
        <v>10.166666666666666</v>
      </c>
      <c r="AF107" s="394">
        <f t="shared" si="164"/>
        <v>10.166666666666666</v>
      </c>
      <c r="AG107" s="395">
        <f t="shared" si="164"/>
        <v>10.166666666666666</v>
      </c>
      <c r="AH107" s="684"/>
      <c r="AI107" s="299"/>
      <c r="AJ107" s="2"/>
      <c r="AK107" s="2"/>
      <c r="AL107" s="2"/>
      <c r="AM107" s="2"/>
      <c r="AN107" s="2"/>
      <c r="AO107" s="2"/>
    </row>
    <row r="108" spans="1:65" hidden="1" outlineLevel="1">
      <c r="A108" s="739" t="s">
        <v>62</v>
      </c>
      <c r="B108" s="2"/>
      <c r="C108" s="2"/>
      <c r="D108" s="2"/>
      <c r="F108" s="379">
        <f>'MPS др метрики'!E111</f>
        <v>7.7666666666666666</v>
      </c>
      <c r="G108" s="429">
        <f t="shared" si="160"/>
        <v>7.7666666666666666</v>
      </c>
      <c r="H108" s="429">
        <f t="shared" si="160"/>
        <v>7.7666666666666666</v>
      </c>
      <c r="I108" s="429">
        <f t="shared" si="160"/>
        <v>7.7666666666666666</v>
      </c>
      <c r="J108" s="511"/>
      <c r="K108" s="518"/>
      <c r="L108" s="379">
        <f t="shared" si="161"/>
        <v>7.7666666666666666</v>
      </c>
      <c r="M108" s="290">
        <f t="shared" si="161"/>
        <v>7.7666666666666666</v>
      </c>
      <c r="N108" s="290">
        <f t="shared" si="161"/>
        <v>7.7666666666666666</v>
      </c>
      <c r="O108" s="396">
        <f t="shared" si="161"/>
        <v>7.7666666666666666</v>
      </c>
      <c r="R108" s="379">
        <f t="shared" si="162"/>
        <v>7.7666666666666666</v>
      </c>
      <c r="S108" s="290">
        <f t="shared" si="162"/>
        <v>7.7666666666666666</v>
      </c>
      <c r="T108" s="290">
        <f t="shared" si="162"/>
        <v>7.7666666666666666</v>
      </c>
      <c r="U108" s="396">
        <f t="shared" si="162"/>
        <v>7.7666666666666666</v>
      </c>
      <c r="W108" s="342"/>
      <c r="X108" s="379">
        <f t="shared" si="163"/>
        <v>7.7666666666666666</v>
      </c>
      <c r="Y108" s="290">
        <f t="shared" si="163"/>
        <v>7.7666666666666666</v>
      </c>
      <c r="Z108" s="290">
        <f t="shared" si="163"/>
        <v>7.7666666666666666</v>
      </c>
      <c r="AA108" s="396">
        <f t="shared" si="163"/>
        <v>7.7666666666666666</v>
      </c>
      <c r="AB108" s="154"/>
      <c r="AC108" s="615"/>
      <c r="AD108" s="379">
        <f t="shared" si="164"/>
        <v>7.7666666666666666</v>
      </c>
      <c r="AE108" s="290">
        <f t="shared" si="164"/>
        <v>7.7666666666666666</v>
      </c>
      <c r="AF108" s="290">
        <f t="shared" si="164"/>
        <v>7.7666666666666666</v>
      </c>
      <c r="AG108" s="396">
        <f t="shared" si="164"/>
        <v>7.7666666666666666</v>
      </c>
      <c r="AH108" s="684"/>
      <c r="AI108" s="299"/>
      <c r="AJ108" s="2"/>
      <c r="AK108" s="2"/>
      <c r="AL108" s="2"/>
      <c r="AM108" s="2"/>
      <c r="AN108" s="2"/>
      <c r="AO108" s="2"/>
    </row>
    <row r="109" spans="1:65" hidden="1" outlineLevel="1">
      <c r="A109" s="739" t="s">
        <v>65</v>
      </c>
      <c r="B109" s="2"/>
      <c r="C109" s="2"/>
      <c r="D109" s="2"/>
      <c r="F109" s="379">
        <f>'MPS др метрики'!E112</f>
        <v>5.7666666666666666</v>
      </c>
      <c r="G109" s="429">
        <f t="shared" si="160"/>
        <v>5.7666666666666666</v>
      </c>
      <c r="H109" s="429">
        <f t="shared" si="160"/>
        <v>5.7666666666666666</v>
      </c>
      <c r="I109" s="429">
        <f t="shared" si="160"/>
        <v>5.7666666666666666</v>
      </c>
      <c r="J109" s="511"/>
      <c r="K109" s="518"/>
      <c r="L109" s="379">
        <f t="shared" si="161"/>
        <v>5.7666666666666666</v>
      </c>
      <c r="M109" s="290">
        <f t="shared" si="161"/>
        <v>5.7666666666666666</v>
      </c>
      <c r="N109" s="290">
        <f t="shared" si="161"/>
        <v>5.7666666666666666</v>
      </c>
      <c r="O109" s="396">
        <f t="shared" si="161"/>
        <v>5.7666666666666666</v>
      </c>
      <c r="R109" s="379">
        <f t="shared" si="162"/>
        <v>5.7666666666666666</v>
      </c>
      <c r="S109" s="290">
        <f t="shared" si="162"/>
        <v>5.7666666666666666</v>
      </c>
      <c r="T109" s="290">
        <f t="shared" si="162"/>
        <v>5.7666666666666666</v>
      </c>
      <c r="U109" s="396">
        <f t="shared" si="162"/>
        <v>5.7666666666666666</v>
      </c>
      <c r="W109" s="342"/>
      <c r="X109" s="379">
        <f t="shared" si="163"/>
        <v>5.7666666666666666</v>
      </c>
      <c r="Y109" s="290">
        <f t="shared" si="163"/>
        <v>5.7666666666666666</v>
      </c>
      <c r="Z109" s="290">
        <f t="shared" si="163"/>
        <v>5.7666666666666666</v>
      </c>
      <c r="AA109" s="396">
        <f t="shared" si="163"/>
        <v>5.7666666666666666</v>
      </c>
      <c r="AB109" s="154"/>
      <c r="AC109" s="615"/>
      <c r="AD109" s="379">
        <f t="shared" si="164"/>
        <v>5.7666666666666666</v>
      </c>
      <c r="AE109" s="290">
        <f t="shared" si="164"/>
        <v>5.7666666666666666</v>
      </c>
      <c r="AF109" s="290">
        <f t="shared" si="164"/>
        <v>5.7666666666666666</v>
      </c>
      <c r="AG109" s="396">
        <f t="shared" si="164"/>
        <v>5.7666666666666666</v>
      </c>
      <c r="AH109" s="684"/>
      <c r="AI109" s="299"/>
      <c r="AJ109" s="2"/>
      <c r="AK109" s="2"/>
      <c r="AL109" s="2"/>
      <c r="AM109" s="2"/>
      <c r="AN109" s="2"/>
      <c r="AO109" s="2"/>
    </row>
    <row r="110" spans="1:65" hidden="1" outlineLevel="1">
      <c r="A110" s="739" t="s">
        <v>66</v>
      </c>
      <c r="B110" s="2"/>
      <c r="C110" s="2"/>
      <c r="D110" s="2"/>
      <c r="F110" s="379">
        <f>'MPS др метрики'!E113</f>
        <v>4.9666666666666668</v>
      </c>
      <c r="G110" s="429">
        <f t="shared" si="160"/>
        <v>4.9666666666666668</v>
      </c>
      <c r="H110" s="429">
        <f t="shared" si="160"/>
        <v>4.9666666666666668</v>
      </c>
      <c r="I110" s="429">
        <f t="shared" si="160"/>
        <v>4.9666666666666668</v>
      </c>
      <c r="J110" s="511"/>
      <c r="K110" s="518"/>
      <c r="L110" s="379">
        <f t="shared" si="161"/>
        <v>4.9666666666666668</v>
      </c>
      <c r="M110" s="290">
        <f t="shared" si="161"/>
        <v>4.9666666666666668</v>
      </c>
      <c r="N110" s="290">
        <f t="shared" si="161"/>
        <v>4.9666666666666668</v>
      </c>
      <c r="O110" s="396">
        <f t="shared" si="161"/>
        <v>4.9666666666666668</v>
      </c>
      <c r="R110" s="379">
        <f t="shared" si="162"/>
        <v>4.9666666666666668</v>
      </c>
      <c r="S110" s="290">
        <f t="shared" si="162"/>
        <v>4.9666666666666668</v>
      </c>
      <c r="T110" s="290">
        <f t="shared" si="162"/>
        <v>4.9666666666666668</v>
      </c>
      <c r="U110" s="396">
        <f t="shared" si="162"/>
        <v>4.9666666666666668</v>
      </c>
      <c r="W110" s="342"/>
      <c r="X110" s="379">
        <f t="shared" si="163"/>
        <v>4.9666666666666668</v>
      </c>
      <c r="Y110" s="290">
        <f t="shared" si="163"/>
        <v>4.9666666666666668</v>
      </c>
      <c r="Z110" s="290">
        <f t="shared" si="163"/>
        <v>4.9666666666666668</v>
      </c>
      <c r="AA110" s="396">
        <f t="shared" si="163"/>
        <v>4.9666666666666668</v>
      </c>
      <c r="AB110" s="154"/>
      <c r="AC110" s="615"/>
      <c r="AD110" s="379">
        <f t="shared" si="164"/>
        <v>4.9666666666666668</v>
      </c>
      <c r="AE110" s="290">
        <f t="shared" si="164"/>
        <v>4.9666666666666668</v>
      </c>
      <c r="AF110" s="290">
        <f t="shared" si="164"/>
        <v>4.9666666666666668</v>
      </c>
      <c r="AG110" s="396">
        <f t="shared" si="164"/>
        <v>4.9666666666666668</v>
      </c>
      <c r="AH110" s="684"/>
      <c r="AI110" s="299"/>
      <c r="AJ110" s="2"/>
      <c r="AK110" s="2"/>
      <c r="AL110" s="2"/>
      <c r="AM110" s="2"/>
      <c r="AN110" s="2"/>
      <c r="AO110" s="2"/>
    </row>
    <row r="111" spans="1:65" hidden="1" outlineLevel="1">
      <c r="A111" s="739" t="s">
        <v>328</v>
      </c>
      <c r="B111" s="2"/>
      <c r="C111" s="2"/>
      <c r="D111" s="2"/>
      <c r="F111" s="379">
        <f>'MPS др метрики'!E114</f>
        <v>4.3</v>
      </c>
      <c r="G111" s="429">
        <f t="shared" si="160"/>
        <v>4.3</v>
      </c>
      <c r="H111" s="429">
        <f t="shared" si="160"/>
        <v>4.3</v>
      </c>
      <c r="I111" s="429">
        <f t="shared" si="160"/>
        <v>4.3</v>
      </c>
      <c r="J111" s="511"/>
      <c r="K111" s="518"/>
      <c r="L111" s="379">
        <f t="shared" si="161"/>
        <v>4.3</v>
      </c>
      <c r="M111" s="290">
        <f t="shared" si="161"/>
        <v>4.3</v>
      </c>
      <c r="N111" s="290">
        <f t="shared" si="161"/>
        <v>4.3</v>
      </c>
      <c r="O111" s="396">
        <f t="shared" si="161"/>
        <v>4.3</v>
      </c>
      <c r="R111" s="379">
        <f t="shared" si="162"/>
        <v>4.3</v>
      </c>
      <c r="S111" s="290">
        <f t="shared" si="162"/>
        <v>4.3</v>
      </c>
      <c r="T111" s="290">
        <f t="shared" si="162"/>
        <v>4.3</v>
      </c>
      <c r="U111" s="396">
        <f t="shared" si="162"/>
        <v>4.3</v>
      </c>
      <c r="W111" s="342"/>
      <c r="X111" s="379">
        <f t="shared" si="163"/>
        <v>4.3</v>
      </c>
      <c r="Y111" s="290">
        <f t="shared" si="163"/>
        <v>4.3</v>
      </c>
      <c r="Z111" s="290">
        <f t="shared" si="163"/>
        <v>4.3</v>
      </c>
      <c r="AA111" s="396">
        <f t="shared" si="163"/>
        <v>4.3</v>
      </c>
      <c r="AB111" s="154"/>
      <c r="AC111" s="615"/>
      <c r="AD111" s="379">
        <f t="shared" si="164"/>
        <v>4.3</v>
      </c>
      <c r="AE111" s="290">
        <f t="shared" si="164"/>
        <v>4.3</v>
      </c>
      <c r="AF111" s="290">
        <f t="shared" si="164"/>
        <v>4.3</v>
      </c>
      <c r="AG111" s="396">
        <f t="shared" si="164"/>
        <v>4.3</v>
      </c>
      <c r="AH111" s="684"/>
      <c r="AI111" s="299"/>
      <c r="AJ111" s="2"/>
      <c r="AK111" s="2"/>
      <c r="AL111" s="2"/>
      <c r="AM111" s="2"/>
      <c r="AN111" s="2"/>
      <c r="AO111" s="2"/>
    </row>
    <row r="112" spans="1:65" hidden="1" outlineLevel="1">
      <c r="A112" s="746" t="s">
        <v>329</v>
      </c>
      <c r="B112" s="2"/>
      <c r="C112" s="2"/>
      <c r="D112" s="2"/>
      <c r="F112" s="380">
        <f>'MPS др метрики'!E115</f>
        <v>3.2333333333333334</v>
      </c>
      <c r="G112" s="434">
        <f t="shared" si="160"/>
        <v>3.2333333333333334</v>
      </c>
      <c r="H112" s="434">
        <f t="shared" si="160"/>
        <v>3.2333333333333334</v>
      </c>
      <c r="I112" s="434">
        <f t="shared" si="160"/>
        <v>3.2333333333333334</v>
      </c>
      <c r="J112" s="511"/>
      <c r="K112" s="518"/>
      <c r="L112" s="380">
        <f t="shared" si="161"/>
        <v>3.2333333333333334</v>
      </c>
      <c r="M112" s="397">
        <f t="shared" si="161"/>
        <v>3.2333333333333334</v>
      </c>
      <c r="N112" s="397">
        <f t="shared" si="161"/>
        <v>3.2333333333333334</v>
      </c>
      <c r="O112" s="398">
        <f t="shared" si="161"/>
        <v>3.2333333333333334</v>
      </c>
      <c r="R112" s="380">
        <f t="shared" si="162"/>
        <v>3.2333333333333334</v>
      </c>
      <c r="S112" s="397">
        <f t="shared" si="162"/>
        <v>3.2333333333333334</v>
      </c>
      <c r="T112" s="397">
        <f t="shared" si="162"/>
        <v>3.2333333333333334</v>
      </c>
      <c r="U112" s="398">
        <f t="shared" si="162"/>
        <v>3.2333333333333334</v>
      </c>
      <c r="W112" s="342"/>
      <c r="X112" s="380">
        <f t="shared" si="163"/>
        <v>3.2333333333333334</v>
      </c>
      <c r="Y112" s="397">
        <f t="shared" si="163"/>
        <v>3.2333333333333334</v>
      </c>
      <c r="Z112" s="397">
        <f t="shared" si="163"/>
        <v>3.2333333333333334</v>
      </c>
      <c r="AA112" s="398">
        <f t="shared" si="163"/>
        <v>3.2333333333333334</v>
      </c>
      <c r="AB112" s="154"/>
      <c r="AC112" s="615"/>
      <c r="AD112" s="380">
        <f t="shared" si="164"/>
        <v>3.2333333333333334</v>
      </c>
      <c r="AE112" s="397">
        <f t="shared" si="164"/>
        <v>3.2333333333333334</v>
      </c>
      <c r="AF112" s="397">
        <f t="shared" si="164"/>
        <v>3.2333333333333334</v>
      </c>
      <c r="AG112" s="398">
        <f t="shared" si="164"/>
        <v>3.2333333333333334</v>
      </c>
      <c r="AH112" s="684"/>
      <c r="AI112" s="299"/>
      <c r="AJ112" s="2"/>
      <c r="AK112" s="2"/>
      <c r="AL112" s="2"/>
      <c r="AM112" s="2"/>
      <c r="AN112" s="2"/>
      <c r="AO112" s="2"/>
    </row>
    <row r="113" spans="1:65" hidden="1" outlineLevel="1">
      <c r="A113" s="739"/>
      <c r="B113" s="2"/>
      <c r="C113" s="2"/>
      <c r="D113" s="2"/>
      <c r="F113" s="169"/>
      <c r="G113" s="169"/>
      <c r="H113" s="169"/>
      <c r="I113" s="169"/>
      <c r="J113" s="407"/>
      <c r="K113" s="518"/>
      <c r="L113" s="169"/>
      <c r="M113" s="169"/>
      <c r="N113" s="169"/>
      <c r="O113" s="169"/>
      <c r="R113" s="169"/>
      <c r="S113" s="169"/>
      <c r="T113" s="169"/>
      <c r="U113" s="169"/>
      <c r="W113" s="342"/>
      <c r="X113" s="154"/>
      <c r="Y113" s="154"/>
      <c r="Z113" s="154"/>
      <c r="AA113" s="154"/>
      <c r="AB113" s="154"/>
      <c r="AC113" s="615"/>
      <c r="AD113" s="154"/>
      <c r="AE113" s="154"/>
      <c r="AF113" s="154"/>
      <c r="AG113" s="154"/>
      <c r="AH113" s="684"/>
      <c r="AI113" s="299"/>
      <c r="AJ113" s="2"/>
      <c r="AK113" s="2"/>
      <c r="AL113" s="2"/>
      <c r="AM113" s="2"/>
      <c r="AN113" s="2"/>
      <c r="AO113" s="2"/>
    </row>
    <row r="114" spans="1:65" hidden="1" outlineLevel="1">
      <c r="A114" s="739"/>
      <c r="B114" s="2"/>
      <c r="C114" s="2"/>
      <c r="D114" s="2"/>
      <c r="F114" s="169"/>
      <c r="AJ114" s="2"/>
      <c r="AK114" s="2"/>
      <c r="AL114" s="2"/>
      <c r="AM114" s="2"/>
      <c r="AN114" s="2"/>
      <c r="AO114" s="2"/>
    </row>
    <row r="115" spans="1:65" s="418" customFormat="1" ht="20" hidden="1" outlineLevel="1">
      <c r="A115" s="744" t="s">
        <v>349</v>
      </c>
      <c r="B115" s="417"/>
      <c r="C115" s="417"/>
      <c r="D115" s="417"/>
      <c r="F115" s="419"/>
      <c r="G115" s="420"/>
      <c r="H115" s="420"/>
      <c r="I115" s="420"/>
      <c r="J115" s="500"/>
      <c r="K115" s="499"/>
      <c r="L115" s="421"/>
      <c r="M115" s="421"/>
      <c r="N115" s="421"/>
      <c r="O115" s="421"/>
      <c r="P115" s="531"/>
      <c r="Q115" s="530"/>
      <c r="R115" s="420"/>
      <c r="S115" s="420"/>
      <c r="T115" s="420"/>
      <c r="U115" s="420"/>
      <c r="V115" s="420"/>
      <c r="W115" s="559"/>
      <c r="X115" s="420"/>
      <c r="Y115" s="420"/>
      <c r="Z115" s="420"/>
      <c r="AA115" s="420"/>
      <c r="AB115" s="420"/>
      <c r="AC115" s="822"/>
      <c r="AD115" s="420"/>
      <c r="AE115" s="420"/>
      <c r="AF115" s="420"/>
      <c r="AG115" s="420"/>
      <c r="AH115" s="823"/>
      <c r="AI115" s="500"/>
      <c r="AJ115" s="417"/>
      <c r="AK115" s="417"/>
      <c r="AL115" s="417"/>
      <c r="AM115" s="417"/>
      <c r="AN115" s="417"/>
      <c r="AO115" s="417"/>
      <c r="AP115" s="421"/>
      <c r="AQ115" s="421"/>
      <c r="AR115" s="421"/>
      <c r="AS115" s="421"/>
      <c r="AT115" s="421"/>
      <c r="AU115" s="421"/>
      <c r="BB115" s="421"/>
      <c r="BC115" s="421"/>
      <c r="BD115" s="421"/>
      <c r="BE115" s="421"/>
      <c r="BF115" s="421"/>
      <c r="BG115" s="421"/>
      <c r="BH115" s="421"/>
      <c r="BI115" s="421"/>
      <c r="BJ115" s="421"/>
      <c r="BK115" s="421"/>
      <c r="BL115" s="421"/>
      <c r="BM115" s="421"/>
    </row>
    <row r="116" spans="1:65" ht="20" hidden="1" outlineLevel="1">
      <c r="A116" s="732" t="s">
        <v>350</v>
      </c>
      <c r="E116" s="729"/>
      <c r="F116" s="169">
        <v>60000</v>
      </c>
      <c r="G116" s="169">
        <f>F116</f>
        <v>60000</v>
      </c>
      <c r="H116" s="169">
        <f t="shared" ref="H116:I118" si="165">G116</f>
        <v>60000</v>
      </c>
      <c r="I116" s="169">
        <f t="shared" si="165"/>
        <v>60000</v>
      </c>
      <c r="J116" s="407"/>
      <c r="L116" s="169">
        <f t="shared" ref="L116:O117" si="166">F116</f>
        <v>60000</v>
      </c>
      <c r="M116" s="169">
        <f t="shared" si="166"/>
        <v>60000</v>
      </c>
      <c r="N116" s="169">
        <f t="shared" si="166"/>
        <v>60000</v>
      </c>
      <c r="O116" s="169">
        <f t="shared" si="166"/>
        <v>60000</v>
      </c>
      <c r="P116" s="407"/>
      <c r="Q116" s="552"/>
      <c r="R116" s="169">
        <f>L116</f>
        <v>60000</v>
      </c>
      <c r="S116" s="169">
        <f t="shared" ref="S116:U120" si="167">M116</f>
        <v>60000</v>
      </c>
      <c r="T116" s="169">
        <f t="shared" si="167"/>
        <v>60000</v>
      </c>
      <c r="U116" s="169">
        <f t="shared" si="167"/>
        <v>60000</v>
      </c>
      <c r="W116" s="552"/>
      <c r="X116" s="169">
        <f>R116</f>
        <v>60000</v>
      </c>
      <c r="Y116" s="169">
        <f t="shared" ref="Y116:AA117" si="168">S116</f>
        <v>60000</v>
      </c>
      <c r="Z116" s="169">
        <f t="shared" si="168"/>
        <v>60000</v>
      </c>
      <c r="AA116" s="169">
        <f t="shared" si="168"/>
        <v>60000</v>
      </c>
      <c r="AC116" s="835"/>
      <c r="AD116" s="169">
        <f>X116</f>
        <v>60000</v>
      </c>
      <c r="AE116" s="169">
        <f t="shared" ref="AE116:AG117" si="169">Y116</f>
        <v>60000</v>
      </c>
      <c r="AF116" s="169">
        <f t="shared" si="169"/>
        <v>60000</v>
      </c>
      <c r="AG116" s="169">
        <f t="shared" si="169"/>
        <v>60000</v>
      </c>
      <c r="AJ116" s="13"/>
      <c r="AK116" s="13"/>
      <c r="AL116" s="13"/>
      <c r="AM116" s="13"/>
      <c r="AN116" s="13"/>
      <c r="AO116" s="13"/>
    </row>
    <row r="117" spans="1:65" ht="20" hidden="1" outlineLevel="1">
      <c r="A117" s="732" t="s">
        <v>351</v>
      </c>
      <c r="E117" s="729"/>
      <c r="F117" s="169">
        <v>40000</v>
      </c>
      <c r="G117" s="169">
        <f>F117</f>
        <v>40000</v>
      </c>
      <c r="H117" s="169">
        <f t="shared" si="165"/>
        <v>40000</v>
      </c>
      <c r="I117" s="169">
        <f t="shared" si="165"/>
        <v>40000</v>
      </c>
      <c r="J117" s="407"/>
      <c r="L117" s="169">
        <f t="shared" si="166"/>
        <v>40000</v>
      </c>
      <c r="M117" s="169">
        <f t="shared" si="166"/>
        <v>40000</v>
      </c>
      <c r="N117" s="169">
        <f t="shared" si="166"/>
        <v>40000</v>
      </c>
      <c r="O117" s="169">
        <f t="shared" si="166"/>
        <v>40000</v>
      </c>
      <c r="P117" s="407"/>
      <c r="Q117" s="552"/>
      <c r="R117" s="169">
        <f>L117</f>
        <v>40000</v>
      </c>
      <c r="S117" s="169">
        <f t="shared" si="167"/>
        <v>40000</v>
      </c>
      <c r="T117" s="169">
        <f t="shared" si="167"/>
        <v>40000</v>
      </c>
      <c r="U117" s="169">
        <f t="shared" si="167"/>
        <v>40000</v>
      </c>
      <c r="W117" s="552"/>
      <c r="X117" s="169">
        <f>R117</f>
        <v>40000</v>
      </c>
      <c r="Y117" s="169">
        <f t="shared" si="168"/>
        <v>40000</v>
      </c>
      <c r="Z117" s="169">
        <f t="shared" si="168"/>
        <v>40000</v>
      </c>
      <c r="AA117" s="169">
        <f t="shared" si="168"/>
        <v>40000</v>
      </c>
      <c r="AC117" s="835"/>
      <c r="AD117" s="169">
        <f>X117</f>
        <v>40000</v>
      </c>
      <c r="AE117" s="169">
        <f t="shared" si="169"/>
        <v>40000</v>
      </c>
      <c r="AF117" s="169">
        <f t="shared" si="169"/>
        <v>40000</v>
      </c>
      <c r="AG117" s="169">
        <f t="shared" si="169"/>
        <v>40000</v>
      </c>
      <c r="AJ117" s="13"/>
      <c r="AK117" s="13"/>
      <c r="AL117" s="13"/>
      <c r="AM117" s="13"/>
      <c r="AN117" s="13"/>
      <c r="AO117" s="13"/>
    </row>
    <row r="118" spans="1:65" s="425" customFormat="1" ht="40" hidden="1" outlineLevel="1">
      <c r="A118" s="749" t="s">
        <v>352</v>
      </c>
      <c r="B118" s="43"/>
      <c r="C118" s="43"/>
      <c r="D118" s="43"/>
      <c r="E118" s="730"/>
      <c r="F118" s="354">
        <v>0</v>
      </c>
      <c r="G118" s="354">
        <f>F118</f>
        <v>0</v>
      </c>
      <c r="H118" s="354">
        <f>H117</f>
        <v>40000</v>
      </c>
      <c r="I118" s="354">
        <f t="shared" si="165"/>
        <v>40000</v>
      </c>
      <c r="J118" s="515"/>
      <c r="K118" s="517"/>
      <c r="L118" s="422">
        <f>L117+L119</f>
        <v>48000</v>
      </c>
      <c r="M118" s="422">
        <f t="shared" ref="M118:O118" si="170">M117+M119</f>
        <v>48000</v>
      </c>
      <c r="N118" s="422">
        <f t="shared" si="170"/>
        <v>48000</v>
      </c>
      <c r="O118" s="422">
        <f t="shared" si="170"/>
        <v>48000</v>
      </c>
      <c r="P118" s="515"/>
      <c r="Q118" s="540"/>
      <c r="R118" s="354">
        <f>L118</f>
        <v>48000</v>
      </c>
      <c r="S118" s="354">
        <f>R118</f>
        <v>48000</v>
      </c>
      <c r="T118" s="354">
        <f t="shared" ref="T118:U119" si="171">S118</f>
        <v>48000</v>
      </c>
      <c r="U118" s="354">
        <f t="shared" si="171"/>
        <v>48000</v>
      </c>
      <c r="V118" s="43"/>
      <c r="W118" s="540"/>
      <c r="X118" s="354">
        <f>R118</f>
        <v>48000</v>
      </c>
      <c r="Y118" s="354">
        <f>X118</f>
        <v>48000</v>
      </c>
      <c r="Z118" s="354">
        <f t="shared" ref="Z118:AA119" si="172">Y118</f>
        <v>48000</v>
      </c>
      <c r="AA118" s="354">
        <f t="shared" si="172"/>
        <v>48000</v>
      </c>
      <c r="AB118" s="43"/>
      <c r="AC118" s="836"/>
      <c r="AD118" s="354">
        <f>X118</f>
        <v>48000</v>
      </c>
      <c r="AE118" s="354">
        <f>AD118</f>
        <v>48000</v>
      </c>
      <c r="AF118" s="354">
        <f t="shared" ref="AF118:AG119" si="173">AE118</f>
        <v>48000</v>
      </c>
      <c r="AG118" s="354">
        <f t="shared" si="173"/>
        <v>48000</v>
      </c>
      <c r="AH118" s="828"/>
      <c r="AI118" s="503"/>
      <c r="AJ118" s="355"/>
      <c r="AK118" s="355"/>
      <c r="AL118" s="355"/>
      <c r="AM118" s="355"/>
      <c r="AN118" s="355"/>
      <c r="AO118" s="355"/>
      <c r="AP118" s="43"/>
      <c r="AQ118" s="43"/>
      <c r="AR118" s="43"/>
      <c r="AS118" s="43"/>
      <c r="AT118" s="43"/>
      <c r="AU118" s="43"/>
      <c r="BB118" s="43"/>
      <c r="BC118" s="43"/>
      <c r="BD118" s="43"/>
      <c r="BE118" s="43"/>
      <c r="BF118" s="43"/>
      <c r="BG118" s="43"/>
      <c r="BH118" s="43"/>
      <c r="BI118" s="43"/>
      <c r="BJ118" s="43"/>
      <c r="BK118" s="43"/>
      <c r="BL118" s="43"/>
      <c r="BM118" s="43"/>
    </row>
    <row r="119" spans="1:65" ht="40" hidden="1" outlineLevel="1">
      <c r="E119" s="729"/>
      <c r="F119" s="169"/>
      <c r="G119" s="169"/>
      <c r="H119" s="169"/>
      <c r="I119" s="169"/>
      <c r="J119" s="407"/>
      <c r="K119" s="536" t="s">
        <v>366</v>
      </c>
      <c r="L119" s="345">
        <f>L117*L120-L117</f>
        <v>8000</v>
      </c>
      <c r="M119" s="345">
        <f>L119</f>
        <v>8000</v>
      </c>
      <c r="N119" s="345">
        <f t="shared" ref="N119:O120" si="174">M119</f>
        <v>8000</v>
      </c>
      <c r="O119" s="345">
        <f t="shared" si="174"/>
        <v>8000</v>
      </c>
      <c r="P119" s="407"/>
      <c r="Q119" s="553" t="s">
        <v>353</v>
      </c>
      <c r="R119" s="345">
        <f>L119</f>
        <v>8000</v>
      </c>
      <c r="S119" s="345">
        <f>R119</f>
        <v>8000</v>
      </c>
      <c r="T119" s="345">
        <f t="shared" si="171"/>
        <v>8000</v>
      </c>
      <c r="U119" s="345">
        <f t="shared" si="171"/>
        <v>8000</v>
      </c>
      <c r="W119" s="553" t="s">
        <v>353</v>
      </c>
      <c r="X119" s="345">
        <f>R119</f>
        <v>8000</v>
      </c>
      <c r="Y119" s="345">
        <f>X119</f>
        <v>8000</v>
      </c>
      <c r="Z119" s="345">
        <f t="shared" si="172"/>
        <v>8000</v>
      </c>
      <c r="AA119" s="345">
        <f t="shared" si="172"/>
        <v>8000</v>
      </c>
      <c r="AC119" s="837" t="s">
        <v>353</v>
      </c>
      <c r="AD119" s="345">
        <f>X119</f>
        <v>8000</v>
      </c>
      <c r="AE119" s="345">
        <f>AD119</f>
        <v>8000</v>
      </c>
      <c r="AF119" s="345">
        <f t="shared" si="173"/>
        <v>8000</v>
      </c>
      <c r="AG119" s="345">
        <f t="shared" si="173"/>
        <v>8000</v>
      </c>
      <c r="AJ119" s="13"/>
      <c r="AK119" s="13"/>
      <c r="AL119" s="13"/>
      <c r="AM119" s="13"/>
      <c r="AN119" s="13"/>
      <c r="AO119" s="13"/>
    </row>
    <row r="120" spans="1:65" hidden="1" outlineLevel="1">
      <c r="F120" s="2"/>
      <c r="G120" s="2"/>
      <c r="H120" s="2"/>
      <c r="I120" s="2"/>
      <c r="K120" s="537"/>
      <c r="L120" s="490">
        <v>1.2</v>
      </c>
      <c r="M120" s="490">
        <f>L120</f>
        <v>1.2</v>
      </c>
      <c r="N120" s="490">
        <f t="shared" si="174"/>
        <v>1.2</v>
      </c>
      <c r="O120" s="490">
        <f t="shared" si="174"/>
        <v>1.2</v>
      </c>
      <c r="Q120" s="537"/>
      <c r="R120" s="490">
        <f>L120</f>
        <v>1.2</v>
      </c>
      <c r="S120" s="490">
        <f t="shared" si="167"/>
        <v>1.2</v>
      </c>
      <c r="T120" s="490">
        <f t="shared" si="167"/>
        <v>1.2</v>
      </c>
      <c r="U120" s="449">
        <f t="shared" si="167"/>
        <v>1.2</v>
      </c>
      <c r="W120" s="537"/>
      <c r="X120" s="490">
        <f>R120</f>
        <v>1.2</v>
      </c>
      <c r="Y120" s="490">
        <f t="shared" ref="Y120:AA120" si="175">S120</f>
        <v>1.2</v>
      </c>
      <c r="Z120" s="490">
        <f t="shared" si="175"/>
        <v>1.2</v>
      </c>
      <c r="AA120" s="449">
        <f t="shared" si="175"/>
        <v>1.2</v>
      </c>
      <c r="AC120" s="838"/>
      <c r="AD120" s="490">
        <f>X120</f>
        <v>1.2</v>
      </c>
      <c r="AE120" s="490">
        <f t="shared" ref="AE120:AG120" si="176">Y120</f>
        <v>1.2</v>
      </c>
      <c r="AF120" s="490">
        <f t="shared" si="176"/>
        <v>1.2</v>
      </c>
      <c r="AG120" s="449">
        <f t="shared" si="176"/>
        <v>1.2</v>
      </c>
    </row>
    <row r="121" spans="1:65" hidden="1" outlineLevel="1">
      <c r="F121" s="2"/>
      <c r="L121" s="344" t="s">
        <v>365</v>
      </c>
      <c r="Q121" s="537"/>
      <c r="R121" s="451" t="s">
        <v>354</v>
      </c>
      <c r="S121" s="450"/>
      <c r="T121" s="450"/>
      <c r="U121" s="450"/>
      <c r="W121" s="537"/>
      <c r="X121" s="451" t="s">
        <v>354</v>
      </c>
      <c r="Y121" s="450"/>
      <c r="Z121" s="450"/>
      <c r="AA121" s="450"/>
      <c r="AC121" s="838"/>
      <c r="AD121" s="451" t="s">
        <v>354</v>
      </c>
      <c r="AE121" s="450"/>
      <c r="AF121" s="450"/>
      <c r="AG121" s="450"/>
    </row>
    <row r="122" spans="1:65" hidden="1" outlineLevel="1">
      <c r="F122" s="2"/>
      <c r="L122" s="423"/>
      <c r="O122" s="139"/>
    </row>
    <row r="123" spans="1:65" s="418" customFormat="1" ht="20" hidden="1" outlineLevel="1">
      <c r="A123" s="744" t="s">
        <v>335</v>
      </c>
      <c r="B123" s="417"/>
      <c r="C123" s="417"/>
      <c r="D123" s="417"/>
      <c r="F123" s="419"/>
      <c r="G123" s="420"/>
      <c r="H123" s="420"/>
      <c r="I123" s="420"/>
      <c r="J123" s="500"/>
      <c r="K123" s="530"/>
      <c r="L123" s="421"/>
      <c r="M123" s="421"/>
      <c r="N123" s="421"/>
      <c r="O123" s="421"/>
      <c r="P123" s="531"/>
      <c r="Q123" s="530"/>
      <c r="R123" s="465"/>
      <c r="S123" s="420"/>
      <c r="T123" s="420"/>
      <c r="U123" s="420"/>
      <c r="V123" s="420"/>
      <c r="W123" s="559"/>
      <c r="X123" s="420"/>
      <c r="Y123" s="420"/>
      <c r="Z123" s="420"/>
      <c r="AA123" s="420"/>
      <c r="AB123" s="420"/>
      <c r="AC123" s="822"/>
      <c r="AD123" s="420"/>
      <c r="AE123" s="420"/>
      <c r="AF123" s="420"/>
      <c r="AG123" s="420"/>
      <c r="AH123" s="823"/>
      <c r="AI123" s="500"/>
      <c r="AJ123" s="417"/>
      <c r="AK123" s="417"/>
      <c r="AL123" s="417"/>
      <c r="AM123" s="417"/>
      <c r="AN123" s="417"/>
      <c r="AO123" s="417"/>
      <c r="AP123" s="421"/>
      <c r="AQ123" s="421"/>
      <c r="AR123" s="421"/>
      <c r="AS123" s="421"/>
      <c r="AT123" s="421"/>
      <c r="AU123" s="421"/>
      <c r="BB123" s="421"/>
      <c r="BC123" s="421"/>
      <c r="BD123" s="421"/>
      <c r="BE123" s="421"/>
      <c r="BF123" s="421"/>
      <c r="BG123" s="421"/>
      <c r="BH123" s="421"/>
      <c r="BI123" s="421"/>
      <c r="BJ123" s="421"/>
      <c r="BK123" s="421"/>
      <c r="BL123" s="421"/>
      <c r="BM123" s="421"/>
    </row>
    <row r="124" spans="1:65" s="446" customFormat="1" ht="20" hidden="1" outlineLevel="1">
      <c r="A124" s="753" t="s">
        <v>358</v>
      </c>
      <c r="B124" s="383"/>
      <c r="C124" s="383"/>
      <c r="D124" s="383"/>
      <c r="F124" s="814"/>
      <c r="G124" s="814"/>
      <c r="H124" s="814"/>
      <c r="I124" s="814"/>
      <c r="J124" s="523"/>
      <c r="K124" s="546"/>
      <c r="L124" s="815">
        <f>F124</f>
        <v>0</v>
      </c>
      <c r="M124" s="815">
        <f>L124</f>
        <v>0</v>
      </c>
      <c r="N124" s="815">
        <f t="shared" ref="N124:O124" si="177">M124</f>
        <v>0</v>
      </c>
      <c r="O124" s="815">
        <f t="shared" si="177"/>
        <v>0</v>
      </c>
      <c r="P124" s="547"/>
      <c r="Q124" s="556"/>
      <c r="R124" s="816">
        <f>R125+R126</f>
        <v>1915.9587378640774</v>
      </c>
      <c r="S124" s="816">
        <f>S125+S126</f>
        <v>1915.9587378640774</v>
      </c>
      <c r="T124" s="816">
        <f>T125+T126</f>
        <v>1915.9587378640774</v>
      </c>
      <c r="U124" s="816">
        <f>U125+U126</f>
        <v>1915.9587378640774</v>
      </c>
      <c r="V124" s="815"/>
      <c r="W124" s="565"/>
      <c r="X124" s="816"/>
      <c r="Y124" s="816"/>
      <c r="Z124" s="816"/>
      <c r="AA124" s="816"/>
      <c r="AB124" s="815"/>
      <c r="AC124" s="839"/>
      <c r="AD124" s="815"/>
      <c r="AE124" s="815"/>
      <c r="AF124" s="815"/>
      <c r="AG124" s="815"/>
      <c r="AH124" s="840"/>
      <c r="AI124" s="523"/>
      <c r="AJ124" s="383"/>
      <c r="AK124" s="383"/>
      <c r="AL124" s="383"/>
      <c r="AM124" s="383"/>
      <c r="AN124" s="383"/>
      <c r="AO124" s="383"/>
      <c r="AP124" s="385"/>
      <c r="AQ124" s="385"/>
      <c r="AR124" s="385"/>
      <c r="AS124" s="385"/>
      <c r="AT124" s="385"/>
      <c r="AU124" s="385"/>
      <c r="BB124" s="445" t="s">
        <v>141</v>
      </c>
      <c r="BC124" s="385"/>
      <c r="BD124" s="385"/>
      <c r="BE124" s="385"/>
      <c r="BF124" s="385"/>
      <c r="BG124" s="385"/>
      <c r="BH124" s="385" t="s">
        <v>33</v>
      </c>
      <c r="BI124" s="385"/>
      <c r="BJ124" s="385"/>
      <c r="BK124" s="385"/>
      <c r="BL124" s="385"/>
      <c r="BM124" s="385"/>
    </row>
    <row r="125" spans="1:65" ht="20" hidden="1" outlineLevel="1">
      <c r="A125" s="787" t="s">
        <v>479</v>
      </c>
      <c r="B125" s="935"/>
      <c r="C125" s="935"/>
      <c r="D125" s="935"/>
      <c r="E125" s="423"/>
      <c r="F125" s="169">
        <f>F141</f>
        <v>13400</v>
      </c>
      <c r="G125" s="169">
        <f>F125</f>
        <v>13400</v>
      </c>
      <c r="H125" s="169">
        <f t="shared" ref="H125:I125" si="178">G125</f>
        <v>13400</v>
      </c>
      <c r="I125" s="169">
        <f t="shared" si="178"/>
        <v>13400</v>
      </c>
      <c r="J125" s="297"/>
      <c r="K125" s="552"/>
      <c r="L125" s="169">
        <f>F125</f>
        <v>13400</v>
      </c>
      <c r="M125" s="169">
        <f t="shared" ref="M125:O125" si="179">G125</f>
        <v>13400</v>
      </c>
      <c r="N125" s="169">
        <f t="shared" si="179"/>
        <v>13400</v>
      </c>
      <c r="O125" s="169">
        <f t="shared" si="179"/>
        <v>13400</v>
      </c>
      <c r="R125" s="169">
        <v>0</v>
      </c>
      <c r="S125" s="169">
        <v>0</v>
      </c>
      <c r="T125" s="169">
        <v>0</v>
      </c>
      <c r="U125" s="169">
        <v>0</v>
      </c>
      <c r="V125" s="169">
        <v>0</v>
      </c>
      <c r="W125" s="161"/>
      <c r="X125" s="169">
        <f>R125</f>
        <v>0</v>
      </c>
      <c r="Y125" s="169">
        <f t="shared" ref="Y125:AA125" si="180">S125</f>
        <v>0</v>
      </c>
      <c r="Z125" s="169">
        <f t="shared" si="180"/>
        <v>0</v>
      </c>
      <c r="AA125" s="169">
        <f t="shared" si="180"/>
        <v>0</v>
      </c>
      <c r="AB125" s="169"/>
      <c r="AC125" s="826"/>
      <c r="AD125" s="169">
        <f>L125</f>
        <v>13400</v>
      </c>
      <c r="AE125" s="169">
        <f t="shared" ref="AE125:AG125" si="181">M125</f>
        <v>13400</v>
      </c>
      <c r="AF125" s="169">
        <f t="shared" si="181"/>
        <v>13400</v>
      </c>
      <c r="AG125" s="169">
        <f t="shared" si="181"/>
        <v>13400</v>
      </c>
      <c r="AH125" s="614"/>
      <c r="AI125" s="297"/>
      <c r="AJ125" s="13"/>
      <c r="AK125" s="13"/>
      <c r="AL125" s="13"/>
      <c r="AM125" s="13"/>
      <c r="AN125" s="13"/>
      <c r="AO125" s="13"/>
      <c r="BB125" s="788"/>
    </row>
    <row r="126" spans="1:65" ht="20" hidden="1" outlineLevel="1">
      <c r="A126" s="756" t="s">
        <v>505</v>
      </c>
      <c r="B126" s="359"/>
      <c r="C126" s="359"/>
      <c r="D126" s="359"/>
      <c r="E126" s="423"/>
      <c r="F126" s="427">
        <f>J126</f>
        <v>466.30710627605566</v>
      </c>
      <c r="G126" s="427">
        <f>J126</f>
        <v>466.30710627605566</v>
      </c>
      <c r="H126" s="427">
        <f>J126</f>
        <v>466.30710627605566</v>
      </c>
      <c r="I126" s="427">
        <f>J126</f>
        <v>466.30710627605566</v>
      </c>
      <c r="J126" s="427">
        <f>3000000/J20</f>
        <v>466.30710627605566</v>
      </c>
      <c r="L126" s="427">
        <f>P126</f>
        <v>315.99859852822055</v>
      </c>
      <c r="M126" s="427">
        <f>P126</f>
        <v>315.99859852822055</v>
      </c>
      <c r="N126" s="427">
        <f>P126</f>
        <v>315.99859852822055</v>
      </c>
      <c r="O126" s="427">
        <f>P126</f>
        <v>315.99859852822055</v>
      </c>
      <c r="P126" s="427">
        <f>3000000/P20</f>
        <v>315.99859852822055</v>
      </c>
      <c r="R126" s="427">
        <f>V126</f>
        <v>1915.9587378640774</v>
      </c>
      <c r="S126" s="427">
        <f>V126</f>
        <v>1915.9587378640774</v>
      </c>
      <c r="T126" s="427">
        <f>V126</f>
        <v>1915.9587378640774</v>
      </c>
      <c r="U126" s="427">
        <f>V126</f>
        <v>1915.9587378640774</v>
      </c>
      <c r="V126" s="427">
        <f>3000000/V20</f>
        <v>1915.9587378640774</v>
      </c>
      <c r="W126" s="518"/>
      <c r="X126" s="427">
        <f>AB126</f>
        <v>1151.9323383308001</v>
      </c>
      <c r="Y126" s="427">
        <f>AB126</f>
        <v>1151.9323383308001</v>
      </c>
      <c r="Z126" s="427">
        <f>AB126</f>
        <v>1151.9323383308001</v>
      </c>
      <c r="AA126" s="427">
        <f>AB126</f>
        <v>1151.9323383308001</v>
      </c>
      <c r="AB126" s="427">
        <f>3000000*AB127/AB20</f>
        <v>1151.9323383308001</v>
      </c>
      <c r="AC126" s="841"/>
      <c r="AD126" s="427">
        <f>AH126</f>
        <v>1151.9323383308001</v>
      </c>
      <c r="AE126" s="427">
        <f>AH126</f>
        <v>1151.9323383308001</v>
      </c>
      <c r="AF126" s="427">
        <f>AH126</f>
        <v>1151.9323383308001</v>
      </c>
      <c r="AG126" s="427">
        <f>AH126</f>
        <v>1151.9323383308001</v>
      </c>
      <c r="AH126" s="487">
        <f>3000000*AH127/AH20</f>
        <v>1151.9323383308001</v>
      </c>
      <c r="AI126" s="504"/>
      <c r="AJ126" s="423"/>
      <c r="AK126" s="423"/>
      <c r="AL126" s="423"/>
      <c r="AM126" s="423"/>
      <c r="AN126" s="423"/>
      <c r="AO126" s="423"/>
      <c r="AP126" s="423"/>
      <c r="AQ126" s="423"/>
      <c r="AR126" s="423"/>
      <c r="AS126" s="423"/>
      <c r="AT126" s="423"/>
      <c r="AU126" s="423"/>
      <c r="BB126" s="423"/>
    </row>
    <row r="127" spans="1:65" ht="40" hidden="1" outlineLevel="1">
      <c r="A127" s="741" t="s">
        <v>504</v>
      </c>
      <c r="B127" s="13"/>
      <c r="C127" s="13"/>
      <c r="D127" s="13"/>
      <c r="E127" s="425">
        <v>4</v>
      </c>
      <c r="F127" s="169">
        <f>F150*E127</f>
        <v>84.8</v>
      </c>
      <c r="G127" s="169">
        <f>F127</f>
        <v>84.8</v>
      </c>
      <c r="H127" s="169">
        <f>G127</f>
        <v>84.8</v>
      </c>
      <c r="I127" s="169">
        <f>H127</f>
        <v>84.8</v>
      </c>
      <c r="J127" s="407"/>
      <c r="L127" s="169">
        <f>F127</f>
        <v>84.8</v>
      </c>
      <c r="M127" s="813">
        <f>L127</f>
        <v>84.8</v>
      </c>
      <c r="N127" s="813">
        <f t="shared" ref="N127:O127" si="182">M127</f>
        <v>84.8</v>
      </c>
      <c r="O127" s="813">
        <f t="shared" si="182"/>
        <v>84.8</v>
      </c>
      <c r="R127" s="169">
        <f>L127</f>
        <v>84.8</v>
      </c>
      <c r="S127" s="813">
        <f>R127</f>
        <v>84.8</v>
      </c>
      <c r="T127" s="813">
        <f t="shared" ref="T127:U127" si="183">S127</f>
        <v>84.8</v>
      </c>
      <c r="U127" s="813">
        <f t="shared" si="183"/>
        <v>84.8</v>
      </c>
      <c r="W127" s="518"/>
      <c r="X127" s="169">
        <f>R127</f>
        <v>84.8</v>
      </c>
      <c r="Y127" s="813">
        <f>X127</f>
        <v>84.8</v>
      </c>
      <c r="Z127" s="813">
        <f t="shared" ref="Z127:AA127" si="184">Y127</f>
        <v>84.8</v>
      </c>
      <c r="AA127" s="813">
        <f t="shared" si="184"/>
        <v>84.8</v>
      </c>
      <c r="AB127" s="817">
        <f>AB20/AI20</f>
        <v>0.52247160366731116</v>
      </c>
      <c r="AC127" s="841"/>
      <c r="AD127" s="169">
        <f>X127</f>
        <v>84.8</v>
      </c>
      <c r="AE127" s="813">
        <f>AD127</f>
        <v>84.8</v>
      </c>
      <c r="AF127" s="813">
        <f t="shared" ref="AF127:AG127" si="185">AE127</f>
        <v>84.8</v>
      </c>
      <c r="AG127" s="813">
        <f t="shared" si="185"/>
        <v>84.8</v>
      </c>
      <c r="AH127" s="842">
        <f>100%-AB127</f>
        <v>0.47752839633268884</v>
      </c>
      <c r="AI127" s="504"/>
      <c r="AJ127" s="423"/>
      <c r="AK127" s="423"/>
      <c r="AL127" s="423"/>
      <c r="AM127" s="423"/>
      <c r="AN127" s="423"/>
      <c r="AO127" s="423"/>
      <c r="AP127" s="423"/>
      <c r="AQ127" s="423"/>
      <c r="AR127" s="423"/>
      <c r="AS127" s="423"/>
      <c r="AT127" s="423"/>
      <c r="AU127" s="423"/>
      <c r="BB127" s="423"/>
    </row>
    <row r="128" spans="1:65" s="440" customFormat="1" hidden="1" outlineLevel="1">
      <c r="A128" s="751"/>
      <c r="B128" s="439"/>
      <c r="C128" s="439"/>
      <c r="D128" s="439"/>
      <c r="F128" s="441"/>
      <c r="G128" s="442"/>
      <c r="H128" s="442"/>
      <c r="I128" s="442"/>
      <c r="J128" s="520"/>
      <c r="K128" s="542"/>
      <c r="L128" s="443"/>
      <c r="M128" s="443"/>
      <c r="N128" s="443"/>
      <c r="O128" s="443"/>
      <c r="P128" s="543"/>
      <c r="Q128" s="542"/>
      <c r="R128" s="442"/>
      <c r="S128" s="442"/>
      <c r="T128" s="442"/>
      <c r="U128" s="442"/>
      <c r="V128" s="442"/>
      <c r="W128" s="563"/>
      <c r="X128" s="442"/>
      <c r="Y128" s="442"/>
      <c r="Z128" s="442"/>
      <c r="AA128" s="442"/>
      <c r="AB128" s="442"/>
      <c r="AC128" s="843"/>
      <c r="AD128" s="442"/>
      <c r="AE128" s="442"/>
      <c r="AF128" s="442"/>
      <c r="AG128" s="442"/>
      <c r="AH128" s="844"/>
      <c r="AI128" s="520"/>
      <c r="AJ128" s="439"/>
      <c r="AK128" s="439"/>
      <c r="AL128" s="439"/>
      <c r="AM128" s="439"/>
      <c r="AN128" s="439"/>
      <c r="AO128" s="439"/>
      <c r="AP128" s="443"/>
      <c r="AQ128" s="443"/>
      <c r="AR128" s="443"/>
      <c r="AS128" s="443"/>
      <c r="AT128" s="443"/>
      <c r="AU128" s="443"/>
      <c r="BB128" s="443"/>
      <c r="BC128" s="443"/>
      <c r="BD128" s="443"/>
      <c r="BE128" s="443"/>
      <c r="BF128" s="443"/>
      <c r="BG128" s="443"/>
      <c r="BH128" s="443"/>
      <c r="BI128" s="443"/>
      <c r="BJ128" s="443"/>
      <c r="BK128" s="443"/>
      <c r="BL128" s="443"/>
      <c r="BM128" s="443"/>
    </row>
    <row r="129" spans="1:65" s="775" customFormat="1" ht="20" hidden="1" outlineLevel="1">
      <c r="A129" s="743" t="s">
        <v>361</v>
      </c>
      <c r="B129" s="355"/>
      <c r="C129" s="355"/>
      <c r="D129" s="355"/>
      <c r="F129" s="354">
        <f>F130</f>
        <v>212</v>
      </c>
      <c r="G129" s="354">
        <f>F129</f>
        <v>212</v>
      </c>
      <c r="H129" s="354">
        <f t="shared" ref="H129:I133" si="186">G129</f>
        <v>212</v>
      </c>
      <c r="I129" s="354">
        <f t="shared" si="186"/>
        <v>212</v>
      </c>
      <c r="J129" s="776"/>
      <c r="K129" s="43"/>
      <c r="L129" s="777">
        <f>F129</f>
        <v>212</v>
      </c>
      <c r="M129" s="777">
        <f>G129</f>
        <v>212</v>
      </c>
      <c r="N129" s="777">
        <f t="shared" ref="N129:O129" si="187">H129</f>
        <v>212</v>
      </c>
      <c r="O129" s="777">
        <f t="shared" si="187"/>
        <v>212</v>
      </c>
      <c r="P129" s="778"/>
      <c r="Q129" s="779"/>
      <c r="R129" s="777">
        <f>L129</f>
        <v>212</v>
      </c>
      <c r="S129" s="777">
        <f t="shared" ref="S129:U129" si="188">M129</f>
        <v>212</v>
      </c>
      <c r="T129" s="777">
        <f t="shared" si="188"/>
        <v>212</v>
      </c>
      <c r="U129" s="777">
        <f t="shared" si="188"/>
        <v>212</v>
      </c>
      <c r="V129" s="780"/>
      <c r="W129" s="781"/>
      <c r="X129" s="777">
        <f>R129</f>
        <v>212</v>
      </c>
      <c r="Y129" s="777">
        <f t="shared" ref="Y129:AA130" si="189">S129</f>
        <v>212</v>
      </c>
      <c r="Z129" s="777">
        <f t="shared" si="189"/>
        <v>212</v>
      </c>
      <c r="AA129" s="777">
        <f t="shared" si="189"/>
        <v>212</v>
      </c>
      <c r="AB129" s="780"/>
      <c r="AC129" s="845"/>
      <c r="AD129" s="354">
        <f>L129</f>
        <v>212</v>
      </c>
      <c r="AE129" s="354">
        <f>M129</f>
        <v>212</v>
      </c>
      <c r="AF129" s="354">
        <f>N129</f>
        <v>212</v>
      </c>
      <c r="AG129" s="354">
        <f>O129</f>
        <v>212</v>
      </c>
      <c r="AH129" s="846"/>
      <c r="AI129" s="776"/>
      <c r="AJ129" s="782"/>
      <c r="AK129" s="782"/>
      <c r="AL129" s="782"/>
      <c r="AM129" s="782"/>
      <c r="AN129" s="782"/>
      <c r="AO129" s="782"/>
      <c r="AP129" s="783"/>
      <c r="AQ129" s="783"/>
      <c r="AR129" s="783"/>
      <c r="AS129" s="783"/>
      <c r="AT129" s="783"/>
      <c r="AU129" s="783"/>
      <c r="BB129" s="783"/>
      <c r="BC129" s="783"/>
      <c r="BD129" s="783"/>
      <c r="BE129" s="783"/>
      <c r="BF129" s="783"/>
      <c r="BG129" s="783"/>
      <c r="BH129" s="783"/>
      <c r="BI129" s="783"/>
      <c r="BJ129" s="783"/>
      <c r="BK129" s="783"/>
      <c r="BL129" s="783"/>
      <c r="BM129" s="783"/>
    </row>
    <row r="130" spans="1:65" s="440" customFormat="1" ht="20" hidden="1" outlineLevel="1">
      <c r="A130" s="741" t="s">
        <v>502</v>
      </c>
      <c r="B130" s="13"/>
      <c r="C130" s="13"/>
      <c r="D130" s="13"/>
      <c r="F130" s="169">
        <f>F151</f>
        <v>212</v>
      </c>
      <c r="G130" s="169">
        <f>F130</f>
        <v>212</v>
      </c>
      <c r="H130" s="169">
        <f t="shared" si="186"/>
        <v>212</v>
      </c>
      <c r="I130" s="169">
        <f t="shared" si="186"/>
        <v>212</v>
      </c>
      <c r="J130" s="520"/>
      <c r="K130" s="542"/>
      <c r="L130" s="169">
        <f>L151</f>
        <v>212</v>
      </c>
      <c r="M130" s="169">
        <f>M151</f>
        <v>212</v>
      </c>
      <c r="N130" s="169">
        <f>N151</f>
        <v>212</v>
      </c>
      <c r="O130" s="169">
        <f>O151</f>
        <v>212</v>
      </c>
      <c r="P130" s="543"/>
      <c r="Q130" s="542"/>
      <c r="R130" s="169">
        <f>R151</f>
        <v>212</v>
      </c>
      <c r="S130" s="169">
        <f>S151</f>
        <v>212</v>
      </c>
      <c r="T130" s="169">
        <f>T151</f>
        <v>212</v>
      </c>
      <c r="U130" s="169">
        <f>U151</f>
        <v>212</v>
      </c>
      <c r="V130" s="442"/>
      <c r="W130" s="563"/>
      <c r="X130" s="169">
        <f>R130</f>
        <v>212</v>
      </c>
      <c r="Y130" s="169">
        <f t="shared" si="189"/>
        <v>212</v>
      </c>
      <c r="Z130" s="169">
        <f t="shared" si="189"/>
        <v>212</v>
      </c>
      <c r="AA130" s="169">
        <f t="shared" si="189"/>
        <v>212</v>
      </c>
      <c r="AB130" s="442"/>
      <c r="AC130" s="843"/>
      <c r="AD130" s="169">
        <f>X130</f>
        <v>212</v>
      </c>
      <c r="AE130" s="169">
        <f t="shared" ref="AE130:AG130" si="190">Y130</f>
        <v>212</v>
      </c>
      <c r="AF130" s="169">
        <f t="shared" si="190"/>
        <v>212</v>
      </c>
      <c r="AG130" s="169">
        <f t="shared" si="190"/>
        <v>212</v>
      </c>
      <c r="AH130" s="844"/>
      <c r="AI130" s="520"/>
      <c r="AJ130" s="439"/>
      <c r="AK130" s="439"/>
      <c r="AL130" s="439"/>
      <c r="AM130" s="439"/>
      <c r="AN130" s="439"/>
      <c r="AO130" s="439"/>
      <c r="AP130" s="443"/>
      <c r="AQ130" s="443"/>
      <c r="AR130" s="443"/>
      <c r="AS130" s="443"/>
      <c r="AT130" s="443"/>
      <c r="AU130" s="443"/>
      <c r="BB130" s="443"/>
      <c r="BC130" s="443"/>
      <c r="BD130" s="443"/>
      <c r="BE130" s="443"/>
      <c r="BF130" s="443"/>
      <c r="BG130" s="443"/>
      <c r="BH130" s="443"/>
      <c r="BI130" s="443"/>
      <c r="BJ130" s="443"/>
      <c r="BK130" s="443"/>
      <c r="BL130" s="443"/>
      <c r="BM130" s="443"/>
    </row>
    <row r="131" spans="1:65" s="440" customFormat="1" ht="20" hidden="1" outlineLevel="1">
      <c r="A131" s="741" t="s">
        <v>503</v>
      </c>
      <c r="B131" s="13"/>
      <c r="C131" s="13"/>
      <c r="D131" s="13"/>
      <c r="F131" s="255">
        <f>2.7*10</f>
        <v>27</v>
      </c>
      <c r="G131" s="255">
        <f>F131</f>
        <v>27</v>
      </c>
      <c r="H131" s="255">
        <f t="shared" si="186"/>
        <v>27</v>
      </c>
      <c r="I131" s="255">
        <f t="shared" si="186"/>
        <v>27</v>
      </c>
      <c r="J131" s="520"/>
      <c r="K131" s="542"/>
      <c r="L131" s="255">
        <f>2.7*10</f>
        <v>27</v>
      </c>
      <c r="M131" s="255">
        <f>L131</f>
        <v>27</v>
      </c>
      <c r="N131" s="255">
        <f t="shared" ref="N131:O132" si="191">M131</f>
        <v>27</v>
      </c>
      <c r="O131" s="255">
        <f t="shared" si="191"/>
        <v>27</v>
      </c>
      <c r="P131" s="543"/>
      <c r="Q131" s="542"/>
      <c r="R131" s="255">
        <f>2.7*10</f>
        <v>27</v>
      </c>
      <c r="S131" s="255">
        <f>R131</f>
        <v>27</v>
      </c>
      <c r="T131" s="255">
        <f t="shared" ref="T131:U132" si="192">S131</f>
        <v>27</v>
      </c>
      <c r="U131" s="255">
        <f t="shared" si="192"/>
        <v>27</v>
      </c>
      <c r="V131" s="442"/>
      <c r="W131" s="563"/>
      <c r="X131" s="255">
        <f>2.7*10</f>
        <v>27</v>
      </c>
      <c r="Y131" s="255">
        <f>X131</f>
        <v>27</v>
      </c>
      <c r="Z131" s="255">
        <f t="shared" ref="Z131:AA132" si="193">Y131</f>
        <v>27</v>
      </c>
      <c r="AA131" s="255">
        <f t="shared" si="193"/>
        <v>27</v>
      </c>
      <c r="AB131" s="442"/>
      <c r="AC131" s="843"/>
      <c r="AD131" s="255">
        <f>2.7*10</f>
        <v>27</v>
      </c>
      <c r="AE131" s="255">
        <f>AD131</f>
        <v>27</v>
      </c>
      <c r="AF131" s="255">
        <f t="shared" ref="AF131:AG132" si="194">AE131</f>
        <v>27</v>
      </c>
      <c r="AG131" s="255">
        <f t="shared" si="194"/>
        <v>27</v>
      </c>
      <c r="AH131" s="844"/>
      <c r="AI131" s="520"/>
      <c r="AJ131" s="439"/>
      <c r="AK131" s="439"/>
      <c r="AL131" s="439"/>
      <c r="AM131" s="439"/>
      <c r="AN131" s="439"/>
      <c r="AO131" s="439"/>
      <c r="AP131" s="443"/>
      <c r="AQ131" s="443"/>
      <c r="AR131" s="443"/>
      <c r="AS131" s="443"/>
      <c r="AT131" s="443"/>
      <c r="AU131" s="443"/>
      <c r="BB131" s="443"/>
      <c r="BC131" s="443"/>
      <c r="BD131" s="443"/>
      <c r="BE131" s="443"/>
      <c r="BF131" s="443"/>
      <c r="BG131" s="443"/>
      <c r="BH131" s="443"/>
      <c r="BI131" s="443"/>
      <c r="BJ131" s="443"/>
      <c r="BK131" s="443"/>
      <c r="BL131" s="443"/>
      <c r="BM131" s="443"/>
    </row>
    <row r="132" spans="1:65" s="440" customFormat="1" ht="40" hidden="1" outlineLevel="1">
      <c r="A132" s="741" t="s">
        <v>509</v>
      </c>
      <c r="B132" s="13"/>
      <c r="C132" s="13"/>
      <c r="D132" s="13"/>
      <c r="F132" s="169">
        <f>2.7*2</f>
        <v>5.4</v>
      </c>
      <c r="G132" s="169">
        <f>F132</f>
        <v>5.4</v>
      </c>
      <c r="H132" s="169">
        <f t="shared" si="186"/>
        <v>5.4</v>
      </c>
      <c r="I132" s="169">
        <f t="shared" si="186"/>
        <v>5.4</v>
      </c>
      <c r="J132" s="520"/>
      <c r="K132" s="542"/>
      <c r="L132" s="169">
        <f>2.7*2</f>
        <v>5.4</v>
      </c>
      <c r="M132" s="169">
        <f>L132</f>
        <v>5.4</v>
      </c>
      <c r="N132" s="169">
        <f t="shared" si="191"/>
        <v>5.4</v>
      </c>
      <c r="O132" s="169">
        <f t="shared" si="191"/>
        <v>5.4</v>
      </c>
      <c r="P132" s="543"/>
      <c r="Q132" s="542"/>
      <c r="R132" s="169">
        <f>2.7*2</f>
        <v>5.4</v>
      </c>
      <c r="S132" s="169">
        <f>R132</f>
        <v>5.4</v>
      </c>
      <c r="T132" s="169">
        <f t="shared" si="192"/>
        <v>5.4</v>
      </c>
      <c r="U132" s="169">
        <f t="shared" si="192"/>
        <v>5.4</v>
      </c>
      <c r="V132" s="442"/>
      <c r="W132" s="563"/>
      <c r="X132" s="169">
        <f>2.7*2</f>
        <v>5.4</v>
      </c>
      <c r="Y132" s="169">
        <f>X132</f>
        <v>5.4</v>
      </c>
      <c r="Z132" s="169">
        <f t="shared" si="193"/>
        <v>5.4</v>
      </c>
      <c r="AA132" s="169">
        <f t="shared" si="193"/>
        <v>5.4</v>
      </c>
      <c r="AB132" s="442"/>
      <c r="AC132" s="843"/>
      <c r="AD132" s="169">
        <f>2.7*2</f>
        <v>5.4</v>
      </c>
      <c r="AE132" s="169">
        <f>AD132</f>
        <v>5.4</v>
      </c>
      <c r="AF132" s="169">
        <f t="shared" si="194"/>
        <v>5.4</v>
      </c>
      <c r="AG132" s="169">
        <f t="shared" si="194"/>
        <v>5.4</v>
      </c>
      <c r="AH132" s="844"/>
      <c r="AI132" s="520"/>
      <c r="AJ132" s="439"/>
      <c r="AK132" s="439"/>
      <c r="AL132" s="439"/>
      <c r="AM132" s="439"/>
      <c r="AN132" s="439"/>
      <c r="AO132" s="439"/>
      <c r="AP132" s="443"/>
      <c r="AQ132" s="443"/>
      <c r="AR132" s="443"/>
      <c r="AS132" s="443"/>
      <c r="AT132" s="443"/>
      <c r="AU132" s="443"/>
      <c r="BB132" s="443"/>
      <c r="BC132" s="443"/>
      <c r="BD132" s="443"/>
      <c r="BE132" s="443"/>
      <c r="BF132" s="443"/>
      <c r="BG132" s="443"/>
      <c r="BH132" s="443"/>
      <c r="BI132" s="443"/>
      <c r="BJ132" s="443"/>
      <c r="BK132" s="443"/>
      <c r="BL132" s="443"/>
      <c r="BM132" s="443"/>
    </row>
    <row r="133" spans="1:65" s="440" customFormat="1" ht="20" hidden="1" outlineLevel="1">
      <c r="A133" s="741" t="s">
        <v>512</v>
      </c>
      <c r="B133" s="13"/>
      <c r="C133" s="13"/>
      <c r="D133" s="13"/>
      <c r="F133" s="812">
        <v>0.35</v>
      </c>
      <c r="G133" s="812">
        <f>F133</f>
        <v>0.35</v>
      </c>
      <c r="H133" s="812">
        <f t="shared" si="186"/>
        <v>0.35</v>
      </c>
      <c r="I133" s="812">
        <f t="shared" si="186"/>
        <v>0.35</v>
      </c>
      <c r="J133" s="520"/>
      <c r="K133" s="542"/>
      <c r="L133" s="812">
        <f>F133</f>
        <v>0.35</v>
      </c>
      <c r="M133" s="644">
        <f>G133</f>
        <v>0.35</v>
      </c>
      <c r="N133" s="644">
        <f t="shared" ref="N133:O133" si="195">H133</f>
        <v>0.35</v>
      </c>
      <c r="O133" s="644">
        <f t="shared" si="195"/>
        <v>0.35</v>
      </c>
      <c r="P133" s="543"/>
      <c r="Q133" s="542"/>
      <c r="R133" s="812">
        <f>L133</f>
        <v>0.35</v>
      </c>
      <c r="S133" s="644">
        <f>M133</f>
        <v>0.35</v>
      </c>
      <c r="T133" s="644">
        <f t="shared" ref="T133:U133" si="196">N133</f>
        <v>0.35</v>
      </c>
      <c r="U133" s="644">
        <f t="shared" si="196"/>
        <v>0.35</v>
      </c>
      <c r="V133" s="442"/>
      <c r="W133" s="563"/>
      <c r="X133" s="812">
        <f>R133</f>
        <v>0.35</v>
      </c>
      <c r="Y133" s="644">
        <f>S133</f>
        <v>0.35</v>
      </c>
      <c r="Z133" s="644">
        <f t="shared" ref="Z133:AA133" si="197">T133</f>
        <v>0.35</v>
      </c>
      <c r="AA133" s="644">
        <f t="shared" si="197"/>
        <v>0.35</v>
      </c>
      <c r="AB133" s="442"/>
      <c r="AC133" s="843"/>
      <c r="AD133" s="811">
        <f>X133</f>
        <v>0.35</v>
      </c>
      <c r="AE133" s="644">
        <f>Y133</f>
        <v>0.35</v>
      </c>
      <c r="AF133" s="644">
        <f t="shared" ref="AF133:AG133" si="198">Z133</f>
        <v>0.35</v>
      </c>
      <c r="AG133" s="644">
        <f t="shared" si="198"/>
        <v>0.35</v>
      </c>
      <c r="AH133" s="844"/>
      <c r="AI133" s="520"/>
      <c r="AJ133" s="439"/>
      <c r="AK133" s="439"/>
      <c r="AL133" s="439"/>
      <c r="AM133" s="439"/>
      <c r="AN133" s="439"/>
      <c r="AO133" s="439"/>
      <c r="AP133" s="443"/>
      <c r="AQ133" s="443"/>
      <c r="AR133" s="443"/>
      <c r="AS133" s="443"/>
      <c r="AT133" s="443"/>
      <c r="AU133" s="443"/>
      <c r="BB133" s="443"/>
      <c r="BC133" s="443"/>
      <c r="BD133" s="443"/>
      <c r="BE133" s="443"/>
      <c r="BF133" s="443"/>
      <c r="BG133" s="443"/>
      <c r="BH133" s="443"/>
      <c r="BI133" s="443"/>
      <c r="BJ133" s="443"/>
      <c r="BK133" s="443"/>
      <c r="BL133" s="443"/>
      <c r="BM133" s="443"/>
    </row>
    <row r="134" spans="1:65" s="440" customFormat="1" ht="20" hidden="1" outlineLevel="1">
      <c r="A134" s="741" t="s">
        <v>513</v>
      </c>
      <c r="B134" s="13"/>
      <c r="C134" s="13"/>
      <c r="D134" s="13"/>
      <c r="F134" s="812">
        <f>60%*F133</f>
        <v>0.21</v>
      </c>
      <c r="G134" s="812">
        <f t="shared" ref="G134:I134" si="199">60%*G133</f>
        <v>0.21</v>
      </c>
      <c r="H134" s="812">
        <f t="shared" si="199"/>
        <v>0.21</v>
      </c>
      <c r="I134" s="812">
        <f t="shared" si="199"/>
        <v>0.21</v>
      </c>
      <c r="J134" s="520"/>
      <c r="K134" s="542"/>
      <c r="L134" s="812">
        <f>F134</f>
        <v>0.21</v>
      </c>
      <c r="M134" s="812">
        <f>L134</f>
        <v>0.21</v>
      </c>
      <c r="N134" s="812">
        <f>M134</f>
        <v>0.21</v>
      </c>
      <c r="O134" s="812">
        <f>N134</f>
        <v>0.21</v>
      </c>
      <c r="P134" s="543"/>
      <c r="Q134" s="542"/>
      <c r="R134" s="812">
        <f>L134</f>
        <v>0.21</v>
      </c>
      <c r="S134" s="812">
        <f>R134</f>
        <v>0.21</v>
      </c>
      <c r="T134" s="812">
        <f>S134</f>
        <v>0.21</v>
      </c>
      <c r="U134" s="812">
        <f>T134</f>
        <v>0.21</v>
      </c>
      <c r="V134" s="442"/>
      <c r="W134" s="563"/>
      <c r="X134" s="812">
        <f>R134</f>
        <v>0.21</v>
      </c>
      <c r="Y134" s="812">
        <f>X134</f>
        <v>0.21</v>
      </c>
      <c r="Z134" s="812">
        <f>Y134</f>
        <v>0.21</v>
      </c>
      <c r="AA134" s="812">
        <f>Z134</f>
        <v>0.21</v>
      </c>
      <c r="AB134" s="442"/>
      <c r="AC134" s="843"/>
      <c r="AD134" s="811">
        <f>X134</f>
        <v>0.21</v>
      </c>
      <c r="AE134" s="811">
        <f>AD134</f>
        <v>0.21</v>
      </c>
      <c r="AF134" s="811">
        <f>AE134</f>
        <v>0.21</v>
      </c>
      <c r="AG134" s="811">
        <f>AF134</f>
        <v>0.21</v>
      </c>
      <c r="AH134" s="844"/>
      <c r="AI134" s="520"/>
      <c r="AJ134" s="439"/>
      <c r="AK134" s="439"/>
      <c r="AL134" s="439"/>
      <c r="AM134" s="439"/>
      <c r="AN134" s="439"/>
      <c r="AO134" s="439"/>
      <c r="AP134" s="443"/>
      <c r="AQ134" s="443"/>
      <c r="AR134" s="443"/>
      <c r="AS134" s="443"/>
      <c r="AT134" s="443"/>
      <c r="AU134" s="443"/>
      <c r="BB134" s="443"/>
      <c r="BC134" s="443"/>
      <c r="BD134" s="443"/>
      <c r="BE134" s="443"/>
      <c r="BF134" s="443"/>
      <c r="BG134" s="443"/>
      <c r="BH134" s="443"/>
      <c r="BI134" s="443"/>
      <c r="BJ134" s="443"/>
      <c r="BK134" s="443"/>
      <c r="BL134" s="443"/>
      <c r="BM134" s="443"/>
    </row>
    <row r="135" spans="1:65" s="440" customFormat="1" hidden="1" outlineLevel="1">
      <c r="A135" s="741"/>
      <c r="B135" s="13"/>
      <c r="C135" s="13"/>
      <c r="D135" s="13"/>
      <c r="F135" s="812"/>
      <c r="G135" s="812"/>
      <c r="H135" s="812"/>
      <c r="I135" s="812"/>
      <c r="J135" s="520"/>
      <c r="K135" s="542"/>
      <c r="L135" s="443"/>
      <c r="M135" s="443"/>
      <c r="N135" s="443"/>
      <c r="O135" s="443"/>
      <c r="P135" s="543"/>
      <c r="Q135" s="542"/>
      <c r="R135" s="442"/>
      <c r="S135" s="442"/>
      <c r="T135" s="442"/>
      <c r="U135" s="442"/>
      <c r="V135" s="442"/>
      <c r="W135" s="563"/>
      <c r="X135" s="442"/>
      <c r="Y135" s="442"/>
      <c r="Z135" s="442"/>
      <c r="AA135" s="442"/>
      <c r="AB135" s="442"/>
      <c r="AC135" s="843"/>
      <c r="AD135" s="442"/>
      <c r="AE135" s="442"/>
      <c r="AF135" s="442"/>
      <c r="AG135" s="442"/>
      <c r="AH135" s="844"/>
      <c r="AI135" s="520"/>
      <c r="AJ135" s="439"/>
      <c r="AK135" s="439"/>
      <c r="AL135" s="439"/>
      <c r="AM135" s="439"/>
      <c r="AN135" s="439"/>
      <c r="AO135" s="439"/>
      <c r="AP135" s="443"/>
      <c r="AQ135" s="443"/>
      <c r="AR135" s="443"/>
      <c r="AS135" s="443"/>
      <c r="AT135" s="443"/>
      <c r="AU135" s="443"/>
      <c r="BB135" s="443"/>
      <c r="BC135" s="443"/>
      <c r="BD135" s="443"/>
      <c r="BE135" s="443"/>
      <c r="BF135" s="443"/>
      <c r="BG135" s="443"/>
      <c r="BH135" s="443"/>
      <c r="BI135" s="443"/>
      <c r="BJ135" s="443"/>
      <c r="BK135" s="443"/>
      <c r="BL135" s="443"/>
      <c r="BM135" s="443"/>
    </row>
    <row r="136" spans="1:65" s="425" customFormat="1" ht="40" hidden="1" outlineLevel="1">
      <c r="A136" s="743" t="s">
        <v>356</v>
      </c>
      <c r="B136" s="355"/>
      <c r="C136" s="355"/>
      <c r="D136" s="355"/>
      <c r="E136" s="452"/>
      <c r="F136" s="438">
        <f>F147</f>
        <v>1600</v>
      </c>
      <c r="G136" s="354">
        <f>F136</f>
        <v>1600</v>
      </c>
      <c r="H136" s="354">
        <f t="shared" ref="H136:I136" si="200">G136</f>
        <v>1600</v>
      </c>
      <c r="I136" s="354">
        <f t="shared" si="200"/>
        <v>1600</v>
      </c>
      <c r="J136" s="498"/>
      <c r="K136" s="541"/>
      <c r="L136" s="361">
        <v>0</v>
      </c>
      <c r="M136" s="361">
        <f>L136</f>
        <v>0</v>
      </c>
      <c r="N136" s="361">
        <f t="shared" ref="N136:O136" si="201">M136</f>
        <v>0</v>
      </c>
      <c r="O136" s="361">
        <f t="shared" si="201"/>
        <v>0</v>
      </c>
      <c r="P136" s="503"/>
      <c r="Q136" s="529"/>
      <c r="R136" s="361">
        <v>0</v>
      </c>
      <c r="S136" s="361">
        <f>R136</f>
        <v>0</v>
      </c>
      <c r="T136" s="361">
        <f t="shared" ref="T136:U136" si="202">S136</f>
        <v>0</v>
      </c>
      <c r="U136" s="361">
        <f t="shared" si="202"/>
        <v>0</v>
      </c>
      <c r="V136" s="361"/>
      <c r="W136" s="558"/>
      <c r="X136" s="361">
        <v>0</v>
      </c>
      <c r="Y136" s="361">
        <f>X136</f>
        <v>0</v>
      </c>
      <c r="Z136" s="361">
        <f t="shared" ref="Z136:AB136" si="203">Y136</f>
        <v>0</v>
      </c>
      <c r="AA136" s="361">
        <f t="shared" si="203"/>
        <v>0</v>
      </c>
      <c r="AB136" s="361">
        <f t="shared" si="203"/>
        <v>0</v>
      </c>
      <c r="AC136" s="820"/>
      <c r="AD136" s="361">
        <f>L136</f>
        <v>0</v>
      </c>
      <c r="AE136" s="361">
        <f>M136</f>
        <v>0</v>
      </c>
      <c r="AF136" s="361">
        <f>N136</f>
        <v>0</v>
      </c>
      <c r="AG136" s="361">
        <f>O136</f>
        <v>0</v>
      </c>
      <c r="AH136" s="821"/>
      <c r="AI136" s="498"/>
      <c r="AJ136" s="355"/>
      <c r="AK136" s="355"/>
      <c r="AL136" s="355"/>
      <c r="AM136" s="355"/>
      <c r="AN136" s="355"/>
      <c r="AO136" s="355"/>
      <c r="AP136" s="43"/>
      <c r="AQ136" s="43"/>
      <c r="AR136" s="43"/>
      <c r="AS136" s="43"/>
      <c r="AT136" s="43"/>
      <c r="AU136" s="43"/>
      <c r="BB136" s="463" t="s">
        <v>141</v>
      </c>
      <c r="BC136" s="43"/>
      <c r="BD136" s="43"/>
      <c r="BE136" s="43"/>
      <c r="BF136" s="43"/>
      <c r="BG136" s="43"/>
      <c r="BH136" s="43" t="s">
        <v>33</v>
      </c>
      <c r="BI136" s="43"/>
      <c r="BJ136" s="43"/>
      <c r="BK136" s="43"/>
      <c r="BL136" s="43"/>
      <c r="BM136" s="43"/>
    </row>
    <row r="137" spans="1:65" s="440" customFormat="1" hidden="1" outlineLevel="1">
      <c r="A137" s="741"/>
      <c r="B137" s="13"/>
      <c r="C137" s="13"/>
      <c r="D137" s="13"/>
      <c r="F137" s="812"/>
      <c r="G137" s="442"/>
      <c r="H137" s="442"/>
      <c r="I137" s="442"/>
      <c r="J137" s="520"/>
      <c r="K137" s="542"/>
      <c r="L137" s="443"/>
      <c r="M137" s="443"/>
      <c r="N137" s="443"/>
      <c r="O137" s="443"/>
      <c r="P137" s="543"/>
      <c r="Q137" s="542"/>
      <c r="R137" s="442"/>
      <c r="S137" s="442"/>
      <c r="T137" s="442"/>
      <c r="U137" s="442"/>
      <c r="V137" s="442"/>
      <c r="W137" s="563"/>
      <c r="X137" s="442"/>
      <c r="Y137" s="442"/>
      <c r="Z137" s="442"/>
      <c r="AA137" s="442"/>
      <c r="AB137" s="442"/>
      <c r="AC137" s="843"/>
      <c r="AD137" s="442"/>
      <c r="AE137" s="442"/>
      <c r="AF137" s="442"/>
      <c r="AG137" s="442"/>
      <c r="AH137" s="844"/>
      <c r="AI137" s="520"/>
      <c r="AJ137" s="439"/>
      <c r="AK137" s="439"/>
      <c r="AL137" s="439"/>
      <c r="AM137" s="439"/>
      <c r="AN137" s="439"/>
      <c r="AO137" s="439"/>
      <c r="AP137" s="443"/>
      <c r="AQ137" s="443"/>
      <c r="AR137" s="443"/>
      <c r="AS137" s="443"/>
      <c r="AT137" s="443"/>
      <c r="AU137" s="443"/>
      <c r="BB137" s="443"/>
      <c r="BC137" s="443"/>
      <c r="BD137" s="443"/>
      <c r="BE137" s="443"/>
      <c r="BF137" s="443"/>
      <c r="BG137" s="443"/>
      <c r="BH137" s="443"/>
      <c r="BI137" s="443"/>
      <c r="BJ137" s="443"/>
      <c r="BK137" s="443"/>
      <c r="BL137" s="443"/>
      <c r="BM137" s="443"/>
    </row>
    <row r="138" spans="1:65" s="440" customFormat="1" hidden="1" outlineLevel="1">
      <c r="A138" s="741"/>
      <c r="B138" s="13"/>
      <c r="C138" s="13"/>
      <c r="D138" s="13"/>
      <c r="F138" s="812"/>
      <c r="G138" s="442"/>
      <c r="H138" s="442"/>
      <c r="I138" s="442"/>
      <c r="J138" s="520"/>
      <c r="K138" s="542"/>
      <c r="L138" s="443"/>
      <c r="M138" s="443"/>
      <c r="N138" s="443"/>
      <c r="O138" s="443"/>
      <c r="P138" s="543"/>
      <c r="Q138" s="542"/>
      <c r="R138" s="442"/>
      <c r="S138" s="442"/>
      <c r="T138" s="442"/>
      <c r="U138" s="442"/>
      <c r="V138" s="442"/>
      <c r="W138" s="563"/>
      <c r="X138" s="442"/>
      <c r="Y138" s="442"/>
      <c r="Z138" s="442"/>
      <c r="AA138" s="442"/>
      <c r="AB138" s="442"/>
      <c r="AC138" s="843"/>
      <c r="AD138" s="442"/>
      <c r="AE138" s="442"/>
      <c r="AF138" s="442"/>
      <c r="AG138" s="442"/>
      <c r="AH138" s="844"/>
      <c r="AI138" s="520"/>
      <c r="AJ138" s="439"/>
      <c r="AK138" s="439"/>
      <c r="AL138" s="439"/>
      <c r="AM138" s="439"/>
      <c r="AN138" s="439"/>
      <c r="AO138" s="439"/>
      <c r="AP138" s="443"/>
      <c r="AQ138" s="443"/>
      <c r="AR138" s="443"/>
      <c r="AS138" s="443"/>
      <c r="AT138" s="443"/>
      <c r="AU138" s="443"/>
      <c r="BB138" s="443"/>
      <c r="BC138" s="443"/>
      <c r="BD138" s="443"/>
      <c r="BE138" s="443"/>
      <c r="BF138" s="443"/>
      <c r="BG138" s="443"/>
      <c r="BH138" s="443"/>
      <c r="BI138" s="443"/>
      <c r="BJ138" s="443"/>
      <c r="BK138" s="443"/>
      <c r="BL138" s="443"/>
      <c r="BM138" s="443"/>
    </row>
    <row r="139" spans="1:65" s="446" customFormat="1" ht="20" hidden="1" outlineLevel="1">
      <c r="A139" s="753" t="s">
        <v>362</v>
      </c>
      <c r="B139" s="383"/>
      <c r="C139" s="383"/>
      <c r="D139" s="383"/>
      <c r="E139" s="731"/>
      <c r="F139" s="384"/>
      <c r="G139" s="383"/>
      <c r="H139" s="383"/>
      <c r="I139" s="383"/>
      <c r="J139" s="523"/>
      <c r="K139" s="546"/>
      <c r="L139" s="385"/>
      <c r="M139" s="385"/>
      <c r="N139" s="385"/>
      <c r="O139" s="385"/>
      <c r="P139" s="547"/>
      <c r="Q139" s="556"/>
      <c r="R139" s="385"/>
      <c r="S139" s="385"/>
      <c r="T139" s="385"/>
      <c r="U139" s="385"/>
      <c r="V139" s="385"/>
      <c r="W139" s="565"/>
      <c r="X139" s="383"/>
      <c r="Y139" s="383"/>
      <c r="Z139" s="383"/>
      <c r="AA139" s="383"/>
      <c r="AB139" s="383"/>
      <c r="AC139" s="839"/>
      <c r="AD139" s="383"/>
      <c r="AE139" s="383"/>
      <c r="AF139" s="383"/>
      <c r="AG139" s="383"/>
      <c r="AH139" s="840"/>
      <c r="AI139" s="523"/>
      <c r="AJ139" s="383"/>
      <c r="AK139" s="383"/>
      <c r="AL139" s="383"/>
      <c r="AM139" s="383"/>
      <c r="AN139" s="383"/>
      <c r="AO139" s="383"/>
      <c r="AP139" s="385"/>
      <c r="AQ139" s="385"/>
      <c r="AR139" s="385"/>
      <c r="AS139" s="385"/>
      <c r="AT139" s="385"/>
      <c r="AU139" s="385"/>
      <c r="BB139" s="445" t="s">
        <v>141</v>
      </c>
      <c r="BC139" s="385"/>
      <c r="BD139" s="385"/>
      <c r="BE139" s="385"/>
      <c r="BF139" s="385"/>
      <c r="BG139" s="385"/>
      <c r="BH139" s="385" t="s">
        <v>33</v>
      </c>
      <c r="BI139" s="385"/>
      <c r="BJ139" s="385"/>
      <c r="BK139" s="385"/>
      <c r="BL139" s="385"/>
      <c r="BM139" s="385"/>
    </row>
    <row r="140" spans="1:65" s="489" customFormat="1" ht="20" hidden="1" outlineLevel="1">
      <c r="A140" s="752" t="s">
        <v>357</v>
      </c>
      <c r="B140" s="259"/>
      <c r="C140" s="259"/>
      <c r="D140" s="259"/>
      <c r="E140" s="728"/>
      <c r="F140" s="773">
        <v>37600</v>
      </c>
      <c r="G140" s="773">
        <f>F140</f>
        <v>37600</v>
      </c>
      <c r="H140" s="773">
        <f t="shared" ref="H140:I144" si="204">G140</f>
        <v>37600</v>
      </c>
      <c r="I140" s="773">
        <f t="shared" si="204"/>
        <v>37600</v>
      </c>
      <c r="J140" s="767"/>
      <c r="K140" s="129"/>
      <c r="L140" s="768">
        <f t="shared" ref="L140:O145" si="205">F140</f>
        <v>37600</v>
      </c>
      <c r="M140" s="768">
        <f t="shared" si="205"/>
        <v>37600</v>
      </c>
      <c r="N140" s="768">
        <f t="shared" si="205"/>
        <v>37600</v>
      </c>
      <c r="O140" s="768">
        <f t="shared" si="205"/>
        <v>37600</v>
      </c>
      <c r="P140" s="767"/>
      <c r="Q140" s="129"/>
      <c r="R140" s="768">
        <f>L140</f>
        <v>37600</v>
      </c>
      <c r="S140" s="722">
        <f>M140</f>
        <v>37600</v>
      </c>
      <c r="T140" s="722">
        <f>N140</f>
        <v>37600</v>
      </c>
      <c r="U140" s="722">
        <f>O140</f>
        <v>37600</v>
      </c>
      <c r="W140" s="769"/>
      <c r="AC140" s="847"/>
      <c r="AH140" s="848"/>
      <c r="AI140" s="770"/>
      <c r="BC140" s="21"/>
      <c r="BD140" s="21"/>
      <c r="BE140" s="21"/>
      <c r="BF140" s="21"/>
      <c r="BG140" s="21"/>
      <c r="BH140" s="21" t="s">
        <v>33</v>
      </c>
      <c r="BI140" s="21"/>
      <c r="BJ140" s="21"/>
      <c r="BK140" s="21"/>
      <c r="BL140" s="21"/>
      <c r="BM140" s="21"/>
    </row>
    <row r="141" spans="1:65" s="489" customFormat="1" ht="20" hidden="1" outlineLevel="1">
      <c r="A141" s="771" t="s">
        <v>323</v>
      </c>
      <c r="B141" s="936"/>
      <c r="C141" s="936"/>
      <c r="D141" s="936"/>
      <c r="E141" s="728"/>
      <c r="F141" s="774">
        <v>13400</v>
      </c>
      <c r="G141" s="773">
        <f>F141</f>
        <v>13400</v>
      </c>
      <c r="H141" s="773">
        <f t="shared" si="204"/>
        <v>13400</v>
      </c>
      <c r="I141" s="773">
        <f t="shared" si="204"/>
        <v>13400</v>
      </c>
      <c r="J141" s="767"/>
      <c r="K141" s="505"/>
      <c r="L141" s="722">
        <f t="shared" si="205"/>
        <v>13400</v>
      </c>
      <c r="M141" s="722">
        <f t="shared" si="205"/>
        <v>13400</v>
      </c>
      <c r="N141" s="722">
        <f t="shared" si="205"/>
        <v>13400</v>
      </c>
      <c r="O141" s="722">
        <f t="shared" si="205"/>
        <v>13400</v>
      </c>
      <c r="P141" s="767"/>
      <c r="Q141" s="505"/>
      <c r="R141" s="722">
        <v>13100</v>
      </c>
      <c r="S141" s="722">
        <f>R141</f>
        <v>13100</v>
      </c>
      <c r="T141" s="722">
        <f t="shared" ref="T141:U141" si="206">S141</f>
        <v>13100</v>
      </c>
      <c r="U141" s="722">
        <f t="shared" si="206"/>
        <v>13100</v>
      </c>
      <c r="W141" s="769"/>
      <c r="AC141" s="847"/>
      <c r="AH141" s="848"/>
      <c r="AI141" s="770"/>
      <c r="BC141" s="21"/>
      <c r="BD141" s="21"/>
      <c r="BE141" s="21"/>
      <c r="BF141" s="21"/>
      <c r="BG141" s="21"/>
      <c r="BH141" s="21"/>
      <c r="BI141" s="21"/>
      <c r="BJ141" s="21"/>
      <c r="BK141" s="21"/>
      <c r="BL141" s="21"/>
      <c r="BM141" s="21"/>
    </row>
    <row r="142" spans="1:65" ht="20" hidden="1" outlineLevel="1">
      <c r="A142" s="754" t="s">
        <v>284</v>
      </c>
      <c r="B142" s="80"/>
      <c r="C142" s="80"/>
      <c r="D142" s="80"/>
      <c r="E142" s="423"/>
      <c r="F142" s="1">
        <v>5700</v>
      </c>
      <c r="G142" s="169">
        <f>F142</f>
        <v>5700</v>
      </c>
      <c r="H142" s="169">
        <f t="shared" si="204"/>
        <v>5700</v>
      </c>
      <c r="I142" s="169">
        <f t="shared" si="204"/>
        <v>5700</v>
      </c>
      <c r="J142" s="407"/>
      <c r="K142" s="518"/>
      <c r="L142" s="1">
        <f t="shared" si="205"/>
        <v>5700</v>
      </c>
      <c r="M142" s="1">
        <f t="shared" si="205"/>
        <v>5700</v>
      </c>
      <c r="N142" s="1">
        <f t="shared" si="205"/>
        <v>5700</v>
      </c>
      <c r="O142" s="1">
        <f t="shared" si="205"/>
        <v>5700</v>
      </c>
      <c r="Q142" s="518"/>
      <c r="R142" s="1">
        <f>L142</f>
        <v>5700</v>
      </c>
      <c r="S142" s="1">
        <f t="shared" ref="S142:U143" si="207">M142</f>
        <v>5700</v>
      </c>
      <c r="T142" s="1">
        <f t="shared" si="207"/>
        <v>5700</v>
      </c>
      <c r="U142" s="1">
        <f t="shared" si="207"/>
        <v>5700</v>
      </c>
      <c r="V142" s="423"/>
      <c r="W142" s="518"/>
      <c r="X142" s="423"/>
      <c r="Y142" s="423"/>
      <c r="Z142" s="423"/>
      <c r="AA142" s="423"/>
      <c r="AB142" s="423"/>
      <c r="AC142" s="841"/>
      <c r="AD142" s="423"/>
      <c r="AE142" s="423"/>
      <c r="AF142" s="423"/>
      <c r="AG142" s="423"/>
      <c r="AH142" s="849"/>
      <c r="AI142" s="504"/>
      <c r="AJ142" s="423"/>
      <c r="AK142" s="423"/>
      <c r="AL142" s="423"/>
      <c r="AM142" s="423"/>
      <c r="AN142" s="423"/>
      <c r="AO142" s="423"/>
      <c r="AP142" s="423"/>
      <c r="AQ142" s="423"/>
      <c r="AR142" s="423"/>
      <c r="AS142" s="423"/>
      <c r="AT142" s="423"/>
      <c r="AU142" s="423"/>
      <c r="BB142" s="423"/>
      <c r="BH142" s="14"/>
    </row>
    <row r="143" spans="1:65" ht="20" hidden="1" outlineLevel="1">
      <c r="A143" s="754" t="s">
        <v>498</v>
      </c>
      <c r="B143" s="80"/>
      <c r="C143" s="80"/>
      <c r="D143" s="80"/>
      <c r="E143" s="423"/>
      <c r="F143" s="1">
        <v>7800</v>
      </c>
      <c r="G143" s="169">
        <f>F143</f>
        <v>7800</v>
      </c>
      <c r="H143" s="169">
        <f t="shared" si="204"/>
        <v>7800</v>
      </c>
      <c r="I143" s="169">
        <f t="shared" si="204"/>
        <v>7800</v>
      </c>
      <c r="J143" s="407"/>
      <c r="K143" s="518"/>
      <c r="L143" s="1">
        <f t="shared" si="205"/>
        <v>7800</v>
      </c>
      <c r="M143" s="1">
        <f t="shared" si="205"/>
        <v>7800</v>
      </c>
      <c r="N143" s="1">
        <f t="shared" si="205"/>
        <v>7800</v>
      </c>
      <c r="O143" s="1">
        <f t="shared" si="205"/>
        <v>7800</v>
      </c>
      <c r="Q143" s="518"/>
      <c r="R143" s="1">
        <f>L143</f>
        <v>7800</v>
      </c>
      <c r="S143" s="1">
        <f t="shared" si="207"/>
        <v>7800</v>
      </c>
      <c r="T143" s="1">
        <f t="shared" si="207"/>
        <v>7800</v>
      </c>
      <c r="U143" s="1">
        <f t="shared" si="207"/>
        <v>7800</v>
      </c>
      <c r="V143" s="423"/>
      <c r="W143" s="518"/>
      <c r="X143" s="423"/>
      <c r="Y143" s="423"/>
      <c r="Z143" s="423"/>
      <c r="AA143" s="423"/>
      <c r="AB143" s="423"/>
      <c r="AC143" s="841"/>
      <c r="AD143" s="423"/>
      <c r="AE143" s="423"/>
      <c r="AF143" s="423"/>
      <c r="AG143" s="423"/>
      <c r="AH143" s="849"/>
      <c r="AI143" s="504"/>
      <c r="AJ143" s="423"/>
      <c r="AK143" s="423"/>
      <c r="AL143" s="423"/>
      <c r="AM143" s="423"/>
      <c r="AN143" s="423"/>
      <c r="AO143" s="423"/>
      <c r="AP143" s="423"/>
      <c r="AQ143" s="423"/>
      <c r="AR143" s="423"/>
      <c r="AS143" s="423"/>
      <c r="AT143" s="423"/>
      <c r="AU143" s="423"/>
      <c r="BB143" s="423"/>
      <c r="BH143" s="14"/>
    </row>
    <row r="144" spans="1:65" s="489" customFormat="1" ht="20" hidden="1" outlineLevel="1">
      <c r="A144" s="755" t="s">
        <v>321</v>
      </c>
      <c r="B144" s="628"/>
      <c r="C144" s="628"/>
      <c r="D144" s="628"/>
      <c r="F144" s="722">
        <v>20900</v>
      </c>
      <c r="G144" s="722">
        <f>F144</f>
        <v>20900</v>
      </c>
      <c r="H144" s="722">
        <f t="shared" si="204"/>
        <v>20900</v>
      </c>
      <c r="I144" s="722">
        <f t="shared" si="204"/>
        <v>20900</v>
      </c>
      <c r="J144" s="767"/>
      <c r="K144" s="769"/>
      <c r="L144" s="722">
        <f t="shared" si="205"/>
        <v>20900</v>
      </c>
      <c r="M144" s="722">
        <f>L144</f>
        <v>20900</v>
      </c>
      <c r="N144" s="722">
        <f t="shared" ref="N144:O144" si="208">M144</f>
        <v>20900</v>
      </c>
      <c r="O144" s="722">
        <f t="shared" si="208"/>
        <v>20900</v>
      </c>
      <c r="P144" s="535"/>
      <c r="Q144" s="21"/>
      <c r="R144" s="722">
        <f>L144</f>
        <v>20900</v>
      </c>
      <c r="S144" s="722">
        <f>R144</f>
        <v>20900</v>
      </c>
      <c r="T144" s="722">
        <f t="shared" ref="T144:U144" si="209">S144</f>
        <v>20900</v>
      </c>
      <c r="U144" s="722">
        <f t="shared" si="209"/>
        <v>20900</v>
      </c>
      <c r="V144" s="21"/>
      <c r="W144" s="769"/>
      <c r="AC144" s="847"/>
      <c r="AH144" s="848"/>
      <c r="AI144" s="770"/>
      <c r="BC144" s="21"/>
      <c r="BD144" s="21"/>
      <c r="BE144" s="21"/>
      <c r="BF144" s="21"/>
      <c r="BG144" s="21"/>
      <c r="BH144" s="21"/>
      <c r="BI144" s="21"/>
      <c r="BJ144" s="21"/>
      <c r="BK144" s="21"/>
      <c r="BL144" s="21"/>
      <c r="BM144" s="21"/>
    </row>
    <row r="145" spans="1:65" s="489" customFormat="1" ht="20" hidden="1" outlineLevel="1">
      <c r="A145" s="755" t="s">
        <v>491</v>
      </c>
      <c r="B145" s="628"/>
      <c r="C145" s="628"/>
      <c r="D145" s="628"/>
      <c r="F145" s="722"/>
      <c r="G145" s="722"/>
      <c r="H145" s="722"/>
      <c r="I145" s="722"/>
      <c r="J145" s="767"/>
      <c r="K145" s="769"/>
      <c r="L145" s="722">
        <f t="shared" si="205"/>
        <v>0</v>
      </c>
      <c r="M145" s="722">
        <f t="shared" si="205"/>
        <v>0</v>
      </c>
      <c r="N145" s="722">
        <f t="shared" si="205"/>
        <v>0</v>
      </c>
      <c r="O145" s="722">
        <f t="shared" si="205"/>
        <v>0</v>
      </c>
      <c r="P145" s="535"/>
      <c r="Q145" s="769"/>
      <c r="R145" s="722">
        <f>L145</f>
        <v>0</v>
      </c>
      <c r="S145" s="722">
        <f t="shared" ref="S145:U145" si="210">M145</f>
        <v>0</v>
      </c>
      <c r="T145" s="722">
        <f t="shared" si="210"/>
        <v>0</v>
      </c>
      <c r="U145" s="722">
        <f t="shared" si="210"/>
        <v>0</v>
      </c>
      <c r="V145" s="21"/>
      <c r="W145" s="769"/>
      <c r="AC145" s="847"/>
      <c r="AH145" s="848"/>
      <c r="AI145" s="770"/>
      <c r="BC145" s="21"/>
      <c r="BD145" s="21"/>
      <c r="BE145" s="21"/>
      <c r="BF145" s="21"/>
      <c r="BG145" s="21"/>
      <c r="BH145" s="21"/>
      <c r="BI145" s="21"/>
      <c r="BJ145" s="21"/>
      <c r="BK145" s="21"/>
      <c r="BL145" s="21"/>
      <c r="BM145" s="21"/>
    </row>
    <row r="146" spans="1:65" hidden="1" outlineLevel="1">
      <c r="A146" s="750"/>
      <c r="B146" s="273"/>
      <c r="C146" s="273"/>
      <c r="D146" s="273"/>
      <c r="E146" s="423"/>
      <c r="F146" s="169"/>
      <c r="G146" s="169"/>
      <c r="H146" s="169"/>
      <c r="I146" s="169"/>
      <c r="J146" s="407"/>
      <c r="K146" s="518"/>
      <c r="Q146" s="518"/>
      <c r="W146" s="518"/>
      <c r="X146" s="423"/>
      <c r="Y146" s="423"/>
      <c r="Z146" s="423"/>
      <c r="AA146" s="423"/>
      <c r="AB146" s="423"/>
      <c r="AC146" s="841"/>
      <c r="AD146" s="423"/>
      <c r="AE146" s="423"/>
      <c r="AF146" s="423"/>
      <c r="AG146" s="423"/>
      <c r="AH146" s="849"/>
      <c r="AI146" s="504"/>
      <c r="AJ146" s="423"/>
      <c r="AK146" s="423"/>
      <c r="AL146" s="423"/>
      <c r="AM146" s="423"/>
      <c r="AN146" s="423"/>
      <c r="AO146" s="423"/>
      <c r="AP146" s="423"/>
      <c r="AQ146" s="423"/>
      <c r="AR146" s="423"/>
      <c r="AS146" s="423"/>
      <c r="AT146" s="423"/>
      <c r="AU146" s="423"/>
      <c r="BB146" s="423"/>
      <c r="BH146" s="14"/>
    </row>
    <row r="147" spans="1:65" s="489" customFormat="1" ht="27" hidden="1" customHeight="1" outlineLevel="1">
      <c r="A147" s="752" t="s">
        <v>355</v>
      </c>
      <c r="B147" s="259"/>
      <c r="C147" s="259"/>
      <c r="D147" s="259"/>
      <c r="E147" s="728"/>
      <c r="F147" s="722">
        <v>1600</v>
      </c>
      <c r="G147" s="722">
        <f>F147</f>
        <v>1600</v>
      </c>
      <c r="H147" s="722">
        <f t="shared" ref="H147:I147" si="211">G147</f>
        <v>1600</v>
      </c>
      <c r="I147" s="722">
        <f t="shared" si="211"/>
        <v>1600</v>
      </c>
      <c r="J147" s="767"/>
      <c r="K147" s="129"/>
      <c r="L147" s="772">
        <f>F147</f>
        <v>1600</v>
      </c>
      <c r="M147" s="722">
        <f>G147</f>
        <v>1600</v>
      </c>
      <c r="N147" s="722">
        <f>H147</f>
        <v>1600</v>
      </c>
      <c r="O147" s="722">
        <f>I147</f>
        <v>1600</v>
      </c>
      <c r="P147" s="767"/>
      <c r="Q147" s="129"/>
      <c r="R147" s="772">
        <f>L147</f>
        <v>1600</v>
      </c>
      <c r="S147" s="722">
        <f>M147</f>
        <v>1600</v>
      </c>
      <c r="T147" s="722">
        <f>N147</f>
        <v>1600</v>
      </c>
      <c r="U147" s="722">
        <f>O147</f>
        <v>1600</v>
      </c>
      <c r="V147" s="21"/>
      <c r="W147" s="769"/>
      <c r="AC147" s="847"/>
      <c r="AH147" s="848"/>
      <c r="AI147" s="770"/>
      <c r="BC147" s="21"/>
      <c r="BD147" s="21"/>
      <c r="BE147" s="21"/>
      <c r="BF147" s="21"/>
      <c r="BG147" s="21"/>
      <c r="BH147" s="21" t="s">
        <v>33</v>
      </c>
      <c r="BI147" s="21"/>
      <c r="BJ147" s="21"/>
      <c r="BK147" s="21"/>
      <c r="BL147" s="21"/>
      <c r="BM147" s="21"/>
    </row>
    <row r="148" spans="1:65" hidden="1" outlineLevel="1">
      <c r="A148" s="756"/>
      <c r="B148" s="359"/>
      <c r="C148" s="359"/>
      <c r="D148" s="359"/>
      <c r="E148" s="423"/>
      <c r="G148" s="169"/>
      <c r="H148" s="169"/>
      <c r="I148" s="169"/>
      <c r="J148" s="407"/>
      <c r="R148" s="423"/>
      <c r="W148" s="518"/>
      <c r="X148" s="423"/>
      <c r="Y148" s="423"/>
      <c r="Z148" s="423"/>
      <c r="AA148" s="423"/>
      <c r="AB148" s="423"/>
      <c r="AC148" s="841"/>
      <c r="AD148" s="423"/>
      <c r="AE148" s="423"/>
      <c r="AF148" s="423"/>
      <c r="AG148" s="423"/>
      <c r="AH148" s="849"/>
      <c r="AI148" s="504"/>
      <c r="AJ148" s="423"/>
      <c r="AK148" s="423"/>
      <c r="AL148" s="423"/>
      <c r="AM148" s="423"/>
      <c r="AN148" s="423"/>
      <c r="AO148" s="423"/>
      <c r="AP148" s="423"/>
      <c r="AQ148" s="423"/>
      <c r="AR148" s="423"/>
      <c r="AS148" s="423"/>
      <c r="AT148" s="423"/>
      <c r="AU148" s="423"/>
      <c r="BB148" s="423"/>
    </row>
    <row r="149" spans="1:65" hidden="1" outlineLevel="1"/>
    <row r="150" spans="1:65" ht="40" hidden="1" outlineLevel="1">
      <c r="A150" s="743" t="s">
        <v>497</v>
      </c>
      <c r="B150" s="355"/>
      <c r="C150" s="355"/>
      <c r="D150" s="355"/>
      <c r="E150" s="423"/>
      <c r="F150" s="785">
        <f>F151/10</f>
        <v>21.2</v>
      </c>
      <c r="G150" s="785">
        <f>F150</f>
        <v>21.2</v>
      </c>
      <c r="H150" s="785">
        <f t="shared" ref="H150:I150" si="212">G150</f>
        <v>21.2</v>
      </c>
      <c r="I150" s="785">
        <f t="shared" si="212"/>
        <v>21.2</v>
      </c>
      <c r="J150" s="407"/>
      <c r="L150" s="785">
        <f>I150</f>
        <v>21.2</v>
      </c>
      <c r="M150" s="785">
        <f>L150</f>
        <v>21.2</v>
      </c>
      <c r="N150" s="785">
        <f t="shared" ref="N150:O150" si="213">M150</f>
        <v>21.2</v>
      </c>
      <c r="O150" s="785">
        <f t="shared" si="213"/>
        <v>21.2</v>
      </c>
      <c r="R150" s="785">
        <f>F150</f>
        <v>21.2</v>
      </c>
      <c r="S150" s="785">
        <f t="shared" ref="S150:U151" si="214">M150</f>
        <v>21.2</v>
      </c>
      <c r="T150" s="785">
        <f t="shared" si="214"/>
        <v>21.2</v>
      </c>
      <c r="U150" s="785">
        <f t="shared" si="214"/>
        <v>21.2</v>
      </c>
      <c r="W150" s="518"/>
      <c r="X150" s="423"/>
      <c r="Y150" s="423"/>
      <c r="Z150" s="423"/>
      <c r="AA150" s="423"/>
      <c r="AB150" s="423"/>
      <c r="AC150" s="841"/>
      <c r="AD150" s="423"/>
      <c r="AE150" s="423"/>
      <c r="AF150" s="423"/>
      <c r="AG150" s="423"/>
      <c r="AH150" s="849"/>
      <c r="AI150" s="504"/>
      <c r="AJ150" s="423"/>
      <c r="AK150" s="423"/>
      <c r="AL150" s="423"/>
      <c r="AM150" s="423"/>
      <c r="AN150" s="423"/>
      <c r="AO150" s="423"/>
      <c r="AP150" s="423"/>
      <c r="AQ150" s="423"/>
      <c r="AR150" s="423"/>
      <c r="AS150" s="423"/>
      <c r="AT150" s="423"/>
      <c r="AU150" s="423"/>
      <c r="BB150" s="423"/>
    </row>
    <row r="151" spans="1:65" s="489" customFormat="1" ht="20" hidden="1" outlineLevel="1">
      <c r="A151" s="752" t="s">
        <v>495</v>
      </c>
      <c r="B151" s="259"/>
      <c r="C151" s="259"/>
      <c r="D151" s="259"/>
      <c r="F151" s="722">
        <v>212</v>
      </c>
      <c r="G151" s="722">
        <v>212</v>
      </c>
      <c r="H151" s="722">
        <v>212</v>
      </c>
      <c r="I151" s="722">
        <v>212</v>
      </c>
      <c r="J151" s="767"/>
      <c r="K151" s="129"/>
      <c r="L151" s="722">
        <f>F151</f>
        <v>212</v>
      </c>
      <c r="M151" s="722">
        <f t="shared" ref="M151:O151" si="215">G151</f>
        <v>212</v>
      </c>
      <c r="N151" s="722">
        <f t="shared" si="215"/>
        <v>212</v>
      </c>
      <c r="O151" s="722">
        <f t="shared" si="215"/>
        <v>212</v>
      </c>
      <c r="P151" s="535"/>
      <c r="Q151" s="87"/>
      <c r="R151" s="722">
        <f>L151</f>
        <v>212</v>
      </c>
      <c r="S151" s="722">
        <f t="shared" si="214"/>
        <v>212</v>
      </c>
      <c r="T151" s="722">
        <f t="shared" si="214"/>
        <v>212</v>
      </c>
      <c r="U151" s="722">
        <f t="shared" si="214"/>
        <v>212</v>
      </c>
      <c r="V151" s="21"/>
      <c r="W151" s="518"/>
      <c r="X151" s="722"/>
      <c r="Y151" s="722"/>
      <c r="Z151" s="722"/>
      <c r="AA151" s="722"/>
      <c r="AC151" s="847"/>
      <c r="AD151" s="722"/>
      <c r="AE151" s="722"/>
      <c r="AF151" s="722"/>
      <c r="AG151" s="722"/>
      <c r="AH151" s="848"/>
      <c r="AI151" s="770"/>
      <c r="BC151" s="21"/>
      <c r="BD151" s="21"/>
      <c r="BE151" s="21"/>
      <c r="BF151" s="21"/>
      <c r="BG151" s="21"/>
      <c r="BH151" s="21"/>
      <c r="BI151" s="21"/>
      <c r="BJ151" s="21"/>
      <c r="BK151" s="21"/>
      <c r="BL151" s="21"/>
      <c r="BM151" s="21"/>
    </row>
    <row r="152" spans="1:65" hidden="1" outlineLevel="1">
      <c r="A152" s="756"/>
      <c r="B152" s="359"/>
      <c r="C152" s="359"/>
      <c r="D152" s="359"/>
      <c r="E152" s="423"/>
      <c r="F152" s="652"/>
      <c r="G152" s="169"/>
      <c r="H152" s="169"/>
      <c r="I152" s="169"/>
      <c r="J152" s="407"/>
      <c r="R152" s="423"/>
      <c r="W152" s="518"/>
      <c r="X152" s="423"/>
      <c r="Y152" s="423"/>
      <c r="Z152" s="423"/>
      <c r="AA152" s="423"/>
      <c r="AB152" s="423"/>
      <c r="AC152" s="841"/>
      <c r="AD152" s="423"/>
      <c r="AE152" s="423"/>
      <c r="AF152" s="423"/>
      <c r="AG152" s="423"/>
      <c r="AH152" s="849"/>
      <c r="AI152" s="504"/>
      <c r="AJ152" s="423"/>
      <c r="AK152" s="423"/>
      <c r="AL152" s="423"/>
      <c r="AM152" s="423"/>
      <c r="AN152" s="423"/>
      <c r="AO152" s="423"/>
      <c r="AP152" s="423"/>
      <c r="AQ152" s="423"/>
      <c r="AR152" s="423"/>
      <c r="AS152" s="423"/>
      <c r="AT152" s="423"/>
      <c r="AU152" s="423"/>
      <c r="BB152" s="423"/>
    </row>
    <row r="153" spans="1:65" s="456" customFormat="1" ht="20" hidden="1" outlineLevel="1">
      <c r="A153" s="757" t="s">
        <v>360</v>
      </c>
      <c r="B153" s="455"/>
      <c r="C153" s="455"/>
      <c r="D153" s="455"/>
      <c r="F153" s="457"/>
      <c r="G153" s="458"/>
      <c r="H153" s="458"/>
      <c r="I153" s="458"/>
      <c r="J153" s="525"/>
      <c r="K153" s="548"/>
      <c r="L153" s="457"/>
      <c r="M153" s="457"/>
      <c r="N153" s="457"/>
      <c r="O153" s="457"/>
      <c r="P153" s="549"/>
      <c r="Q153" s="548"/>
      <c r="S153" s="457"/>
      <c r="T153" s="457"/>
      <c r="U153" s="457"/>
      <c r="V153" s="457"/>
      <c r="W153" s="524"/>
      <c r="AC153" s="850"/>
      <c r="AH153" s="851"/>
      <c r="AI153" s="566"/>
      <c r="BC153" s="457"/>
      <c r="BD153" s="457"/>
      <c r="BE153" s="457"/>
      <c r="BF153" s="457"/>
      <c r="BG153" s="457"/>
      <c r="BH153" s="457"/>
      <c r="BI153" s="457"/>
      <c r="BJ153" s="457"/>
      <c r="BK153" s="457"/>
      <c r="BL153" s="457"/>
      <c r="BM153" s="457"/>
    </row>
    <row r="154" spans="1:65" s="2" customFormat="1" hidden="1" outlineLevel="1">
      <c r="A154" s="758" t="s">
        <v>359</v>
      </c>
      <c r="B154" s="15"/>
      <c r="C154" s="15"/>
      <c r="D154" s="15"/>
      <c r="E154" s="526"/>
      <c r="F154" s="526">
        <v>400000</v>
      </c>
      <c r="G154" s="526">
        <v>400000</v>
      </c>
      <c r="H154" s="526">
        <v>400000</v>
      </c>
      <c r="I154" s="526">
        <v>400000</v>
      </c>
      <c r="J154" s="295"/>
      <c r="K154" s="87"/>
      <c r="L154" s="1"/>
      <c r="M154" s="1"/>
      <c r="N154" s="1"/>
      <c r="O154" s="1"/>
      <c r="P154" s="295"/>
      <c r="Q154" s="87"/>
      <c r="R154" s="1"/>
      <c r="S154" s="1"/>
      <c r="T154" s="1"/>
      <c r="U154" s="1"/>
      <c r="V154" s="1"/>
      <c r="W154" s="87"/>
      <c r="X154" s="1"/>
      <c r="Y154" s="1"/>
      <c r="Z154" s="1"/>
      <c r="AA154" s="1"/>
      <c r="AB154" s="1"/>
      <c r="AC154" s="28"/>
      <c r="AD154" s="1"/>
      <c r="AE154" s="1"/>
      <c r="AF154" s="1"/>
      <c r="AG154" s="1"/>
      <c r="AH154" s="24"/>
      <c r="AI154" s="295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</row>
    <row r="155" spans="1:65" s="2" customFormat="1" hidden="1" outlineLevel="1">
      <c r="A155" s="758" t="s">
        <v>371</v>
      </c>
      <c r="B155" s="15"/>
      <c r="C155" s="15"/>
      <c r="D155" s="15"/>
      <c r="E155" s="15"/>
      <c r="F155" s="15">
        <v>547</v>
      </c>
      <c r="G155" s="15">
        <v>547</v>
      </c>
      <c r="H155" s="15">
        <v>547</v>
      </c>
      <c r="I155" s="15">
        <v>547</v>
      </c>
      <c r="J155" s="295"/>
      <c r="K155" s="87"/>
      <c r="L155" s="1"/>
      <c r="M155" s="1"/>
      <c r="N155" s="1"/>
      <c r="O155" s="1"/>
      <c r="P155" s="295"/>
      <c r="Q155" s="87"/>
      <c r="R155" s="1"/>
      <c r="S155" s="1"/>
      <c r="T155" s="1"/>
      <c r="U155" s="1"/>
      <c r="V155" s="1"/>
      <c r="W155" s="87"/>
      <c r="X155" s="1"/>
      <c r="Y155" s="1"/>
      <c r="Z155" s="1"/>
      <c r="AA155" s="1"/>
      <c r="AB155" s="1"/>
      <c r="AC155" s="28"/>
      <c r="AD155" s="1"/>
      <c r="AE155" s="1"/>
      <c r="AF155" s="1"/>
      <c r="AG155" s="1"/>
      <c r="AH155" s="24"/>
      <c r="AI155" s="295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</row>
    <row r="156" spans="1:65" ht="20" hidden="1" outlineLevel="1">
      <c r="A156" s="732" t="s">
        <v>372</v>
      </c>
      <c r="E156" s="527"/>
      <c r="F156" s="527">
        <f>F154/F155</f>
        <v>731.26142595978058</v>
      </c>
      <c r="G156" s="527">
        <f t="shared" ref="G156:I156" si="216">G154/G155</f>
        <v>731.26142595978058</v>
      </c>
      <c r="H156" s="527">
        <f t="shared" si="216"/>
        <v>731.26142595978058</v>
      </c>
      <c r="I156" s="527">
        <f t="shared" si="216"/>
        <v>731.26142595978058</v>
      </c>
    </row>
    <row r="157" spans="1:65" hidden="1" outlineLevel="1"/>
    <row r="158" spans="1:65" hidden="1" outlineLevel="1">
      <c r="A158" s="758" t="s">
        <v>492</v>
      </c>
      <c r="B158" s="15"/>
      <c r="C158" s="15"/>
      <c r="D158" s="15"/>
      <c r="E158" s="527"/>
      <c r="F158" s="15">
        <v>3697</v>
      </c>
      <c r="G158" s="15">
        <v>3697</v>
      </c>
      <c r="H158" s="15">
        <v>3697</v>
      </c>
      <c r="I158" s="15">
        <v>3697</v>
      </c>
    </row>
    <row r="159" spans="1:65" ht="20" hidden="1" outlineLevel="1">
      <c r="A159" s="732" t="s">
        <v>489</v>
      </c>
      <c r="E159" s="527"/>
      <c r="F159" s="766">
        <f>F154/F158</f>
        <v>108.19583446037328</v>
      </c>
      <c r="G159" s="766">
        <f>G154/G158</f>
        <v>108.19583446037328</v>
      </c>
      <c r="H159" s="766">
        <f>H154/H158</f>
        <v>108.19583446037328</v>
      </c>
      <c r="I159" s="766">
        <f>I154/I158</f>
        <v>108.19583446037328</v>
      </c>
    </row>
    <row r="160" spans="1:65" hidden="1" outlineLevel="1">
      <c r="E160" s="527"/>
      <c r="F160" s="766"/>
      <c r="G160" s="766"/>
      <c r="H160" s="766"/>
      <c r="I160" s="766"/>
    </row>
    <row r="161" spans="1:35" ht="40" hidden="1" outlineLevel="1">
      <c r="A161" s="732" t="s">
        <v>494</v>
      </c>
      <c r="E161" s="527"/>
      <c r="F161" s="423"/>
      <c r="G161" s="766">
        <v>81</v>
      </c>
      <c r="H161" s="766">
        <v>81</v>
      </c>
      <c r="I161" s="766">
        <v>81</v>
      </c>
      <c r="L161" s="766">
        <v>81</v>
      </c>
      <c r="M161" s="766">
        <v>81</v>
      </c>
      <c r="N161" s="766">
        <v>81</v>
      </c>
      <c r="O161" s="766">
        <v>81</v>
      </c>
      <c r="R161" s="766">
        <v>81</v>
      </c>
      <c r="S161" s="766">
        <v>81</v>
      </c>
      <c r="T161" s="766">
        <v>81</v>
      </c>
      <c r="U161" s="766">
        <v>81</v>
      </c>
      <c r="X161" s="766"/>
      <c r="Y161" s="766"/>
      <c r="Z161" s="766"/>
      <c r="AA161" s="766"/>
    </row>
    <row r="162" spans="1:35" hidden="1" outlineLevel="1">
      <c r="F162" s="423"/>
    </row>
    <row r="163" spans="1:35" hidden="1" outlineLevel="1"/>
    <row r="164" spans="1:35" collapsed="1"/>
    <row r="165" spans="1:35" ht="20" thickBot="1">
      <c r="AI165" s="407"/>
    </row>
    <row r="166" spans="1:35" ht="20">
      <c r="A166" s="738" t="s">
        <v>342</v>
      </c>
      <c r="J166" s="407">
        <f>J28-Воронка!K44</f>
        <v>50791809.645506352</v>
      </c>
      <c r="P166" s="407">
        <f>P28-Воронка!R44</f>
        <v>85971232.097390175</v>
      </c>
      <c r="V166" s="169">
        <f>V28-Воронка!X44</f>
        <v>12896192.722062849</v>
      </c>
      <c r="AB166" s="169">
        <f>AB28-Воронка!AG44</f>
        <v>10950488.459779758</v>
      </c>
      <c r="AH166" s="371">
        <f>AH28-Воронка!AM44</f>
        <v>12982563.517780989</v>
      </c>
      <c r="AI166" s="407">
        <f>AI28-Воронка!AN44</f>
        <v>23933051.977560744</v>
      </c>
    </row>
    <row r="167" spans="1:35" ht="20">
      <c r="A167" s="740" t="s">
        <v>343</v>
      </c>
      <c r="J167" s="1159">
        <f>J34-Воронка!K50</f>
        <v>34800296.638989061</v>
      </c>
      <c r="P167" s="407">
        <f>P34-Воронка!R50</f>
        <v>85846488.054565936</v>
      </c>
      <c r="V167" s="169">
        <f>V34-Воронка!X50</f>
        <v>2117498.0747683272</v>
      </c>
      <c r="AB167" s="169">
        <f>AB34-Воронка!AG50</f>
        <v>775718.30489201564</v>
      </c>
      <c r="AH167" s="371">
        <f>AH34-Воронка!AM50</f>
        <v>12501218.835028086</v>
      </c>
      <c r="AI167" s="407">
        <f>AI34-Воронка!AN50</f>
        <v>13276937.139920101</v>
      </c>
    </row>
    <row r="168" spans="1:35" ht="20">
      <c r="A168" s="740" t="s">
        <v>344</v>
      </c>
      <c r="J168" s="1152">
        <f>J53-Воронка!K75</f>
        <v>15990445.304238711</v>
      </c>
      <c r="P168" s="1149">
        <f>P53-Воронка!R75</f>
        <v>124744.04282425344</v>
      </c>
      <c r="Q168" s="1036"/>
      <c r="R168" s="84"/>
      <c r="S168" s="84"/>
      <c r="T168" s="84"/>
      <c r="U168" s="84"/>
      <c r="V168" s="1150">
        <f>V53-Воронка!X75</f>
        <v>10778694.647294518</v>
      </c>
      <c r="W168" s="1036"/>
      <c r="X168" s="84"/>
      <c r="Y168" s="84"/>
      <c r="Z168" s="84"/>
      <c r="AA168" s="84"/>
      <c r="AB168" s="1150">
        <f>AB53-Воронка!X75</f>
        <v>7173253.9478316493</v>
      </c>
      <c r="AC168" s="1090"/>
      <c r="AD168" s="84"/>
      <c r="AE168" s="84"/>
      <c r="AF168" s="84"/>
      <c r="AG168" s="84"/>
      <c r="AH168" s="1158">
        <f>AH53-Воронка!AM75</f>
        <v>481344.68275290914</v>
      </c>
      <c r="AI168" s="1157">
        <f>AI53-Воронка!AN75</f>
        <v>10656114.837640658</v>
      </c>
    </row>
    <row r="169" spans="1:35" ht="20">
      <c r="A169" s="740" t="s">
        <v>367</v>
      </c>
      <c r="J169" s="1152">
        <f>J55-Воронка!K77</f>
        <v>166480000</v>
      </c>
      <c r="K169" s="1153"/>
      <c r="L169" s="1154"/>
      <c r="M169" s="1154"/>
      <c r="N169" s="1154"/>
      <c r="O169" s="1154"/>
      <c r="P169" s="1152">
        <f>P55-Воронка!R77</f>
        <v>230734613.11894754</v>
      </c>
      <c r="Q169" s="1153"/>
      <c r="R169" s="1154"/>
      <c r="S169" s="1154"/>
      <c r="T169" s="1154"/>
      <c r="U169" s="1154"/>
      <c r="V169" s="1155">
        <f>V55-Воронка!X77</f>
        <v>204473387.17339671</v>
      </c>
      <c r="W169" s="1153"/>
      <c r="X169" s="1154"/>
      <c r="Y169" s="1154"/>
      <c r="Z169" s="1154"/>
      <c r="AA169" s="1154"/>
      <c r="AB169" s="1155">
        <f>AB55-Воронка!AG77</f>
        <v>-52174889.623511851</v>
      </c>
      <c r="AH169" s="1156">
        <f>AH55-Воронка!AM77</f>
        <v>-5111612.7693061121</v>
      </c>
      <c r="AI169" s="407">
        <f>AI55-Воронка!AN77</f>
        <v>-57286502.392817974</v>
      </c>
    </row>
    <row r="170" spans="1:35" ht="21" thickBot="1">
      <c r="A170" s="742" t="s">
        <v>364</v>
      </c>
      <c r="J170" s="1152">
        <f>J57-Воронка!K79</f>
        <v>182470445.30423874</v>
      </c>
      <c r="K170" s="1036"/>
      <c r="L170" s="84"/>
      <c r="M170" s="84"/>
      <c r="N170" s="84"/>
      <c r="O170" s="84"/>
      <c r="P170" s="1149">
        <f>P57-Воронка!R79</f>
        <v>230859357.16177177</v>
      </c>
      <c r="Q170" s="1036"/>
      <c r="R170" s="84"/>
      <c r="S170" s="84"/>
      <c r="T170" s="84"/>
      <c r="U170" s="84"/>
      <c r="V170" s="1150">
        <f>V57-Воронка!X79</f>
        <v>215252081.8206912</v>
      </c>
      <c r="W170" s="1036"/>
      <c r="X170" s="84"/>
      <c r="Y170" s="84"/>
      <c r="Z170" s="84"/>
      <c r="AA170" s="84"/>
      <c r="AB170" s="1150">
        <f>AB57-Воронка!AG79</f>
        <v>-42000119.468624122</v>
      </c>
      <c r="AH170" s="371">
        <f>AH57-Воронка!AM79</f>
        <v>-4630268.0865532011</v>
      </c>
      <c r="AI170" s="407">
        <f>AI57-Воронка!AN79</f>
        <v>-46630387.555177316</v>
      </c>
    </row>
    <row r="173" spans="1:35">
      <c r="J173" s="1151">
        <f>J168/J53</f>
        <v>0.46139351801116113</v>
      </c>
      <c r="P173" s="1151">
        <f>P168/P53</f>
        <v>1.5796889578141733E-3</v>
      </c>
      <c r="V173" s="1151">
        <f>V168/V53</f>
        <v>0.3606690955489944</v>
      </c>
      <c r="AB173" s="1151">
        <f>AB168/AB53</f>
        <v>0.27295660283855316</v>
      </c>
      <c r="AH173" s="1151">
        <f>AH168/AH53</f>
        <v>3.5052501021374347E-2</v>
      </c>
      <c r="AI173" s="1151">
        <f t="shared" ref="AI173" si="217">AI168/AI53</f>
        <v>0.26632337545272416</v>
      </c>
    </row>
    <row r="174" spans="1:35">
      <c r="J174" s="169">
        <f>J35+J36+J37+J38+J46+J52</f>
        <v>109104635.4213798</v>
      </c>
      <c r="P174" s="169">
        <f>P35+P36+P37+P38+P46+P52</f>
        <v>145133414.82239878</v>
      </c>
      <c r="V174" s="169">
        <f>V35+V36+V37+V38+V46+V52</f>
        <v>6934215.6316993283</v>
      </c>
    </row>
    <row r="175" spans="1:35">
      <c r="J175" s="407">
        <f>J174-Воронка!K50</f>
        <v>43153947.306709856</v>
      </c>
      <c r="P175" s="407">
        <f>P174-Воронка!R50</f>
        <v>82705399.799804598</v>
      </c>
      <c r="V175" s="407">
        <f>V174-Воронка!X50</f>
        <v>1458025.0332965115</v>
      </c>
    </row>
    <row r="177" spans="22:22" ht="120">
      <c r="V177" s="1" t="s">
        <v>606</v>
      </c>
    </row>
  </sheetData>
  <mergeCells count="3">
    <mergeCell ref="W1:AI1"/>
    <mergeCell ref="W2:AB2"/>
    <mergeCell ref="AC2:AH2"/>
  </mergeCells>
  <pageMargins left="0.7" right="0.7" top="0.75" bottom="0.75" header="0.3" footer="0.3"/>
  <legacy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523D9E-C43D-EF4B-8B64-4612BB09D338}">
  <sheetPr codeName="Лист21"/>
  <dimension ref="A1:Z49"/>
  <sheetViews>
    <sheetView zoomScale="110" zoomScaleNormal="110" workbookViewId="0">
      <selection activeCell="C55" sqref="C55"/>
    </sheetView>
  </sheetViews>
  <sheetFormatPr baseColWidth="10" defaultColWidth="10.83203125" defaultRowHeight="16"/>
  <cols>
    <col min="1" max="1" width="44.6640625" style="95" customWidth="1"/>
    <col min="2" max="2" width="60.5" style="93" customWidth="1"/>
    <col min="3" max="3" width="17" style="93" customWidth="1"/>
    <col min="4" max="4" width="13.83203125" style="95" customWidth="1"/>
    <col min="5" max="5" width="16" style="95" customWidth="1"/>
    <col min="6" max="16384" width="10.83203125" style="95"/>
  </cols>
  <sheetData>
    <row r="1" spans="1:26" s="94" customFormat="1" ht="17">
      <c r="A1" s="94" t="s">
        <v>374</v>
      </c>
      <c r="B1" s="582" t="s">
        <v>375</v>
      </c>
      <c r="C1" s="582" t="s">
        <v>376</v>
      </c>
    </row>
    <row r="2" spans="1:26" s="585" customFormat="1">
      <c r="A2" s="585" t="s">
        <v>134</v>
      </c>
      <c r="B2" s="584"/>
      <c r="C2" s="584"/>
    </row>
    <row r="3" spans="1:26" s="583" customFormat="1" ht="21" customHeight="1">
      <c r="A3" s="591" t="s">
        <v>357</v>
      </c>
      <c r="B3" s="592" t="s">
        <v>387</v>
      </c>
      <c r="C3" s="93"/>
      <c r="D3" s="95"/>
      <c r="E3" s="95"/>
      <c r="F3" s="95"/>
      <c r="G3" s="95"/>
      <c r="H3" s="95"/>
      <c r="I3" s="95"/>
      <c r="J3" s="95"/>
      <c r="K3" s="95"/>
      <c r="L3" s="95"/>
      <c r="M3" s="95"/>
      <c r="N3" s="95"/>
      <c r="O3" s="95"/>
      <c r="P3" s="95"/>
      <c r="Q3" s="95"/>
      <c r="R3" s="95"/>
      <c r="S3" s="95"/>
      <c r="T3" s="95"/>
      <c r="U3" s="95"/>
      <c r="V3" s="95"/>
      <c r="W3" s="95"/>
      <c r="X3" s="95"/>
      <c r="Y3" s="95"/>
      <c r="Z3" s="95"/>
    </row>
    <row r="4" spans="1:26" ht="102">
      <c r="A4" s="593" t="s">
        <v>323</v>
      </c>
      <c r="B4" s="650" t="s">
        <v>441</v>
      </c>
      <c r="C4" s="93" t="s">
        <v>377</v>
      </c>
    </row>
    <row r="5" spans="1:26" ht="17">
      <c r="A5" s="594" t="s">
        <v>284</v>
      </c>
      <c r="B5" s="595"/>
    </row>
    <row r="6" spans="1:26" ht="17">
      <c r="A6" s="594" t="s">
        <v>285</v>
      </c>
      <c r="B6" s="595"/>
    </row>
    <row r="7" spans="1:26" ht="17">
      <c r="A7" s="594" t="s">
        <v>320</v>
      </c>
      <c r="B7" s="595"/>
    </row>
    <row r="8" spans="1:26" ht="17">
      <c r="A8" s="629" t="s">
        <v>322</v>
      </c>
      <c r="B8" s="595"/>
    </row>
    <row r="9" spans="1:26" ht="17">
      <c r="A9" s="596" t="s">
        <v>321</v>
      </c>
      <c r="B9" s="597"/>
    </row>
    <row r="10" spans="1:26" ht="34">
      <c r="A10" s="590" t="s">
        <v>63</v>
      </c>
      <c r="B10" s="589" t="s">
        <v>379</v>
      </c>
    </row>
    <row r="11" spans="1:26" ht="17">
      <c r="A11" s="590" t="s">
        <v>197</v>
      </c>
      <c r="B11" s="589" t="s">
        <v>378</v>
      </c>
    </row>
    <row r="12" spans="1:26" ht="68">
      <c r="A12" s="585" t="s">
        <v>381</v>
      </c>
      <c r="B12" s="93" t="s">
        <v>449</v>
      </c>
      <c r="C12" s="93" t="s">
        <v>380</v>
      </c>
    </row>
    <row r="13" spans="1:26" ht="102">
      <c r="A13" s="584" t="s">
        <v>369</v>
      </c>
      <c r="B13" s="651" t="s">
        <v>442</v>
      </c>
    </row>
    <row r="14" spans="1:26" ht="17">
      <c r="A14" s="584" t="s">
        <v>370</v>
      </c>
      <c r="B14" s="649" t="s">
        <v>440</v>
      </c>
    </row>
    <row r="18" spans="1:8" s="586" customFormat="1">
      <c r="A18" s="586" t="s">
        <v>383</v>
      </c>
      <c r="B18" s="587"/>
      <c r="C18" s="587"/>
    </row>
    <row r="19" spans="1:8" ht="17">
      <c r="A19" s="586" t="s">
        <v>428</v>
      </c>
      <c r="B19" s="93" t="s">
        <v>386</v>
      </c>
      <c r="C19" s="93" t="s">
        <v>136</v>
      </c>
    </row>
    <row r="20" spans="1:8" ht="17">
      <c r="A20" s="586" t="s">
        <v>132</v>
      </c>
      <c r="B20" s="639" t="s">
        <v>419</v>
      </c>
      <c r="C20" s="639" t="s">
        <v>135</v>
      </c>
      <c r="D20" s="96" t="s">
        <v>133</v>
      </c>
    </row>
    <row r="21" spans="1:8" ht="34">
      <c r="A21" s="586" t="s">
        <v>382</v>
      </c>
      <c r="B21" s="639" t="s">
        <v>432</v>
      </c>
      <c r="C21" s="639" t="s">
        <v>135</v>
      </c>
      <c r="D21" s="96" t="s">
        <v>133</v>
      </c>
    </row>
    <row r="22" spans="1:8" ht="34">
      <c r="A22" s="586" t="s">
        <v>390</v>
      </c>
      <c r="B22" s="648" t="s">
        <v>423</v>
      </c>
      <c r="C22" s="639" t="s">
        <v>135</v>
      </c>
      <c r="D22" s="96" t="s">
        <v>133</v>
      </c>
      <c r="G22" s="876">
        <v>3.7499999999999999E-2</v>
      </c>
    </row>
    <row r="23" spans="1:8" ht="34">
      <c r="A23" s="586" t="s">
        <v>384</v>
      </c>
      <c r="B23" s="639" t="s">
        <v>515</v>
      </c>
      <c r="C23" s="639" t="s">
        <v>135</v>
      </c>
      <c r="D23" s="638" t="s">
        <v>424</v>
      </c>
      <c r="G23" s="876">
        <f>G22+4.4%</f>
        <v>8.1500000000000003E-2</v>
      </c>
      <c r="H23" s="902">
        <f>(G23-G22)/G22</f>
        <v>1.1733333333333336</v>
      </c>
    </row>
    <row r="24" spans="1:8" ht="18">
      <c r="A24" s="586" t="s">
        <v>385</v>
      </c>
      <c r="B24" s="639" t="s">
        <v>516</v>
      </c>
      <c r="C24" s="639" t="s">
        <v>135</v>
      </c>
      <c r="D24" s="638" t="s">
        <v>424</v>
      </c>
      <c r="G24" s="254"/>
    </row>
    <row r="25" spans="1:8" ht="51">
      <c r="A25" s="586" t="s">
        <v>388</v>
      </c>
      <c r="B25" s="93" t="s">
        <v>425</v>
      </c>
      <c r="C25" s="93" t="s">
        <v>135</v>
      </c>
    </row>
    <row r="26" spans="1:8" ht="42" customHeight="1">
      <c r="A26" s="586" t="s">
        <v>426</v>
      </c>
      <c r="B26" s="93" t="s">
        <v>427</v>
      </c>
      <c r="C26" s="93" t="s">
        <v>389</v>
      </c>
    </row>
    <row r="28" spans="1:8" ht="68">
      <c r="A28" s="588" t="s">
        <v>138</v>
      </c>
      <c r="B28" s="589" t="s">
        <v>198</v>
      </c>
      <c r="C28" s="589" t="s">
        <v>137</v>
      </c>
    </row>
    <row r="30" spans="1:8">
      <c r="A30" s="93"/>
    </row>
    <row r="31" spans="1:8" ht="17">
      <c r="A31" s="1127" t="s">
        <v>594</v>
      </c>
      <c r="B31" s="1140"/>
      <c r="C31" s="592"/>
    </row>
    <row r="32" spans="1:8" ht="17">
      <c r="A32" s="1128" t="s">
        <v>595</v>
      </c>
      <c r="B32" s="95">
        <v>2</v>
      </c>
      <c r="C32" s="595" t="s">
        <v>596</v>
      </c>
    </row>
    <row r="33" spans="1:6" ht="17">
      <c r="A33" s="1128" t="s">
        <v>577</v>
      </c>
      <c r="B33" s="93">
        <v>1.5</v>
      </c>
      <c r="C33" s="595" t="s">
        <v>596</v>
      </c>
    </row>
    <row r="34" spans="1:6" ht="34">
      <c r="A34" s="1129" t="s">
        <v>578</v>
      </c>
      <c r="B34" s="93">
        <v>1.73</v>
      </c>
      <c r="C34" s="1125"/>
    </row>
    <row r="35" spans="1:6" ht="34">
      <c r="A35" s="1130" t="s">
        <v>579</v>
      </c>
      <c r="B35" s="1132">
        <v>7.69</v>
      </c>
      <c r="C35" s="1126"/>
    </row>
    <row r="36" spans="1:6">
      <c r="B36" s="95"/>
    </row>
    <row r="37" spans="1:6">
      <c r="B37" s="95"/>
    </row>
    <row r="39" spans="1:6" ht="68">
      <c r="A39" s="95" t="s">
        <v>592</v>
      </c>
      <c r="B39" s="1141">
        <v>0.62</v>
      </c>
      <c r="C39" s="1139" t="s">
        <v>593</v>
      </c>
    </row>
    <row r="43" spans="1:6">
      <c r="A43" s="95" t="s">
        <v>629</v>
      </c>
    </row>
    <row r="44" spans="1:6" ht="17">
      <c r="A44" s="1238"/>
      <c r="B44" s="1234" t="s">
        <v>202</v>
      </c>
      <c r="C44" s="592" t="s">
        <v>596</v>
      </c>
      <c r="D44" s="1238" t="s">
        <v>202</v>
      </c>
      <c r="E44" s="1239" t="s">
        <v>596</v>
      </c>
    </row>
    <row r="45" spans="1:6">
      <c r="A45" s="1128" t="s">
        <v>631</v>
      </c>
      <c r="B45" s="1128">
        <v>1</v>
      </c>
      <c r="C45" s="1243">
        <v>1.5</v>
      </c>
      <c r="D45" s="1128"/>
      <c r="E45" s="1240"/>
      <c r="F45" s="95" t="s">
        <v>633</v>
      </c>
    </row>
    <row r="46" spans="1:6">
      <c r="A46" s="1128" t="s">
        <v>632</v>
      </c>
      <c r="B46" s="1128">
        <v>2</v>
      </c>
      <c r="C46" s="1235">
        <f>C45*B46</f>
        <v>3</v>
      </c>
      <c r="D46" s="1128">
        <v>2.6</v>
      </c>
      <c r="E46" s="1243">
        <f>C45*D46</f>
        <v>3.9000000000000004</v>
      </c>
      <c r="F46" s="1233">
        <f>(D46-B46)/B46</f>
        <v>0.30000000000000004</v>
      </c>
    </row>
    <row r="47" spans="1:6">
      <c r="A47" s="1236" t="s">
        <v>630</v>
      </c>
      <c r="B47" s="1236">
        <v>1.7</v>
      </c>
      <c r="C47" s="1237">
        <f>C45*B47</f>
        <v>2.5499999999999998</v>
      </c>
      <c r="D47" s="1241">
        <f>((B47/100)*30)+B47</f>
        <v>2.21</v>
      </c>
      <c r="E47" s="1242">
        <f>C45*D47</f>
        <v>3.3149999999999999</v>
      </c>
    </row>
    <row r="48" spans="1:6">
      <c r="B48" s="95"/>
      <c r="D48" s="93"/>
    </row>
    <row r="49" spans="2:4">
      <c r="B49" s="95"/>
      <c r="D49" s="93"/>
    </row>
  </sheetData>
  <hyperlinks>
    <hyperlink ref="D20" r:id="rId1" xr:uid="{6E837917-C714-CD49-ADF6-803F3EA08613}"/>
    <hyperlink ref="D21" r:id="rId2" xr:uid="{B6056A99-5171-EE4B-A997-F6840DEFEEBD}"/>
    <hyperlink ref="D22" r:id="rId3" xr:uid="{BF29B17C-CBCD-004C-B9E4-695502BD2E57}"/>
    <hyperlink ref="C39" r:id="rId4" xr:uid="{EEBBA432-4D8B-BE48-8333-29DE9E59533A}"/>
    <hyperlink ref="D24" r:id="rId5" xr:uid="{98581003-2DEB-214F-B48F-E3D135DE3967}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6BDC60-0D8E-DD4A-ACA0-3B5B341E859E}">
  <sheetPr codeName="Лист22"/>
  <dimension ref="A1:S18"/>
  <sheetViews>
    <sheetView zoomScale="90" zoomScaleNormal="90" workbookViewId="0">
      <pane xSplit="2" ySplit="2" topLeftCell="C3" activePane="bottomRight" state="frozen"/>
      <selection pane="topRight" activeCell="B1" sqref="B1"/>
      <selection pane="bottomLeft" activeCell="A4" sqref="A4"/>
      <selection pane="bottomRight" activeCell="C7" sqref="C7"/>
    </sheetView>
  </sheetViews>
  <sheetFormatPr baseColWidth="10" defaultColWidth="10.83203125" defaultRowHeight="19" outlineLevelCol="1"/>
  <cols>
    <col min="1" max="1" width="23.5" style="2" customWidth="1"/>
    <col min="2" max="2" width="45.33203125" style="1" customWidth="1"/>
    <col min="3" max="3" width="47" style="1" customWidth="1"/>
    <col min="4" max="4" width="16" style="1" customWidth="1"/>
    <col min="5" max="5" width="14.33203125" style="1" customWidth="1"/>
    <col min="6" max="6" width="11.83203125" style="662" hidden="1" customWidth="1" outlineLevel="1"/>
    <col min="7" max="7" width="13.83203125" style="30" customWidth="1" collapsed="1"/>
    <col min="8" max="11" width="13.83203125" style="1" customWidth="1"/>
    <col min="12" max="12" width="13.83203125" style="36" customWidth="1"/>
    <col min="13" max="13" width="12.1640625" style="107" hidden="1" customWidth="1" outlineLevel="1"/>
    <col min="14" max="14" width="13.83203125" style="110" customWidth="1" collapsed="1"/>
    <col min="15" max="18" width="13.83203125" style="1" customWidth="1"/>
    <col min="19" max="19" width="13.83203125" style="36" customWidth="1"/>
    <col min="20" max="16384" width="10.83203125" style="2"/>
  </cols>
  <sheetData>
    <row r="1" spans="1:19">
      <c r="G1" s="2121" t="s">
        <v>139</v>
      </c>
      <c r="H1" s="2122"/>
      <c r="I1" s="2122"/>
      <c r="J1" s="2122"/>
      <c r="K1" s="2122"/>
      <c r="L1" s="2123"/>
      <c r="M1" s="1226"/>
      <c r="N1" s="2121" t="s">
        <v>172</v>
      </c>
      <c r="O1" s="2122"/>
      <c r="P1" s="2122"/>
      <c r="Q1" s="2122"/>
      <c r="R1" s="2122"/>
      <c r="S1" s="2123"/>
    </row>
    <row r="2" spans="1:19" s="22" customFormat="1" ht="120">
      <c r="A2" s="16"/>
      <c r="B2" s="19" t="s">
        <v>39</v>
      </c>
      <c r="C2" s="19" t="s">
        <v>57</v>
      </c>
      <c r="D2" s="1222" t="s">
        <v>626</v>
      </c>
      <c r="E2" s="1222" t="s">
        <v>625</v>
      </c>
      <c r="F2" s="663" t="s">
        <v>544</v>
      </c>
      <c r="G2" s="97" t="s">
        <v>71</v>
      </c>
      <c r="H2" s="103" t="s">
        <v>72</v>
      </c>
      <c r="I2" s="104" t="s">
        <v>73</v>
      </c>
      <c r="J2" s="104" t="s">
        <v>58</v>
      </c>
      <c r="K2" s="104" t="s">
        <v>59</v>
      </c>
      <c r="L2" s="98" t="s">
        <v>79</v>
      </c>
      <c r="M2" s="663" t="s">
        <v>544</v>
      </c>
      <c r="N2" s="116" t="s">
        <v>71</v>
      </c>
      <c r="O2" s="103" t="s">
        <v>72</v>
      </c>
      <c r="P2" s="104" t="s">
        <v>73</v>
      </c>
      <c r="Q2" s="104" t="s">
        <v>58</v>
      </c>
      <c r="R2" s="104" t="s">
        <v>59</v>
      </c>
      <c r="S2" s="98" t="s">
        <v>79</v>
      </c>
    </row>
    <row r="3" spans="1:19" ht="40">
      <c r="A3" s="38" t="s">
        <v>81</v>
      </c>
      <c r="B3" s="23" t="s">
        <v>54</v>
      </c>
      <c r="D3" s="1224"/>
      <c r="E3" s="1223">
        <v>1</v>
      </c>
      <c r="F3" s="942">
        <v>500</v>
      </c>
      <c r="G3" s="112">
        <v>1</v>
      </c>
      <c r="H3" s="119">
        <v>1</v>
      </c>
      <c r="I3" s="119">
        <v>1</v>
      </c>
      <c r="J3" s="106" t="s">
        <v>1</v>
      </c>
      <c r="K3" s="106" t="s">
        <v>1</v>
      </c>
      <c r="L3" s="35" t="s">
        <v>31</v>
      </c>
      <c r="M3" s="942">
        <v>500</v>
      </c>
      <c r="N3" s="105">
        <v>1</v>
      </c>
      <c r="O3" s="105">
        <v>1</v>
      </c>
      <c r="P3" s="105">
        <v>1</v>
      </c>
      <c r="Q3" s="106" t="s">
        <v>1</v>
      </c>
      <c r="R3" s="106" t="s">
        <v>1</v>
      </c>
      <c r="S3" s="35" t="s">
        <v>31</v>
      </c>
    </row>
    <row r="4" spans="1:19" ht="20">
      <c r="A4" s="42" t="s">
        <v>83</v>
      </c>
      <c r="B4" s="43" t="s">
        <v>55</v>
      </c>
      <c r="C4" s="2"/>
      <c r="D4" s="1225"/>
      <c r="E4" s="1225"/>
      <c r="F4" s="943"/>
      <c r="G4" s="59">
        <v>1</v>
      </c>
      <c r="H4" s="105">
        <v>1</v>
      </c>
      <c r="I4" s="105">
        <v>1</v>
      </c>
      <c r="J4" s="106" t="s">
        <v>1</v>
      </c>
      <c r="K4" s="106" t="s">
        <v>1</v>
      </c>
      <c r="L4" s="35" t="s">
        <v>31</v>
      </c>
      <c r="M4" s="941"/>
      <c r="N4" s="105">
        <v>1</v>
      </c>
      <c r="O4" s="105">
        <v>1</v>
      </c>
      <c r="P4" s="105">
        <v>1</v>
      </c>
      <c r="Q4" s="106" t="s">
        <v>1</v>
      </c>
      <c r="R4" s="106" t="s">
        <v>1</v>
      </c>
      <c r="S4" s="35" t="s">
        <v>31</v>
      </c>
    </row>
    <row r="5" spans="1:19" ht="40">
      <c r="A5" s="42"/>
      <c r="B5" s="43" t="s">
        <v>53</v>
      </c>
      <c r="C5" s="1" t="s">
        <v>74</v>
      </c>
      <c r="D5" s="1224"/>
      <c r="E5" s="1224"/>
      <c r="F5" s="942"/>
      <c r="G5" s="59">
        <v>1</v>
      </c>
      <c r="H5" s="105">
        <v>1</v>
      </c>
      <c r="I5" s="105">
        <v>1</v>
      </c>
      <c r="J5" s="106" t="s">
        <v>1</v>
      </c>
      <c r="K5" s="106" t="s">
        <v>1</v>
      </c>
      <c r="L5" s="35" t="s">
        <v>31</v>
      </c>
      <c r="M5" s="941"/>
      <c r="N5" s="105">
        <v>1</v>
      </c>
      <c r="O5" s="105">
        <v>1</v>
      </c>
      <c r="P5" s="105">
        <v>1</v>
      </c>
      <c r="Q5" s="106" t="s">
        <v>1</v>
      </c>
      <c r="R5" s="106" t="s">
        <v>1</v>
      </c>
      <c r="S5" s="35" t="s">
        <v>31</v>
      </c>
    </row>
    <row r="6" spans="1:19" ht="20">
      <c r="A6" s="42"/>
      <c r="B6" s="43" t="s">
        <v>38</v>
      </c>
      <c r="D6" s="1224"/>
      <c r="E6" s="1224"/>
      <c r="F6" s="942"/>
      <c r="G6" s="33" t="s">
        <v>31</v>
      </c>
      <c r="H6" s="107" t="s">
        <v>31</v>
      </c>
      <c r="I6" s="107" t="s">
        <v>31</v>
      </c>
      <c r="J6" s="106" t="s">
        <v>1</v>
      </c>
      <c r="K6" s="106" t="s">
        <v>1</v>
      </c>
      <c r="L6" s="35" t="s">
        <v>31</v>
      </c>
      <c r="M6" s="941"/>
      <c r="N6" s="107" t="s">
        <v>31</v>
      </c>
      <c r="O6" s="107" t="s">
        <v>31</v>
      </c>
      <c r="P6" s="107" t="s">
        <v>31</v>
      </c>
      <c r="Q6" s="106" t="s">
        <v>1</v>
      </c>
      <c r="R6" s="106" t="s">
        <v>1</v>
      </c>
      <c r="S6" s="35" t="s">
        <v>31</v>
      </c>
    </row>
    <row r="7" spans="1:19" ht="20">
      <c r="A7" s="42"/>
      <c r="B7" s="43" t="s">
        <v>0</v>
      </c>
      <c r="D7" s="1224"/>
      <c r="E7" s="1224"/>
      <c r="F7" s="942"/>
      <c r="G7" s="33" t="s">
        <v>31</v>
      </c>
      <c r="H7" s="107" t="s">
        <v>31</v>
      </c>
      <c r="I7" s="107" t="s">
        <v>31</v>
      </c>
      <c r="J7" s="106" t="s">
        <v>1</v>
      </c>
      <c r="K7" s="106" t="s">
        <v>1</v>
      </c>
      <c r="L7" s="35" t="s">
        <v>31</v>
      </c>
      <c r="M7" s="941"/>
      <c r="N7" s="107" t="s">
        <v>31</v>
      </c>
      <c r="O7" s="107" t="s">
        <v>31</v>
      </c>
      <c r="P7" s="107" t="s">
        <v>31</v>
      </c>
      <c r="Q7" s="106" t="s">
        <v>1</v>
      </c>
      <c r="R7" s="106" t="s">
        <v>1</v>
      </c>
      <c r="S7" s="35" t="s">
        <v>31</v>
      </c>
    </row>
    <row r="8" spans="1:19" ht="40">
      <c r="A8" s="38" t="s">
        <v>81</v>
      </c>
      <c r="B8" s="23" t="s">
        <v>70</v>
      </c>
      <c r="C8" s="1" t="s">
        <v>60</v>
      </c>
      <c r="D8" s="1224" t="s">
        <v>623</v>
      </c>
      <c r="E8" s="1223">
        <v>0.13</v>
      </c>
      <c r="F8" s="942">
        <f>G8*$F$3</f>
        <v>65</v>
      </c>
      <c r="G8" s="99">
        <v>0.13</v>
      </c>
      <c r="H8" s="108">
        <f>G10</f>
        <v>5.2000000000000005E-2</v>
      </c>
      <c r="I8" s="34">
        <f>G8-G10</f>
        <v>7.8E-2</v>
      </c>
      <c r="J8" s="106" t="s">
        <v>1</v>
      </c>
      <c r="K8" s="106" t="s">
        <v>1</v>
      </c>
      <c r="L8" s="35" t="s">
        <v>1</v>
      </c>
      <c r="M8" s="941">
        <f>N8*$M$3</f>
        <v>65</v>
      </c>
      <c r="N8" s="117">
        <v>0.13</v>
      </c>
      <c r="O8" s="113">
        <f>H8</f>
        <v>5.2000000000000005E-2</v>
      </c>
      <c r="P8" s="114">
        <f>I8</f>
        <v>7.8E-2</v>
      </c>
      <c r="Q8" s="106" t="s">
        <v>1</v>
      </c>
      <c r="R8" s="106" t="s">
        <v>1</v>
      </c>
      <c r="S8" s="35" t="s">
        <v>1</v>
      </c>
    </row>
    <row r="9" spans="1:19" ht="20">
      <c r="A9" s="38"/>
      <c r="B9" s="23" t="s">
        <v>50</v>
      </c>
      <c r="D9" s="1224" t="s">
        <v>624</v>
      </c>
      <c r="E9" s="1223">
        <v>1</v>
      </c>
      <c r="F9" s="942">
        <f>G9*$F$3</f>
        <v>65</v>
      </c>
      <c r="G9" s="99">
        <f>G8</f>
        <v>0.13</v>
      </c>
      <c r="H9" s="106">
        <f>H8</f>
        <v>5.2000000000000005E-2</v>
      </c>
      <c r="I9" s="106">
        <f>I8</f>
        <v>7.8E-2</v>
      </c>
      <c r="J9" s="106" t="s">
        <v>1</v>
      </c>
      <c r="K9" s="106" t="s">
        <v>1</v>
      </c>
      <c r="L9" s="35" t="s">
        <v>1</v>
      </c>
      <c r="M9" s="941">
        <f>N9*$M$3</f>
        <v>500</v>
      </c>
      <c r="N9" s="118">
        <v>1</v>
      </c>
      <c r="O9" s="106">
        <f>H9/G9</f>
        <v>0.4</v>
      </c>
      <c r="P9" s="106">
        <f>I9/G9</f>
        <v>0.6</v>
      </c>
      <c r="Q9" s="106" t="s">
        <v>1</v>
      </c>
      <c r="R9" s="106" t="s">
        <v>1</v>
      </c>
      <c r="S9" s="35" t="s">
        <v>1</v>
      </c>
    </row>
    <row r="10" spans="1:19" ht="40">
      <c r="A10" s="40" t="s">
        <v>77</v>
      </c>
      <c r="B10" s="25" t="s">
        <v>51</v>
      </c>
      <c r="C10" s="1" t="s">
        <v>60</v>
      </c>
      <c r="D10" s="1224" t="s">
        <v>624</v>
      </c>
      <c r="E10" s="1223">
        <v>0.4</v>
      </c>
      <c r="F10" s="942">
        <f>G10*$F$3</f>
        <v>26.000000000000004</v>
      </c>
      <c r="G10" s="31">
        <f>40%*G9</f>
        <v>5.2000000000000005E-2</v>
      </c>
      <c r="H10" s="108">
        <f>H9</f>
        <v>5.2000000000000005E-2</v>
      </c>
      <c r="I10" s="109">
        <v>0</v>
      </c>
      <c r="J10" s="106" t="s">
        <v>1</v>
      </c>
      <c r="K10" s="106" t="s">
        <v>1</v>
      </c>
      <c r="L10" s="35" t="s">
        <v>1</v>
      </c>
      <c r="M10" s="941">
        <f>N10*$M$8</f>
        <v>26</v>
      </c>
      <c r="N10" s="118">
        <v>0.4</v>
      </c>
      <c r="O10" s="109">
        <f>N10</f>
        <v>0.4</v>
      </c>
      <c r="P10" s="109">
        <v>0</v>
      </c>
      <c r="Q10" s="106" t="s">
        <v>1</v>
      </c>
      <c r="R10" s="106" t="s">
        <v>1</v>
      </c>
      <c r="S10" s="35" t="s">
        <v>1</v>
      </c>
    </row>
    <row r="11" spans="1:19" ht="20">
      <c r="A11" s="40"/>
      <c r="B11" s="25" t="s">
        <v>52</v>
      </c>
      <c r="C11" s="1" t="s">
        <v>75</v>
      </c>
      <c r="D11" s="1224" t="s">
        <v>624</v>
      </c>
      <c r="E11" s="1227">
        <v>0.29799999999999999</v>
      </c>
      <c r="F11" s="942">
        <f>G11*$F$3</f>
        <v>19.369999999999997</v>
      </c>
      <c r="G11" s="100">
        <f>H11</f>
        <v>3.8739999999999997E-2</v>
      </c>
      <c r="H11" s="32">
        <f>29.8%*G8</f>
        <v>3.8739999999999997E-2</v>
      </c>
      <c r="I11" s="109">
        <v>0</v>
      </c>
      <c r="J11" s="106" t="s">
        <v>1</v>
      </c>
      <c r="K11" s="106" t="s">
        <v>1</v>
      </c>
      <c r="L11" s="35" t="s">
        <v>1</v>
      </c>
      <c r="M11" s="941">
        <f t="shared" ref="M11:M14" si="0">N11*$M$8</f>
        <v>19.369999999999997</v>
      </c>
      <c r="N11" s="32">
        <f>O11</f>
        <v>0.29799999999999999</v>
      </c>
      <c r="O11" s="32">
        <v>0.29799999999999999</v>
      </c>
      <c r="P11" s="109">
        <v>0</v>
      </c>
      <c r="Q11" s="106" t="s">
        <v>1</v>
      </c>
      <c r="R11" s="106" t="s">
        <v>1</v>
      </c>
      <c r="S11" s="35" t="s">
        <v>1</v>
      </c>
    </row>
    <row r="12" spans="1:19" ht="80">
      <c r="A12" s="41" t="s">
        <v>78</v>
      </c>
      <c r="B12" s="14" t="s">
        <v>56</v>
      </c>
      <c r="C12" s="1" t="s">
        <v>76</v>
      </c>
      <c r="D12" s="1224" t="s">
        <v>624</v>
      </c>
      <c r="E12" s="1227">
        <v>0.45500000000000002</v>
      </c>
      <c r="F12" s="942">
        <f>G12*$F$3</f>
        <v>29.574999999999999</v>
      </c>
      <c r="G12" s="101">
        <f>I12</f>
        <v>5.9150000000000001E-2</v>
      </c>
      <c r="H12" s="110" t="s">
        <v>1</v>
      </c>
      <c r="I12" s="34">
        <f>45.5%*G8</f>
        <v>5.9150000000000001E-2</v>
      </c>
      <c r="J12" s="34">
        <f>15.2%*I12</f>
        <v>8.9908000000000002E-3</v>
      </c>
      <c r="K12" s="34">
        <f>84.8%*I12</f>
        <v>5.0159200000000001E-2</v>
      </c>
      <c r="L12" s="35" t="s">
        <v>1</v>
      </c>
      <c r="M12" s="941">
        <f t="shared" si="0"/>
        <v>29.574999999999999</v>
      </c>
      <c r="N12" s="108">
        <f>P12</f>
        <v>0.45500000000000002</v>
      </c>
      <c r="O12" s="110" t="s">
        <v>1</v>
      </c>
      <c r="P12" s="108">
        <v>0.45500000000000002</v>
      </c>
      <c r="Q12" s="34">
        <f>15.2%*P12</f>
        <v>6.9159999999999999E-2</v>
      </c>
      <c r="R12" s="34">
        <f>84.8%*P12</f>
        <v>0.38584000000000002</v>
      </c>
      <c r="S12" s="35" t="s">
        <v>1</v>
      </c>
    </row>
    <row r="13" spans="1:19" ht="60">
      <c r="A13" s="38" t="s">
        <v>81</v>
      </c>
      <c r="B13" s="23" t="s">
        <v>82</v>
      </c>
      <c r="C13" s="1" t="s">
        <v>140</v>
      </c>
      <c r="D13" s="1224" t="s">
        <v>627</v>
      </c>
      <c r="E13" s="1223">
        <v>0.2</v>
      </c>
      <c r="F13" s="942"/>
      <c r="G13" s="102" t="s">
        <v>31</v>
      </c>
      <c r="H13" s="111">
        <f>20%*H11</f>
        <v>7.7479999999999997E-3</v>
      </c>
      <c r="I13" s="37" t="s">
        <v>31</v>
      </c>
      <c r="J13" s="37" t="s">
        <v>31</v>
      </c>
      <c r="K13" s="37" t="s">
        <v>31</v>
      </c>
      <c r="L13" s="35" t="s">
        <v>1</v>
      </c>
      <c r="M13" s="941"/>
      <c r="N13" s="115" t="s">
        <v>31</v>
      </c>
      <c r="O13" s="108">
        <f>O11/O10*20%</f>
        <v>0.14899999999999999</v>
      </c>
      <c r="P13" s="37" t="s">
        <v>31</v>
      </c>
      <c r="Q13" s="37" t="s">
        <v>31</v>
      </c>
      <c r="R13" s="37" t="s">
        <v>31</v>
      </c>
      <c r="S13" s="35" t="s">
        <v>1</v>
      </c>
    </row>
    <row r="14" spans="1:19" ht="80">
      <c r="A14" s="38"/>
      <c r="B14" s="23" t="s">
        <v>80</v>
      </c>
      <c r="C14" s="1" t="s">
        <v>545</v>
      </c>
      <c r="D14" s="1224" t="s">
        <v>623</v>
      </c>
      <c r="E14" s="1224" t="s">
        <v>628</v>
      </c>
      <c r="F14" s="942">
        <f>G14*$F$3</f>
        <v>5.55</v>
      </c>
      <c r="G14" s="124">
        <f>H14+I14</f>
        <v>1.11E-2</v>
      </c>
      <c r="H14" s="123">
        <v>7.0000000000000001E-3</v>
      </c>
      <c r="I14" s="123">
        <v>4.1000000000000003E-3</v>
      </c>
      <c r="J14" s="111">
        <f>34%*J12</f>
        <v>3.0568720000000004E-3</v>
      </c>
      <c r="K14" s="111">
        <f>2%*K12</f>
        <v>1.0031840000000001E-3</v>
      </c>
      <c r="L14" s="35" t="s">
        <v>31</v>
      </c>
      <c r="M14" s="941">
        <f t="shared" si="0"/>
        <v>5.5500000000000007</v>
      </c>
      <c r="N14" s="125">
        <f>G14/N8</f>
        <v>8.5384615384615392E-2</v>
      </c>
      <c r="O14" s="125">
        <f>H14/O8</f>
        <v>0.13461538461538461</v>
      </c>
      <c r="P14" s="123">
        <f>I14/I8</f>
        <v>5.2564102564102572E-2</v>
      </c>
      <c r="Q14" s="111">
        <f>J14/I8</f>
        <v>3.9190666666666672E-2</v>
      </c>
      <c r="R14" s="111">
        <f>K14/I8</f>
        <v>1.2861333333333334E-2</v>
      </c>
      <c r="S14" s="35" t="s">
        <v>31</v>
      </c>
    </row>
    <row r="15" spans="1:19" ht="20">
      <c r="A15" s="42" t="s">
        <v>83</v>
      </c>
      <c r="B15" s="43" t="s">
        <v>112</v>
      </c>
      <c r="G15" s="102" t="s">
        <v>31</v>
      </c>
      <c r="H15" s="115" t="s">
        <v>31</v>
      </c>
      <c r="I15" s="115" t="s">
        <v>31</v>
      </c>
      <c r="J15" s="115" t="s">
        <v>31</v>
      </c>
      <c r="K15" s="115" t="s">
        <v>31</v>
      </c>
      <c r="L15" s="120" t="s">
        <v>31</v>
      </c>
      <c r="N15" s="102" t="s">
        <v>31</v>
      </c>
      <c r="O15" s="115" t="s">
        <v>31</v>
      </c>
      <c r="P15" s="115" t="s">
        <v>31</v>
      </c>
      <c r="Q15" s="115" t="s">
        <v>31</v>
      </c>
      <c r="R15" s="115" t="s">
        <v>31</v>
      </c>
      <c r="S15" s="120" t="s">
        <v>31</v>
      </c>
    </row>
    <row r="16" spans="1:19">
      <c r="H16" s="111"/>
      <c r="I16" s="110"/>
      <c r="J16" s="110"/>
      <c r="K16" s="110"/>
      <c r="O16" s="111"/>
      <c r="P16" s="110"/>
      <c r="Q16" s="110"/>
      <c r="R16" s="110"/>
    </row>
    <row r="17" spans="8:18">
      <c r="H17" s="111"/>
      <c r="I17" s="121"/>
      <c r="J17" s="110"/>
      <c r="K17" s="110"/>
      <c r="O17" s="111"/>
      <c r="P17" s="110"/>
      <c r="Q17" s="110"/>
      <c r="R17" s="110"/>
    </row>
    <row r="18" spans="8:18">
      <c r="H18" s="111"/>
      <c r="I18" s="111"/>
      <c r="J18" s="110"/>
      <c r="K18" s="110"/>
      <c r="O18" s="111"/>
      <c r="P18" s="110"/>
      <c r="Q18" s="110"/>
      <c r="R18" s="110"/>
    </row>
  </sheetData>
  <mergeCells count="2">
    <mergeCell ref="G1:L1"/>
    <mergeCell ref="N1:S1"/>
  </mergeCells>
  <pageMargins left="0.7" right="0.7" top="0.75" bottom="0.75" header="0.3" footer="0.3"/>
  <pageSetup paperSize="9" orientation="portrait" horizontalDpi="0" verticalDpi="0"/>
  <legacy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178D63-2353-A14F-A44F-541062431287}">
  <sheetPr codeName="Лист23"/>
  <dimension ref="A1:C26"/>
  <sheetViews>
    <sheetView topLeftCell="A2" zoomScale="140" zoomScaleNormal="140" workbookViewId="0">
      <selection activeCell="B21" sqref="B21"/>
    </sheetView>
  </sheetViews>
  <sheetFormatPr baseColWidth="10" defaultColWidth="8.83203125" defaultRowHeight="16"/>
  <cols>
    <col min="1" max="1" width="36" customWidth="1"/>
    <col min="2" max="2" width="34.5" customWidth="1"/>
    <col min="3" max="3" width="77.1640625" customWidth="1"/>
  </cols>
  <sheetData>
    <row r="1" spans="1:3" ht="17">
      <c r="A1" s="2124" t="s">
        <v>84</v>
      </c>
      <c r="B1" s="2125"/>
    </row>
    <row r="2" spans="1:3" ht="93" customHeight="1">
      <c r="A2" s="2126" t="s">
        <v>85</v>
      </c>
      <c r="B2" s="2125"/>
      <c r="C2" s="905" t="s">
        <v>524</v>
      </c>
    </row>
    <row r="3" spans="1:3">
      <c r="C3" s="906"/>
    </row>
    <row r="4" spans="1:3">
      <c r="A4" s="44" t="s">
        <v>86</v>
      </c>
      <c r="B4" s="45" t="s">
        <v>87</v>
      </c>
      <c r="C4" s="907" t="s">
        <v>523</v>
      </c>
    </row>
    <row r="5" spans="1:3">
      <c r="A5" s="46" t="s">
        <v>88</v>
      </c>
      <c r="B5" s="47" t="s">
        <v>89</v>
      </c>
      <c r="C5" s="908" t="s">
        <v>517</v>
      </c>
    </row>
    <row r="6" spans="1:3">
      <c r="A6" s="46" t="s">
        <v>90</v>
      </c>
      <c r="B6" s="47" t="s">
        <v>91</v>
      </c>
      <c r="C6" s="909" t="s">
        <v>518</v>
      </c>
    </row>
    <row r="7" spans="1:3" ht="51">
      <c r="A7" s="46" t="s">
        <v>92</v>
      </c>
      <c r="B7" s="47" t="s">
        <v>93</v>
      </c>
      <c r="C7" s="910" t="s">
        <v>519</v>
      </c>
    </row>
    <row r="8" spans="1:3">
      <c r="A8" s="46" t="s">
        <v>94</v>
      </c>
      <c r="B8" s="47" t="s">
        <v>95</v>
      </c>
      <c r="C8" s="909"/>
    </row>
    <row r="9" spans="1:3">
      <c r="A9" s="49" t="s">
        <v>96</v>
      </c>
      <c r="B9" s="50">
        <v>7.0000000000000001E-3</v>
      </c>
      <c r="C9" s="911" t="s">
        <v>522</v>
      </c>
    </row>
    <row r="10" spans="1:3">
      <c r="C10" s="912" t="s">
        <v>520</v>
      </c>
    </row>
    <row r="11" spans="1:3">
      <c r="C11" s="906" t="s">
        <v>521</v>
      </c>
    </row>
    <row r="14" spans="1:3">
      <c r="A14" s="44" t="s">
        <v>97</v>
      </c>
      <c r="B14" s="52" t="s">
        <v>98</v>
      </c>
      <c r="C14" s="53"/>
    </row>
    <row r="15" spans="1:3">
      <c r="A15" s="46" t="s">
        <v>88</v>
      </c>
      <c r="B15" s="47" t="s">
        <v>89</v>
      </c>
      <c r="C15" s="48"/>
    </row>
    <row r="16" spans="1:3">
      <c r="A16" s="46" t="s">
        <v>99</v>
      </c>
      <c r="B16" s="47" t="s">
        <v>100</v>
      </c>
      <c r="C16" s="48"/>
    </row>
    <row r="17" spans="1:3">
      <c r="A17" s="54" t="s">
        <v>101</v>
      </c>
      <c r="B17" s="55" t="s">
        <v>102</v>
      </c>
      <c r="C17" s="48"/>
    </row>
    <row r="18" spans="1:3">
      <c r="A18" s="54" t="s">
        <v>103</v>
      </c>
      <c r="B18" s="55" t="s">
        <v>104</v>
      </c>
      <c r="C18" s="48"/>
    </row>
    <row r="19" spans="1:3">
      <c r="A19" s="54" t="s">
        <v>105</v>
      </c>
      <c r="B19" s="55" t="s">
        <v>106</v>
      </c>
      <c r="C19" s="48"/>
    </row>
    <row r="20" spans="1:3">
      <c r="A20" s="54" t="s">
        <v>107</v>
      </c>
      <c r="B20" s="55" t="s">
        <v>108</v>
      </c>
      <c r="C20" s="48"/>
    </row>
    <row r="21" spans="1:3">
      <c r="A21" s="56" t="s">
        <v>109</v>
      </c>
      <c r="B21" s="57" t="s">
        <v>110</v>
      </c>
      <c r="C21" s="51"/>
    </row>
    <row r="22" spans="1:3">
      <c r="A22" s="49" t="s">
        <v>96</v>
      </c>
      <c r="B22" s="58" t="s">
        <v>111</v>
      </c>
      <c r="C22" s="51"/>
    </row>
    <row r="25" spans="1:3">
      <c r="A25" s="611" t="s">
        <v>413</v>
      </c>
    </row>
    <row r="26" spans="1:3">
      <c r="A26" s="6" t="s">
        <v>414</v>
      </c>
    </row>
  </sheetData>
  <mergeCells count="2">
    <mergeCell ref="A1:B1"/>
    <mergeCell ref="A2:B2"/>
  </mergeCells>
  <hyperlinks>
    <hyperlink ref="A26" r:id="rId1" xr:uid="{327F2B30-8CD4-4942-B410-FA8DB848D7DF}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479573-AEBF-6C4C-9139-64F8131F6FE0}">
  <sheetPr codeName="Лист24"/>
  <dimension ref="A1:BJ134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D18" sqref="D18"/>
    </sheetView>
  </sheetViews>
  <sheetFormatPr baseColWidth="10" defaultColWidth="10.83203125" defaultRowHeight="19" outlineLevelRow="1" outlineLevelCol="1"/>
  <cols>
    <col min="1" max="1" width="55.6640625" style="1" customWidth="1"/>
    <col min="2" max="2" width="16" style="436" customWidth="1"/>
    <col min="3" max="6" width="19.33203125" style="1" customWidth="1" outlineLevel="1"/>
    <col min="7" max="7" width="23" style="295" customWidth="1"/>
    <col min="8" max="8" width="17" style="87" customWidth="1"/>
    <col min="9" max="12" width="17" style="1" hidden="1" customWidth="1" outlineLevel="1"/>
    <col min="13" max="13" width="18.1640625" style="295" customWidth="1" collapsed="1"/>
    <col min="14" max="14" width="17" style="87" customWidth="1"/>
    <col min="15" max="17" width="17" style="1" hidden="1" customWidth="1" outlineLevel="1"/>
    <col min="18" max="18" width="17.33203125" style="1" hidden="1" customWidth="1" outlineLevel="1"/>
    <col min="19" max="19" width="16.5" style="1" customWidth="1" collapsed="1"/>
    <col min="20" max="20" width="14.33203125" style="87" customWidth="1"/>
    <col min="21" max="24" width="14.33203125" style="1" hidden="1" customWidth="1" outlineLevel="1"/>
    <col min="25" max="25" width="14.33203125" style="1" customWidth="1" collapsed="1"/>
    <col min="26" max="26" width="14.33203125" style="1" customWidth="1"/>
    <col min="27" max="30" width="14.33203125" style="1" hidden="1" customWidth="1" outlineLevel="1"/>
    <col min="31" max="31" width="14.33203125" style="1" customWidth="1" collapsed="1"/>
    <col min="32" max="32" width="17" style="295" customWidth="1"/>
    <col min="33" max="37" width="11.83203125" style="1" customWidth="1"/>
    <col min="38" max="38" width="13.83203125" style="1" customWidth="1"/>
    <col min="39" max="39" width="16.33203125" style="1" customWidth="1"/>
    <col min="40" max="44" width="17" style="1" customWidth="1"/>
    <col min="45" max="50" width="10.83203125" style="423"/>
    <col min="51" max="62" width="17" style="1" customWidth="1"/>
    <col min="63" max="16384" width="10.83203125" style="423"/>
  </cols>
  <sheetData>
    <row r="1" spans="1:62" s="580" customFormat="1" ht="20" thickBot="1">
      <c r="A1" s="16"/>
      <c r="B1" s="665" t="s">
        <v>314</v>
      </c>
      <c r="C1" s="666"/>
      <c r="D1" s="667"/>
      <c r="E1" s="667"/>
      <c r="F1" s="667"/>
      <c r="G1" s="668"/>
      <c r="H1" s="665" t="s">
        <v>315</v>
      </c>
      <c r="I1" s="666"/>
      <c r="J1" s="667"/>
      <c r="K1" s="667"/>
      <c r="L1" s="667"/>
      <c r="M1" s="668"/>
      <c r="N1" s="669" t="s">
        <v>401</v>
      </c>
      <c r="O1" s="670"/>
      <c r="P1" s="310"/>
      <c r="Q1" s="310"/>
      <c r="R1" s="310"/>
      <c r="S1" s="310"/>
      <c r="T1" s="2113" t="s">
        <v>448</v>
      </c>
      <c r="U1" s="2114"/>
      <c r="V1" s="2114"/>
      <c r="W1" s="2114"/>
      <c r="X1" s="2114"/>
      <c r="Y1" s="2114"/>
      <c r="Z1" s="2106"/>
      <c r="AA1" s="2106"/>
      <c r="AB1" s="2106"/>
      <c r="AC1" s="2106"/>
      <c r="AD1" s="2106"/>
      <c r="AE1" s="2106"/>
      <c r="AF1" s="2115"/>
      <c r="AG1" s="653" t="s">
        <v>316</v>
      </c>
      <c r="AH1" s="654"/>
      <c r="AI1" s="655"/>
      <c r="AJ1" s="655"/>
      <c r="AK1" s="655"/>
      <c r="AL1" s="656"/>
      <c r="AM1" s="657" t="s">
        <v>317</v>
      </c>
      <c r="AN1" s="654"/>
      <c r="AO1" s="655"/>
      <c r="AP1" s="655"/>
      <c r="AQ1" s="655"/>
      <c r="AR1" s="656"/>
    </row>
    <row r="2" spans="1:62" ht="21" customHeight="1" thickBot="1">
      <c r="B2" s="381"/>
      <c r="D2" s="13"/>
      <c r="E2" s="13"/>
      <c r="F2" s="13"/>
      <c r="G2" s="297"/>
      <c r="H2" s="381"/>
      <c r="J2" s="13"/>
      <c r="K2" s="13"/>
      <c r="L2" s="13"/>
      <c r="M2" s="297"/>
      <c r="N2" s="579"/>
      <c r="O2" s="85"/>
      <c r="P2" s="86"/>
      <c r="Q2" s="86"/>
      <c r="R2" s="86"/>
      <c r="S2" s="86"/>
      <c r="T2" s="2127" t="s">
        <v>447</v>
      </c>
      <c r="U2" s="2128"/>
      <c r="V2" s="2128"/>
      <c r="W2" s="2128"/>
      <c r="X2" s="2128"/>
      <c r="Y2" s="2128"/>
      <c r="Z2" s="2129" t="s">
        <v>446</v>
      </c>
      <c r="AA2" s="2130"/>
      <c r="AB2" s="2130"/>
      <c r="AC2" s="2130"/>
      <c r="AD2" s="2130"/>
      <c r="AE2" s="2131"/>
      <c r="AF2" s="658"/>
      <c r="AG2" s="139"/>
      <c r="AI2" s="13"/>
      <c r="AJ2" s="13"/>
      <c r="AK2" s="13"/>
      <c r="AL2" s="614"/>
      <c r="AM2" s="139"/>
      <c r="AO2" s="13"/>
      <c r="AP2" s="13"/>
      <c r="AQ2" s="13"/>
      <c r="AR2" s="614"/>
      <c r="AY2" s="423"/>
      <c r="AZ2" s="423"/>
      <c r="BA2" s="423"/>
      <c r="BB2" s="423"/>
      <c r="BC2" s="423"/>
      <c r="BD2" s="423"/>
      <c r="BE2" s="423"/>
      <c r="BF2" s="423"/>
      <c r="BG2" s="423"/>
      <c r="BH2" s="423"/>
      <c r="BI2" s="423"/>
      <c r="BJ2" s="423"/>
    </row>
    <row r="3" spans="1:62" s="578" customFormat="1" ht="114" customHeight="1">
      <c r="A3" s="576" t="s">
        <v>39</v>
      </c>
      <c r="B3" s="577" t="s">
        <v>402</v>
      </c>
      <c r="C3" s="347" t="s">
        <v>37</v>
      </c>
      <c r="D3" s="347" t="s">
        <v>214</v>
      </c>
      <c r="E3" s="347" t="s">
        <v>210</v>
      </c>
      <c r="F3" s="347" t="s">
        <v>209</v>
      </c>
      <c r="G3" s="348" t="s">
        <v>420</v>
      </c>
      <c r="H3" s="577" t="s">
        <v>402</v>
      </c>
      <c r="I3" s="347" t="s">
        <v>301</v>
      </c>
      <c r="J3" s="347" t="s">
        <v>302</v>
      </c>
      <c r="K3" s="347" t="s">
        <v>303</v>
      </c>
      <c r="L3" s="347" t="s">
        <v>304</v>
      </c>
      <c r="M3" s="348" t="s">
        <v>420</v>
      </c>
      <c r="N3" s="577" t="s">
        <v>402</v>
      </c>
      <c r="O3" s="347" t="s">
        <v>301</v>
      </c>
      <c r="P3" s="347" t="s">
        <v>302</v>
      </c>
      <c r="Q3" s="347" t="s">
        <v>303</v>
      </c>
      <c r="R3" s="347" t="s">
        <v>304</v>
      </c>
      <c r="S3" s="347" t="s">
        <v>420</v>
      </c>
      <c r="T3" s="659" t="s">
        <v>402</v>
      </c>
      <c r="U3" s="85" t="s">
        <v>301</v>
      </c>
      <c r="V3" s="85" t="s">
        <v>302</v>
      </c>
      <c r="W3" s="85" t="s">
        <v>303</v>
      </c>
      <c r="X3" s="85" t="s">
        <v>304</v>
      </c>
      <c r="Y3" s="85" t="s">
        <v>443</v>
      </c>
      <c r="Z3" s="661" t="s">
        <v>402</v>
      </c>
      <c r="AA3" s="85" t="s">
        <v>301</v>
      </c>
      <c r="AB3" s="85" t="s">
        <v>302</v>
      </c>
      <c r="AC3" s="85" t="s">
        <v>303</v>
      </c>
      <c r="AD3" s="85" t="s">
        <v>304</v>
      </c>
      <c r="AE3" s="660" t="s">
        <v>444</v>
      </c>
      <c r="AF3" s="680" t="s">
        <v>445</v>
      </c>
      <c r="AG3" s="627" t="s">
        <v>402</v>
      </c>
      <c r="AH3" s="347" t="s">
        <v>301</v>
      </c>
      <c r="AI3" s="347" t="s">
        <v>302</v>
      </c>
      <c r="AJ3" s="347" t="s">
        <v>303</v>
      </c>
      <c r="AK3" s="347" t="s">
        <v>304</v>
      </c>
      <c r="AL3" s="412" t="s">
        <v>34</v>
      </c>
      <c r="AM3" s="411" t="s">
        <v>127</v>
      </c>
      <c r="AN3" s="347" t="s">
        <v>301</v>
      </c>
      <c r="AO3" s="347" t="s">
        <v>302</v>
      </c>
      <c r="AP3" s="347" t="s">
        <v>303</v>
      </c>
      <c r="AQ3" s="347" t="s">
        <v>304</v>
      </c>
      <c r="AR3" s="412" t="s">
        <v>34</v>
      </c>
    </row>
    <row r="4" spans="1:62" ht="20">
      <c r="A4" s="87" t="s">
        <v>45</v>
      </c>
      <c r="B4" s="471">
        <v>1</v>
      </c>
      <c r="C4" s="1">
        <f>'База селлеров'!B63</f>
        <v>79000</v>
      </c>
      <c r="D4" s="1">
        <f>'База селлеров'!C63</f>
        <v>33000</v>
      </c>
      <c r="E4" s="1">
        <f>'База селлеров'!D65</f>
        <v>0</v>
      </c>
      <c r="F4" s="1">
        <f>'База селлеров'!E65</f>
        <v>0</v>
      </c>
      <c r="G4" s="297">
        <f>SUM(C4:F4)</f>
        <v>112000</v>
      </c>
      <c r="H4" s="296">
        <f>B4</f>
        <v>1</v>
      </c>
      <c r="I4" s="1">
        <f>C4</f>
        <v>79000</v>
      </c>
      <c r="J4" s="1">
        <f t="shared" ref="J4:L4" si="0">D4</f>
        <v>33000</v>
      </c>
      <c r="K4" s="1">
        <f t="shared" si="0"/>
        <v>0</v>
      </c>
      <c r="L4" s="1">
        <f t="shared" si="0"/>
        <v>0</v>
      </c>
      <c r="M4" s="297">
        <f>SUM(I4:L4)</f>
        <v>112000</v>
      </c>
      <c r="N4" s="296">
        <f>H4</f>
        <v>1</v>
      </c>
      <c r="O4" s="1">
        <f>I4</f>
        <v>79000</v>
      </c>
      <c r="P4" s="1">
        <f>J4</f>
        <v>33000</v>
      </c>
      <c r="Q4" s="1">
        <f>K4</f>
        <v>0</v>
      </c>
      <c r="R4" s="1">
        <f>L4</f>
        <v>0</v>
      </c>
      <c r="S4" s="13">
        <f>SUM(O4:R4)</f>
        <v>112000</v>
      </c>
      <c r="U4" s="154">
        <f>O4*O45</f>
        <v>70079.174723972304</v>
      </c>
      <c r="V4" s="154">
        <f t="shared" ref="V4:X4" si="1">P4*P45</f>
        <v>27249.295112781954</v>
      </c>
      <c r="W4" s="154">
        <f t="shared" si="1"/>
        <v>0</v>
      </c>
      <c r="X4" s="154">
        <f t="shared" si="1"/>
        <v>0</v>
      </c>
      <c r="Y4" s="279">
        <f>SUM(U4:X4)</f>
        <v>97328.469836754259</v>
      </c>
      <c r="Z4" s="28"/>
      <c r="AA4" s="154">
        <f>O4-U4</f>
        <v>8920.8252760276955</v>
      </c>
      <c r="AB4" s="154">
        <f t="shared" ref="AB4:AD4" si="2">P4-V4</f>
        <v>5750.7048872180458</v>
      </c>
      <c r="AC4" s="154">
        <f t="shared" si="2"/>
        <v>0</v>
      </c>
      <c r="AD4" s="154">
        <f t="shared" si="2"/>
        <v>0</v>
      </c>
      <c r="AE4" s="681">
        <f>SUM(AA4:AD4)</f>
        <v>14671.530163245741</v>
      </c>
      <c r="AF4" s="301">
        <f>Y4+AE4</f>
        <v>112000</v>
      </c>
      <c r="AL4" s="24"/>
      <c r="AM4" s="28"/>
      <c r="AN4" s="1">
        <f>O4</f>
        <v>79000</v>
      </c>
      <c r="AO4" s="1">
        <f>P4</f>
        <v>33000</v>
      </c>
      <c r="AP4" s="1">
        <f>Q4</f>
        <v>0</v>
      </c>
      <c r="AQ4" s="1">
        <f>R4</f>
        <v>0</v>
      </c>
      <c r="AR4" s="24">
        <f>S4</f>
        <v>112000</v>
      </c>
      <c r="AY4" s="423"/>
      <c r="AZ4" s="423"/>
      <c r="BA4" s="423"/>
      <c r="BB4" s="423"/>
      <c r="BC4" s="423"/>
      <c r="BD4" s="423"/>
      <c r="BE4" s="423"/>
      <c r="BF4" s="423"/>
      <c r="BG4" s="423"/>
      <c r="BH4" s="423"/>
      <c r="BI4" s="423"/>
      <c r="BJ4" s="423"/>
    </row>
    <row r="5" spans="1:62" s="272" customFormat="1" ht="20" hidden="1" outlineLevel="1">
      <c r="A5" s="349" t="s">
        <v>318</v>
      </c>
      <c r="B5" s="472"/>
      <c r="C5" s="662"/>
      <c r="D5" s="662"/>
      <c r="E5" s="285">
        <f>'База селлеров'!D67</f>
        <v>1820.0000000000002</v>
      </c>
      <c r="F5" s="285">
        <f>'База селлеров'!E67</f>
        <v>3705</v>
      </c>
      <c r="G5" s="350"/>
      <c r="H5" s="351"/>
      <c r="I5" s="662"/>
      <c r="J5" s="662"/>
      <c r="K5" s="285">
        <f>E5</f>
        <v>1820.0000000000002</v>
      </c>
      <c r="L5" s="285">
        <f>F5</f>
        <v>3705</v>
      </c>
      <c r="M5" s="350"/>
      <c r="N5" s="351"/>
      <c r="O5" s="662"/>
      <c r="P5" s="662"/>
      <c r="Q5" s="285">
        <f>K5</f>
        <v>1820.0000000000002</v>
      </c>
      <c r="R5" s="285">
        <f>L5</f>
        <v>3705</v>
      </c>
      <c r="S5" s="663"/>
      <c r="T5" s="351"/>
      <c r="U5" s="662"/>
      <c r="V5" s="662"/>
      <c r="W5" s="285">
        <f>'База селлеров'!D66*Гипотезы_v1!W4</f>
        <v>0</v>
      </c>
      <c r="X5" s="285">
        <f>'База селлеров'!E66*Гипотезы_v1!X4</f>
        <v>0</v>
      </c>
      <c r="Y5" s="662"/>
      <c r="Z5" s="470"/>
      <c r="AA5" s="663"/>
      <c r="AB5" s="662"/>
      <c r="AC5" s="285">
        <f>AC4*'База селлеров'!D66</f>
        <v>0</v>
      </c>
      <c r="AD5" s="285">
        <f>AD4*'База селлеров'!E66</f>
        <v>0</v>
      </c>
      <c r="AE5" s="352"/>
      <c r="AF5" s="637"/>
      <c r="AG5" s="662"/>
      <c r="AH5" s="662"/>
      <c r="AI5" s="662"/>
      <c r="AJ5" s="662"/>
      <c r="AK5" s="662"/>
      <c r="AL5" s="352"/>
      <c r="AM5" s="470"/>
      <c r="AN5" s="662"/>
      <c r="AO5" s="662"/>
      <c r="AP5" s="662"/>
      <c r="AQ5" s="662"/>
      <c r="AR5" s="352"/>
    </row>
    <row r="6" spans="1:62" ht="20" collapsed="1">
      <c r="A6" s="416" t="s">
        <v>325</v>
      </c>
      <c r="B6" s="298">
        <v>0.8</v>
      </c>
      <c r="C6" s="1">
        <f>C4*$B$6</f>
        <v>63200</v>
      </c>
      <c r="D6" s="1">
        <f>D4*$B$6</f>
        <v>26400</v>
      </c>
      <c r="E6" s="1">
        <f>E4*$B$6</f>
        <v>0</v>
      </c>
      <c r="F6" s="1">
        <f>F4*$B$6</f>
        <v>0</v>
      </c>
      <c r="G6" s="297">
        <f>SUM(C6:F6)</f>
        <v>89600</v>
      </c>
      <c r="H6" s="298">
        <f>B6</f>
        <v>0.8</v>
      </c>
      <c r="I6" s="1">
        <f>C6</f>
        <v>63200</v>
      </c>
      <c r="J6" s="1">
        <f t="shared" ref="J6:L6" si="3">D6</f>
        <v>26400</v>
      </c>
      <c r="K6" s="1">
        <f t="shared" si="3"/>
        <v>0</v>
      </c>
      <c r="L6" s="1">
        <f t="shared" si="3"/>
        <v>0</v>
      </c>
      <c r="M6" s="297">
        <f>SUM(I6:L6)</f>
        <v>89600</v>
      </c>
      <c r="N6" s="298">
        <f>H6</f>
        <v>0.8</v>
      </c>
      <c r="O6" s="1">
        <f>I6</f>
        <v>63200</v>
      </c>
      <c r="P6" s="1">
        <f t="shared" ref="P6:R6" si="4">J6</f>
        <v>26400</v>
      </c>
      <c r="Q6" s="1">
        <f t="shared" si="4"/>
        <v>0</v>
      </c>
      <c r="R6" s="1">
        <f t="shared" si="4"/>
        <v>0</v>
      </c>
      <c r="S6" s="13">
        <f>SUM(O6:R6)</f>
        <v>89600</v>
      </c>
      <c r="T6" s="296">
        <f>N6</f>
        <v>0.8</v>
      </c>
      <c r="U6" s="154">
        <f>$T$6*U4</f>
        <v>56063.339779177848</v>
      </c>
      <c r="V6" s="154">
        <f t="shared" ref="V6:X6" si="5">$T$6*V4</f>
        <v>21799.436090225565</v>
      </c>
      <c r="W6" s="154">
        <f t="shared" si="5"/>
        <v>0</v>
      </c>
      <c r="X6" s="154">
        <f t="shared" si="5"/>
        <v>0</v>
      </c>
      <c r="Y6" s="279">
        <f>SUM(U6:X6)</f>
        <v>77862.775869403413</v>
      </c>
      <c r="Z6" s="283">
        <f>H6</f>
        <v>0.8</v>
      </c>
      <c r="AA6" s="154">
        <f>$Z$6*AA4</f>
        <v>7136.6602208221566</v>
      </c>
      <c r="AB6" s="154">
        <f t="shared" ref="AB6:AD6" si="6">$Z$6*AB4</f>
        <v>4600.563909774437</v>
      </c>
      <c r="AC6" s="154">
        <f t="shared" si="6"/>
        <v>0</v>
      </c>
      <c r="AD6" s="154">
        <f t="shared" si="6"/>
        <v>0</v>
      </c>
      <c r="AE6" s="681">
        <f>SUM(AA6:AD6)</f>
        <v>11737.224130596594</v>
      </c>
      <c r="AF6" s="301">
        <f>Y6+AE6</f>
        <v>89600</v>
      </c>
      <c r="AL6" s="24"/>
      <c r="AM6" s="28"/>
      <c r="AQ6" s="1">
        <f>AQ4</f>
        <v>0</v>
      </c>
      <c r="AR6" s="24">
        <f>AR4</f>
        <v>112000</v>
      </c>
      <c r="AY6" s="423"/>
      <c r="AZ6" s="423"/>
      <c r="BA6" s="423"/>
      <c r="BB6" s="423"/>
      <c r="BC6" s="423"/>
      <c r="BD6" s="423"/>
      <c r="BE6" s="423"/>
      <c r="BF6" s="423"/>
      <c r="BG6" s="423"/>
      <c r="BH6" s="423"/>
      <c r="BI6" s="423"/>
      <c r="BJ6" s="423"/>
    </row>
    <row r="7" spans="1:62" ht="20" hidden="1" outlineLevel="1">
      <c r="A7" s="87" t="s">
        <v>0</v>
      </c>
      <c r="B7" s="472"/>
      <c r="C7" s="285"/>
      <c r="D7" s="285"/>
      <c r="E7" s="285"/>
      <c r="F7" s="285"/>
      <c r="G7" s="346"/>
      <c r="H7" s="296"/>
      <c r="I7" s="154"/>
      <c r="J7" s="154"/>
      <c r="K7" s="154"/>
      <c r="L7" s="154"/>
      <c r="M7" s="299"/>
      <c r="Z7" s="28"/>
      <c r="AE7" s="24"/>
      <c r="AL7" s="24"/>
      <c r="AM7" s="28"/>
      <c r="AR7" s="24"/>
      <c r="AY7" s="423"/>
      <c r="AZ7" s="423"/>
      <c r="BA7" s="423"/>
      <c r="BB7" s="423"/>
      <c r="BC7" s="423"/>
      <c r="BD7" s="423"/>
      <c r="BE7" s="423"/>
      <c r="BF7" s="423"/>
      <c r="BG7" s="423"/>
      <c r="BH7" s="423"/>
      <c r="BI7" s="423"/>
      <c r="BJ7" s="423"/>
    </row>
    <row r="8" spans="1:62" ht="20" hidden="1" outlineLevel="1">
      <c r="A8" s="87" t="s">
        <v>55</v>
      </c>
      <c r="B8" s="471"/>
      <c r="G8" s="297"/>
      <c r="H8" s="296"/>
      <c r="Z8" s="28"/>
      <c r="AE8" s="24"/>
      <c r="AL8" s="24"/>
      <c r="AM8" s="28"/>
      <c r="AR8" s="24"/>
      <c r="AY8" s="423"/>
      <c r="AZ8" s="423"/>
      <c r="BA8" s="423"/>
      <c r="BB8" s="423"/>
      <c r="BC8" s="423"/>
      <c r="BD8" s="423"/>
      <c r="BE8" s="423"/>
      <c r="BF8" s="423"/>
      <c r="BG8" s="423"/>
      <c r="BH8" s="423"/>
      <c r="BI8" s="423"/>
      <c r="BJ8" s="423"/>
    </row>
    <row r="9" spans="1:62" ht="20" hidden="1" outlineLevel="1">
      <c r="A9" s="87" t="s">
        <v>53</v>
      </c>
      <c r="B9" s="471"/>
      <c r="G9" s="297"/>
      <c r="H9" s="296"/>
      <c r="Z9" s="28"/>
      <c r="AE9" s="24"/>
      <c r="AL9" s="24"/>
      <c r="AM9" s="28"/>
      <c r="AR9" s="24"/>
      <c r="AY9" s="423"/>
      <c r="AZ9" s="423"/>
      <c r="BA9" s="423"/>
      <c r="BB9" s="423"/>
      <c r="BC9" s="423"/>
      <c r="BD9" s="423"/>
      <c r="BE9" s="423"/>
      <c r="BF9" s="423"/>
      <c r="BG9" s="423"/>
      <c r="BH9" s="423"/>
      <c r="BI9" s="423"/>
      <c r="BJ9" s="423"/>
    </row>
    <row r="10" spans="1:62" ht="20" hidden="1" outlineLevel="1">
      <c r="A10" s="87" t="s">
        <v>38</v>
      </c>
      <c r="B10" s="471"/>
      <c r="G10" s="297"/>
      <c r="H10" s="296"/>
      <c r="Z10" s="28"/>
      <c r="AE10" s="24"/>
      <c r="AL10" s="24"/>
      <c r="AM10" s="28"/>
      <c r="AR10" s="24"/>
      <c r="AY10" s="423"/>
      <c r="AZ10" s="423"/>
      <c r="BA10" s="423"/>
      <c r="BB10" s="423"/>
      <c r="BC10" s="423"/>
      <c r="BD10" s="423"/>
      <c r="BE10" s="423"/>
      <c r="BF10" s="423"/>
      <c r="BG10" s="423"/>
      <c r="BH10" s="423"/>
      <c r="BI10" s="423"/>
      <c r="BJ10" s="423"/>
    </row>
    <row r="11" spans="1:62" ht="20" hidden="1" outlineLevel="1">
      <c r="A11" s="87" t="s">
        <v>124</v>
      </c>
      <c r="B11" s="472"/>
      <c r="C11" s="285"/>
      <c r="D11" s="285"/>
      <c r="E11" s="285"/>
      <c r="F11" s="285"/>
      <c r="G11" s="346"/>
      <c r="H11" s="296"/>
      <c r="I11" s="154"/>
      <c r="J11" s="154"/>
      <c r="K11" s="154"/>
      <c r="L11" s="154"/>
      <c r="M11" s="299"/>
      <c r="Z11" s="28"/>
      <c r="AE11" s="24"/>
      <c r="AL11" s="24"/>
      <c r="AM11" s="28"/>
      <c r="AR11" s="24"/>
      <c r="AY11" s="423"/>
      <c r="AZ11" s="423"/>
      <c r="BA11" s="423"/>
      <c r="BB11" s="423"/>
      <c r="BC11" s="423"/>
      <c r="BD11" s="423"/>
      <c r="BE11" s="423"/>
      <c r="BF11" s="423"/>
      <c r="BG11" s="423"/>
      <c r="BH11" s="423"/>
      <c r="BI11" s="423"/>
      <c r="BJ11" s="423"/>
    </row>
    <row r="12" spans="1:62" ht="20" collapsed="1">
      <c r="A12" s="349" t="s">
        <v>336</v>
      </c>
      <c r="B12" s="472">
        <f>C12/C6</f>
        <v>0.2</v>
      </c>
      <c r="C12" s="285">
        <f>C6-C13</f>
        <v>12640</v>
      </c>
      <c r="D12" s="285">
        <f t="shared" ref="D12:F12" si="7">D6-D13</f>
        <v>5280</v>
      </c>
      <c r="E12" s="285">
        <f t="shared" si="7"/>
        <v>0</v>
      </c>
      <c r="F12" s="285">
        <f t="shared" si="7"/>
        <v>0</v>
      </c>
      <c r="G12" s="473">
        <f>SUM(C12:F12)</f>
        <v>17920</v>
      </c>
      <c r="H12" s="472">
        <f>I12/I6</f>
        <v>0.2</v>
      </c>
      <c r="I12" s="285">
        <f>I6-I13</f>
        <v>12640</v>
      </c>
      <c r="J12" s="285">
        <f t="shared" ref="J12" si="8">J6-J13</f>
        <v>5280</v>
      </c>
      <c r="K12" s="285">
        <f t="shared" ref="K12" si="9">K6-K13</f>
        <v>0</v>
      </c>
      <c r="L12" s="285">
        <f t="shared" ref="L12" si="10">L6-L13</f>
        <v>0</v>
      </c>
      <c r="M12" s="473">
        <f>SUM(I12:L12)</f>
        <v>17920</v>
      </c>
      <c r="N12" s="1" t="s">
        <v>1</v>
      </c>
      <c r="O12" s="1" t="s">
        <v>1</v>
      </c>
      <c r="P12" s="1" t="s">
        <v>1</v>
      </c>
      <c r="Q12" s="1" t="s">
        <v>1</v>
      </c>
      <c r="R12" s="1" t="s">
        <v>1</v>
      </c>
      <c r="S12" s="1" t="s">
        <v>1</v>
      </c>
      <c r="Z12" s="156">
        <f>H12</f>
        <v>0.2</v>
      </c>
      <c r="AA12" s="285">
        <f>AA6-AA13</f>
        <v>1427.332044164431</v>
      </c>
      <c r="AB12" s="285">
        <f t="shared" ref="AB12:AD12" si="11">AB6-AB13</f>
        <v>920.1127819548874</v>
      </c>
      <c r="AC12" s="285">
        <f t="shared" si="11"/>
        <v>0</v>
      </c>
      <c r="AD12" s="285">
        <f t="shared" si="11"/>
        <v>0</v>
      </c>
      <c r="AE12" s="682">
        <f>SUM(AA12:AD12)</f>
        <v>2347.4448261193183</v>
      </c>
      <c r="AF12" s="346">
        <f>Y12+AE12</f>
        <v>2347.4448261193183</v>
      </c>
      <c r="AL12" s="24"/>
      <c r="AM12" s="28"/>
      <c r="AR12" s="24"/>
      <c r="AY12" s="423"/>
      <c r="AZ12" s="423"/>
      <c r="BA12" s="423"/>
      <c r="BB12" s="423"/>
      <c r="BC12" s="423"/>
      <c r="BD12" s="423"/>
      <c r="BE12" s="423"/>
      <c r="BF12" s="423"/>
      <c r="BG12" s="423"/>
      <c r="BH12" s="423"/>
      <c r="BI12" s="423"/>
      <c r="BJ12" s="423"/>
    </row>
    <row r="13" spans="1:62" ht="20">
      <c r="A13" s="128" t="s">
        <v>299</v>
      </c>
      <c r="B13" s="300">
        <v>0.8</v>
      </c>
      <c r="C13" s="154">
        <f>$C$6*B13</f>
        <v>50560</v>
      </c>
      <c r="D13" s="154">
        <f>$D$6*B13</f>
        <v>21120</v>
      </c>
      <c r="E13" s="154">
        <f>$E$6*B13</f>
        <v>0</v>
      </c>
      <c r="F13" s="154">
        <f>$F$6*B13</f>
        <v>0</v>
      </c>
      <c r="G13" s="301">
        <f>SUM(C13:F13)</f>
        <v>71680</v>
      </c>
      <c r="H13" s="300">
        <f>B13</f>
        <v>0.8</v>
      </c>
      <c r="I13" s="154">
        <f>$I$6*H13</f>
        <v>50560</v>
      </c>
      <c r="J13" s="154">
        <f>$J$6*H13</f>
        <v>21120</v>
      </c>
      <c r="K13" s="154">
        <f>$K$6*H13</f>
        <v>0</v>
      </c>
      <c r="L13" s="154">
        <f>$L$6*H13</f>
        <v>0</v>
      </c>
      <c r="M13" s="301">
        <f>SUM(I13:L13)</f>
        <v>71680</v>
      </c>
      <c r="N13" s="87" t="s">
        <v>1</v>
      </c>
      <c r="O13" s="1" t="s">
        <v>1</v>
      </c>
      <c r="P13" s="1" t="s">
        <v>1</v>
      </c>
      <c r="Q13" s="1" t="s">
        <v>1</v>
      </c>
      <c r="R13" s="1" t="s">
        <v>1</v>
      </c>
      <c r="S13" s="1" t="s">
        <v>1</v>
      </c>
      <c r="T13" s="342"/>
      <c r="U13" s="154"/>
      <c r="V13" s="154"/>
      <c r="W13" s="154"/>
      <c r="X13" s="154"/>
      <c r="Y13" s="154"/>
      <c r="Z13" s="156">
        <f t="shared" ref="Z13:Z17" si="12">H13</f>
        <v>0.8</v>
      </c>
      <c r="AA13" s="154">
        <f>$AA$6*Z13</f>
        <v>5709.3281766577256</v>
      </c>
      <c r="AB13" s="154">
        <f>$AB$6*Z13</f>
        <v>3680.4511278195496</v>
      </c>
      <c r="AC13" s="154">
        <f>$AC$6*Z13</f>
        <v>0</v>
      </c>
      <c r="AD13" s="154">
        <f>$AD$6*Z13</f>
        <v>0</v>
      </c>
      <c r="AE13" s="681">
        <f>SUM(AA13:AD13)</f>
        <v>9389.7793044772752</v>
      </c>
      <c r="AF13" s="301">
        <f t="shared" ref="AF13:AF20" si="13">Y13+AE13</f>
        <v>9389.7793044772752</v>
      </c>
      <c r="AL13" s="24"/>
      <c r="AM13" s="28"/>
      <c r="AR13" s="24"/>
      <c r="AY13" s="423"/>
      <c r="AZ13" s="423"/>
      <c r="BA13" s="423"/>
      <c r="BB13" s="423"/>
      <c r="BC13" s="423"/>
      <c r="BD13" s="423"/>
      <c r="BE13" s="423"/>
      <c r="BF13" s="423"/>
      <c r="BG13" s="423"/>
      <c r="BH13" s="423"/>
      <c r="BI13" s="423"/>
      <c r="BJ13" s="423"/>
    </row>
    <row r="14" spans="1:62" ht="20">
      <c r="A14" s="128" t="s">
        <v>171</v>
      </c>
      <c r="B14" s="296">
        <f>B13</f>
        <v>0.8</v>
      </c>
      <c r="C14" s="154">
        <f>$C$13*B14</f>
        <v>40448</v>
      </c>
      <c r="D14" s="154">
        <f>$D$13*B14</f>
        <v>16896</v>
      </c>
      <c r="E14" s="154">
        <f>$E$13*B14</f>
        <v>0</v>
      </c>
      <c r="F14" s="154">
        <f>$F$13*B14</f>
        <v>0</v>
      </c>
      <c r="G14" s="301">
        <f t="shared" ref="G14:G27" si="14">SUM(C14:F14)</f>
        <v>57344</v>
      </c>
      <c r="H14" s="296">
        <f t="shared" ref="H14:H17" si="15">B14</f>
        <v>0.8</v>
      </c>
      <c r="I14" s="154">
        <f t="shared" ref="I14:I17" si="16">$I$6*H14</f>
        <v>50560</v>
      </c>
      <c r="J14" s="154">
        <f t="shared" ref="J14:J17" si="17">$J$6*H14</f>
        <v>21120</v>
      </c>
      <c r="K14" s="154">
        <f t="shared" ref="K14:K17" si="18">$K$6*H14</f>
        <v>0</v>
      </c>
      <c r="L14" s="154">
        <f t="shared" ref="L14:L17" si="19">$L$6*H14</f>
        <v>0</v>
      </c>
      <c r="M14" s="301">
        <f t="shared" ref="M14:M20" si="20">SUM(I14:L14)</f>
        <v>71680</v>
      </c>
      <c r="N14" s="87" t="s">
        <v>1</v>
      </c>
      <c r="O14" s="1" t="s">
        <v>1</v>
      </c>
      <c r="P14" s="1" t="s">
        <v>1</v>
      </c>
      <c r="Q14" s="1" t="s">
        <v>1</v>
      </c>
      <c r="R14" s="1" t="s">
        <v>1</v>
      </c>
      <c r="S14" s="1" t="s">
        <v>1</v>
      </c>
      <c r="T14" s="342"/>
      <c r="U14" s="154"/>
      <c r="V14" s="154"/>
      <c r="W14" s="154"/>
      <c r="X14" s="154"/>
      <c r="Y14" s="154"/>
      <c r="Z14" s="156">
        <f t="shared" si="12"/>
        <v>0.8</v>
      </c>
      <c r="AA14" s="154">
        <f>$AA$6*Z14</f>
        <v>5709.3281766577256</v>
      </c>
      <c r="AB14" s="154">
        <f>$AB$6*Z14</f>
        <v>3680.4511278195496</v>
      </c>
      <c r="AC14" s="154">
        <f>$AC$6*Z14</f>
        <v>0</v>
      </c>
      <c r="AD14" s="154">
        <f>$AD$6*Z14</f>
        <v>0</v>
      </c>
      <c r="AE14" s="681">
        <f t="shared" ref="AE14:AE20" si="21">SUM(AA14:AD14)</f>
        <v>9389.7793044772752</v>
      </c>
      <c r="AF14" s="301">
        <f t="shared" si="13"/>
        <v>9389.7793044772752</v>
      </c>
      <c r="AL14" s="24"/>
      <c r="AM14" s="28"/>
      <c r="AR14" s="24"/>
      <c r="AY14" s="423"/>
      <c r="AZ14" s="423"/>
      <c r="BA14" s="423"/>
      <c r="BB14" s="423"/>
      <c r="BC14" s="423"/>
      <c r="BD14" s="423"/>
      <c r="BE14" s="423"/>
      <c r="BF14" s="423"/>
      <c r="BG14" s="423"/>
      <c r="BH14" s="423"/>
      <c r="BI14" s="423"/>
      <c r="BJ14" s="423"/>
    </row>
    <row r="15" spans="1:62" ht="20">
      <c r="A15" s="128" t="s">
        <v>211</v>
      </c>
      <c r="B15" s="296">
        <f>'Воронка MPS_обработано'!N10</f>
        <v>0.4</v>
      </c>
      <c r="C15" s="154">
        <f t="shared" ref="C15:C17" si="22">$C$13*B15</f>
        <v>20224</v>
      </c>
      <c r="D15" s="154">
        <f t="shared" ref="D15:D17" si="23">$D$13*B15</f>
        <v>8448</v>
      </c>
      <c r="E15" s="154">
        <f t="shared" ref="E15:E17" si="24">$E$13*B15</f>
        <v>0</v>
      </c>
      <c r="F15" s="154">
        <f t="shared" ref="F15:F17" si="25">$F$13*B15</f>
        <v>0</v>
      </c>
      <c r="G15" s="301">
        <f t="shared" si="14"/>
        <v>28672</v>
      </c>
      <c r="H15" s="296">
        <f t="shared" si="15"/>
        <v>0.4</v>
      </c>
      <c r="I15" s="154">
        <f t="shared" si="16"/>
        <v>25280</v>
      </c>
      <c r="J15" s="154">
        <f t="shared" si="17"/>
        <v>10560</v>
      </c>
      <c r="K15" s="154">
        <f t="shared" si="18"/>
        <v>0</v>
      </c>
      <c r="L15" s="154">
        <f t="shared" si="19"/>
        <v>0</v>
      </c>
      <c r="M15" s="301">
        <f t="shared" si="20"/>
        <v>35840</v>
      </c>
      <c r="N15" s="87" t="s">
        <v>1</v>
      </c>
      <c r="O15" s="1" t="s">
        <v>1</v>
      </c>
      <c r="P15" s="1" t="s">
        <v>1</v>
      </c>
      <c r="Q15" s="1" t="s">
        <v>1</v>
      </c>
      <c r="R15" s="1" t="s">
        <v>1</v>
      </c>
      <c r="S15" s="1" t="s">
        <v>1</v>
      </c>
      <c r="T15" s="342"/>
      <c r="U15" s="154"/>
      <c r="V15" s="154"/>
      <c r="W15" s="154"/>
      <c r="X15" s="154"/>
      <c r="Y15" s="154"/>
      <c r="Z15" s="156">
        <f t="shared" si="12"/>
        <v>0.4</v>
      </c>
      <c r="AA15" s="154">
        <f>$AA$6*Z15</f>
        <v>2854.6640883288628</v>
      </c>
      <c r="AB15" s="154">
        <f>$AB$6*Z15</f>
        <v>1840.2255639097748</v>
      </c>
      <c r="AC15" s="154">
        <f>$AC$6*Z15</f>
        <v>0</v>
      </c>
      <c r="AD15" s="154">
        <f>$AD$6*Z15</f>
        <v>0</v>
      </c>
      <c r="AE15" s="681">
        <f t="shared" si="21"/>
        <v>4694.8896522386376</v>
      </c>
      <c r="AF15" s="301">
        <f t="shared" si="13"/>
        <v>4694.8896522386376</v>
      </c>
      <c r="AL15" s="24"/>
      <c r="AM15" s="28"/>
      <c r="AR15" s="24"/>
      <c r="AY15" s="423"/>
      <c r="AZ15" s="423"/>
      <c r="BA15" s="423"/>
      <c r="BB15" s="423"/>
      <c r="BC15" s="423"/>
      <c r="BD15" s="423"/>
      <c r="BE15" s="423"/>
      <c r="BF15" s="423"/>
      <c r="BG15" s="423"/>
      <c r="BH15" s="423"/>
      <c r="BI15" s="423"/>
      <c r="BJ15" s="423"/>
    </row>
    <row r="16" spans="1:62" ht="20">
      <c r="A16" s="128" t="s">
        <v>212</v>
      </c>
      <c r="B16" s="328">
        <f>'Воронка MPS_обработано'!N11</f>
        <v>0.29799999999999999</v>
      </c>
      <c r="C16" s="154">
        <f t="shared" si="22"/>
        <v>15066.88</v>
      </c>
      <c r="D16" s="154">
        <f t="shared" si="23"/>
        <v>6293.7599999999993</v>
      </c>
      <c r="E16" s="154">
        <f t="shared" si="24"/>
        <v>0</v>
      </c>
      <c r="F16" s="154">
        <f t="shared" si="25"/>
        <v>0</v>
      </c>
      <c r="G16" s="301">
        <f t="shared" si="14"/>
        <v>21360.639999999999</v>
      </c>
      <c r="H16" s="296">
        <f t="shared" si="15"/>
        <v>0.29799999999999999</v>
      </c>
      <c r="I16" s="154">
        <f t="shared" si="16"/>
        <v>18833.599999999999</v>
      </c>
      <c r="J16" s="154">
        <f t="shared" si="17"/>
        <v>7867.2</v>
      </c>
      <c r="K16" s="154">
        <f t="shared" si="18"/>
        <v>0</v>
      </c>
      <c r="L16" s="154">
        <f t="shared" si="19"/>
        <v>0</v>
      </c>
      <c r="M16" s="301">
        <f t="shared" si="20"/>
        <v>26700.799999999999</v>
      </c>
      <c r="N16" s="87" t="s">
        <v>1</v>
      </c>
      <c r="O16" s="1" t="s">
        <v>1</v>
      </c>
      <c r="P16" s="1" t="s">
        <v>1</v>
      </c>
      <c r="Q16" s="1" t="s">
        <v>1</v>
      </c>
      <c r="R16" s="1" t="s">
        <v>1</v>
      </c>
      <c r="S16" s="1" t="s">
        <v>1</v>
      </c>
      <c r="T16" s="342"/>
      <c r="U16" s="154"/>
      <c r="V16" s="154"/>
      <c r="W16" s="154"/>
      <c r="X16" s="154"/>
      <c r="Y16" s="154"/>
      <c r="Z16" s="156">
        <f t="shared" si="12"/>
        <v>0.29799999999999999</v>
      </c>
      <c r="AA16" s="154">
        <f>$AA$6*Z16</f>
        <v>2126.7247458050024</v>
      </c>
      <c r="AB16" s="154">
        <f>$AB$6*Z16</f>
        <v>1370.9680451127822</v>
      </c>
      <c r="AC16" s="154">
        <f>$AC$6*Z16</f>
        <v>0</v>
      </c>
      <c r="AD16" s="154">
        <f>$AD$6*Z16</f>
        <v>0</v>
      </c>
      <c r="AE16" s="681">
        <f t="shared" si="21"/>
        <v>3497.6927909177848</v>
      </c>
      <c r="AF16" s="301">
        <f t="shared" si="13"/>
        <v>3497.6927909177848</v>
      </c>
      <c r="AL16" s="24"/>
      <c r="AM16" s="28"/>
      <c r="AR16" s="24"/>
      <c r="AY16" s="423"/>
      <c r="AZ16" s="423"/>
      <c r="BA16" s="423"/>
      <c r="BB16" s="423"/>
      <c r="BC16" s="423"/>
      <c r="BD16" s="423"/>
      <c r="BE16" s="423"/>
      <c r="BF16" s="423"/>
      <c r="BG16" s="423"/>
      <c r="BH16" s="423"/>
      <c r="BI16" s="423"/>
      <c r="BJ16" s="423"/>
    </row>
    <row r="17" spans="1:62" ht="20">
      <c r="A17" s="128" t="s">
        <v>213</v>
      </c>
      <c r="B17" s="328">
        <f>'Воронка MPS_обработано'!N12</f>
        <v>0.45500000000000002</v>
      </c>
      <c r="C17" s="154">
        <f t="shared" si="22"/>
        <v>23004.799999999999</v>
      </c>
      <c r="D17" s="154">
        <f t="shared" si="23"/>
        <v>9609.6</v>
      </c>
      <c r="E17" s="154">
        <f t="shared" si="24"/>
        <v>0</v>
      </c>
      <c r="F17" s="154">
        <f t="shared" si="25"/>
        <v>0</v>
      </c>
      <c r="G17" s="301">
        <f t="shared" si="14"/>
        <v>32614.400000000001</v>
      </c>
      <c r="H17" s="296">
        <f t="shared" si="15"/>
        <v>0.45500000000000002</v>
      </c>
      <c r="I17" s="154">
        <f t="shared" si="16"/>
        <v>28756</v>
      </c>
      <c r="J17" s="154">
        <f t="shared" si="17"/>
        <v>12012</v>
      </c>
      <c r="K17" s="154">
        <f t="shared" si="18"/>
        <v>0</v>
      </c>
      <c r="L17" s="154">
        <f t="shared" si="19"/>
        <v>0</v>
      </c>
      <c r="M17" s="301">
        <f t="shared" si="20"/>
        <v>40768</v>
      </c>
      <c r="N17" s="87" t="s">
        <v>1</v>
      </c>
      <c r="O17" s="1" t="s">
        <v>1</v>
      </c>
      <c r="P17" s="1" t="s">
        <v>1</v>
      </c>
      <c r="Q17" s="1" t="s">
        <v>1</v>
      </c>
      <c r="R17" s="1" t="s">
        <v>1</v>
      </c>
      <c r="S17" s="1" t="s">
        <v>1</v>
      </c>
      <c r="T17" s="342"/>
      <c r="U17" s="154"/>
      <c r="V17" s="154"/>
      <c r="W17" s="154"/>
      <c r="X17" s="154"/>
      <c r="Y17" s="154"/>
      <c r="Z17" s="156">
        <f t="shared" si="12"/>
        <v>0.45500000000000002</v>
      </c>
      <c r="AA17" s="154">
        <f>$AA$6*Z17</f>
        <v>3247.1804004740816</v>
      </c>
      <c r="AB17" s="154">
        <f>$AB$6*Z17</f>
        <v>2093.2565789473688</v>
      </c>
      <c r="AC17" s="154">
        <f>$AC$6*Z17</f>
        <v>0</v>
      </c>
      <c r="AD17" s="154">
        <f>$AD$6*Z17</f>
        <v>0</v>
      </c>
      <c r="AE17" s="681">
        <f t="shared" si="21"/>
        <v>5340.4369794214508</v>
      </c>
      <c r="AF17" s="301">
        <f t="shared" si="13"/>
        <v>5340.4369794214508</v>
      </c>
      <c r="AL17" s="24"/>
      <c r="AM17" s="28"/>
      <c r="AR17" s="24"/>
      <c r="AY17" s="423"/>
      <c r="AZ17" s="423"/>
      <c r="BA17" s="423"/>
      <c r="BB17" s="423"/>
      <c r="BC17" s="423"/>
      <c r="BD17" s="423"/>
      <c r="BE17" s="423"/>
      <c r="BF17" s="423"/>
      <c r="BG17" s="423"/>
      <c r="BH17" s="423"/>
      <c r="BI17" s="423"/>
      <c r="BJ17" s="423"/>
    </row>
    <row r="18" spans="1:62" ht="20">
      <c r="A18" s="416" t="s">
        <v>337</v>
      </c>
      <c r="B18" s="616">
        <f>'Воронка MPS_обработано'!N14</f>
        <v>8.5384615384615392E-2</v>
      </c>
      <c r="C18" s="154">
        <f>$C$13*B18</f>
        <v>4317.0461538461541</v>
      </c>
      <c r="D18" s="154">
        <f>$D$13*B18</f>
        <v>1803.323076923077</v>
      </c>
      <c r="E18" s="154">
        <f>$E$13*B18</f>
        <v>0</v>
      </c>
      <c r="F18" s="154">
        <f>$F$13*B18</f>
        <v>0</v>
      </c>
      <c r="G18" s="301">
        <f t="shared" si="14"/>
        <v>6120.3692307692309</v>
      </c>
      <c r="H18" s="617">
        <f>B18*1.15</f>
        <v>9.819230769230769E-2</v>
      </c>
      <c r="I18" s="154">
        <f>I13*$H$18</f>
        <v>4964.6030769230765</v>
      </c>
      <c r="J18" s="154">
        <f t="shared" ref="J18:L18" si="26">J13*$H$18</f>
        <v>2073.8215384615382</v>
      </c>
      <c r="K18" s="154">
        <f t="shared" si="26"/>
        <v>0</v>
      </c>
      <c r="L18" s="154">
        <f t="shared" si="26"/>
        <v>0</v>
      </c>
      <c r="M18" s="301">
        <f t="shared" si="20"/>
        <v>7038.4246153846143</v>
      </c>
      <c r="N18" s="618">
        <f>'Воронка Селлер as is'!F12</f>
        <v>1.7475398710553106E-2</v>
      </c>
      <c r="O18" s="154">
        <f>$N$18*O6</f>
        <v>1104.4451985069563</v>
      </c>
      <c r="P18" s="154">
        <f t="shared" ref="P18:R18" si="27">$N$18*P6</f>
        <v>461.35052595860196</v>
      </c>
      <c r="Q18" s="154">
        <f t="shared" si="27"/>
        <v>0</v>
      </c>
      <c r="R18" s="154">
        <f t="shared" si="27"/>
        <v>0</v>
      </c>
      <c r="S18" s="279">
        <f>SUM(O18:R18)</f>
        <v>1565.7957244655584</v>
      </c>
      <c r="T18" s="618">
        <f>N18</f>
        <v>1.7475398710553106E-2</v>
      </c>
      <c r="U18" s="154">
        <f>$N$18*U6</f>
        <v>979.72921568634524</v>
      </c>
      <c r="V18" s="154">
        <f t="shared" ref="V18:X18" si="28">$N$18*V6</f>
        <v>380.95383734191267</v>
      </c>
      <c r="W18" s="154">
        <f t="shared" si="28"/>
        <v>0</v>
      </c>
      <c r="X18" s="154">
        <f t="shared" si="28"/>
        <v>0</v>
      </c>
      <c r="Y18" s="279">
        <f>SUM(U18:X18)</f>
        <v>1360.683053028258</v>
      </c>
      <c r="Z18" s="693">
        <f>H18</f>
        <v>9.819230769230769E-2</v>
      </c>
      <c r="AA18" s="154">
        <f>AA13*$Z$18</f>
        <v>560.61210903873746</v>
      </c>
      <c r="AB18" s="154">
        <f>AB13*$Z$18</f>
        <v>361.39198958935805</v>
      </c>
      <c r="AC18" s="154">
        <f t="shared" ref="AC18:AD18" si="29">AC13*$Z$18</f>
        <v>0</v>
      </c>
      <c r="AD18" s="154">
        <f t="shared" si="29"/>
        <v>0</v>
      </c>
      <c r="AE18" s="681">
        <f t="shared" si="21"/>
        <v>922.00409862809556</v>
      </c>
      <c r="AF18" s="301">
        <f t="shared" si="13"/>
        <v>2282.6871516563533</v>
      </c>
      <c r="AL18" s="24"/>
      <c r="AM18" s="28"/>
      <c r="AR18" s="24"/>
      <c r="AY18" s="423"/>
      <c r="AZ18" s="423"/>
      <c r="BA18" s="423"/>
      <c r="BB18" s="423"/>
      <c r="BC18" s="423"/>
      <c r="BD18" s="423"/>
      <c r="BE18" s="423"/>
      <c r="BF18" s="423"/>
      <c r="BG18" s="423"/>
      <c r="BH18" s="423"/>
      <c r="BI18" s="423"/>
      <c r="BJ18" s="423"/>
    </row>
    <row r="19" spans="1:62" ht="20">
      <c r="A19" s="416" t="s">
        <v>338</v>
      </c>
      <c r="B19" s="478">
        <f>N18</f>
        <v>1.7475398710553106E-2</v>
      </c>
      <c r="C19" s="154">
        <f>C12*$B$19</f>
        <v>220.88903970139125</v>
      </c>
      <c r="D19" s="154">
        <f t="shared" ref="D19:F19" si="30">D12*$B$19</f>
        <v>92.270105191720404</v>
      </c>
      <c r="E19" s="154">
        <f t="shared" si="30"/>
        <v>0</v>
      </c>
      <c r="F19" s="154">
        <f t="shared" si="30"/>
        <v>0</v>
      </c>
      <c r="G19" s="301">
        <f t="shared" si="14"/>
        <v>313.15914489311166</v>
      </c>
      <c r="H19" s="478">
        <f>N18</f>
        <v>1.7475398710553106E-2</v>
      </c>
      <c r="I19" s="154">
        <f>I12*$H$19</f>
        <v>220.88903970139125</v>
      </c>
      <c r="J19" s="154">
        <f t="shared" ref="J19:L19" si="31">J12*$H$19</f>
        <v>92.270105191720404</v>
      </c>
      <c r="K19" s="154">
        <f t="shared" si="31"/>
        <v>0</v>
      </c>
      <c r="L19" s="154">
        <f t="shared" si="31"/>
        <v>0</v>
      </c>
      <c r="M19" s="301">
        <f t="shared" si="20"/>
        <v>313.15914489311166</v>
      </c>
      <c r="N19" s="328"/>
      <c r="O19" s="154"/>
      <c r="P19" s="154"/>
      <c r="Q19" s="154"/>
      <c r="R19" s="154"/>
      <c r="S19" s="279"/>
      <c r="T19" s="342"/>
      <c r="U19" s="154"/>
      <c r="V19" s="154"/>
      <c r="W19" s="154"/>
      <c r="X19" s="154"/>
      <c r="Y19" s="154"/>
      <c r="Z19" s="156">
        <f>H19</f>
        <v>1.7475398710553106E-2</v>
      </c>
      <c r="AA19" s="154">
        <f>AA12*$Z$19</f>
        <v>24.943196564122225</v>
      </c>
      <c r="AB19" s="154">
        <f>AB12*$Z$19</f>
        <v>16.079337723337868</v>
      </c>
      <c r="AC19" s="154">
        <f t="shared" ref="AC19:AD19" si="32">AC12*$Z$19</f>
        <v>0</v>
      </c>
      <c r="AD19" s="154">
        <f t="shared" si="32"/>
        <v>0</v>
      </c>
      <c r="AE19" s="681">
        <f t="shared" si="21"/>
        <v>41.02253428746009</v>
      </c>
      <c r="AF19" s="301">
        <f t="shared" si="13"/>
        <v>41.02253428746009</v>
      </c>
      <c r="AL19" s="24"/>
      <c r="AM19" s="28"/>
      <c r="AR19" s="24"/>
      <c r="AY19" s="423"/>
      <c r="AZ19" s="423"/>
      <c r="BA19" s="423"/>
      <c r="BB19" s="423"/>
      <c r="BC19" s="423"/>
      <c r="BD19" s="423"/>
      <c r="BE19" s="423"/>
      <c r="BF19" s="423"/>
      <c r="BG19" s="423"/>
      <c r="BH19" s="423"/>
      <c r="BI19" s="423"/>
      <c r="BJ19" s="423"/>
    </row>
    <row r="20" spans="1:62" s="454" customFormat="1" ht="21" thickBot="1">
      <c r="A20" s="453" t="s">
        <v>339</v>
      </c>
      <c r="B20" s="474"/>
      <c r="C20" s="363">
        <f>SUM(C18:C19)</f>
        <v>4537.9351935475452</v>
      </c>
      <c r="D20" s="363">
        <f t="shared" ref="D20:F20" si="33">SUM(D18:D19)</f>
        <v>1895.5931821147974</v>
      </c>
      <c r="E20" s="363">
        <f t="shared" si="33"/>
        <v>0</v>
      </c>
      <c r="F20" s="363">
        <f t="shared" si="33"/>
        <v>0</v>
      </c>
      <c r="G20" s="364">
        <f t="shared" si="14"/>
        <v>6433.528375662343</v>
      </c>
      <c r="H20" s="474"/>
      <c r="I20" s="363">
        <f>SUM(I18:I19)</f>
        <v>5185.4921166244676</v>
      </c>
      <c r="J20" s="363">
        <f t="shared" ref="J20" si="34">SUM(J18:J19)</f>
        <v>2166.0916436532589</v>
      </c>
      <c r="K20" s="363">
        <f t="shared" ref="K20" si="35">SUM(K18:K19)</f>
        <v>0</v>
      </c>
      <c r="L20" s="363">
        <f t="shared" ref="L20" si="36">SUM(L18:L19)</f>
        <v>0</v>
      </c>
      <c r="M20" s="364">
        <f t="shared" si="20"/>
        <v>7351.5837602777265</v>
      </c>
      <c r="N20" s="365"/>
      <c r="O20" s="363">
        <f>O18</f>
        <v>1104.4451985069563</v>
      </c>
      <c r="P20" s="363">
        <f t="shared" ref="P20:R20" si="37">P18</f>
        <v>461.35052595860196</v>
      </c>
      <c r="Q20" s="363">
        <f t="shared" si="37"/>
        <v>0</v>
      </c>
      <c r="R20" s="363">
        <f t="shared" si="37"/>
        <v>0</v>
      </c>
      <c r="S20" s="626">
        <f>SUM(O20:R20)</f>
        <v>1565.7957244655584</v>
      </c>
      <c r="T20" s="474"/>
      <c r="U20" s="363">
        <f>U18</f>
        <v>979.72921568634524</v>
      </c>
      <c r="V20" s="363">
        <f t="shared" ref="V20:X20" si="38">V18</f>
        <v>380.95383734191267</v>
      </c>
      <c r="W20" s="363">
        <f t="shared" si="38"/>
        <v>0</v>
      </c>
      <c r="X20" s="363">
        <f t="shared" si="38"/>
        <v>0</v>
      </c>
      <c r="Y20" s="626">
        <f>SUM(U20:X20)</f>
        <v>1360.683053028258</v>
      </c>
      <c r="Z20" s="664"/>
      <c r="AA20" s="363">
        <f>SUM(AA18:AA19)</f>
        <v>585.55530560285968</v>
      </c>
      <c r="AB20" s="363">
        <f t="shared" ref="AB20:AD20" si="39">SUM(AB18:AB19)</f>
        <v>377.47132731269591</v>
      </c>
      <c r="AC20" s="363">
        <f t="shared" si="39"/>
        <v>0</v>
      </c>
      <c r="AD20" s="363">
        <f t="shared" si="39"/>
        <v>0</v>
      </c>
      <c r="AE20" s="683">
        <f t="shared" si="21"/>
        <v>963.02663291555564</v>
      </c>
      <c r="AF20" s="364">
        <f t="shared" si="13"/>
        <v>2323.7096859438134</v>
      </c>
      <c r="AG20" s="88"/>
      <c r="AH20" s="88"/>
      <c r="AI20" s="88"/>
      <c r="AJ20" s="88"/>
      <c r="AK20" s="88"/>
      <c r="AL20" s="131"/>
      <c r="AM20" s="133"/>
      <c r="AN20" s="88"/>
      <c r="AO20" s="88"/>
      <c r="AP20" s="88"/>
      <c r="AQ20" s="88"/>
      <c r="AR20" s="131"/>
    </row>
    <row r="21" spans="1:62" ht="20" thickBot="1">
      <c r="B21" s="478"/>
      <c r="C21" s="154"/>
      <c r="D21" s="154"/>
      <c r="E21" s="154"/>
      <c r="F21" s="154"/>
      <c r="G21" s="301"/>
      <c r="H21" s="296"/>
      <c r="I21" s="154"/>
      <c r="J21" s="154"/>
      <c r="K21" s="154"/>
      <c r="L21" s="154"/>
      <c r="M21" s="301"/>
      <c r="N21" s="469"/>
      <c r="O21" s="154"/>
      <c r="P21" s="154"/>
      <c r="Q21" s="154"/>
      <c r="R21" s="154"/>
      <c r="S21" s="279"/>
      <c r="T21" s="342"/>
      <c r="U21" s="154"/>
      <c r="V21" s="154"/>
      <c r="W21" s="154"/>
      <c r="X21" s="154"/>
      <c r="Y21" s="154"/>
      <c r="Z21" s="615"/>
      <c r="AA21" s="154"/>
      <c r="AB21" s="154"/>
      <c r="AC21" s="154"/>
      <c r="AD21" s="154"/>
      <c r="AE21" s="684"/>
      <c r="AF21" s="299"/>
      <c r="AY21" s="423"/>
      <c r="AZ21" s="423"/>
      <c r="BA21" s="423"/>
      <c r="BB21" s="423"/>
      <c r="BC21" s="423"/>
      <c r="BD21" s="423"/>
      <c r="BE21" s="423"/>
      <c r="BF21" s="423"/>
      <c r="BG21" s="423"/>
      <c r="BH21" s="423"/>
      <c r="BI21" s="423"/>
      <c r="BJ21" s="423"/>
    </row>
    <row r="22" spans="1:62" s="482" customFormat="1" ht="21" customHeight="1">
      <c r="A22" s="480" t="s">
        <v>342</v>
      </c>
      <c r="B22" s="475"/>
      <c r="C22" s="476">
        <f>SUM(C23:C27)</f>
        <v>94980336.687484041</v>
      </c>
      <c r="D22" s="476">
        <f t="shared" ref="D22:F22" si="40">SUM(D23:D27)</f>
        <v>40428564.380383775</v>
      </c>
      <c r="E22" s="476">
        <f t="shared" si="40"/>
        <v>0</v>
      </c>
      <c r="F22" s="476">
        <f t="shared" si="40"/>
        <v>0</v>
      </c>
      <c r="G22" s="477">
        <f t="shared" si="14"/>
        <v>135408901.06786782</v>
      </c>
      <c r="H22" s="483"/>
      <c r="I22" s="476">
        <f>SUM(I23:I27)</f>
        <v>129922404.06714828</v>
      </c>
      <c r="J22" s="476">
        <f t="shared" ref="J22" si="41">SUM(J23:J27)</f>
        <v>55146735.406278856</v>
      </c>
      <c r="K22" s="476">
        <f t="shared" ref="K22" si="42">SUM(K23:K27)</f>
        <v>0</v>
      </c>
      <c r="L22" s="476">
        <f t="shared" ref="L22" si="43">SUM(L23:L27)</f>
        <v>0</v>
      </c>
      <c r="M22" s="477">
        <f t="shared" ref="M22:M28" si="44">SUM(I22:L22)</f>
        <v>185069139.47342715</v>
      </c>
      <c r="N22" s="484"/>
      <c r="O22" s="476">
        <f>SUM(O23:O27)</f>
        <v>27671852.95498044</v>
      </c>
      <c r="P22" s="476">
        <f t="shared" ref="P22" si="45">SUM(P23:P27)</f>
        <v>11745567.395143542</v>
      </c>
      <c r="Q22" s="476">
        <f t="shared" ref="Q22" si="46">SUM(Q23:Q27)</f>
        <v>0</v>
      </c>
      <c r="R22" s="476">
        <f t="shared" ref="R22" si="47">SUM(R23:R27)</f>
        <v>0</v>
      </c>
      <c r="S22" s="635">
        <f t="shared" ref="S22:S28" si="48">SUM(O22:R22)</f>
        <v>39417420.350123987</v>
      </c>
      <c r="T22" s="567"/>
      <c r="U22" s="476">
        <f>SUM(U23:U27)</f>
        <v>24099461.439501014</v>
      </c>
      <c r="V22" s="476">
        <f t="shared" ref="V22:X22" si="49">SUM(V23:V27)</f>
        <v>9370734.4501509089</v>
      </c>
      <c r="W22" s="476">
        <f t="shared" si="49"/>
        <v>0</v>
      </c>
      <c r="X22" s="476">
        <f t="shared" si="49"/>
        <v>0</v>
      </c>
      <c r="Y22" s="635">
        <f t="shared" ref="Y22:Y32" si="50">SUM(U22:X22)</f>
        <v>33470195.889651924</v>
      </c>
      <c r="Z22" s="685"/>
      <c r="AA22" s="476">
        <f>SUM(AA23:AA27)</f>
        <v>16772772.488899596</v>
      </c>
      <c r="AB22" s="476">
        <f t="shared" ref="AB22:AD22" si="51">SUM(AB23:AB27)</f>
        <v>11150102.812893722</v>
      </c>
      <c r="AC22" s="476">
        <f t="shared" si="51"/>
        <v>0</v>
      </c>
      <c r="AD22" s="476">
        <f t="shared" si="51"/>
        <v>0</v>
      </c>
      <c r="AE22" s="686">
        <f t="shared" ref="AE22:AE29" si="52">SUM(AA22:AD22)</f>
        <v>27922875.301793318</v>
      </c>
      <c r="AF22" s="477">
        <f>AE22+Y22</f>
        <v>61393071.191445246</v>
      </c>
      <c r="AG22" s="481"/>
      <c r="AH22" s="481"/>
      <c r="AI22" s="481"/>
      <c r="AJ22" s="481"/>
      <c r="AK22" s="481"/>
      <c r="AL22" s="481"/>
      <c r="AM22" s="481"/>
      <c r="AN22" s="481"/>
      <c r="AO22" s="481"/>
      <c r="AP22" s="481"/>
      <c r="AQ22" s="481"/>
      <c r="AR22" s="481"/>
    </row>
    <row r="23" spans="1:62" hidden="1" outlineLevel="1">
      <c r="A23" s="436" t="s">
        <v>327</v>
      </c>
      <c r="B23" s="478"/>
      <c r="C23" s="169">
        <f t="shared" ref="C23:F27" si="53">C$20*C42*C52</f>
        <v>27425.301916122386</v>
      </c>
      <c r="D23" s="169">
        <f t="shared" si="53"/>
        <v>180825.90115807255</v>
      </c>
      <c r="E23" s="169">
        <f t="shared" si="53"/>
        <v>0</v>
      </c>
      <c r="F23" s="169">
        <f t="shared" si="53"/>
        <v>0</v>
      </c>
      <c r="G23" s="406">
        <f t="shared" si="14"/>
        <v>208251.20307419493</v>
      </c>
      <c r="H23" s="296"/>
      <c r="I23" s="169">
        <f t="shared" ref="I23:L27" si="54">I$20*I42*I52</f>
        <v>34421.363839836384</v>
      </c>
      <c r="J23" s="169">
        <f t="shared" si="54"/>
        <v>226953.71429144673</v>
      </c>
      <c r="K23" s="169">
        <f t="shared" si="54"/>
        <v>0</v>
      </c>
      <c r="L23" s="169">
        <f t="shared" si="54"/>
        <v>0</v>
      </c>
      <c r="M23" s="406">
        <f t="shared" si="44"/>
        <v>261375.07813128311</v>
      </c>
      <c r="N23" s="469"/>
      <c r="O23" s="169">
        <f t="shared" ref="O23:R27" si="55">O$20*O42*O52</f>
        <v>7331.3215339946128</v>
      </c>
      <c r="P23" s="169">
        <f t="shared" si="55"/>
        <v>48338.312814883888</v>
      </c>
      <c r="Q23" s="169">
        <f t="shared" si="55"/>
        <v>0</v>
      </c>
      <c r="R23" s="169">
        <f t="shared" si="55"/>
        <v>0</v>
      </c>
      <c r="S23" s="671">
        <f t="shared" si="48"/>
        <v>55669.634348878499</v>
      </c>
      <c r="T23" s="342"/>
      <c r="U23" s="169">
        <f t="shared" ref="U23:X23" si="56">U$20*U42*U52</f>
        <v>0</v>
      </c>
      <c r="V23" s="169">
        <f t="shared" si="56"/>
        <v>0</v>
      </c>
      <c r="W23" s="169">
        <f t="shared" si="56"/>
        <v>0</v>
      </c>
      <c r="X23" s="169">
        <f t="shared" si="56"/>
        <v>0</v>
      </c>
      <c r="Y23" s="671">
        <f t="shared" si="50"/>
        <v>0</v>
      </c>
      <c r="Z23" s="615"/>
      <c r="AA23" s="169">
        <f t="shared" ref="AA23:AD23" si="57">AA$20*AA42*AA52</f>
        <v>34421.363839836391</v>
      </c>
      <c r="AB23" s="169">
        <f t="shared" si="57"/>
        <v>226953.71429144675</v>
      </c>
      <c r="AC23" s="169">
        <f t="shared" si="57"/>
        <v>0</v>
      </c>
      <c r="AD23" s="169">
        <f t="shared" si="57"/>
        <v>0</v>
      </c>
      <c r="AE23" s="687">
        <f t="shared" si="52"/>
        <v>261375.07813128314</v>
      </c>
      <c r="AF23" s="406">
        <f>AE23+Y23</f>
        <v>261375.07813128314</v>
      </c>
      <c r="AY23" s="423"/>
      <c r="AZ23" s="423"/>
      <c r="BA23" s="423"/>
      <c r="BB23" s="423"/>
      <c r="BC23" s="423"/>
      <c r="BD23" s="423"/>
      <c r="BE23" s="423"/>
      <c r="BF23" s="423"/>
      <c r="BG23" s="423"/>
      <c r="BH23" s="423"/>
      <c r="BI23" s="423"/>
      <c r="BJ23" s="423"/>
    </row>
    <row r="24" spans="1:62" hidden="1" outlineLevel="1">
      <c r="A24" s="436" t="s">
        <v>429</v>
      </c>
      <c r="B24" s="478"/>
      <c r="C24" s="169">
        <f t="shared" si="53"/>
        <v>1192283.4161050071</v>
      </c>
      <c r="D24" s="169">
        <f t="shared" si="53"/>
        <v>1362449.1371754475</v>
      </c>
      <c r="E24" s="169">
        <f t="shared" si="53"/>
        <v>0</v>
      </c>
      <c r="F24" s="169">
        <f t="shared" si="53"/>
        <v>0</v>
      </c>
      <c r="G24" s="406">
        <f t="shared" si="14"/>
        <v>2554732.5532804546</v>
      </c>
      <c r="H24" s="296"/>
      <c r="I24" s="169">
        <f t="shared" si="54"/>
        <v>1537839.5280028563</v>
      </c>
      <c r="J24" s="169">
        <f t="shared" si="54"/>
        <v>1757323.8960972496</v>
      </c>
      <c r="K24" s="169">
        <f t="shared" si="54"/>
        <v>0</v>
      </c>
      <c r="L24" s="169">
        <f t="shared" si="54"/>
        <v>0</v>
      </c>
      <c r="M24" s="406">
        <f t="shared" si="44"/>
        <v>3295163.4241001057</v>
      </c>
      <c r="N24" s="469"/>
      <c r="O24" s="169">
        <f t="shared" si="55"/>
        <v>327540.65469153255</v>
      </c>
      <c r="P24" s="169">
        <f t="shared" si="55"/>
        <v>374288.08985048957</v>
      </c>
      <c r="Q24" s="169">
        <f t="shared" si="55"/>
        <v>0</v>
      </c>
      <c r="R24" s="169">
        <f t="shared" si="55"/>
        <v>0</v>
      </c>
      <c r="S24" s="671">
        <f t="shared" si="48"/>
        <v>701828.74454202212</v>
      </c>
      <c r="T24" s="342"/>
      <c r="U24" s="169">
        <f t="shared" ref="U24:X24" si="58">U$20*U43*U53</f>
        <v>0</v>
      </c>
      <c r="V24" s="169">
        <f t="shared" si="58"/>
        <v>0</v>
      </c>
      <c r="W24" s="169">
        <f t="shared" si="58"/>
        <v>0</v>
      </c>
      <c r="X24" s="169">
        <f t="shared" si="58"/>
        <v>0</v>
      </c>
      <c r="Y24" s="671">
        <f t="shared" si="50"/>
        <v>0</v>
      </c>
      <c r="Z24" s="615"/>
      <c r="AA24" s="169">
        <f t="shared" ref="AA24:AD24" si="59">AA$20*AA43*AA53</f>
        <v>1537839.5280028565</v>
      </c>
      <c r="AB24" s="169">
        <f t="shared" si="59"/>
        <v>1757323.8960972496</v>
      </c>
      <c r="AC24" s="169">
        <f t="shared" si="59"/>
        <v>0</v>
      </c>
      <c r="AD24" s="169">
        <f t="shared" si="59"/>
        <v>0</v>
      </c>
      <c r="AE24" s="687">
        <f t="shared" si="52"/>
        <v>3295163.4241001061</v>
      </c>
      <c r="AF24" s="406">
        <f t="shared" ref="AF24:AF31" si="60">AE24+Y24</f>
        <v>3295163.4241001061</v>
      </c>
      <c r="AY24" s="423"/>
      <c r="AZ24" s="423"/>
      <c r="BA24" s="423"/>
      <c r="BB24" s="423"/>
      <c r="BC24" s="423"/>
      <c r="BD24" s="423"/>
      <c r="BE24" s="423"/>
      <c r="BF24" s="423"/>
      <c r="BG24" s="423"/>
      <c r="BH24" s="423"/>
      <c r="BI24" s="423"/>
      <c r="BJ24" s="423"/>
    </row>
    <row r="25" spans="1:62" hidden="1" outlineLevel="1">
      <c r="A25" s="436" t="s">
        <v>65</v>
      </c>
      <c r="B25" s="478"/>
      <c r="C25" s="169">
        <f t="shared" si="53"/>
        <v>11336437.064465931</v>
      </c>
      <c r="D25" s="169">
        <f t="shared" si="53"/>
        <v>6835809.4323754478</v>
      </c>
      <c r="E25" s="169">
        <f t="shared" si="53"/>
        <v>0</v>
      </c>
      <c r="F25" s="169">
        <f t="shared" si="53"/>
        <v>0</v>
      </c>
      <c r="G25" s="406">
        <f t="shared" si="14"/>
        <v>18172246.496841379</v>
      </c>
      <c r="H25" s="296"/>
      <c r="I25" s="169">
        <f t="shared" si="54"/>
        <v>15200511.597056901</v>
      </c>
      <c r="J25" s="169">
        <f t="shared" si="54"/>
        <v>9165825.2025050279</v>
      </c>
      <c r="K25" s="169">
        <f t="shared" si="54"/>
        <v>0</v>
      </c>
      <c r="L25" s="169">
        <f t="shared" si="54"/>
        <v>0</v>
      </c>
      <c r="M25" s="406">
        <f t="shared" si="44"/>
        <v>24366336.799561929</v>
      </c>
      <c r="N25" s="469"/>
      <c r="O25" s="169">
        <f t="shared" si="55"/>
        <v>3237519.5392539045</v>
      </c>
      <c r="P25" s="169">
        <f t="shared" si="55"/>
        <v>1952206.5423272615</v>
      </c>
      <c r="Q25" s="169">
        <f t="shared" si="55"/>
        <v>0</v>
      </c>
      <c r="R25" s="169">
        <f t="shared" si="55"/>
        <v>0</v>
      </c>
      <c r="S25" s="671">
        <f t="shared" si="48"/>
        <v>5189726.081581166</v>
      </c>
      <c r="T25" s="342"/>
      <c r="U25" s="169">
        <f t="shared" ref="U25:X25" si="61">U$20*U44*U54</f>
        <v>0</v>
      </c>
      <c r="V25" s="169">
        <f t="shared" si="61"/>
        <v>0</v>
      </c>
      <c r="W25" s="169">
        <f t="shared" si="61"/>
        <v>0</v>
      </c>
      <c r="X25" s="169">
        <f t="shared" si="61"/>
        <v>0</v>
      </c>
      <c r="Y25" s="671">
        <f t="shared" si="50"/>
        <v>0</v>
      </c>
      <c r="Z25" s="615"/>
      <c r="AA25" s="169">
        <f t="shared" ref="AA25:AD25" si="62">AA$20*AA44*AA54</f>
        <v>15200511.597056903</v>
      </c>
      <c r="AB25" s="169">
        <f t="shared" si="62"/>
        <v>9165825.202505026</v>
      </c>
      <c r="AC25" s="169">
        <f t="shared" si="62"/>
        <v>0</v>
      </c>
      <c r="AD25" s="169">
        <f t="shared" si="62"/>
        <v>0</v>
      </c>
      <c r="AE25" s="687">
        <f t="shared" si="52"/>
        <v>24366336.799561929</v>
      </c>
      <c r="AF25" s="406">
        <f t="shared" si="60"/>
        <v>24366336.799561929</v>
      </c>
      <c r="AY25" s="423"/>
      <c r="AZ25" s="423"/>
      <c r="BA25" s="423"/>
      <c r="BB25" s="423"/>
      <c r="BC25" s="423"/>
      <c r="BD25" s="423"/>
      <c r="BE25" s="423"/>
      <c r="BF25" s="423"/>
      <c r="BG25" s="423"/>
      <c r="BH25" s="423"/>
      <c r="BI25" s="423"/>
      <c r="BJ25" s="423"/>
    </row>
    <row r="26" spans="1:62" hidden="1" outlineLevel="1">
      <c r="A26" s="436" t="s">
        <v>66</v>
      </c>
      <c r="B26" s="478"/>
      <c r="C26" s="169">
        <f t="shared" si="53"/>
        <v>82424190.904996976</v>
      </c>
      <c r="D26" s="169">
        <f t="shared" si="53"/>
        <v>32049479.909674808</v>
      </c>
      <c r="E26" s="169">
        <f t="shared" si="53"/>
        <v>0</v>
      </c>
      <c r="F26" s="169">
        <f t="shared" si="53"/>
        <v>0</v>
      </c>
      <c r="G26" s="406">
        <f t="shared" si="14"/>
        <v>114473670.81467178</v>
      </c>
      <c r="H26" s="296"/>
      <c r="I26" s="169">
        <f t="shared" si="54"/>
        <v>113149631.57824869</v>
      </c>
      <c r="J26" s="169">
        <f t="shared" si="54"/>
        <v>43996632.59338513</v>
      </c>
      <c r="K26" s="169">
        <f t="shared" si="54"/>
        <v>0</v>
      </c>
      <c r="L26" s="169">
        <f t="shared" si="54"/>
        <v>0</v>
      </c>
      <c r="M26" s="406">
        <f t="shared" si="44"/>
        <v>157146264.17163384</v>
      </c>
      <c r="N26" s="469"/>
      <c r="O26" s="169">
        <f t="shared" si="55"/>
        <v>24099461.43950101</v>
      </c>
      <c r="P26" s="169">
        <f t="shared" si="55"/>
        <v>9370734.450150907</v>
      </c>
      <c r="Q26" s="169">
        <f t="shared" si="55"/>
        <v>0</v>
      </c>
      <c r="R26" s="169">
        <f t="shared" si="55"/>
        <v>0</v>
      </c>
      <c r="S26" s="671">
        <f t="shared" si="48"/>
        <v>33470195.889651917</v>
      </c>
      <c r="T26" s="342"/>
      <c r="U26" s="169">
        <f t="shared" ref="U26:X26" si="63">U$20*U45*U55</f>
        <v>24099461.439501014</v>
      </c>
      <c r="V26" s="169">
        <f t="shared" si="63"/>
        <v>9370734.4501509089</v>
      </c>
      <c r="W26" s="169">
        <f t="shared" si="63"/>
        <v>0</v>
      </c>
      <c r="X26" s="169">
        <f t="shared" si="63"/>
        <v>0</v>
      </c>
      <c r="Y26" s="671">
        <f t="shared" si="50"/>
        <v>33470195.889651924</v>
      </c>
      <c r="Z26" s="615"/>
      <c r="AA26" s="169">
        <f t="shared" ref="AA26:AD26" si="64">AA$20*AA45*AA55</f>
        <v>0</v>
      </c>
      <c r="AB26" s="169">
        <f t="shared" si="64"/>
        <v>0</v>
      </c>
      <c r="AC26" s="169">
        <f t="shared" si="64"/>
        <v>0</v>
      </c>
      <c r="AD26" s="169">
        <f t="shared" si="64"/>
        <v>0</v>
      </c>
      <c r="AE26" s="687">
        <f t="shared" si="52"/>
        <v>0</v>
      </c>
      <c r="AF26" s="406">
        <f t="shared" si="60"/>
        <v>33470195.889651924</v>
      </c>
      <c r="AY26" s="423"/>
      <c r="AZ26" s="423"/>
      <c r="BA26" s="423"/>
      <c r="BB26" s="423"/>
      <c r="BC26" s="423"/>
      <c r="BD26" s="423"/>
      <c r="BE26" s="423"/>
      <c r="BF26" s="423"/>
      <c r="BG26" s="423"/>
      <c r="BH26" s="423"/>
      <c r="BI26" s="423"/>
      <c r="BJ26" s="423"/>
    </row>
    <row r="27" spans="1:62" hidden="1" outlineLevel="1">
      <c r="A27" s="436" t="s">
        <v>328</v>
      </c>
      <c r="B27" s="478"/>
      <c r="C27" s="169">
        <f t="shared" si="53"/>
        <v>0</v>
      </c>
      <c r="D27" s="169">
        <f t="shared" si="53"/>
        <v>0</v>
      </c>
      <c r="E27" s="169">
        <f t="shared" si="53"/>
        <v>0</v>
      </c>
      <c r="F27" s="169">
        <f t="shared" si="53"/>
        <v>0</v>
      </c>
      <c r="G27" s="406">
        <f t="shared" si="14"/>
        <v>0</v>
      </c>
      <c r="H27" s="296"/>
      <c r="I27" s="169">
        <f t="shared" si="54"/>
        <v>0</v>
      </c>
      <c r="J27" s="169">
        <f t="shared" si="54"/>
        <v>0</v>
      </c>
      <c r="K27" s="169">
        <f t="shared" si="54"/>
        <v>0</v>
      </c>
      <c r="L27" s="169">
        <f t="shared" si="54"/>
        <v>0</v>
      </c>
      <c r="M27" s="406">
        <f t="shared" si="44"/>
        <v>0</v>
      </c>
      <c r="N27" s="469"/>
      <c r="O27" s="169">
        <f t="shared" si="55"/>
        <v>0</v>
      </c>
      <c r="P27" s="169">
        <f t="shared" si="55"/>
        <v>0</v>
      </c>
      <c r="Q27" s="169">
        <f t="shared" si="55"/>
        <v>0</v>
      </c>
      <c r="R27" s="169">
        <f t="shared" si="55"/>
        <v>0</v>
      </c>
      <c r="S27" s="671">
        <f t="shared" si="48"/>
        <v>0</v>
      </c>
      <c r="T27" s="342"/>
      <c r="U27" s="169">
        <f t="shared" ref="U27:X27" si="65">U$20*U46*U56</f>
        <v>0</v>
      </c>
      <c r="V27" s="169">
        <f t="shared" si="65"/>
        <v>0</v>
      </c>
      <c r="W27" s="169">
        <f t="shared" si="65"/>
        <v>0</v>
      </c>
      <c r="X27" s="169">
        <f t="shared" si="65"/>
        <v>0</v>
      </c>
      <c r="Y27" s="671">
        <f t="shared" si="50"/>
        <v>0</v>
      </c>
      <c r="Z27" s="615"/>
      <c r="AA27" s="169">
        <f t="shared" ref="AA27:AD27" si="66">AA$20*AA46*AA56</f>
        <v>0</v>
      </c>
      <c r="AB27" s="169">
        <f t="shared" si="66"/>
        <v>0</v>
      </c>
      <c r="AC27" s="169">
        <f t="shared" si="66"/>
        <v>0</v>
      </c>
      <c r="AD27" s="169">
        <f t="shared" si="66"/>
        <v>0</v>
      </c>
      <c r="AE27" s="687">
        <f t="shared" si="52"/>
        <v>0</v>
      </c>
      <c r="AF27" s="406">
        <f t="shared" si="60"/>
        <v>0</v>
      </c>
      <c r="AY27" s="423"/>
      <c r="AZ27" s="423"/>
      <c r="BA27" s="423"/>
      <c r="BB27" s="423"/>
      <c r="BC27" s="423"/>
      <c r="BD27" s="423"/>
      <c r="BE27" s="423"/>
      <c r="BF27" s="423"/>
      <c r="BG27" s="423"/>
      <c r="BH27" s="423"/>
      <c r="BI27" s="423"/>
      <c r="BJ27" s="423"/>
    </row>
    <row r="28" spans="1:62" s="495" customFormat="1" ht="20" collapsed="1">
      <c r="A28" s="568" t="s">
        <v>343</v>
      </c>
      <c r="B28" s="673"/>
      <c r="C28" s="492">
        <f>SUM(C29:C31)</f>
        <v>138208540.58874741</v>
      </c>
      <c r="D28" s="492">
        <f t="shared" ref="D28:G28" si="67">SUM(D29:D31)</f>
        <v>57732681.511755258</v>
      </c>
      <c r="E28" s="492">
        <f t="shared" si="67"/>
        <v>0</v>
      </c>
      <c r="F28" s="492">
        <f t="shared" si="67"/>
        <v>0</v>
      </c>
      <c r="G28" s="674">
        <f t="shared" si="67"/>
        <v>195941222.1005027</v>
      </c>
      <c r="H28" s="675"/>
      <c r="I28" s="492">
        <f>SUM(I29:I31)</f>
        <v>149763553.44248477</v>
      </c>
      <c r="J28" s="492">
        <f t="shared" ref="J28" si="68">SUM(J29:J31)</f>
        <v>62559459.032936685</v>
      </c>
      <c r="K28" s="492">
        <f t="shared" ref="K28" si="69">SUM(K29:K31)</f>
        <v>0</v>
      </c>
      <c r="L28" s="492">
        <f t="shared" ref="L28" si="70">SUM(L29:L31)</f>
        <v>0</v>
      </c>
      <c r="M28" s="674">
        <f t="shared" si="44"/>
        <v>212323012.47542146</v>
      </c>
      <c r="N28" s="676"/>
      <c r="O28" s="492">
        <f t="shared" ref="O28" si="71">SUM(O29:O31)</f>
        <v>2923709.5993260583</v>
      </c>
      <c r="P28" s="492">
        <f t="shared" ref="P28" si="72">SUM(P29:P31)</f>
        <v>1221296.4149083535</v>
      </c>
      <c r="Q28" s="492">
        <f t="shared" ref="Q28" si="73">SUM(Q29:Q31)</f>
        <v>0</v>
      </c>
      <c r="R28" s="492">
        <f t="shared" ref="R28" si="74">SUM(R29:R31)</f>
        <v>0</v>
      </c>
      <c r="S28" s="677">
        <f t="shared" si="48"/>
        <v>4145006.0142344115</v>
      </c>
      <c r="T28" s="678"/>
      <c r="U28" s="492">
        <f t="shared" ref="U28:X28" si="75">SUM(U29:U31)</f>
        <v>2593558.9348522266</v>
      </c>
      <c r="V28" s="492">
        <f t="shared" si="75"/>
        <v>1008468.6796975855</v>
      </c>
      <c r="W28" s="492">
        <f t="shared" si="75"/>
        <v>0</v>
      </c>
      <c r="X28" s="492">
        <f t="shared" si="75"/>
        <v>0</v>
      </c>
      <c r="Y28" s="677">
        <f t="shared" si="50"/>
        <v>3602027.6145498119</v>
      </c>
      <c r="Z28" s="688"/>
      <c r="AA28" s="492">
        <f>SUM(AA29:AA31)</f>
        <v>16911575.860473961</v>
      </c>
      <c r="AB28" s="492">
        <f t="shared" ref="AB28:AD28" si="76">SUM(AB29:AB31)</f>
        <v>10901848.084922003</v>
      </c>
      <c r="AC28" s="492">
        <f t="shared" si="76"/>
        <v>0</v>
      </c>
      <c r="AD28" s="492">
        <f t="shared" si="76"/>
        <v>0</v>
      </c>
      <c r="AE28" s="689">
        <f t="shared" si="52"/>
        <v>27813423.945395961</v>
      </c>
      <c r="AF28" s="674">
        <f>AE28+Y28</f>
        <v>31415451.559945773</v>
      </c>
      <c r="AG28" s="493"/>
      <c r="AH28" s="493"/>
      <c r="AI28" s="493"/>
      <c r="AJ28" s="493"/>
      <c r="AK28" s="493"/>
      <c r="AL28" s="493"/>
      <c r="AM28" s="493"/>
      <c r="AN28" s="493"/>
      <c r="AO28" s="493"/>
      <c r="AP28" s="493"/>
      <c r="AQ28" s="493"/>
      <c r="AR28" s="493"/>
    </row>
    <row r="29" spans="1:62" ht="20">
      <c r="A29" s="161" t="s">
        <v>485</v>
      </c>
      <c r="C29" s="255">
        <f>C20*C102</f>
        <v>127742875.69836339</v>
      </c>
      <c r="D29" s="255">
        <f t="shared" ref="D29:F29" si="77">D20*D102</f>
        <v>53360948.076531544</v>
      </c>
      <c r="E29" s="255">
        <f t="shared" si="77"/>
        <v>0</v>
      </c>
      <c r="F29" s="255">
        <f t="shared" si="77"/>
        <v>0</v>
      </c>
      <c r="G29" s="479">
        <f t="shared" ref="G29:G31" si="78">SUM(C29:F29)</f>
        <v>181103823.77489495</v>
      </c>
      <c r="I29" s="255">
        <f>I20*I102</f>
        <v>145971603.08297876</v>
      </c>
      <c r="J29" s="255">
        <f t="shared" ref="J29:L29" si="79">J20*J102</f>
        <v>60975479.76883924</v>
      </c>
      <c r="K29" s="255">
        <f t="shared" si="79"/>
        <v>0</v>
      </c>
      <c r="L29" s="255">
        <f t="shared" si="79"/>
        <v>0</v>
      </c>
      <c r="M29" s="479">
        <f t="shared" ref="M29" si="80">SUM(I29:L29)</f>
        <v>206947082.851818</v>
      </c>
      <c r="N29" s="485"/>
      <c r="O29" s="169">
        <f>O20*O102</f>
        <v>2116071.4285714286</v>
      </c>
      <c r="P29" s="169">
        <f>P20*P102</f>
        <v>883928.57142857136</v>
      </c>
      <c r="Q29" s="169">
        <f>Q20*Q102</f>
        <v>0</v>
      </c>
      <c r="R29" s="169">
        <f>R20*R102</f>
        <v>0</v>
      </c>
      <c r="S29" s="671">
        <f t="shared" ref="S29:S30" si="81">SUM(O29:R29)</f>
        <v>3000000</v>
      </c>
      <c r="U29" s="255">
        <f>U20*U102</f>
        <v>1877120.7515349726</v>
      </c>
      <c r="V29" s="255">
        <f t="shared" ref="V29:X29" si="82">V20*V102</f>
        <v>729891.83337808808</v>
      </c>
      <c r="W29" s="255">
        <f t="shared" si="82"/>
        <v>0</v>
      </c>
      <c r="X29" s="255">
        <f t="shared" si="82"/>
        <v>0</v>
      </c>
      <c r="Y29" s="671">
        <f t="shared" si="50"/>
        <v>2607012.5849130605</v>
      </c>
      <c r="Z29" s="28"/>
      <c r="AA29" s="255">
        <f>AA20*AA102</f>
        <v>16483381.852720499</v>
      </c>
      <c r="AB29" s="255">
        <f t="shared" ref="AB29:AD29" si="83">AB20*AB102</f>
        <v>10625817.863852389</v>
      </c>
      <c r="AC29" s="255">
        <f t="shared" si="83"/>
        <v>0</v>
      </c>
      <c r="AD29" s="255">
        <f t="shared" si="83"/>
        <v>0</v>
      </c>
      <c r="AE29" s="690">
        <f t="shared" si="52"/>
        <v>27109199.716572888</v>
      </c>
      <c r="AF29" s="406">
        <f t="shared" si="60"/>
        <v>29716212.301485948</v>
      </c>
      <c r="AM29" s="80"/>
    </row>
    <row r="30" spans="1:62" ht="20">
      <c r="A30" s="161" t="s">
        <v>340</v>
      </c>
      <c r="C30" s="169">
        <f>C20*C108</f>
        <v>7147247.9298373833</v>
      </c>
      <c r="D30" s="169">
        <f>D20*D108</f>
        <v>2985559.2618308058</v>
      </c>
      <c r="E30" s="169">
        <f>E20*E108</f>
        <v>0</v>
      </c>
      <c r="F30" s="169">
        <f>F20*F108</f>
        <v>0</v>
      </c>
      <c r="G30" s="406">
        <f>SUM(C30:F30)</f>
        <v>10132807.19166819</v>
      </c>
      <c r="I30" s="169">
        <f>I20*I108</f>
        <v>0</v>
      </c>
      <c r="J30" s="169">
        <f>J20*J108</f>
        <v>0</v>
      </c>
      <c r="K30" s="169">
        <f>K20*K108</f>
        <v>0</v>
      </c>
      <c r="L30" s="169">
        <f>L20*L108</f>
        <v>0</v>
      </c>
      <c r="M30" s="406">
        <f>SUM(I30:L30)</f>
        <v>0</v>
      </c>
      <c r="N30" s="485"/>
      <c r="O30" s="169">
        <f>O18*O108</f>
        <v>0</v>
      </c>
      <c r="P30" s="169">
        <f>P18*P108</f>
        <v>0</v>
      </c>
      <c r="Q30" s="169">
        <f>Q18*Q108</f>
        <v>0</v>
      </c>
      <c r="R30" s="169">
        <f>R18*R108</f>
        <v>0</v>
      </c>
      <c r="S30" s="169">
        <f t="shared" si="81"/>
        <v>0</v>
      </c>
      <c r="U30" s="169">
        <f>U18*U108</f>
        <v>0</v>
      </c>
      <c r="V30" s="169">
        <f>V18*V108</f>
        <v>0</v>
      </c>
      <c r="W30" s="169">
        <f>W18*W108</f>
        <v>0</v>
      </c>
      <c r="X30" s="169">
        <f>X18*X108</f>
        <v>0</v>
      </c>
      <c r="Y30" s="169">
        <f t="shared" si="50"/>
        <v>0</v>
      </c>
      <c r="Z30" s="28"/>
      <c r="AA30" s="169">
        <f>AA20*AA108</f>
        <v>0</v>
      </c>
      <c r="AB30" s="169">
        <f>AB20*AB108</f>
        <v>0</v>
      </c>
      <c r="AC30" s="169">
        <f>AC20*AC108</f>
        <v>0</v>
      </c>
      <c r="AD30" s="169">
        <f>AD20*AD108</f>
        <v>0</v>
      </c>
      <c r="AE30" s="687">
        <f>SUM(AA30:AD30)</f>
        <v>0</v>
      </c>
      <c r="AF30" s="406">
        <f t="shared" si="60"/>
        <v>0</v>
      </c>
      <c r="AM30" s="80"/>
    </row>
    <row r="31" spans="1:62" ht="20">
      <c r="A31" s="161" t="s">
        <v>341</v>
      </c>
      <c r="C31" s="255">
        <f>C20*C110</f>
        <v>3318416.9605466509</v>
      </c>
      <c r="D31" s="255">
        <f>D20*D110</f>
        <v>1386174.1733929047</v>
      </c>
      <c r="E31" s="255">
        <f>E20*E110</f>
        <v>0</v>
      </c>
      <c r="F31" s="255">
        <f>F20*F110</f>
        <v>0</v>
      </c>
      <c r="G31" s="479">
        <f t="shared" si="78"/>
        <v>4704591.1339395558</v>
      </c>
      <c r="I31" s="255">
        <f>I20*I110</f>
        <v>3791950.3595060091</v>
      </c>
      <c r="J31" s="255">
        <f>J20*J110</f>
        <v>1583979.264097447</v>
      </c>
      <c r="K31" s="255">
        <f>K20*K110</f>
        <v>0</v>
      </c>
      <c r="L31" s="255">
        <f>L20*L110</f>
        <v>0</v>
      </c>
      <c r="M31" s="479">
        <f t="shared" ref="M31" si="84">SUM(I31:L31)</f>
        <v>5375929.6236034557</v>
      </c>
      <c r="N31" s="485"/>
      <c r="O31" s="255">
        <f>O20*O110</f>
        <v>807638.17075462977</v>
      </c>
      <c r="P31" s="255">
        <f>P20*P110</f>
        <v>337367.84347978205</v>
      </c>
      <c r="Q31" s="255">
        <f>Q20*Q110</f>
        <v>0</v>
      </c>
      <c r="R31" s="255">
        <f>R20*R110</f>
        <v>0</v>
      </c>
      <c r="S31" s="672">
        <f t="shared" ref="S31" si="85">SUM(O31:R31)</f>
        <v>1145006.0142344118</v>
      </c>
      <c r="U31" s="255">
        <f>U20*U110</f>
        <v>716438.1833172543</v>
      </c>
      <c r="V31" s="255">
        <f>V20*V110</f>
        <v>278576.84631949739</v>
      </c>
      <c r="W31" s="255">
        <f>W20*W110</f>
        <v>0</v>
      </c>
      <c r="X31" s="255">
        <f>X20*X110</f>
        <v>0</v>
      </c>
      <c r="Y31" s="672">
        <f t="shared" si="50"/>
        <v>995015.02963675163</v>
      </c>
      <c r="Z31" s="28"/>
      <c r="AA31" s="255">
        <f>AA20*AA110</f>
        <v>428194.00775346224</v>
      </c>
      <c r="AB31" s="255">
        <f>AB20*AB110</f>
        <v>276030.22106961306</v>
      </c>
      <c r="AC31" s="255">
        <f>AC20*AC110</f>
        <v>0</v>
      </c>
      <c r="AD31" s="255">
        <f>AD20*AD110</f>
        <v>0</v>
      </c>
      <c r="AE31" s="690">
        <f t="shared" ref="AE31:AE32" si="86">SUM(AA31:AD31)</f>
        <v>704224.2288230753</v>
      </c>
      <c r="AF31" s="406">
        <f t="shared" si="60"/>
        <v>1699239.2584598269</v>
      </c>
      <c r="AM31" s="80"/>
    </row>
    <row r="32" spans="1:62" s="679" customFormat="1" ht="20">
      <c r="A32" s="568" t="s">
        <v>344</v>
      </c>
      <c r="B32" s="497"/>
      <c r="C32" s="492">
        <f>C22-C28</f>
        <v>-43228203.901263371</v>
      </c>
      <c r="D32" s="492">
        <f>D22-D28</f>
        <v>-17304117.131371483</v>
      </c>
      <c r="E32" s="492">
        <f>E22-E28</f>
        <v>0</v>
      </c>
      <c r="F32" s="492">
        <f>F22-F28</f>
        <v>0</v>
      </c>
      <c r="G32" s="900">
        <f t="shared" ref="G32" si="87">SUM(C32:F32)</f>
        <v>-60532321.032634854</v>
      </c>
      <c r="H32" s="528"/>
      <c r="I32" s="492">
        <f>I22-I28</f>
        <v>-19841149.375336483</v>
      </c>
      <c r="J32" s="492">
        <f>J22-J28</f>
        <v>-7412723.6266578287</v>
      </c>
      <c r="K32" s="492">
        <f>K22-K28</f>
        <v>0</v>
      </c>
      <c r="L32" s="492">
        <f>L22-L28</f>
        <v>0</v>
      </c>
      <c r="M32" s="900">
        <f t="shared" ref="M32" si="88">SUM(I32:L32)</f>
        <v>-27253873.001994312</v>
      </c>
      <c r="N32" s="528"/>
      <c r="O32" s="492">
        <f>O22-O28</f>
        <v>24748143.355654381</v>
      </c>
      <c r="P32" s="492">
        <f>P22-P28</f>
        <v>10524270.980235189</v>
      </c>
      <c r="Q32" s="492">
        <f>Q22-Q28</f>
        <v>0</v>
      </c>
      <c r="R32" s="492">
        <f>R22-R28</f>
        <v>0</v>
      </c>
      <c r="S32" s="677">
        <f t="shared" ref="S32" si="89">SUM(O32:R32)</f>
        <v>35272414.33588957</v>
      </c>
      <c r="T32" s="528"/>
      <c r="U32" s="492">
        <f>U22-U28</f>
        <v>21505902.504648786</v>
      </c>
      <c r="V32" s="492">
        <f>V22-V28</f>
        <v>8362265.7704533236</v>
      </c>
      <c r="W32" s="492">
        <f>W22-W28</f>
        <v>0</v>
      </c>
      <c r="X32" s="492">
        <f>X22-X28</f>
        <v>0</v>
      </c>
      <c r="Y32" s="871">
        <f t="shared" si="50"/>
        <v>29868168.275102109</v>
      </c>
      <c r="Z32" s="691"/>
      <c r="AA32" s="492">
        <f>AA22-AA28</f>
        <v>-138803.3715743646</v>
      </c>
      <c r="AB32" s="492">
        <f>AB22-AB28</f>
        <v>248254.72797171958</v>
      </c>
      <c r="AC32" s="492">
        <f>AC22-AC28</f>
        <v>0</v>
      </c>
      <c r="AD32" s="492">
        <f>AD22-AD28</f>
        <v>0</v>
      </c>
      <c r="AE32" s="689">
        <f t="shared" si="86"/>
        <v>109451.35639735498</v>
      </c>
      <c r="AF32" s="873">
        <f>AE32+Y32</f>
        <v>29977619.631499462</v>
      </c>
      <c r="AG32" s="493"/>
      <c r="AH32" s="493"/>
      <c r="AI32" s="493"/>
      <c r="AJ32" s="493"/>
      <c r="AK32" s="493"/>
      <c r="AL32" s="493"/>
      <c r="AM32" s="493"/>
      <c r="AN32" s="493"/>
      <c r="AO32" s="493"/>
      <c r="AP32" s="493"/>
      <c r="AQ32" s="493"/>
      <c r="AR32" s="493"/>
      <c r="AY32" s="493"/>
      <c r="AZ32" s="493"/>
      <c r="BA32" s="493"/>
      <c r="BB32" s="493"/>
      <c r="BC32" s="493"/>
      <c r="BD32" s="493"/>
      <c r="BE32" s="493"/>
      <c r="BF32" s="493"/>
      <c r="BG32" s="493"/>
      <c r="BH32" s="493"/>
      <c r="BI32" s="493"/>
      <c r="BJ32" s="493"/>
    </row>
    <row r="33" spans="1:62">
      <c r="A33" s="87"/>
      <c r="C33" s="139"/>
      <c r="Z33" s="28"/>
      <c r="AE33" s="24"/>
      <c r="AF33" s="406"/>
    </row>
    <row r="34" spans="1:62" s="679" customFormat="1" ht="20">
      <c r="A34" s="568" t="s">
        <v>367</v>
      </c>
      <c r="B34" s="497"/>
      <c r="C34" s="492">
        <f>C18*C96</f>
        <v>0</v>
      </c>
      <c r="D34" s="492">
        <f>D18*D96</f>
        <v>0</v>
      </c>
      <c r="E34" s="492">
        <f>E5*E96</f>
        <v>72800000.000000015</v>
      </c>
      <c r="F34" s="492">
        <f>F5*F96</f>
        <v>148200000</v>
      </c>
      <c r="G34" s="674">
        <f>SUM(C34:F34)</f>
        <v>221000000</v>
      </c>
      <c r="H34" s="528"/>
      <c r="I34" s="492">
        <f>I20*I97</f>
        <v>41483936.932995744</v>
      </c>
      <c r="J34" s="492">
        <f>J20*J97</f>
        <v>17328733.149226069</v>
      </c>
      <c r="K34" s="492">
        <f>K5*K96</f>
        <v>87360000.000000015</v>
      </c>
      <c r="L34" s="492">
        <f>L5*L96</f>
        <v>177840000</v>
      </c>
      <c r="M34" s="674">
        <f>SUM(I34:L34)</f>
        <v>324012670.08222187</v>
      </c>
      <c r="N34" s="550"/>
      <c r="O34" s="492">
        <f>O20*O97</f>
        <v>8835561.5880556498</v>
      </c>
      <c r="P34" s="492">
        <f>P20*P97</f>
        <v>3690804.2076688157</v>
      </c>
      <c r="Q34" s="492">
        <f>Q5*Q96</f>
        <v>87360000.000000015</v>
      </c>
      <c r="R34" s="492">
        <f>R5*R96</f>
        <v>177840000</v>
      </c>
      <c r="S34" s="677">
        <f>SUM(O34:R34)</f>
        <v>277726365.79572451</v>
      </c>
      <c r="T34" s="528"/>
      <c r="U34" s="492">
        <f>U20*U97</f>
        <v>7837833.7254907619</v>
      </c>
      <c r="V34" s="492">
        <f>V20*V97</f>
        <v>3047630.6987353014</v>
      </c>
      <c r="W34" s="492">
        <f>W5*W96</f>
        <v>0</v>
      </c>
      <c r="X34" s="492">
        <f>X5*X96</f>
        <v>0</v>
      </c>
      <c r="Y34" s="677">
        <f>SUM(U34:X34)</f>
        <v>10885464.424226064</v>
      </c>
      <c r="Z34" s="691"/>
      <c r="AA34" s="492">
        <f>AA20*AA97</f>
        <v>4684442.4448228776</v>
      </c>
      <c r="AB34" s="492">
        <f>AB20*AB97</f>
        <v>3019770.6185015673</v>
      </c>
      <c r="AC34" s="492">
        <f>AC5*AC96</f>
        <v>0</v>
      </c>
      <c r="AD34" s="492">
        <f>AD5*AD96</f>
        <v>0</v>
      </c>
      <c r="AE34" s="689">
        <f>SUM(AA34:AD34)</f>
        <v>7704213.0633244449</v>
      </c>
      <c r="AF34" s="674">
        <f>AE34+Y34</f>
        <v>18589677.487550508</v>
      </c>
      <c r="AG34" s="493"/>
      <c r="AH34" s="493"/>
      <c r="AI34" s="493"/>
      <c r="AJ34" s="493"/>
      <c r="AK34" s="493"/>
      <c r="AL34" s="493"/>
      <c r="AM34" s="494"/>
      <c r="AN34" s="493"/>
      <c r="AO34" s="493"/>
      <c r="AP34" s="493"/>
      <c r="AQ34" s="493"/>
      <c r="AR34" s="493"/>
      <c r="AY34" s="493"/>
      <c r="AZ34" s="493"/>
      <c r="BA34" s="493"/>
      <c r="BB34" s="493"/>
      <c r="BC34" s="493"/>
      <c r="BD34" s="493"/>
      <c r="BE34" s="493"/>
      <c r="BF34" s="493"/>
      <c r="BG34" s="493"/>
      <c r="BH34" s="493"/>
      <c r="BI34" s="493"/>
      <c r="BJ34" s="493"/>
    </row>
    <row r="35" spans="1:62">
      <c r="A35" s="87"/>
      <c r="C35" s="139"/>
      <c r="Z35" s="28"/>
      <c r="AE35" s="24"/>
      <c r="AF35" s="406"/>
    </row>
    <row r="36" spans="1:62" s="727" customFormat="1" ht="21" thickBot="1">
      <c r="A36" s="569" t="s">
        <v>364</v>
      </c>
      <c r="B36" s="570"/>
      <c r="C36" s="571">
        <f>C32+C34</f>
        <v>-43228203.901263371</v>
      </c>
      <c r="D36" s="571">
        <f t="shared" ref="D36:F36" si="90">D32+D34</f>
        <v>-17304117.131371483</v>
      </c>
      <c r="E36" s="571">
        <f t="shared" si="90"/>
        <v>72800000.000000015</v>
      </c>
      <c r="F36" s="571">
        <f t="shared" si="90"/>
        <v>148200000</v>
      </c>
      <c r="G36" s="901">
        <f>SUM(C36:F36)</f>
        <v>160467678.96736515</v>
      </c>
      <c r="H36" s="572"/>
      <c r="I36" s="571">
        <f>I32+I34</f>
        <v>21642787.557659261</v>
      </c>
      <c r="J36" s="571">
        <f t="shared" ref="J36:L36" si="91">J32+J34</f>
        <v>9916009.5225682408</v>
      </c>
      <c r="K36" s="571">
        <f t="shared" si="91"/>
        <v>87360000.000000015</v>
      </c>
      <c r="L36" s="571">
        <f t="shared" si="91"/>
        <v>177840000</v>
      </c>
      <c r="M36" s="874">
        <f>SUM(I36:L36)</f>
        <v>296758797.08022749</v>
      </c>
      <c r="N36" s="573"/>
      <c r="O36" s="571">
        <f>O32+O34</f>
        <v>33583704.943710029</v>
      </c>
      <c r="P36" s="571">
        <f t="shared" ref="P36:R36" si="92">P32+P34</f>
        <v>14215075.187904004</v>
      </c>
      <c r="Q36" s="571">
        <f t="shared" si="92"/>
        <v>87360000.000000015</v>
      </c>
      <c r="R36" s="571">
        <f t="shared" si="92"/>
        <v>177840000</v>
      </c>
      <c r="S36" s="869">
        <f>SUM(O36:R36)</f>
        <v>312998780.13161403</v>
      </c>
      <c r="T36" s="572"/>
      <c r="U36" s="571">
        <f>U32+U34</f>
        <v>29343736.230139546</v>
      </c>
      <c r="V36" s="571">
        <f t="shared" ref="V36:X36" si="93">V32+V34</f>
        <v>11409896.469188625</v>
      </c>
      <c r="W36" s="571">
        <f t="shared" si="93"/>
        <v>0</v>
      </c>
      <c r="X36" s="571">
        <f t="shared" si="93"/>
        <v>0</v>
      </c>
      <c r="Y36" s="872">
        <f>SUM(U36:X36)</f>
        <v>40753632.699328169</v>
      </c>
      <c r="Z36" s="692"/>
      <c r="AA36" s="571">
        <f>AA32+AA34</f>
        <v>4545639.073248513</v>
      </c>
      <c r="AB36" s="571">
        <f t="shared" ref="AB36:AD36" si="94">AB32+AB34</f>
        <v>3268025.3464732869</v>
      </c>
      <c r="AC36" s="571">
        <f t="shared" si="94"/>
        <v>0</v>
      </c>
      <c r="AD36" s="571">
        <f t="shared" si="94"/>
        <v>0</v>
      </c>
      <c r="AE36" s="870">
        <f>SUM(AA36:AD36)</f>
        <v>7813664.4197217999</v>
      </c>
      <c r="AF36" s="875">
        <f>AE36+Y36</f>
        <v>48567297.119049966</v>
      </c>
      <c r="AG36" s="574"/>
      <c r="AH36" s="574"/>
      <c r="AI36" s="574"/>
      <c r="AJ36" s="574"/>
      <c r="AK36" s="574"/>
      <c r="AL36" s="574"/>
      <c r="AM36" s="575"/>
      <c r="AN36" s="574"/>
      <c r="AO36" s="574"/>
      <c r="AP36" s="574"/>
      <c r="AQ36" s="574"/>
      <c r="AR36" s="574"/>
      <c r="AY36" s="574"/>
      <c r="AZ36" s="574"/>
      <c r="BA36" s="574"/>
      <c r="BB36" s="574"/>
      <c r="BC36" s="574"/>
      <c r="BD36" s="574"/>
      <c r="BE36" s="574"/>
      <c r="BF36" s="574"/>
      <c r="BG36" s="574"/>
      <c r="BH36" s="574"/>
      <c r="BI36" s="574"/>
      <c r="BJ36" s="574"/>
    </row>
    <row r="39" spans="1:62" s="425" customFormat="1" ht="20">
      <c r="A39" s="355" t="s">
        <v>295</v>
      </c>
      <c r="B39" s="382"/>
      <c r="C39" s="355"/>
      <c r="D39" s="355"/>
      <c r="E39" s="355"/>
      <c r="F39" s="355"/>
      <c r="G39" s="498"/>
      <c r="H39" s="529"/>
      <c r="I39" s="43"/>
      <c r="J39" s="43"/>
      <c r="K39" s="43"/>
      <c r="L39" s="43"/>
      <c r="M39" s="503"/>
      <c r="N39" s="529"/>
      <c r="O39" s="43"/>
      <c r="P39" s="43"/>
      <c r="Q39" s="43"/>
      <c r="R39" s="43"/>
      <c r="S39" s="43"/>
      <c r="T39" s="558"/>
      <c r="U39" s="355"/>
      <c r="V39" s="355"/>
      <c r="W39" s="355"/>
      <c r="X39" s="355"/>
      <c r="Y39" s="355"/>
      <c r="Z39" s="355"/>
      <c r="AA39" s="355"/>
      <c r="AB39" s="355"/>
      <c r="AC39" s="355"/>
      <c r="AD39" s="355"/>
      <c r="AE39" s="355"/>
      <c r="AF39" s="498"/>
      <c r="AG39" s="355"/>
      <c r="AH39" s="355"/>
      <c r="AI39" s="355"/>
      <c r="AJ39" s="355"/>
      <c r="AK39" s="355"/>
      <c r="AL39" s="355"/>
      <c r="AM39" s="43"/>
      <c r="AN39" s="43"/>
      <c r="AO39" s="43"/>
      <c r="AP39" s="43"/>
      <c r="AQ39" s="43"/>
      <c r="AR39" s="43"/>
      <c r="AY39" s="43"/>
      <c r="AZ39" s="43"/>
      <c r="BA39" s="43"/>
      <c r="BB39" s="43"/>
      <c r="BC39" s="43"/>
      <c r="BD39" s="43"/>
      <c r="BE39" s="43"/>
      <c r="BF39" s="43"/>
      <c r="BG39" s="43"/>
      <c r="BH39" s="43"/>
      <c r="BI39" s="43"/>
      <c r="BJ39" s="43"/>
    </row>
    <row r="40" spans="1:62" s="418" customFormat="1" ht="20" hidden="1" outlineLevel="1">
      <c r="A40" s="417" t="s">
        <v>332</v>
      </c>
      <c r="B40" s="499"/>
      <c r="C40" s="419"/>
      <c r="D40" s="420"/>
      <c r="E40" s="420"/>
      <c r="F40" s="420"/>
      <c r="G40" s="500"/>
      <c r="H40" s="530"/>
      <c r="I40" s="421"/>
      <c r="J40" s="421"/>
      <c r="K40" s="421"/>
      <c r="L40" s="421"/>
      <c r="M40" s="531"/>
      <c r="N40" s="530"/>
      <c r="O40" s="420"/>
      <c r="P40" s="420"/>
      <c r="Q40" s="420"/>
      <c r="R40" s="420"/>
      <c r="S40" s="420"/>
      <c r="T40" s="559"/>
      <c r="U40" s="420"/>
      <c r="V40" s="420"/>
      <c r="W40" s="420"/>
      <c r="X40" s="420"/>
      <c r="Y40" s="420"/>
      <c r="Z40" s="420"/>
      <c r="AA40" s="420"/>
      <c r="AB40" s="420"/>
      <c r="AC40" s="420"/>
      <c r="AD40" s="420"/>
      <c r="AE40" s="420"/>
      <c r="AF40" s="500"/>
      <c r="AG40" s="417"/>
      <c r="AH40" s="417"/>
      <c r="AI40" s="417"/>
      <c r="AJ40" s="417"/>
      <c r="AK40" s="417"/>
      <c r="AL40" s="417"/>
      <c r="AM40" s="421"/>
      <c r="AN40" s="421"/>
      <c r="AO40" s="421"/>
      <c r="AP40" s="421"/>
      <c r="AQ40" s="421"/>
      <c r="AR40" s="421"/>
      <c r="AY40" s="421"/>
      <c r="AZ40" s="421"/>
      <c r="BA40" s="421"/>
      <c r="BB40" s="421"/>
      <c r="BC40" s="421"/>
      <c r="BD40" s="421"/>
      <c r="BE40" s="421"/>
      <c r="BF40" s="421"/>
      <c r="BG40" s="421"/>
      <c r="BH40" s="421"/>
      <c r="BI40" s="421"/>
      <c r="BJ40" s="421"/>
    </row>
    <row r="41" spans="1:62" ht="40" hidden="1" outlineLevel="1">
      <c r="A41" s="13" t="s">
        <v>422</v>
      </c>
      <c r="B41" s="381"/>
      <c r="C41" s="344" t="s">
        <v>403</v>
      </c>
      <c r="D41" s="13"/>
      <c r="E41" s="13"/>
      <c r="F41" s="13"/>
      <c r="G41" s="297"/>
      <c r="I41" s="344" t="s">
        <v>403</v>
      </c>
      <c r="O41" s="344" t="s">
        <v>403</v>
      </c>
      <c r="T41" s="161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297"/>
      <c r="AG41" s="13"/>
      <c r="AH41" s="13"/>
      <c r="AI41" s="13"/>
      <c r="AJ41" s="13"/>
      <c r="AK41" s="13"/>
      <c r="AL41" s="13"/>
    </row>
    <row r="42" spans="1:62" hidden="1" outlineLevel="1">
      <c r="A42" s="496" t="s">
        <v>327</v>
      </c>
      <c r="B42" s="381"/>
      <c r="C42" s="408">
        <f>'База селлеров'!B38</f>
        <v>1.0916349572702888E-4</v>
      </c>
      <c r="D42" s="408">
        <f>'База селлеров'!C38</f>
        <v>1.7230576441102756E-3</v>
      </c>
      <c r="E42" s="408">
        <f>'База селлеров'!D38</f>
        <v>8.2468141254904686E-4</v>
      </c>
      <c r="F42" s="408">
        <f>'База селлеров'!E38</f>
        <v>8.2468141254904686E-4</v>
      </c>
      <c r="G42" s="468"/>
      <c r="I42" s="408">
        <f>C42</f>
        <v>1.0916349572702888E-4</v>
      </c>
      <c r="J42" s="409">
        <f>D42</f>
        <v>1.7230576441102756E-3</v>
      </c>
      <c r="K42" s="409">
        <f t="shared" ref="K42:L42" si="95">E42</f>
        <v>8.2468141254904686E-4</v>
      </c>
      <c r="L42" s="410">
        <f t="shared" si="95"/>
        <v>8.2468141254904686E-4</v>
      </c>
      <c r="O42" s="408">
        <f>I42</f>
        <v>1.0916349572702888E-4</v>
      </c>
      <c r="P42" s="409">
        <f>J42</f>
        <v>1.7230576441102756E-3</v>
      </c>
      <c r="Q42" s="409">
        <f t="shared" ref="Q42" si="96">K42</f>
        <v>8.2468141254904686E-4</v>
      </c>
      <c r="R42" s="410">
        <f t="shared" ref="R42" si="97">L42</f>
        <v>8.2468141254904686E-4</v>
      </c>
      <c r="T42" s="161"/>
      <c r="U42" s="408">
        <v>0</v>
      </c>
      <c r="V42" s="409">
        <v>0</v>
      </c>
      <c r="W42" s="409">
        <v>0</v>
      </c>
      <c r="X42" s="410">
        <v>0</v>
      </c>
      <c r="Y42" s="13"/>
      <c r="Z42" s="13"/>
      <c r="AA42" s="408">
        <f>O42/(O42+O43+O44)</f>
        <v>9.6671730423974599E-4</v>
      </c>
      <c r="AB42" s="409">
        <f t="shared" ref="AB42:AD42" si="98">P42/(P42+P43+P44)</f>
        <v>9.8876404494382016E-3</v>
      </c>
      <c r="AC42" s="409">
        <f t="shared" si="98"/>
        <v>5.8856328604175697E-3</v>
      </c>
      <c r="AD42" s="410">
        <f t="shared" si="98"/>
        <v>5.8856328604175697E-3</v>
      </c>
      <c r="AE42" s="13"/>
      <c r="AF42" s="297"/>
      <c r="AG42" s="13"/>
      <c r="AH42" s="13"/>
      <c r="AI42" s="13"/>
      <c r="AJ42" s="13"/>
      <c r="AK42" s="13"/>
      <c r="AL42" s="13"/>
    </row>
    <row r="43" spans="1:62" hidden="1" outlineLevel="1">
      <c r="A43" s="39" t="s">
        <v>429</v>
      </c>
      <c r="C43" s="402">
        <f>'База селлеров'!B39</f>
        <v>7.5010916349572705E-3</v>
      </c>
      <c r="D43" s="362">
        <f>'База селлеров'!C39</f>
        <v>2.0520050125313282E-2</v>
      </c>
      <c r="E43" s="362">
        <f>'База селлеров'!D39</f>
        <v>1.3273030313552554E-2</v>
      </c>
      <c r="F43" s="362">
        <f>E43</f>
        <v>1.3273030313552554E-2</v>
      </c>
      <c r="G43" s="297"/>
      <c r="I43" s="283">
        <f>C43</f>
        <v>7.5010916349572705E-3</v>
      </c>
      <c r="J43" s="74">
        <f>D43</f>
        <v>2.0520050125313282E-2</v>
      </c>
      <c r="K43" s="74">
        <f t="shared" ref="K43:L46" si="99">E43</f>
        <v>1.3273030313552554E-2</v>
      </c>
      <c r="L43" s="289">
        <f t="shared" si="99"/>
        <v>1.3273030313552554E-2</v>
      </c>
      <c r="M43" s="532"/>
      <c r="N43" s="436"/>
      <c r="O43" s="283">
        <f>I43</f>
        <v>7.5010916349572705E-3</v>
      </c>
      <c r="P43" s="74">
        <f>J43</f>
        <v>2.0520050125313282E-2</v>
      </c>
      <c r="Q43" s="74">
        <f t="shared" ref="Q43:R46" si="100">K43</f>
        <v>1.3273030313552554E-2</v>
      </c>
      <c r="R43" s="289">
        <f t="shared" si="100"/>
        <v>1.3273030313552554E-2</v>
      </c>
      <c r="U43" s="283">
        <v>0</v>
      </c>
      <c r="V43" s="74">
        <v>0</v>
      </c>
      <c r="W43" s="74">
        <v>0</v>
      </c>
      <c r="X43" s="289">
        <v>0</v>
      </c>
      <c r="AA43" s="283">
        <f>O43/(O42+O43+O44)</f>
        <v>6.6427289048473975E-2</v>
      </c>
      <c r="AB43" s="74">
        <f t="shared" ref="AB43:AD43" si="101">P43/(P42+P43+P44)</f>
        <v>0.11775280898876403</v>
      </c>
      <c r="AC43" s="74">
        <f t="shared" si="101"/>
        <v>9.4727712037668041E-2</v>
      </c>
      <c r="AD43" s="289">
        <f t="shared" si="101"/>
        <v>9.4727712037668041E-2</v>
      </c>
      <c r="AG43" s="2"/>
      <c r="AH43" s="2"/>
      <c r="AI43" s="2"/>
      <c r="AJ43" s="2"/>
      <c r="AK43" s="2"/>
      <c r="AL43" s="2"/>
    </row>
    <row r="44" spans="1:62" hidden="1" outlineLevel="1">
      <c r="A44" s="39" t="s">
        <v>65</v>
      </c>
      <c r="C44" s="402">
        <f>'База селлеров'!B40</f>
        <v>0.10531158380637515</v>
      </c>
      <c r="D44" s="362">
        <f>'База селлеров'!C40</f>
        <v>0.15202067669172933</v>
      </c>
      <c r="E44" s="362">
        <f>'База селлеров'!D40</f>
        <v>0.12602000069446856</v>
      </c>
      <c r="F44" s="362">
        <f>'База селлеров'!E40</f>
        <v>0.12602000069446856</v>
      </c>
      <c r="G44" s="297"/>
      <c r="I44" s="283">
        <f t="shared" ref="I44:I46" si="102">C44</f>
        <v>0.10531158380637515</v>
      </c>
      <c r="J44" s="74">
        <f>D44</f>
        <v>0.15202067669172933</v>
      </c>
      <c r="K44" s="74">
        <f t="shared" si="99"/>
        <v>0.12602000069446856</v>
      </c>
      <c r="L44" s="289">
        <f t="shared" si="99"/>
        <v>0.12602000069446856</v>
      </c>
      <c r="M44" s="532"/>
      <c r="N44" s="436"/>
      <c r="O44" s="283">
        <f t="shared" ref="O44:O46" si="103">I44</f>
        <v>0.10531158380637515</v>
      </c>
      <c r="P44" s="74">
        <f>J44</f>
        <v>0.15202067669172933</v>
      </c>
      <c r="Q44" s="74">
        <f t="shared" si="100"/>
        <v>0.12602000069446856</v>
      </c>
      <c r="R44" s="289">
        <f t="shared" si="100"/>
        <v>0.12602000069446856</v>
      </c>
      <c r="U44" s="283">
        <v>0</v>
      </c>
      <c r="V44" s="74">
        <v>0</v>
      </c>
      <c r="W44" s="74">
        <v>0</v>
      </c>
      <c r="X44" s="289">
        <v>0</v>
      </c>
      <c r="AA44" s="283">
        <f>O44/(O42+O43+O44)</f>
        <v>0.93260599364728636</v>
      </c>
      <c r="AB44" s="74">
        <f t="shared" ref="AB44:AD44" si="104">P44/(P42+P43+P44)</f>
        <v>0.8723595505617977</v>
      </c>
      <c r="AC44" s="74">
        <f t="shared" si="104"/>
        <v>0.89938665510191429</v>
      </c>
      <c r="AD44" s="289">
        <f t="shared" si="104"/>
        <v>0.89938665510191429</v>
      </c>
      <c r="AG44" s="2"/>
      <c r="AH44" s="2"/>
      <c r="AI44" s="2"/>
      <c r="AJ44" s="2"/>
      <c r="AK44" s="2"/>
      <c r="AL44" s="2"/>
    </row>
    <row r="45" spans="1:62" hidden="1" outlineLevel="1">
      <c r="A45" s="39" t="s">
        <v>66</v>
      </c>
      <c r="C45" s="402">
        <f>'База селлеров'!B41</f>
        <v>0.88707816106294057</v>
      </c>
      <c r="D45" s="362">
        <f>'База селлеров'!C41</f>
        <v>0.82573621553884713</v>
      </c>
      <c r="E45" s="362">
        <f>'База селлеров'!D41</f>
        <v>0.85988228757942986</v>
      </c>
      <c r="F45" s="362">
        <f>'База селлеров'!E41</f>
        <v>0.85988228757942986</v>
      </c>
      <c r="G45" s="297"/>
      <c r="I45" s="283">
        <f t="shared" si="102"/>
        <v>0.88707816106294057</v>
      </c>
      <c r="J45" s="74">
        <f>D45</f>
        <v>0.82573621553884713</v>
      </c>
      <c r="K45" s="74">
        <f t="shared" si="99"/>
        <v>0.85988228757942986</v>
      </c>
      <c r="L45" s="289">
        <f t="shared" si="99"/>
        <v>0.85988228757942986</v>
      </c>
      <c r="M45" s="532"/>
      <c r="N45" s="436"/>
      <c r="O45" s="283">
        <f t="shared" si="103"/>
        <v>0.88707816106294057</v>
      </c>
      <c r="P45" s="74">
        <f>J45</f>
        <v>0.82573621553884713</v>
      </c>
      <c r="Q45" s="74">
        <f t="shared" si="100"/>
        <v>0.85988228757942986</v>
      </c>
      <c r="R45" s="289">
        <f t="shared" si="100"/>
        <v>0.85988228757942986</v>
      </c>
      <c r="U45" s="283">
        <v>1</v>
      </c>
      <c r="V45" s="74">
        <v>1</v>
      </c>
      <c r="W45" s="74">
        <v>1</v>
      </c>
      <c r="X45" s="289">
        <v>1</v>
      </c>
      <c r="AA45" s="283">
        <v>0</v>
      </c>
      <c r="AB45" s="74">
        <v>0</v>
      </c>
      <c r="AC45" s="74">
        <v>0</v>
      </c>
      <c r="AD45" s="289">
        <v>0</v>
      </c>
      <c r="AG45" s="2"/>
      <c r="AH45" s="2"/>
      <c r="AI45" s="2"/>
      <c r="AJ45" s="2"/>
      <c r="AK45" s="2"/>
      <c r="AL45" s="2"/>
    </row>
    <row r="46" spans="1:62" hidden="1" outlineLevel="1">
      <c r="A46" s="39" t="s">
        <v>328</v>
      </c>
      <c r="C46" s="643">
        <v>0</v>
      </c>
      <c r="D46" s="644">
        <v>0</v>
      </c>
      <c r="E46" s="644">
        <v>0</v>
      </c>
      <c r="F46" s="644">
        <v>0</v>
      </c>
      <c r="G46" s="297"/>
      <c r="I46" s="283">
        <f t="shared" si="102"/>
        <v>0</v>
      </c>
      <c r="J46" s="74">
        <f>D46</f>
        <v>0</v>
      </c>
      <c r="K46" s="74">
        <f t="shared" si="99"/>
        <v>0</v>
      </c>
      <c r="L46" s="289">
        <f t="shared" si="99"/>
        <v>0</v>
      </c>
      <c r="M46" s="532"/>
      <c r="N46" s="436"/>
      <c r="O46" s="283">
        <f t="shared" si="103"/>
        <v>0</v>
      </c>
      <c r="P46" s="74">
        <f>J46</f>
        <v>0</v>
      </c>
      <c r="Q46" s="74">
        <f t="shared" si="100"/>
        <v>0</v>
      </c>
      <c r="R46" s="289">
        <f t="shared" si="100"/>
        <v>0</v>
      </c>
      <c r="U46" s="283">
        <v>0</v>
      </c>
      <c r="V46" s="74">
        <v>0</v>
      </c>
      <c r="W46" s="74">
        <v>0</v>
      </c>
      <c r="X46" s="289">
        <v>0</v>
      </c>
      <c r="AA46" s="283">
        <f t="shared" ref="AA46" si="105">U46</f>
        <v>0</v>
      </c>
      <c r="AB46" s="74">
        <f>V46</f>
        <v>0</v>
      </c>
      <c r="AC46" s="74">
        <f t="shared" ref="AC46" si="106">W46</f>
        <v>0</v>
      </c>
      <c r="AD46" s="289">
        <f t="shared" ref="AD46" si="107">X46</f>
        <v>0</v>
      </c>
      <c r="AG46" s="2"/>
      <c r="AH46" s="2"/>
      <c r="AI46" s="2"/>
      <c r="AJ46" s="2"/>
      <c r="AK46" s="2"/>
      <c r="AL46" s="2"/>
    </row>
    <row r="47" spans="1:62" hidden="1" outlineLevel="1">
      <c r="A47" s="467"/>
      <c r="C47" s="403"/>
      <c r="D47" s="404"/>
      <c r="E47" s="424"/>
      <c r="F47" s="404"/>
      <c r="G47" s="501"/>
      <c r="I47" s="286"/>
      <c r="J47" s="287"/>
      <c r="K47" s="287"/>
      <c r="L47" s="288"/>
      <c r="N47" s="436"/>
      <c r="O47" s="286"/>
      <c r="P47" s="287"/>
      <c r="Q47" s="287"/>
      <c r="R47" s="288"/>
      <c r="U47" s="286"/>
      <c r="V47" s="287"/>
      <c r="W47" s="287"/>
      <c r="X47" s="288"/>
      <c r="AA47" s="286"/>
      <c r="AB47" s="287"/>
      <c r="AC47" s="287"/>
      <c r="AD47" s="288"/>
      <c r="AG47" s="2"/>
      <c r="AH47" s="2"/>
      <c r="AI47" s="2"/>
      <c r="AJ47" s="2"/>
      <c r="AK47" s="2"/>
      <c r="AL47" s="2"/>
    </row>
    <row r="48" spans="1:62" hidden="1" outlineLevel="1">
      <c r="A48" s="13"/>
      <c r="C48" s="400"/>
      <c r="D48" s="154"/>
      <c r="E48" s="401"/>
      <c r="F48" s="154"/>
      <c r="G48" s="299"/>
      <c r="O48" s="154"/>
      <c r="P48" s="154"/>
      <c r="Q48" s="154"/>
      <c r="R48" s="154"/>
      <c r="S48" s="154"/>
      <c r="T48" s="342"/>
      <c r="U48" s="154"/>
      <c r="V48" s="154"/>
      <c r="W48" s="154"/>
      <c r="X48" s="154"/>
      <c r="Y48" s="154"/>
      <c r="Z48" s="154"/>
      <c r="AA48" s="154"/>
      <c r="AB48" s="154"/>
      <c r="AC48" s="154"/>
      <c r="AD48" s="154"/>
      <c r="AE48" s="154"/>
      <c r="AF48" s="299"/>
      <c r="AG48" s="13"/>
      <c r="AH48" s="13"/>
      <c r="AI48" s="13"/>
      <c r="AJ48" s="13"/>
      <c r="AK48" s="13"/>
      <c r="AL48" s="13"/>
    </row>
    <row r="49" spans="1:62" hidden="1" outlineLevel="1">
      <c r="A49" s="13"/>
      <c r="C49" s="400"/>
      <c r="D49" s="154"/>
      <c r="E49" s="154"/>
      <c r="F49" s="154"/>
      <c r="G49" s="299"/>
      <c r="O49" s="154"/>
      <c r="P49" s="154"/>
      <c r="Q49" s="154"/>
      <c r="R49" s="154"/>
      <c r="S49" s="154"/>
      <c r="T49" s="342"/>
      <c r="U49" s="154"/>
      <c r="V49" s="154"/>
      <c r="W49" s="154"/>
      <c r="X49" s="154"/>
      <c r="Y49" s="154"/>
      <c r="Z49" s="154"/>
      <c r="AA49" s="154"/>
      <c r="AB49" s="154"/>
      <c r="AC49" s="154"/>
      <c r="AD49" s="154"/>
      <c r="AE49" s="154"/>
      <c r="AF49" s="299"/>
      <c r="AG49" s="13"/>
      <c r="AH49" s="13"/>
      <c r="AI49" s="13"/>
      <c r="AJ49" s="13"/>
      <c r="AK49" s="13"/>
      <c r="AL49" s="13"/>
    </row>
    <row r="50" spans="1:62" s="425" customFormat="1" ht="80" hidden="1" outlineLevel="1">
      <c r="A50" s="382" t="s">
        <v>348</v>
      </c>
      <c r="B50" s="502"/>
      <c r="C50" s="399" t="s">
        <v>404</v>
      </c>
      <c r="D50" s="43"/>
      <c r="E50" s="43"/>
      <c r="F50" s="43"/>
      <c r="G50" s="503"/>
      <c r="H50" s="533" t="s">
        <v>363</v>
      </c>
      <c r="I50" s="399" t="s">
        <v>334</v>
      </c>
      <c r="J50" s="43"/>
      <c r="K50" s="43"/>
      <c r="L50" s="43"/>
      <c r="M50" s="503"/>
      <c r="N50" s="529"/>
      <c r="O50" s="399" t="s">
        <v>334</v>
      </c>
      <c r="P50" s="43"/>
      <c r="Q50" s="43"/>
      <c r="R50" s="43"/>
      <c r="S50" s="43"/>
      <c r="T50" s="529"/>
      <c r="U50" s="43"/>
      <c r="V50" s="43"/>
      <c r="W50" s="43"/>
      <c r="X50" s="43"/>
      <c r="Y50" s="43"/>
      <c r="Z50" s="43"/>
      <c r="AA50" s="43"/>
      <c r="AB50" s="43"/>
      <c r="AC50" s="43"/>
      <c r="AD50" s="43"/>
      <c r="AE50" s="43"/>
      <c r="AF50" s="503"/>
      <c r="AG50" s="43"/>
      <c r="AH50" s="43"/>
      <c r="AI50" s="43"/>
      <c r="AJ50" s="43"/>
      <c r="AK50" s="43"/>
      <c r="AL50" s="43"/>
      <c r="AM50" s="43"/>
      <c r="AN50" s="43"/>
      <c r="AO50" s="43"/>
      <c r="AP50" s="43"/>
      <c r="AQ50" s="43"/>
      <c r="AR50" s="43"/>
      <c r="AY50" s="43"/>
      <c r="AZ50" s="43"/>
      <c r="BA50" s="43"/>
      <c r="BB50" s="43"/>
      <c r="BC50" s="43"/>
      <c r="BD50" s="43"/>
      <c r="BE50" s="43"/>
      <c r="BF50" s="43"/>
      <c r="BG50" s="43"/>
      <c r="BH50" s="43"/>
      <c r="BI50" s="43"/>
      <c r="BJ50" s="43"/>
    </row>
    <row r="51" spans="1:62" hidden="1" outlineLevel="1">
      <c r="A51" s="2" t="s">
        <v>64</v>
      </c>
      <c r="C51" s="423"/>
      <c r="G51" s="504"/>
      <c r="O51" s="423"/>
    </row>
    <row r="52" spans="1:62" hidden="1" outlineLevel="1">
      <c r="A52" s="496" t="s">
        <v>327</v>
      </c>
      <c r="C52" s="367">
        <f t="shared" ref="C52:F57" si="108">C61/2</f>
        <v>55362.5</v>
      </c>
      <c r="D52" s="368">
        <f t="shared" si="108"/>
        <v>55362.5</v>
      </c>
      <c r="E52" s="368">
        <f t="shared" si="108"/>
        <v>55362.5</v>
      </c>
      <c r="F52" s="369">
        <f t="shared" si="108"/>
        <v>55362.5</v>
      </c>
      <c r="G52" s="504"/>
      <c r="H52" s="518"/>
      <c r="I52" s="367">
        <f>I69/2*I77</f>
        <v>60807.991803278688</v>
      </c>
      <c r="J52" s="368">
        <f>I52</f>
        <v>60807.991803278688</v>
      </c>
      <c r="K52" s="368">
        <f>J52</f>
        <v>60807.991803278688</v>
      </c>
      <c r="L52" s="369">
        <f>K52</f>
        <v>60807.991803278688</v>
      </c>
      <c r="O52" s="413">
        <f>I52</f>
        <v>60807.991803278688</v>
      </c>
      <c r="P52" s="368">
        <f>O52</f>
        <v>60807.991803278688</v>
      </c>
      <c r="Q52" s="368">
        <f t="shared" ref="Q52:R52" si="109">P52</f>
        <v>60807.991803278688</v>
      </c>
      <c r="R52" s="369">
        <f t="shared" si="109"/>
        <v>60807.991803278688</v>
      </c>
      <c r="U52" s="413">
        <f>O52</f>
        <v>60807.991803278688</v>
      </c>
      <c r="V52" s="368">
        <f>U52</f>
        <v>60807.991803278688</v>
      </c>
      <c r="W52" s="368">
        <f t="shared" ref="W52:W57" si="110">V52</f>
        <v>60807.991803278688</v>
      </c>
      <c r="X52" s="369">
        <f t="shared" ref="X52:X57" si="111">W52</f>
        <v>60807.991803278688</v>
      </c>
      <c r="AA52" s="413">
        <f>U52</f>
        <v>60807.991803278688</v>
      </c>
      <c r="AB52" s="368">
        <f>AA52</f>
        <v>60807.991803278688</v>
      </c>
      <c r="AC52" s="368">
        <f t="shared" ref="AC52:AC57" si="112">AB52</f>
        <v>60807.991803278688</v>
      </c>
      <c r="AD52" s="369">
        <f t="shared" ref="AD52:AD57" si="113">AC52</f>
        <v>60807.991803278688</v>
      </c>
    </row>
    <row r="53" spans="1:62" hidden="1" outlineLevel="1">
      <c r="A53" s="39" t="s">
        <v>62</v>
      </c>
      <c r="C53" s="370">
        <f t="shared" si="108"/>
        <v>35026.5</v>
      </c>
      <c r="D53" s="169">
        <f t="shared" si="108"/>
        <v>35026.5</v>
      </c>
      <c r="E53" s="169">
        <f t="shared" si="108"/>
        <v>35026.5</v>
      </c>
      <c r="F53" s="371">
        <f t="shared" si="108"/>
        <v>35026.5</v>
      </c>
      <c r="G53" s="504"/>
      <c r="H53" s="518"/>
      <c r="I53" s="370">
        <f t="shared" ref="I53:I57" si="114">I70/2*I78</f>
        <v>39536.349785407721</v>
      </c>
      <c r="J53" s="169">
        <f t="shared" ref="J53:L57" si="115">I53</f>
        <v>39536.349785407721</v>
      </c>
      <c r="K53" s="169">
        <f t="shared" si="115"/>
        <v>39536.349785407721</v>
      </c>
      <c r="L53" s="371">
        <f t="shared" si="115"/>
        <v>39536.349785407721</v>
      </c>
      <c r="O53" s="414">
        <f t="shared" ref="O53:O57" si="116">I53</f>
        <v>39536.349785407721</v>
      </c>
      <c r="P53" s="169">
        <f t="shared" ref="P53:R57" si="117">O53</f>
        <v>39536.349785407721</v>
      </c>
      <c r="Q53" s="169">
        <f t="shared" si="117"/>
        <v>39536.349785407721</v>
      </c>
      <c r="R53" s="371">
        <f t="shared" si="117"/>
        <v>39536.349785407721</v>
      </c>
      <c r="T53" s="342"/>
      <c r="U53" s="414">
        <f t="shared" ref="U53:U57" si="118">O53</f>
        <v>39536.349785407721</v>
      </c>
      <c r="V53" s="169">
        <f t="shared" ref="V53:V57" si="119">U53</f>
        <v>39536.349785407721</v>
      </c>
      <c r="W53" s="169">
        <f t="shared" si="110"/>
        <v>39536.349785407721</v>
      </c>
      <c r="X53" s="371">
        <f t="shared" si="111"/>
        <v>39536.349785407721</v>
      </c>
      <c r="Y53" s="154"/>
      <c r="Z53" s="154"/>
      <c r="AA53" s="414">
        <f t="shared" ref="AA53:AA57" si="120">U53</f>
        <v>39536.349785407721</v>
      </c>
      <c r="AB53" s="169">
        <f t="shared" ref="AB53:AB57" si="121">AA53</f>
        <v>39536.349785407721</v>
      </c>
      <c r="AC53" s="169">
        <f t="shared" si="112"/>
        <v>39536.349785407721</v>
      </c>
      <c r="AD53" s="371">
        <f t="shared" si="113"/>
        <v>39536.349785407721</v>
      </c>
      <c r="AE53" s="154"/>
      <c r="AF53" s="299"/>
      <c r="AG53" s="2"/>
      <c r="AH53" s="2"/>
      <c r="AI53" s="2"/>
      <c r="AJ53" s="2"/>
      <c r="AK53" s="2"/>
      <c r="AL53" s="2"/>
    </row>
    <row r="54" spans="1:62" hidden="1" outlineLevel="1">
      <c r="A54" s="39" t="s">
        <v>65</v>
      </c>
      <c r="C54" s="370">
        <f t="shared" si="108"/>
        <v>23721.5</v>
      </c>
      <c r="D54" s="169">
        <f t="shared" si="108"/>
        <v>23721.5</v>
      </c>
      <c r="E54" s="169">
        <f t="shared" si="108"/>
        <v>23721.5</v>
      </c>
      <c r="F54" s="371">
        <f t="shared" si="108"/>
        <v>23721.5</v>
      </c>
      <c r="G54" s="504"/>
      <c r="H54" s="518"/>
      <c r="I54" s="370">
        <f t="shared" si="114"/>
        <v>27835.0549132948</v>
      </c>
      <c r="J54" s="169">
        <f t="shared" si="115"/>
        <v>27835.0549132948</v>
      </c>
      <c r="K54" s="169">
        <f t="shared" si="115"/>
        <v>27835.0549132948</v>
      </c>
      <c r="L54" s="371">
        <f t="shared" si="115"/>
        <v>27835.0549132948</v>
      </c>
      <c r="O54" s="414">
        <f t="shared" si="116"/>
        <v>27835.0549132948</v>
      </c>
      <c r="P54" s="169">
        <f t="shared" si="117"/>
        <v>27835.0549132948</v>
      </c>
      <c r="Q54" s="169">
        <f t="shared" si="117"/>
        <v>27835.0549132948</v>
      </c>
      <c r="R54" s="371">
        <f t="shared" si="117"/>
        <v>27835.0549132948</v>
      </c>
      <c r="T54" s="342"/>
      <c r="U54" s="414">
        <f t="shared" si="118"/>
        <v>27835.0549132948</v>
      </c>
      <c r="V54" s="169">
        <f t="shared" si="119"/>
        <v>27835.0549132948</v>
      </c>
      <c r="W54" s="169">
        <f t="shared" si="110"/>
        <v>27835.0549132948</v>
      </c>
      <c r="X54" s="371">
        <f t="shared" si="111"/>
        <v>27835.0549132948</v>
      </c>
      <c r="Y54" s="154"/>
      <c r="Z54" s="154"/>
      <c r="AA54" s="414">
        <f t="shared" si="120"/>
        <v>27835.0549132948</v>
      </c>
      <c r="AB54" s="169">
        <f t="shared" si="121"/>
        <v>27835.0549132948</v>
      </c>
      <c r="AC54" s="169">
        <f t="shared" si="112"/>
        <v>27835.0549132948</v>
      </c>
      <c r="AD54" s="371">
        <f t="shared" si="113"/>
        <v>27835.0549132948</v>
      </c>
      <c r="AE54" s="154"/>
      <c r="AF54" s="299"/>
      <c r="AG54" s="2"/>
      <c r="AH54" s="2"/>
      <c r="AI54" s="2"/>
      <c r="AJ54" s="2"/>
      <c r="AK54" s="2"/>
      <c r="AL54" s="2"/>
    </row>
    <row r="55" spans="1:62" hidden="1" outlineLevel="1">
      <c r="A55" s="39" t="s">
        <v>66</v>
      </c>
      <c r="C55" s="370">
        <f t="shared" si="108"/>
        <v>20475.5</v>
      </c>
      <c r="D55" s="169">
        <f t="shared" si="108"/>
        <v>20475.5</v>
      </c>
      <c r="E55" s="169">
        <f t="shared" si="108"/>
        <v>20475.5</v>
      </c>
      <c r="F55" s="371">
        <f t="shared" si="108"/>
        <v>20475.5</v>
      </c>
      <c r="G55" s="504"/>
      <c r="H55" s="518"/>
      <c r="I55" s="370">
        <f t="shared" si="114"/>
        <v>24598.083892617447</v>
      </c>
      <c r="J55" s="169">
        <f t="shared" si="115"/>
        <v>24598.083892617447</v>
      </c>
      <c r="K55" s="169">
        <f t="shared" si="115"/>
        <v>24598.083892617447</v>
      </c>
      <c r="L55" s="371">
        <f t="shared" si="115"/>
        <v>24598.083892617447</v>
      </c>
      <c r="O55" s="414">
        <f t="shared" si="116"/>
        <v>24598.083892617447</v>
      </c>
      <c r="P55" s="169">
        <f t="shared" si="117"/>
        <v>24598.083892617447</v>
      </c>
      <c r="Q55" s="169">
        <f t="shared" si="117"/>
        <v>24598.083892617447</v>
      </c>
      <c r="R55" s="371">
        <f t="shared" si="117"/>
        <v>24598.083892617447</v>
      </c>
      <c r="T55" s="342"/>
      <c r="U55" s="414">
        <f t="shared" si="118"/>
        <v>24598.083892617447</v>
      </c>
      <c r="V55" s="169">
        <f t="shared" si="119"/>
        <v>24598.083892617447</v>
      </c>
      <c r="W55" s="169">
        <f t="shared" si="110"/>
        <v>24598.083892617447</v>
      </c>
      <c r="X55" s="371">
        <f t="shared" si="111"/>
        <v>24598.083892617447</v>
      </c>
      <c r="Y55" s="154"/>
      <c r="Z55" s="154"/>
      <c r="AA55" s="414">
        <f t="shared" si="120"/>
        <v>24598.083892617447</v>
      </c>
      <c r="AB55" s="169">
        <f t="shared" si="121"/>
        <v>24598.083892617447</v>
      </c>
      <c r="AC55" s="169">
        <f t="shared" si="112"/>
        <v>24598.083892617447</v>
      </c>
      <c r="AD55" s="371">
        <f t="shared" si="113"/>
        <v>24598.083892617447</v>
      </c>
      <c r="AE55" s="154"/>
      <c r="AF55" s="299"/>
      <c r="AG55" s="2"/>
      <c r="AH55" s="2"/>
      <c r="AI55" s="2"/>
      <c r="AJ55" s="2"/>
      <c r="AK55" s="2"/>
      <c r="AL55" s="2"/>
    </row>
    <row r="56" spans="1:62" hidden="1" outlineLevel="1">
      <c r="A56" s="39" t="s">
        <v>328</v>
      </c>
      <c r="C56" s="370">
        <f t="shared" si="108"/>
        <v>16914</v>
      </c>
      <c r="D56" s="169">
        <f t="shared" si="108"/>
        <v>16914</v>
      </c>
      <c r="E56" s="169">
        <f t="shared" si="108"/>
        <v>16914</v>
      </c>
      <c r="F56" s="371">
        <f t="shared" si="108"/>
        <v>16914</v>
      </c>
      <c r="G56" s="504"/>
      <c r="H56" s="518"/>
      <c r="I56" s="370">
        <f t="shared" si="114"/>
        <v>20847.488372093023</v>
      </c>
      <c r="J56" s="169">
        <f t="shared" si="115"/>
        <v>20847.488372093023</v>
      </c>
      <c r="K56" s="169">
        <f t="shared" si="115"/>
        <v>20847.488372093023</v>
      </c>
      <c r="L56" s="371">
        <f t="shared" si="115"/>
        <v>20847.488372093023</v>
      </c>
      <c r="O56" s="414">
        <f t="shared" si="116"/>
        <v>20847.488372093023</v>
      </c>
      <c r="P56" s="169">
        <f t="shared" si="117"/>
        <v>20847.488372093023</v>
      </c>
      <c r="Q56" s="169">
        <f t="shared" si="117"/>
        <v>20847.488372093023</v>
      </c>
      <c r="R56" s="371">
        <f t="shared" si="117"/>
        <v>20847.488372093023</v>
      </c>
      <c r="T56" s="342"/>
      <c r="U56" s="414">
        <f t="shared" si="118"/>
        <v>20847.488372093023</v>
      </c>
      <c r="V56" s="169">
        <f t="shared" si="119"/>
        <v>20847.488372093023</v>
      </c>
      <c r="W56" s="169">
        <f t="shared" si="110"/>
        <v>20847.488372093023</v>
      </c>
      <c r="X56" s="371">
        <f t="shared" si="111"/>
        <v>20847.488372093023</v>
      </c>
      <c r="Y56" s="154"/>
      <c r="Z56" s="154"/>
      <c r="AA56" s="414">
        <f t="shared" si="120"/>
        <v>20847.488372093023</v>
      </c>
      <c r="AB56" s="169">
        <f t="shared" si="121"/>
        <v>20847.488372093023</v>
      </c>
      <c r="AC56" s="169">
        <f t="shared" si="112"/>
        <v>20847.488372093023</v>
      </c>
      <c r="AD56" s="371">
        <f t="shared" si="113"/>
        <v>20847.488372093023</v>
      </c>
      <c r="AE56" s="154"/>
      <c r="AF56" s="299"/>
      <c r="AG56" s="2"/>
      <c r="AH56" s="2"/>
      <c r="AI56" s="2"/>
      <c r="AJ56" s="2"/>
      <c r="AK56" s="2"/>
      <c r="AL56" s="2"/>
    </row>
    <row r="57" spans="1:62" hidden="1" outlineLevel="1">
      <c r="A57" s="467" t="s">
        <v>329</v>
      </c>
      <c r="C57" s="372">
        <f t="shared" si="108"/>
        <v>10790.5</v>
      </c>
      <c r="D57" s="373">
        <f t="shared" si="108"/>
        <v>10790.5</v>
      </c>
      <c r="E57" s="373">
        <f t="shared" si="108"/>
        <v>10790.5</v>
      </c>
      <c r="F57" s="374">
        <f t="shared" si="108"/>
        <v>10790.5</v>
      </c>
      <c r="G57" s="504"/>
      <c r="H57" s="518"/>
      <c r="I57" s="372">
        <f t="shared" si="114"/>
        <v>14127.768041237114</v>
      </c>
      <c r="J57" s="373">
        <f t="shared" si="115"/>
        <v>14127.768041237114</v>
      </c>
      <c r="K57" s="373">
        <f t="shared" si="115"/>
        <v>14127.768041237114</v>
      </c>
      <c r="L57" s="374">
        <f t="shared" si="115"/>
        <v>14127.768041237114</v>
      </c>
      <c r="O57" s="415">
        <f t="shared" si="116"/>
        <v>14127.768041237114</v>
      </c>
      <c r="P57" s="373">
        <f t="shared" si="117"/>
        <v>14127.768041237114</v>
      </c>
      <c r="Q57" s="373">
        <f t="shared" si="117"/>
        <v>14127.768041237114</v>
      </c>
      <c r="R57" s="374">
        <f t="shared" si="117"/>
        <v>14127.768041237114</v>
      </c>
      <c r="T57" s="342"/>
      <c r="U57" s="415">
        <f t="shared" si="118"/>
        <v>14127.768041237114</v>
      </c>
      <c r="V57" s="373">
        <f t="shared" si="119"/>
        <v>14127.768041237114</v>
      </c>
      <c r="W57" s="373">
        <f t="shared" si="110"/>
        <v>14127.768041237114</v>
      </c>
      <c r="X57" s="374">
        <f t="shared" si="111"/>
        <v>14127.768041237114</v>
      </c>
      <c r="Y57" s="154"/>
      <c r="Z57" s="154"/>
      <c r="AA57" s="415">
        <f t="shared" si="120"/>
        <v>14127.768041237114</v>
      </c>
      <c r="AB57" s="373">
        <f t="shared" si="121"/>
        <v>14127.768041237114</v>
      </c>
      <c r="AC57" s="373">
        <f t="shared" si="112"/>
        <v>14127.768041237114</v>
      </c>
      <c r="AD57" s="374">
        <f t="shared" si="113"/>
        <v>14127.768041237114</v>
      </c>
      <c r="AE57" s="154"/>
      <c r="AF57" s="299"/>
      <c r="AG57" s="2"/>
      <c r="AH57" s="2"/>
      <c r="AI57" s="2"/>
      <c r="AJ57" s="2"/>
      <c r="AK57" s="2"/>
      <c r="AL57" s="2"/>
    </row>
    <row r="58" spans="1:62" hidden="1" outlineLevel="1">
      <c r="A58" s="2"/>
      <c r="C58" s="169"/>
      <c r="D58" s="169"/>
      <c r="E58" s="169"/>
      <c r="F58" s="169"/>
      <c r="G58" s="407"/>
      <c r="H58" s="518"/>
      <c r="I58" s="169"/>
      <c r="J58" s="169"/>
      <c r="K58" s="169"/>
      <c r="L58" s="169"/>
      <c r="O58" s="169"/>
      <c r="P58" s="169"/>
      <c r="Q58" s="169"/>
      <c r="R58" s="169"/>
      <c r="T58" s="342"/>
      <c r="U58" s="154"/>
      <c r="V58" s="154"/>
      <c r="W58" s="154"/>
      <c r="X58" s="154"/>
      <c r="Y58" s="154"/>
      <c r="Z58" s="154"/>
      <c r="AA58" s="154"/>
      <c r="AB58" s="154"/>
      <c r="AC58" s="154"/>
      <c r="AD58" s="154"/>
      <c r="AE58" s="154"/>
      <c r="AF58" s="299"/>
      <c r="AG58" s="2"/>
      <c r="AH58" s="2"/>
      <c r="AI58" s="2"/>
      <c r="AJ58" s="2"/>
      <c r="AK58" s="2"/>
      <c r="AL58" s="2"/>
    </row>
    <row r="59" spans="1:62" s="489" customFormat="1" hidden="1" outlineLevel="1">
      <c r="A59" s="148" t="s">
        <v>347</v>
      </c>
      <c r="B59" s="505"/>
      <c r="C59" s="506"/>
      <c r="D59" s="148"/>
      <c r="E59" s="148"/>
      <c r="F59" s="148"/>
      <c r="G59" s="507"/>
      <c r="H59" s="129"/>
      <c r="I59" s="534"/>
      <c r="J59" s="21"/>
      <c r="K59" s="21"/>
      <c r="L59" s="21"/>
      <c r="M59" s="535"/>
      <c r="N59" s="551"/>
      <c r="O59" s="405"/>
      <c r="P59" s="405"/>
      <c r="Q59" s="405"/>
      <c r="R59" s="405"/>
      <c r="S59" s="405"/>
      <c r="T59" s="551"/>
      <c r="U59" s="148"/>
      <c r="V59" s="148"/>
      <c r="W59" s="148"/>
      <c r="X59" s="148"/>
      <c r="Y59" s="148"/>
      <c r="Z59" s="148"/>
      <c r="AA59" s="148"/>
      <c r="AB59" s="148"/>
      <c r="AC59" s="148"/>
      <c r="AD59" s="148"/>
      <c r="AE59" s="148"/>
      <c r="AF59" s="507"/>
      <c r="AG59" s="148"/>
      <c r="AH59" s="148"/>
      <c r="AI59" s="148"/>
      <c r="AJ59" s="148"/>
      <c r="AK59" s="148"/>
      <c r="AL59" s="148"/>
      <c r="AM59" s="21"/>
      <c r="AN59" s="21"/>
      <c r="AO59" s="21"/>
      <c r="AP59" s="21"/>
      <c r="AQ59" s="21"/>
      <c r="AR59" s="21"/>
      <c r="AY59" s="21"/>
      <c r="AZ59" s="21"/>
      <c r="BA59" s="21"/>
      <c r="BB59" s="21"/>
      <c r="BC59" s="21"/>
      <c r="BD59" s="21"/>
      <c r="BE59" s="21"/>
      <c r="BF59" s="21"/>
      <c r="BG59" s="21"/>
      <c r="BH59" s="21"/>
      <c r="BI59" s="21"/>
      <c r="BJ59" s="21"/>
    </row>
    <row r="60" spans="1:62" hidden="1" outlineLevel="1">
      <c r="A60" s="2" t="s">
        <v>64</v>
      </c>
      <c r="D60" s="2"/>
      <c r="E60" s="2"/>
      <c r="F60" s="2"/>
      <c r="G60" s="508"/>
      <c r="N60" s="381"/>
      <c r="O60" s="326"/>
      <c r="P60" s="326"/>
      <c r="Q60" s="326"/>
      <c r="R60" s="326"/>
      <c r="S60" s="326"/>
      <c r="T60" s="381"/>
      <c r="U60" s="61"/>
      <c r="V60" s="61"/>
      <c r="W60" s="61"/>
      <c r="X60" s="61"/>
      <c r="Y60" s="61"/>
      <c r="Z60" s="61"/>
      <c r="AA60" s="61"/>
      <c r="AB60" s="61"/>
      <c r="AC60" s="61"/>
      <c r="AD60" s="61"/>
      <c r="AE60" s="61"/>
      <c r="AF60" s="560"/>
      <c r="AG60" s="2"/>
      <c r="AH60" s="2"/>
      <c r="AI60" s="2"/>
      <c r="AJ60" s="2"/>
      <c r="AK60" s="2"/>
      <c r="AL60" s="2"/>
    </row>
    <row r="61" spans="1:62" hidden="1" outlineLevel="1">
      <c r="A61" s="496" t="s">
        <v>327</v>
      </c>
      <c r="C61" s="386">
        <f>'MPS др метрики'!C110</f>
        <v>110725</v>
      </c>
      <c r="D61" s="426">
        <f t="shared" ref="D61:D66" si="122">C61</f>
        <v>110725</v>
      </c>
      <c r="E61" s="426">
        <f t="shared" ref="E61:F61" si="123">D61</f>
        <v>110725</v>
      </c>
      <c r="F61" s="486">
        <f t="shared" si="123"/>
        <v>110725</v>
      </c>
      <c r="G61" s="508"/>
      <c r="I61" s="386">
        <f t="shared" ref="I61:I66" si="124">C61</f>
        <v>110725</v>
      </c>
      <c r="J61" s="387">
        <f>I61</f>
        <v>110725</v>
      </c>
      <c r="K61" s="387">
        <f t="shared" ref="K61:L61" si="125">J61</f>
        <v>110725</v>
      </c>
      <c r="L61" s="388">
        <f t="shared" si="125"/>
        <v>110725</v>
      </c>
      <c r="N61" s="381"/>
      <c r="O61" s="386">
        <f t="shared" ref="O61:R66" si="126">I61</f>
        <v>110725</v>
      </c>
      <c r="P61" s="387">
        <f t="shared" si="126"/>
        <v>110725</v>
      </c>
      <c r="Q61" s="387">
        <f t="shared" si="126"/>
        <v>110725</v>
      </c>
      <c r="R61" s="388">
        <f t="shared" si="126"/>
        <v>110725</v>
      </c>
      <c r="S61" s="326"/>
      <c r="T61" s="381"/>
      <c r="U61" s="386">
        <f t="shared" ref="U61:U66" si="127">O61</f>
        <v>110725</v>
      </c>
      <c r="V61" s="387">
        <f t="shared" ref="V61:V66" si="128">P61</f>
        <v>110725</v>
      </c>
      <c r="W61" s="387">
        <f t="shared" ref="W61:W66" si="129">Q61</f>
        <v>110725</v>
      </c>
      <c r="X61" s="388">
        <f t="shared" ref="X61:X66" si="130">R61</f>
        <v>110725</v>
      </c>
      <c r="Y61" s="61"/>
      <c r="Z61" s="61"/>
      <c r="AA61" s="386">
        <f t="shared" ref="AA61:AA66" si="131">U61</f>
        <v>110725</v>
      </c>
      <c r="AB61" s="387">
        <f t="shared" ref="AB61:AB66" si="132">V61</f>
        <v>110725</v>
      </c>
      <c r="AC61" s="387">
        <f t="shared" ref="AC61:AC66" si="133">W61</f>
        <v>110725</v>
      </c>
      <c r="AD61" s="388">
        <f t="shared" ref="AD61:AD66" si="134">X61</f>
        <v>110725</v>
      </c>
      <c r="AE61" s="61"/>
      <c r="AF61" s="560"/>
      <c r="AG61" s="2"/>
      <c r="AH61" s="2"/>
      <c r="AI61" s="2"/>
      <c r="AJ61" s="2"/>
      <c r="AK61" s="2"/>
      <c r="AL61" s="2"/>
    </row>
    <row r="62" spans="1:62" s="2" customFormat="1" hidden="1" outlineLevel="1">
      <c r="A62" s="39" t="s">
        <v>62</v>
      </c>
      <c r="B62" s="436"/>
      <c r="C62" s="389">
        <f>'MPS др метрики'!C111</f>
        <v>70053</v>
      </c>
      <c r="D62" s="427">
        <f t="shared" si="122"/>
        <v>70053</v>
      </c>
      <c r="E62" s="427">
        <f t="shared" ref="E62:F66" si="135">D62</f>
        <v>70053</v>
      </c>
      <c r="F62" s="487">
        <f t="shared" si="135"/>
        <v>70053</v>
      </c>
      <c r="G62" s="508"/>
      <c r="H62" s="87"/>
      <c r="I62" s="389">
        <f t="shared" si="124"/>
        <v>70053</v>
      </c>
      <c r="J62" s="291">
        <f t="shared" ref="J62:L62" si="136">I62</f>
        <v>70053</v>
      </c>
      <c r="K62" s="291">
        <f t="shared" si="136"/>
        <v>70053</v>
      </c>
      <c r="L62" s="390">
        <f t="shared" si="136"/>
        <v>70053</v>
      </c>
      <c r="M62" s="295"/>
      <c r="N62" s="381"/>
      <c r="O62" s="389">
        <f t="shared" si="126"/>
        <v>70053</v>
      </c>
      <c r="P62" s="291">
        <f t="shared" si="126"/>
        <v>70053</v>
      </c>
      <c r="Q62" s="291">
        <f t="shared" si="126"/>
        <v>70053</v>
      </c>
      <c r="R62" s="390">
        <f t="shared" si="126"/>
        <v>70053</v>
      </c>
      <c r="S62" s="326"/>
      <c r="T62" s="381"/>
      <c r="U62" s="389">
        <f t="shared" si="127"/>
        <v>70053</v>
      </c>
      <c r="V62" s="291">
        <f t="shared" si="128"/>
        <v>70053</v>
      </c>
      <c r="W62" s="291">
        <f t="shared" si="129"/>
        <v>70053</v>
      </c>
      <c r="X62" s="390">
        <f t="shared" si="130"/>
        <v>70053</v>
      </c>
      <c r="Y62" s="61"/>
      <c r="Z62" s="61"/>
      <c r="AA62" s="389">
        <f t="shared" si="131"/>
        <v>70053</v>
      </c>
      <c r="AB62" s="291">
        <f t="shared" si="132"/>
        <v>70053</v>
      </c>
      <c r="AC62" s="291">
        <f t="shared" si="133"/>
        <v>70053</v>
      </c>
      <c r="AD62" s="390">
        <f t="shared" si="134"/>
        <v>70053</v>
      </c>
      <c r="AE62" s="61"/>
      <c r="AF62" s="560"/>
      <c r="AM62" s="1"/>
      <c r="AN62" s="1"/>
      <c r="AO62" s="1"/>
      <c r="AP62" s="1"/>
      <c r="AQ62" s="1"/>
      <c r="AR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</row>
    <row r="63" spans="1:62" s="2" customFormat="1" hidden="1" outlineLevel="1">
      <c r="A63" s="39" t="s">
        <v>65</v>
      </c>
      <c r="B63" s="436"/>
      <c r="C63" s="389">
        <f>'MPS др метрики'!C112</f>
        <v>47443</v>
      </c>
      <c r="D63" s="427">
        <f t="shared" si="122"/>
        <v>47443</v>
      </c>
      <c r="E63" s="427">
        <f t="shared" si="135"/>
        <v>47443</v>
      </c>
      <c r="F63" s="487">
        <f t="shared" si="135"/>
        <v>47443</v>
      </c>
      <c r="G63" s="508"/>
      <c r="H63" s="87"/>
      <c r="I63" s="389">
        <f t="shared" si="124"/>
        <v>47443</v>
      </c>
      <c r="J63" s="291">
        <f t="shared" ref="J63:L63" si="137">I63</f>
        <v>47443</v>
      </c>
      <c r="K63" s="291">
        <f t="shared" si="137"/>
        <v>47443</v>
      </c>
      <c r="L63" s="390">
        <f t="shared" si="137"/>
        <v>47443</v>
      </c>
      <c r="M63" s="295"/>
      <c r="N63" s="381"/>
      <c r="O63" s="389">
        <f t="shared" si="126"/>
        <v>47443</v>
      </c>
      <c r="P63" s="291">
        <f t="shared" si="126"/>
        <v>47443</v>
      </c>
      <c r="Q63" s="291">
        <f t="shared" si="126"/>
        <v>47443</v>
      </c>
      <c r="R63" s="390">
        <f t="shared" si="126"/>
        <v>47443</v>
      </c>
      <c r="S63" s="326"/>
      <c r="T63" s="381"/>
      <c r="U63" s="389">
        <f t="shared" si="127"/>
        <v>47443</v>
      </c>
      <c r="V63" s="291">
        <f t="shared" si="128"/>
        <v>47443</v>
      </c>
      <c r="W63" s="291">
        <f t="shared" si="129"/>
        <v>47443</v>
      </c>
      <c r="X63" s="390">
        <f t="shared" si="130"/>
        <v>47443</v>
      </c>
      <c r="Y63" s="61"/>
      <c r="Z63" s="61"/>
      <c r="AA63" s="389">
        <f t="shared" si="131"/>
        <v>47443</v>
      </c>
      <c r="AB63" s="291">
        <f t="shared" si="132"/>
        <v>47443</v>
      </c>
      <c r="AC63" s="291">
        <f t="shared" si="133"/>
        <v>47443</v>
      </c>
      <c r="AD63" s="390">
        <f t="shared" si="134"/>
        <v>47443</v>
      </c>
      <c r="AE63" s="61"/>
      <c r="AF63" s="560"/>
      <c r="AM63" s="1"/>
      <c r="AN63" s="1"/>
      <c r="AO63" s="1"/>
      <c r="AP63" s="1"/>
      <c r="AQ63" s="1"/>
      <c r="AR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</row>
    <row r="64" spans="1:62" s="2" customFormat="1" hidden="1" outlineLevel="1">
      <c r="A64" s="39" t="s">
        <v>66</v>
      </c>
      <c r="B64" s="436"/>
      <c r="C64" s="389">
        <f>'MPS др метрики'!C113</f>
        <v>40951</v>
      </c>
      <c r="D64" s="427">
        <f t="shared" si="122"/>
        <v>40951</v>
      </c>
      <c r="E64" s="427">
        <f t="shared" si="135"/>
        <v>40951</v>
      </c>
      <c r="F64" s="487">
        <f t="shared" si="135"/>
        <v>40951</v>
      </c>
      <c r="G64" s="508"/>
      <c r="H64" s="87"/>
      <c r="I64" s="389">
        <f t="shared" si="124"/>
        <v>40951</v>
      </c>
      <c r="J64" s="291">
        <f t="shared" ref="J64:L64" si="138">I64</f>
        <v>40951</v>
      </c>
      <c r="K64" s="291">
        <f t="shared" si="138"/>
        <v>40951</v>
      </c>
      <c r="L64" s="390">
        <f t="shared" si="138"/>
        <v>40951</v>
      </c>
      <c r="M64" s="295"/>
      <c r="N64" s="381"/>
      <c r="O64" s="389">
        <f t="shared" si="126"/>
        <v>40951</v>
      </c>
      <c r="P64" s="291">
        <f t="shared" si="126"/>
        <v>40951</v>
      </c>
      <c r="Q64" s="291">
        <f t="shared" si="126"/>
        <v>40951</v>
      </c>
      <c r="R64" s="390">
        <f t="shared" si="126"/>
        <v>40951</v>
      </c>
      <c r="S64" s="326"/>
      <c r="T64" s="381"/>
      <c r="U64" s="389">
        <f t="shared" si="127"/>
        <v>40951</v>
      </c>
      <c r="V64" s="291">
        <f t="shared" si="128"/>
        <v>40951</v>
      </c>
      <c r="W64" s="291">
        <f t="shared" si="129"/>
        <v>40951</v>
      </c>
      <c r="X64" s="390">
        <f t="shared" si="130"/>
        <v>40951</v>
      </c>
      <c r="Y64" s="61"/>
      <c r="Z64" s="61"/>
      <c r="AA64" s="389">
        <f t="shared" si="131"/>
        <v>40951</v>
      </c>
      <c r="AB64" s="291">
        <f t="shared" si="132"/>
        <v>40951</v>
      </c>
      <c r="AC64" s="291">
        <f t="shared" si="133"/>
        <v>40951</v>
      </c>
      <c r="AD64" s="390">
        <f t="shared" si="134"/>
        <v>40951</v>
      </c>
      <c r="AE64" s="61"/>
      <c r="AF64" s="560"/>
      <c r="AM64" s="1"/>
      <c r="AN64" s="1"/>
      <c r="AO64" s="1"/>
      <c r="AP64" s="1"/>
      <c r="AQ64" s="1"/>
      <c r="AR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</row>
    <row r="65" spans="1:62" s="2" customFormat="1" hidden="1" outlineLevel="1">
      <c r="A65" s="39" t="s">
        <v>328</v>
      </c>
      <c r="B65" s="436"/>
      <c r="C65" s="389">
        <f>'MPS др метрики'!C114</f>
        <v>33828</v>
      </c>
      <c r="D65" s="427">
        <f t="shared" si="122"/>
        <v>33828</v>
      </c>
      <c r="E65" s="427">
        <f t="shared" si="135"/>
        <v>33828</v>
      </c>
      <c r="F65" s="487">
        <f t="shared" si="135"/>
        <v>33828</v>
      </c>
      <c r="G65" s="508"/>
      <c r="H65" s="87"/>
      <c r="I65" s="389">
        <f t="shared" si="124"/>
        <v>33828</v>
      </c>
      <c r="J65" s="291">
        <f t="shared" ref="J65:L65" si="139">I65</f>
        <v>33828</v>
      </c>
      <c r="K65" s="291">
        <f t="shared" si="139"/>
        <v>33828</v>
      </c>
      <c r="L65" s="390">
        <f t="shared" si="139"/>
        <v>33828</v>
      </c>
      <c r="M65" s="295"/>
      <c r="N65" s="381"/>
      <c r="O65" s="389">
        <f t="shared" si="126"/>
        <v>33828</v>
      </c>
      <c r="P65" s="291">
        <f t="shared" si="126"/>
        <v>33828</v>
      </c>
      <c r="Q65" s="291">
        <f t="shared" si="126"/>
        <v>33828</v>
      </c>
      <c r="R65" s="390">
        <f t="shared" si="126"/>
        <v>33828</v>
      </c>
      <c r="S65" s="326"/>
      <c r="T65" s="381"/>
      <c r="U65" s="389">
        <f t="shared" si="127"/>
        <v>33828</v>
      </c>
      <c r="V65" s="291">
        <f t="shared" si="128"/>
        <v>33828</v>
      </c>
      <c r="W65" s="291">
        <f t="shared" si="129"/>
        <v>33828</v>
      </c>
      <c r="X65" s="390">
        <f t="shared" si="130"/>
        <v>33828</v>
      </c>
      <c r="Y65" s="61"/>
      <c r="Z65" s="61"/>
      <c r="AA65" s="389">
        <f t="shared" si="131"/>
        <v>33828</v>
      </c>
      <c r="AB65" s="291">
        <f t="shared" si="132"/>
        <v>33828</v>
      </c>
      <c r="AC65" s="291">
        <f t="shared" si="133"/>
        <v>33828</v>
      </c>
      <c r="AD65" s="390">
        <f t="shared" si="134"/>
        <v>33828</v>
      </c>
      <c r="AE65" s="61"/>
      <c r="AF65" s="560"/>
      <c r="AM65" s="1"/>
      <c r="AN65" s="1"/>
      <c r="AO65" s="1"/>
      <c r="AP65" s="1"/>
      <c r="AQ65" s="1"/>
      <c r="AR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</row>
    <row r="66" spans="1:62" s="2" customFormat="1" hidden="1" outlineLevel="1">
      <c r="A66" s="467" t="s">
        <v>329</v>
      </c>
      <c r="B66" s="509"/>
      <c r="C66" s="391">
        <f>'MPS др метрики'!C115</f>
        <v>21581</v>
      </c>
      <c r="D66" s="428">
        <f t="shared" si="122"/>
        <v>21581</v>
      </c>
      <c r="E66" s="428">
        <f t="shared" si="135"/>
        <v>21581</v>
      </c>
      <c r="F66" s="488">
        <f t="shared" si="135"/>
        <v>21581</v>
      </c>
      <c r="G66" s="508"/>
      <c r="H66" s="87"/>
      <c r="I66" s="391">
        <f t="shared" si="124"/>
        <v>21581</v>
      </c>
      <c r="J66" s="392">
        <f t="shared" ref="J66:L66" si="140">I66</f>
        <v>21581</v>
      </c>
      <c r="K66" s="392">
        <f t="shared" si="140"/>
        <v>21581</v>
      </c>
      <c r="L66" s="393">
        <f t="shared" si="140"/>
        <v>21581</v>
      </c>
      <c r="M66" s="295"/>
      <c r="N66" s="87"/>
      <c r="O66" s="391">
        <f t="shared" si="126"/>
        <v>21581</v>
      </c>
      <c r="P66" s="392">
        <f t="shared" si="126"/>
        <v>21581</v>
      </c>
      <c r="Q66" s="392">
        <f t="shared" si="126"/>
        <v>21581</v>
      </c>
      <c r="R66" s="393">
        <f t="shared" si="126"/>
        <v>21581</v>
      </c>
      <c r="S66" s="326"/>
      <c r="T66" s="381"/>
      <c r="U66" s="391">
        <f t="shared" si="127"/>
        <v>21581</v>
      </c>
      <c r="V66" s="392">
        <f t="shared" si="128"/>
        <v>21581</v>
      </c>
      <c r="W66" s="392">
        <f t="shared" si="129"/>
        <v>21581</v>
      </c>
      <c r="X66" s="393">
        <f t="shared" si="130"/>
        <v>21581</v>
      </c>
      <c r="Y66" s="61"/>
      <c r="Z66" s="61"/>
      <c r="AA66" s="391">
        <f t="shared" si="131"/>
        <v>21581</v>
      </c>
      <c r="AB66" s="392">
        <f t="shared" si="132"/>
        <v>21581</v>
      </c>
      <c r="AC66" s="392">
        <f t="shared" si="133"/>
        <v>21581</v>
      </c>
      <c r="AD66" s="393">
        <f t="shared" si="134"/>
        <v>21581</v>
      </c>
      <c r="AE66" s="61"/>
      <c r="AF66" s="560"/>
      <c r="AG66" s="84"/>
      <c r="AH66" s="84"/>
      <c r="AI66" s="84"/>
      <c r="AJ66" s="84"/>
      <c r="AK66" s="84"/>
      <c r="AL66" s="84"/>
      <c r="AM66" s="1"/>
      <c r="AN66" s="1"/>
      <c r="AO66" s="1"/>
      <c r="AP66" s="1"/>
      <c r="AQ66" s="1"/>
      <c r="AR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</row>
    <row r="67" spans="1:62" s="2" customFormat="1" hidden="1" outlineLevel="1">
      <c r="B67" s="509"/>
      <c r="C67" s="1"/>
      <c r="D67" s="427"/>
      <c r="E67" s="427"/>
      <c r="F67" s="427"/>
      <c r="G67" s="510"/>
      <c r="H67" s="87"/>
      <c r="I67" s="291"/>
      <c r="J67" s="291"/>
      <c r="K67" s="291"/>
      <c r="L67" s="291"/>
      <c r="M67" s="295"/>
      <c r="N67" s="87"/>
      <c r="O67" s="291"/>
      <c r="P67" s="291"/>
      <c r="Q67" s="291"/>
      <c r="R67" s="291"/>
      <c r="S67" s="326"/>
      <c r="T67" s="381"/>
      <c r="U67" s="61"/>
      <c r="V67" s="61"/>
      <c r="W67" s="61"/>
      <c r="X67" s="61"/>
      <c r="Y67" s="61"/>
      <c r="Z67" s="61"/>
      <c r="AA67" s="61"/>
      <c r="AB67" s="61"/>
      <c r="AC67" s="61"/>
      <c r="AD67" s="61"/>
      <c r="AE67" s="61"/>
      <c r="AF67" s="560"/>
      <c r="AG67" s="84"/>
      <c r="AH67" s="84"/>
      <c r="AI67" s="84"/>
      <c r="AJ67" s="84"/>
      <c r="AK67" s="84"/>
      <c r="AL67" s="84"/>
      <c r="AM67" s="1"/>
      <c r="AN67" s="1"/>
      <c r="AO67" s="1"/>
      <c r="AP67" s="1"/>
      <c r="AQ67" s="1"/>
      <c r="AR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</row>
    <row r="68" spans="1:62" s="2" customFormat="1" hidden="1" outlineLevel="1">
      <c r="A68" s="2" t="s">
        <v>333</v>
      </c>
      <c r="B68" s="509"/>
      <c r="C68" s="1"/>
      <c r="D68" s="427"/>
      <c r="E68" s="427"/>
      <c r="F68" s="427"/>
      <c r="G68" s="510"/>
      <c r="H68" s="87"/>
      <c r="I68" s="291"/>
      <c r="J68" s="291"/>
      <c r="K68" s="291"/>
      <c r="L68" s="291"/>
      <c r="M68" s="295"/>
      <c r="N68" s="87"/>
      <c r="O68" s="291"/>
      <c r="P68" s="291"/>
      <c r="Q68" s="291"/>
      <c r="R68" s="291"/>
      <c r="S68" s="326"/>
      <c r="T68" s="381"/>
      <c r="U68" s="61"/>
      <c r="V68" s="61"/>
      <c r="W68" s="61"/>
      <c r="X68" s="61"/>
      <c r="Y68" s="61"/>
      <c r="Z68" s="61"/>
      <c r="AA68" s="61"/>
      <c r="AB68" s="61"/>
      <c r="AC68" s="61"/>
      <c r="AD68" s="61"/>
      <c r="AE68" s="61"/>
      <c r="AF68" s="560"/>
      <c r="AG68" s="84"/>
      <c r="AH68" s="84"/>
      <c r="AI68" s="84"/>
      <c r="AJ68" s="84"/>
      <c r="AK68" s="84"/>
      <c r="AL68" s="84"/>
      <c r="AM68" s="1"/>
      <c r="AN68" s="1"/>
      <c r="AO68" s="1"/>
      <c r="AP68" s="1"/>
      <c r="AQ68" s="1"/>
      <c r="AR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</row>
    <row r="69" spans="1:62" s="2" customFormat="1" hidden="1" outlineLevel="1">
      <c r="A69" s="496" t="s">
        <v>327</v>
      </c>
      <c r="B69" s="509"/>
      <c r="C69" s="367">
        <f t="shared" ref="C69:F74" si="141">C61/C85</f>
        <v>10890.983606557378</v>
      </c>
      <c r="D69" s="368">
        <f t="shared" si="141"/>
        <v>10890.983606557378</v>
      </c>
      <c r="E69" s="368">
        <f t="shared" si="141"/>
        <v>10890.983606557378</v>
      </c>
      <c r="F69" s="369">
        <f t="shared" si="141"/>
        <v>10890.983606557378</v>
      </c>
      <c r="G69" s="407"/>
      <c r="H69" s="87"/>
      <c r="I69" s="389">
        <f t="shared" ref="I69:I74" si="142">C69</f>
        <v>10890.983606557378</v>
      </c>
      <c r="J69" s="387">
        <f>I69</f>
        <v>10890.983606557378</v>
      </c>
      <c r="K69" s="387">
        <f t="shared" ref="K69:L69" si="143">J69</f>
        <v>10890.983606557378</v>
      </c>
      <c r="L69" s="388">
        <f t="shared" si="143"/>
        <v>10890.983606557378</v>
      </c>
      <c r="M69" s="295"/>
      <c r="N69" s="87"/>
      <c r="O69" s="386">
        <f t="shared" ref="O69:O74" si="144">I69</f>
        <v>10890.983606557378</v>
      </c>
      <c r="P69" s="387">
        <f>O69</f>
        <v>10890.983606557378</v>
      </c>
      <c r="Q69" s="387">
        <f t="shared" ref="Q69:R69" si="145">P69</f>
        <v>10890.983606557378</v>
      </c>
      <c r="R69" s="388">
        <f t="shared" si="145"/>
        <v>10890.983606557378</v>
      </c>
      <c r="S69" s="326"/>
      <c r="T69" s="381"/>
      <c r="U69" s="386">
        <f t="shared" ref="U69:U74" si="146">O69</f>
        <v>10890.983606557378</v>
      </c>
      <c r="V69" s="387">
        <f>U69</f>
        <v>10890.983606557378</v>
      </c>
      <c r="W69" s="387">
        <f t="shared" ref="W69:W74" si="147">V69</f>
        <v>10890.983606557378</v>
      </c>
      <c r="X69" s="388">
        <f t="shared" ref="X69:X74" si="148">W69</f>
        <v>10890.983606557378</v>
      </c>
      <c r="Y69" s="61"/>
      <c r="Z69" s="61"/>
      <c r="AA69" s="386">
        <f t="shared" ref="AA69:AA74" si="149">U69</f>
        <v>10890.983606557378</v>
      </c>
      <c r="AB69" s="387">
        <f>AA69</f>
        <v>10890.983606557378</v>
      </c>
      <c r="AC69" s="387">
        <f t="shared" ref="AC69:AC74" si="150">AB69</f>
        <v>10890.983606557378</v>
      </c>
      <c r="AD69" s="388">
        <f t="shared" ref="AD69:AD74" si="151">AC69</f>
        <v>10890.983606557378</v>
      </c>
      <c r="AE69" s="61"/>
      <c r="AF69" s="560"/>
      <c r="AG69" s="84"/>
      <c r="AH69" s="84"/>
      <c r="AI69" s="84"/>
      <c r="AJ69" s="84"/>
      <c r="AK69" s="84"/>
      <c r="AL69" s="84"/>
      <c r="AM69" s="1"/>
      <c r="AN69" s="1"/>
      <c r="AO69" s="1"/>
      <c r="AP69" s="1"/>
      <c r="AQ69" s="1"/>
      <c r="AR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</row>
    <row r="70" spans="1:62" s="2" customFormat="1" hidden="1" outlineLevel="1">
      <c r="A70" s="39" t="s">
        <v>62</v>
      </c>
      <c r="B70" s="509"/>
      <c r="C70" s="370">
        <f t="shared" si="141"/>
        <v>9019.69957081545</v>
      </c>
      <c r="D70" s="169">
        <f t="shared" si="141"/>
        <v>9019.69957081545</v>
      </c>
      <c r="E70" s="169">
        <f t="shared" si="141"/>
        <v>9019.69957081545</v>
      </c>
      <c r="F70" s="371">
        <f t="shared" si="141"/>
        <v>9019.69957081545</v>
      </c>
      <c r="G70" s="407"/>
      <c r="H70" s="87"/>
      <c r="I70" s="389">
        <f t="shared" si="142"/>
        <v>9019.69957081545</v>
      </c>
      <c r="J70" s="291">
        <f t="shared" ref="J70:L74" si="152">I70</f>
        <v>9019.69957081545</v>
      </c>
      <c r="K70" s="291">
        <f t="shared" si="152"/>
        <v>9019.69957081545</v>
      </c>
      <c r="L70" s="390">
        <f t="shared" si="152"/>
        <v>9019.69957081545</v>
      </c>
      <c r="M70" s="295"/>
      <c r="N70" s="87"/>
      <c r="O70" s="389">
        <f t="shared" si="144"/>
        <v>9019.69957081545</v>
      </c>
      <c r="P70" s="291">
        <f t="shared" ref="P70:R70" si="153">O70</f>
        <v>9019.69957081545</v>
      </c>
      <c r="Q70" s="291">
        <f t="shared" si="153"/>
        <v>9019.69957081545</v>
      </c>
      <c r="R70" s="390">
        <f t="shared" si="153"/>
        <v>9019.69957081545</v>
      </c>
      <c r="S70" s="326"/>
      <c r="T70" s="381"/>
      <c r="U70" s="389">
        <f t="shared" si="146"/>
        <v>9019.69957081545</v>
      </c>
      <c r="V70" s="291">
        <f t="shared" ref="V70:V74" si="154">U70</f>
        <v>9019.69957081545</v>
      </c>
      <c r="W70" s="291">
        <f t="shared" si="147"/>
        <v>9019.69957081545</v>
      </c>
      <c r="X70" s="390">
        <f t="shared" si="148"/>
        <v>9019.69957081545</v>
      </c>
      <c r="Y70" s="61"/>
      <c r="Z70" s="61"/>
      <c r="AA70" s="389">
        <f t="shared" si="149"/>
        <v>9019.69957081545</v>
      </c>
      <c r="AB70" s="291">
        <f t="shared" ref="AB70:AB74" si="155">AA70</f>
        <v>9019.69957081545</v>
      </c>
      <c r="AC70" s="291">
        <f t="shared" si="150"/>
        <v>9019.69957081545</v>
      </c>
      <c r="AD70" s="390">
        <f t="shared" si="151"/>
        <v>9019.69957081545</v>
      </c>
      <c r="AE70" s="61"/>
      <c r="AF70" s="560"/>
      <c r="AG70" s="84"/>
      <c r="AH70" s="84"/>
      <c r="AI70" s="84"/>
      <c r="AJ70" s="84"/>
      <c r="AK70" s="84"/>
      <c r="AL70" s="84"/>
      <c r="AM70" s="1"/>
      <c r="AN70" s="1"/>
      <c r="AO70" s="1"/>
      <c r="AP70" s="1"/>
      <c r="AQ70" s="1"/>
      <c r="AR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</row>
    <row r="71" spans="1:62" s="2" customFormat="1" hidden="1" outlineLevel="1">
      <c r="A71" s="39" t="s">
        <v>65</v>
      </c>
      <c r="B71" s="509"/>
      <c r="C71" s="370">
        <f t="shared" si="141"/>
        <v>8227.1098265895962</v>
      </c>
      <c r="D71" s="169">
        <f t="shared" si="141"/>
        <v>8227.1098265895962</v>
      </c>
      <c r="E71" s="169">
        <f t="shared" si="141"/>
        <v>8227.1098265895962</v>
      </c>
      <c r="F71" s="371">
        <f t="shared" si="141"/>
        <v>8227.1098265895962</v>
      </c>
      <c r="G71" s="407"/>
      <c r="H71" s="87"/>
      <c r="I71" s="389">
        <f t="shared" si="142"/>
        <v>8227.1098265895962</v>
      </c>
      <c r="J71" s="291">
        <f t="shared" si="152"/>
        <v>8227.1098265895962</v>
      </c>
      <c r="K71" s="291">
        <f t="shared" si="152"/>
        <v>8227.1098265895962</v>
      </c>
      <c r="L71" s="390">
        <f t="shared" si="152"/>
        <v>8227.1098265895962</v>
      </c>
      <c r="M71" s="295"/>
      <c r="N71" s="87"/>
      <c r="O71" s="389">
        <f t="shared" si="144"/>
        <v>8227.1098265895962</v>
      </c>
      <c r="P71" s="291">
        <f t="shared" ref="P71:R71" si="156">O71</f>
        <v>8227.1098265895962</v>
      </c>
      <c r="Q71" s="291">
        <f t="shared" si="156"/>
        <v>8227.1098265895962</v>
      </c>
      <c r="R71" s="390">
        <f t="shared" si="156"/>
        <v>8227.1098265895962</v>
      </c>
      <c r="S71" s="326"/>
      <c r="T71" s="381"/>
      <c r="U71" s="389">
        <f t="shared" si="146"/>
        <v>8227.1098265895962</v>
      </c>
      <c r="V71" s="291">
        <f t="shared" si="154"/>
        <v>8227.1098265895962</v>
      </c>
      <c r="W71" s="291">
        <f t="shared" si="147"/>
        <v>8227.1098265895962</v>
      </c>
      <c r="X71" s="390">
        <f t="shared" si="148"/>
        <v>8227.1098265895962</v>
      </c>
      <c r="Y71" s="61"/>
      <c r="Z71" s="61"/>
      <c r="AA71" s="389">
        <f t="shared" si="149"/>
        <v>8227.1098265895962</v>
      </c>
      <c r="AB71" s="291">
        <f t="shared" si="155"/>
        <v>8227.1098265895962</v>
      </c>
      <c r="AC71" s="291">
        <f t="shared" si="150"/>
        <v>8227.1098265895962</v>
      </c>
      <c r="AD71" s="390">
        <f t="shared" si="151"/>
        <v>8227.1098265895962</v>
      </c>
      <c r="AE71" s="61"/>
      <c r="AF71" s="560"/>
      <c r="AG71" s="84"/>
      <c r="AH71" s="84"/>
      <c r="AI71" s="84"/>
      <c r="AJ71" s="84"/>
      <c r="AK71" s="84"/>
      <c r="AL71" s="84"/>
      <c r="AM71" s="1"/>
      <c r="AN71" s="1"/>
      <c r="AO71" s="1"/>
      <c r="AP71" s="1"/>
      <c r="AQ71" s="1"/>
      <c r="AR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</row>
    <row r="72" spans="1:62" s="2" customFormat="1" hidden="1" outlineLevel="1">
      <c r="A72" s="39" t="s">
        <v>66</v>
      </c>
      <c r="B72" s="509"/>
      <c r="C72" s="370">
        <f t="shared" si="141"/>
        <v>8245.1677852348985</v>
      </c>
      <c r="D72" s="169">
        <f t="shared" si="141"/>
        <v>8245.1677852348985</v>
      </c>
      <c r="E72" s="169">
        <f t="shared" si="141"/>
        <v>8245.1677852348985</v>
      </c>
      <c r="F72" s="371">
        <f t="shared" si="141"/>
        <v>8245.1677852348985</v>
      </c>
      <c r="G72" s="407"/>
      <c r="H72" s="87"/>
      <c r="I72" s="389">
        <f t="shared" si="142"/>
        <v>8245.1677852348985</v>
      </c>
      <c r="J72" s="291">
        <f t="shared" si="152"/>
        <v>8245.1677852348985</v>
      </c>
      <c r="K72" s="291">
        <f t="shared" si="152"/>
        <v>8245.1677852348985</v>
      </c>
      <c r="L72" s="390">
        <f t="shared" si="152"/>
        <v>8245.1677852348985</v>
      </c>
      <c r="M72" s="295"/>
      <c r="N72" s="87"/>
      <c r="O72" s="389">
        <f t="shared" si="144"/>
        <v>8245.1677852348985</v>
      </c>
      <c r="P72" s="291">
        <f t="shared" ref="P72:R72" si="157">O72</f>
        <v>8245.1677852348985</v>
      </c>
      <c r="Q72" s="291">
        <f t="shared" si="157"/>
        <v>8245.1677852348985</v>
      </c>
      <c r="R72" s="390">
        <f t="shared" si="157"/>
        <v>8245.1677852348985</v>
      </c>
      <c r="S72" s="326"/>
      <c r="T72" s="381"/>
      <c r="U72" s="389">
        <f t="shared" si="146"/>
        <v>8245.1677852348985</v>
      </c>
      <c r="V72" s="291">
        <f t="shared" si="154"/>
        <v>8245.1677852348985</v>
      </c>
      <c r="W72" s="291">
        <f t="shared" si="147"/>
        <v>8245.1677852348985</v>
      </c>
      <c r="X72" s="390">
        <f t="shared" si="148"/>
        <v>8245.1677852348985</v>
      </c>
      <c r="Y72" s="61"/>
      <c r="Z72" s="61"/>
      <c r="AA72" s="389">
        <f t="shared" si="149"/>
        <v>8245.1677852348985</v>
      </c>
      <c r="AB72" s="291">
        <f t="shared" si="155"/>
        <v>8245.1677852348985</v>
      </c>
      <c r="AC72" s="291">
        <f t="shared" si="150"/>
        <v>8245.1677852348985</v>
      </c>
      <c r="AD72" s="390">
        <f t="shared" si="151"/>
        <v>8245.1677852348985</v>
      </c>
      <c r="AE72" s="61"/>
      <c r="AF72" s="560"/>
      <c r="AG72" s="84"/>
      <c r="AH72" s="84"/>
      <c r="AI72" s="84"/>
      <c r="AJ72" s="84"/>
      <c r="AK72" s="84"/>
      <c r="AL72" s="84"/>
      <c r="AM72" s="1"/>
      <c r="AN72" s="1"/>
      <c r="AO72" s="1"/>
      <c r="AP72" s="1"/>
      <c r="AQ72" s="1"/>
      <c r="AR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</row>
    <row r="73" spans="1:62" s="2" customFormat="1" hidden="1" outlineLevel="1">
      <c r="A73" s="39" t="s">
        <v>328</v>
      </c>
      <c r="B73" s="509"/>
      <c r="C73" s="370">
        <f t="shared" si="141"/>
        <v>7866.9767441860467</v>
      </c>
      <c r="D73" s="169">
        <f t="shared" si="141"/>
        <v>7866.9767441860467</v>
      </c>
      <c r="E73" s="169">
        <f t="shared" si="141"/>
        <v>7866.9767441860467</v>
      </c>
      <c r="F73" s="371">
        <f t="shared" si="141"/>
        <v>7866.9767441860467</v>
      </c>
      <c r="G73" s="407"/>
      <c r="H73" s="87"/>
      <c r="I73" s="389">
        <f t="shared" si="142"/>
        <v>7866.9767441860467</v>
      </c>
      <c r="J73" s="291">
        <f t="shared" si="152"/>
        <v>7866.9767441860467</v>
      </c>
      <c r="K73" s="291">
        <f t="shared" si="152"/>
        <v>7866.9767441860467</v>
      </c>
      <c r="L73" s="390">
        <f t="shared" si="152"/>
        <v>7866.9767441860467</v>
      </c>
      <c r="M73" s="295"/>
      <c r="N73" s="87"/>
      <c r="O73" s="389">
        <f t="shared" si="144"/>
        <v>7866.9767441860467</v>
      </c>
      <c r="P73" s="291">
        <f t="shared" ref="P73:R73" si="158">O73</f>
        <v>7866.9767441860467</v>
      </c>
      <c r="Q73" s="291">
        <f t="shared" si="158"/>
        <v>7866.9767441860467</v>
      </c>
      <c r="R73" s="390">
        <f t="shared" si="158"/>
        <v>7866.9767441860467</v>
      </c>
      <c r="S73" s="326"/>
      <c r="T73" s="381"/>
      <c r="U73" s="389">
        <f t="shared" si="146"/>
        <v>7866.9767441860467</v>
      </c>
      <c r="V73" s="291">
        <f t="shared" si="154"/>
        <v>7866.9767441860467</v>
      </c>
      <c r="W73" s="291">
        <f t="shared" si="147"/>
        <v>7866.9767441860467</v>
      </c>
      <c r="X73" s="390">
        <f t="shared" si="148"/>
        <v>7866.9767441860467</v>
      </c>
      <c r="Y73" s="61"/>
      <c r="Z73" s="61"/>
      <c r="AA73" s="389">
        <f t="shared" si="149"/>
        <v>7866.9767441860467</v>
      </c>
      <c r="AB73" s="291">
        <f t="shared" si="155"/>
        <v>7866.9767441860467</v>
      </c>
      <c r="AC73" s="291">
        <f t="shared" si="150"/>
        <v>7866.9767441860467</v>
      </c>
      <c r="AD73" s="390">
        <f t="shared" si="151"/>
        <v>7866.9767441860467</v>
      </c>
      <c r="AE73" s="61"/>
      <c r="AF73" s="560"/>
      <c r="AG73" s="84"/>
      <c r="AH73" s="84"/>
      <c r="AI73" s="84"/>
      <c r="AJ73" s="84"/>
      <c r="AK73" s="84"/>
      <c r="AL73" s="84"/>
      <c r="AM73" s="1"/>
      <c r="AN73" s="1"/>
      <c r="AO73" s="1"/>
      <c r="AP73" s="1"/>
      <c r="AQ73" s="1"/>
      <c r="AR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</row>
    <row r="74" spans="1:62" s="2" customFormat="1" hidden="1" outlineLevel="1">
      <c r="A74" s="467" t="s">
        <v>329</v>
      </c>
      <c r="B74" s="509"/>
      <c r="C74" s="372">
        <f t="shared" si="141"/>
        <v>6674.5360824742265</v>
      </c>
      <c r="D74" s="373">
        <f t="shared" si="141"/>
        <v>6674.5360824742265</v>
      </c>
      <c r="E74" s="373">
        <f t="shared" si="141"/>
        <v>6674.5360824742265</v>
      </c>
      <c r="F74" s="374">
        <f t="shared" si="141"/>
        <v>6674.5360824742265</v>
      </c>
      <c r="G74" s="407"/>
      <c r="H74" s="87"/>
      <c r="I74" s="391">
        <f t="shared" si="142"/>
        <v>6674.5360824742265</v>
      </c>
      <c r="J74" s="392">
        <f t="shared" si="152"/>
        <v>6674.5360824742265</v>
      </c>
      <c r="K74" s="392">
        <f t="shared" si="152"/>
        <v>6674.5360824742265</v>
      </c>
      <c r="L74" s="393">
        <f t="shared" si="152"/>
        <v>6674.5360824742265</v>
      </c>
      <c r="M74" s="295"/>
      <c r="N74" s="87"/>
      <c r="O74" s="391">
        <f t="shared" si="144"/>
        <v>6674.5360824742265</v>
      </c>
      <c r="P74" s="392">
        <f t="shared" ref="P74:R74" si="159">O74</f>
        <v>6674.5360824742265</v>
      </c>
      <c r="Q74" s="392">
        <f t="shared" si="159"/>
        <v>6674.5360824742265</v>
      </c>
      <c r="R74" s="393">
        <f t="shared" si="159"/>
        <v>6674.5360824742265</v>
      </c>
      <c r="S74" s="326"/>
      <c r="T74" s="381"/>
      <c r="U74" s="391">
        <f t="shared" si="146"/>
        <v>6674.5360824742265</v>
      </c>
      <c r="V74" s="392">
        <f t="shared" si="154"/>
        <v>6674.5360824742265</v>
      </c>
      <c r="W74" s="392">
        <f t="shared" si="147"/>
        <v>6674.5360824742265</v>
      </c>
      <c r="X74" s="393">
        <f t="shared" si="148"/>
        <v>6674.5360824742265</v>
      </c>
      <c r="Y74" s="61"/>
      <c r="Z74" s="61"/>
      <c r="AA74" s="391">
        <f t="shared" si="149"/>
        <v>6674.5360824742265</v>
      </c>
      <c r="AB74" s="392">
        <f t="shared" si="155"/>
        <v>6674.5360824742265</v>
      </c>
      <c r="AC74" s="392">
        <f t="shared" si="150"/>
        <v>6674.5360824742265</v>
      </c>
      <c r="AD74" s="393">
        <f t="shared" si="151"/>
        <v>6674.5360824742265</v>
      </c>
      <c r="AE74" s="61"/>
      <c r="AF74" s="560"/>
      <c r="AG74" s="84"/>
      <c r="AH74" s="84"/>
      <c r="AI74" s="84"/>
      <c r="AJ74" s="84"/>
      <c r="AK74" s="84"/>
      <c r="AL74" s="84"/>
      <c r="AM74" s="1"/>
      <c r="AN74" s="1"/>
      <c r="AO74" s="1"/>
      <c r="AP74" s="1"/>
      <c r="AQ74" s="1"/>
      <c r="AR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</row>
    <row r="75" spans="1:62" hidden="1" outlineLevel="1">
      <c r="A75" s="2"/>
      <c r="C75" s="290"/>
      <c r="D75" s="429"/>
      <c r="E75" s="429"/>
      <c r="F75" s="429"/>
      <c r="G75" s="511"/>
      <c r="H75" s="518"/>
      <c r="I75" s="169"/>
      <c r="J75" s="169"/>
      <c r="K75" s="169"/>
      <c r="L75" s="169"/>
      <c r="O75" s="169"/>
      <c r="P75" s="169"/>
      <c r="Q75" s="169"/>
      <c r="R75" s="169"/>
      <c r="T75" s="342"/>
      <c r="U75" s="154"/>
      <c r="V75" s="154"/>
      <c r="W75" s="154"/>
      <c r="X75" s="154"/>
      <c r="Y75" s="154"/>
      <c r="Z75" s="154"/>
      <c r="AA75" s="154"/>
      <c r="AB75" s="154"/>
      <c r="AC75" s="154"/>
      <c r="AD75" s="154"/>
      <c r="AE75" s="154"/>
      <c r="AF75" s="299"/>
      <c r="AG75" s="2"/>
      <c r="AH75" s="2"/>
      <c r="AI75" s="2"/>
      <c r="AJ75" s="2"/>
      <c r="AK75" s="2"/>
      <c r="AL75" s="2"/>
    </row>
    <row r="76" spans="1:62" s="425" customFormat="1" hidden="1" outlineLevel="1">
      <c r="A76" s="382" t="s">
        <v>345</v>
      </c>
      <c r="B76" s="502"/>
      <c r="C76" s="343"/>
      <c r="D76" s="430"/>
      <c r="E76" s="430"/>
      <c r="F76" s="430"/>
      <c r="G76" s="512"/>
      <c r="H76" s="517"/>
      <c r="I76" s="399" t="s">
        <v>334</v>
      </c>
      <c r="J76" s="354"/>
      <c r="K76" s="354"/>
      <c r="L76" s="354"/>
      <c r="M76" s="503"/>
      <c r="N76" s="529"/>
      <c r="O76" s="399" t="s">
        <v>334</v>
      </c>
      <c r="P76" s="354"/>
      <c r="Q76" s="354"/>
      <c r="R76" s="354"/>
      <c r="S76" s="43"/>
      <c r="T76" s="561"/>
      <c r="U76" s="633"/>
      <c r="V76" s="633"/>
      <c r="W76" s="633"/>
      <c r="X76" s="633"/>
      <c r="Y76" s="633"/>
      <c r="Z76" s="633"/>
      <c r="AA76" s="633"/>
      <c r="AB76" s="633"/>
      <c r="AC76" s="633"/>
      <c r="AD76" s="633"/>
      <c r="AE76" s="633"/>
      <c r="AF76" s="562"/>
      <c r="AG76" s="356"/>
      <c r="AH76" s="356"/>
      <c r="AI76" s="356"/>
      <c r="AJ76" s="356"/>
      <c r="AK76" s="356"/>
      <c r="AL76" s="356"/>
      <c r="AM76" s="43"/>
      <c r="AN76" s="43"/>
      <c r="AO76" s="43"/>
      <c r="AP76" s="43"/>
      <c r="AQ76" s="43"/>
      <c r="AR76" s="43"/>
      <c r="AY76" s="43"/>
      <c r="AZ76" s="43"/>
      <c r="BA76" s="43"/>
      <c r="BB76" s="43"/>
      <c r="BC76" s="43"/>
      <c r="BD76" s="43"/>
      <c r="BE76" s="43"/>
      <c r="BF76" s="43"/>
      <c r="BG76" s="43"/>
      <c r="BH76" s="43"/>
      <c r="BI76" s="43"/>
      <c r="BJ76" s="43"/>
    </row>
    <row r="77" spans="1:62" hidden="1" outlineLevel="1">
      <c r="A77" s="496" t="s">
        <v>327</v>
      </c>
      <c r="C77" s="378">
        <f t="shared" ref="C77:C82" si="160">C85</f>
        <v>10.166666666666666</v>
      </c>
      <c r="D77" s="431">
        <f t="shared" ref="D77:D82" si="161">C77</f>
        <v>10.166666666666666</v>
      </c>
      <c r="E77" s="431">
        <f t="shared" ref="E77:F77" si="162">D77</f>
        <v>10.166666666666666</v>
      </c>
      <c r="F77" s="432">
        <f t="shared" si="162"/>
        <v>10.166666666666666</v>
      </c>
      <c r="G77" s="511"/>
      <c r="H77" s="518"/>
      <c r="I77" s="378">
        <f>C77+1</f>
        <v>11.166666666666666</v>
      </c>
      <c r="J77" s="394">
        <f>I77</f>
        <v>11.166666666666666</v>
      </c>
      <c r="K77" s="394">
        <f t="shared" ref="K77:L77" si="163">J77</f>
        <v>11.166666666666666</v>
      </c>
      <c r="L77" s="395">
        <f t="shared" si="163"/>
        <v>11.166666666666666</v>
      </c>
      <c r="O77" s="378">
        <f>I77</f>
        <v>11.166666666666666</v>
      </c>
      <c r="P77" s="394">
        <f>O77</f>
        <v>11.166666666666666</v>
      </c>
      <c r="Q77" s="394">
        <f t="shared" ref="Q77:R77" si="164">P77</f>
        <v>11.166666666666666</v>
      </c>
      <c r="R77" s="395">
        <f t="shared" si="164"/>
        <v>11.166666666666666</v>
      </c>
      <c r="T77" s="342"/>
      <c r="U77" s="378">
        <f>O77</f>
        <v>11.166666666666666</v>
      </c>
      <c r="V77" s="394">
        <f>U77</f>
        <v>11.166666666666666</v>
      </c>
      <c r="W77" s="394">
        <f t="shared" ref="W77:W82" si="165">V77</f>
        <v>11.166666666666666</v>
      </c>
      <c r="X77" s="395">
        <f t="shared" ref="X77:X82" si="166">W77</f>
        <v>11.166666666666666</v>
      </c>
      <c r="Y77" s="154"/>
      <c r="Z77" s="154"/>
      <c r="AA77" s="378">
        <f>U77</f>
        <v>11.166666666666666</v>
      </c>
      <c r="AB77" s="394">
        <f>AA77</f>
        <v>11.166666666666666</v>
      </c>
      <c r="AC77" s="394">
        <f t="shared" ref="AC77:AC82" si="167">AB77</f>
        <v>11.166666666666666</v>
      </c>
      <c r="AD77" s="395">
        <f t="shared" ref="AD77:AD82" si="168">AC77</f>
        <v>11.166666666666666</v>
      </c>
      <c r="AE77" s="154"/>
      <c r="AF77" s="299"/>
      <c r="AG77" s="2"/>
      <c r="AH77" s="2"/>
      <c r="AI77" s="2"/>
      <c r="AJ77" s="2"/>
      <c r="AK77" s="2"/>
      <c r="AL77" s="2"/>
    </row>
    <row r="78" spans="1:62" hidden="1" outlineLevel="1">
      <c r="A78" s="39" t="s">
        <v>62</v>
      </c>
      <c r="C78" s="379">
        <f t="shared" si="160"/>
        <v>7.7666666666666666</v>
      </c>
      <c r="D78" s="429">
        <f t="shared" si="161"/>
        <v>7.7666666666666666</v>
      </c>
      <c r="E78" s="429">
        <f t="shared" ref="E78:F78" si="169">D78</f>
        <v>7.7666666666666666</v>
      </c>
      <c r="F78" s="433">
        <f t="shared" si="169"/>
        <v>7.7666666666666666</v>
      </c>
      <c r="G78" s="511"/>
      <c r="H78" s="518"/>
      <c r="I78" s="379">
        <f t="shared" ref="I78:I82" si="170">C78+1</f>
        <v>8.7666666666666657</v>
      </c>
      <c r="J78" s="290">
        <f t="shared" ref="J78:L78" si="171">I78</f>
        <v>8.7666666666666657</v>
      </c>
      <c r="K78" s="290">
        <f t="shared" si="171"/>
        <v>8.7666666666666657</v>
      </c>
      <c r="L78" s="396">
        <f t="shared" si="171"/>
        <v>8.7666666666666657</v>
      </c>
      <c r="O78" s="379">
        <f t="shared" ref="O78:O82" si="172">I78</f>
        <v>8.7666666666666657</v>
      </c>
      <c r="P78" s="290">
        <f t="shared" ref="P78:R82" si="173">O78</f>
        <v>8.7666666666666657</v>
      </c>
      <c r="Q78" s="290">
        <f t="shared" si="173"/>
        <v>8.7666666666666657</v>
      </c>
      <c r="R78" s="396">
        <f t="shared" si="173"/>
        <v>8.7666666666666657</v>
      </c>
      <c r="T78" s="342"/>
      <c r="U78" s="379">
        <f t="shared" ref="U78:U82" si="174">O78</f>
        <v>8.7666666666666657</v>
      </c>
      <c r="V78" s="290">
        <f t="shared" ref="V78:V82" si="175">U78</f>
        <v>8.7666666666666657</v>
      </c>
      <c r="W78" s="290">
        <f t="shared" si="165"/>
        <v>8.7666666666666657</v>
      </c>
      <c r="X78" s="396">
        <f t="shared" si="166"/>
        <v>8.7666666666666657</v>
      </c>
      <c r="Y78" s="154"/>
      <c r="Z78" s="154"/>
      <c r="AA78" s="379">
        <f t="shared" ref="AA78:AA82" si="176">U78</f>
        <v>8.7666666666666657</v>
      </c>
      <c r="AB78" s="290">
        <f t="shared" ref="AB78:AB82" si="177">AA78</f>
        <v>8.7666666666666657</v>
      </c>
      <c r="AC78" s="290">
        <f t="shared" si="167"/>
        <v>8.7666666666666657</v>
      </c>
      <c r="AD78" s="396">
        <f t="shared" si="168"/>
        <v>8.7666666666666657</v>
      </c>
      <c r="AE78" s="154"/>
      <c r="AF78" s="299"/>
      <c r="AG78" s="2"/>
      <c r="AH78" s="2"/>
      <c r="AI78" s="2"/>
      <c r="AJ78" s="2"/>
      <c r="AK78" s="2"/>
      <c r="AL78" s="2"/>
    </row>
    <row r="79" spans="1:62" hidden="1" outlineLevel="1">
      <c r="A79" s="39" t="s">
        <v>65</v>
      </c>
      <c r="C79" s="379">
        <f t="shared" si="160"/>
        <v>5.7666666666666666</v>
      </c>
      <c r="D79" s="429">
        <f t="shared" si="161"/>
        <v>5.7666666666666666</v>
      </c>
      <c r="E79" s="429">
        <f t="shared" ref="E79:F79" si="178">D79</f>
        <v>5.7666666666666666</v>
      </c>
      <c r="F79" s="433">
        <f t="shared" si="178"/>
        <v>5.7666666666666666</v>
      </c>
      <c r="G79" s="511"/>
      <c r="H79" s="518"/>
      <c r="I79" s="379">
        <f t="shared" si="170"/>
        <v>6.7666666666666666</v>
      </c>
      <c r="J79" s="290">
        <f t="shared" ref="J79:L79" si="179">I79</f>
        <v>6.7666666666666666</v>
      </c>
      <c r="K79" s="290">
        <f t="shared" si="179"/>
        <v>6.7666666666666666</v>
      </c>
      <c r="L79" s="396">
        <f t="shared" si="179"/>
        <v>6.7666666666666666</v>
      </c>
      <c r="O79" s="379">
        <f t="shared" si="172"/>
        <v>6.7666666666666666</v>
      </c>
      <c r="P79" s="290">
        <f t="shared" si="173"/>
        <v>6.7666666666666666</v>
      </c>
      <c r="Q79" s="290">
        <f t="shared" si="173"/>
        <v>6.7666666666666666</v>
      </c>
      <c r="R79" s="396">
        <f t="shared" si="173"/>
        <v>6.7666666666666666</v>
      </c>
      <c r="T79" s="342"/>
      <c r="U79" s="379">
        <f t="shared" si="174"/>
        <v>6.7666666666666666</v>
      </c>
      <c r="V79" s="290">
        <f t="shared" si="175"/>
        <v>6.7666666666666666</v>
      </c>
      <c r="W79" s="290">
        <f t="shared" si="165"/>
        <v>6.7666666666666666</v>
      </c>
      <c r="X79" s="396">
        <f t="shared" si="166"/>
        <v>6.7666666666666666</v>
      </c>
      <c r="Y79" s="154"/>
      <c r="Z79" s="154"/>
      <c r="AA79" s="379">
        <f t="shared" si="176"/>
        <v>6.7666666666666666</v>
      </c>
      <c r="AB79" s="290">
        <f t="shared" si="177"/>
        <v>6.7666666666666666</v>
      </c>
      <c r="AC79" s="290">
        <f t="shared" si="167"/>
        <v>6.7666666666666666</v>
      </c>
      <c r="AD79" s="396">
        <f t="shared" si="168"/>
        <v>6.7666666666666666</v>
      </c>
      <c r="AE79" s="154"/>
      <c r="AF79" s="299"/>
      <c r="AG79" s="2"/>
      <c r="AH79" s="2"/>
      <c r="AI79" s="2"/>
      <c r="AJ79" s="2"/>
      <c r="AK79" s="2"/>
      <c r="AL79" s="2"/>
    </row>
    <row r="80" spans="1:62" hidden="1" outlineLevel="1">
      <c r="A80" s="39" t="s">
        <v>66</v>
      </c>
      <c r="C80" s="379">
        <f t="shared" si="160"/>
        <v>4.9666666666666668</v>
      </c>
      <c r="D80" s="429">
        <f t="shared" si="161"/>
        <v>4.9666666666666668</v>
      </c>
      <c r="E80" s="429">
        <f t="shared" ref="E80:F80" si="180">D80</f>
        <v>4.9666666666666668</v>
      </c>
      <c r="F80" s="433">
        <f t="shared" si="180"/>
        <v>4.9666666666666668</v>
      </c>
      <c r="G80" s="511"/>
      <c r="H80" s="518"/>
      <c r="I80" s="379">
        <f t="shared" si="170"/>
        <v>5.9666666666666668</v>
      </c>
      <c r="J80" s="290">
        <f t="shared" ref="J80:L80" si="181">I80</f>
        <v>5.9666666666666668</v>
      </c>
      <c r="K80" s="290">
        <f t="shared" si="181"/>
        <v>5.9666666666666668</v>
      </c>
      <c r="L80" s="396">
        <f t="shared" si="181"/>
        <v>5.9666666666666668</v>
      </c>
      <c r="O80" s="379">
        <f t="shared" si="172"/>
        <v>5.9666666666666668</v>
      </c>
      <c r="P80" s="290">
        <f t="shared" si="173"/>
        <v>5.9666666666666668</v>
      </c>
      <c r="Q80" s="290">
        <f t="shared" si="173"/>
        <v>5.9666666666666668</v>
      </c>
      <c r="R80" s="396">
        <f t="shared" si="173"/>
        <v>5.9666666666666668</v>
      </c>
      <c r="T80" s="342"/>
      <c r="U80" s="379">
        <f t="shared" si="174"/>
        <v>5.9666666666666668</v>
      </c>
      <c r="V80" s="290">
        <f t="shared" si="175"/>
        <v>5.9666666666666668</v>
      </c>
      <c r="W80" s="290">
        <f t="shared" si="165"/>
        <v>5.9666666666666668</v>
      </c>
      <c r="X80" s="396">
        <f t="shared" si="166"/>
        <v>5.9666666666666668</v>
      </c>
      <c r="Y80" s="154"/>
      <c r="Z80" s="154"/>
      <c r="AA80" s="379">
        <f t="shared" si="176"/>
        <v>5.9666666666666668</v>
      </c>
      <c r="AB80" s="290">
        <f t="shared" si="177"/>
        <v>5.9666666666666668</v>
      </c>
      <c r="AC80" s="290">
        <f t="shared" si="167"/>
        <v>5.9666666666666668</v>
      </c>
      <c r="AD80" s="396">
        <f t="shared" si="168"/>
        <v>5.9666666666666668</v>
      </c>
      <c r="AE80" s="154"/>
      <c r="AF80" s="299"/>
      <c r="AG80" s="2"/>
      <c r="AH80" s="2"/>
      <c r="AI80" s="2"/>
      <c r="AJ80" s="2"/>
      <c r="AK80" s="2"/>
      <c r="AL80" s="2"/>
    </row>
    <row r="81" spans="1:62" hidden="1" outlineLevel="1">
      <c r="A81" s="39" t="s">
        <v>328</v>
      </c>
      <c r="C81" s="379">
        <f t="shared" si="160"/>
        <v>4.3</v>
      </c>
      <c r="D81" s="429">
        <f t="shared" si="161"/>
        <v>4.3</v>
      </c>
      <c r="E81" s="429">
        <f t="shared" ref="E81:F81" si="182">D81</f>
        <v>4.3</v>
      </c>
      <c r="F81" s="433">
        <f t="shared" si="182"/>
        <v>4.3</v>
      </c>
      <c r="G81" s="511"/>
      <c r="H81" s="518"/>
      <c r="I81" s="379">
        <f t="shared" si="170"/>
        <v>5.3</v>
      </c>
      <c r="J81" s="290">
        <f t="shared" ref="J81:L81" si="183">I81</f>
        <v>5.3</v>
      </c>
      <c r="K81" s="290">
        <f t="shared" si="183"/>
        <v>5.3</v>
      </c>
      <c r="L81" s="396">
        <f t="shared" si="183"/>
        <v>5.3</v>
      </c>
      <c r="O81" s="379">
        <f t="shared" si="172"/>
        <v>5.3</v>
      </c>
      <c r="P81" s="290">
        <f t="shared" si="173"/>
        <v>5.3</v>
      </c>
      <c r="Q81" s="290">
        <f t="shared" si="173"/>
        <v>5.3</v>
      </c>
      <c r="R81" s="396">
        <f t="shared" si="173"/>
        <v>5.3</v>
      </c>
      <c r="T81" s="342"/>
      <c r="U81" s="379">
        <f t="shared" si="174"/>
        <v>5.3</v>
      </c>
      <c r="V81" s="290">
        <f t="shared" si="175"/>
        <v>5.3</v>
      </c>
      <c r="W81" s="290">
        <f t="shared" si="165"/>
        <v>5.3</v>
      </c>
      <c r="X81" s="396">
        <f t="shared" si="166"/>
        <v>5.3</v>
      </c>
      <c r="Y81" s="154"/>
      <c r="Z81" s="154"/>
      <c r="AA81" s="379">
        <f t="shared" si="176"/>
        <v>5.3</v>
      </c>
      <c r="AB81" s="290">
        <f t="shared" si="177"/>
        <v>5.3</v>
      </c>
      <c r="AC81" s="290">
        <f t="shared" si="167"/>
        <v>5.3</v>
      </c>
      <c r="AD81" s="396">
        <f t="shared" si="168"/>
        <v>5.3</v>
      </c>
      <c r="AE81" s="154"/>
      <c r="AF81" s="299"/>
      <c r="AG81" s="2"/>
      <c r="AH81" s="2"/>
      <c r="AI81" s="2"/>
      <c r="AJ81" s="2"/>
      <c r="AK81" s="2"/>
      <c r="AL81" s="2"/>
    </row>
    <row r="82" spans="1:62" hidden="1" outlineLevel="1">
      <c r="A82" s="467" t="s">
        <v>329</v>
      </c>
      <c r="C82" s="380">
        <f t="shared" si="160"/>
        <v>3.2333333333333334</v>
      </c>
      <c r="D82" s="434">
        <f t="shared" si="161"/>
        <v>3.2333333333333334</v>
      </c>
      <c r="E82" s="434">
        <f t="shared" ref="E82:F82" si="184">D82</f>
        <v>3.2333333333333334</v>
      </c>
      <c r="F82" s="435">
        <f t="shared" si="184"/>
        <v>3.2333333333333334</v>
      </c>
      <c r="G82" s="511"/>
      <c r="H82" s="518"/>
      <c r="I82" s="380">
        <f t="shared" si="170"/>
        <v>4.2333333333333334</v>
      </c>
      <c r="J82" s="397">
        <f t="shared" ref="J82:L82" si="185">I82</f>
        <v>4.2333333333333334</v>
      </c>
      <c r="K82" s="397">
        <f t="shared" si="185"/>
        <v>4.2333333333333334</v>
      </c>
      <c r="L82" s="398">
        <f t="shared" si="185"/>
        <v>4.2333333333333334</v>
      </c>
      <c r="O82" s="380">
        <f t="shared" si="172"/>
        <v>4.2333333333333334</v>
      </c>
      <c r="P82" s="397">
        <f t="shared" si="173"/>
        <v>4.2333333333333334</v>
      </c>
      <c r="Q82" s="397">
        <f t="shared" si="173"/>
        <v>4.2333333333333334</v>
      </c>
      <c r="R82" s="398">
        <f t="shared" si="173"/>
        <v>4.2333333333333334</v>
      </c>
      <c r="T82" s="342"/>
      <c r="U82" s="380">
        <f t="shared" si="174"/>
        <v>4.2333333333333334</v>
      </c>
      <c r="V82" s="397">
        <f t="shared" si="175"/>
        <v>4.2333333333333334</v>
      </c>
      <c r="W82" s="397">
        <f t="shared" si="165"/>
        <v>4.2333333333333334</v>
      </c>
      <c r="X82" s="398">
        <f t="shared" si="166"/>
        <v>4.2333333333333334</v>
      </c>
      <c r="Y82" s="154"/>
      <c r="Z82" s="154"/>
      <c r="AA82" s="380">
        <f t="shared" si="176"/>
        <v>4.2333333333333334</v>
      </c>
      <c r="AB82" s="397">
        <f t="shared" si="177"/>
        <v>4.2333333333333334</v>
      </c>
      <c r="AC82" s="397">
        <f t="shared" si="167"/>
        <v>4.2333333333333334</v>
      </c>
      <c r="AD82" s="398">
        <f t="shared" si="168"/>
        <v>4.2333333333333334</v>
      </c>
      <c r="AE82" s="154"/>
      <c r="AF82" s="299"/>
      <c r="AG82" s="2"/>
      <c r="AH82" s="2"/>
      <c r="AI82" s="2"/>
      <c r="AJ82" s="2"/>
      <c r="AK82" s="2"/>
      <c r="AL82" s="2"/>
    </row>
    <row r="83" spans="1:62" hidden="1" outlineLevel="1">
      <c r="A83" s="2"/>
      <c r="C83" s="290"/>
      <c r="D83" s="429"/>
      <c r="E83" s="429"/>
      <c r="F83" s="429"/>
      <c r="G83" s="511"/>
      <c r="H83" s="518"/>
      <c r="I83" s="169"/>
      <c r="J83" s="169"/>
      <c r="K83" s="169"/>
      <c r="L83" s="169"/>
      <c r="O83" s="169"/>
      <c r="P83" s="169"/>
      <c r="Q83" s="169"/>
      <c r="R83" s="169"/>
      <c r="T83" s="342"/>
      <c r="U83" s="154"/>
      <c r="V83" s="154"/>
      <c r="W83" s="154"/>
      <c r="X83" s="154"/>
      <c r="Y83" s="154"/>
      <c r="Z83" s="154"/>
      <c r="AA83" s="154"/>
      <c r="AB83" s="154"/>
      <c r="AC83" s="154"/>
      <c r="AD83" s="154"/>
      <c r="AE83" s="154"/>
      <c r="AF83" s="299"/>
      <c r="AG83" s="2"/>
      <c r="AH83" s="2"/>
      <c r="AI83" s="2"/>
      <c r="AJ83" s="2"/>
      <c r="AK83" s="2"/>
      <c r="AL83" s="2"/>
    </row>
    <row r="84" spans="1:62" s="425" customFormat="1" hidden="1" outlineLevel="1">
      <c r="A84" s="452" t="s">
        <v>346</v>
      </c>
      <c r="B84" s="502"/>
      <c r="C84" s="354"/>
      <c r="D84" s="354"/>
      <c r="E84" s="354"/>
      <c r="F84" s="354"/>
      <c r="G84" s="512"/>
      <c r="H84" s="517"/>
      <c r="I84" s="354"/>
      <c r="J84" s="354"/>
      <c r="K84" s="354"/>
      <c r="L84" s="354"/>
      <c r="M84" s="503"/>
      <c r="N84" s="529"/>
      <c r="O84" s="354"/>
      <c r="P84" s="354"/>
      <c r="Q84" s="354"/>
      <c r="R84" s="354"/>
      <c r="S84" s="43"/>
      <c r="T84" s="561"/>
      <c r="U84" s="633"/>
      <c r="V84" s="633"/>
      <c r="W84" s="633"/>
      <c r="X84" s="633"/>
      <c r="Y84" s="633"/>
      <c r="Z84" s="633"/>
      <c r="AA84" s="633"/>
      <c r="AB84" s="633"/>
      <c r="AC84" s="633"/>
      <c r="AD84" s="633"/>
      <c r="AE84" s="633"/>
      <c r="AF84" s="562"/>
      <c r="AG84" s="356"/>
      <c r="AH84" s="356"/>
      <c r="AI84" s="356"/>
      <c r="AJ84" s="356"/>
      <c r="AK84" s="356"/>
      <c r="AL84" s="356"/>
      <c r="AM84" s="43"/>
      <c r="AN84" s="43"/>
      <c r="AO84" s="43"/>
      <c r="AP84" s="43"/>
      <c r="AQ84" s="43"/>
      <c r="AR84" s="43"/>
      <c r="AY84" s="43"/>
      <c r="AZ84" s="43"/>
      <c r="BA84" s="43"/>
      <c r="BB84" s="43"/>
      <c r="BC84" s="43"/>
      <c r="BD84" s="43"/>
      <c r="BE84" s="43"/>
      <c r="BF84" s="43"/>
      <c r="BG84" s="43"/>
      <c r="BH84" s="43"/>
      <c r="BI84" s="43"/>
      <c r="BJ84" s="43"/>
    </row>
    <row r="85" spans="1:62" hidden="1" outlineLevel="1">
      <c r="A85" s="496" t="s">
        <v>327</v>
      </c>
      <c r="C85" s="378">
        <f>'MPS др метрики'!E110</f>
        <v>10.166666666666666</v>
      </c>
      <c r="D85" s="431">
        <f t="shared" ref="D85:D90" si="186">C85</f>
        <v>10.166666666666666</v>
      </c>
      <c r="E85" s="431">
        <f t="shared" ref="E85:F85" si="187">D85</f>
        <v>10.166666666666666</v>
      </c>
      <c r="F85" s="431">
        <f t="shared" si="187"/>
        <v>10.166666666666666</v>
      </c>
      <c r="G85" s="511"/>
      <c r="H85" s="518"/>
      <c r="I85" s="378">
        <f t="shared" ref="I85:L90" si="188">C85</f>
        <v>10.166666666666666</v>
      </c>
      <c r="J85" s="394">
        <f t="shared" si="188"/>
        <v>10.166666666666666</v>
      </c>
      <c r="K85" s="394">
        <f t="shared" si="188"/>
        <v>10.166666666666666</v>
      </c>
      <c r="L85" s="395">
        <f t="shared" si="188"/>
        <v>10.166666666666666</v>
      </c>
      <c r="O85" s="378">
        <f t="shared" ref="O85:R90" si="189">I85</f>
        <v>10.166666666666666</v>
      </c>
      <c r="P85" s="394">
        <f t="shared" si="189"/>
        <v>10.166666666666666</v>
      </c>
      <c r="Q85" s="394">
        <f t="shared" si="189"/>
        <v>10.166666666666666</v>
      </c>
      <c r="R85" s="395">
        <f t="shared" si="189"/>
        <v>10.166666666666666</v>
      </c>
      <c r="T85" s="342"/>
      <c r="U85" s="378">
        <f t="shared" ref="U85:U90" si="190">O85</f>
        <v>10.166666666666666</v>
      </c>
      <c r="V85" s="394">
        <f t="shared" ref="V85:V90" si="191">P85</f>
        <v>10.166666666666666</v>
      </c>
      <c r="W85" s="394">
        <f t="shared" ref="W85:W90" si="192">Q85</f>
        <v>10.166666666666666</v>
      </c>
      <c r="X85" s="395">
        <f t="shared" ref="X85:X90" si="193">R85</f>
        <v>10.166666666666666</v>
      </c>
      <c r="Y85" s="154"/>
      <c r="Z85" s="154"/>
      <c r="AA85" s="378">
        <f t="shared" ref="AA85:AA90" si="194">U85</f>
        <v>10.166666666666666</v>
      </c>
      <c r="AB85" s="394">
        <f t="shared" ref="AB85:AB90" si="195">V85</f>
        <v>10.166666666666666</v>
      </c>
      <c r="AC85" s="394">
        <f t="shared" ref="AC85:AC90" si="196">W85</f>
        <v>10.166666666666666</v>
      </c>
      <c r="AD85" s="395">
        <f t="shared" ref="AD85:AD90" si="197">X85</f>
        <v>10.166666666666666</v>
      </c>
      <c r="AE85" s="154"/>
      <c r="AF85" s="299"/>
      <c r="AG85" s="2"/>
      <c r="AH85" s="2"/>
      <c r="AI85" s="2"/>
      <c r="AJ85" s="2"/>
      <c r="AK85" s="2"/>
      <c r="AL85" s="2"/>
    </row>
    <row r="86" spans="1:62" hidden="1" outlineLevel="1">
      <c r="A86" s="39" t="s">
        <v>62</v>
      </c>
      <c r="C86" s="379">
        <f>'MPS др метрики'!E111</f>
        <v>7.7666666666666666</v>
      </c>
      <c r="D86" s="429">
        <f t="shared" si="186"/>
        <v>7.7666666666666666</v>
      </c>
      <c r="E86" s="429">
        <f t="shared" ref="E86:F90" si="198">D86</f>
        <v>7.7666666666666666</v>
      </c>
      <c r="F86" s="429">
        <f t="shared" si="198"/>
        <v>7.7666666666666666</v>
      </c>
      <c r="G86" s="511"/>
      <c r="H86" s="518"/>
      <c r="I86" s="379">
        <f t="shared" si="188"/>
        <v>7.7666666666666666</v>
      </c>
      <c r="J86" s="290">
        <f t="shared" si="188"/>
        <v>7.7666666666666666</v>
      </c>
      <c r="K86" s="290">
        <f t="shared" si="188"/>
        <v>7.7666666666666666</v>
      </c>
      <c r="L86" s="396">
        <f t="shared" si="188"/>
        <v>7.7666666666666666</v>
      </c>
      <c r="O86" s="379">
        <f t="shared" si="189"/>
        <v>7.7666666666666666</v>
      </c>
      <c r="P86" s="290">
        <f t="shared" si="189"/>
        <v>7.7666666666666666</v>
      </c>
      <c r="Q86" s="290">
        <f t="shared" si="189"/>
        <v>7.7666666666666666</v>
      </c>
      <c r="R86" s="396">
        <f t="shared" si="189"/>
        <v>7.7666666666666666</v>
      </c>
      <c r="T86" s="342"/>
      <c r="U86" s="379">
        <f t="shared" si="190"/>
        <v>7.7666666666666666</v>
      </c>
      <c r="V86" s="290">
        <f t="shared" si="191"/>
        <v>7.7666666666666666</v>
      </c>
      <c r="W86" s="290">
        <f t="shared" si="192"/>
        <v>7.7666666666666666</v>
      </c>
      <c r="X86" s="396">
        <f t="shared" si="193"/>
        <v>7.7666666666666666</v>
      </c>
      <c r="Y86" s="154"/>
      <c r="Z86" s="154"/>
      <c r="AA86" s="379">
        <f t="shared" si="194"/>
        <v>7.7666666666666666</v>
      </c>
      <c r="AB86" s="290">
        <f t="shared" si="195"/>
        <v>7.7666666666666666</v>
      </c>
      <c r="AC86" s="290">
        <f t="shared" si="196"/>
        <v>7.7666666666666666</v>
      </c>
      <c r="AD86" s="396">
        <f t="shared" si="197"/>
        <v>7.7666666666666666</v>
      </c>
      <c r="AE86" s="154"/>
      <c r="AF86" s="299"/>
      <c r="AG86" s="2"/>
      <c r="AH86" s="2"/>
      <c r="AI86" s="2"/>
      <c r="AJ86" s="2"/>
      <c r="AK86" s="2"/>
      <c r="AL86" s="2"/>
    </row>
    <row r="87" spans="1:62" hidden="1" outlineLevel="1">
      <c r="A87" s="39" t="s">
        <v>65</v>
      </c>
      <c r="C87" s="379">
        <f>'MPS др метрики'!E112</f>
        <v>5.7666666666666666</v>
      </c>
      <c r="D87" s="429">
        <f t="shared" si="186"/>
        <v>5.7666666666666666</v>
      </c>
      <c r="E87" s="429">
        <f t="shared" si="198"/>
        <v>5.7666666666666666</v>
      </c>
      <c r="F87" s="429">
        <f t="shared" si="198"/>
        <v>5.7666666666666666</v>
      </c>
      <c r="G87" s="511"/>
      <c r="H87" s="518"/>
      <c r="I87" s="379">
        <f t="shared" si="188"/>
        <v>5.7666666666666666</v>
      </c>
      <c r="J87" s="290">
        <f t="shared" si="188"/>
        <v>5.7666666666666666</v>
      </c>
      <c r="K87" s="290">
        <f t="shared" si="188"/>
        <v>5.7666666666666666</v>
      </c>
      <c r="L87" s="396">
        <f t="shared" si="188"/>
        <v>5.7666666666666666</v>
      </c>
      <c r="O87" s="379">
        <f t="shared" si="189"/>
        <v>5.7666666666666666</v>
      </c>
      <c r="P87" s="290">
        <f t="shared" si="189"/>
        <v>5.7666666666666666</v>
      </c>
      <c r="Q87" s="290">
        <f t="shared" si="189"/>
        <v>5.7666666666666666</v>
      </c>
      <c r="R87" s="396">
        <f t="shared" si="189"/>
        <v>5.7666666666666666</v>
      </c>
      <c r="T87" s="342"/>
      <c r="U87" s="379">
        <f t="shared" si="190"/>
        <v>5.7666666666666666</v>
      </c>
      <c r="V87" s="290">
        <f t="shared" si="191"/>
        <v>5.7666666666666666</v>
      </c>
      <c r="W87" s="290">
        <f t="shared" si="192"/>
        <v>5.7666666666666666</v>
      </c>
      <c r="X87" s="396">
        <f t="shared" si="193"/>
        <v>5.7666666666666666</v>
      </c>
      <c r="Y87" s="154"/>
      <c r="Z87" s="154"/>
      <c r="AA87" s="379">
        <f t="shared" si="194"/>
        <v>5.7666666666666666</v>
      </c>
      <c r="AB87" s="290">
        <f t="shared" si="195"/>
        <v>5.7666666666666666</v>
      </c>
      <c r="AC87" s="290">
        <f t="shared" si="196"/>
        <v>5.7666666666666666</v>
      </c>
      <c r="AD87" s="396">
        <f t="shared" si="197"/>
        <v>5.7666666666666666</v>
      </c>
      <c r="AE87" s="154"/>
      <c r="AF87" s="299"/>
      <c r="AG87" s="2"/>
      <c r="AH87" s="2"/>
      <c r="AI87" s="2"/>
      <c r="AJ87" s="2"/>
      <c r="AK87" s="2"/>
      <c r="AL87" s="2"/>
    </row>
    <row r="88" spans="1:62" hidden="1" outlineLevel="1">
      <c r="A88" s="39" t="s">
        <v>66</v>
      </c>
      <c r="C88" s="379">
        <f>'MPS др метрики'!E113</f>
        <v>4.9666666666666668</v>
      </c>
      <c r="D88" s="429">
        <f t="shared" si="186"/>
        <v>4.9666666666666668</v>
      </c>
      <c r="E88" s="429">
        <f t="shared" si="198"/>
        <v>4.9666666666666668</v>
      </c>
      <c r="F88" s="429">
        <f t="shared" si="198"/>
        <v>4.9666666666666668</v>
      </c>
      <c r="G88" s="511"/>
      <c r="H88" s="518"/>
      <c r="I88" s="379">
        <f t="shared" si="188"/>
        <v>4.9666666666666668</v>
      </c>
      <c r="J88" s="290">
        <f t="shared" si="188"/>
        <v>4.9666666666666668</v>
      </c>
      <c r="K88" s="290">
        <f t="shared" si="188"/>
        <v>4.9666666666666668</v>
      </c>
      <c r="L88" s="396">
        <f t="shared" si="188"/>
        <v>4.9666666666666668</v>
      </c>
      <c r="O88" s="379">
        <f t="shared" si="189"/>
        <v>4.9666666666666668</v>
      </c>
      <c r="P88" s="290">
        <f t="shared" si="189"/>
        <v>4.9666666666666668</v>
      </c>
      <c r="Q88" s="290">
        <f t="shared" si="189"/>
        <v>4.9666666666666668</v>
      </c>
      <c r="R88" s="396">
        <f t="shared" si="189"/>
        <v>4.9666666666666668</v>
      </c>
      <c r="T88" s="342"/>
      <c r="U88" s="379">
        <f t="shared" si="190"/>
        <v>4.9666666666666668</v>
      </c>
      <c r="V88" s="290">
        <f t="shared" si="191"/>
        <v>4.9666666666666668</v>
      </c>
      <c r="W88" s="290">
        <f t="shared" si="192"/>
        <v>4.9666666666666668</v>
      </c>
      <c r="X88" s="396">
        <f t="shared" si="193"/>
        <v>4.9666666666666668</v>
      </c>
      <c r="Y88" s="154"/>
      <c r="Z88" s="154"/>
      <c r="AA88" s="379">
        <f t="shared" si="194"/>
        <v>4.9666666666666668</v>
      </c>
      <c r="AB88" s="290">
        <f t="shared" si="195"/>
        <v>4.9666666666666668</v>
      </c>
      <c r="AC88" s="290">
        <f t="shared" si="196"/>
        <v>4.9666666666666668</v>
      </c>
      <c r="AD88" s="396">
        <f t="shared" si="197"/>
        <v>4.9666666666666668</v>
      </c>
      <c r="AE88" s="154"/>
      <c r="AF88" s="299"/>
      <c r="AG88" s="2"/>
      <c r="AH88" s="2"/>
      <c r="AI88" s="2"/>
      <c r="AJ88" s="2"/>
      <c r="AK88" s="2"/>
      <c r="AL88" s="2"/>
    </row>
    <row r="89" spans="1:62" hidden="1" outlineLevel="1">
      <c r="A89" s="39" t="s">
        <v>328</v>
      </c>
      <c r="C89" s="379">
        <f>'MPS др метрики'!E114</f>
        <v>4.3</v>
      </c>
      <c r="D89" s="429">
        <f t="shared" si="186"/>
        <v>4.3</v>
      </c>
      <c r="E89" s="429">
        <f t="shared" si="198"/>
        <v>4.3</v>
      </c>
      <c r="F89" s="429">
        <f t="shared" si="198"/>
        <v>4.3</v>
      </c>
      <c r="G89" s="511"/>
      <c r="H89" s="518"/>
      <c r="I89" s="379">
        <f t="shared" si="188"/>
        <v>4.3</v>
      </c>
      <c r="J89" s="290">
        <f t="shared" si="188"/>
        <v>4.3</v>
      </c>
      <c r="K89" s="290">
        <f t="shared" si="188"/>
        <v>4.3</v>
      </c>
      <c r="L89" s="396">
        <f t="shared" si="188"/>
        <v>4.3</v>
      </c>
      <c r="O89" s="379">
        <f t="shared" si="189"/>
        <v>4.3</v>
      </c>
      <c r="P89" s="290">
        <f t="shared" si="189"/>
        <v>4.3</v>
      </c>
      <c r="Q89" s="290">
        <f t="shared" si="189"/>
        <v>4.3</v>
      </c>
      <c r="R89" s="396">
        <f t="shared" si="189"/>
        <v>4.3</v>
      </c>
      <c r="T89" s="342"/>
      <c r="U89" s="379">
        <f t="shared" si="190"/>
        <v>4.3</v>
      </c>
      <c r="V89" s="290">
        <f t="shared" si="191"/>
        <v>4.3</v>
      </c>
      <c r="W89" s="290">
        <f t="shared" si="192"/>
        <v>4.3</v>
      </c>
      <c r="X89" s="396">
        <f t="shared" si="193"/>
        <v>4.3</v>
      </c>
      <c r="Y89" s="154"/>
      <c r="Z89" s="154"/>
      <c r="AA89" s="379">
        <f t="shared" si="194"/>
        <v>4.3</v>
      </c>
      <c r="AB89" s="290">
        <f t="shared" si="195"/>
        <v>4.3</v>
      </c>
      <c r="AC89" s="290">
        <f t="shared" si="196"/>
        <v>4.3</v>
      </c>
      <c r="AD89" s="396">
        <f t="shared" si="197"/>
        <v>4.3</v>
      </c>
      <c r="AE89" s="154"/>
      <c r="AF89" s="299"/>
      <c r="AG89" s="2"/>
      <c r="AH89" s="2"/>
      <c r="AI89" s="2"/>
      <c r="AJ89" s="2"/>
      <c r="AK89" s="2"/>
      <c r="AL89" s="2"/>
    </row>
    <row r="90" spans="1:62" hidden="1" outlineLevel="1">
      <c r="A90" s="467" t="s">
        <v>329</v>
      </c>
      <c r="C90" s="380">
        <f>'MPS др метрики'!E115</f>
        <v>3.2333333333333334</v>
      </c>
      <c r="D90" s="434">
        <f t="shared" si="186"/>
        <v>3.2333333333333334</v>
      </c>
      <c r="E90" s="434">
        <f t="shared" si="198"/>
        <v>3.2333333333333334</v>
      </c>
      <c r="F90" s="434">
        <f t="shared" si="198"/>
        <v>3.2333333333333334</v>
      </c>
      <c r="G90" s="511"/>
      <c r="H90" s="518"/>
      <c r="I90" s="380">
        <f t="shared" si="188"/>
        <v>3.2333333333333334</v>
      </c>
      <c r="J90" s="397">
        <f t="shared" si="188"/>
        <v>3.2333333333333334</v>
      </c>
      <c r="K90" s="397">
        <f t="shared" si="188"/>
        <v>3.2333333333333334</v>
      </c>
      <c r="L90" s="398">
        <f t="shared" si="188"/>
        <v>3.2333333333333334</v>
      </c>
      <c r="O90" s="380">
        <f t="shared" si="189"/>
        <v>3.2333333333333334</v>
      </c>
      <c r="P90" s="397">
        <f t="shared" si="189"/>
        <v>3.2333333333333334</v>
      </c>
      <c r="Q90" s="397">
        <f t="shared" si="189"/>
        <v>3.2333333333333334</v>
      </c>
      <c r="R90" s="398">
        <f t="shared" si="189"/>
        <v>3.2333333333333334</v>
      </c>
      <c r="T90" s="342"/>
      <c r="U90" s="380">
        <f t="shared" si="190"/>
        <v>3.2333333333333334</v>
      </c>
      <c r="V90" s="397">
        <f t="shared" si="191"/>
        <v>3.2333333333333334</v>
      </c>
      <c r="W90" s="397">
        <f t="shared" si="192"/>
        <v>3.2333333333333334</v>
      </c>
      <c r="X90" s="398">
        <f t="shared" si="193"/>
        <v>3.2333333333333334</v>
      </c>
      <c r="Y90" s="154"/>
      <c r="Z90" s="154"/>
      <c r="AA90" s="380">
        <f t="shared" si="194"/>
        <v>3.2333333333333334</v>
      </c>
      <c r="AB90" s="397">
        <f t="shared" si="195"/>
        <v>3.2333333333333334</v>
      </c>
      <c r="AC90" s="397">
        <f t="shared" si="196"/>
        <v>3.2333333333333334</v>
      </c>
      <c r="AD90" s="398">
        <f t="shared" si="197"/>
        <v>3.2333333333333334</v>
      </c>
      <c r="AE90" s="154"/>
      <c r="AF90" s="299"/>
      <c r="AG90" s="2"/>
      <c r="AH90" s="2"/>
      <c r="AI90" s="2"/>
      <c r="AJ90" s="2"/>
      <c r="AK90" s="2"/>
      <c r="AL90" s="2"/>
    </row>
    <row r="91" spans="1:62" hidden="1" outlineLevel="1">
      <c r="A91" s="2"/>
      <c r="C91" s="169"/>
      <c r="D91" s="169"/>
      <c r="E91" s="169"/>
      <c r="F91" s="169"/>
      <c r="G91" s="407"/>
      <c r="H91" s="518"/>
      <c r="I91" s="169"/>
      <c r="J91" s="169"/>
      <c r="K91" s="169"/>
      <c r="L91" s="169"/>
      <c r="O91" s="169"/>
      <c r="P91" s="169"/>
      <c r="Q91" s="169"/>
      <c r="R91" s="169"/>
      <c r="T91" s="342"/>
      <c r="U91" s="154"/>
      <c r="V91" s="154"/>
      <c r="W91" s="154"/>
      <c r="X91" s="154"/>
      <c r="Y91" s="154"/>
      <c r="Z91" s="154"/>
      <c r="AA91" s="154"/>
      <c r="AB91" s="154"/>
      <c r="AC91" s="154"/>
      <c r="AD91" s="154"/>
      <c r="AE91" s="154"/>
      <c r="AF91" s="299"/>
      <c r="AG91" s="2"/>
      <c r="AH91" s="2"/>
      <c r="AI91" s="2"/>
      <c r="AJ91" s="2"/>
      <c r="AK91" s="2"/>
      <c r="AL91" s="2"/>
    </row>
    <row r="92" spans="1:62" hidden="1" outlineLevel="1">
      <c r="A92" s="436"/>
      <c r="C92" s="169"/>
      <c r="AG92" s="2"/>
      <c r="AH92" s="2"/>
      <c r="AI92" s="2"/>
      <c r="AJ92" s="2"/>
      <c r="AK92" s="2"/>
      <c r="AL92" s="2"/>
    </row>
    <row r="93" spans="1:62" s="418" customFormat="1" ht="20" hidden="1" outlineLevel="1">
      <c r="A93" s="417" t="s">
        <v>349</v>
      </c>
      <c r="B93" s="499"/>
      <c r="C93" s="419"/>
      <c r="D93" s="420"/>
      <c r="E93" s="420"/>
      <c r="F93" s="420"/>
      <c r="G93" s="500"/>
      <c r="H93" s="499"/>
      <c r="I93" s="421"/>
      <c r="J93" s="421"/>
      <c r="K93" s="421"/>
      <c r="L93" s="421"/>
      <c r="M93" s="531"/>
      <c r="N93" s="530"/>
      <c r="O93" s="420"/>
      <c r="P93" s="420"/>
      <c r="Q93" s="420"/>
      <c r="R93" s="420"/>
      <c r="S93" s="420"/>
      <c r="T93" s="559"/>
      <c r="U93" s="420"/>
      <c r="V93" s="420"/>
      <c r="W93" s="420"/>
      <c r="X93" s="420"/>
      <c r="Y93" s="420"/>
      <c r="Z93" s="420"/>
      <c r="AA93" s="420"/>
      <c r="AB93" s="420"/>
      <c r="AC93" s="420"/>
      <c r="AD93" s="420"/>
      <c r="AE93" s="420"/>
      <c r="AF93" s="500"/>
      <c r="AG93" s="417"/>
      <c r="AH93" s="417"/>
      <c r="AI93" s="417"/>
      <c r="AJ93" s="417"/>
      <c r="AK93" s="417"/>
      <c r="AL93" s="417"/>
      <c r="AM93" s="421"/>
      <c r="AN93" s="421"/>
      <c r="AO93" s="421"/>
      <c r="AP93" s="421"/>
      <c r="AQ93" s="421"/>
      <c r="AR93" s="421"/>
      <c r="AY93" s="421"/>
      <c r="AZ93" s="421"/>
      <c r="BA93" s="421"/>
      <c r="BB93" s="421"/>
      <c r="BC93" s="421"/>
      <c r="BD93" s="421"/>
      <c r="BE93" s="421"/>
      <c r="BF93" s="421"/>
      <c r="BG93" s="421"/>
      <c r="BH93" s="421"/>
      <c r="BI93" s="421"/>
      <c r="BJ93" s="421"/>
    </row>
    <row r="94" spans="1:62" ht="20" hidden="1" outlineLevel="1">
      <c r="A94" s="87" t="s">
        <v>350</v>
      </c>
      <c r="B94" s="513"/>
      <c r="C94" s="169">
        <v>60000</v>
      </c>
      <c r="D94" s="169">
        <f>C94</f>
        <v>60000</v>
      </c>
      <c r="E94" s="169">
        <f t="shared" ref="E94:F94" si="199">D94</f>
        <v>60000</v>
      </c>
      <c r="F94" s="169">
        <f t="shared" si="199"/>
        <v>60000</v>
      </c>
      <c r="G94" s="407"/>
      <c r="I94" s="169">
        <f t="shared" ref="I94:L95" si="200">C94</f>
        <v>60000</v>
      </c>
      <c r="J94" s="169">
        <f t="shared" si="200"/>
        <v>60000</v>
      </c>
      <c r="K94" s="169">
        <f t="shared" si="200"/>
        <v>60000</v>
      </c>
      <c r="L94" s="169">
        <f t="shared" si="200"/>
        <v>60000</v>
      </c>
      <c r="M94" s="407"/>
      <c r="N94" s="552"/>
      <c r="O94" s="169">
        <f>I94</f>
        <v>60000</v>
      </c>
      <c r="P94" s="169">
        <f t="shared" ref="P94:R98" si="201">J94</f>
        <v>60000</v>
      </c>
      <c r="Q94" s="169">
        <f t="shared" si="201"/>
        <v>60000</v>
      </c>
      <c r="R94" s="169">
        <f t="shared" si="201"/>
        <v>60000</v>
      </c>
      <c r="T94" s="552"/>
      <c r="U94" s="169">
        <f>O94</f>
        <v>60000</v>
      </c>
      <c r="V94" s="169">
        <f t="shared" ref="V94:V95" si="202">P94</f>
        <v>60000</v>
      </c>
      <c r="W94" s="169">
        <f t="shared" ref="W94:W95" si="203">Q94</f>
        <v>60000</v>
      </c>
      <c r="X94" s="169">
        <f t="shared" ref="X94:X95" si="204">R94</f>
        <v>60000</v>
      </c>
      <c r="Z94" s="552"/>
      <c r="AA94" s="169">
        <f>U94</f>
        <v>60000</v>
      </c>
      <c r="AB94" s="169">
        <f t="shared" ref="AB94:AB95" si="205">V94</f>
        <v>60000</v>
      </c>
      <c r="AC94" s="169">
        <f t="shared" ref="AC94:AC95" si="206">W94</f>
        <v>60000</v>
      </c>
      <c r="AD94" s="169">
        <f t="shared" ref="AD94:AD95" si="207">X94</f>
        <v>60000</v>
      </c>
      <c r="AG94" s="13"/>
      <c r="AH94" s="13"/>
      <c r="AI94" s="13"/>
      <c r="AJ94" s="13"/>
      <c r="AK94" s="13"/>
      <c r="AL94" s="13"/>
    </row>
    <row r="95" spans="1:62" ht="20" hidden="1" outlineLevel="1">
      <c r="A95" s="87" t="s">
        <v>351</v>
      </c>
      <c r="B95" s="513"/>
      <c r="C95" s="169">
        <v>40000</v>
      </c>
      <c r="D95" s="169">
        <f>C95</f>
        <v>40000</v>
      </c>
      <c r="E95" s="169">
        <f t="shared" ref="E95" si="208">D95</f>
        <v>40000</v>
      </c>
      <c r="F95" s="169">
        <f t="shared" ref="F95:F96" si="209">E95</f>
        <v>40000</v>
      </c>
      <c r="G95" s="407"/>
      <c r="I95" s="169">
        <f t="shared" si="200"/>
        <v>40000</v>
      </c>
      <c r="J95" s="169">
        <f t="shared" si="200"/>
        <v>40000</v>
      </c>
      <c r="K95" s="169">
        <f t="shared" si="200"/>
        <v>40000</v>
      </c>
      <c r="L95" s="169">
        <f t="shared" si="200"/>
        <v>40000</v>
      </c>
      <c r="M95" s="407"/>
      <c r="N95" s="552"/>
      <c r="O95" s="169">
        <f>I95</f>
        <v>40000</v>
      </c>
      <c r="P95" s="169">
        <f t="shared" si="201"/>
        <v>40000</v>
      </c>
      <c r="Q95" s="169">
        <f t="shared" si="201"/>
        <v>40000</v>
      </c>
      <c r="R95" s="169">
        <f t="shared" si="201"/>
        <v>40000</v>
      </c>
      <c r="T95" s="552"/>
      <c r="U95" s="169">
        <f>O95</f>
        <v>40000</v>
      </c>
      <c r="V95" s="169">
        <f t="shared" si="202"/>
        <v>40000</v>
      </c>
      <c r="W95" s="169">
        <f t="shared" si="203"/>
        <v>40000</v>
      </c>
      <c r="X95" s="169">
        <f t="shared" si="204"/>
        <v>40000</v>
      </c>
      <c r="Z95" s="552"/>
      <c r="AA95" s="169">
        <f>U95</f>
        <v>40000</v>
      </c>
      <c r="AB95" s="169">
        <f t="shared" si="205"/>
        <v>40000</v>
      </c>
      <c r="AC95" s="169">
        <f t="shared" si="206"/>
        <v>40000</v>
      </c>
      <c r="AD95" s="169">
        <f t="shared" si="207"/>
        <v>40000</v>
      </c>
      <c r="AG95" s="13"/>
      <c r="AH95" s="13"/>
      <c r="AI95" s="13"/>
      <c r="AJ95" s="13"/>
      <c r="AK95" s="13"/>
      <c r="AL95" s="13"/>
    </row>
    <row r="96" spans="1:62" s="425" customFormat="1" ht="40" hidden="1" outlineLevel="1">
      <c r="A96" s="43" t="s">
        <v>352</v>
      </c>
      <c r="B96" s="514"/>
      <c r="C96" s="354">
        <v>0</v>
      </c>
      <c r="D96" s="354">
        <f>C96</f>
        <v>0</v>
      </c>
      <c r="E96" s="354">
        <f>E95</f>
        <v>40000</v>
      </c>
      <c r="F96" s="354">
        <f t="shared" si="209"/>
        <v>40000</v>
      </c>
      <c r="G96" s="515"/>
      <c r="H96" s="517"/>
      <c r="I96" s="422">
        <f>I95+I97</f>
        <v>48000</v>
      </c>
      <c r="J96" s="422">
        <f t="shared" ref="J96:L96" si="210">J95+J97</f>
        <v>48000</v>
      </c>
      <c r="K96" s="422">
        <f t="shared" si="210"/>
        <v>48000</v>
      </c>
      <c r="L96" s="422">
        <f t="shared" si="210"/>
        <v>48000</v>
      </c>
      <c r="M96" s="515"/>
      <c r="N96" s="540"/>
      <c r="O96" s="354">
        <f>I96</f>
        <v>48000</v>
      </c>
      <c r="P96" s="354">
        <f>O96</f>
        <v>48000</v>
      </c>
      <c r="Q96" s="354">
        <f t="shared" ref="Q96:R96" si="211">P96</f>
        <v>48000</v>
      </c>
      <c r="R96" s="354">
        <f t="shared" si="211"/>
        <v>48000</v>
      </c>
      <c r="S96" s="43"/>
      <c r="T96" s="540"/>
      <c r="U96" s="354">
        <f>O96</f>
        <v>48000</v>
      </c>
      <c r="V96" s="354">
        <f>U96</f>
        <v>48000</v>
      </c>
      <c r="W96" s="354">
        <f t="shared" ref="W96:W97" si="212">V96</f>
        <v>48000</v>
      </c>
      <c r="X96" s="354">
        <f t="shared" ref="X96:X97" si="213">W96</f>
        <v>48000</v>
      </c>
      <c r="Y96" s="43"/>
      <c r="Z96" s="540"/>
      <c r="AA96" s="354">
        <f>U96</f>
        <v>48000</v>
      </c>
      <c r="AB96" s="354">
        <f>AA96</f>
        <v>48000</v>
      </c>
      <c r="AC96" s="354">
        <f t="shared" ref="AC96:AC97" si="214">AB96</f>
        <v>48000</v>
      </c>
      <c r="AD96" s="354">
        <f t="shared" ref="AD96:AD97" si="215">AC96</f>
        <v>48000</v>
      </c>
      <c r="AE96" s="43"/>
      <c r="AF96" s="503"/>
      <c r="AG96" s="355"/>
      <c r="AH96" s="355"/>
      <c r="AI96" s="355"/>
      <c r="AJ96" s="355"/>
      <c r="AK96" s="355"/>
      <c r="AL96" s="355"/>
      <c r="AM96" s="43"/>
      <c r="AN96" s="43"/>
      <c r="AO96" s="43"/>
      <c r="AP96" s="43"/>
      <c r="AQ96" s="43"/>
      <c r="AR96" s="43"/>
      <c r="AY96" s="43"/>
      <c r="AZ96" s="43"/>
      <c r="BA96" s="43"/>
      <c r="BB96" s="43"/>
      <c r="BC96" s="43"/>
      <c r="BD96" s="43"/>
      <c r="BE96" s="43"/>
      <c r="BF96" s="43"/>
      <c r="BG96" s="43"/>
      <c r="BH96" s="43"/>
      <c r="BI96" s="43"/>
      <c r="BJ96" s="43"/>
    </row>
    <row r="97" spans="1:62" ht="40" hidden="1" outlineLevel="1">
      <c r="B97" s="513"/>
      <c r="C97" s="169"/>
      <c r="D97" s="169"/>
      <c r="E97" s="169"/>
      <c r="F97" s="169"/>
      <c r="G97" s="407"/>
      <c r="H97" s="536" t="s">
        <v>366</v>
      </c>
      <c r="I97" s="345">
        <f>I95*I98-I95</f>
        <v>8000</v>
      </c>
      <c r="J97" s="345">
        <f>I97</f>
        <v>8000</v>
      </c>
      <c r="K97" s="345">
        <f t="shared" ref="K97:L97" si="216">J97</f>
        <v>8000</v>
      </c>
      <c r="L97" s="345">
        <f t="shared" si="216"/>
        <v>8000</v>
      </c>
      <c r="M97" s="407"/>
      <c r="N97" s="553" t="s">
        <v>353</v>
      </c>
      <c r="O97" s="345">
        <f>I97</f>
        <v>8000</v>
      </c>
      <c r="P97" s="345">
        <f>O97</f>
        <v>8000</v>
      </c>
      <c r="Q97" s="345">
        <f t="shared" ref="Q97:R97" si="217">P97</f>
        <v>8000</v>
      </c>
      <c r="R97" s="345">
        <f t="shared" si="217"/>
        <v>8000</v>
      </c>
      <c r="T97" s="553" t="s">
        <v>353</v>
      </c>
      <c r="U97" s="345">
        <f>O97</f>
        <v>8000</v>
      </c>
      <c r="V97" s="345">
        <f>U97</f>
        <v>8000</v>
      </c>
      <c r="W97" s="345">
        <f t="shared" si="212"/>
        <v>8000</v>
      </c>
      <c r="X97" s="345">
        <f t="shared" si="213"/>
        <v>8000</v>
      </c>
      <c r="Z97" s="553" t="s">
        <v>353</v>
      </c>
      <c r="AA97" s="345">
        <f>U97</f>
        <v>8000</v>
      </c>
      <c r="AB97" s="345">
        <f>AA97</f>
        <v>8000</v>
      </c>
      <c r="AC97" s="345">
        <f t="shared" si="214"/>
        <v>8000</v>
      </c>
      <c r="AD97" s="345">
        <f t="shared" si="215"/>
        <v>8000</v>
      </c>
      <c r="AG97" s="13"/>
      <c r="AH97" s="13"/>
      <c r="AI97" s="13"/>
      <c r="AJ97" s="13"/>
      <c r="AK97" s="13"/>
      <c r="AL97" s="13"/>
    </row>
    <row r="98" spans="1:62" hidden="1" outlineLevel="1">
      <c r="C98" s="2"/>
      <c r="D98" s="2"/>
      <c r="E98" s="2"/>
      <c r="F98" s="2"/>
      <c r="H98" s="537"/>
      <c r="I98" s="490">
        <v>1.2</v>
      </c>
      <c r="J98" s="490">
        <f>I98</f>
        <v>1.2</v>
      </c>
      <c r="K98" s="490">
        <f t="shared" ref="K98:L98" si="218">J98</f>
        <v>1.2</v>
      </c>
      <c r="L98" s="490">
        <f t="shared" si="218"/>
        <v>1.2</v>
      </c>
      <c r="N98" s="537"/>
      <c r="O98" s="490">
        <f>I98</f>
        <v>1.2</v>
      </c>
      <c r="P98" s="490">
        <f t="shared" si="201"/>
        <v>1.2</v>
      </c>
      <c r="Q98" s="490">
        <f t="shared" si="201"/>
        <v>1.2</v>
      </c>
      <c r="R98" s="449">
        <f t="shared" si="201"/>
        <v>1.2</v>
      </c>
      <c r="T98" s="537"/>
      <c r="U98" s="490">
        <f>O98</f>
        <v>1.2</v>
      </c>
      <c r="V98" s="490">
        <f t="shared" ref="V98" si="219">P98</f>
        <v>1.2</v>
      </c>
      <c r="W98" s="490">
        <f t="shared" ref="W98" si="220">Q98</f>
        <v>1.2</v>
      </c>
      <c r="X98" s="449">
        <f t="shared" ref="X98" si="221">R98</f>
        <v>1.2</v>
      </c>
      <c r="Z98" s="537"/>
      <c r="AA98" s="490">
        <f>U98</f>
        <v>1.2</v>
      </c>
      <c r="AB98" s="490">
        <f t="shared" ref="AB98" si="222">V98</f>
        <v>1.2</v>
      </c>
      <c r="AC98" s="490">
        <f t="shared" ref="AC98" si="223">W98</f>
        <v>1.2</v>
      </c>
      <c r="AD98" s="449">
        <f t="shared" ref="AD98" si="224">X98</f>
        <v>1.2</v>
      </c>
    </row>
    <row r="99" spans="1:62" hidden="1" outlineLevel="1">
      <c r="C99" s="2"/>
      <c r="I99" s="344" t="s">
        <v>365</v>
      </c>
      <c r="N99" s="537"/>
      <c r="O99" s="451" t="s">
        <v>354</v>
      </c>
      <c r="P99" s="450"/>
      <c r="Q99" s="450"/>
      <c r="R99" s="450"/>
      <c r="T99" s="537"/>
      <c r="U99" s="451" t="s">
        <v>354</v>
      </c>
      <c r="V99" s="450"/>
      <c r="W99" s="450"/>
      <c r="X99" s="450"/>
      <c r="Z99" s="537"/>
      <c r="AA99" s="451" t="s">
        <v>354</v>
      </c>
      <c r="AB99" s="450"/>
      <c r="AC99" s="450"/>
      <c r="AD99" s="450"/>
    </row>
    <row r="100" spans="1:62" hidden="1" outlineLevel="1">
      <c r="C100" s="2"/>
      <c r="I100" s="423"/>
      <c r="L100" s="139"/>
      <c r="Z100" s="87"/>
    </row>
    <row r="101" spans="1:62" s="418" customFormat="1" ht="20" hidden="1" outlineLevel="1">
      <c r="A101" s="417" t="s">
        <v>335</v>
      </c>
      <c r="B101" s="499"/>
      <c r="C101" s="419"/>
      <c r="D101" s="420"/>
      <c r="E101" s="420"/>
      <c r="F101" s="420"/>
      <c r="G101" s="500"/>
      <c r="H101" s="530"/>
      <c r="I101" s="421"/>
      <c r="J101" s="421"/>
      <c r="K101" s="421"/>
      <c r="L101" s="421"/>
      <c r="M101" s="531"/>
      <c r="N101" s="530"/>
      <c r="O101" s="465"/>
      <c r="P101" s="420"/>
      <c r="Q101" s="420"/>
      <c r="R101" s="420"/>
      <c r="S101" s="420"/>
      <c r="T101" s="559"/>
      <c r="U101" s="420"/>
      <c r="V101" s="420"/>
      <c r="W101" s="420"/>
      <c r="X101" s="420"/>
      <c r="Y101" s="420"/>
      <c r="Z101" s="420"/>
      <c r="AA101" s="420"/>
      <c r="AB101" s="420"/>
      <c r="AC101" s="420"/>
      <c r="AD101" s="420"/>
      <c r="AE101" s="420"/>
      <c r="AF101" s="500"/>
      <c r="AG101" s="417"/>
      <c r="AH101" s="417"/>
      <c r="AI101" s="417"/>
      <c r="AJ101" s="417"/>
      <c r="AK101" s="417"/>
      <c r="AL101" s="417"/>
      <c r="AM101" s="421"/>
      <c r="AN101" s="421"/>
      <c r="AO101" s="421"/>
      <c r="AP101" s="421"/>
      <c r="AQ101" s="421"/>
      <c r="AR101" s="421"/>
      <c r="AY101" s="421"/>
      <c r="AZ101" s="421"/>
      <c r="BA101" s="421"/>
      <c r="BB101" s="421"/>
      <c r="BC101" s="421"/>
      <c r="BD101" s="421"/>
      <c r="BE101" s="421"/>
      <c r="BF101" s="421"/>
      <c r="BG101" s="421"/>
      <c r="BH101" s="421"/>
      <c r="BI101" s="421"/>
      <c r="BJ101" s="421"/>
    </row>
    <row r="102" spans="1:62" s="437" customFormat="1" ht="20" hidden="1" outlineLevel="1">
      <c r="A102" s="260" t="s">
        <v>358</v>
      </c>
      <c r="B102" s="518"/>
      <c r="C102" s="447">
        <f>C114</f>
        <v>28150</v>
      </c>
      <c r="D102" s="447">
        <f t="shared" ref="D102:F102" si="225">D114</f>
        <v>28150</v>
      </c>
      <c r="E102" s="447">
        <f t="shared" si="225"/>
        <v>28150</v>
      </c>
      <c r="F102" s="447">
        <f t="shared" si="225"/>
        <v>28150</v>
      </c>
      <c r="G102" s="516"/>
      <c r="H102" s="538"/>
      <c r="I102" s="255">
        <f>C102</f>
        <v>28150</v>
      </c>
      <c r="J102" s="255">
        <f>I102</f>
        <v>28150</v>
      </c>
      <c r="K102" s="255">
        <f t="shared" ref="K102:L102" si="226">J102</f>
        <v>28150</v>
      </c>
      <c r="L102" s="255">
        <f t="shared" si="226"/>
        <v>28150</v>
      </c>
      <c r="M102" s="539"/>
      <c r="N102" s="554"/>
      <c r="O102" s="448">
        <f>O103+O104</f>
        <v>1915.9587378640774</v>
      </c>
      <c r="P102" s="448">
        <f t="shared" ref="P102:R102" si="227">P103+P104</f>
        <v>1915.9587378640774</v>
      </c>
      <c r="Q102" s="448">
        <f t="shared" si="227"/>
        <v>1915.9587378640774</v>
      </c>
      <c r="R102" s="448">
        <f t="shared" si="227"/>
        <v>1915.9587378640774</v>
      </c>
      <c r="S102" s="270"/>
      <c r="T102" s="264"/>
      <c r="U102" s="448">
        <f>O102</f>
        <v>1915.9587378640774</v>
      </c>
      <c r="V102" s="448">
        <f>P102</f>
        <v>1915.9587378640774</v>
      </c>
      <c r="W102" s="448">
        <f t="shared" ref="W102:Y104" si="228">Q102</f>
        <v>1915.9587378640774</v>
      </c>
      <c r="X102" s="448">
        <f t="shared" si="228"/>
        <v>1915.9587378640774</v>
      </c>
      <c r="Y102" s="270"/>
      <c r="Z102" s="260"/>
      <c r="AA102" s="255">
        <f>I102</f>
        <v>28150</v>
      </c>
      <c r="AB102" s="255">
        <f t="shared" ref="AB102:AD102" si="229">J102</f>
        <v>28150</v>
      </c>
      <c r="AC102" s="255">
        <f t="shared" si="229"/>
        <v>28150</v>
      </c>
      <c r="AD102" s="255">
        <f t="shared" si="229"/>
        <v>28150</v>
      </c>
      <c r="AE102" s="260"/>
      <c r="AF102" s="516"/>
      <c r="AG102" s="260"/>
      <c r="AH102" s="260"/>
      <c r="AI102" s="260"/>
      <c r="AJ102" s="260"/>
      <c r="AK102" s="260"/>
      <c r="AL102" s="260"/>
      <c r="AM102" s="263"/>
      <c r="AN102" s="263"/>
      <c r="AO102" s="263"/>
      <c r="AP102" s="263"/>
      <c r="AQ102" s="263"/>
      <c r="AR102" s="263"/>
      <c r="AY102" s="268" t="s">
        <v>141</v>
      </c>
      <c r="AZ102" s="263"/>
      <c r="BA102" s="263"/>
      <c r="BB102" s="263"/>
      <c r="BC102" s="263"/>
      <c r="BD102" s="263"/>
      <c r="BE102" s="263" t="s">
        <v>33</v>
      </c>
      <c r="BF102" s="263"/>
      <c r="BG102" s="263"/>
      <c r="BH102" s="263"/>
      <c r="BI102" s="263"/>
      <c r="BJ102" s="263"/>
    </row>
    <row r="103" spans="1:62" s="425" customFormat="1" ht="20" hidden="1" outlineLevel="1">
      <c r="A103" s="358" t="s">
        <v>324</v>
      </c>
      <c r="B103" s="518"/>
      <c r="C103" s="71" t="s">
        <v>141</v>
      </c>
      <c r="D103" s="71" t="s">
        <v>141</v>
      </c>
      <c r="E103" s="71" t="s">
        <v>141</v>
      </c>
      <c r="F103" s="71" t="s">
        <v>141</v>
      </c>
      <c r="G103" s="498"/>
      <c r="H103" s="540"/>
      <c r="I103" s="71" t="s">
        <v>141</v>
      </c>
      <c r="J103" s="71" t="s">
        <v>141</v>
      </c>
      <c r="K103" s="71" t="s">
        <v>141</v>
      </c>
      <c r="L103" s="71" t="s">
        <v>141</v>
      </c>
      <c r="M103" s="503"/>
      <c r="N103" s="529"/>
      <c r="O103" s="354">
        <v>0</v>
      </c>
      <c r="P103" s="354">
        <v>0</v>
      </c>
      <c r="Q103" s="354">
        <v>0</v>
      </c>
      <c r="R103" s="354">
        <v>0</v>
      </c>
      <c r="S103" s="354">
        <v>0</v>
      </c>
      <c r="T103" s="558"/>
      <c r="U103" s="354">
        <f>O103</f>
        <v>0</v>
      </c>
      <c r="V103" s="354">
        <f t="shared" ref="V103:V104" si="230">P103</f>
        <v>0</v>
      </c>
      <c r="W103" s="354">
        <f t="shared" si="228"/>
        <v>0</v>
      </c>
      <c r="X103" s="354">
        <f t="shared" si="228"/>
        <v>0</v>
      </c>
      <c r="Y103" s="354">
        <f t="shared" si="228"/>
        <v>0</v>
      </c>
      <c r="Z103" s="355"/>
      <c r="AA103" s="71" t="s">
        <v>141</v>
      </c>
      <c r="AB103" s="71" t="s">
        <v>141</v>
      </c>
      <c r="AC103" s="71" t="s">
        <v>141</v>
      </c>
      <c r="AD103" s="71" t="s">
        <v>141</v>
      </c>
      <c r="AE103" s="355"/>
      <c r="AF103" s="498"/>
      <c r="AG103" s="355"/>
      <c r="AH103" s="355"/>
      <c r="AI103" s="355"/>
      <c r="AJ103" s="355"/>
      <c r="AK103" s="355"/>
      <c r="AL103" s="355"/>
      <c r="AM103" s="43"/>
      <c r="AN103" s="43"/>
      <c r="AO103" s="43"/>
      <c r="AP103" s="43"/>
      <c r="AQ103" s="43"/>
      <c r="AR103" s="43"/>
      <c r="AY103" s="360"/>
      <c r="AZ103" s="43"/>
      <c r="BA103" s="43"/>
      <c r="BB103" s="43"/>
      <c r="BC103" s="43"/>
      <c r="BD103" s="43"/>
      <c r="BE103" s="43"/>
      <c r="BF103" s="43"/>
      <c r="BG103" s="43"/>
      <c r="BH103" s="43"/>
      <c r="BI103" s="43"/>
      <c r="BJ103" s="43"/>
    </row>
    <row r="104" spans="1:62" s="425" customFormat="1" ht="20" hidden="1" outlineLevel="1">
      <c r="A104" s="357" t="s">
        <v>484</v>
      </c>
      <c r="B104" s="518"/>
      <c r="C104" s="43"/>
      <c r="D104" s="43"/>
      <c r="E104" s="43"/>
      <c r="F104" s="43"/>
      <c r="G104" s="515"/>
      <c r="H104" s="529"/>
      <c r="I104" s="43"/>
      <c r="J104" s="43"/>
      <c r="K104" s="43"/>
      <c r="L104" s="43"/>
      <c r="M104" s="503"/>
      <c r="N104" s="529"/>
      <c r="O104" s="444">
        <f>S104</f>
        <v>1915.9587378640774</v>
      </c>
      <c r="P104" s="444">
        <f>S104</f>
        <v>1915.9587378640774</v>
      </c>
      <c r="Q104" s="444">
        <f>S104</f>
        <v>1915.9587378640774</v>
      </c>
      <c r="R104" s="444">
        <f>S104</f>
        <v>1915.9587378640774</v>
      </c>
      <c r="S104" s="444">
        <f>3000000/S20</f>
        <v>1915.9587378640774</v>
      </c>
      <c r="T104" s="517"/>
      <c r="U104" s="444">
        <f>O104</f>
        <v>1915.9587378640774</v>
      </c>
      <c r="V104" s="444">
        <f t="shared" si="230"/>
        <v>1915.9587378640774</v>
      </c>
      <c r="W104" s="444">
        <f t="shared" si="228"/>
        <v>1915.9587378640774</v>
      </c>
      <c r="X104" s="444">
        <f t="shared" si="228"/>
        <v>1915.9587378640774</v>
      </c>
      <c r="Y104" s="444">
        <f t="shared" si="228"/>
        <v>1915.9587378640774</v>
      </c>
      <c r="AA104" s="43"/>
      <c r="AB104" s="43"/>
      <c r="AC104" s="43"/>
      <c r="AD104" s="43"/>
      <c r="AF104" s="557"/>
      <c r="AZ104" s="43"/>
      <c r="BA104" s="43"/>
      <c r="BB104" s="43"/>
      <c r="BC104" s="43"/>
      <c r="BD104" s="43"/>
      <c r="BE104" s="43"/>
      <c r="BF104" s="43"/>
      <c r="BG104" s="43"/>
      <c r="BH104" s="43"/>
      <c r="BI104" s="43"/>
      <c r="BJ104" s="43"/>
    </row>
    <row r="105" spans="1:62" hidden="1" outlineLevel="1">
      <c r="A105" s="423"/>
      <c r="B105" s="518"/>
      <c r="C105" s="423"/>
      <c r="D105" s="169"/>
      <c r="E105" s="169"/>
      <c r="F105" s="169"/>
      <c r="G105" s="407"/>
      <c r="I105" s="652" t="s">
        <v>405</v>
      </c>
      <c r="N105" s="555"/>
      <c r="O105" s="344" t="s">
        <v>514</v>
      </c>
      <c r="P105" s="466"/>
      <c r="Q105" s="466"/>
      <c r="R105" s="466"/>
      <c r="S105" s="427"/>
      <c r="T105" s="518"/>
      <c r="U105" s="344" t="s">
        <v>373</v>
      </c>
      <c r="V105" s="466"/>
      <c r="W105" s="466"/>
      <c r="X105" s="466"/>
      <c r="Y105" s="427"/>
      <c r="Z105" s="423"/>
      <c r="AA105" s="652" t="s">
        <v>405</v>
      </c>
      <c r="AE105" s="423"/>
      <c r="AF105" s="504"/>
      <c r="AG105" s="423"/>
      <c r="AH105" s="423"/>
      <c r="AI105" s="423"/>
      <c r="AJ105" s="423"/>
      <c r="AK105" s="423"/>
      <c r="AL105" s="423"/>
      <c r="AM105" s="423"/>
      <c r="AN105" s="423"/>
      <c r="AO105" s="423"/>
      <c r="AP105" s="423"/>
      <c r="AQ105" s="423"/>
      <c r="AR105" s="423"/>
      <c r="AY105" s="423"/>
      <c r="BE105" s="14"/>
    </row>
    <row r="106" spans="1:62" hidden="1" outlineLevel="1">
      <c r="A106" s="273"/>
      <c r="B106" s="518"/>
      <c r="C106" s="169"/>
      <c r="D106" s="169"/>
      <c r="E106" s="169"/>
      <c r="F106" s="169"/>
      <c r="G106" s="407"/>
      <c r="N106" s="518"/>
      <c r="O106" s="353" t="s">
        <v>319</v>
      </c>
      <c r="T106" s="518"/>
      <c r="U106" s="353" t="s">
        <v>319</v>
      </c>
      <c r="Z106" s="423"/>
      <c r="AE106" s="423"/>
      <c r="AF106" s="504"/>
      <c r="AG106" s="423"/>
      <c r="AH106" s="423"/>
      <c r="AI106" s="423"/>
      <c r="AJ106" s="423"/>
      <c r="AK106" s="423"/>
      <c r="AL106" s="423"/>
      <c r="AM106" s="423"/>
      <c r="AN106" s="423"/>
      <c r="AO106" s="423"/>
      <c r="AP106" s="423"/>
      <c r="AQ106" s="423"/>
      <c r="AR106" s="423"/>
      <c r="AY106" s="423"/>
      <c r="BE106" s="14"/>
    </row>
    <row r="107" spans="1:62" hidden="1" outlineLevel="1">
      <c r="A107" s="273"/>
      <c r="B107" s="518"/>
      <c r="C107" s="169"/>
      <c r="D107" s="169"/>
      <c r="E107" s="169"/>
      <c r="F107" s="169"/>
      <c r="G107" s="407"/>
      <c r="O107" s="423"/>
      <c r="T107" s="518"/>
      <c r="U107" s="423"/>
      <c r="Z107" s="423"/>
      <c r="AA107" s="423"/>
      <c r="AB107" s="423"/>
      <c r="AC107" s="423"/>
      <c r="AD107" s="423"/>
      <c r="AE107" s="423"/>
      <c r="AF107" s="504"/>
      <c r="AG107" s="423"/>
      <c r="AH107" s="423"/>
      <c r="AI107" s="423"/>
      <c r="AJ107" s="423"/>
      <c r="AK107" s="423"/>
      <c r="AL107" s="423"/>
      <c r="AM107" s="423"/>
      <c r="AN107" s="423"/>
      <c r="AO107" s="423"/>
      <c r="AP107" s="423"/>
      <c r="AQ107" s="423"/>
      <c r="AR107" s="423"/>
      <c r="AY107" s="423"/>
      <c r="BE107" s="14"/>
    </row>
    <row r="108" spans="1:62" s="425" customFormat="1" ht="40" hidden="1" outlineLevel="1">
      <c r="A108" s="355" t="s">
        <v>356</v>
      </c>
      <c r="B108" s="382"/>
      <c r="C108" s="438">
        <f>C122</f>
        <v>1575</v>
      </c>
      <c r="D108" s="354">
        <f>C108</f>
        <v>1575</v>
      </c>
      <c r="E108" s="354">
        <f t="shared" ref="E108:F108" si="231">D108</f>
        <v>1575</v>
      </c>
      <c r="F108" s="354">
        <f t="shared" si="231"/>
        <v>1575</v>
      </c>
      <c r="G108" s="498"/>
      <c r="H108" s="541"/>
      <c r="I108" s="361">
        <v>0</v>
      </c>
      <c r="J108" s="361">
        <f>I108</f>
        <v>0</v>
      </c>
      <c r="K108" s="361">
        <f t="shared" ref="K108" si="232">J108</f>
        <v>0</v>
      </c>
      <c r="L108" s="361">
        <f t="shared" ref="L108" si="233">K108</f>
        <v>0</v>
      </c>
      <c r="M108" s="503"/>
      <c r="N108" s="529"/>
      <c r="O108" s="361">
        <v>0</v>
      </c>
      <c r="P108" s="361">
        <f>O108</f>
        <v>0</v>
      </c>
      <c r="Q108" s="361">
        <f t="shared" ref="Q108:S108" si="234">P108</f>
        <v>0</v>
      </c>
      <c r="R108" s="361">
        <f t="shared" si="234"/>
        <v>0</v>
      </c>
      <c r="S108" s="361">
        <f t="shared" si="234"/>
        <v>0</v>
      </c>
      <c r="T108" s="558"/>
      <c r="U108" s="361">
        <v>0</v>
      </c>
      <c r="V108" s="361">
        <f>U108</f>
        <v>0</v>
      </c>
      <c r="W108" s="361">
        <f t="shared" ref="W108" si="235">V108</f>
        <v>0</v>
      </c>
      <c r="X108" s="361">
        <f t="shared" ref="X108" si="236">W108</f>
        <v>0</v>
      </c>
      <c r="Y108" s="361">
        <f t="shared" ref="Y108" si="237">X108</f>
        <v>0</v>
      </c>
      <c r="Z108" s="355"/>
      <c r="AA108" s="361">
        <f>I108</f>
        <v>0</v>
      </c>
      <c r="AB108" s="361">
        <f>J108</f>
        <v>0</v>
      </c>
      <c r="AC108" s="361">
        <f>K108</f>
        <v>0</v>
      </c>
      <c r="AD108" s="361">
        <f>L108</f>
        <v>0</v>
      </c>
      <c r="AE108" s="355"/>
      <c r="AF108" s="498"/>
      <c r="AG108" s="355"/>
      <c r="AH108" s="355"/>
      <c r="AI108" s="355"/>
      <c r="AJ108" s="355"/>
      <c r="AK108" s="355"/>
      <c r="AL108" s="355"/>
      <c r="AM108" s="43"/>
      <c r="AN108" s="43"/>
      <c r="AO108" s="43"/>
      <c r="AP108" s="43"/>
      <c r="AQ108" s="43"/>
      <c r="AR108" s="43"/>
      <c r="AY108" s="463" t="s">
        <v>141</v>
      </c>
      <c r="AZ108" s="43"/>
      <c r="BA108" s="43"/>
      <c r="BB108" s="43"/>
      <c r="BC108" s="43"/>
      <c r="BD108" s="43"/>
      <c r="BE108" s="43" t="s">
        <v>33</v>
      </c>
      <c r="BF108" s="43"/>
      <c r="BG108" s="43"/>
      <c r="BH108" s="43"/>
      <c r="BI108" s="43"/>
      <c r="BJ108" s="43"/>
    </row>
    <row r="109" spans="1:62" s="440" customFormat="1" hidden="1" outlineLevel="1">
      <c r="A109" s="439"/>
      <c r="B109" s="519"/>
      <c r="C109" s="441"/>
      <c r="D109" s="442"/>
      <c r="E109" s="442"/>
      <c r="F109" s="442"/>
      <c r="G109" s="520"/>
      <c r="H109" s="542"/>
      <c r="I109" s="443"/>
      <c r="J109" s="443"/>
      <c r="K109" s="443"/>
      <c r="L109" s="443"/>
      <c r="M109" s="543"/>
      <c r="N109" s="542"/>
      <c r="O109" s="442"/>
      <c r="P109" s="442"/>
      <c r="Q109" s="442"/>
      <c r="R109" s="442"/>
      <c r="S109" s="442"/>
      <c r="T109" s="563"/>
      <c r="U109" s="442"/>
      <c r="V109" s="442"/>
      <c r="W109" s="442"/>
      <c r="X109" s="442"/>
      <c r="Y109" s="442"/>
      <c r="Z109" s="442"/>
      <c r="AA109" s="442"/>
      <c r="AB109" s="442"/>
      <c r="AC109" s="442"/>
      <c r="AD109" s="442"/>
      <c r="AE109" s="442"/>
      <c r="AF109" s="520"/>
      <c r="AG109" s="439"/>
      <c r="AH109" s="439"/>
      <c r="AI109" s="439"/>
      <c r="AJ109" s="439"/>
      <c r="AK109" s="439"/>
      <c r="AL109" s="439"/>
      <c r="AM109" s="443"/>
      <c r="AN109" s="443"/>
      <c r="AO109" s="443"/>
      <c r="AP109" s="443"/>
      <c r="AQ109" s="443"/>
      <c r="AR109" s="443"/>
      <c r="AY109" s="443"/>
      <c r="AZ109" s="443"/>
      <c r="BA109" s="443"/>
      <c r="BB109" s="443"/>
      <c r="BC109" s="443"/>
      <c r="BD109" s="443"/>
      <c r="BE109" s="443"/>
      <c r="BF109" s="443"/>
      <c r="BG109" s="443"/>
      <c r="BH109" s="443"/>
      <c r="BI109" s="443"/>
      <c r="BJ109" s="443"/>
    </row>
    <row r="110" spans="1:62" s="459" customFormat="1" ht="20" hidden="1" outlineLevel="1">
      <c r="A110" s="259" t="s">
        <v>361</v>
      </c>
      <c r="B110" s="519"/>
      <c r="C110" s="464">
        <f>C130</f>
        <v>731.26142595978058</v>
      </c>
      <c r="D110" s="464">
        <f>D130</f>
        <v>731.26142595978058</v>
      </c>
      <c r="E110" s="464">
        <f>E130</f>
        <v>731.26142595978058</v>
      </c>
      <c r="F110" s="464">
        <f>F130</f>
        <v>731.26142595978058</v>
      </c>
      <c r="G110" s="521"/>
      <c r="H110" s="71" t="s">
        <v>141</v>
      </c>
      <c r="I110" s="464">
        <f>C110</f>
        <v>731.26142595978058</v>
      </c>
      <c r="J110" s="464">
        <f t="shared" ref="J110:L110" si="238">D110</f>
        <v>731.26142595978058</v>
      </c>
      <c r="K110" s="464">
        <f t="shared" si="238"/>
        <v>731.26142595978058</v>
      </c>
      <c r="L110" s="464">
        <f t="shared" si="238"/>
        <v>731.26142595978058</v>
      </c>
      <c r="M110" s="545"/>
      <c r="N110" s="544"/>
      <c r="O110" s="460">
        <f>I110</f>
        <v>731.26142595978058</v>
      </c>
      <c r="P110" s="460">
        <f t="shared" ref="P110" si="239">J110</f>
        <v>731.26142595978058</v>
      </c>
      <c r="Q110" s="460">
        <f t="shared" ref="Q110" si="240">K110</f>
        <v>731.26142595978058</v>
      </c>
      <c r="R110" s="460">
        <f t="shared" ref="R110" si="241">L110</f>
        <v>731.26142595978058</v>
      </c>
      <c r="S110" s="634"/>
      <c r="T110" s="564"/>
      <c r="U110" s="460">
        <f>O110</f>
        <v>731.26142595978058</v>
      </c>
      <c r="V110" s="460">
        <f t="shared" ref="V110" si="242">P110</f>
        <v>731.26142595978058</v>
      </c>
      <c r="W110" s="460">
        <f t="shared" ref="W110" si="243">Q110</f>
        <v>731.26142595978058</v>
      </c>
      <c r="X110" s="460">
        <f t="shared" ref="X110" si="244">R110</f>
        <v>731.26142595978058</v>
      </c>
      <c r="Y110" s="634"/>
      <c r="Z110" s="634"/>
      <c r="AA110" s="361">
        <f>I110</f>
        <v>731.26142595978058</v>
      </c>
      <c r="AB110" s="361">
        <f>J110</f>
        <v>731.26142595978058</v>
      </c>
      <c r="AC110" s="361">
        <f>K110</f>
        <v>731.26142595978058</v>
      </c>
      <c r="AD110" s="361">
        <f>L110</f>
        <v>731.26142595978058</v>
      </c>
      <c r="AE110" s="634"/>
      <c r="AF110" s="521"/>
      <c r="AG110" s="462"/>
      <c r="AH110" s="462"/>
      <c r="AI110" s="462"/>
      <c r="AJ110" s="462"/>
      <c r="AK110" s="462"/>
      <c r="AL110" s="462"/>
      <c r="AM110" s="461"/>
      <c r="AN110" s="461"/>
      <c r="AO110" s="461"/>
      <c r="AP110" s="461"/>
      <c r="AQ110" s="461"/>
      <c r="AR110" s="461"/>
      <c r="AY110" s="461"/>
      <c r="AZ110" s="461"/>
      <c r="BA110" s="461"/>
      <c r="BB110" s="461"/>
      <c r="BC110" s="461"/>
      <c r="BD110" s="461"/>
      <c r="BE110" s="461"/>
      <c r="BF110" s="461"/>
      <c r="BG110" s="461"/>
      <c r="BH110" s="461"/>
      <c r="BI110" s="461"/>
      <c r="BJ110" s="461"/>
    </row>
    <row r="111" spans="1:62" s="440" customFormat="1" hidden="1" outlineLevel="1">
      <c r="A111" s="439"/>
      <c r="B111" s="519"/>
      <c r="C111" s="610" t="s">
        <v>407</v>
      </c>
      <c r="D111" s="442"/>
      <c r="E111" s="442"/>
      <c r="F111" s="442"/>
      <c r="G111" s="520"/>
      <c r="H111" s="542"/>
      <c r="I111" s="443"/>
      <c r="J111" s="443"/>
      <c r="K111" s="443"/>
      <c r="L111" s="443"/>
      <c r="M111" s="543"/>
      <c r="N111" s="542"/>
      <c r="O111" s="442"/>
      <c r="P111" s="442"/>
      <c r="Q111" s="442"/>
      <c r="R111" s="442"/>
      <c r="S111" s="442"/>
      <c r="T111" s="563"/>
      <c r="U111" s="442"/>
      <c r="V111" s="442"/>
      <c r="W111" s="442"/>
      <c r="X111" s="442"/>
      <c r="Y111" s="442"/>
      <c r="Z111" s="442"/>
      <c r="AA111" s="442"/>
      <c r="AB111" s="442"/>
      <c r="AC111" s="442"/>
      <c r="AD111" s="442"/>
      <c r="AE111" s="442"/>
      <c r="AF111" s="520"/>
      <c r="AG111" s="439"/>
      <c r="AH111" s="439"/>
      <c r="AI111" s="439"/>
      <c r="AJ111" s="439"/>
      <c r="AK111" s="439"/>
      <c r="AL111" s="439"/>
      <c r="AM111" s="443"/>
      <c r="AN111" s="443"/>
      <c r="AO111" s="443"/>
      <c r="AP111" s="443"/>
      <c r="AQ111" s="443"/>
      <c r="AR111" s="443"/>
      <c r="AY111" s="443"/>
      <c r="AZ111" s="443"/>
      <c r="BA111" s="443"/>
      <c r="BB111" s="443"/>
      <c r="BC111" s="443"/>
      <c r="BD111" s="443"/>
      <c r="BE111" s="443"/>
      <c r="BF111" s="443"/>
      <c r="BG111" s="443"/>
      <c r="BH111" s="443"/>
      <c r="BI111" s="443"/>
      <c r="BJ111" s="443"/>
    </row>
    <row r="112" spans="1:62" s="440" customFormat="1" hidden="1" outlineLevel="1">
      <c r="A112" s="439"/>
      <c r="B112" s="519"/>
      <c r="C112" s="441"/>
      <c r="D112" s="442"/>
      <c r="E112" s="442"/>
      <c r="F112" s="442"/>
      <c r="G112" s="520"/>
      <c r="H112" s="542"/>
      <c r="I112" s="443"/>
      <c r="J112" s="443"/>
      <c r="K112" s="443"/>
      <c r="L112" s="443"/>
      <c r="M112" s="543"/>
      <c r="N112" s="542"/>
      <c r="O112" s="442"/>
      <c r="P112" s="442"/>
      <c r="Q112" s="442"/>
      <c r="R112" s="442"/>
      <c r="S112" s="442"/>
      <c r="T112" s="563"/>
      <c r="U112" s="442"/>
      <c r="V112" s="442"/>
      <c r="W112" s="442"/>
      <c r="X112" s="442"/>
      <c r="Y112" s="442"/>
      <c r="Z112" s="442"/>
      <c r="AA112" s="442"/>
      <c r="AB112" s="442"/>
      <c r="AC112" s="442"/>
      <c r="AD112" s="442"/>
      <c r="AE112" s="442"/>
      <c r="AF112" s="520"/>
      <c r="AG112" s="439"/>
      <c r="AH112" s="439"/>
      <c r="AI112" s="439"/>
      <c r="AJ112" s="439"/>
      <c r="AK112" s="439"/>
      <c r="AL112" s="439"/>
      <c r="AM112" s="443"/>
      <c r="AN112" s="443"/>
      <c r="AO112" s="443"/>
      <c r="AP112" s="443"/>
      <c r="AQ112" s="443"/>
      <c r="AR112" s="443"/>
      <c r="AY112" s="443"/>
      <c r="AZ112" s="443"/>
      <c r="BA112" s="443"/>
      <c r="BB112" s="443"/>
      <c r="BC112" s="443"/>
      <c r="BD112" s="443"/>
      <c r="BE112" s="443"/>
      <c r="BF112" s="443"/>
      <c r="BG112" s="443"/>
      <c r="BH112" s="443"/>
      <c r="BI112" s="443"/>
      <c r="BJ112" s="443"/>
    </row>
    <row r="113" spans="1:62" s="446" customFormat="1" ht="20" hidden="1" outlineLevel="1">
      <c r="A113" s="383" t="s">
        <v>362</v>
      </c>
      <c r="B113" s="522"/>
      <c r="C113" s="384"/>
      <c r="D113" s="383"/>
      <c r="E113" s="383"/>
      <c r="F113" s="383"/>
      <c r="G113" s="523"/>
      <c r="H113" s="546"/>
      <c r="I113" s="385"/>
      <c r="J113" s="385"/>
      <c r="K113" s="385"/>
      <c r="L113" s="385"/>
      <c r="M113" s="547"/>
      <c r="N113" s="556"/>
      <c r="O113" s="385"/>
      <c r="P113" s="385"/>
      <c r="Q113" s="385"/>
      <c r="R113" s="385"/>
      <c r="S113" s="385"/>
      <c r="T113" s="565"/>
      <c r="U113" s="383"/>
      <c r="V113" s="383"/>
      <c r="W113" s="383"/>
      <c r="X113" s="383"/>
      <c r="Y113" s="383"/>
      <c r="Z113" s="383"/>
      <c r="AA113" s="383"/>
      <c r="AB113" s="383"/>
      <c r="AC113" s="383"/>
      <c r="AD113" s="383"/>
      <c r="AE113" s="383"/>
      <c r="AF113" s="523"/>
      <c r="AG113" s="383"/>
      <c r="AH113" s="383"/>
      <c r="AI113" s="383"/>
      <c r="AJ113" s="383"/>
      <c r="AK113" s="383"/>
      <c r="AL113" s="383"/>
      <c r="AM113" s="385"/>
      <c r="AN113" s="385"/>
      <c r="AO113" s="385"/>
      <c r="AP113" s="385"/>
      <c r="AQ113" s="385"/>
      <c r="AR113" s="385"/>
      <c r="AY113" s="445" t="s">
        <v>141</v>
      </c>
      <c r="AZ113" s="385"/>
      <c r="BA113" s="385"/>
      <c r="BB113" s="385"/>
      <c r="BC113" s="385"/>
      <c r="BD113" s="385"/>
      <c r="BE113" s="385" t="s">
        <v>33</v>
      </c>
      <c r="BF113" s="385"/>
      <c r="BG113" s="385"/>
      <c r="BH113" s="385"/>
      <c r="BI113" s="385"/>
      <c r="BJ113" s="385"/>
    </row>
    <row r="114" spans="1:62" s="425" customFormat="1" ht="20" hidden="1" outlineLevel="1">
      <c r="A114" s="355" t="s">
        <v>357</v>
      </c>
      <c r="B114" s="502"/>
      <c r="C114" s="354">
        <v>28150</v>
      </c>
      <c r="D114" s="354">
        <f>C114</f>
        <v>28150</v>
      </c>
      <c r="E114" s="354">
        <f t="shared" ref="E114:F114" si="245">D114</f>
        <v>28150</v>
      </c>
      <c r="F114" s="354">
        <f t="shared" si="245"/>
        <v>28150</v>
      </c>
      <c r="G114" s="515"/>
      <c r="H114" s="529"/>
      <c r="I114" s="422">
        <f>C114</f>
        <v>28150</v>
      </c>
      <c r="J114" s="354">
        <f>D114</f>
        <v>28150</v>
      </c>
      <c r="K114" s="354">
        <f>E114</f>
        <v>28150</v>
      </c>
      <c r="L114" s="354">
        <f>F114</f>
        <v>28150</v>
      </c>
      <c r="M114" s="515"/>
      <c r="N114" s="529"/>
      <c r="O114" s="422">
        <f>I114</f>
        <v>28150</v>
      </c>
      <c r="P114" s="354">
        <f>J114</f>
        <v>28150</v>
      </c>
      <c r="Q114" s="354">
        <f>K114</f>
        <v>28150</v>
      </c>
      <c r="R114" s="354">
        <f>L114</f>
        <v>28150</v>
      </c>
      <c r="T114" s="517"/>
      <c r="AF114" s="557"/>
      <c r="AZ114" s="43"/>
      <c r="BA114" s="43"/>
      <c r="BB114" s="43"/>
      <c r="BC114" s="43"/>
      <c r="BD114" s="43"/>
      <c r="BE114" s="43" t="s">
        <v>33</v>
      </c>
      <c r="BF114" s="43"/>
      <c r="BG114" s="43"/>
      <c r="BH114" s="43"/>
      <c r="BI114" s="43"/>
      <c r="BJ114" s="43"/>
    </row>
    <row r="115" spans="1:62" s="425" customFormat="1" ht="20" hidden="1" outlineLevel="1">
      <c r="A115" s="358" t="s">
        <v>323</v>
      </c>
      <c r="B115" s="71"/>
      <c r="C115" s="71" t="s">
        <v>146</v>
      </c>
      <c r="D115" s="354"/>
      <c r="E115" s="354"/>
      <c r="F115" s="354"/>
      <c r="G115" s="515"/>
      <c r="H115" s="71" t="s">
        <v>141</v>
      </c>
      <c r="I115" s="71" t="s">
        <v>141</v>
      </c>
      <c r="J115" s="354"/>
      <c r="K115" s="354"/>
      <c r="L115" s="354"/>
      <c r="M115" s="515"/>
      <c r="N115" s="71" t="s">
        <v>141</v>
      </c>
      <c r="O115" s="71" t="s">
        <v>141</v>
      </c>
      <c r="P115" s="354"/>
      <c r="Q115" s="354"/>
      <c r="R115" s="354"/>
      <c r="S115" s="636">
        <v>0</v>
      </c>
      <c r="T115" s="517"/>
      <c r="AF115" s="557"/>
      <c r="AZ115" s="43"/>
      <c r="BA115" s="43"/>
      <c r="BB115" s="43"/>
      <c r="BC115" s="43"/>
      <c r="BD115" s="43"/>
      <c r="BE115" s="43"/>
      <c r="BF115" s="43"/>
      <c r="BG115" s="43"/>
      <c r="BH115" s="43"/>
      <c r="BI115" s="43"/>
      <c r="BJ115" s="43"/>
    </row>
    <row r="116" spans="1:62" ht="20" hidden="1" outlineLevel="1">
      <c r="A116" s="80" t="s">
        <v>284</v>
      </c>
      <c r="B116" s="518"/>
      <c r="C116" s="71" t="s">
        <v>146</v>
      </c>
      <c r="D116" s="169"/>
      <c r="E116" s="169"/>
      <c r="F116" s="169"/>
      <c r="G116" s="407"/>
      <c r="H116" s="518"/>
      <c r="N116" s="518"/>
      <c r="S116" s="423"/>
      <c r="T116" s="518"/>
      <c r="U116" s="423"/>
      <c r="V116" s="423"/>
      <c r="W116" s="423"/>
      <c r="X116" s="423"/>
      <c r="Y116" s="423"/>
      <c r="Z116" s="423"/>
      <c r="AA116" s="423"/>
      <c r="AB116" s="423"/>
      <c r="AC116" s="423"/>
      <c r="AD116" s="423"/>
      <c r="AE116" s="423"/>
      <c r="AF116" s="504"/>
      <c r="AG116" s="423"/>
      <c r="AH116" s="423"/>
      <c r="AI116" s="423"/>
      <c r="AJ116" s="423"/>
      <c r="AK116" s="423"/>
      <c r="AL116" s="423"/>
      <c r="AM116" s="423"/>
      <c r="AN116" s="423"/>
      <c r="AO116" s="423"/>
      <c r="AP116" s="423"/>
      <c r="AQ116" s="423"/>
      <c r="AR116" s="423"/>
      <c r="AY116" s="423"/>
      <c r="BE116" s="14"/>
    </row>
    <row r="117" spans="1:62" ht="20" hidden="1" outlineLevel="1">
      <c r="A117" s="80" t="s">
        <v>285</v>
      </c>
      <c r="B117" s="518"/>
      <c r="C117" s="71" t="s">
        <v>146</v>
      </c>
      <c r="D117" s="169"/>
      <c r="E117" s="169"/>
      <c r="F117" s="169"/>
      <c r="G117" s="407"/>
      <c r="H117" s="518"/>
      <c r="N117" s="518"/>
      <c r="S117" s="423"/>
      <c r="T117" s="518"/>
      <c r="U117" s="423"/>
      <c r="V117" s="423"/>
      <c r="W117" s="423"/>
      <c r="X117" s="423"/>
      <c r="Y117" s="423"/>
      <c r="Z117" s="423"/>
      <c r="AA117" s="423"/>
      <c r="AB117" s="423"/>
      <c r="AC117" s="423"/>
      <c r="AD117" s="423"/>
      <c r="AE117" s="423"/>
      <c r="AF117" s="504"/>
      <c r="AG117" s="423"/>
      <c r="AH117" s="423"/>
      <c r="AI117" s="423"/>
      <c r="AJ117" s="423"/>
      <c r="AK117" s="423"/>
      <c r="AL117" s="423"/>
      <c r="AM117" s="423"/>
      <c r="AN117" s="423"/>
      <c r="AO117" s="423"/>
      <c r="AP117" s="423"/>
      <c r="AQ117" s="423"/>
      <c r="AR117" s="423"/>
      <c r="AY117" s="423"/>
      <c r="BE117" s="14"/>
    </row>
    <row r="118" spans="1:62" ht="20" hidden="1" outlineLevel="1">
      <c r="A118" s="80" t="s">
        <v>320</v>
      </c>
      <c r="B118" s="518"/>
      <c r="C118" s="71" t="s">
        <v>146</v>
      </c>
      <c r="D118" s="169"/>
      <c r="E118" s="169"/>
      <c r="F118" s="169"/>
      <c r="G118" s="407"/>
      <c r="H118" s="518"/>
      <c r="N118" s="518"/>
      <c r="S118" s="423"/>
      <c r="T118" s="518"/>
      <c r="U118" s="423"/>
      <c r="V118" s="423"/>
      <c r="W118" s="423"/>
      <c r="X118" s="423"/>
      <c r="Y118" s="423"/>
      <c r="Z118" s="423"/>
      <c r="AA118" s="423"/>
      <c r="AB118" s="423"/>
      <c r="AC118" s="423"/>
      <c r="AD118" s="423"/>
      <c r="AE118" s="423"/>
      <c r="AF118" s="504"/>
      <c r="AG118" s="423"/>
      <c r="AH118" s="423"/>
      <c r="AI118" s="423"/>
      <c r="AJ118" s="423"/>
      <c r="AK118" s="423"/>
      <c r="AL118" s="423"/>
      <c r="AM118" s="423"/>
      <c r="AN118" s="423"/>
      <c r="AO118" s="423"/>
      <c r="AP118" s="423"/>
      <c r="AQ118" s="423"/>
      <c r="AR118" s="423"/>
      <c r="AY118" s="423"/>
      <c r="BE118" s="14"/>
    </row>
    <row r="119" spans="1:62" s="425" customFormat="1" ht="20" hidden="1" outlineLevel="1">
      <c r="A119" s="357" t="s">
        <v>321</v>
      </c>
      <c r="B119" s="71" t="s">
        <v>141</v>
      </c>
      <c r="C119" s="71" t="s">
        <v>146</v>
      </c>
      <c r="D119" s="354"/>
      <c r="E119" s="354"/>
      <c r="F119" s="354"/>
      <c r="G119" s="515"/>
      <c r="H119" s="71" t="s">
        <v>141</v>
      </c>
      <c r="I119" s="71" t="s">
        <v>141</v>
      </c>
      <c r="J119" s="43"/>
      <c r="K119" s="43"/>
      <c r="L119" s="43"/>
      <c r="M119" s="503"/>
      <c r="N119" s="71" t="s">
        <v>141</v>
      </c>
      <c r="O119" s="71" t="s">
        <v>141</v>
      </c>
      <c r="P119" s="43"/>
      <c r="Q119" s="43"/>
      <c r="R119" s="43"/>
      <c r="S119" s="43"/>
      <c r="T119" s="517"/>
      <c r="AF119" s="557"/>
      <c r="AZ119" s="43"/>
      <c r="BA119" s="43"/>
      <c r="BB119" s="43"/>
      <c r="BC119" s="43"/>
      <c r="BD119" s="43"/>
      <c r="BE119" s="43"/>
      <c r="BF119" s="43"/>
      <c r="BG119" s="43"/>
      <c r="BH119" s="43"/>
      <c r="BI119" s="43"/>
      <c r="BJ119" s="43"/>
    </row>
    <row r="120" spans="1:62" ht="20" hidden="1" outlineLevel="1">
      <c r="A120" s="628" t="s">
        <v>418</v>
      </c>
      <c r="B120" s="518"/>
      <c r="C120" s="71" t="s">
        <v>146</v>
      </c>
      <c r="D120" s="169"/>
      <c r="E120" s="169"/>
      <c r="F120" s="169"/>
      <c r="G120" s="407"/>
      <c r="H120" s="518"/>
      <c r="N120" s="518"/>
      <c r="T120" s="518"/>
      <c r="U120" s="423"/>
      <c r="V120" s="423"/>
      <c r="W120" s="423"/>
      <c r="X120" s="423"/>
      <c r="Y120" s="423"/>
      <c r="Z120" s="423"/>
      <c r="AA120" s="423"/>
      <c r="AB120" s="423"/>
      <c r="AC120" s="423"/>
      <c r="AD120" s="423"/>
      <c r="AE120" s="423"/>
      <c r="AF120" s="504"/>
      <c r="AG120" s="423"/>
      <c r="AH120" s="423"/>
      <c r="AI120" s="423"/>
      <c r="AJ120" s="423"/>
      <c r="AK120" s="423"/>
      <c r="AL120" s="423"/>
      <c r="AM120" s="423"/>
      <c r="AN120" s="423"/>
      <c r="AO120" s="423"/>
      <c r="AP120" s="423"/>
      <c r="AQ120" s="423"/>
      <c r="AR120" s="423"/>
      <c r="AY120" s="423"/>
      <c r="BE120" s="14"/>
    </row>
    <row r="121" spans="1:62" hidden="1" outlineLevel="1">
      <c r="A121" s="273"/>
      <c r="B121" s="518"/>
      <c r="C121" s="169"/>
      <c r="D121" s="169"/>
      <c r="E121" s="169"/>
      <c r="F121" s="169"/>
      <c r="G121" s="407"/>
      <c r="H121" s="518"/>
      <c r="N121" s="518"/>
      <c r="T121" s="518"/>
      <c r="U121" s="423"/>
      <c r="V121" s="423"/>
      <c r="W121" s="423"/>
      <c r="X121" s="423"/>
      <c r="Y121" s="423"/>
      <c r="Z121" s="423"/>
      <c r="AA121" s="423"/>
      <c r="AB121" s="423"/>
      <c r="AC121" s="423"/>
      <c r="AD121" s="423"/>
      <c r="AE121" s="423"/>
      <c r="AF121" s="504"/>
      <c r="AG121" s="423"/>
      <c r="AH121" s="423"/>
      <c r="AI121" s="423"/>
      <c r="AJ121" s="423"/>
      <c r="AK121" s="423"/>
      <c r="AL121" s="423"/>
      <c r="AM121" s="423"/>
      <c r="AN121" s="423"/>
      <c r="AO121" s="423"/>
      <c r="AP121" s="423"/>
      <c r="AQ121" s="423"/>
      <c r="AR121" s="423"/>
      <c r="AY121" s="423"/>
      <c r="BE121" s="14"/>
    </row>
    <row r="122" spans="1:62" s="425" customFormat="1" ht="27" hidden="1" customHeight="1" outlineLevel="1">
      <c r="A122" s="355" t="s">
        <v>355</v>
      </c>
      <c r="B122" s="502"/>
      <c r="C122" s="354">
        <v>1575</v>
      </c>
      <c r="D122" s="354">
        <f>C122</f>
        <v>1575</v>
      </c>
      <c r="E122" s="354">
        <f t="shared" ref="E122:G122" si="246">D122</f>
        <v>1575</v>
      </c>
      <c r="F122" s="354">
        <f t="shared" si="246"/>
        <v>1575</v>
      </c>
      <c r="G122" s="515">
        <f t="shared" si="246"/>
        <v>1575</v>
      </c>
      <c r="H122" s="529"/>
      <c r="I122" s="438">
        <f>C122</f>
        <v>1575</v>
      </c>
      <c r="J122" s="354">
        <f>D122</f>
        <v>1575</v>
      </c>
      <c r="K122" s="354">
        <f>E122</f>
        <v>1575</v>
      </c>
      <c r="L122" s="354">
        <f>F122</f>
        <v>1575</v>
      </c>
      <c r="M122" s="515"/>
      <c r="N122" s="529"/>
      <c r="O122" s="438">
        <f>I122</f>
        <v>1575</v>
      </c>
      <c r="P122" s="354">
        <f>J122</f>
        <v>1575</v>
      </c>
      <c r="Q122" s="354">
        <f>K122</f>
        <v>1575</v>
      </c>
      <c r="R122" s="354">
        <f>L122</f>
        <v>1575</v>
      </c>
      <c r="S122" s="43"/>
      <c r="T122" s="517"/>
      <c r="AF122" s="557"/>
      <c r="AZ122" s="43"/>
      <c r="BA122" s="43"/>
      <c r="BB122" s="43"/>
      <c r="BC122" s="43"/>
      <c r="BD122" s="43"/>
      <c r="BE122" s="43" t="s">
        <v>33</v>
      </c>
      <c r="BF122" s="43"/>
      <c r="BG122" s="43"/>
      <c r="BH122" s="43"/>
      <c r="BI122" s="43"/>
      <c r="BJ122" s="43"/>
    </row>
    <row r="123" spans="1:62" hidden="1" outlineLevel="1">
      <c r="A123" s="359"/>
      <c r="B123" s="518"/>
      <c r="D123" s="169"/>
      <c r="E123" s="169"/>
      <c r="F123" s="169"/>
      <c r="G123" s="407"/>
      <c r="O123" s="423"/>
      <c r="T123" s="518"/>
      <c r="U123" s="423"/>
      <c r="V123" s="423"/>
      <c r="W123" s="423"/>
      <c r="X123" s="423"/>
      <c r="Y123" s="423"/>
      <c r="Z123" s="423"/>
      <c r="AA123" s="423"/>
      <c r="AB123" s="423"/>
      <c r="AC123" s="423"/>
      <c r="AD123" s="423"/>
      <c r="AE123" s="423"/>
      <c r="AF123" s="504"/>
      <c r="AG123" s="423"/>
      <c r="AH123" s="423"/>
      <c r="AI123" s="423"/>
      <c r="AJ123" s="423"/>
      <c r="AK123" s="423"/>
      <c r="AL123" s="423"/>
      <c r="AM123" s="423"/>
      <c r="AN123" s="423"/>
      <c r="AO123" s="423"/>
      <c r="AP123" s="423"/>
      <c r="AQ123" s="423"/>
      <c r="AR123" s="423"/>
      <c r="AY123" s="423"/>
    </row>
    <row r="124" spans="1:62" ht="20" hidden="1" outlineLevel="1">
      <c r="A124" s="355" t="s">
        <v>369</v>
      </c>
      <c r="B124" s="581" t="s">
        <v>141</v>
      </c>
      <c r="C124" s="423"/>
      <c r="D124" s="423"/>
      <c r="E124" s="423"/>
      <c r="F124" s="423"/>
      <c r="G124" s="407"/>
      <c r="N124" s="581" t="s">
        <v>141</v>
      </c>
      <c r="O124" s="423"/>
      <c r="T124" s="581" t="s">
        <v>141</v>
      </c>
      <c r="U124" s="423"/>
      <c r="V124" s="423"/>
      <c r="W124" s="423"/>
      <c r="X124" s="423"/>
      <c r="Y124" s="423"/>
      <c r="Z124" s="423"/>
      <c r="AA124" s="423"/>
      <c r="AB124" s="423"/>
      <c r="AC124" s="423"/>
      <c r="AD124" s="423"/>
      <c r="AE124" s="423"/>
      <c r="AF124" s="504"/>
      <c r="AG124" s="423"/>
      <c r="AH124" s="423"/>
      <c r="AI124" s="423"/>
      <c r="AJ124" s="423"/>
      <c r="AK124" s="423"/>
      <c r="AL124" s="423"/>
      <c r="AM124" s="423"/>
      <c r="AN124" s="423"/>
      <c r="AO124" s="423"/>
      <c r="AP124" s="423"/>
      <c r="AQ124" s="423"/>
      <c r="AR124" s="423"/>
      <c r="AY124" s="423"/>
    </row>
    <row r="125" spans="1:62" ht="20" hidden="1" outlineLevel="1">
      <c r="A125" s="355" t="s">
        <v>370</v>
      </c>
      <c r="B125" s="581" t="s">
        <v>141</v>
      </c>
      <c r="C125" s="423"/>
      <c r="D125" s="423"/>
      <c r="E125" s="423"/>
      <c r="F125" s="423"/>
      <c r="G125" s="407"/>
      <c r="N125" s="581" t="s">
        <v>141</v>
      </c>
      <c r="O125" s="423"/>
      <c r="T125" s="581" t="s">
        <v>141</v>
      </c>
      <c r="U125" s="423"/>
      <c r="V125" s="423"/>
      <c r="W125" s="423"/>
      <c r="X125" s="423"/>
      <c r="Y125" s="423"/>
      <c r="Z125" s="423"/>
      <c r="AA125" s="423"/>
      <c r="AB125" s="423"/>
      <c r="AC125" s="423"/>
      <c r="AD125" s="423"/>
      <c r="AE125" s="423"/>
      <c r="AF125" s="504"/>
      <c r="AG125" s="423"/>
      <c r="AH125" s="423"/>
      <c r="AI125" s="423"/>
      <c r="AJ125" s="423"/>
      <c r="AK125" s="423"/>
      <c r="AL125" s="423"/>
      <c r="AM125" s="423"/>
      <c r="AN125" s="423"/>
      <c r="AO125" s="423"/>
      <c r="AP125" s="423"/>
      <c r="AQ125" s="423"/>
      <c r="AR125" s="423"/>
      <c r="AY125" s="423"/>
    </row>
    <row r="126" spans="1:62" hidden="1" outlineLevel="1">
      <c r="A126" s="359"/>
      <c r="B126" s="610" t="s">
        <v>406</v>
      </c>
      <c r="D126" s="169"/>
      <c r="E126" s="169"/>
      <c r="F126" s="169"/>
      <c r="G126" s="407"/>
      <c r="O126" s="423"/>
      <c r="T126" s="518"/>
      <c r="U126" s="423"/>
      <c r="V126" s="423"/>
      <c r="W126" s="423"/>
      <c r="X126" s="423"/>
      <c r="Y126" s="423"/>
      <c r="Z126" s="423"/>
      <c r="AA126" s="423"/>
      <c r="AB126" s="423"/>
      <c r="AC126" s="423"/>
      <c r="AD126" s="423"/>
      <c r="AE126" s="423"/>
      <c r="AF126" s="504"/>
      <c r="AG126" s="423"/>
      <c r="AH126" s="423"/>
      <c r="AI126" s="423"/>
      <c r="AJ126" s="423"/>
      <c r="AK126" s="423"/>
      <c r="AL126" s="423"/>
      <c r="AM126" s="423"/>
      <c r="AN126" s="423"/>
      <c r="AO126" s="423"/>
      <c r="AP126" s="423"/>
      <c r="AQ126" s="423"/>
      <c r="AR126" s="423"/>
      <c r="AY126" s="423"/>
    </row>
    <row r="127" spans="1:62" s="456" customFormat="1" ht="20" hidden="1" outlineLevel="1">
      <c r="A127" s="455" t="s">
        <v>360</v>
      </c>
      <c r="B127" s="524"/>
      <c r="C127" s="457"/>
      <c r="D127" s="458"/>
      <c r="E127" s="458"/>
      <c r="F127" s="458"/>
      <c r="G127" s="525"/>
      <c r="H127" s="548"/>
      <c r="I127" s="457"/>
      <c r="J127" s="457"/>
      <c r="K127" s="457"/>
      <c r="L127" s="457"/>
      <c r="M127" s="549"/>
      <c r="N127" s="548"/>
      <c r="P127" s="457"/>
      <c r="Q127" s="457"/>
      <c r="R127" s="457"/>
      <c r="S127" s="457"/>
      <c r="T127" s="524"/>
      <c r="AF127" s="566"/>
      <c r="AZ127" s="457"/>
      <c r="BA127" s="457"/>
      <c r="BB127" s="457"/>
      <c r="BC127" s="457"/>
      <c r="BD127" s="457"/>
      <c r="BE127" s="457"/>
      <c r="BF127" s="457"/>
      <c r="BG127" s="457"/>
      <c r="BH127" s="457"/>
      <c r="BI127" s="457"/>
      <c r="BJ127" s="457"/>
    </row>
    <row r="128" spans="1:62" s="2" customFormat="1" hidden="1" outlineLevel="1">
      <c r="A128" s="15" t="s">
        <v>359</v>
      </c>
      <c r="B128" s="526">
        <v>400000</v>
      </c>
      <c r="C128" s="526">
        <v>400000</v>
      </c>
      <c r="D128" s="526">
        <v>400000</v>
      </c>
      <c r="E128" s="526">
        <v>400000</v>
      </c>
      <c r="F128" s="526">
        <v>400000</v>
      </c>
      <c r="G128" s="295"/>
      <c r="H128" s="87"/>
      <c r="I128" s="1"/>
      <c r="J128" s="1"/>
      <c r="K128" s="1"/>
      <c r="L128" s="1"/>
      <c r="M128" s="295"/>
      <c r="N128" s="87"/>
      <c r="O128" s="1"/>
      <c r="P128" s="1"/>
      <c r="Q128" s="1"/>
      <c r="R128" s="1"/>
      <c r="S128" s="1"/>
      <c r="T128" s="87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295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</row>
    <row r="129" spans="1:62" s="2" customFormat="1" hidden="1" outlineLevel="1">
      <c r="A129" s="15" t="s">
        <v>371</v>
      </c>
      <c r="B129" s="15">
        <v>547</v>
      </c>
      <c r="C129" s="15">
        <v>547</v>
      </c>
      <c r="D129" s="15">
        <v>547</v>
      </c>
      <c r="E129" s="15">
        <v>547</v>
      </c>
      <c r="F129" s="15">
        <v>547</v>
      </c>
      <c r="G129" s="295"/>
      <c r="H129" s="87"/>
      <c r="I129" s="1"/>
      <c r="J129" s="1"/>
      <c r="K129" s="1"/>
      <c r="L129" s="1"/>
      <c r="M129" s="295"/>
      <c r="N129" s="87"/>
      <c r="O129" s="1"/>
      <c r="P129" s="1"/>
      <c r="Q129" s="1"/>
      <c r="R129" s="1"/>
      <c r="S129" s="1"/>
      <c r="T129" s="87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295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</row>
    <row r="130" spans="1:62" ht="20" hidden="1" outlineLevel="1">
      <c r="A130" s="1" t="s">
        <v>372</v>
      </c>
      <c r="B130" s="527">
        <f>B128/B129</f>
        <v>731.26142595978058</v>
      </c>
      <c r="C130" s="527">
        <f>C128/C129</f>
        <v>731.26142595978058</v>
      </c>
      <c r="D130" s="527">
        <f t="shared" ref="D130:F130" si="247">D128/D129</f>
        <v>731.26142595978058</v>
      </c>
      <c r="E130" s="527">
        <f t="shared" si="247"/>
        <v>731.26142595978058</v>
      </c>
      <c r="F130" s="527">
        <f t="shared" si="247"/>
        <v>731.26142595978058</v>
      </c>
    </row>
    <row r="131" spans="1:62" hidden="1" outlineLevel="1"/>
    <row r="132" spans="1:62" hidden="1" outlineLevel="1"/>
    <row r="133" spans="1:62" hidden="1" outlineLevel="1"/>
    <row r="134" spans="1:62" collapsed="1"/>
  </sheetData>
  <mergeCells count="3">
    <mergeCell ref="T1:AF1"/>
    <mergeCell ref="T2:Y2"/>
    <mergeCell ref="Z2:AE2"/>
  </mergeCells>
  <pageMargins left="0.7" right="0.7" top="0.75" bottom="0.75" header="0.3" footer="0.3"/>
  <legacy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A59CFF-7D53-7347-9E36-1394251406F2}">
  <sheetPr codeName="Лист25"/>
  <dimension ref="A1:N130"/>
  <sheetViews>
    <sheetView topLeftCell="A77" zoomScale="110" zoomScaleNormal="110" workbookViewId="0">
      <selection activeCell="H58" sqref="H58"/>
    </sheetView>
  </sheetViews>
  <sheetFormatPr baseColWidth="10" defaultColWidth="10.6640625" defaultRowHeight="16"/>
  <cols>
    <col min="1" max="1" width="49.6640625" customWidth="1"/>
    <col min="2" max="2" width="13.5" customWidth="1"/>
    <col min="3" max="5" width="16.1640625" customWidth="1"/>
    <col min="7" max="7" width="12" customWidth="1"/>
    <col min="8" max="8" width="19.5" customWidth="1"/>
    <col min="9" max="9" width="15.5" customWidth="1"/>
    <col min="10" max="10" width="16" customWidth="1"/>
  </cols>
  <sheetData>
    <row r="1" spans="1:1">
      <c r="A1" t="s">
        <v>216</v>
      </c>
    </row>
    <row r="3" spans="1:1" s="763" customFormat="1" ht="26">
      <c r="A3" s="763" t="s">
        <v>487</v>
      </c>
    </row>
    <row r="25" spans="1:9" ht="17" customHeight="1">
      <c r="A25" s="709" t="s">
        <v>450</v>
      </c>
      <c r="B25" s="699"/>
      <c r="C25" s="695">
        <v>2026</v>
      </c>
      <c r="D25" s="695">
        <v>2026</v>
      </c>
      <c r="E25" s="695">
        <v>2026</v>
      </c>
      <c r="F25" s="695">
        <v>2026</v>
      </c>
      <c r="G25" s="695">
        <v>2026</v>
      </c>
      <c r="H25" s="7" t="s">
        <v>480</v>
      </c>
    </row>
    <row r="26" spans="1:9" ht="17" customHeight="1">
      <c r="A26" s="699" t="s">
        <v>456</v>
      </c>
      <c r="B26" s="699"/>
      <c r="C26" s="695" t="s">
        <v>451</v>
      </c>
      <c r="D26" s="695" t="s">
        <v>452</v>
      </c>
      <c r="E26" s="695" t="s">
        <v>453</v>
      </c>
      <c r="F26" s="695" t="s">
        <v>454</v>
      </c>
      <c r="G26" s="695" t="s">
        <v>455</v>
      </c>
      <c r="H26" s="7"/>
    </row>
    <row r="27" spans="1:9" ht="17" customHeight="1">
      <c r="A27" s="699"/>
      <c r="B27" s="694"/>
      <c r="C27" s="695">
        <v>1</v>
      </c>
      <c r="D27" s="695">
        <v>2</v>
      </c>
      <c r="E27" s="695">
        <v>3</v>
      </c>
      <c r="F27" s="695">
        <v>4</v>
      </c>
      <c r="G27" s="695">
        <v>5</v>
      </c>
      <c r="H27" s="7"/>
    </row>
    <row r="28" spans="1:9" ht="17" customHeight="1">
      <c r="A28" s="699"/>
      <c r="B28" s="694"/>
      <c r="C28" s="695">
        <v>1</v>
      </c>
      <c r="D28" s="695">
        <v>1</v>
      </c>
      <c r="E28" s="695">
        <v>1</v>
      </c>
      <c r="F28" s="695">
        <v>2</v>
      </c>
      <c r="G28" s="695">
        <v>2</v>
      </c>
      <c r="H28" s="7"/>
    </row>
    <row r="29" spans="1:9" ht="28" customHeight="1">
      <c r="A29" s="704" t="s">
        <v>458</v>
      </c>
      <c r="B29" s="705" t="s">
        <v>459</v>
      </c>
      <c r="C29" s="703">
        <v>29.2</v>
      </c>
      <c r="D29" s="703">
        <v>37.4</v>
      </c>
      <c r="E29" s="703">
        <v>47.1</v>
      </c>
      <c r="F29" s="703">
        <v>23.3</v>
      </c>
      <c r="G29" s="703">
        <v>42.7</v>
      </c>
      <c r="H29" s="707">
        <f>AVERAGE(D29:G29)</f>
        <v>37.625</v>
      </c>
      <c r="I29" s="701"/>
    </row>
    <row r="30" spans="1:9" ht="28" customHeight="1">
      <c r="A30" s="710" t="s">
        <v>479</v>
      </c>
      <c r="B30" s="711"/>
      <c r="C30" s="712">
        <f>C31+C32</f>
        <v>11.6</v>
      </c>
      <c r="D30" s="712">
        <f t="shared" ref="D30" si="0">D31+D32</f>
        <v>13.8</v>
      </c>
      <c r="E30" s="712">
        <f t="shared" ref="E30" si="1">E31+E32</f>
        <v>13.4</v>
      </c>
      <c r="F30" s="712">
        <f t="shared" ref="F30" si="2">F31+F32</f>
        <v>9.6</v>
      </c>
      <c r="G30" s="712">
        <f t="shared" ref="G30" si="3">G31+G32</f>
        <v>16.899999999999999</v>
      </c>
      <c r="H30" s="786">
        <f>AVERAGE(D30:G30)</f>
        <v>13.425000000000001</v>
      </c>
      <c r="I30" s="701"/>
    </row>
    <row r="31" spans="1:9" ht="28" customHeight="1">
      <c r="A31" s="700" t="s">
        <v>468</v>
      </c>
      <c r="B31" s="696" t="s">
        <v>459</v>
      </c>
      <c r="C31" s="697">
        <v>4.3</v>
      </c>
      <c r="D31" s="697">
        <v>4.7</v>
      </c>
      <c r="E31" s="697">
        <v>6.2</v>
      </c>
      <c r="F31" s="697">
        <v>3.3</v>
      </c>
      <c r="G31" s="697">
        <v>8.4</v>
      </c>
      <c r="H31" s="786">
        <f>AVERAGE(D31:G31)</f>
        <v>5.65</v>
      </c>
    </row>
    <row r="32" spans="1:9" ht="28" customHeight="1">
      <c r="A32" s="700" t="s">
        <v>469</v>
      </c>
      <c r="B32" s="696" t="s">
        <v>459</v>
      </c>
      <c r="C32" s="697">
        <v>7.3</v>
      </c>
      <c r="D32" s="697">
        <v>9.1</v>
      </c>
      <c r="E32" s="697">
        <v>7.2</v>
      </c>
      <c r="F32" s="697">
        <v>6.3</v>
      </c>
      <c r="G32" s="697">
        <v>8.5</v>
      </c>
      <c r="H32" s="786">
        <f>AVERAGE(D32:G32)</f>
        <v>7.7750000000000004</v>
      </c>
      <c r="I32" s="701"/>
    </row>
    <row r="33" spans="1:14" ht="26" customHeight="1">
      <c r="A33" s="710" t="s">
        <v>478</v>
      </c>
      <c r="B33" s="196"/>
      <c r="C33" s="712">
        <f>C34+C35</f>
        <v>15.399999999999999</v>
      </c>
      <c r="D33" s="712">
        <f t="shared" ref="D33" si="4">D34+D35</f>
        <v>21.6</v>
      </c>
      <c r="E33" s="712">
        <f t="shared" ref="E33" si="5">E34+E35</f>
        <v>27.5</v>
      </c>
      <c r="F33" s="712">
        <f t="shared" ref="F33" si="6">F34+F35</f>
        <v>13.799999999999999</v>
      </c>
      <c r="G33" s="712">
        <f t="shared" ref="G33" si="7">G34+G35</f>
        <v>26.2</v>
      </c>
      <c r="H33" s="713">
        <f>AVERAGE(D33:G33)</f>
        <v>22.274999999999999</v>
      </c>
      <c r="I33" s="701"/>
    </row>
    <row r="34" spans="1:14" ht="26" customHeight="1">
      <c r="A34" s="700" t="s">
        <v>466</v>
      </c>
      <c r="B34" s="696" t="s">
        <v>459</v>
      </c>
      <c r="C34" s="697">
        <v>12.1</v>
      </c>
      <c r="D34" s="697">
        <v>17.2</v>
      </c>
      <c r="E34" s="697">
        <v>22.8</v>
      </c>
      <c r="F34" s="697">
        <v>11.2</v>
      </c>
      <c r="G34" s="697">
        <v>21</v>
      </c>
    </row>
    <row r="35" spans="1:14" ht="26" customHeight="1">
      <c r="A35" s="700" t="s">
        <v>467</v>
      </c>
      <c r="B35" s="696" t="s">
        <v>459</v>
      </c>
      <c r="C35" s="697">
        <v>3.3</v>
      </c>
      <c r="D35" s="697">
        <v>4.4000000000000004</v>
      </c>
      <c r="E35" s="697">
        <v>4.7</v>
      </c>
      <c r="F35" s="697">
        <v>2.6</v>
      </c>
      <c r="G35" s="697">
        <v>5.2</v>
      </c>
    </row>
    <row r="36" spans="1:14" s="196" customFormat="1" ht="15" customHeight="1">
      <c r="A36" s="710" t="s">
        <v>488</v>
      </c>
      <c r="C36" s="765">
        <f>C29-C30-C33</f>
        <v>2.2000000000000028</v>
      </c>
      <c r="D36" s="765">
        <f t="shared" ref="D36:G36" si="8">D29-D30-D33</f>
        <v>1.9999999999999964</v>
      </c>
      <c r="E36" s="765">
        <f t="shared" si="8"/>
        <v>6.2000000000000028</v>
      </c>
      <c r="F36" s="765">
        <f t="shared" si="8"/>
        <v>-9.9999999999997868E-2</v>
      </c>
      <c r="G36" s="765">
        <f t="shared" si="8"/>
        <v>-0.39999999999999503</v>
      </c>
    </row>
    <row r="37" spans="1:14" ht="15" customHeight="1">
      <c r="H37" t="s">
        <v>477</v>
      </c>
      <c r="J37" t="s">
        <v>483</v>
      </c>
    </row>
    <row r="38" spans="1:14" ht="15" customHeight="1">
      <c r="A38" s="709" t="s">
        <v>450</v>
      </c>
      <c r="B38" s="699"/>
      <c r="C38" s="695">
        <v>2026</v>
      </c>
      <c r="D38" s="695">
        <v>2026</v>
      </c>
      <c r="E38" s="695">
        <v>2026</v>
      </c>
      <c r="F38" s="695">
        <v>2026</v>
      </c>
      <c r="G38" s="695">
        <v>2026</v>
      </c>
      <c r="H38" t="s">
        <v>490</v>
      </c>
      <c r="I38" t="s">
        <v>476</v>
      </c>
      <c r="J38" t="s">
        <v>476</v>
      </c>
    </row>
    <row r="39" spans="1:14" ht="15" customHeight="1">
      <c r="A39" s="699" t="s">
        <v>456</v>
      </c>
      <c r="B39" s="699"/>
      <c r="C39" s="695" t="s">
        <v>451</v>
      </c>
      <c r="D39" s="695" t="s">
        <v>452</v>
      </c>
      <c r="E39" s="695" t="s">
        <v>453</v>
      </c>
      <c r="F39" s="695" t="s">
        <v>454</v>
      </c>
      <c r="G39" s="695" t="s">
        <v>455</v>
      </c>
    </row>
    <row r="40" spans="1:14" ht="15" customHeight="1">
      <c r="A40" s="699"/>
      <c r="B40" s="694"/>
      <c r="C40" s="695">
        <v>1</v>
      </c>
      <c r="D40" s="695">
        <v>2</v>
      </c>
      <c r="E40" s="695">
        <v>3</v>
      </c>
      <c r="F40" s="695">
        <v>4</v>
      </c>
      <c r="G40" s="695">
        <v>5</v>
      </c>
    </row>
    <row r="41" spans="1:14" ht="15" customHeight="1">
      <c r="A41" s="699"/>
      <c r="B41" s="694"/>
      <c r="C41" s="695">
        <v>1</v>
      </c>
      <c r="D41" s="695">
        <v>1</v>
      </c>
      <c r="E41" s="695">
        <v>1</v>
      </c>
      <c r="F41" s="695">
        <v>2</v>
      </c>
      <c r="G41" s="695">
        <v>2</v>
      </c>
      <c r="N41" s="706">
        <f>F43-E87</f>
        <v>-2.3999999999999986</v>
      </c>
    </row>
    <row r="42" spans="1:14">
      <c r="A42" s="704" t="s">
        <v>457</v>
      </c>
      <c r="B42" s="705"/>
      <c r="C42" s="703">
        <v>59.5</v>
      </c>
      <c r="D42" s="703">
        <v>72</v>
      </c>
      <c r="E42" s="703">
        <v>94.6</v>
      </c>
      <c r="F42" s="703">
        <v>43.1</v>
      </c>
      <c r="G42" s="703">
        <v>82.7</v>
      </c>
      <c r="K42" s="611" t="s">
        <v>475</v>
      </c>
    </row>
    <row r="43" spans="1:14">
      <c r="A43" s="704" t="s">
        <v>458</v>
      </c>
      <c r="B43" s="705" t="s">
        <v>459</v>
      </c>
      <c r="C43" s="703">
        <v>29.2</v>
      </c>
      <c r="D43" s="703">
        <v>37.4</v>
      </c>
      <c r="E43" s="703">
        <v>47.1</v>
      </c>
      <c r="F43" s="703">
        <v>23.3</v>
      </c>
      <c r="G43" s="703">
        <v>42.7</v>
      </c>
      <c r="H43" s="707">
        <f>AVERAGE(D43:G43)</f>
        <v>37.625</v>
      </c>
      <c r="I43" s="720">
        <f>AVERAGE(C43:F43)</f>
        <v>34.25</v>
      </c>
      <c r="J43" s="721">
        <f>F87</f>
        <v>28.150000000000002</v>
      </c>
      <c r="K43" s="706">
        <f>C43-B87</f>
        <v>5.0999999999999979</v>
      </c>
      <c r="L43" s="706">
        <f>D43-C87</f>
        <v>9.5999999999999979</v>
      </c>
      <c r="M43" s="706">
        <f>E43-D87</f>
        <v>12.100000000000001</v>
      </c>
    </row>
    <row r="44" spans="1:14">
      <c r="A44" s="710" t="s">
        <v>460</v>
      </c>
      <c r="B44" s="711" t="s">
        <v>459</v>
      </c>
      <c r="C44" s="712">
        <v>1.6</v>
      </c>
      <c r="D44" s="712">
        <v>1.5</v>
      </c>
      <c r="E44" s="712">
        <v>1.7</v>
      </c>
      <c r="F44" s="712">
        <v>1.5</v>
      </c>
      <c r="G44" s="712">
        <v>1.5</v>
      </c>
      <c r="H44" s="707">
        <f>AVERAGE(D44:G44)</f>
        <v>1.55</v>
      </c>
    </row>
    <row r="46" spans="1:14">
      <c r="A46" s="700" t="s">
        <v>461</v>
      </c>
      <c r="B46" s="696" t="s">
        <v>462</v>
      </c>
      <c r="C46" s="697">
        <v>9.1999999999999993</v>
      </c>
      <c r="D46" s="697">
        <v>13.7</v>
      </c>
      <c r="E46" s="697">
        <v>12</v>
      </c>
      <c r="F46" s="697">
        <v>8.6999999999999993</v>
      </c>
      <c r="G46" s="697">
        <v>7.5</v>
      </c>
    </row>
    <row r="47" spans="1:14" ht="30">
      <c r="A47" s="710" t="s">
        <v>463</v>
      </c>
      <c r="B47" s="711" t="s">
        <v>459</v>
      </c>
      <c r="C47" s="712">
        <v>2</v>
      </c>
      <c r="D47" s="712">
        <v>1.4</v>
      </c>
      <c r="E47" s="712">
        <v>1.7</v>
      </c>
      <c r="F47" s="712">
        <v>2.4</v>
      </c>
      <c r="G47" s="712">
        <v>2.5</v>
      </c>
      <c r="H47" s="713">
        <f>AVERAGE(D47:G47)</f>
        <v>2</v>
      </c>
    </row>
    <row r="48" spans="1:14">
      <c r="A48" s="700"/>
      <c r="B48" s="696"/>
      <c r="C48" s="708"/>
      <c r="D48" s="708"/>
      <c r="E48" s="708"/>
      <c r="F48" s="708"/>
      <c r="G48" s="708"/>
    </row>
    <row r="50" spans="1:11">
      <c r="A50" s="700" t="s">
        <v>464</v>
      </c>
      <c r="B50" s="696" t="s">
        <v>465</v>
      </c>
      <c r="C50" s="698">
        <v>671</v>
      </c>
      <c r="D50" s="698">
        <v>556</v>
      </c>
      <c r="E50" s="698">
        <v>490</v>
      </c>
      <c r="F50" s="698">
        <v>895</v>
      </c>
      <c r="G50" s="698">
        <v>441</v>
      </c>
    </row>
    <row r="51" spans="1:11" ht="30">
      <c r="A51" s="710" t="s">
        <v>466</v>
      </c>
      <c r="B51" s="711" t="s">
        <v>459</v>
      </c>
      <c r="C51" s="712">
        <v>12.1</v>
      </c>
      <c r="D51" s="712">
        <v>17.2</v>
      </c>
      <c r="E51" s="712">
        <v>22.8</v>
      </c>
      <c r="F51" s="712">
        <v>11.2</v>
      </c>
      <c r="G51" s="712">
        <v>21</v>
      </c>
    </row>
    <row r="52" spans="1:11" ht="30">
      <c r="A52" s="710" t="s">
        <v>467</v>
      </c>
      <c r="B52" s="711" t="s">
        <v>459</v>
      </c>
      <c r="C52" s="712">
        <v>3.3</v>
      </c>
      <c r="D52" s="712">
        <v>4.4000000000000004</v>
      </c>
      <c r="E52" s="712">
        <v>4.7</v>
      </c>
      <c r="F52" s="712">
        <v>2.6</v>
      </c>
      <c r="G52" s="712">
        <v>5.2</v>
      </c>
    </row>
    <row r="53" spans="1:11">
      <c r="A53" s="710" t="s">
        <v>468</v>
      </c>
      <c r="B53" s="711" t="s">
        <v>459</v>
      </c>
      <c r="C53" s="712">
        <v>4.3</v>
      </c>
      <c r="D53" s="712">
        <v>4.7</v>
      </c>
      <c r="E53" s="712">
        <v>6.2</v>
      </c>
      <c r="F53" s="712">
        <v>3.3</v>
      </c>
      <c r="G53" s="712">
        <v>8.4</v>
      </c>
    </row>
    <row r="54" spans="1:11">
      <c r="A54" s="710" t="s">
        <v>469</v>
      </c>
      <c r="B54" s="711" t="s">
        <v>459</v>
      </c>
      <c r="C54" s="712">
        <v>7.3</v>
      </c>
      <c r="D54" s="712">
        <v>9.1</v>
      </c>
      <c r="E54" s="712">
        <v>7.2</v>
      </c>
      <c r="F54" s="712">
        <v>6.3</v>
      </c>
      <c r="G54" s="712">
        <v>8.5</v>
      </c>
    </row>
    <row r="55" spans="1:11">
      <c r="A55" s="700" t="s">
        <v>470</v>
      </c>
      <c r="B55" s="696" t="s">
        <v>471</v>
      </c>
      <c r="C55" s="697">
        <v>18.3</v>
      </c>
      <c r="D55" s="697">
        <v>14.2</v>
      </c>
      <c r="E55" s="697">
        <v>11.9</v>
      </c>
      <c r="F55" s="697">
        <v>24.4</v>
      </c>
      <c r="G55" s="697">
        <v>13.7</v>
      </c>
    </row>
    <row r="56" spans="1:11">
      <c r="A56" s="700" t="s">
        <v>472</v>
      </c>
      <c r="B56" s="696" t="s">
        <v>459</v>
      </c>
      <c r="C56" s="697">
        <v>27.3</v>
      </c>
      <c r="D56" s="697">
        <v>25.5</v>
      </c>
      <c r="E56" s="697">
        <v>24.2</v>
      </c>
      <c r="F56" s="697">
        <v>27.3</v>
      </c>
      <c r="G56" s="697">
        <v>31.2</v>
      </c>
    </row>
    <row r="58" spans="1:11">
      <c r="A58" s="716" t="s">
        <v>473</v>
      </c>
      <c r="B58" s="718" t="s">
        <v>474</v>
      </c>
      <c r="C58" s="717">
        <v>34</v>
      </c>
      <c r="D58" s="717">
        <v>207</v>
      </c>
      <c r="E58" s="717">
        <v>238</v>
      </c>
      <c r="F58" s="717">
        <v>226</v>
      </c>
      <c r="G58" s="717">
        <v>177</v>
      </c>
      <c r="H58" s="719">
        <f>AVERAGE(D58:G58)</f>
        <v>212</v>
      </c>
      <c r="J58">
        <f>2.7*30</f>
        <v>81</v>
      </c>
      <c r="K58" t="s">
        <v>493</v>
      </c>
    </row>
    <row r="60" spans="1:11" ht="30">
      <c r="A60" s="704" t="s">
        <v>482</v>
      </c>
      <c r="B60" s="705"/>
      <c r="C60" s="715">
        <f>SUM(C51:C54)+C47</f>
        <v>29</v>
      </c>
      <c r="D60" s="715">
        <f t="shared" ref="D60:G60" si="9">SUM(D51:D54)+D47</f>
        <v>36.799999999999997</v>
      </c>
      <c r="E60" s="715">
        <f t="shared" si="9"/>
        <v>42.600000000000009</v>
      </c>
      <c r="F60" s="715">
        <f t="shared" si="9"/>
        <v>25.799999999999997</v>
      </c>
      <c r="G60" s="715">
        <f t="shared" si="9"/>
        <v>45.6</v>
      </c>
    </row>
    <row r="61" spans="1:11">
      <c r="A61" s="704" t="s">
        <v>481</v>
      </c>
      <c r="B61" s="705"/>
      <c r="C61" s="714">
        <f>C43+SUM(C51:C54)+C44+C47</f>
        <v>59.800000000000004</v>
      </c>
      <c r="D61" s="714">
        <f t="shared" ref="D61:G61" si="10">D43+SUM(D51:D54)+D44+D47</f>
        <v>75.7</v>
      </c>
      <c r="E61" s="714">
        <f t="shared" si="10"/>
        <v>91.4</v>
      </c>
      <c r="F61" s="714">
        <f t="shared" si="10"/>
        <v>50.6</v>
      </c>
      <c r="G61" s="714">
        <f t="shared" si="10"/>
        <v>89.800000000000011</v>
      </c>
    </row>
    <row r="64" spans="1:11" s="763" customFormat="1" ht="26">
      <c r="A64" s="763" t="s">
        <v>486</v>
      </c>
    </row>
    <row r="76" spans="1:6">
      <c r="A76" s="172"/>
      <c r="B76" s="695">
        <v>2026</v>
      </c>
      <c r="C76" s="695">
        <v>2026</v>
      </c>
      <c r="D76" s="695">
        <v>2026</v>
      </c>
      <c r="E76" s="695">
        <v>2026</v>
      </c>
    </row>
    <row r="77" spans="1:6">
      <c r="A77" s="172"/>
      <c r="B77" s="695" t="s">
        <v>451</v>
      </c>
      <c r="C77" s="695" t="s">
        <v>452</v>
      </c>
      <c r="D77" s="695" t="s">
        <v>453</v>
      </c>
      <c r="E77" s="695" t="s">
        <v>454</v>
      </c>
    </row>
    <row r="78" spans="1:6">
      <c r="A78" s="173" t="s">
        <v>217</v>
      </c>
      <c r="B78" s="174">
        <v>36900000</v>
      </c>
      <c r="C78" s="174"/>
      <c r="D78" s="174"/>
      <c r="E78" s="174"/>
      <c r="F78" s="175"/>
    </row>
    <row r="79" spans="1:6">
      <c r="A79" s="176" t="s">
        <v>218</v>
      </c>
      <c r="B79" s="172"/>
      <c r="C79" s="172"/>
      <c r="D79" s="172"/>
      <c r="E79" s="172"/>
      <c r="F79" s="177"/>
    </row>
    <row r="80" spans="1:6">
      <c r="A80" s="176"/>
      <c r="B80" s="172"/>
      <c r="C80" s="172"/>
      <c r="D80" s="172"/>
      <c r="E80" s="172"/>
      <c r="F80" s="177"/>
    </row>
    <row r="81" spans="1:9">
      <c r="A81" s="176" t="s">
        <v>219</v>
      </c>
      <c r="B81" s="172">
        <v>754</v>
      </c>
      <c r="C81" s="172"/>
      <c r="D81" s="172"/>
      <c r="E81" s="172"/>
      <c r="F81" s="177"/>
    </row>
    <row r="82" spans="1:9">
      <c r="A82" s="176" t="s">
        <v>220</v>
      </c>
      <c r="B82" s="172">
        <v>10974</v>
      </c>
      <c r="C82" s="172"/>
      <c r="D82" s="172"/>
      <c r="E82" s="172"/>
      <c r="F82" s="177"/>
    </row>
    <row r="83" spans="1:9">
      <c r="A83" s="176"/>
      <c r="B83" s="172"/>
      <c r="C83" s="172"/>
      <c r="D83" s="172"/>
      <c r="E83" s="172"/>
      <c r="F83" s="177"/>
    </row>
    <row r="84" spans="1:9">
      <c r="A84" s="178" t="s">
        <v>221</v>
      </c>
      <c r="B84" s="172">
        <v>24100</v>
      </c>
      <c r="C84" s="172">
        <v>27800</v>
      </c>
      <c r="D84" s="172">
        <v>35000</v>
      </c>
      <c r="E84" s="172">
        <v>25700</v>
      </c>
      <c r="F84" s="179">
        <f>AVERAGE(B84:E84)</f>
        <v>28150</v>
      </c>
      <c r="G84" s="611" t="s">
        <v>409</v>
      </c>
      <c r="H84" s="180" t="s">
        <v>408</v>
      </c>
      <c r="I84" s="180"/>
    </row>
    <row r="85" spans="1:9">
      <c r="A85" s="181" t="s">
        <v>222</v>
      </c>
      <c r="B85" s="182">
        <v>1600</v>
      </c>
      <c r="C85" s="182">
        <v>1500</v>
      </c>
      <c r="D85" s="182">
        <v>1700</v>
      </c>
      <c r="E85" s="182">
        <v>1500</v>
      </c>
      <c r="F85" s="183">
        <f>AVERAGE(B85:E85)</f>
        <v>1575</v>
      </c>
    </row>
    <row r="86" spans="1:9">
      <c r="A86" s="172"/>
      <c r="B86" s="172"/>
      <c r="C86" s="172"/>
      <c r="D86" s="172"/>
      <c r="E86" s="172"/>
      <c r="F86" s="172"/>
    </row>
    <row r="87" spans="1:9">
      <c r="A87" s="172"/>
      <c r="B87" s="702">
        <v>24.1</v>
      </c>
      <c r="C87" s="702">
        <v>27.8</v>
      </c>
      <c r="D87" s="702">
        <v>35</v>
      </c>
      <c r="E87" s="702">
        <v>25.7</v>
      </c>
      <c r="F87" s="177">
        <f>AVERAGE(B87:E87)</f>
        <v>28.150000000000002</v>
      </c>
    </row>
    <row r="88" spans="1:9" s="763" customFormat="1" ht="26">
      <c r="A88" s="763" t="s">
        <v>63</v>
      </c>
    </row>
    <row r="89" spans="1:9">
      <c r="A89" s="7" t="s">
        <v>410</v>
      </c>
      <c r="B89" s="172"/>
      <c r="C89" s="172"/>
      <c r="D89" s="172"/>
      <c r="E89" s="172"/>
      <c r="F89" s="172"/>
    </row>
    <row r="90" spans="1:9">
      <c r="A90" s="184" t="s">
        <v>64</v>
      </c>
      <c r="B90" s="184" t="s">
        <v>63</v>
      </c>
      <c r="C90" s="185" t="s">
        <v>197</v>
      </c>
      <c r="D90" s="172"/>
      <c r="E90" s="172"/>
      <c r="F90" s="172"/>
    </row>
    <row r="91" spans="1:9">
      <c r="A91" s="176" t="s">
        <v>62</v>
      </c>
      <c r="B91" s="186">
        <v>58146</v>
      </c>
      <c r="C91" s="177" t="s">
        <v>146</v>
      </c>
      <c r="D91" s="172"/>
      <c r="E91" s="172"/>
      <c r="F91" s="172"/>
    </row>
    <row r="92" spans="1:9">
      <c r="A92" s="176" t="s">
        <v>65</v>
      </c>
      <c r="B92" s="186">
        <v>35293.5</v>
      </c>
      <c r="C92" s="177" t="s">
        <v>146</v>
      </c>
      <c r="D92" s="172"/>
      <c r="E92" s="172"/>
      <c r="F92" s="172"/>
    </row>
    <row r="93" spans="1:9">
      <c r="A93" s="176" t="s">
        <v>66</v>
      </c>
      <c r="B93" s="186">
        <v>22557</v>
      </c>
      <c r="C93" s="177" t="s">
        <v>146</v>
      </c>
      <c r="D93" s="172"/>
      <c r="E93" s="172"/>
      <c r="F93" s="172"/>
    </row>
    <row r="94" spans="1:9">
      <c r="A94" s="187" t="s">
        <v>31</v>
      </c>
      <c r="B94" s="188">
        <v>14103</v>
      </c>
      <c r="C94" s="189" t="s">
        <v>146</v>
      </c>
      <c r="D94" s="172"/>
      <c r="E94" s="172"/>
      <c r="F94" s="172"/>
    </row>
    <row r="95" spans="1:9">
      <c r="A95" s="172"/>
      <c r="B95" s="172"/>
      <c r="C95" s="172"/>
      <c r="D95" s="172"/>
      <c r="E95" s="172"/>
      <c r="F95" s="172"/>
    </row>
    <row r="97" spans="1:5">
      <c r="A97" s="7" t="s">
        <v>326</v>
      </c>
    </row>
    <row r="109" spans="1:5">
      <c r="A109" s="184" t="s">
        <v>64</v>
      </c>
      <c r="B109" s="366" t="s">
        <v>330</v>
      </c>
      <c r="C109" s="366" t="s">
        <v>63</v>
      </c>
      <c r="D109" s="185" t="s">
        <v>197</v>
      </c>
      <c r="E109" s="375" t="s">
        <v>331</v>
      </c>
    </row>
    <row r="110" spans="1:5">
      <c r="A110" s="193" t="s">
        <v>327</v>
      </c>
      <c r="B110">
        <v>2751</v>
      </c>
      <c r="C110" s="186">
        <v>110725</v>
      </c>
      <c r="D110" s="177">
        <v>305</v>
      </c>
      <c r="E110" s="376">
        <f>D110/30</f>
        <v>10.166666666666666</v>
      </c>
    </row>
    <row r="111" spans="1:5">
      <c r="A111" s="176" t="s">
        <v>62</v>
      </c>
      <c r="B111">
        <v>4113</v>
      </c>
      <c r="C111" s="186">
        <v>70053</v>
      </c>
      <c r="D111" s="177">
        <v>233</v>
      </c>
      <c r="E111" s="376">
        <f t="shared" ref="E111:E115" si="11">D111/30</f>
        <v>7.7666666666666666</v>
      </c>
    </row>
    <row r="112" spans="1:5">
      <c r="A112" s="176" t="s">
        <v>65</v>
      </c>
      <c r="B112">
        <v>2344</v>
      </c>
      <c r="C112" s="186">
        <v>47443</v>
      </c>
      <c r="D112" s="177">
        <v>173</v>
      </c>
      <c r="E112" s="376">
        <f t="shared" si="11"/>
        <v>5.7666666666666666</v>
      </c>
    </row>
    <row r="113" spans="1:5">
      <c r="A113" s="176" t="s">
        <v>66</v>
      </c>
      <c r="B113">
        <v>1058</v>
      </c>
      <c r="C113" s="186">
        <v>40951</v>
      </c>
      <c r="D113" s="177">
        <v>149</v>
      </c>
      <c r="E113" s="376">
        <f t="shared" si="11"/>
        <v>4.9666666666666668</v>
      </c>
    </row>
    <row r="114" spans="1:5">
      <c r="A114" s="176" t="s">
        <v>328</v>
      </c>
      <c r="B114">
        <v>722</v>
      </c>
      <c r="C114" s="186">
        <v>33828</v>
      </c>
      <c r="D114" s="177">
        <v>129</v>
      </c>
      <c r="E114" s="376">
        <f t="shared" si="11"/>
        <v>4.3</v>
      </c>
    </row>
    <row r="115" spans="1:5">
      <c r="A115" s="187" t="s">
        <v>329</v>
      </c>
      <c r="B115" s="201">
        <v>5362</v>
      </c>
      <c r="C115" s="188">
        <v>21581</v>
      </c>
      <c r="D115" s="189">
        <v>97</v>
      </c>
      <c r="E115" s="377">
        <f t="shared" si="11"/>
        <v>3.2333333333333334</v>
      </c>
    </row>
    <row r="118" spans="1:5">
      <c r="C118" s="6" t="s">
        <v>421</v>
      </c>
    </row>
    <row r="119" spans="1:5">
      <c r="A119" s="375" t="s">
        <v>397</v>
      </c>
      <c r="B119" s="600" t="s">
        <v>396</v>
      </c>
      <c r="C119" s="605" t="s">
        <v>415</v>
      </c>
      <c r="D119" s="612"/>
      <c r="E119" s="613"/>
    </row>
    <row r="120" spans="1:5">
      <c r="A120" s="603"/>
      <c r="B120" s="194" t="s">
        <v>395</v>
      </c>
      <c r="C120" s="193" t="s">
        <v>395</v>
      </c>
      <c r="E120" s="194"/>
    </row>
    <row r="121" spans="1:5">
      <c r="A121" s="603" t="s">
        <v>392</v>
      </c>
      <c r="B121" s="601">
        <v>8000</v>
      </c>
      <c r="C121" s="193"/>
      <c r="E121" s="194"/>
    </row>
    <row r="122" spans="1:5">
      <c r="A122" s="603" t="s">
        <v>391</v>
      </c>
      <c r="B122" s="601">
        <v>15000</v>
      </c>
      <c r="C122" s="193"/>
      <c r="E122" s="194"/>
    </row>
    <row r="123" spans="1:5">
      <c r="A123" s="609" t="s">
        <v>393</v>
      </c>
      <c r="B123" s="601">
        <v>20000</v>
      </c>
      <c r="C123" s="606">
        <v>13000</v>
      </c>
      <c r="D123" s="166">
        <v>30000</v>
      </c>
      <c r="E123" s="607">
        <v>70000</v>
      </c>
    </row>
    <row r="124" spans="1:5">
      <c r="A124" s="603"/>
      <c r="B124" s="194"/>
      <c r="C124" s="193" t="s">
        <v>399</v>
      </c>
      <c r="D124" t="s">
        <v>400</v>
      </c>
      <c r="E124" s="194" t="s">
        <v>47</v>
      </c>
    </row>
    <row r="125" spans="1:5">
      <c r="A125" s="604" t="s">
        <v>394</v>
      </c>
      <c r="B125" s="602">
        <v>3000</v>
      </c>
      <c r="C125" s="198"/>
      <c r="D125" s="201"/>
      <c r="E125" s="608"/>
    </row>
    <row r="127" spans="1:5">
      <c r="A127" s="619" t="s">
        <v>416</v>
      </c>
      <c r="B127" s="9"/>
      <c r="C127" s="620">
        <f>C123/2</f>
        <v>6500</v>
      </c>
      <c r="D127" s="620">
        <f>D123/2</f>
        <v>15000</v>
      </c>
      <c r="E127" s="620">
        <f>E123/2</f>
        <v>35000</v>
      </c>
    </row>
    <row r="129" spans="1:5">
      <c r="A129" s="7" t="s">
        <v>398</v>
      </c>
      <c r="B129" s="599">
        <v>30000</v>
      </c>
      <c r="C129" s="140" t="s">
        <v>411</v>
      </c>
      <c r="D129" s="140"/>
      <c r="E129" s="140"/>
    </row>
    <row r="130" spans="1:5">
      <c r="B130" t="s">
        <v>412</v>
      </c>
    </row>
  </sheetData>
  <hyperlinks>
    <hyperlink ref="C118" r:id="rId1" xr:uid="{1271F866-5557-A14A-880F-7E1BBFCAB950}"/>
  </hyperlinks>
  <pageMargins left="0.7" right="0.7" top="0.75" bottom="0.75" header="0.3" footer="0.3"/>
  <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E01C1F-47DE-1144-A843-D31F1564C291}">
  <sheetPr codeName="Лист26">
    <tabColor theme="0"/>
  </sheetPr>
  <dimension ref="A1:BC86"/>
  <sheetViews>
    <sheetView zoomScale="90" zoomScaleNormal="90" workbookViewId="0">
      <pane xSplit="1" ySplit="3" topLeftCell="B16" activePane="bottomRight" state="frozen"/>
      <selection pane="topRight" activeCell="B1" sqref="B1"/>
      <selection pane="bottomLeft" activeCell="A4" sqref="A4"/>
      <selection pane="bottomRight" activeCell="C19" sqref="C19"/>
    </sheetView>
  </sheetViews>
  <sheetFormatPr baseColWidth="10" defaultColWidth="10.83203125" defaultRowHeight="19"/>
  <cols>
    <col min="1" max="1" width="48.83203125" style="1" customWidth="1"/>
    <col min="2" max="2" width="19.33203125" style="2" customWidth="1"/>
    <col min="3" max="7" width="19.33203125" style="1" customWidth="1"/>
    <col min="8" max="13" width="17" style="1" customWidth="1"/>
    <col min="14" max="14" width="16.33203125" style="1" customWidth="1"/>
    <col min="15" max="19" width="17" style="1" customWidth="1"/>
    <col min="20" max="25" width="14.33203125" style="1" customWidth="1"/>
    <col min="26" max="30" width="11.83203125" style="1" customWidth="1"/>
    <col min="31" max="31" width="13.83203125" style="1" customWidth="1"/>
    <col min="32" max="32" width="19.6640625" style="1" customWidth="1"/>
    <col min="33" max="37" width="17" style="1" customWidth="1"/>
    <col min="38" max="43" width="10.83203125" style="334"/>
    <col min="44" max="55" width="17" style="1" customWidth="1"/>
    <col min="56" max="16384" width="10.83203125" style="334"/>
  </cols>
  <sheetData>
    <row r="1" spans="1:55" s="332" customFormat="1" ht="20" thickBot="1">
      <c r="A1" s="126"/>
      <c r="C1" s="85"/>
      <c r="D1" s="85"/>
      <c r="E1" s="85"/>
      <c r="F1" s="85"/>
      <c r="G1" s="85"/>
      <c r="H1" s="85"/>
      <c r="I1" s="85"/>
      <c r="J1" s="85"/>
      <c r="K1" s="85"/>
      <c r="L1" s="85"/>
      <c r="M1" s="85"/>
      <c r="N1" s="85"/>
      <c r="O1" s="85"/>
      <c r="P1" s="85"/>
      <c r="Q1" s="85"/>
      <c r="R1" s="85"/>
      <c r="S1" s="85"/>
      <c r="T1" s="85"/>
      <c r="U1" s="85"/>
      <c r="V1" s="85"/>
      <c r="W1" s="85"/>
      <c r="X1" s="85"/>
      <c r="Y1" s="85"/>
      <c r="Z1" s="85"/>
      <c r="AA1" s="85"/>
      <c r="AB1" s="85"/>
      <c r="AC1" s="85"/>
      <c r="AD1" s="85"/>
      <c r="AE1" s="85"/>
      <c r="AF1" s="85"/>
      <c r="AG1" s="85"/>
      <c r="AH1" s="85"/>
      <c r="AI1" s="85"/>
      <c r="AJ1" s="85"/>
      <c r="AK1" s="85"/>
      <c r="AR1" s="85"/>
      <c r="AS1" s="85"/>
      <c r="AT1" s="85"/>
      <c r="AU1" s="85"/>
      <c r="AV1" s="85"/>
      <c r="AW1" s="85"/>
      <c r="AX1" s="85"/>
      <c r="AY1" s="85"/>
      <c r="AZ1" s="85"/>
      <c r="BA1" s="85"/>
      <c r="BB1" s="85"/>
      <c r="BC1" s="85"/>
    </row>
    <row r="2" spans="1:55" s="332" customFormat="1">
      <c r="A2" s="126"/>
      <c r="B2" s="306" t="s">
        <v>43</v>
      </c>
      <c r="C2" s="307"/>
      <c r="D2" s="308"/>
      <c r="E2" s="308"/>
      <c r="F2" s="308"/>
      <c r="G2" s="308"/>
      <c r="H2" s="319" t="s">
        <v>42</v>
      </c>
      <c r="I2" s="320"/>
      <c r="J2" s="321"/>
      <c r="K2" s="321"/>
      <c r="L2" s="321"/>
      <c r="M2" s="321"/>
      <c r="N2" s="319" t="s">
        <v>40</v>
      </c>
      <c r="O2" s="320"/>
      <c r="P2" s="321"/>
      <c r="Q2" s="321"/>
      <c r="R2" s="321"/>
      <c r="S2" s="322"/>
      <c r="T2" s="309" t="s">
        <v>170</v>
      </c>
      <c r="U2" s="310"/>
      <c r="V2" s="310"/>
      <c r="W2" s="310"/>
      <c r="X2" s="310"/>
      <c r="Y2" s="310"/>
      <c r="Z2" s="311" t="s">
        <v>44</v>
      </c>
      <c r="AA2" s="312"/>
      <c r="AB2" s="313"/>
      <c r="AC2" s="313"/>
      <c r="AD2" s="313"/>
      <c r="AE2" s="314"/>
      <c r="AF2" s="134" t="s">
        <v>41</v>
      </c>
      <c r="AG2" s="85"/>
      <c r="AH2" s="86"/>
      <c r="AI2" s="86"/>
      <c r="AJ2" s="86"/>
      <c r="AK2" s="86"/>
    </row>
    <row r="3" spans="1:55" s="333" customFormat="1" ht="140">
      <c r="A3" s="127" t="s">
        <v>39</v>
      </c>
      <c r="B3" s="304" t="s">
        <v>127</v>
      </c>
      <c r="C3" s="287" t="s">
        <v>37</v>
      </c>
      <c r="D3" s="287" t="s">
        <v>214</v>
      </c>
      <c r="E3" s="287" t="s">
        <v>210</v>
      </c>
      <c r="F3" s="287" t="s">
        <v>209</v>
      </c>
      <c r="G3" s="305" t="s">
        <v>34</v>
      </c>
      <c r="H3" s="294" t="s">
        <v>127</v>
      </c>
      <c r="I3" s="1" t="s">
        <v>301</v>
      </c>
      <c r="J3" s="1" t="s">
        <v>302</v>
      </c>
      <c r="K3" s="1" t="s">
        <v>303</v>
      </c>
      <c r="L3" s="1" t="s">
        <v>304</v>
      </c>
      <c r="M3" s="1" t="s">
        <v>34</v>
      </c>
      <c r="N3" s="330" t="s">
        <v>127</v>
      </c>
      <c r="O3" s="1" t="s">
        <v>301</v>
      </c>
      <c r="P3" s="1" t="s">
        <v>302</v>
      </c>
      <c r="Q3" s="1" t="s">
        <v>303</v>
      </c>
      <c r="R3" s="1" t="s">
        <v>304</v>
      </c>
      <c r="S3" s="331" t="s">
        <v>34</v>
      </c>
      <c r="T3" s="146" t="s">
        <v>127</v>
      </c>
      <c r="U3" s="1" t="s">
        <v>301</v>
      </c>
      <c r="V3" s="1" t="s">
        <v>302</v>
      </c>
      <c r="W3" s="1" t="s">
        <v>303</v>
      </c>
      <c r="X3" s="1" t="s">
        <v>304</v>
      </c>
      <c r="Y3" s="76" t="s">
        <v>34</v>
      </c>
      <c r="Z3" s="75" t="s">
        <v>127</v>
      </c>
      <c r="AA3" s="1" t="s">
        <v>301</v>
      </c>
      <c r="AB3" s="1" t="s">
        <v>302</v>
      </c>
      <c r="AC3" s="1" t="s">
        <v>303</v>
      </c>
      <c r="AD3" s="1" t="s">
        <v>304</v>
      </c>
      <c r="AE3" s="78" t="s">
        <v>34</v>
      </c>
      <c r="AF3" s="77" t="s">
        <v>127</v>
      </c>
      <c r="AG3" s="1" t="s">
        <v>301</v>
      </c>
      <c r="AH3" s="1" t="s">
        <v>302</v>
      </c>
      <c r="AI3" s="1" t="s">
        <v>303</v>
      </c>
      <c r="AJ3" s="1" t="s">
        <v>304</v>
      </c>
      <c r="AK3" s="76" t="s">
        <v>34</v>
      </c>
    </row>
    <row r="4" spans="1:55" ht="20">
      <c r="A4" s="87" t="s">
        <v>45</v>
      </c>
      <c r="B4" s="280">
        <v>1</v>
      </c>
      <c r="C4" s="1">
        <f>'База селлеров'!B63</f>
        <v>79000</v>
      </c>
      <c r="D4" s="1">
        <f>'База селлеров'!C63</f>
        <v>33000</v>
      </c>
      <c r="E4" s="1">
        <f>'База селлеров'!D63</f>
        <v>13000</v>
      </c>
      <c r="F4" s="1">
        <f>'База селлеров'!E63</f>
        <v>247000</v>
      </c>
      <c r="G4" s="13">
        <f>SUM(C4:F4)</f>
        <v>372000</v>
      </c>
      <c r="H4" s="296">
        <f>B4</f>
        <v>1</v>
      </c>
      <c r="I4" s="1">
        <f>C4</f>
        <v>79000</v>
      </c>
      <c r="J4" s="1">
        <f>D4</f>
        <v>33000</v>
      </c>
      <c r="K4" s="1">
        <f>E4</f>
        <v>13000</v>
      </c>
      <c r="L4" s="1">
        <f>F4</f>
        <v>247000</v>
      </c>
      <c r="M4" s="13">
        <f>SUM(I4:L4)</f>
        <v>372000</v>
      </c>
      <c r="N4" s="296">
        <f>H4</f>
        <v>1</v>
      </c>
      <c r="O4" s="1">
        <f>I4</f>
        <v>79000</v>
      </c>
      <c r="P4" s="1">
        <f>J4</f>
        <v>33000</v>
      </c>
      <c r="Q4" s="1">
        <f>K4</f>
        <v>13000</v>
      </c>
      <c r="R4" s="1">
        <f>L4</f>
        <v>247000</v>
      </c>
      <c r="S4" s="297">
        <f>SUM(O4:R4)</f>
        <v>372000</v>
      </c>
      <c r="Z4" s="28"/>
      <c r="AE4" s="24"/>
      <c r="AG4" s="1">
        <f>O4</f>
        <v>79000</v>
      </c>
      <c r="AH4" s="1">
        <f>P4</f>
        <v>33000</v>
      </c>
      <c r="AI4" s="1">
        <f>Q4</f>
        <v>13000</v>
      </c>
      <c r="AJ4" s="1">
        <f>R4</f>
        <v>247000</v>
      </c>
      <c r="AK4" s="1">
        <f>S4</f>
        <v>372000</v>
      </c>
      <c r="AR4" s="334"/>
      <c r="AS4" s="334"/>
      <c r="AT4" s="334"/>
      <c r="AU4" s="334"/>
      <c r="AV4" s="334"/>
      <c r="AW4" s="334"/>
      <c r="AX4" s="334"/>
      <c r="AY4" s="334"/>
      <c r="AZ4" s="334"/>
      <c r="BA4" s="334"/>
      <c r="BB4" s="334"/>
      <c r="BC4" s="334"/>
    </row>
    <row r="5" spans="1:55" ht="20">
      <c r="A5" s="128" t="s">
        <v>300</v>
      </c>
      <c r="B5" s="281">
        <v>0.8</v>
      </c>
      <c r="C5" s="1">
        <f>C4*$B$5</f>
        <v>63200</v>
      </c>
      <c r="D5" s="1">
        <f t="shared" ref="D5:F5" si="0">D4*$B$5</f>
        <v>26400</v>
      </c>
      <c r="E5" s="1">
        <f t="shared" si="0"/>
        <v>10400</v>
      </c>
      <c r="F5" s="1">
        <f t="shared" si="0"/>
        <v>197600</v>
      </c>
      <c r="G5" s="13">
        <f>SUM(C5:F5)</f>
        <v>297600</v>
      </c>
      <c r="H5" s="298">
        <f>B5</f>
        <v>0.8</v>
      </c>
      <c r="I5" s="1">
        <f>C5</f>
        <v>63200</v>
      </c>
      <c r="J5" s="1">
        <f t="shared" ref="J5:L5" si="1">D5</f>
        <v>26400</v>
      </c>
      <c r="K5" s="1">
        <f t="shared" si="1"/>
        <v>10400</v>
      </c>
      <c r="L5" s="1">
        <f t="shared" si="1"/>
        <v>197600</v>
      </c>
      <c r="M5" s="13">
        <f>SUM(I5:L5)</f>
        <v>297600</v>
      </c>
      <c r="N5" s="298">
        <f>H5</f>
        <v>0.8</v>
      </c>
      <c r="O5" s="1">
        <f>I5</f>
        <v>63200</v>
      </c>
      <c r="P5" s="1">
        <f t="shared" ref="P5" si="2">J5</f>
        <v>26400</v>
      </c>
      <c r="Q5" s="1">
        <f t="shared" ref="Q5" si="3">K5</f>
        <v>10400</v>
      </c>
      <c r="R5" s="1">
        <f t="shared" ref="R5" si="4">L5</f>
        <v>197600</v>
      </c>
      <c r="S5" s="297">
        <f>SUM(O5:R5)</f>
        <v>297600</v>
      </c>
      <c r="Z5" s="28"/>
      <c r="AE5" s="24"/>
      <c r="AG5" s="1">
        <f>AG4</f>
        <v>79000</v>
      </c>
      <c r="AH5" s="1">
        <f t="shared" ref="AH5:AK5" si="5">AH4</f>
        <v>33000</v>
      </c>
      <c r="AI5" s="1">
        <f t="shared" si="5"/>
        <v>13000</v>
      </c>
      <c r="AJ5" s="1">
        <f t="shared" si="5"/>
        <v>247000</v>
      </c>
      <c r="AK5" s="1">
        <f t="shared" si="5"/>
        <v>372000</v>
      </c>
      <c r="AR5" s="334"/>
      <c r="AS5" s="334"/>
      <c r="AT5" s="334"/>
      <c r="AU5" s="334"/>
      <c r="AV5" s="334"/>
      <c r="AW5" s="334"/>
      <c r="AX5" s="334"/>
      <c r="AY5" s="334"/>
      <c r="AZ5" s="334"/>
      <c r="BA5" s="334"/>
      <c r="BB5" s="334"/>
      <c r="BC5" s="334"/>
    </row>
    <row r="6" spans="1:55" ht="20">
      <c r="A6" s="87" t="s">
        <v>0</v>
      </c>
      <c r="B6" s="284"/>
      <c r="C6" s="285"/>
      <c r="D6" s="285"/>
      <c r="E6" s="285"/>
      <c r="F6" s="285"/>
      <c r="G6" s="285"/>
      <c r="H6" s="296"/>
      <c r="I6" s="154"/>
      <c r="J6" s="154"/>
      <c r="K6" s="154"/>
      <c r="L6" s="154"/>
      <c r="M6" s="154"/>
      <c r="N6" s="87"/>
      <c r="S6" s="295"/>
      <c r="Z6" s="28"/>
      <c r="AE6" s="24"/>
      <c r="AR6" s="334"/>
      <c r="AS6" s="334"/>
      <c r="AT6" s="334"/>
      <c r="AU6" s="334"/>
      <c r="AV6" s="334"/>
      <c r="AW6" s="334"/>
      <c r="AX6" s="334"/>
      <c r="AY6" s="334"/>
      <c r="AZ6" s="334"/>
      <c r="BA6" s="334"/>
      <c r="BB6" s="334"/>
      <c r="BC6" s="334"/>
    </row>
    <row r="7" spans="1:55" ht="20">
      <c r="A7" s="87" t="s">
        <v>55</v>
      </c>
      <c r="B7" s="280"/>
      <c r="G7" s="13"/>
      <c r="H7" s="296"/>
      <c r="N7" s="87"/>
      <c r="S7" s="295"/>
      <c r="Z7" s="28"/>
      <c r="AE7" s="24"/>
      <c r="AR7" s="334"/>
      <c r="AS7" s="334"/>
      <c r="AT7" s="334"/>
      <c r="AU7" s="334"/>
      <c r="AV7" s="334"/>
      <c r="AW7" s="334"/>
      <c r="AX7" s="334"/>
      <c r="AY7" s="334"/>
      <c r="AZ7" s="334"/>
      <c r="BA7" s="334"/>
      <c r="BB7" s="334"/>
      <c r="BC7" s="334"/>
    </row>
    <row r="8" spans="1:55" ht="20">
      <c r="A8" s="87" t="s">
        <v>53</v>
      </c>
      <c r="B8" s="280"/>
      <c r="G8" s="13"/>
      <c r="H8" s="296"/>
      <c r="N8" s="87"/>
      <c r="S8" s="295"/>
      <c r="Z8" s="28"/>
      <c r="AE8" s="24"/>
      <c r="AR8" s="334"/>
      <c r="AS8" s="334"/>
      <c r="AT8" s="334"/>
      <c r="AU8" s="334"/>
      <c r="AV8" s="334"/>
      <c r="AW8" s="334"/>
      <c r="AX8" s="334"/>
      <c r="AY8" s="334"/>
      <c r="AZ8" s="334"/>
      <c r="BA8" s="334"/>
      <c r="BB8" s="334"/>
      <c r="BC8" s="334"/>
    </row>
    <row r="9" spans="1:55" ht="20">
      <c r="A9" s="87" t="s">
        <v>38</v>
      </c>
      <c r="B9" s="280"/>
      <c r="G9" s="13"/>
      <c r="H9" s="296"/>
      <c r="N9" s="87"/>
      <c r="S9" s="295"/>
      <c r="Z9" s="28"/>
      <c r="AE9" s="24"/>
      <c r="AR9" s="334"/>
      <c r="AS9" s="334"/>
      <c r="AT9" s="334"/>
      <c r="AU9" s="334"/>
      <c r="AV9" s="334"/>
      <c r="AW9" s="334"/>
      <c r="AX9" s="334"/>
      <c r="AY9" s="334"/>
      <c r="AZ9" s="334"/>
      <c r="BA9" s="334"/>
      <c r="BB9" s="334"/>
      <c r="BC9" s="334"/>
    </row>
    <row r="10" spans="1:55" ht="20">
      <c r="A10" s="87" t="s">
        <v>124</v>
      </c>
      <c r="B10" s="284"/>
      <c r="C10" s="285"/>
      <c r="D10" s="285"/>
      <c r="E10" s="285"/>
      <c r="F10" s="285"/>
      <c r="G10" s="285"/>
      <c r="H10" s="296"/>
      <c r="I10" s="154"/>
      <c r="J10" s="154"/>
      <c r="K10" s="154"/>
      <c r="L10" s="154"/>
      <c r="M10" s="154"/>
      <c r="N10" s="87"/>
      <c r="S10" s="295"/>
      <c r="Z10" s="28"/>
      <c r="AE10" s="24"/>
      <c r="AR10" s="334"/>
      <c r="AS10" s="334"/>
      <c r="AT10" s="334"/>
      <c r="AU10" s="334"/>
      <c r="AV10" s="334"/>
      <c r="AW10" s="334"/>
      <c r="AX10" s="334"/>
      <c r="AY10" s="334"/>
      <c r="AZ10" s="334"/>
      <c r="BA10" s="334"/>
      <c r="BB10" s="334"/>
      <c r="BC10" s="334"/>
    </row>
    <row r="11" spans="1:55" ht="20">
      <c r="A11" s="158" t="s">
        <v>299</v>
      </c>
      <c r="B11" s="282">
        <v>0.8</v>
      </c>
      <c r="C11" s="154">
        <f>$C$5*B11</f>
        <v>50560</v>
      </c>
      <c r="D11" s="154">
        <f>$D$5*B11</f>
        <v>21120</v>
      </c>
      <c r="E11" s="154">
        <f>$E$5*B11</f>
        <v>8320</v>
      </c>
      <c r="F11" s="154">
        <f>$F$5*B11</f>
        <v>158080</v>
      </c>
      <c r="G11" s="279">
        <f>SUM(C11:F11)</f>
        <v>238080</v>
      </c>
      <c r="H11" s="300">
        <f>B11</f>
        <v>0.8</v>
      </c>
      <c r="I11" s="154">
        <f>$I$5*H11</f>
        <v>50560</v>
      </c>
      <c r="J11" s="154">
        <f>$J$5*H11</f>
        <v>21120</v>
      </c>
      <c r="K11" s="154">
        <f>$K$5*H11</f>
        <v>8320</v>
      </c>
      <c r="L11" s="154">
        <f>$L$5*H11</f>
        <v>158080</v>
      </c>
      <c r="M11" s="279">
        <f>SUM(I11:L11)</f>
        <v>238080</v>
      </c>
      <c r="N11" s="87" t="s">
        <v>1</v>
      </c>
      <c r="O11" s="1" t="s">
        <v>1</v>
      </c>
      <c r="P11" s="1" t="s">
        <v>1</v>
      </c>
      <c r="Q11" s="1" t="s">
        <v>1</v>
      </c>
      <c r="R11" s="1" t="s">
        <v>1</v>
      </c>
      <c r="S11" s="295"/>
      <c r="T11" s="154"/>
      <c r="U11" s="154"/>
      <c r="V11" s="154"/>
      <c r="W11" s="154"/>
      <c r="X11" s="154"/>
      <c r="Y11" s="154"/>
      <c r="Z11" s="28"/>
      <c r="AE11" s="24"/>
      <c r="AR11" s="334"/>
      <c r="AS11" s="334"/>
      <c r="AT11" s="334"/>
      <c r="AU11" s="334"/>
      <c r="AV11" s="334"/>
      <c r="AW11" s="334"/>
      <c r="AX11" s="334"/>
      <c r="AY11" s="334"/>
      <c r="AZ11" s="334"/>
      <c r="BA11" s="334"/>
      <c r="BB11" s="334"/>
      <c r="BC11" s="334"/>
    </row>
    <row r="12" spans="1:55" ht="20">
      <c r="A12" s="158" t="s">
        <v>171</v>
      </c>
      <c r="B12" s="283">
        <f>B11</f>
        <v>0.8</v>
      </c>
      <c r="C12" s="154">
        <f>$C$11*B12</f>
        <v>40448</v>
      </c>
      <c r="D12" s="154">
        <f>$D$11*B12</f>
        <v>16896</v>
      </c>
      <c r="E12" s="154">
        <f>$E$11*B12</f>
        <v>6656</v>
      </c>
      <c r="F12" s="154">
        <f>$F$11*B12</f>
        <v>126464</v>
      </c>
      <c r="G12" s="279">
        <f t="shared" ref="G12:G16" si="6">SUM(C12:F12)</f>
        <v>190464</v>
      </c>
      <c r="H12" s="296">
        <f t="shared" ref="H12:H15" si="7">B12</f>
        <v>0.8</v>
      </c>
      <c r="I12" s="154">
        <f t="shared" ref="I12:I16" si="8">$I$5*H12</f>
        <v>50560</v>
      </c>
      <c r="J12" s="154">
        <f t="shared" ref="J12:J16" si="9">$J$5*H12</f>
        <v>21120</v>
      </c>
      <c r="K12" s="154">
        <f t="shared" ref="K12:K16" si="10">$K$5*H12</f>
        <v>8320</v>
      </c>
      <c r="L12" s="154">
        <f t="shared" ref="L12:L16" si="11">$L$5*H12</f>
        <v>158080</v>
      </c>
      <c r="M12" s="279">
        <f t="shared" ref="M12:M16" si="12">SUM(I12:L12)</f>
        <v>238080</v>
      </c>
      <c r="N12" s="87" t="s">
        <v>1</v>
      </c>
      <c r="O12" s="1" t="s">
        <v>1</v>
      </c>
      <c r="P12" s="1" t="s">
        <v>1</v>
      </c>
      <c r="Q12" s="1" t="s">
        <v>1</v>
      </c>
      <c r="R12" s="1" t="s">
        <v>1</v>
      </c>
      <c r="S12" s="295"/>
      <c r="T12" s="154"/>
      <c r="U12" s="154"/>
      <c r="V12" s="154"/>
      <c r="W12" s="154"/>
      <c r="X12" s="154"/>
      <c r="Y12" s="154"/>
      <c r="Z12" s="28"/>
      <c r="AE12" s="24"/>
      <c r="AR12" s="334"/>
      <c r="AS12" s="334"/>
      <c r="AT12" s="334"/>
      <c r="AU12" s="334"/>
      <c r="AV12" s="334"/>
      <c r="AW12" s="334"/>
      <c r="AX12" s="334"/>
      <c r="AY12" s="334"/>
      <c r="AZ12" s="334"/>
      <c r="BA12" s="334"/>
      <c r="BB12" s="334"/>
      <c r="BC12" s="334"/>
    </row>
    <row r="13" spans="1:55" ht="20">
      <c r="A13" s="158" t="s">
        <v>211</v>
      </c>
      <c r="B13" s="283">
        <f>'Воронка MPS_обработано'!N10</f>
        <v>0.4</v>
      </c>
      <c r="C13" s="154">
        <f t="shared" ref="C13:C15" si="13">$C$11*B13</f>
        <v>20224</v>
      </c>
      <c r="D13" s="154">
        <f t="shared" ref="D13:D15" si="14">$D$11*B13</f>
        <v>8448</v>
      </c>
      <c r="E13" s="154">
        <f t="shared" ref="E13:E15" si="15">$E$11*B13</f>
        <v>3328</v>
      </c>
      <c r="F13" s="154">
        <f t="shared" ref="F13:F15" si="16">$F$11*B13</f>
        <v>63232</v>
      </c>
      <c r="G13" s="279">
        <f t="shared" si="6"/>
        <v>95232</v>
      </c>
      <c r="H13" s="296">
        <f t="shared" si="7"/>
        <v>0.4</v>
      </c>
      <c r="I13" s="154">
        <f t="shared" si="8"/>
        <v>25280</v>
      </c>
      <c r="J13" s="154">
        <f t="shared" si="9"/>
        <v>10560</v>
      </c>
      <c r="K13" s="154">
        <f t="shared" si="10"/>
        <v>4160</v>
      </c>
      <c r="L13" s="154">
        <f t="shared" si="11"/>
        <v>79040</v>
      </c>
      <c r="M13" s="279">
        <f t="shared" si="12"/>
        <v>119040</v>
      </c>
      <c r="N13" s="87" t="s">
        <v>1</v>
      </c>
      <c r="O13" s="1" t="s">
        <v>1</v>
      </c>
      <c r="P13" s="1" t="s">
        <v>1</v>
      </c>
      <c r="Q13" s="1" t="s">
        <v>1</v>
      </c>
      <c r="R13" s="1" t="s">
        <v>1</v>
      </c>
      <c r="S13" s="295"/>
      <c r="T13" s="154"/>
      <c r="U13" s="154"/>
      <c r="V13" s="154"/>
      <c r="W13" s="154"/>
      <c r="X13" s="154"/>
      <c r="Y13" s="154"/>
      <c r="Z13" s="28"/>
      <c r="AE13" s="24"/>
      <c r="AR13" s="334"/>
      <c r="AS13" s="334"/>
      <c r="AT13" s="334"/>
      <c r="AU13" s="334"/>
      <c r="AV13" s="334"/>
      <c r="AW13" s="334"/>
      <c r="AX13" s="334"/>
      <c r="AY13" s="334"/>
      <c r="AZ13" s="334"/>
      <c r="BA13" s="334"/>
      <c r="BB13" s="334"/>
      <c r="BC13" s="334"/>
    </row>
    <row r="14" spans="1:55" ht="20">
      <c r="A14" s="158" t="s">
        <v>212</v>
      </c>
      <c r="B14" s="156">
        <f>'Воронка MPS_обработано'!N11</f>
        <v>0.29799999999999999</v>
      </c>
      <c r="C14" s="154">
        <f t="shared" si="13"/>
        <v>15066.88</v>
      </c>
      <c r="D14" s="154">
        <f t="shared" si="14"/>
        <v>6293.7599999999993</v>
      </c>
      <c r="E14" s="154">
        <f t="shared" si="15"/>
        <v>2479.3599999999997</v>
      </c>
      <c r="F14" s="154">
        <f t="shared" si="16"/>
        <v>47107.839999999997</v>
      </c>
      <c r="G14" s="279">
        <f t="shared" si="6"/>
        <v>70947.839999999997</v>
      </c>
      <c r="H14" s="296">
        <f t="shared" si="7"/>
        <v>0.29799999999999999</v>
      </c>
      <c r="I14" s="154">
        <f t="shared" si="8"/>
        <v>18833.599999999999</v>
      </c>
      <c r="J14" s="154">
        <f t="shared" si="9"/>
        <v>7867.2</v>
      </c>
      <c r="K14" s="154">
        <f t="shared" si="10"/>
        <v>3099.2</v>
      </c>
      <c r="L14" s="154">
        <f t="shared" si="11"/>
        <v>58884.799999999996</v>
      </c>
      <c r="M14" s="279">
        <f t="shared" si="12"/>
        <v>88684.799999999988</v>
      </c>
      <c r="N14" s="87" t="s">
        <v>1</v>
      </c>
      <c r="O14" s="1" t="s">
        <v>1</v>
      </c>
      <c r="P14" s="1" t="s">
        <v>1</v>
      </c>
      <c r="Q14" s="1" t="s">
        <v>1</v>
      </c>
      <c r="R14" s="1" t="s">
        <v>1</v>
      </c>
      <c r="S14" s="295"/>
      <c r="T14" s="154"/>
      <c r="U14" s="154"/>
      <c r="V14" s="154"/>
      <c r="W14" s="154"/>
      <c r="X14" s="154"/>
      <c r="Y14" s="154"/>
      <c r="Z14" s="28"/>
      <c r="AE14" s="24"/>
      <c r="AR14" s="334"/>
      <c r="AS14" s="334"/>
      <c r="AT14" s="334"/>
      <c r="AU14" s="334"/>
      <c r="AV14" s="334"/>
      <c r="AW14" s="334"/>
      <c r="AX14" s="334"/>
      <c r="AY14" s="334"/>
      <c r="AZ14" s="334"/>
      <c r="BA14" s="334"/>
      <c r="BB14" s="334"/>
      <c r="BC14" s="334"/>
    </row>
    <row r="15" spans="1:55" ht="20">
      <c r="A15" s="158" t="s">
        <v>213</v>
      </c>
      <c r="B15" s="156">
        <f>'Воронка MPS_обработано'!N12</f>
        <v>0.45500000000000002</v>
      </c>
      <c r="C15" s="154">
        <f t="shared" si="13"/>
        <v>23004.799999999999</v>
      </c>
      <c r="D15" s="154">
        <f t="shared" si="14"/>
        <v>9609.6</v>
      </c>
      <c r="E15" s="154">
        <f t="shared" si="15"/>
        <v>3785.6</v>
      </c>
      <c r="F15" s="154">
        <f t="shared" si="16"/>
        <v>71926.400000000009</v>
      </c>
      <c r="G15" s="279">
        <f t="shared" si="6"/>
        <v>108326.40000000001</v>
      </c>
      <c r="H15" s="296">
        <f t="shared" si="7"/>
        <v>0.45500000000000002</v>
      </c>
      <c r="I15" s="154">
        <f t="shared" si="8"/>
        <v>28756</v>
      </c>
      <c r="J15" s="154">
        <f t="shared" si="9"/>
        <v>12012</v>
      </c>
      <c r="K15" s="154">
        <f t="shared" si="10"/>
        <v>4732</v>
      </c>
      <c r="L15" s="154">
        <f t="shared" si="11"/>
        <v>89908</v>
      </c>
      <c r="M15" s="279">
        <f t="shared" si="12"/>
        <v>135408</v>
      </c>
      <c r="N15" s="87" t="s">
        <v>1</v>
      </c>
      <c r="O15" s="1" t="s">
        <v>1</v>
      </c>
      <c r="P15" s="1" t="s">
        <v>1</v>
      </c>
      <c r="Q15" s="1" t="s">
        <v>1</v>
      </c>
      <c r="R15" s="1" t="s">
        <v>1</v>
      </c>
      <c r="S15" s="295"/>
      <c r="T15" s="154"/>
      <c r="U15" s="154"/>
      <c r="V15" s="154"/>
      <c r="W15" s="154"/>
      <c r="X15" s="154"/>
      <c r="Y15" s="154"/>
      <c r="Z15" s="28"/>
      <c r="AE15" s="24"/>
      <c r="AR15" s="334"/>
      <c r="AS15" s="334"/>
      <c r="AT15" s="334"/>
      <c r="AU15" s="334"/>
      <c r="AV15" s="334"/>
      <c r="AW15" s="334"/>
      <c r="AX15" s="334"/>
      <c r="AY15" s="334"/>
      <c r="AZ15" s="334"/>
      <c r="BA15" s="334"/>
      <c r="BB15" s="334"/>
      <c r="BC15" s="334"/>
    </row>
    <row r="16" spans="1:55" ht="20">
      <c r="A16" s="128" t="s">
        <v>292</v>
      </c>
      <c r="B16" s="157">
        <f>'Воронка MPS_обработано'!N14</f>
        <v>8.5384615384615392E-2</v>
      </c>
      <c r="C16" s="154">
        <f>$C$11*B16</f>
        <v>4317.0461538461541</v>
      </c>
      <c r="D16" s="154">
        <f>$D$11*B16</f>
        <v>1803.323076923077</v>
      </c>
      <c r="E16" s="154">
        <f>$E$11*B16</f>
        <v>710.40000000000009</v>
      </c>
      <c r="F16" s="154">
        <f>$F$11*B16</f>
        <v>13497.6</v>
      </c>
      <c r="G16" s="279">
        <f t="shared" si="6"/>
        <v>20328.369230769233</v>
      </c>
      <c r="H16" s="302">
        <f>B16*1.15</f>
        <v>9.819230769230769E-2</v>
      </c>
      <c r="I16" s="154">
        <f t="shared" si="8"/>
        <v>6205.7538461538461</v>
      </c>
      <c r="J16" s="154">
        <f t="shared" si="9"/>
        <v>2592.2769230769231</v>
      </c>
      <c r="K16" s="154">
        <f t="shared" si="10"/>
        <v>1021.1999999999999</v>
      </c>
      <c r="L16" s="154">
        <f t="shared" si="11"/>
        <v>19402.8</v>
      </c>
      <c r="M16" s="279">
        <f t="shared" si="12"/>
        <v>29222.030769230769</v>
      </c>
      <c r="N16" s="328">
        <f>'Воронка Селлер as is'!F12</f>
        <v>1.7475398710553106E-2</v>
      </c>
      <c r="O16" s="154">
        <f>$N$16*O5</f>
        <v>1104.4451985069563</v>
      </c>
      <c r="P16" s="154">
        <f t="shared" ref="P16:R16" si="17">$N$16*P5</f>
        <v>461.35052595860196</v>
      </c>
      <c r="Q16" s="154">
        <f t="shared" si="17"/>
        <v>181.74414658975229</v>
      </c>
      <c r="R16" s="154">
        <f t="shared" si="17"/>
        <v>3453.1387852052935</v>
      </c>
      <c r="S16" s="301">
        <f>SUM(O16:R16)</f>
        <v>5200.6786562606039</v>
      </c>
      <c r="T16" s="154"/>
      <c r="U16" s="154"/>
      <c r="V16" s="154"/>
      <c r="W16" s="154"/>
      <c r="X16" s="154"/>
      <c r="Y16" s="154"/>
      <c r="Z16" s="28"/>
      <c r="AE16" s="24"/>
      <c r="AR16" s="334"/>
      <c r="AS16" s="334"/>
      <c r="AT16" s="334"/>
      <c r="AU16" s="334"/>
      <c r="AV16" s="334"/>
      <c r="AW16" s="334"/>
      <c r="AX16" s="334"/>
      <c r="AY16" s="334"/>
      <c r="AZ16" s="334"/>
      <c r="BA16" s="334"/>
      <c r="BB16" s="334"/>
      <c r="BC16" s="334"/>
    </row>
    <row r="17" spans="1:55" s="335" customFormat="1" ht="55" customHeight="1" thickBot="1">
      <c r="A17" s="130" t="s">
        <v>293</v>
      </c>
      <c r="B17" s="88"/>
      <c r="C17" s="88"/>
      <c r="D17" s="88"/>
      <c r="E17" s="88"/>
      <c r="F17" s="88"/>
      <c r="G17" s="327"/>
      <c r="H17" s="323" t="s">
        <v>294</v>
      </c>
      <c r="I17" s="88"/>
      <c r="J17" s="303"/>
      <c r="L17" s="303"/>
      <c r="M17" s="293"/>
      <c r="N17" s="91"/>
      <c r="O17" s="88"/>
      <c r="P17" s="88"/>
      <c r="Q17" s="88"/>
      <c r="R17" s="88"/>
      <c r="S17" s="329"/>
      <c r="T17" s="88"/>
      <c r="U17" s="88"/>
      <c r="V17" s="88"/>
      <c r="W17" s="88"/>
      <c r="X17" s="88"/>
      <c r="Y17" s="88"/>
      <c r="Z17" s="133"/>
      <c r="AA17" s="88"/>
      <c r="AB17" s="88"/>
      <c r="AC17" s="88"/>
      <c r="AD17" s="88"/>
      <c r="AE17" s="131"/>
      <c r="AF17" s="132"/>
      <c r="AG17" s="88"/>
      <c r="AH17" s="88"/>
      <c r="AI17" s="88"/>
      <c r="AJ17" s="88"/>
      <c r="AK17" s="88"/>
    </row>
    <row r="18" spans="1:55" ht="22" customHeight="1" thickBot="1">
      <c r="C18" s="334"/>
      <c r="N18" s="80"/>
      <c r="AF18" s="80"/>
    </row>
    <row r="19" spans="1:55" s="336" customFormat="1" ht="22" customHeight="1">
      <c r="A19" s="90" t="s">
        <v>310</v>
      </c>
      <c r="B19" s="147"/>
      <c r="C19" s="155" t="e">
        <f>(C16*C68*C30)+(C16*C69*C31)+(C16*C70*C32)+(C16*C39)</f>
        <v>#REF!</v>
      </c>
      <c r="D19" s="155" t="e">
        <f>(D16*D68*D30)+(D16*D69*D31)+(D16*D70*D32)+(D16*D39)</f>
        <v>#REF!</v>
      </c>
      <c r="E19" s="155" t="e">
        <f>(E16*E68*E30)+(E16*E69*E31)+(E16*E70*E32)+(E16*E39)</f>
        <v>#REF!</v>
      </c>
      <c r="F19" s="155" t="e">
        <f>(F16*F68*F30)+(F16*F69*F31)+(F16*F70*F32)+(F16*F39)</f>
        <v>#REF!</v>
      </c>
      <c r="G19" s="159" t="e">
        <f>(G16*G68*G30)+(G16*G69*G31)+(G16*G70*G32)+(G16*G39)</f>
        <v>#REF!</v>
      </c>
      <c r="H19" s="137"/>
      <c r="I19" s="155" t="e">
        <f>(I16*I68*I30)+(I16*I69*I31)+(I16*I70*I32)+(I16*I39)</f>
        <v>#REF!</v>
      </c>
      <c r="J19" s="155" t="e">
        <f>(J16*J68*J30)+(J16*J69*J31)+(J16*J70*J32)+(J16*J39)</f>
        <v>#REF!</v>
      </c>
      <c r="K19" s="155" t="e">
        <f>(K16*K68*K30)+(K16*K69*K31)+(K16*K70*K32)+(K16*K39)</f>
        <v>#REF!</v>
      </c>
      <c r="L19" s="155" t="e">
        <f>(L16*L68*L30)+(L16*L69*L31)+(L16*L70*L32)+(L16*L39)</f>
        <v>#REF!</v>
      </c>
      <c r="M19" s="159" t="e">
        <f>SUM(I19:L19)</f>
        <v>#REF!</v>
      </c>
      <c r="N19" s="149"/>
      <c r="O19" s="155" t="e">
        <f>(O16*O68*O30)+(O16*O69*O31)+(O16*O70*O32)+(O16*O39)</f>
        <v>#REF!</v>
      </c>
      <c r="P19" s="155" t="e">
        <f>(P16*P68*P30)+(P16*P69*P31)+(P16*P70*P32)+(P16*P39)</f>
        <v>#REF!</v>
      </c>
      <c r="Q19" s="155" t="e">
        <f>(Q16*Q68*Q30)+(Q16*Q69*Q31)+(Q16*Q70*Q32)+(Q16*Q39)</f>
        <v>#REF!</v>
      </c>
      <c r="R19" s="155" t="e">
        <f>(R16*R68*R30)+(R16*R69*R31)+(R16*R70*R32)+(R16*R39)</f>
        <v>#REF!</v>
      </c>
      <c r="S19" s="159" t="e">
        <f>SUM(O19:R19)</f>
        <v>#REF!</v>
      </c>
      <c r="T19" s="153"/>
      <c r="U19" s="153"/>
      <c r="V19" s="153"/>
      <c r="W19" s="153"/>
      <c r="X19" s="153"/>
      <c r="Y19" s="153"/>
      <c r="Z19" s="137"/>
      <c r="AA19" s="137"/>
      <c r="AB19" s="137"/>
      <c r="AC19" s="137"/>
      <c r="AD19" s="137"/>
      <c r="AE19" s="137"/>
      <c r="AF19" s="149"/>
      <c r="AG19" s="137"/>
      <c r="AH19" s="137"/>
      <c r="AI19" s="137"/>
      <c r="AJ19" s="137"/>
      <c r="AK19" s="137"/>
      <c r="AR19" s="137"/>
      <c r="AS19" s="137"/>
      <c r="AT19" s="137"/>
      <c r="AU19" s="137"/>
      <c r="AV19" s="137"/>
      <c r="AW19" s="137"/>
      <c r="AX19" s="137"/>
      <c r="AY19" s="137"/>
      <c r="AZ19" s="137"/>
      <c r="BA19" s="137"/>
      <c r="BB19" s="137"/>
      <c r="BC19" s="137"/>
    </row>
    <row r="20" spans="1:55" s="337" customFormat="1" ht="22" customHeight="1">
      <c r="A20" s="92" t="s">
        <v>283</v>
      </c>
      <c r="B20" s="257"/>
      <c r="C20" s="275" t="e">
        <f>C19-(C16*C39)</f>
        <v>#REF!</v>
      </c>
      <c r="D20" s="275" t="e">
        <f>D19-(D16*D39)</f>
        <v>#REF!</v>
      </c>
      <c r="E20" s="275" t="e">
        <f>E19-(E16*E39)</f>
        <v>#REF!</v>
      </c>
      <c r="F20" s="275" t="e">
        <f>F19-(F16*F39)</f>
        <v>#REF!</v>
      </c>
      <c r="G20" s="276" t="e">
        <f>G19-(G16*G39)</f>
        <v>#REF!</v>
      </c>
      <c r="H20" s="25"/>
      <c r="I20" s="275" t="e">
        <f>I19-(I16*I39)</f>
        <v>#REF!</v>
      </c>
      <c r="J20" s="275" t="e">
        <f>J19-(J16*J39)</f>
        <v>#REF!</v>
      </c>
      <c r="K20" s="275" t="e">
        <f>K19-(K16*K39)</f>
        <v>#REF!</v>
      </c>
      <c r="L20" s="275" t="e">
        <f>L19-(L16*L39)</f>
        <v>#REF!</v>
      </c>
      <c r="M20" s="276" t="e">
        <f t="shared" ref="M20:M24" si="18">SUM(I20:L20)</f>
        <v>#REF!</v>
      </c>
      <c r="N20" s="277"/>
      <c r="O20" s="275" t="e">
        <f>O19-(O16*O39)</f>
        <v>#REF!</v>
      </c>
      <c r="P20" s="275" t="e">
        <f>P19-(P16*P39)</f>
        <v>#REF!</v>
      </c>
      <c r="Q20" s="275" t="e">
        <f>Q19-(Q16*Q39)</f>
        <v>#REF!</v>
      </c>
      <c r="R20" s="275" t="e">
        <f>R19-(R16*R39)</f>
        <v>#REF!</v>
      </c>
      <c r="S20" s="276" t="e">
        <f t="shared" ref="S20:S24" si="19">SUM(O20:R20)</f>
        <v>#REF!</v>
      </c>
      <c r="T20" s="258"/>
      <c r="U20" s="258"/>
      <c r="V20" s="258"/>
      <c r="W20" s="258"/>
      <c r="X20" s="258"/>
      <c r="Y20" s="258"/>
      <c r="Z20" s="25"/>
      <c r="AA20" s="25"/>
      <c r="AB20" s="25"/>
      <c r="AC20" s="25"/>
      <c r="AD20" s="25"/>
      <c r="AE20" s="25"/>
      <c r="AF20" s="277"/>
      <c r="AG20" s="25"/>
      <c r="AH20" s="25"/>
      <c r="AI20" s="25"/>
      <c r="AJ20" s="25"/>
      <c r="AK20" s="25"/>
      <c r="AR20" s="25"/>
      <c r="AS20" s="25"/>
      <c r="AT20" s="25"/>
      <c r="AU20" s="25"/>
      <c r="AV20" s="25"/>
      <c r="AW20" s="25"/>
      <c r="AX20" s="25"/>
      <c r="AY20" s="25"/>
      <c r="AZ20" s="25"/>
      <c r="BA20" s="25"/>
      <c r="BB20" s="25"/>
      <c r="BC20" s="25"/>
    </row>
    <row r="21" spans="1:55" s="337" customFormat="1" ht="22" customHeight="1">
      <c r="A21" s="92" t="s">
        <v>307</v>
      </c>
      <c r="B21" s="257"/>
      <c r="C21" s="275">
        <f>C16*C42</f>
        <v>121524849.23076923</v>
      </c>
      <c r="D21" s="275">
        <f>D16*D42</f>
        <v>50763544.615384616</v>
      </c>
      <c r="E21" s="275">
        <f>E16*E42</f>
        <v>19997760.000000004</v>
      </c>
      <c r="F21" s="275">
        <f>F16*F42</f>
        <v>379957440</v>
      </c>
      <c r="G21" s="275">
        <f>G16*G42</f>
        <v>572243593.84615386</v>
      </c>
      <c r="H21" s="25"/>
      <c r="I21" s="275">
        <f>I16*I42</f>
        <v>174691970.76923075</v>
      </c>
      <c r="J21" s="275">
        <f>J16*J42</f>
        <v>72972595.384615391</v>
      </c>
      <c r="K21" s="275">
        <f>K16*K42</f>
        <v>28746779.999999996</v>
      </c>
      <c r="L21" s="275">
        <f>L16*L42</f>
        <v>546188820</v>
      </c>
      <c r="M21" s="275">
        <f t="shared" si="18"/>
        <v>822600166.15384614</v>
      </c>
      <c r="N21" s="277"/>
      <c r="O21" s="275">
        <f>O16*O42</f>
        <v>10363377.445990274</v>
      </c>
      <c r="P21" s="275">
        <f>P16*P42</f>
        <v>4329005.7685782155</v>
      </c>
      <c r="Q21" s="275">
        <f>Q16*Q42</f>
        <v>1705365.9088338425</v>
      </c>
      <c r="R21" s="275">
        <f>R16*R42</f>
        <v>32401952.267843008</v>
      </c>
      <c r="S21" s="275">
        <f t="shared" si="19"/>
        <v>48799701.391245335</v>
      </c>
      <c r="T21" s="25"/>
      <c r="U21" s="25"/>
      <c r="V21" s="25"/>
      <c r="W21" s="25"/>
      <c r="X21" s="25"/>
      <c r="Y21" s="25"/>
      <c r="Z21" s="25"/>
      <c r="AA21" s="25"/>
      <c r="AB21" s="25"/>
      <c r="AC21" s="25"/>
      <c r="AD21" s="25"/>
      <c r="AE21" s="25"/>
      <c r="AF21" s="277"/>
      <c r="AG21" s="25"/>
      <c r="AH21" s="25"/>
      <c r="AI21" s="25"/>
      <c r="AJ21" s="25"/>
      <c r="AK21" s="25"/>
      <c r="AR21" s="25"/>
      <c r="AS21" s="25"/>
      <c r="AT21" s="25"/>
      <c r="AU21" s="25"/>
      <c r="AV21" s="25"/>
      <c r="AW21" s="25"/>
      <c r="AX21" s="25"/>
      <c r="AY21" s="25"/>
      <c r="AZ21" s="25"/>
      <c r="BA21" s="25"/>
      <c r="BB21" s="25"/>
      <c r="BC21" s="25"/>
    </row>
    <row r="22" spans="1:55" s="337" customFormat="1" ht="22" customHeight="1">
      <c r="A22" s="92" t="s">
        <v>308</v>
      </c>
      <c r="B22" s="257"/>
      <c r="C22" s="275">
        <f>C16*C48</f>
        <v>6799347.692307693</v>
      </c>
      <c r="D22" s="275">
        <f>D16*D48</f>
        <v>2840233.8461538465</v>
      </c>
      <c r="E22" s="275">
        <f>E16*E48</f>
        <v>1118880.0000000002</v>
      </c>
      <c r="F22" s="275">
        <f>F16*F48</f>
        <v>21258720</v>
      </c>
      <c r="G22" s="275">
        <f>G16*G48</f>
        <v>32017181.53846154</v>
      </c>
      <c r="H22" s="25"/>
      <c r="I22" s="275">
        <f>I16*I48</f>
        <v>9774062.307692308</v>
      </c>
      <c r="J22" s="275">
        <f>J16*J48</f>
        <v>4082836.153846154</v>
      </c>
      <c r="K22" s="275">
        <f>K16*K48</f>
        <v>1608390</v>
      </c>
      <c r="L22" s="275">
        <f>L16*L48</f>
        <v>30559410</v>
      </c>
      <c r="M22" s="275">
        <f t="shared" si="18"/>
        <v>46024698.461538464</v>
      </c>
      <c r="N22" s="277"/>
      <c r="O22" s="275">
        <f>O16*O48</f>
        <v>1739501.1876484563</v>
      </c>
      <c r="P22" s="275">
        <f>P16*P48</f>
        <v>726627.07838479814</v>
      </c>
      <c r="Q22" s="275">
        <f>Q16*Q48</f>
        <v>286247.03087885986</v>
      </c>
      <c r="R22" s="275">
        <f>R16*R48</f>
        <v>5438693.5866983375</v>
      </c>
      <c r="S22" s="275">
        <f t="shared" si="19"/>
        <v>8191068.8836104516</v>
      </c>
      <c r="T22" s="25"/>
      <c r="U22" s="25"/>
      <c r="V22" s="25"/>
      <c r="W22" s="25"/>
      <c r="X22" s="25"/>
      <c r="Y22" s="25"/>
      <c r="Z22" s="25"/>
      <c r="AA22" s="25"/>
      <c r="AB22" s="25"/>
      <c r="AC22" s="25"/>
      <c r="AD22" s="25"/>
      <c r="AE22" s="25"/>
      <c r="AF22" s="277"/>
      <c r="AG22" s="25"/>
      <c r="AH22" s="25"/>
      <c r="AI22" s="25"/>
      <c r="AJ22" s="25"/>
      <c r="AK22" s="25"/>
      <c r="AR22" s="25"/>
      <c r="AS22" s="25"/>
      <c r="AT22" s="25"/>
      <c r="AU22" s="25"/>
      <c r="AV22" s="25"/>
      <c r="AW22" s="25"/>
      <c r="AX22" s="25"/>
      <c r="AY22" s="25"/>
      <c r="AZ22" s="25"/>
      <c r="BA22" s="25"/>
      <c r="BB22" s="25"/>
      <c r="BC22" s="25"/>
    </row>
    <row r="23" spans="1:55" s="337" customFormat="1" ht="22" customHeight="1">
      <c r="A23" s="92" t="s">
        <v>309</v>
      </c>
      <c r="B23" s="257"/>
      <c r="C23" s="275"/>
      <c r="D23" s="275"/>
      <c r="E23" s="275"/>
      <c r="F23" s="275"/>
      <c r="G23" s="275"/>
      <c r="H23" s="25"/>
      <c r="I23" s="275"/>
      <c r="J23" s="275"/>
      <c r="K23" s="275"/>
      <c r="L23" s="275"/>
      <c r="M23" s="275"/>
      <c r="N23" s="277"/>
      <c r="O23" s="275"/>
      <c r="P23" s="275"/>
      <c r="Q23" s="275"/>
      <c r="R23" s="275"/>
      <c r="S23" s="275"/>
      <c r="T23" s="25"/>
      <c r="U23" s="25"/>
      <c r="V23" s="25"/>
      <c r="W23" s="25"/>
      <c r="X23" s="25"/>
      <c r="Y23" s="25"/>
      <c r="Z23" s="25"/>
      <c r="AA23" s="25"/>
      <c r="AB23" s="25"/>
      <c r="AC23" s="25"/>
      <c r="AD23" s="25"/>
      <c r="AE23" s="25"/>
      <c r="AF23" s="277"/>
      <c r="AG23" s="25"/>
      <c r="AH23" s="25"/>
      <c r="AI23" s="25"/>
      <c r="AJ23" s="25"/>
      <c r="AK23" s="25"/>
      <c r="AR23" s="25"/>
      <c r="AS23" s="25"/>
      <c r="AT23" s="25"/>
      <c r="AU23" s="25"/>
      <c r="AV23" s="25"/>
      <c r="AW23" s="25"/>
      <c r="AX23" s="25"/>
      <c r="AY23" s="25"/>
      <c r="AZ23" s="25"/>
      <c r="BA23" s="25"/>
      <c r="BB23" s="25"/>
      <c r="BC23" s="25"/>
    </row>
    <row r="24" spans="1:55" s="338" customFormat="1" ht="21" thickBot="1">
      <c r="A24" s="150" t="s">
        <v>291</v>
      </c>
      <c r="B24" s="151"/>
      <c r="C24" s="274" t="e">
        <f>C19-C21-C22</f>
        <v>#REF!</v>
      </c>
      <c r="D24" s="274" t="e">
        <f t="shared" ref="D24:G24" si="20">D19-D21-D22</f>
        <v>#REF!</v>
      </c>
      <c r="E24" s="274" t="e">
        <f t="shared" si="20"/>
        <v>#REF!</v>
      </c>
      <c r="F24" s="274" t="e">
        <f t="shared" si="20"/>
        <v>#REF!</v>
      </c>
      <c r="G24" s="278" t="e">
        <f t="shared" si="20"/>
        <v>#REF!</v>
      </c>
      <c r="H24" s="152"/>
      <c r="I24" s="274" t="e">
        <f>I19-I21-I22</f>
        <v>#REF!</v>
      </c>
      <c r="J24" s="274" t="e">
        <f t="shared" ref="J24" si="21">J19-J21-J22</f>
        <v>#REF!</v>
      </c>
      <c r="K24" s="274" t="e">
        <f t="shared" ref="K24" si="22">K19-K21-K22</f>
        <v>#REF!</v>
      </c>
      <c r="L24" s="274" t="e">
        <f t="shared" ref="L24" si="23">L19-L21-L22</f>
        <v>#REF!</v>
      </c>
      <c r="M24" s="278" t="e">
        <f t="shared" si="18"/>
        <v>#REF!</v>
      </c>
      <c r="N24" s="152"/>
      <c r="O24" s="274" t="e">
        <f>O19-O21-O22</f>
        <v>#REF!</v>
      </c>
      <c r="P24" s="274" t="e">
        <f t="shared" ref="P24" si="24">P19-P21-P22</f>
        <v>#REF!</v>
      </c>
      <c r="Q24" s="274" t="e">
        <f t="shared" ref="Q24" si="25">Q19-Q21-Q22</f>
        <v>#REF!</v>
      </c>
      <c r="R24" s="274" t="e">
        <f t="shared" ref="R24" si="26">R19-R21-R22</f>
        <v>#REF!</v>
      </c>
      <c r="S24" s="278" t="e">
        <f t="shared" si="19"/>
        <v>#REF!</v>
      </c>
      <c r="T24" s="152"/>
      <c r="U24" s="152"/>
      <c r="V24" s="152"/>
      <c r="W24" s="152"/>
      <c r="X24" s="152"/>
      <c r="Y24" s="152"/>
      <c r="Z24" s="152"/>
      <c r="AA24" s="152"/>
      <c r="AB24" s="152"/>
      <c r="AC24" s="152"/>
      <c r="AD24" s="152"/>
      <c r="AE24" s="152"/>
      <c r="AF24" s="152"/>
      <c r="AG24" s="152"/>
      <c r="AH24" s="152"/>
      <c r="AI24" s="152"/>
      <c r="AJ24" s="152"/>
      <c r="AK24" s="152"/>
      <c r="AR24" s="152"/>
      <c r="AS24" s="152"/>
      <c r="AT24" s="152"/>
      <c r="AU24" s="152"/>
      <c r="AV24" s="152"/>
      <c r="AW24" s="152"/>
      <c r="AX24" s="152"/>
      <c r="AY24" s="152"/>
      <c r="AZ24" s="152"/>
      <c r="BA24" s="152"/>
      <c r="BB24" s="152"/>
      <c r="BC24" s="152"/>
    </row>
    <row r="25" spans="1:55">
      <c r="C25" s="139" t="s">
        <v>306</v>
      </c>
    </row>
    <row r="26" spans="1:55">
      <c r="C26" s="139" t="s">
        <v>305</v>
      </c>
    </row>
    <row r="27" spans="1:55" ht="20">
      <c r="A27" s="13" t="s">
        <v>295</v>
      </c>
      <c r="B27" s="61"/>
      <c r="C27" s="13"/>
      <c r="D27" s="13"/>
      <c r="E27" s="13"/>
      <c r="F27" s="13"/>
      <c r="G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</row>
    <row r="28" spans="1:55" s="339" customFormat="1" ht="20">
      <c r="A28" s="260" t="s">
        <v>279</v>
      </c>
      <c r="B28" s="261"/>
      <c r="C28" s="269" t="s">
        <v>280</v>
      </c>
      <c r="D28" s="262"/>
      <c r="E28" s="262"/>
      <c r="F28" s="262"/>
      <c r="G28" s="262"/>
      <c r="H28" s="263"/>
      <c r="I28" s="263"/>
      <c r="J28" s="263"/>
      <c r="K28" s="263"/>
      <c r="L28" s="263"/>
      <c r="M28" s="263"/>
      <c r="N28" s="263"/>
      <c r="O28" s="262"/>
      <c r="P28" s="262"/>
      <c r="Q28" s="262"/>
      <c r="R28" s="262"/>
      <c r="S28" s="262"/>
      <c r="T28" s="262"/>
      <c r="U28" s="262"/>
      <c r="V28" s="262"/>
      <c r="W28" s="262"/>
      <c r="X28" s="262"/>
      <c r="Y28" s="262"/>
      <c r="Z28" s="260"/>
      <c r="AA28" s="260"/>
      <c r="AB28" s="260"/>
      <c r="AC28" s="260"/>
      <c r="AD28" s="260"/>
      <c r="AE28" s="260"/>
      <c r="AF28" s="263"/>
      <c r="AG28" s="263"/>
      <c r="AH28" s="263"/>
      <c r="AI28" s="263"/>
      <c r="AJ28" s="263"/>
      <c r="AK28" s="263"/>
      <c r="AR28" s="263"/>
      <c r="AS28" s="263"/>
      <c r="AT28" s="263"/>
      <c r="AU28" s="263"/>
      <c r="AV28" s="263"/>
      <c r="AW28" s="263"/>
      <c r="AX28" s="263"/>
      <c r="AY28" s="263"/>
      <c r="AZ28" s="263"/>
      <c r="BA28" s="263"/>
      <c r="BB28" s="263"/>
      <c r="BC28" s="263"/>
    </row>
    <row r="29" spans="1:55" ht="20">
      <c r="A29" s="87" t="s">
        <v>128</v>
      </c>
      <c r="C29" s="334" t="s">
        <v>296</v>
      </c>
      <c r="O29" s="334"/>
    </row>
    <row r="30" spans="1:55">
      <c r="A30" s="89" t="s">
        <v>62</v>
      </c>
      <c r="C30" s="169" t="e">
        <f>C81/2</f>
        <v>#REF!</v>
      </c>
      <c r="D30" s="169" t="e">
        <f t="shared" ref="D30:G30" si="27">D81/2</f>
        <v>#REF!</v>
      </c>
      <c r="E30" s="169" t="e">
        <f t="shared" si="27"/>
        <v>#REF!</v>
      </c>
      <c r="F30" s="169" t="e">
        <f t="shared" si="27"/>
        <v>#REF!</v>
      </c>
      <c r="G30" s="169" t="e">
        <f t="shared" si="27"/>
        <v>#REF!</v>
      </c>
      <c r="H30" s="334"/>
      <c r="I30" s="169" t="e">
        <f>C30+C34*(I33-C33)</f>
        <v>#REF!</v>
      </c>
      <c r="J30" s="169" t="e">
        <f>D30+D34*(J33-D33)</f>
        <v>#REF!</v>
      </c>
      <c r="K30" s="169" t="e">
        <f>E30+E34*(K33-E33)</f>
        <v>#REF!</v>
      </c>
      <c r="L30" s="169" t="e">
        <f>F30+F34*(L33-F33)</f>
        <v>#REF!</v>
      </c>
      <c r="O30" s="169" t="e">
        <f>I30</f>
        <v>#REF!</v>
      </c>
      <c r="P30" s="169" t="e">
        <f>J30</f>
        <v>#REF!</v>
      </c>
      <c r="Q30" s="169" t="e">
        <f>K30</f>
        <v>#REF!</v>
      </c>
      <c r="R30" s="169" t="e">
        <f>L30</f>
        <v>#REF!</v>
      </c>
      <c r="T30" s="154"/>
      <c r="U30" s="154"/>
      <c r="V30" s="154"/>
      <c r="W30" s="154"/>
      <c r="X30" s="154"/>
      <c r="Y30" s="154"/>
      <c r="Z30" s="15"/>
      <c r="AA30" s="15"/>
      <c r="AB30" s="15"/>
      <c r="AC30" s="15"/>
      <c r="AD30" s="15"/>
      <c r="AE30" s="15"/>
    </row>
    <row r="31" spans="1:55">
      <c r="A31" s="89" t="s">
        <v>65</v>
      </c>
      <c r="C31" s="169" t="e">
        <f t="shared" ref="C31:G32" si="28">C82/2</f>
        <v>#REF!</v>
      </c>
      <c r="D31" s="169" t="e">
        <f t="shared" si="28"/>
        <v>#REF!</v>
      </c>
      <c r="E31" s="169" t="e">
        <f t="shared" si="28"/>
        <v>#REF!</v>
      </c>
      <c r="F31" s="169" t="e">
        <f t="shared" si="28"/>
        <v>#REF!</v>
      </c>
      <c r="G31" s="169" t="e">
        <f t="shared" si="28"/>
        <v>#REF!</v>
      </c>
      <c r="H31" s="334"/>
      <c r="I31" s="169" t="e">
        <f t="shared" ref="I31:L32" si="29">C31+C35*(H34-C34)</f>
        <v>#REF!</v>
      </c>
      <c r="J31" s="169" t="e">
        <f t="shared" si="29"/>
        <v>#REF!</v>
      </c>
      <c r="K31" s="169" t="e">
        <f t="shared" si="29"/>
        <v>#REF!</v>
      </c>
      <c r="L31" s="169" t="e">
        <f t="shared" si="29"/>
        <v>#REF!</v>
      </c>
      <c r="O31" s="169" t="e">
        <f t="shared" ref="O31:O32" si="30">I31</f>
        <v>#REF!</v>
      </c>
      <c r="P31" s="169" t="e">
        <f t="shared" ref="P31:P32" si="31">J31</f>
        <v>#REF!</v>
      </c>
      <c r="Q31" s="169" t="e">
        <f t="shared" ref="Q31:Q32" si="32">K31</f>
        <v>#REF!</v>
      </c>
      <c r="R31" s="169" t="e">
        <f t="shared" ref="R31:R32" si="33">L31</f>
        <v>#REF!</v>
      </c>
      <c r="T31" s="154"/>
      <c r="U31" s="154"/>
      <c r="V31" s="154"/>
      <c r="W31" s="154"/>
      <c r="X31" s="154"/>
      <c r="Y31" s="154"/>
      <c r="Z31" s="15"/>
      <c r="AA31" s="15"/>
      <c r="AB31" s="15"/>
      <c r="AC31" s="15"/>
      <c r="AD31" s="15"/>
      <c r="AE31" s="15"/>
    </row>
    <row r="32" spans="1:55">
      <c r="A32" s="89" t="s">
        <v>66</v>
      </c>
      <c r="C32" s="169" t="e">
        <f t="shared" si="28"/>
        <v>#REF!</v>
      </c>
      <c r="D32" s="169" t="e">
        <f t="shared" si="28"/>
        <v>#REF!</v>
      </c>
      <c r="E32" s="169" t="e">
        <f t="shared" si="28"/>
        <v>#REF!</v>
      </c>
      <c r="F32" s="169" t="e">
        <f t="shared" si="28"/>
        <v>#REF!</v>
      </c>
      <c r="G32" s="169" t="e">
        <f t="shared" si="28"/>
        <v>#REF!</v>
      </c>
      <c r="H32" s="334"/>
      <c r="I32" s="169" t="e">
        <f t="shared" si="29"/>
        <v>#REF!</v>
      </c>
      <c r="J32" s="169" t="e">
        <f t="shared" si="29"/>
        <v>#REF!</v>
      </c>
      <c r="K32" s="169" t="e">
        <f t="shared" si="29"/>
        <v>#REF!</v>
      </c>
      <c r="L32" s="169" t="e">
        <f t="shared" si="29"/>
        <v>#REF!</v>
      </c>
      <c r="O32" s="169" t="e">
        <f t="shared" si="30"/>
        <v>#REF!</v>
      </c>
      <c r="P32" s="169" t="e">
        <f t="shared" si="31"/>
        <v>#REF!</v>
      </c>
      <c r="Q32" s="169" t="e">
        <f t="shared" si="32"/>
        <v>#REF!</v>
      </c>
      <c r="R32" s="169" t="e">
        <f t="shared" si="33"/>
        <v>#REF!</v>
      </c>
      <c r="T32" s="154"/>
      <c r="U32" s="154"/>
      <c r="V32" s="154"/>
      <c r="W32" s="154"/>
      <c r="X32" s="154"/>
      <c r="Y32" s="154"/>
      <c r="Z32" s="15"/>
      <c r="AA32" s="15"/>
      <c r="AB32" s="15"/>
      <c r="AC32" s="15"/>
      <c r="AD32" s="15"/>
      <c r="AE32" s="15"/>
    </row>
    <row r="33" spans="1:55" ht="20">
      <c r="A33" s="170" t="s">
        <v>197</v>
      </c>
      <c r="B33" s="71" t="s">
        <v>141</v>
      </c>
      <c r="C33" s="71">
        <v>4</v>
      </c>
      <c r="D33" s="71">
        <v>4</v>
      </c>
      <c r="E33" s="71">
        <v>4</v>
      </c>
      <c r="F33" s="71">
        <v>4</v>
      </c>
      <c r="G33" s="71">
        <v>4</v>
      </c>
      <c r="H33" s="334"/>
      <c r="I33" s="71">
        <v>5</v>
      </c>
      <c r="J33" s="71">
        <v>5</v>
      </c>
      <c r="K33" s="71">
        <v>5</v>
      </c>
      <c r="L33" s="71">
        <v>5</v>
      </c>
      <c r="O33" s="169"/>
      <c r="P33" s="169"/>
      <c r="Q33" s="169"/>
      <c r="R33" s="169"/>
      <c r="Z33" s="15"/>
      <c r="AA33" s="15"/>
      <c r="AB33" s="15"/>
      <c r="AC33" s="15"/>
      <c r="AD33" s="15"/>
      <c r="AE33" s="15"/>
    </row>
    <row r="34" spans="1:55" ht="20">
      <c r="A34" s="171" t="s">
        <v>275</v>
      </c>
      <c r="B34" s="71" t="s">
        <v>141</v>
      </c>
      <c r="C34" s="255" t="e">
        <f>C30/C33</f>
        <v>#REF!</v>
      </c>
      <c r="D34" s="255" t="e">
        <f t="shared" ref="D34:G34" si="34">D30/D33</f>
        <v>#REF!</v>
      </c>
      <c r="E34" s="255" t="e">
        <f t="shared" si="34"/>
        <v>#REF!</v>
      </c>
      <c r="F34" s="255" t="e">
        <f t="shared" si="34"/>
        <v>#REF!</v>
      </c>
      <c r="G34" s="255" t="e">
        <f t="shared" si="34"/>
        <v>#REF!</v>
      </c>
      <c r="Z34" s="15"/>
      <c r="AA34" s="15"/>
      <c r="AB34" s="15"/>
      <c r="AC34" s="15"/>
      <c r="AD34" s="15"/>
      <c r="AE34" s="15"/>
    </row>
    <row r="35" spans="1:55" ht="20">
      <c r="A35" s="171" t="s">
        <v>62</v>
      </c>
      <c r="B35" s="71" t="s">
        <v>141</v>
      </c>
      <c r="C35" s="255"/>
      <c r="Z35" s="15"/>
      <c r="AA35" s="15"/>
      <c r="AB35" s="15"/>
      <c r="AC35" s="15"/>
      <c r="AD35" s="15"/>
      <c r="AE35" s="15"/>
    </row>
    <row r="36" spans="1:55" ht="20">
      <c r="A36" s="171" t="s">
        <v>65</v>
      </c>
      <c r="B36" s="71" t="s">
        <v>141</v>
      </c>
      <c r="C36" s="255"/>
      <c r="Z36" s="15"/>
      <c r="AA36" s="15"/>
      <c r="AB36" s="15"/>
      <c r="AC36" s="15"/>
      <c r="AD36" s="15"/>
      <c r="AE36" s="15"/>
    </row>
    <row r="37" spans="1:55" ht="20">
      <c r="A37" s="171" t="s">
        <v>66</v>
      </c>
      <c r="B37" s="71" t="s">
        <v>141</v>
      </c>
      <c r="C37" s="255"/>
      <c r="Z37" s="15"/>
      <c r="AA37" s="15"/>
      <c r="AB37" s="15"/>
      <c r="AC37" s="15"/>
      <c r="AD37" s="15"/>
      <c r="AE37" s="15"/>
    </row>
    <row r="38" spans="1:55">
      <c r="A38" s="89"/>
      <c r="C38" s="169"/>
      <c r="Z38" s="15"/>
      <c r="AA38" s="15"/>
      <c r="AB38" s="15"/>
      <c r="AC38" s="15"/>
      <c r="AD38" s="15"/>
      <c r="AE38" s="15"/>
    </row>
    <row r="39" spans="1:55" s="339" customFormat="1" ht="20">
      <c r="A39" s="264" t="s">
        <v>130</v>
      </c>
      <c r="B39" s="265"/>
      <c r="C39" s="270">
        <v>60000</v>
      </c>
      <c r="D39" s="270">
        <f>C39</f>
        <v>60000</v>
      </c>
      <c r="E39" s="270">
        <f t="shared" ref="E39:G39" si="35">D39</f>
        <v>60000</v>
      </c>
      <c r="F39" s="270">
        <f t="shared" si="35"/>
        <v>60000</v>
      </c>
      <c r="G39" s="270">
        <f t="shared" si="35"/>
        <v>60000</v>
      </c>
      <c r="H39" s="263"/>
      <c r="I39" s="270">
        <f>C39</f>
        <v>60000</v>
      </c>
      <c r="J39" s="270">
        <f>D39</f>
        <v>60000</v>
      </c>
      <c r="K39" s="270">
        <f>E39</f>
        <v>60000</v>
      </c>
      <c r="L39" s="270">
        <f>F39</f>
        <v>60000</v>
      </c>
      <c r="M39" s="270"/>
      <c r="N39" s="266"/>
      <c r="O39" s="270">
        <f>I39</f>
        <v>60000</v>
      </c>
      <c r="P39" s="270">
        <f>J39</f>
        <v>60000</v>
      </c>
      <c r="Q39" s="270">
        <f>K39</f>
        <v>60000</v>
      </c>
      <c r="R39" s="270">
        <f>L39</f>
        <v>60000</v>
      </c>
      <c r="S39" s="263"/>
      <c r="T39" s="263"/>
      <c r="U39" s="263"/>
      <c r="V39" s="263"/>
      <c r="W39" s="263"/>
      <c r="X39" s="263"/>
      <c r="Y39" s="263"/>
      <c r="Z39" s="260"/>
      <c r="AA39" s="260"/>
      <c r="AB39" s="260"/>
      <c r="AC39" s="260"/>
      <c r="AD39" s="260"/>
      <c r="AE39" s="260"/>
      <c r="AF39" s="263"/>
      <c r="AG39" s="263"/>
      <c r="AH39" s="263"/>
      <c r="AI39" s="263"/>
      <c r="AJ39" s="263"/>
      <c r="AK39" s="263"/>
      <c r="AR39" s="263"/>
      <c r="AS39" s="263"/>
      <c r="AT39" s="263"/>
      <c r="AU39" s="263"/>
      <c r="AV39" s="263"/>
      <c r="AW39" s="263"/>
      <c r="AX39" s="263"/>
      <c r="AY39" s="263"/>
      <c r="AZ39" s="263"/>
      <c r="BA39" s="263"/>
      <c r="BB39" s="263"/>
      <c r="BC39" s="263"/>
    </row>
    <row r="40" spans="1:55">
      <c r="C40" s="2"/>
    </row>
    <row r="41" spans="1:55" s="339" customFormat="1" ht="20">
      <c r="A41" s="260" t="s">
        <v>312</v>
      </c>
      <c r="B41" s="267"/>
      <c r="C41" s="261" t="s">
        <v>281</v>
      </c>
      <c r="D41" s="260"/>
      <c r="E41" s="260"/>
      <c r="F41" s="260"/>
      <c r="G41" s="260"/>
      <c r="H41" s="268"/>
      <c r="I41" s="263"/>
      <c r="J41" s="263"/>
      <c r="K41" s="263"/>
      <c r="L41" s="263"/>
      <c r="M41" s="263"/>
      <c r="N41" s="263"/>
      <c r="O41" s="263"/>
      <c r="P41" s="263"/>
      <c r="Q41" s="263"/>
      <c r="R41" s="263"/>
      <c r="S41" s="263"/>
      <c r="T41" s="260"/>
      <c r="U41" s="260"/>
      <c r="V41" s="260"/>
      <c r="W41" s="260"/>
      <c r="X41" s="260"/>
      <c r="Y41" s="260"/>
      <c r="Z41" s="260"/>
      <c r="AA41" s="260"/>
      <c r="AB41" s="260"/>
      <c r="AC41" s="260"/>
      <c r="AD41" s="260"/>
      <c r="AE41" s="260"/>
      <c r="AF41" s="263"/>
      <c r="AG41" s="263"/>
      <c r="AH41" s="263"/>
      <c r="AI41" s="263"/>
      <c r="AJ41" s="263"/>
      <c r="AK41" s="263"/>
      <c r="AR41" s="268" t="s">
        <v>141</v>
      </c>
      <c r="AS41" s="263"/>
      <c r="AT41" s="263"/>
      <c r="AU41" s="263"/>
      <c r="AV41" s="263"/>
      <c r="AW41" s="263"/>
      <c r="AX41" s="263" t="s">
        <v>33</v>
      </c>
      <c r="AY41" s="263"/>
      <c r="AZ41" s="263"/>
      <c r="BA41" s="263"/>
      <c r="BB41" s="263"/>
      <c r="BC41" s="263"/>
    </row>
    <row r="42" spans="1:55" ht="20">
      <c r="A42" s="1" t="s">
        <v>215</v>
      </c>
      <c r="C42" s="169">
        <v>28150</v>
      </c>
      <c r="D42" s="169">
        <f>C42</f>
        <v>28150</v>
      </c>
      <c r="E42" s="169">
        <f t="shared" ref="E42:G42" si="36">D42</f>
        <v>28150</v>
      </c>
      <c r="F42" s="169">
        <f t="shared" si="36"/>
        <v>28150</v>
      </c>
      <c r="G42" s="169">
        <f t="shared" si="36"/>
        <v>28150</v>
      </c>
      <c r="I42" s="340">
        <f>C42</f>
        <v>28150</v>
      </c>
      <c r="J42" s="169">
        <f>D42</f>
        <v>28150</v>
      </c>
      <c r="K42" s="169">
        <f>E42</f>
        <v>28150</v>
      </c>
      <c r="L42" s="169">
        <f>F42</f>
        <v>28150</v>
      </c>
      <c r="M42" s="169"/>
      <c r="O42" s="341">
        <f>I42/3</f>
        <v>9383.3333333333339</v>
      </c>
      <c r="P42" s="341">
        <f t="shared" ref="P42:R42" si="37">J42/3</f>
        <v>9383.3333333333339</v>
      </c>
      <c r="Q42" s="341">
        <f t="shared" si="37"/>
        <v>9383.3333333333339</v>
      </c>
      <c r="R42" s="341">
        <f t="shared" si="37"/>
        <v>9383.3333333333339</v>
      </c>
      <c r="T42" s="334"/>
      <c r="U42" s="14" t="s">
        <v>33</v>
      </c>
      <c r="V42" s="14" t="s">
        <v>33</v>
      </c>
      <c r="W42" s="14" t="s">
        <v>33</v>
      </c>
      <c r="X42" s="14" t="s">
        <v>33</v>
      </c>
      <c r="Y42" s="14" t="s">
        <v>33</v>
      </c>
      <c r="AA42" s="14" t="s">
        <v>33</v>
      </c>
      <c r="AB42" s="14" t="s">
        <v>33</v>
      </c>
      <c r="AC42" s="14" t="s">
        <v>33</v>
      </c>
      <c r="AD42" s="14" t="s">
        <v>33</v>
      </c>
      <c r="AE42" s="14" t="s">
        <v>33</v>
      </c>
      <c r="AR42" s="256" t="s">
        <v>141</v>
      </c>
      <c r="AX42" s="14" t="s">
        <v>33</v>
      </c>
    </row>
    <row r="43" spans="1:55" ht="20">
      <c r="A43" s="80" t="s">
        <v>284</v>
      </c>
      <c r="B43" s="334"/>
      <c r="C43" s="71" t="s">
        <v>141</v>
      </c>
      <c r="D43" s="169"/>
      <c r="E43" s="169"/>
      <c r="F43" s="169"/>
      <c r="G43" s="169"/>
      <c r="O43" s="2" t="s">
        <v>311</v>
      </c>
      <c r="T43" s="334"/>
      <c r="U43" s="14"/>
      <c r="V43" s="14"/>
      <c r="W43" s="14"/>
      <c r="X43" s="14"/>
      <c r="Y43" s="14"/>
      <c r="AA43" s="14"/>
      <c r="AB43" s="14"/>
      <c r="AC43" s="14"/>
      <c r="AD43" s="14"/>
      <c r="AE43" s="14"/>
      <c r="AR43" s="256"/>
      <c r="AX43" s="14"/>
    </row>
    <row r="44" spans="1:55" ht="20">
      <c r="A44" s="80" t="s">
        <v>285</v>
      </c>
      <c r="B44" s="334"/>
      <c r="C44" s="71" t="s">
        <v>141</v>
      </c>
      <c r="D44" s="169"/>
      <c r="E44" s="169"/>
      <c r="F44" s="169"/>
      <c r="G44" s="169"/>
      <c r="T44" s="334"/>
      <c r="U44" s="14"/>
      <c r="V44" s="14"/>
      <c r="W44" s="14"/>
      <c r="X44" s="14"/>
      <c r="Y44" s="14"/>
      <c r="AA44" s="14"/>
      <c r="AB44" s="14"/>
      <c r="AC44" s="14"/>
      <c r="AD44" s="14"/>
      <c r="AE44" s="14"/>
      <c r="AR44" s="256"/>
      <c r="AX44" s="14"/>
    </row>
    <row r="45" spans="1:55" ht="20">
      <c r="A45" s="80" t="s">
        <v>286</v>
      </c>
      <c r="B45" s="334"/>
      <c r="C45" s="71" t="s">
        <v>141</v>
      </c>
      <c r="D45" s="169"/>
      <c r="E45" s="169"/>
      <c r="F45" s="169"/>
      <c r="G45" s="169"/>
      <c r="T45" s="334"/>
      <c r="U45" s="14"/>
      <c r="V45" s="14"/>
      <c r="W45" s="14"/>
      <c r="X45" s="14"/>
      <c r="Y45" s="14"/>
      <c r="AA45" s="14"/>
      <c r="AB45" s="14"/>
      <c r="AC45" s="14"/>
      <c r="AD45" s="14"/>
      <c r="AE45" s="14"/>
      <c r="AR45" s="256"/>
      <c r="AX45" s="14"/>
    </row>
    <row r="46" spans="1:55" ht="20">
      <c r="A46" s="273" t="s">
        <v>287</v>
      </c>
      <c r="B46" s="334"/>
      <c r="C46" s="71" t="s">
        <v>141</v>
      </c>
      <c r="D46" s="169"/>
      <c r="E46" s="169"/>
      <c r="F46" s="169"/>
      <c r="G46" s="169"/>
      <c r="T46" s="334"/>
      <c r="U46" s="14"/>
      <c r="V46" s="14"/>
      <c r="W46" s="14"/>
      <c r="X46" s="14"/>
      <c r="Y46" s="14"/>
      <c r="AA46" s="14"/>
      <c r="AB46" s="14"/>
      <c r="AC46" s="14"/>
      <c r="AD46" s="14"/>
      <c r="AE46" s="14"/>
      <c r="AR46" s="256"/>
      <c r="AX46" s="14"/>
    </row>
    <row r="47" spans="1:55" ht="20">
      <c r="A47" s="273" t="s">
        <v>288</v>
      </c>
      <c r="B47" s="334"/>
      <c r="C47" s="71" t="s">
        <v>141</v>
      </c>
      <c r="D47" s="169"/>
      <c r="E47" s="169"/>
      <c r="F47" s="169"/>
      <c r="G47" s="169"/>
      <c r="T47" s="334"/>
      <c r="U47" s="14"/>
      <c r="V47" s="14"/>
      <c r="W47" s="14"/>
      <c r="X47" s="14"/>
      <c r="Y47" s="14"/>
      <c r="AA47" s="14"/>
      <c r="AB47" s="14"/>
      <c r="AC47" s="14"/>
      <c r="AD47" s="14"/>
      <c r="AE47" s="14"/>
      <c r="AR47" s="256"/>
      <c r="AX47" s="14"/>
    </row>
    <row r="48" spans="1:55" ht="20">
      <c r="A48" s="1" t="s">
        <v>199</v>
      </c>
      <c r="C48" s="169">
        <v>1575</v>
      </c>
      <c r="D48" s="169">
        <f>C48</f>
        <v>1575</v>
      </c>
      <c r="E48" s="169">
        <f t="shared" ref="E48:G48" si="38">D48</f>
        <v>1575</v>
      </c>
      <c r="F48" s="169">
        <f t="shared" si="38"/>
        <v>1575</v>
      </c>
      <c r="G48" s="169">
        <f t="shared" si="38"/>
        <v>1575</v>
      </c>
      <c r="I48" s="340">
        <f>C48</f>
        <v>1575</v>
      </c>
      <c r="J48" s="169">
        <f>D48</f>
        <v>1575</v>
      </c>
      <c r="K48" s="169">
        <f>E48</f>
        <v>1575</v>
      </c>
      <c r="L48" s="169">
        <f>F48</f>
        <v>1575</v>
      </c>
      <c r="M48" s="169"/>
      <c r="O48" s="340">
        <f>I48</f>
        <v>1575</v>
      </c>
      <c r="P48" s="169">
        <f>J48</f>
        <v>1575</v>
      </c>
      <c r="Q48" s="169">
        <f>K48</f>
        <v>1575</v>
      </c>
      <c r="R48" s="169">
        <f>L48</f>
        <v>1575</v>
      </c>
      <c r="T48" s="334"/>
      <c r="U48" s="71" t="s">
        <v>141</v>
      </c>
      <c r="V48" s="71" t="s">
        <v>141</v>
      </c>
      <c r="W48" s="71" t="s">
        <v>141</v>
      </c>
      <c r="X48" s="71" t="s">
        <v>141</v>
      </c>
      <c r="Y48" s="71" t="s">
        <v>141</v>
      </c>
      <c r="AA48" s="71" t="s">
        <v>141</v>
      </c>
      <c r="AB48" s="71" t="s">
        <v>141</v>
      </c>
      <c r="AC48" s="71" t="s">
        <v>141</v>
      </c>
      <c r="AD48" s="71" t="s">
        <v>141</v>
      </c>
      <c r="AE48" s="71" t="s">
        <v>141</v>
      </c>
      <c r="AR48" s="256" t="s">
        <v>141</v>
      </c>
      <c r="AX48" s="14" t="s">
        <v>33</v>
      </c>
    </row>
    <row r="49" spans="1:55">
      <c r="C49" s="169"/>
      <c r="D49" s="169"/>
      <c r="E49" s="169"/>
      <c r="F49" s="169"/>
      <c r="G49" s="169"/>
    </row>
    <row r="50" spans="1:55" s="339" customFormat="1" ht="20">
      <c r="A50" s="260" t="s">
        <v>313</v>
      </c>
      <c r="B50" s="267"/>
      <c r="C50" s="261" t="s">
        <v>281</v>
      </c>
      <c r="D50" s="260"/>
      <c r="E50" s="260"/>
      <c r="F50" s="260"/>
      <c r="G50" s="260"/>
      <c r="H50" s="268"/>
      <c r="I50" s="263"/>
      <c r="J50" s="263"/>
      <c r="K50" s="263"/>
      <c r="L50" s="263"/>
      <c r="M50" s="263"/>
      <c r="N50" s="263"/>
      <c r="O50" s="263"/>
      <c r="P50" s="263"/>
      <c r="Q50" s="263"/>
      <c r="R50" s="263"/>
      <c r="S50" s="263"/>
      <c r="T50" s="260"/>
      <c r="U50" s="260"/>
      <c r="V50" s="260"/>
      <c r="W50" s="260"/>
      <c r="X50" s="260"/>
      <c r="Y50" s="260"/>
      <c r="Z50" s="260"/>
      <c r="AA50" s="260"/>
      <c r="AB50" s="260"/>
      <c r="AC50" s="260"/>
      <c r="AD50" s="260"/>
      <c r="AE50" s="260"/>
      <c r="AF50" s="263"/>
      <c r="AG50" s="263"/>
      <c r="AH50" s="263"/>
      <c r="AI50" s="263"/>
      <c r="AJ50" s="263"/>
      <c r="AK50" s="263"/>
      <c r="AR50" s="268" t="s">
        <v>141</v>
      </c>
      <c r="AS50" s="263"/>
      <c r="AT50" s="263"/>
      <c r="AU50" s="263"/>
      <c r="AV50" s="263"/>
      <c r="AW50" s="263"/>
      <c r="AX50" s="263" t="s">
        <v>33</v>
      </c>
      <c r="AY50" s="263"/>
      <c r="AZ50" s="263"/>
      <c r="BA50" s="263"/>
      <c r="BB50" s="263"/>
      <c r="BC50" s="263"/>
    </row>
    <row r="51" spans="1:55">
      <c r="C51" s="169"/>
      <c r="D51" s="169"/>
      <c r="E51" s="169"/>
      <c r="F51" s="169"/>
      <c r="G51" s="169"/>
    </row>
    <row r="52" spans="1:55">
      <c r="C52" s="169"/>
      <c r="D52" s="169"/>
      <c r="E52" s="169"/>
      <c r="F52" s="169"/>
      <c r="G52" s="169"/>
    </row>
    <row r="53" spans="1:55" s="339" customFormat="1" ht="20">
      <c r="A53" s="260" t="s">
        <v>289</v>
      </c>
      <c r="B53" s="267"/>
      <c r="C53" s="261" t="s">
        <v>290</v>
      </c>
      <c r="D53" s="260"/>
      <c r="E53" s="260"/>
      <c r="F53" s="260"/>
      <c r="G53" s="260"/>
      <c r="H53" s="268" t="s">
        <v>141</v>
      </c>
      <c r="I53" s="263"/>
      <c r="J53" s="263"/>
      <c r="K53" s="263"/>
      <c r="L53" s="263"/>
      <c r="M53" s="263"/>
      <c r="N53" s="263"/>
      <c r="O53" s="263"/>
      <c r="P53" s="263"/>
      <c r="Q53" s="263"/>
      <c r="R53" s="263"/>
      <c r="S53" s="263"/>
      <c r="T53" s="260"/>
      <c r="U53" s="260"/>
      <c r="V53" s="260"/>
      <c r="W53" s="260"/>
      <c r="X53" s="260"/>
      <c r="Y53" s="260"/>
      <c r="Z53" s="260"/>
      <c r="AA53" s="260"/>
      <c r="AB53" s="260"/>
      <c r="AC53" s="260"/>
      <c r="AD53" s="260"/>
      <c r="AE53" s="260"/>
      <c r="AF53" s="263"/>
      <c r="AG53" s="263"/>
      <c r="AH53" s="263"/>
      <c r="AI53" s="263"/>
      <c r="AJ53" s="263"/>
      <c r="AK53" s="263"/>
      <c r="AR53" s="268" t="s">
        <v>141</v>
      </c>
      <c r="AS53" s="263"/>
      <c r="AT53" s="263"/>
      <c r="AU53" s="263"/>
      <c r="AV53" s="263"/>
      <c r="AW53" s="263"/>
      <c r="AX53" s="263" t="s">
        <v>33</v>
      </c>
      <c r="AY53" s="263"/>
      <c r="AZ53" s="263"/>
      <c r="BA53" s="263"/>
      <c r="BB53" s="263"/>
      <c r="BC53" s="263"/>
    </row>
    <row r="54" spans="1:55" ht="20">
      <c r="C54" s="71" t="s">
        <v>141</v>
      </c>
      <c r="D54" s="169"/>
      <c r="E54" s="169"/>
      <c r="F54" s="169"/>
      <c r="G54" s="169"/>
    </row>
    <row r="55" spans="1:55">
      <c r="D55" s="169"/>
      <c r="E55" s="169"/>
      <c r="F55" s="169"/>
      <c r="G55" s="169"/>
    </row>
    <row r="56" spans="1:55" ht="20">
      <c r="A56" s="13" t="s">
        <v>61</v>
      </c>
      <c r="B56" s="61"/>
      <c r="C56" s="169" t="e">
        <f>'База селлеров'!#REF!</f>
        <v>#REF!</v>
      </c>
      <c r="D56" s="169" t="e">
        <f>C56</f>
        <v>#REF!</v>
      </c>
      <c r="E56" s="169" t="e">
        <f t="shared" ref="E56:G56" si="39">D56</f>
        <v>#REF!</v>
      </c>
      <c r="F56" s="169" t="e">
        <f t="shared" si="39"/>
        <v>#REF!</v>
      </c>
      <c r="G56" s="169" t="e">
        <f t="shared" si="39"/>
        <v>#REF!</v>
      </c>
      <c r="Z56" s="13"/>
      <c r="AA56" s="13"/>
      <c r="AB56" s="13"/>
      <c r="AC56" s="13"/>
      <c r="AD56" s="13"/>
      <c r="AE56" s="13"/>
    </row>
    <row r="57" spans="1:55" ht="20">
      <c r="A57" s="13" t="s">
        <v>142</v>
      </c>
      <c r="B57" s="61"/>
      <c r="Z57" s="13"/>
      <c r="AA57" s="13"/>
      <c r="AB57" s="13"/>
      <c r="AC57" s="13"/>
      <c r="AD57" s="13"/>
      <c r="AE57" s="13"/>
    </row>
    <row r="58" spans="1:55" ht="20">
      <c r="A58" s="13" t="s">
        <v>129</v>
      </c>
      <c r="B58" s="61"/>
      <c r="C58" s="13"/>
      <c r="D58" s="13"/>
      <c r="E58" s="13"/>
      <c r="F58" s="13"/>
      <c r="G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  <c r="AE58" s="13"/>
    </row>
    <row r="59" spans="1:55" ht="20">
      <c r="A59" s="15" t="s">
        <v>62</v>
      </c>
      <c r="B59" s="15"/>
      <c r="C59" s="71" t="s">
        <v>141</v>
      </c>
      <c r="D59" s="13"/>
      <c r="E59" s="13"/>
      <c r="F59" s="13"/>
      <c r="G59" s="13"/>
      <c r="T59" s="13"/>
      <c r="U59" s="13"/>
      <c r="V59" s="13"/>
      <c r="W59" s="13"/>
      <c r="X59" s="13"/>
      <c r="Y59" s="13"/>
      <c r="Z59" s="15"/>
      <c r="AA59" s="15"/>
      <c r="AB59" s="15"/>
      <c r="AC59" s="15"/>
      <c r="AD59" s="15"/>
      <c r="AE59" s="15"/>
    </row>
    <row r="60" spans="1:55" ht="20">
      <c r="A60" s="15" t="s">
        <v>65</v>
      </c>
      <c r="B60" s="15"/>
      <c r="C60" s="71" t="s">
        <v>141</v>
      </c>
      <c r="D60" s="13"/>
      <c r="E60" s="13"/>
      <c r="F60" s="13"/>
      <c r="G60" s="13"/>
      <c r="T60" s="13"/>
      <c r="U60" s="13"/>
      <c r="V60" s="13"/>
      <c r="W60" s="13"/>
      <c r="X60" s="13"/>
      <c r="Y60" s="13"/>
      <c r="Z60" s="15"/>
      <c r="AA60" s="15"/>
      <c r="AB60" s="15"/>
      <c r="AC60" s="15"/>
      <c r="AD60" s="15"/>
      <c r="AE60" s="15"/>
    </row>
    <row r="61" spans="1:55" ht="20">
      <c r="A61" s="15" t="s">
        <v>66</v>
      </c>
      <c r="B61" s="15"/>
      <c r="C61" s="71" t="s">
        <v>141</v>
      </c>
      <c r="D61" s="13"/>
      <c r="E61" s="13"/>
      <c r="F61" s="13"/>
      <c r="G61" s="13"/>
      <c r="T61" s="13"/>
      <c r="U61" s="13"/>
      <c r="V61" s="13"/>
      <c r="W61" s="13"/>
      <c r="X61" s="13"/>
      <c r="Y61" s="13"/>
      <c r="Z61" s="15"/>
      <c r="AA61" s="15"/>
      <c r="AB61" s="15"/>
      <c r="AC61" s="15"/>
      <c r="AD61" s="15"/>
      <c r="AE61" s="15"/>
    </row>
    <row r="62" spans="1:55" ht="20">
      <c r="A62" s="15" t="s">
        <v>31</v>
      </c>
      <c r="B62" s="15"/>
      <c r="C62" s="71" t="s">
        <v>141</v>
      </c>
      <c r="D62" s="13"/>
      <c r="E62" s="13"/>
      <c r="F62" s="13"/>
      <c r="G62" s="13"/>
      <c r="T62" s="13"/>
      <c r="U62" s="13"/>
      <c r="V62" s="13"/>
      <c r="W62" s="13"/>
      <c r="X62" s="13"/>
      <c r="Y62" s="13"/>
      <c r="Z62" s="15"/>
      <c r="AA62" s="15"/>
      <c r="AB62" s="15"/>
      <c r="AC62" s="15"/>
      <c r="AD62" s="15"/>
      <c r="AE62" s="15"/>
    </row>
    <row r="64" spans="1:55" ht="20">
      <c r="A64" s="13" t="s">
        <v>67</v>
      </c>
      <c r="B64" s="61"/>
      <c r="C64" s="71" t="s">
        <v>141</v>
      </c>
      <c r="D64" s="13"/>
      <c r="E64" s="13"/>
      <c r="F64" s="13"/>
      <c r="G64" s="13"/>
      <c r="T64" s="13"/>
      <c r="U64" s="13"/>
      <c r="V64" s="13"/>
      <c r="W64" s="13"/>
      <c r="X64" s="13"/>
      <c r="Y64" s="13"/>
      <c r="Z64" s="13"/>
      <c r="AA64" s="13"/>
      <c r="AB64" s="13"/>
      <c r="AC64" s="13"/>
      <c r="AD64" s="13"/>
      <c r="AE64" s="13"/>
    </row>
    <row r="65" spans="1:31" ht="20">
      <c r="A65" s="13" t="s">
        <v>113</v>
      </c>
      <c r="B65" s="61"/>
      <c r="C65" s="71" t="s">
        <v>141</v>
      </c>
      <c r="D65" s="13"/>
      <c r="E65" s="13"/>
      <c r="F65" s="13"/>
      <c r="G65" s="13"/>
      <c r="T65" s="13"/>
      <c r="U65" s="13"/>
      <c r="V65" s="13"/>
      <c r="W65" s="13"/>
      <c r="X65" s="13"/>
      <c r="Y65" s="13"/>
      <c r="Z65" s="13"/>
      <c r="AA65" s="13"/>
      <c r="AB65" s="13"/>
      <c r="AC65" s="13"/>
      <c r="AD65" s="13"/>
      <c r="AE65" s="13"/>
    </row>
    <row r="67" spans="1:31" ht="40">
      <c r="A67" s="13" t="s">
        <v>144</v>
      </c>
      <c r="B67" s="61"/>
      <c r="C67" s="13"/>
      <c r="D67" s="13"/>
      <c r="E67" s="13"/>
      <c r="F67" s="13"/>
      <c r="G67" s="13"/>
      <c r="T67" s="13"/>
      <c r="U67" s="13"/>
      <c r="V67" s="13"/>
      <c r="W67" s="13"/>
      <c r="X67" s="13"/>
      <c r="Y67" s="13"/>
      <c r="Z67" s="13"/>
      <c r="AA67" s="13"/>
      <c r="AB67" s="13"/>
      <c r="AC67" s="13"/>
      <c r="AD67" s="13"/>
      <c r="AE67" s="13"/>
    </row>
    <row r="68" spans="1:31">
      <c r="A68" s="15" t="s">
        <v>62</v>
      </c>
      <c r="B68" s="15"/>
      <c r="C68" s="73">
        <f>'База селлеров'!B39</f>
        <v>7.5010916349572705E-3</v>
      </c>
      <c r="D68" s="73">
        <f>'База селлеров'!C39</f>
        <v>2.0520050125313282E-2</v>
      </c>
      <c r="E68" s="138">
        <f>'База селлеров'!D39</f>
        <v>1.3273030313552554E-2</v>
      </c>
      <c r="F68" s="138">
        <f>'База селлеров'!E39</f>
        <v>1.3273030313552554E-2</v>
      </c>
      <c r="G68" s="138">
        <f>'База селлеров'!F39</f>
        <v>1.3273030313552554E-2</v>
      </c>
      <c r="I68" s="74">
        <f>C68</f>
        <v>7.5010916349572705E-3</v>
      </c>
      <c r="J68" s="74">
        <f>D68</f>
        <v>2.0520050125313282E-2</v>
      </c>
      <c r="K68" s="74">
        <f>E68</f>
        <v>1.3273030313552554E-2</v>
      </c>
      <c r="L68" s="74">
        <f>F68</f>
        <v>1.3273030313552554E-2</v>
      </c>
      <c r="M68" s="74"/>
      <c r="N68" s="15"/>
      <c r="O68" s="74">
        <f>I68</f>
        <v>7.5010916349572705E-3</v>
      </c>
      <c r="P68" s="74">
        <f>J68</f>
        <v>2.0520050125313282E-2</v>
      </c>
      <c r="Q68" s="74">
        <f>K68</f>
        <v>1.3273030313552554E-2</v>
      </c>
      <c r="R68" s="74">
        <f>L68</f>
        <v>1.3273030313552554E-2</v>
      </c>
      <c r="Z68" s="15"/>
      <c r="AA68" s="15"/>
      <c r="AB68" s="15"/>
      <c r="AC68" s="15"/>
      <c r="AD68" s="15"/>
      <c r="AE68" s="15"/>
    </row>
    <row r="69" spans="1:31">
      <c r="A69" s="15" t="s">
        <v>65</v>
      </c>
      <c r="B69" s="15"/>
      <c r="C69" s="73">
        <f>'База селлеров'!B40</f>
        <v>0.10531158380637515</v>
      </c>
      <c r="D69" s="73">
        <f>'База селлеров'!C40</f>
        <v>0.15202067669172933</v>
      </c>
      <c r="E69" s="138">
        <f>'База селлеров'!D40</f>
        <v>0.12602000069446856</v>
      </c>
      <c r="F69" s="138">
        <f>'База селлеров'!E40</f>
        <v>0.12602000069446856</v>
      </c>
      <c r="G69" s="138">
        <f>'База селлеров'!F40</f>
        <v>0.12602000069446856</v>
      </c>
      <c r="I69" s="74">
        <f t="shared" ref="I69:I71" si="40">C69</f>
        <v>0.10531158380637515</v>
      </c>
      <c r="J69" s="74">
        <f t="shared" ref="J69:L71" si="41">D69</f>
        <v>0.15202067669172933</v>
      </c>
      <c r="K69" s="74">
        <f t="shared" si="41"/>
        <v>0.12602000069446856</v>
      </c>
      <c r="L69" s="74">
        <f t="shared" si="41"/>
        <v>0.12602000069446856</v>
      </c>
      <c r="M69" s="74"/>
      <c r="N69" s="15"/>
      <c r="O69" s="74">
        <f t="shared" ref="O69:O71" si="42">I69</f>
        <v>0.10531158380637515</v>
      </c>
      <c r="P69" s="74">
        <f t="shared" ref="P69:R71" si="43">J69</f>
        <v>0.15202067669172933</v>
      </c>
      <c r="Q69" s="74">
        <f t="shared" si="43"/>
        <v>0.12602000069446856</v>
      </c>
      <c r="R69" s="74">
        <f t="shared" si="43"/>
        <v>0.12602000069446856</v>
      </c>
      <c r="Z69" s="15"/>
      <c r="AA69" s="15"/>
      <c r="AB69" s="15"/>
      <c r="AC69" s="15"/>
      <c r="AD69" s="15"/>
      <c r="AE69" s="15"/>
    </row>
    <row r="70" spans="1:31">
      <c r="A70" s="15" t="s">
        <v>66</v>
      </c>
      <c r="B70" s="15"/>
      <c r="C70" s="73">
        <f>'База селлеров'!B41</f>
        <v>0.88707816106294057</v>
      </c>
      <c r="D70" s="73">
        <f>'База селлеров'!C41</f>
        <v>0.82573621553884713</v>
      </c>
      <c r="E70" s="138">
        <f>'База селлеров'!D41</f>
        <v>0.85988228757942986</v>
      </c>
      <c r="F70" s="138">
        <f>'База селлеров'!E41</f>
        <v>0.85988228757942986</v>
      </c>
      <c r="G70" s="138">
        <f>'База селлеров'!F41</f>
        <v>0.85988228757942986</v>
      </c>
      <c r="I70" s="74">
        <f t="shared" si="40"/>
        <v>0.88707816106294057</v>
      </c>
      <c r="J70" s="74">
        <f t="shared" si="41"/>
        <v>0.82573621553884713</v>
      </c>
      <c r="K70" s="74">
        <f t="shared" si="41"/>
        <v>0.85988228757942986</v>
      </c>
      <c r="L70" s="74">
        <f t="shared" si="41"/>
        <v>0.85988228757942986</v>
      </c>
      <c r="M70" s="74"/>
      <c r="N70" s="15"/>
      <c r="O70" s="74">
        <f t="shared" si="42"/>
        <v>0.88707816106294057</v>
      </c>
      <c r="P70" s="74">
        <f t="shared" si="43"/>
        <v>0.82573621553884713</v>
      </c>
      <c r="Q70" s="74">
        <f t="shared" si="43"/>
        <v>0.85988228757942986</v>
      </c>
      <c r="R70" s="74">
        <f t="shared" si="43"/>
        <v>0.85988228757942986</v>
      </c>
      <c r="Z70" s="15"/>
      <c r="AA70" s="15"/>
      <c r="AB70" s="15"/>
      <c r="AC70" s="15"/>
      <c r="AD70" s="15"/>
      <c r="AE70" s="15"/>
    </row>
    <row r="71" spans="1:31">
      <c r="A71" s="15" t="s">
        <v>31</v>
      </c>
      <c r="B71" s="15"/>
      <c r="C71" s="73">
        <f>'База селлеров'!B42</f>
        <v>0</v>
      </c>
      <c r="D71" s="73">
        <f>'База селлеров'!C42</f>
        <v>0</v>
      </c>
      <c r="E71" s="138">
        <f>'База селлеров'!D42</f>
        <v>0</v>
      </c>
      <c r="F71" s="138">
        <f>'База селлеров'!E42</f>
        <v>0</v>
      </c>
      <c r="G71" s="138">
        <f>'База селлеров'!F42</f>
        <v>0</v>
      </c>
      <c r="I71" s="74">
        <f t="shared" si="40"/>
        <v>0</v>
      </c>
      <c r="J71" s="74">
        <f t="shared" si="41"/>
        <v>0</v>
      </c>
      <c r="K71" s="74">
        <f t="shared" si="41"/>
        <v>0</v>
      </c>
      <c r="L71" s="74">
        <f t="shared" si="41"/>
        <v>0</v>
      </c>
      <c r="M71" s="74"/>
      <c r="N71" s="15"/>
      <c r="O71" s="74">
        <f t="shared" si="42"/>
        <v>0</v>
      </c>
      <c r="P71" s="74">
        <f t="shared" si="43"/>
        <v>0</v>
      </c>
      <c r="Q71" s="74">
        <f t="shared" si="43"/>
        <v>0</v>
      </c>
      <c r="R71" s="74">
        <f t="shared" si="43"/>
        <v>0</v>
      </c>
      <c r="Z71" s="15"/>
      <c r="AA71" s="15"/>
      <c r="AB71" s="15"/>
      <c r="AC71" s="15"/>
      <c r="AD71" s="15"/>
      <c r="AE71" s="15"/>
    </row>
    <row r="72" spans="1:31">
      <c r="A72" s="15"/>
      <c r="B72" s="15"/>
      <c r="C72" s="73"/>
      <c r="D72" s="73"/>
      <c r="E72" s="271" t="s">
        <v>282</v>
      </c>
      <c r="F72" s="73"/>
      <c r="G72" s="73"/>
      <c r="N72" s="15"/>
      <c r="O72" s="73"/>
      <c r="P72" s="73"/>
      <c r="Z72" s="15"/>
      <c r="AA72" s="15"/>
      <c r="AB72" s="15"/>
      <c r="AC72" s="15"/>
      <c r="AD72" s="15"/>
      <c r="AE72" s="15"/>
    </row>
    <row r="73" spans="1:31" ht="60">
      <c r="A73" s="13" t="s">
        <v>145</v>
      </c>
      <c r="B73" s="15"/>
      <c r="C73" s="73"/>
      <c r="D73" s="73"/>
      <c r="E73" s="73"/>
      <c r="F73" s="73"/>
      <c r="G73" s="73"/>
      <c r="N73" s="15"/>
      <c r="O73" s="73"/>
      <c r="P73" s="73"/>
      <c r="Q73" s="73"/>
      <c r="R73" s="73"/>
      <c r="S73" s="73"/>
      <c r="T73" s="73"/>
      <c r="U73" s="73"/>
      <c r="V73" s="73"/>
      <c r="W73" s="73"/>
      <c r="X73" s="73"/>
      <c r="Y73" s="73"/>
      <c r="Z73" s="15"/>
      <c r="AA73" s="15"/>
      <c r="AB73" s="15"/>
      <c r="AC73" s="15"/>
      <c r="AD73" s="15"/>
      <c r="AE73" s="15"/>
    </row>
    <row r="74" spans="1:31" ht="20">
      <c r="A74" s="15" t="s">
        <v>62</v>
      </c>
      <c r="B74" s="15"/>
      <c r="C74" s="71" t="s">
        <v>141</v>
      </c>
      <c r="N74" s="15"/>
      <c r="O74" s="160"/>
      <c r="P74" s="160"/>
      <c r="Q74" s="160"/>
      <c r="R74" s="160"/>
      <c r="S74" s="160"/>
      <c r="Z74" s="15"/>
      <c r="AA74" s="15"/>
      <c r="AB74" s="15"/>
      <c r="AC74" s="15"/>
      <c r="AD74" s="15"/>
      <c r="AE74" s="15"/>
    </row>
    <row r="75" spans="1:31" ht="20">
      <c r="A75" s="15" t="s">
        <v>65</v>
      </c>
      <c r="B75" s="15"/>
      <c r="C75" s="71" t="s">
        <v>141</v>
      </c>
      <c r="N75" s="15"/>
      <c r="O75" s="160"/>
      <c r="P75" s="160"/>
      <c r="Q75" s="160"/>
      <c r="R75" s="160"/>
      <c r="S75" s="160"/>
      <c r="Z75" s="15"/>
      <c r="AA75" s="15"/>
      <c r="AB75" s="15"/>
      <c r="AC75" s="15"/>
      <c r="AD75" s="15"/>
      <c r="AE75" s="15"/>
    </row>
    <row r="76" spans="1:31" ht="20">
      <c r="A76" s="15" t="s">
        <v>66</v>
      </c>
      <c r="B76" s="15"/>
      <c r="C76" s="71" t="s">
        <v>141</v>
      </c>
      <c r="N76" s="15"/>
      <c r="O76" s="160"/>
      <c r="P76" s="160"/>
      <c r="Q76" s="160"/>
      <c r="R76" s="160"/>
      <c r="S76" s="160"/>
      <c r="Z76" s="15"/>
      <c r="AA76" s="15"/>
      <c r="AB76" s="15"/>
      <c r="AC76" s="15"/>
      <c r="AD76" s="15"/>
      <c r="AE76" s="15"/>
    </row>
    <row r="77" spans="1:31" ht="20">
      <c r="A77" s="15" t="s">
        <v>31</v>
      </c>
      <c r="B77" s="15"/>
      <c r="C77" s="71" t="s">
        <v>141</v>
      </c>
      <c r="N77" s="15"/>
      <c r="O77" s="160"/>
      <c r="P77" s="160"/>
      <c r="Q77" s="160"/>
      <c r="R77" s="160"/>
      <c r="S77" s="160"/>
      <c r="Z77" s="15"/>
      <c r="AA77" s="15"/>
      <c r="AB77" s="15"/>
      <c r="AC77" s="15"/>
      <c r="AD77" s="15"/>
      <c r="AE77" s="15"/>
    </row>
    <row r="78" spans="1:31">
      <c r="O78" s="73"/>
      <c r="P78" s="73"/>
      <c r="Q78" s="73"/>
      <c r="R78" s="73"/>
      <c r="S78" s="73"/>
    </row>
    <row r="79" spans="1:31">
      <c r="A79" s="18" t="s">
        <v>277</v>
      </c>
      <c r="C79" s="18" t="s">
        <v>278</v>
      </c>
      <c r="D79" s="18"/>
      <c r="E79" s="18"/>
      <c r="F79" s="18"/>
      <c r="G79" s="18"/>
      <c r="N79" s="18"/>
      <c r="O79" s="73"/>
      <c r="P79" s="73"/>
      <c r="Q79" s="73"/>
      <c r="R79" s="73"/>
      <c r="S79" s="73"/>
      <c r="T79" s="18"/>
      <c r="U79" s="18"/>
      <c r="V79" s="18"/>
      <c r="W79" s="18"/>
      <c r="X79" s="18"/>
      <c r="Y79" s="18"/>
      <c r="Z79" s="18"/>
      <c r="AA79" s="18"/>
      <c r="AB79" s="18"/>
      <c r="AC79" s="18"/>
      <c r="AD79" s="18"/>
      <c r="AE79" s="18"/>
    </row>
    <row r="80" spans="1:31">
      <c r="A80" s="15" t="s">
        <v>64</v>
      </c>
      <c r="B80" s="15"/>
      <c r="D80" s="15"/>
      <c r="E80" s="15"/>
      <c r="F80" s="15"/>
      <c r="G80" s="15"/>
      <c r="N80" s="18"/>
      <c r="O80" s="73"/>
      <c r="P80" s="73"/>
      <c r="Q80" s="73"/>
      <c r="R80" s="73"/>
      <c r="S80" s="73"/>
      <c r="T80" s="18"/>
      <c r="U80" s="18"/>
      <c r="V80" s="18"/>
      <c r="W80" s="18"/>
      <c r="X80" s="18"/>
      <c r="Y80" s="18"/>
      <c r="Z80" s="15"/>
      <c r="AA80" s="15"/>
      <c r="AB80" s="15"/>
      <c r="AC80" s="15"/>
      <c r="AD80" s="15"/>
      <c r="AE80" s="15"/>
    </row>
    <row r="81" spans="1:31">
      <c r="A81" s="15" t="s">
        <v>62</v>
      </c>
      <c r="B81" s="15"/>
      <c r="C81" s="292" t="e">
        <f>'База селлеров'!#REF!</f>
        <v>#REF!</v>
      </c>
      <c r="D81" s="292" t="e">
        <f>C81</f>
        <v>#REF!</v>
      </c>
      <c r="E81" s="292" t="e">
        <f t="shared" ref="E81:G81" si="44">D81</f>
        <v>#REF!</v>
      </c>
      <c r="F81" s="292" t="e">
        <f t="shared" si="44"/>
        <v>#REF!</v>
      </c>
      <c r="G81" s="292" t="e">
        <f t="shared" si="44"/>
        <v>#REF!</v>
      </c>
      <c r="I81" s="291" t="e">
        <f>C81</f>
        <v>#REF!</v>
      </c>
      <c r="J81" s="291" t="e">
        <f>D81</f>
        <v>#REF!</v>
      </c>
      <c r="K81" s="291" t="e">
        <f>E81</f>
        <v>#REF!</v>
      </c>
      <c r="L81" s="291" t="e">
        <f>F81</f>
        <v>#REF!</v>
      </c>
      <c r="N81" s="18"/>
      <c r="O81" s="291" t="e">
        <f>I81</f>
        <v>#REF!</v>
      </c>
      <c r="P81" s="291" t="e">
        <f>J81</f>
        <v>#REF!</v>
      </c>
      <c r="Q81" s="291" t="e">
        <f>K81</f>
        <v>#REF!</v>
      </c>
      <c r="R81" s="291" t="e">
        <f>L81</f>
        <v>#REF!</v>
      </c>
      <c r="S81" s="73"/>
      <c r="T81" s="18"/>
      <c r="U81" s="18"/>
      <c r="V81" s="18"/>
      <c r="W81" s="18"/>
      <c r="X81" s="18"/>
      <c r="Y81" s="18"/>
      <c r="Z81" s="15"/>
      <c r="AA81" s="15"/>
      <c r="AB81" s="15"/>
      <c r="AC81" s="15"/>
      <c r="AD81" s="15"/>
      <c r="AE81" s="15"/>
    </row>
    <row r="82" spans="1:31">
      <c r="A82" s="15" t="s">
        <v>65</v>
      </c>
      <c r="B82" s="15"/>
      <c r="C82" s="292" t="e">
        <f>'База селлеров'!#REF!</f>
        <v>#REF!</v>
      </c>
      <c r="D82" s="292" t="e">
        <f t="shared" ref="D82:G82" si="45">C82</f>
        <v>#REF!</v>
      </c>
      <c r="E82" s="292" t="e">
        <f t="shared" si="45"/>
        <v>#REF!</v>
      </c>
      <c r="F82" s="292" t="e">
        <f t="shared" si="45"/>
        <v>#REF!</v>
      </c>
      <c r="G82" s="292" t="e">
        <f t="shared" si="45"/>
        <v>#REF!</v>
      </c>
      <c r="I82" s="291" t="e">
        <f t="shared" ref="I82:I84" si="46">C82</f>
        <v>#REF!</v>
      </c>
      <c r="J82" s="291" t="e">
        <f t="shared" ref="J82:L84" si="47">D82</f>
        <v>#REF!</v>
      </c>
      <c r="K82" s="291" t="e">
        <f t="shared" si="47"/>
        <v>#REF!</v>
      </c>
      <c r="L82" s="291" t="e">
        <f t="shared" si="47"/>
        <v>#REF!</v>
      </c>
      <c r="N82" s="18"/>
      <c r="O82" s="291" t="e">
        <f t="shared" ref="O82:O84" si="48">I82</f>
        <v>#REF!</v>
      </c>
      <c r="P82" s="291" t="e">
        <f t="shared" ref="P82:R84" si="49">J82</f>
        <v>#REF!</v>
      </c>
      <c r="Q82" s="291" t="e">
        <f t="shared" si="49"/>
        <v>#REF!</v>
      </c>
      <c r="R82" s="291" t="e">
        <f t="shared" si="49"/>
        <v>#REF!</v>
      </c>
      <c r="S82" s="73"/>
      <c r="T82" s="18"/>
      <c r="U82" s="18"/>
      <c r="V82" s="18"/>
      <c r="W82" s="18"/>
      <c r="X82" s="18"/>
      <c r="Y82" s="18"/>
      <c r="Z82" s="15"/>
      <c r="AA82" s="15"/>
      <c r="AB82" s="15"/>
      <c r="AC82" s="15"/>
      <c r="AD82" s="15"/>
      <c r="AE82" s="15"/>
    </row>
    <row r="83" spans="1:31">
      <c r="A83" s="15" t="s">
        <v>66</v>
      </c>
      <c r="B83" s="15"/>
      <c r="C83" s="292" t="e">
        <f>'База селлеров'!#REF!</f>
        <v>#REF!</v>
      </c>
      <c r="D83" s="292" t="e">
        <f t="shared" ref="D83:G83" si="50">C83</f>
        <v>#REF!</v>
      </c>
      <c r="E83" s="292" t="e">
        <f t="shared" si="50"/>
        <v>#REF!</v>
      </c>
      <c r="F83" s="292" t="e">
        <f t="shared" si="50"/>
        <v>#REF!</v>
      </c>
      <c r="G83" s="292" t="e">
        <f t="shared" si="50"/>
        <v>#REF!</v>
      </c>
      <c r="I83" s="291" t="e">
        <f t="shared" si="46"/>
        <v>#REF!</v>
      </c>
      <c r="J83" s="291" t="e">
        <f t="shared" si="47"/>
        <v>#REF!</v>
      </c>
      <c r="K83" s="291" t="e">
        <f t="shared" si="47"/>
        <v>#REF!</v>
      </c>
      <c r="L83" s="291" t="e">
        <f t="shared" si="47"/>
        <v>#REF!</v>
      </c>
      <c r="N83" s="18"/>
      <c r="O83" s="291" t="e">
        <f t="shared" si="48"/>
        <v>#REF!</v>
      </c>
      <c r="P83" s="291" t="e">
        <f t="shared" si="49"/>
        <v>#REF!</v>
      </c>
      <c r="Q83" s="291" t="e">
        <f t="shared" si="49"/>
        <v>#REF!</v>
      </c>
      <c r="R83" s="291" t="e">
        <f t="shared" si="49"/>
        <v>#REF!</v>
      </c>
      <c r="S83" s="73"/>
      <c r="T83" s="18"/>
      <c r="U83" s="18"/>
      <c r="V83" s="18"/>
      <c r="W83" s="18"/>
      <c r="X83" s="18"/>
      <c r="Y83" s="18"/>
      <c r="Z83" s="15"/>
      <c r="AA83" s="15"/>
      <c r="AB83" s="15"/>
      <c r="AC83" s="15"/>
      <c r="AD83" s="15"/>
      <c r="AE83" s="15"/>
    </row>
    <row r="84" spans="1:31">
      <c r="A84" s="15" t="s">
        <v>31</v>
      </c>
      <c r="B84" s="15"/>
      <c r="C84" s="292" t="e">
        <f>'База селлеров'!#REF!</f>
        <v>#REF!</v>
      </c>
      <c r="D84" s="292" t="e">
        <f t="shared" ref="D84:G85" si="51">C84</f>
        <v>#REF!</v>
      </c>
      <c r="E84" s="292" t="e">
        <f t="shared" si="51"/>
        <v>#REF!</v>
      </c>
      <c r="F84" s="292" t="e">
        <f t="shared" si="51"/>
        <v>#REF!</v>
      </c>
      <c r="G84" s="292" t="e">
        <f t="shared" si="51"/>
        <v>#REF!</v>
      </c>
      <c r="I84" s="291" t="e">
        <f t="shared" si="46"/>
        <v>#REF!</v>
      </c>
      <c r="J84" s="291" t="e">
        <f t="shared" si="47"/>
        <v>#REF!</v>
      </c>
      <c r="K84" s="291" t="e">
        <f t="shared" si="47"/>
        <v>#REF!</v>
      </c>
      <c r="L84" s="291" t="e">
        <f t="shared" si="47"/>
        <v>#REF!</v>
      </c>
      <c r="N84" s="18"/>
      <c r="O84" s="291" t="e">
        <f t="shared" si="48"/>
        <v>#REF!</v>
      </c>
      <c r="P84" s="291" t="e">
        <f t="shared" si="49"/>
        <v>#REF!</v>
      </c>
      <c r="Q84" s="291" t="e">
        <f t="shared" si="49"/>
        <v>#REF!</v>
      </c>
      <c r="R84" s="291" t="e">
        <f t="shared" si="49"/>
        <v>#REF!</v>
      </c>
      <c r="S84" s="73"/>
      <c r="T84" s="18"/>
      <c r="U84" s="18"/>
      <c r="V84" s="18"/>
      <c r="W84" s="18"/>
      <c r="X84" s="18"/>
      <c r="Y84" s="18"/>
      <c r="Z84" s="15"/>
      <c r="AA84" s="15"/>
      <c r="AB84" s="15"/>
      <c r="AC84" s="15"/>
      <c r="AD84" s="15"/>
      <c r="AE84" s="15"/>
    </row>
    <row r="85" spans="1:31">
      <c r="B85" s="139"/>
      <c r="C85" s="21" t="e">
        <f>'База селлеров'!#REF!</f>
        <v>#REF!</v>
      </c>
      <c r="D85" s="292" t="e">
        <f t="shared" si="51"/>
        <v>#REF!</v>
      </c>
      <c r="E85" s="292" t="e">
        <f t="shared" ref="E85" si="52">D85</f>
        <v>#REF!</v>
      </c>
      <c r="F85" s="292" t="e">
        <f t="shared" ref="F85" si="53">E85</f>
        <v>#REF!</v>
      </c>
      <c r="G85" s="292" t="e">
        <f t="shared" ref="G85" si="54">F85</f>
        <v>#REF!</v>
      </c>
      <c r="O85" s="73"/>
      <c r="P85" s="73"/>
      <c r="Q85" s="73"/>
      <c r="R85" s="73"/>
      <c r="S85" s="73"/>
      <c r="T85" s="18"/>
      <c r="U85" s="18"/>
      <c r="V85" s="18"/>
      <c r="W85" s="18"/>
      <c r="X85" s="18"/>
      <c r="Y85" s="18"/>
      <c r="Z85" s="84"/>
      <c r="AA85" s="84"/>
      <c r="AB85" s="84"/>
      <c r="AC85" s="84"/>
      <c r="AD85" s="84"/>
      <c r="AE85" s="84"/>
    </row>
    <row r="86" spans="1:31">
      <c r="C86" s="272" t="s">
        <v>276</v>
      </c>
    </row>
  </sheetData>
  <pageMargins left="0.7" right="0.7" top="0.75" bottom="0.75" header="0.3" footer="0.3"/>
  <pageSetup paperSize="9" orientation="portrait" horizontalDpi="0" verticalDpi="0"/>
  <legacy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75E91F-9855-E142-8E07-3455258BDEC9}">
  <sheetPr codeName="Лист27"/>
  <dimension ref="A1:F9"/>
  <sheetViews>
    <sheetView workbookViewId="0">
      <selection activeCell="F16" sqref="F16"/>
    </sheetView>
  </sheetViews>
  <sheetFormatPr baseColWidth="10" defaultColWidth="10.6640625" defaultRowHeight="16"/>
  <cols>
    <col min="1" max="1" width="14.1640625" customWidth="1"/>
  </cols>
  <sheetData>
    <row r="1" spans="1:6" ht="21">
      <c r="A1" s="190" t="s">
        <v>223</v>
      </c>
    </row>
    <row r="4" spans="1:6">
      <c r="A4" t="s">
        <v>224</v>
      </c>
      <c r="E4" t="s">
        <v>225</v>
      </c>
    </row>
    <row r="5" spans="1:6">
      <c r="A5" s="191"/>
      <c r="B5" s="79"/>
      <c r="C5" s="192" t="s">
        <v>226</v>
      </c>
      <c r="E5" s="191"/>
      <c r="F5" s="192" t="s">
        <v>226</v>
      </c>
    </row>
    <row r="6" spans="1:6">
      <c r="A6" s="193" t="s">
        <v>227</v>
      </c>
      <c r="B6">
        <v>22953</v>
      </c>
      <c r="C6" s="194"/>
      <c r="E6" s="193">
        <v>30000</v>
      </c>
      <c r="F6" s="194"/>
    </row>
    <row r="7" spans="1:6">
      <c r="A7" s="195" t="s">
        <v>228</v>
      </c>
      <c r="B7" s="196">
        <v>184</v>
      </c>
      <c r="C7" s="197">
        <f>B7/B6</f>
        <v>8.0163813009192699E-3</v>
      </c>
      <c r="E7" s="198">
        <v>1200</v>
      </c>
      <c r="F7" s="199">
        <f>E7/E6</f>
        <v>0.04</v>
      </c>
    </row>
    <row r="8" spans="1:6">
      <c r="A8" s="193" t="s">
        <v>229</v>
      </c>
      <c r="B8">
        <v>170</v>
      </c>
      <c r="C8" s="200">
        <f>B8/B6</f>
        <v>7.4064392454145428E-3</v>
      </c>
    </row>
    <row r="9" spans="1:6">
      <c r="A9" s="198" t="s">
        <v>230</v>
      </c>
      <c r="B9" s="201">
        <v>320</v>
      </c>
      <c r="C9" s="202">
        <f>B9/B6</f>
        <v>1.3941532697250904E-2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DC37FE-B2D5-E149-81D5-4DFF5ECFF894}">
  <sheetPr codeName="Лист28"/>
  <dimension ref="A1:D46"/>
  <sheetViews>
    <sheetView workbookViewId="0">
      <selection activeCell="C23" sqref="C23:C38"/>
    </sheetView>
  </sheetViews>
  <sheetFormatPr baseColWidth="10" defaultColWidth="10.6640625" defaultRowHeight="16" outlineLevelRow="1"/>
  <cols>
    <col min="2" max="2" width="18.6640625" customWidth="1"/>
    <col min="3" max="3" width="28.1640625" customWidth="1"/>
  </cols>
  <sheetData>
    <row r="1" spans="1:3">
      <c r="B1" s="62" t="s">
        <v>585</v>
      </c>
      <c r="C1" s="62" t="s">
        <v>586</v>
      </c>
    </row>
    <row r="2" spans="1:3" hidden="1" outlineLevel="1">
      <c r="A2" s="62">
        <v>0</v>
      </c>
      <c r="B2" s="63">
        <v>44896</v>
      </c>
      <c r="C2">
        <v>7681</v>
      </c>
    </row>
    <row r="3" spans="1:3" hidden="1" outlineLevel="1">
      <c r="A3" s="62">
        <v>1</v>
      </c>
      <c r="B3" s="63">
        <v>44927</v>
      </c>
      <c r="C3">
        <v>3316</v>
      </c>
    </row>
    <row r="4" spans="1:3" hidden="1" outlineLevel="1">
      <c r="A4" s="62">
        <v>2</v>
      </c>
      <c r="B4" s="63">
        <v>44958</v>
      </c>
      <c r="C4">
        <v>2563</v>
      </c>
    </row>
    <row r="5" spans="1:3" hidden="1" outlineLevel="1">
      <c r="A5" s="62">
        <v>3</v>
      </c>
      <c r="B5" s="63">
        <v>44986</v>
      </c>
      <c r="C5">
        <v>4132</v>
      </c>
    </row>
    <row r="6" spans="1:3" hidden="1" outlineLevel="1">
      <c r="A6" s="62">
        <v>4</v>
      </c>
      <c r="B6" s="63">
        <v>45017</v>
      </c>
      <c r="C6">
        <v>5348</v>
      </c>
    </row>
    <row r="7" spans="1:3" hidden="1" outlineLevel="1">
      <c r="A7" s="62">
        <v>5</v>
      </c>
      <c r="B7" s="63">
        <v>45047</v>
      </c>
      <c r="C7">
        <v>3648</v>
      </c>
    </row>
    <row r="8" spans="1:3" hidden="1" outlineLevel="1">
      <c r="A8" s="62">
        <v>6</v>
      </c>
      <c r="B8" s="63">
        <v>45078</v>
      </c>
      <c r="C8">
        <v>3928</v>
      </c>
    </row>
    <row r="9" spans="1:3" hidden="1" outlineLevel="1">
      <c r="A9" s="62">
        <v>7</v>
      </c>
      <c r="B9" s="63">
        <v>45108</v>
      </c>
      <c r="C9">
        <v>5442</v>
      </c>
    </row>
    <row r="10" spans="1:3" hidden="1" outlineLevel="1">
      <c r="A10" s="62">
        <v>8</v>
      </c>
      <c r="B10" s="63">
        <v>45139</v>
      </c>
      <c r="C10">
        <v>5611</v>
      </c>
    </row>
    <row r="11" spans="1:3" hidden="1" outlineLevel="1">
      <c r="A11" s="62">
        <v>9</v>
      </c>
      <c r="B11" s="63">
        <v>45170</v>
      </c>
      <c r="C11">
        <v>8145</v>
      </c>
    </row>
    <row r="12" spans="1:3" hidden="1" outlineLevel="1">
      <c r="A12" s="62">
        <v>10</v>
      </c>
      <c r="B12" s="63">
        <v>45200</v>
      </c>
      <c r="C12">
        <v>15005</v>
      </c>
    </row>
    <row r="13" spans="1:3" hidden="1" outlineLevel="1">
      <c r="A13" s="62">
        <v>11</v>
      </c>
      <c r="B13" s="63">
        <v>45231</v>
      </c>
      <c r="C13">
        <v>14516</v>
      </c>
    </row>
    <row r="14" spans="1:3" hidden="1" outlineLevel="1">
      <c r="A14" s="62">
        <v>12</v>
      </c>
      <c r="B14" s="63">
        <v>45261</v>
      </c>
      <c r="C14">
        <v>15219</v>
      </c>
    </row>
    <row r="15" spans="1:3" hidden="1" outlineLevel="1">
      <c r="A15" s="62">
        <v>13</v>
      </c>
      <c r="B15" s="63">
        <v>45292</v>
      </c>
      <c r="C15">
        <v>15699</v>
      </c>
    </row>
    <row r="16" spans="1:3" hidden="1" outlineLevel="1">
      <c r="A16" s="62">
        <v>14</v>
      </c>
      <c r="B16" s="63">
        <v>45323</v>
      </c>
      <c r="C16">
        <v>15828</v>
      </c>
    </row>
    <row r="17" spans="1:4" hidden="1" outlineLevel="1">
      <c r="A17" s="62">
        <v>15</v>
      </c>
      <c r="B17" s="63">
        <v>45352</v>
      </c>
      <c r="C17">
        <v>19550</v>
      </c>
    </row>
    <row r="18" spans="1:4" hidden="1" outlineLevel="1">
      <c r="A18" s="62">
        <v>16</v>
      </c>
      <c r="B18" s="63">
        <v>45383</v>
      </c>
      <c r="C18">
        <v>23957</v>
      </c>
    </row>
    <row r="19" spans="1:4" hidden="1" outlineLevel="1">
      <c r="A19" s="62">
        <v>17</v>
      </c>
      <c r="B19" s="63">
        <v>45413</v>
      </c>
      <c r="C19">
        <v>16345</v>
      </c>
    </row>
    <row r="20" spans="1:4" hidden="1" outlineLevel="1">
      <c r="A20" s="62">
        <v>18</v>
      </c>
      <c r="B20" s="63">
        <v>45444</v>
      </c>
      <c r="C20">
        <v>17561</v>
      </c>
    </row>
    <row r="21" spans="1:4" hidden="1" outlineLevel="1">
      <c r="A21" s="62">
        <v>19</v>
      </c>
      <c r="B21" s="63">
        <v>45474</v>
      </c>
      <c r="C21">
        <v>21733</v>
      </c>
    </row>
    <row r="22" spans="1:4" hidden="1" outlineLevel="1">
      <c r="A22" s="62">
        <v>20</v>
      </c>
      <c r="B22" s="63">
        <v>45505</v>
      </c>
      <c r="C22">
        <v>17441</v>
      </c>
    </row>
    <row r="23" spans="1:4" collapsed="1">
      <c r="A23" s="1136">
        <v>21</v>
      </c>
      <c r="B23" s="1137">
        <v>45536</v>
      </c>
      <c r="C23" s="196">
        <v>21672</v>
      </c>
      <c r="D23" t="s">
        <v>590</v>
      </c>
    </row>
    <row r="24" spans="1:4">
      <c r="A24" s="1136">
        <v>22</v>
      </c>
      <c r="B24" s="1137">
        <v>45566</v>
      </c>
      <c r="C24" s="196">
        <v>23713</v>
      </c>
    </row>
    <row r="25" spans="1:4">
      <c r="A25" s="1136">
        <v>23</v>
      </c>
      <c r="B25" s="1137">
        <v>45597</v>
      </c>
      <c r="C25" s="196">
        <v>18293</v>
      </c>
    </row>
    <row r="26" spans="1:4">
      <c r="A26" s="1136">
        <v>24</v>
      </c>
      <c r="B26" s="1137">
        <v>45627</v>
      </c>
      <c r="C26" s="196">
        <v>20253</v>
      </c>
    </row>
    <row r="27" spans="1:4">
      <c r="A27" s="1136">
        <v>25</v>
      </c>
      <c r="B27" s="1137">
        <v>45658</v>
      </c>
      <c r="C27" s="196">
        <v>20565</v>
      </c>
    </row>
    <row r="28" spans="1:4">
      <c r="A28" s="1136">
        <v>26</v>
      </c>
      <c r="B28" s="1137">
        <v>45689</v>
      </c>
      <c r="C28" s="196">
        <v>16601</v>
      </c>
    </row>
    <row r="29" spans="1:4">
      <c r="A29" s="1136">
        <v>27</v>
      </c>
      <c r="B29" s="1137">
        <v>45717</v>
      </c>
      <c r="C29" s="196">
        <v>17991</v>
      </c>
    </row>
    <row r="30" spans="1:4">
      <c r="A30" s="1136">
        <v>28</v>
      </c>
      <c r="B30" s="1137">
        <v>45748</v>
      </c>
      <c r="C30" s="196">
        <v>19009</v>
      </c>
    </row>
    <row r="31" spans="1:4">
      <c r="A31" s="1136">
        <v>29</v>
      </c>
      <c r="B31" s="1137">
        <v>45778</v>
      </c>
      <c r="C31" s="196">
        <v>11202</v>
      </c>
    </row>
    <row r="32" spans="1:4">
      <c r="A32" s="1136">
        <v>30</v>
      </c>
      <c r="B32" s="1137">
        <v>45809</v>
      </c>
      <c r="C32" s="196">
        <v>10974</v>
      </c>
    </row>
    <row r="33" spans="1:3">
      <c r="A33" s="1136">
        <v>31</v>
      </c>
      <c r="B33" s="1137">
        <v>45839</v>
      </c>
      <c r="C33" s="196">
        <v>12220</v>
      </c>
    </row>
    <row r="34" spans="1:3">
      <c r="A34" s="1136">
        <v>32</v>
      </c>
      <c r="B34" s="1137">
        <v>45870</v>
      </c>
      <c r="C34" s="196">
        <v>10221</v>
      </c>
    </row>
    <row r="35" spans="1:3">
      <c r="A35" s="1136">
        <v>33</v>
      </c>
      <c r="B35" s="1137">
        <v>45901</v>
      </c>
      <c r="C35" s="196">
        <v>12400</v>
      </c>
    </row>
    <row r="36" spans="1:3">
      <c r="A36" s="1136">
        <v>34</v>
      </c>
      <c r="B36" s="1137">
        <v>45931</v>
      </c>
      <c r="C36" s="196">
        <v>14106</v>
      </c>
    </row>
    <row r="37" spans="1:3">
      <c r="A37" s="1136">
        <v>35</v>
      </c>
      <c r="B37" s="1137">
        <v>45962</v>
      </c>
      <c r="C37" s="196">
        <v>9114</v>
      </c>
    </row>
    <row r="38" spans="1:3">
      <c r="A38" s="1136">
        <v>36</v>
      </c>
      <c r="B38" s="1137">
        <v>45992</v>
      </c>
      <c r="C38" s="196">
        <v>10351</v>
      </c>
    </row>
    <row r="39" spans="1:3">
      <c r="A39" s="62">
        <v>37</v>
      </c>
      <c r="B39" s="63">
        <v>46023</v>
      </c>
      <c r="C39">
        <v>9700</v>
      </c>
    </row>
    <row r="40" spans="1:3">
      <c r="A40" s="62">
        <v>38</v>
      </c>
      <c r="B40" s="63">
        <v>46054</v>
      </c>
      <c r="C40">
        <v>8357</v>
      </c>
    </row>
    <row r="41" spans="1:3">
      <c r="A41" s="62">
        <v>39</v>
      </c>
      <c r="B41" s="63">
        <v>46082</v>
      </c>
      <c r="C41">
        <v>9371</v>
      </c>
    </row>
    <row r="42" spans="1:3">
      <c r="A42" s="62">
        <v>40</v>
      </c>
      <c r="B42" s="63">
        <v>46113</v>
      </c>
      <c r="C42">
        <v>12607</v>
      </c>
    </row>
    <row r="43" spans="1:3">
      <c r="A43" s="62">
        <v>41</v>
      </c>
      <c r="B43" s="63">
        <v>46143</v>
      </c>
      <c r="C43">
        <v>7980</v>
      </c>
    </row>
    <row r="44" spans="1:3">
      <c r="A44" s="62">
        <v>42</v>
      </c>
      <c r="B44" s="63">
        <v>46174</v>
      </c>
      <c r="C44">
        <v>9156</v>
      </c>
    </row>
    <row r="46" spans="1:3">
      <c r="B46" s="7" t="s">
        <v>591</v>
      </c>
      <c r="C46" s="1138">
        <f>AVERAGE(C23:C38)</f>
        <v>15542.8125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82C0FD-7393-1745-9AF4-81796922DD53}">
  <sheetPr codeName="Лист29"/>
  <dimension ref="A1:P50"/>
  <sheetViews>
    <sheetView workbookViewId="0">
      <selection activeCell="B24" sqref="B24"/>
    </sheetView>
  </sheetViews>
  <sheetFormatPr baseColWidth="10" defaultColWidth="10.6640625" defaultRowHeight="16"/>
  <cols>
    <col min="1" max="1" width="21.5" customWidth="1"/>
    <col min="2" max="2" width="35.6640625" style="5" customWidth="1"/>
    <col min="3" max="3" width="23" customWidth="1"/>
    <col min="4" max="4" width="25.6640625" customWidth="1"/>
    <col min="5" max="5" width="13.83203125" customWidth="1"/>
    <col min="6" max="6" width="12" customWidth="1"/>
    <col min="7" max="11" width="18" customWidth="1"/>
    <col min="12" max="12" width="18.1640625" customWidth="1"/>
  </cols>
  <sheetData>
    <row r="1" spans="1:13">
      <c r="A1" s="923" t="s">
        <v>532</v>
      </c>
    </row>
    <row r="2" spans="1:13" s="317" customFormat="1">
      <c r="A2" s="315" t="s">
        <v>231</v>
      </c>
      <c r="B2" s="316"/>
    </row>
    <row r="3" spans="1:13">
      <c r="A3" s="191"/>
      <c r="B3" s="203"/>
      <c r="C3" s="79"/>
      <c r="D3" s="204" t="s">
        <v>232</v>
      </c>
      <c r="E3" s="191" t="s">
        <v>233</v>
      </c>
      <c r="F3" s="192" t="s">
        <v>233</v>
      </c>
      <c r="G3" s="205">
        <v>46054</v>
      </c>
      <c r="H3" s="205">
        <v>46054</v>
      </c>
      <c r="I3" s="205">
        <v>46082</v>
      </c>
      <c r="J3" s="205">
        <v>46082</v>
      </c>
      <c r="K3" s="205">
        <v>46113</v>
      </c>
      <c r="L3" s="205"/>
    </row>
    <row r="4" spans="1:13" s="208" customFormat="1" ht="32">
      <c r="A4" s="206" t="s">
        <v>234</v>
      </c>
      <c r="B4" s="207" t="s">
        <v>235</v>
      </c>
      <c r="C4" s="208" t="s">
        <v>226</v>
      </c>
      <c r="E4" s="209">
        <v>68103.666666666672</v>
      </c>
      <c r="F4" s="210"/>
      <c r="G4" s="208">
        <v>69572</v>
      </c>
      <c r="I4" s="208">
        <v>68231</v>
      </c>
      <c r="K4" s="208">
        <v>66508</v>
      </c>
    </row>
    <row r="5" spans="1:13" s="208" customFormat="1">
      <c r="A5" s="206" t="s">
        <v>236</v>
      </c>
      <c r="B5" s="207" t="s">
        <v>237</v>
      </c>
      <c r="C5" s="208" t="s">
        <v>238</v>
      </c>
      <c r="D5" s="208" t="s">
        <v>239</v>
      </c>
      <c r="E5" s="209">
        <v>5894</v>
      </c>
      <c r="F5" s="211">
        <v>8.6995852377086444E-2</v>
      </c>
      <c r="G5" s="208">
        <v>4442</v>
      </c>
      <c r="H5" s="212">
        <f>G5/G4</f>
        <v>6.3847524866325528E-2</v>
      </c>
      <c r="I5" s="208">
        <v>5093</v>
      </c>
      <c r="J5" s="212">
        <f>I5/I4</f>
        <v>7.464349049552256E-2</v>
      </c>
      <c r="K5" s="208">
        <v>8147</v>
      </c>
      <c r="L5" s="212"/>
      <c r="M5" s="213"/>
    </row>
    <row r="6" spans="1:13" s="208" customFormat="1">
      <c r="A6" s="206" t="s">
        <v>240</v>
      </c>
      <c r="B6" s="207" t="s">
        <v>241</v>
      </c>
      <c r="C6" s="208" t="s">
        <v>242</v>
      </c>
      <c r="D6" s="208" t="s">
        <v>239</v>
      </c>
      <c r="E6" s="209">
        <v>966</v>
      </c>
      <c r="F6" s="211">
        <v>1.4216249784894589E-2</v>
      </c>
      <c r="G6" s="208">
        <v>906</v>
      </c>
      <c r="H6" s="212">
        <f>G6/G4</f>
        <v>1.3022480308169953E-2</v>
      </c>
      <c r="I6" s="208">
        <v>856</v>
      </c>
      <c r="J6" s="212">
        <f>I6/I4</f>
        <v>1.2545617094868901E-2</v>
      </c>
      <c r="K6" s="208">
        <v>1136</v>
      </c>
      <c r="L6" s="212"/>
      <c r="M6" s="213"/>
    </row>
    <row r="7" spans="1:13" s="208" customFormat="1">
      <c r="A7" s="214" t="s">
        <v>243</v>
      </c>
      <c r="B7" s="630" t="s">
        <v>244</v>
      </c>
      <c r="C7" s="208" t="s">
        <v>245</v>
      </c>
      <c r="D7" s="631" t="s">
        <v>246</v>
      </c>
      <c r="E7" s="215">
        <v>250.66666666666666</v>
      </c>
      <c r="F7" s="216">
        <v>0.25381320402315999</v>
      </c>
      <c r="G7" s="208">
        <v>199</v>
      </c>
      <c r="H7" s="212">
        <f>G7/G$6</f>
        <v>0.2196467991169978</v>
      </c>
      <c r="I7" s="208">
        <v>191</v>
      </c>
      <c r="J7" s="212">
        <f>I7/I$6</f>
        <v>0.22313084112149534</v>
      </c>
      <c r="K7" s="208">
        <v>362</v>
      </c>
      <c r="L7" s="212"/>
      <c r="M7" s="213"/>
    </row>
    <row r="8" spans="1:13" s="208" customFormat="1">
      <c r="A8" s="217" t="s">
        <v>247</v>
      </c>
      <c r="B8" s="218" t="s">
        <v>248</v>
      </c>
      <c r="C8" s="208" t="s">
        <v>249</v>
      </c>
      <c r="D8" s="632" t="s">
        <v>246</v>
      </c>
      <c r="E8" s="219">
        <v>218.33333333333334</v>
      </c>
      <c r="F8" s="220">
        <v>0.22552123393466092</v>
      </c>
      <c r="G8" s="208">
        <v>200</v>
      </c>
      <c r="H8" s="212">
        <f>G8/G$6</f>
        <v>0.22075055187637968</v>
      </c>
      <c r="I8" s="208">
        <v>192</v>
      </c>
      <c r="J8" s="212">
        <f>I8/I$6</f>
        <v>0.22429906542056074</v>
      </c>
      <c r="K8" s="208">
        <v>263</v>
      </c>
      <c r="L8" s="212"/>
      <c r="M8" s="213"/>
    </row>
    <row r="9" spans="1:13" s="208" customFormat="1">
      <c r="A9" s="214" t="s">
        <v>250</v>
      </c>
      <c r="B9" s="630" t="s">
        <v>251</v>
      </c>
      <c r="C9" s="208" t="s">
        <v>252</v>
      </c>
      <c r="D9" t="s">
        <v>270</v>
      </c>
      <c r="E9" s="215">
        <v>151</v>
      </c>
      <c r="F9" s="216">
        <v>2.5619273837801201E-2</v>
      </c>
      <c r="G9" s="208">
        <v>134</v>
      </c>
      <c r="H9" s="212">
        <f>G9/G$5</f>
        <v>3.0166591625393965E-2</v>
      </c>
      <c r="I9" s="208">
        <v>146</v>
      </c>
      <c r="J9" s="212">
        <f>I9/I$5</f>
        <v>2.8666797565285687E-2</v>
      </c>
      <c r="K9" s="208">
        <v>173</v>
      </c>
      <c r="L9" s="212"/>
      <c r="M9" s="213"/>
    </row>
    <row r="10" spans="1:13" s="208" customFormat="1">
      <c r="A10" s="206" t="s">
        <v>253</v>
      </c>
      <c r="B10" s="207" t="s">
        <v>254</v>
      </c>
      <c r="C10" s="208" t="s">
        <v>255</v>
      </c>
      <c r="D10" t="s">
        <v>270</v>
      </c>
      <c r="E10" s="209">
        <v>71.666666666666671</v>
      </c>
      <c r="F10" s="211">
        <v>1.3210092717146257E-2</v>
      </c>
      <c r="G10" s="208">
        <v>79</v>
      </c>
      <c r="H10" s="212">
        <f>G10/G$5</f>
        <v>1.7784781629896444E-2</v>
      </c>
      <c r="I10" s="208">
        <v>70</v>
      </c>
      <c r="J10" s="212">
        <f>I10/I$5</f>
        <v>1.3744354997054781E-2</v>
      </c>
      <c r="K10" s="208">
        <v>66</v>
      </c>
      <c r="L10" s="212"/>
      <c r="M10" s="213"/>
    </row>
    <row r="11" spans="1:13" s="208" customFormat="1" ht="32">
      <c r="A11" s="206" t="s">
        <v>256</v>
      </c>
      <c r="B11" s="207" t="s">
        <v>257</v>
      </c>
      <c r="C11" s="208" t="s">
        <v>258</v>
      </c>
      <c r="D11" t="s">
        <v>270</v>
      </c>
      <c r="E11" s="209">
        <v>31.333333333333332</v>
      </c>
      <c r="F11" s="211">
        <v>5.1173516914485573E-3</v>
      </c>
      <c r="G11" s="208">
        <v>20</v>
      </c>
      <c r="H11" s="212">
        <f>G11/G$5</f>
        <v>4.5024763619990991E-3</v>
      </c>
      <c r="I11" s="208">
        <v>24</v>
      </c>
      <c r="J11" s="212">
        <f>I11/I$5</f>
        <v>4.7123502847044967E-3</v>
      </c>
      <c r="K11" s="208">
        <v>50</v>
      </c>
      <c r="L11" s="212"/>
      <c r="M11" s="213"/>
    </row>
    <row r="12" spans="1:13" ht="17">
      <c r="A12" s="221" t="s">
        <v>259</v>
      </c>
      <c r="B12" s="222" t="s">
        <v>260</v>
      </c>
      <c r="C12" s="201"/>
      <c r="D12" s="201" t="s">
        <v>270</v>
      </c>
      <c r="E12" s="223">
        <f>E11+E10</f>
        <v>103</v>
      </c>
      <c r="F12" s="921">
        <f>E12/E5</f>
        <v>1.7475398710553106E-2</v>
      </c>
      <c r="H12" s="224"/>
      <c r="J12" s="224"/>
      <c r="L12" s="224"/>
      <c r="M12" s="224"/>
    </row>
    <row r="13" spans="1:13" ht="64">
      <c r="D13" s="598" t="s">
        <v>297</v>
      </c>
      <c r="E13" s="324"/>
      <c r="F13" s="324"/>
      <c r="G13" s="324"/>
      <c r="H13" s="224"/>
      <c r="J13" s="913"/>
      <c r="M13" s="224"/>
    </row>
    <row r="14" spans="1:13">
      <c r="A14" s="923" t="s">
        <v>534</v>
      </c>
      <c r="E14" s="324"/>
      <c r="F14" s="324">
        <f>E9/E7</f>
        <v>0.60239361702127658</v>
      </c>
      <c r="G14" s="224" t="s">
        <v>602</v>
      </c>
      <c r="J14" s="913"/>
      <c r="M14" s="224"/>
    </row>
    <row r="15" spans="1:13">
      <c r="A15" s="924">
        <v>0.01</v>
      </c>
      <c r="B15" s="192" t="s">
        <v>533</v>
      </c>
      <c r="E15" s="324"/>
      <c r="F15" s="324"/>
      <c r="H15" s="224"/>
      <c r="J15" s="913"/>
      <c r="M15" s="224"/>
    </row>
    <row r="16" spans="1:13">
      <c r="A16" s="925">
        <v>1.2999999999999999E-2</v>
      </c>
      <c r="B16" s="608" t="s">
        <v>531</v>
      </c>
      <c r="E16" s="324"/>
      <c r="F16" s="324"/>
      <c r="H16" s="224"/>
      <c r="J16" s="913"/>
      <c r="M16" s="224"/>
    </row>
    <row r="17" spans="1:16">
      <c r="E17" s="324"/>
      <c r="F17" s="324"/>
      <c r="H17" s="224"/>
      <c r="J17" s="913"/>
      <c r="M17" s="224"/>
    </row>
    <row r="18" spans="1:16">
      <c r="E18" s="324"/>
      <c r="F18" s="324"/>
      <c r="H18" s="224"/>
      <c r="J18" s="913"/>
      <c r="M18" s="224"/>
    </row>
    <row r="19" spans="1:16">
      <c r="E19" s="324"/>
      <c r="F19" s="324"/>
      <c r="H19" s="224"/>
      <c r="J19" s="913"/>
      <c r="M19" s="224"/>
    </row>
    <row r="20" spans="1:16" s="317" customFormat="1">
      <c r="A20" s="315" t="s">
        <v>298</v>
      </c>
      <c r="B20" s="316"/>
      <c r="J20" s="914" t="s">
        <v>525</v>
      </c>
      <c r="K20" s="915">
        <f>L5</f>
        <v>0</v>
      </c>
      <c r="L20"/>
    </row>
    <row r="21" spans="1:16">
      <c r="A21" s="191"/>
      <c r="B21" s="203">
        <v>0</v>
      </c>
      <c r="C21" s="79">
        <v>1</v>
      </c>
      <c r="D21" s="79">
        <v>2</v>
      </c>
      <c r="E21" s="79">
        <v>3</v>
      </c>
      <c r="F21" s="79">
        <v>4</v>
      </c>
      <c r="G21" s="79">
        <v>5</v>
      </c>
      <c r="H21" s="79">
        <v>6</v>
      </c>
      <c r="J21" s="916" t="s">
        <v>526</v>
      </c>
      <c r="K21" s="917">
        <v>1.7000000000000001E-2</v>
      </c>
      <c r="L21" t="s">
        <v>527</v>
      </c>
      <c r="M21" s="224"/>
    </row>
    <row r="22" spans="1:16">
      <c r="A22" s="198" t="s">
        <v>261</v>
      </c>
      <c r="B22" s="225">
        <v>1</v>
      </c>
      <c r="C22" s="226">
        <v>0.44721791257173082</v>
      </c>
      <c r="D22" s="226">
        <v>0.28408527909392306</v>
      </c>
      <c r="E22" s="226">
        <v>0.29794572957484949</v>
      </c>
      <c r="F22" s="226">
        <v>0.22764628183055638</v>
      </c>
      <c r="G22" s="226">
        <v>0.18555068226120858</v>
      </c>
      <c r="H22" s="199">
        <v>1.3157894736842099E-2</v>
      </c>
      <c r="M22" s="224"/>
    </row>
    <row r="23" spans="1:16">
      <c r="A23" s="191" t="s">
        <v>262</v>
      </c>
      <c r="B23" s="318">
        <v>2.4556037800691102</v>
      </c>
      <c r="C23" s="227"/>
      <c r="D23" s="227"/>
      <c r="E23" s="227"/>
      <c r="F23" s="227"/>
      <c r="G23" s="227"/>
      <c r="H23" s="227"/>
      <c r="J23" s="914" t="s">
        <v>528</v>
      </c>
      <c r="K23" s="915">
        <f>M5</f>
        <v>0</v>
      </c>
      <c r="M23" s="224"/>
    </row>
    <row r="24" spans="1:16">
      <c r="A24" s="193" t="s">
        <v>263</v>
      </c>
      <c r="B24" s="228">
        <v>3164</v>
      </c>
      <c r="C24" s="227"/>
      <c r="D24" s="227"/>
      <c r="E24" s="227"/>
      <c r="F24" s="227"/>
      <c r="G24" s="227"/>
      <c r="H24" s="227"/>
      <c r="J24" s="918" t="s">
        <v>529</v>
      </c>
      <c r="K24" s="919">
        <v>0.01</v>
      </c>
      <c r="L24" t="s">
        <v>530</v>
      </c>
      <c r="M24" s="224"/>
    </row>
    <row r="25" spans="1:16">
      <c r="A25" s="198" t="s">
        <v>264</v>
      </c>
      <c r="B25" s="229">
        <v>7769.5303601386649</v>
      </c>
      <c r="C25" s="227"/>
      <c r="D25" s="227"/>
      <c r="E25" s="227"/>
      <c r="F25" s="227"/>
      <c r="G25" s="227"/>
      <c r="H25" s="227"/>
      <c r="J25" s="198"/>
      <c r="K25" s="920">
        <v>1.2999999999999999E-2</v>
      </c>
      <c r="L25" t="s">
        <v>531</v>
      </c>
      <c r="M25" s="224"/>
    </row>
    <row r="26" spans="1:16">
      <c r="H26" s="224"/>
      <c r="M26" s="224"/>
    </row>
    <row r="27" spans="1:16">
      <c r="A27" s="922" t="s">
        <v>532</v>
      </c>
      <c r="H27" s="224"/>
      <c r="M27" s="224"/>
    </row>
    <row r="28" spans="1:16" s="317" customFormat="1">
      <c r="A28" s="315" t="s">
        <v>265</v>
      </c>
    </row>
    <row r="29" spans="1:16">
      <c r="A29" s="191"/>
      <c r="B29" s="79"/>
      <c r="C29" s="79"/>
      <c r="D29" s="79" t="s">
        <v>232</v>
      </c>
      <c r="E29" s="191" t="s">
        <v>233</v>
      </c>
      <c r="F29" s="192" t="s">
        <v>233</v>
      </c>
      <c r="G29" s="63">
        <v>45597</v>
      </c>
      <c r="H29" s="63">
        <v>45627</v>
      </c>
      <c r="I29" s="63">
        <v>45658</v>
      </c>
      <c r="J29" s="63">
        <v>45689</v>
      </c>
      <c r="K29" s="63">
        <v>45717</v>
      </c>
      <c r="L29" s="63">
        <v>45597</v>
      </c>
      <c r="M29" s="63">
        <v>45627</v>
      </c>
      <c r="N29" s="63">
        <v>45658</v>
      </c>
      <c r="O29" s="63">
        <v>45689</v>
      </c>
      <c r="P29" s="63">
        <v>45717</v>
      </c>
    </row>
    <row r="30" spans="1:16" ht="34">
      <c r="A30" s="193" t="s">
        <v>234</v>
      </c>
      <c r="B30" s="5" t="s">
        <v>235</v>
      </c>
      <c r="E30" s="230">
        <f>AVERAGE(G30:K30)</f>
        <v>54137.2</v>
      </c>
      <c r="F30" s="210"/>
      <c r="G30">
        <v>56279</v>
      </c>
      <c r="H30">
        <v>54069</v>
      </c>
      <c r="I30">
        <v>53183</v>
      </c>
      <c r="J30">
        <v>52711</v>
      </c>
      <c r="K30">
        <v>54444</v>
      </c>
    </row>
    <row r="31" spans="1:16" ht="17">
      <c r="A31" s="193" t="s">
        <v>266</v>
      </c>
      <c r="B31" s="5" t="s">
        <v>237</v>
      </c>
      <c r="C31" t="s">
        <v>267</v>
      </c>
      <c r="D31" t="s">
        <v>239</v>
      </c>
      <c r="E31" s="230">
        <f>AVERAGE(G31:K31)</f>
        <v>3784.8</v>
      </c>
      <c r="F31" s="211">
        <v>6.997723125728636E-2</v>
      </c>
      <c r="G31">
        <v>3521</v>
      </c>
      <c r="H31">
        <v>3767</v>
      </c>
      <c r="I31">
        <v>4195</v>
      </c>
      <c r="J31">
        <v>3480</v>
      </c>
      <c r="K31">
        <v>3961</v>
      </c>
      <c r="L31" s="227">
        <v>6.2563300698306651E-2</v>
      </c>
      <c r="M31" s="227">
        <v>6.967023617969631E-2</v>
      </c>
      <c r="N31" s="227">
        <v>7.8878589022808046E-2</v>
      </c>
      <c r="O31" s="227">
        <v>6.6020375253742103E-2</v>
      </c>
      <c r="P31" s="227">
        <v>7.2753655131878633E-2</v>
      </c>
    </row>
    <row r="32" spans="1:16">
      <c r="A32" s="231" t="s">
        <v>240</v>
      </c>
      <c r="B32" s="232" t="s">
        <v>241</v>
      </c>
      <c r="C32" s="208" t="s">
        <v>242</v>
      </c>
      <c r="D32" s="208" t="s">
        <v>239</v>
      </c>
      <c r="E32" s="233" t="s">
        <v>146</v>
      </c>
      <c r="F32" s="234" t="s">
        <v>146</v>
      </c>
      <c r="L32" s="227"/>
      <c r="M32" s="227"/>
      <c r="N32" s="227"/>
      <c r="O32" s="227"/>
      <c r="P32" s="227"/>
    </row>
    <row r="33" spans="1:16">
      <c r="A33" s="325" t="s">
        <v>268</v>
      </c>
      <c r="B33" s="218" t="s">
        <v>244</v>
      </c>
      <c r="C33" t="s">
        <v>269</v>
      </c>
      <c r="D33" t="s">
        <v>270</v>
      </c>
      <c r="E33" s="235">
        <f>AVERAGE(G33:K33)</f>
        <v>963</v>
      </c>
      <c r="F33" s="216">
        <v>0.25441623613151598</v>
      </c>
      <c r="G33">
        <v>855</v>
      </c>
      <c r="H33">
        <v>1005</v>
      </c>
      <c r="I33">
        <v>1043</v>
      </c>
      <c r="J33">
        <v>892</v>
      </c>
      <c r="K33">
        <v>1020</v>
      </c>
      <c r="L33" s="227">
        <v>0.24282874183470604</v>
      </c>
      <c r="M33" s="227">
        <v>0.26679054950889303</v>
      </c>
      <c r="N33" s="227">
        <v>0.24862932061978546</v>
      </c>
      <c r="O33" s="227">
        <v>0.25632183908045975</v>
      </c>
      <c r="P33" s="227">
        <v>0.25751072961373389</v>
      </c>
    </row>
    <row r="34" spans="1:16">
      <c r="A34" s="325" t="s">
        <v>271</v>
      </c>
      <c r="B34" s="218" t="s">
        <v>248</v>
      </c>
      <c r="C34" t="s">
        <v>272</v>
      </c>
      <c r="D34" t="s">
        <v>270</v>
      </c>
      <c r="E34" s="236">
        <f>AVERAGE(G34:K34)</f>
        <v>575.6</v>
      </c>
      <c r="F34" s="237">
        <v>0.15247576666048568</v>
      </c>
      <c r="G34">
        <v>564</v>
      </c>
      <c r="H34">
        <v>629</v>
      </c>
      <c r="I34">
        <v>643</v>
      </c>
      <c r="J34">
        <v>541</v>
      </c>
      <c r="K34">
        <v>501</v>
      </c>
      <c r="L34" s="227">
        <v>0.16018176654359556</v>
      </c>
      <c r="M34" s="227">
        <v>0.16697637377223254</v>
      </c>
      <c r="N34" s="227">
        <v>0.15327771156138259</v>
      </c>
      <c r="O34" s="227">
        <v>0.15545977011494252</v>
      </c>
      <c r="P34" s="227">
        <v>0.12648321131027518</v>
      </c>
    </row>
    <row r="35" spans="1:16">
      <c r="A35" s="193" t="s">
        <v>273</v>
      </c>
      <c r="B35" s="207" t="s">
        <v>251</v>
      </c>
      <c r="C35" t="s">
        <v>252</v>
      </c>
      <c r="D35" t="s">
        <v>270</v>
      </c>
      <c r="E35" s="235">
        <f>AVERAGE(G35:K35)</f>
        <v>103.8</v>
      </c>
      <c r="F35" s="216">
        <v>2.7300142362110619E-2</v>
      </c>
      <c r="G35">
        <v>129</v>
      </c>
      <c r="H35">
        <v>104</v>
      </c>
      <c r="I35">
        <v>93</v>
      </c>
      <c r="J35">
        <v>39</v>
      </c>
      <c r="K35">
        <v>154</v>
      </c>
      <c r="L35" s="227">
        <v>3.6637318943481968E-2</v>
      </c>
      <c r="M35" s="227">
        <v>2.760817626758694E-2</v>
      </c>
      <c r="N35" s="227">
        <v>2.2169249106078665E-2</v>
      </c>
      <c r="O35" s="227">
        <v>1.1206896551724138E-2</v>
      </c>
      <c r="P35" s="227">
        <v>3.8879070941681394E-2</v>
      </c>
    </row>
    <row r="36" spans="1:16" ht="17">
      <c r="A36" s="238" t="s">
        <v>274</v>
      </c>
      <c r="B36" s="239" t="s">
        <v>260</v>
      </c>
      <c r="C36" s="201" t="s">
        <v>258</v>
      </c>
      <c r="D36" s="201" t="s">
        <v>270</v>
      </c>
      <c r="E36" s="240">
        <f>AVERAGE(G36:K36)</f>
        <v>29</v>
      </c>
      <c r="F36" s="241">
        <v>7.6274840913832746E-3</v>
      </c>
      <c r="G36">
        <v>36</v>
      </c>
      <c r="H36">
        <v>29</v>
      </c>
      <c r="I36">
        <v>26</v>
      </c>
      <c r="J36">
        <v>11</v>
      </c>
      <c r="K36">
        <v>43</v>
      </c>
      <c r="L36" s="227">
        <v>1.0224368077250781E-2</v>
      </c>
      <c r="M36" s="227">
        <v>7.6984337669232811E-3</v>
      </c>
      <c r="N36" s="227">
        <v>6.1978545887961863E-3</v>
      </c>
      <c r="O36" s="227">
        <v>3.160919540229885E-3</v>
      </c>
      <c r="P36" s="227">
        <v>1.0855844483716234E-2</v>
      </c>
    </row>
    <row r="37" spans="1:16">
      <c r="E37" s="491" t="s">
        <v>368</v>
      </c>
    </row>
    <row r="38" spans="1:16">
      <c r="A38" s="242"/>
      <c r="B38" s="243"/>
      <c r="C38" s="242"/>
      <c r="D38" s="242"/>
      <c r="E38" s="242"/>
      <c r="F38" s="242"/>
      <c r="G38" s="242"/>
      <c r="H38" s="242"/>
    </row>
    <row r="39" spans="1:16">
      <c r="A39" s="244"/>
      <c r="B39" s="245">
        <v>0</v>
      </c>
      <c r="C39" s="246">
        <v>1</v>
      </c>
      <c r="D39" s="246">
        <v>2</v>
      </c>
      <c r="E39" s="246">
        <v>3</v>
      </c>
      <c r="F39" s="246">
        <v>4</v>
      </c>
      <c r="G39" s="246">
        <v>5</v>
      </c>
      <c r="H39" s="246">
        <v>6</v>
      </c>
    </row>
    <row r="40" spans="1:16" ht="17">
      <c r="A40" s="247" t="s">
        <v>261</v>
      </c>
      <c r="B40" s="248" t="s">
        <v>146</v>
      </c>
      <c r="C40" s="249" t="s">
        <v>146</v>
      </c>
      <c r="D40" s="249" t="s">
        <v>146</v>
      </c>
      <c r="E40" s="249" t="s">
        <v>146</v>
      </c>
      <c r="F40" s="249" t="s">
        <v>146</v>
      </c>
      <c r="G40" s="249" t="s">
        <v>146</v>
      </c>
      <c r="H40" s="248" t="s">
        <v>146</v>
      </c>
    </row>
    <row r="41" spans="1:16" ht="17">
      <c r="A41" s="250" t="s">
        <v>262</v>
      </c>
      <c r="B41" s="251" t="s">
        <v>146</v>
      </c>
      <c r="C41" s="252"/>
      <c r="D41" s="252"/>
      <c r="E41" s="252"/>
      <c r="F41" s="252"/>
      <c r="G41" s="252"/>
      <c r="H41" s="252"/>
    </row>
    <row r="42" spans="1:16" ht="17">
      <c r="A42" s="193" t="s">
        <v>263</v>
      </c>
      <c r="B42" s="251" t="s">
        <v>146</v>
      </c>
      <c r="C42" s="252"/>
      <c r="D42" s="252"/>
      <c r="E42" s="252"/>
      <c r="F42" s="252"/>
      <c r="G42" s="252"/>
      <c r="H42" s="252"/>
    </row>
    <row r="43" spans="1:16" ht="17">
      <c r="A43" s="247" t="s">
        <v>264</v>
      </c>
      <c r="B43" s="248" t="s">
        <v>146</v>
      </c>
      <c r="C43" s="252"/>
      <c r="D43" s="252"/>
      <c r="E43" s="252"/>
      <c r="F43" s="252">
        <f>E35/E34</f>
        <v>0.18033356497567754</v>
      </c>
      <c r="G43" s="224" t="s">
        <v>602</v>
      </c>
      <c r="H43" s="252"/>
    </row>
    <row r="44" spans="1:16">
      <c r="A44" s="242"/>
      <c r="B44" s="243"/>
      <c r="C44" s="242"/>
      <c r="D44" s="242"/>
      <c r="E44" s="242"/>
      <c r="F44" s="242"/>
      <c r="G44" s="242"/>
      <c r="H44" s="242"/>
    </row>
    <row r="45" spans="1:16" ht="18">
      <c r="A45" s="253"/>
      <c r="B45" s="243"/>
      <c r="C45" s="242"/>
      <c r="D45" s="242"/>
      <c r="E45" s="242"/>
      <c r="F45" s="242"/>
      <c r="G45" s="242"/>
      <c r="H45" s="242"/>
    </row>
    <row r="46" spans="1:16" ht="18">
      <c r="A46" s="254"/>
    </row>
    <row r="48" spans="1:16" ht="18">
      <c r="A48" s="254" t="s">
        <v>587</v>
      </c>
    </row>
    <row r="49" spans="1:1" ht="18">
      <c r="A49" s="254" t="s">
        <v>588</v>
      </c>
    </row>
    <row r="50" spans="1:1" ht="18">
      <c r="A50" s="254" t="s">
        <v>589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E44B37-2C9E-5048-8903-9883E4216AC5}">
  <sheetPr codeName="Лист30"/>
  <dimension ref="A1:N46"/>
  <sheetViews>
    <sheetView workbookViewId="0">
      <selection activeCell="Q3" sqref="Q1:Q1048576"/>
    </sheetView>
  </sheetViews>
  <sheetFormatPr baseColWidth="10" defaultColWidth="8.83203125" defaultRowHeight="16"/>
  <cols>
    <col min="2" max="2" width="12.5" customWidth="1"/>
    <col min="3" max="3" width="19" customWidth="1"/>
    <col min="4" max="4" width="24.6640625" customWidth="1"/>
    <col min="5" max="5" width="13.5" customWidth="1"/>
    <col min="6" max="6" width="16.33203125" customWidth="1"/>
    <col min="9" max="9" width="15.83203125" customWidth="1"/>
  </cols>
  <sheetData>
    <row r="1" spans="1:14">
      <c r="B1" s="62" t="s">
        <v>114</v>
      </c>
      <c r="C1" s="62" t="s">
        <v>115</v>
      </c>
      <c r="D1" s="62" t="s">
        <v>116</v>
      </c>
      <c r="E1" s="62" t="s">
        <v>117</v>
      </c>
      <c r="F1" s="62" t="s">
        <v>118</v>
      </c>
      <c r="I1" s="62" t="s">
        <v>114</v>
      </c>
      <c r="J1" s="62" t="s">
        <v>119</v>
      </c>
      <c r="K1" s="62" t="s">
        <v>120</v>
      </c>
      <c r="L1" s="62" t="s">
        <v>121</v>
      </c>
      <c r="M1" s="62" t="s">
        <v>122</v>
      </c>
      <c r="N1" s="62" t="s">
        <v>123</v>
      </c>
    </row>
    <row r="2" spans="1:14">
      <c r="A2" s="62">
        <v>0</v>
      </c>
      <c r="B2" s="63">
        <v>44896</v>
      </c>
      <c r="C2">
        <v>0.52317327766179544</v>
      </c>
      <c r="D2">
        <v>0.47494780793319408</v>
      </c>
      <c r="E2">
        <v>0</v>
      </c>
      <c r="F2">
        <v>0</v>
      </c>
      <c r="H2" s="62">
        <v>0</v>
      </c>
      <c r="I2" s="63">
        <v>44896</v>
      </c>
      <c r="J2">
        <v>2506</v>
      </c>
      <c r="K2">
        <v>2275</v>
      </c>
      <c r="L2">
        <v>0</v>
      </c>
      <c r="M2">
        <v>4790</v>
      </c>
      <c r="N2">
        <v>0</v>
      </c>
    </row>
    <row r="3" spans="1:14">
      <c r="A3" s="62">
        <v>1</v>
      </c>
      <c r="B3" s="63">
        <v>44927</v>
      </c>
      <c r="C3">
        <v>0.48473520249221191</v>
      </c>
      <c r="D3">
        <v>0.42866043613707172</v>
      </c>
      <c r="E3">
        <v>0</v>
      </c>
      <c r="F3">
        <v>0</v>
      </c>
      <c r="H3" s="62">
        <v>1</v>
      </c>
      <c r="I3" s="63">
        <v>44927</v>
      </c>
      <c r="J3">
        <v>778</v>
      </c>
      <c r="K3">
        <v>688</v>
      </c>
      <c r="L3">
        <v>0</v>
      </c>
      <c r="M3">
        <v>1605</v>
      </c>
      <c r="N3">
        <v>0</v>
      </c>
    </row>
    <row r="4" spans="1:14">
      <c r="A4" s="62">
        <v>2</v>
      </c>
      <c r="B4" s="63">
        <v>44958</v>
      </c>
      <c r="C4">
        <v>0.49058295964125559</v>
      </c>
      <c r="D4">
        <v>0.4295964125560538</v>
      </c>
      <c r="E4">
        <v>0</v>
      </c>
      <c r="F4">
        <v>0</v>
      </c>
      <c r="H4" s="62">
        <v>2</v>
      </c>
      <c r="I4" s="63">
        <v>44958</v>
      </c>
      <c r="J4">
        <v>547</v>
      </c>
      <c r="K4">
        <v>479</v>
      </c>
      <c r="L4">
        <v>0</v>
      </c>
      <c r="M4">
        <v>1115</v>
      </c>
      <c r="N4">
        <v>0</v>
      </c>
    </row>
    <row r="5" spans="1:14">
      <c r="A5" s="62">
        <v>3</v>
      </c>
      <c r="B5" s="63">
        <v>44986</v>
      </c>
      <c r="C5">
        <v>0.40740740740740738</v>
      </c>
      <c r="D5">
        <v>0.27805417357656159</v>
      </c>
      <c r="E5">
        <v>0</v>
      </c>
      <c r="F5">
        <v>0</v>
      </c>
      <c r="H5" s="62">
        <v>3</v>
      </c>
      <c r="I5" s="63">
        <v>44986</v>
      </c>
      <c r="J5">
        <v>737</v>
      </c>
      <c r="K5">
        <v>503</v>
      </c>
      <c r="L5">
        <v>0</v>
      </c>
      <c r="M5">
        <v>1809</v>
      </c>
      <c r="N5">
        <v>0</v>
      </c>
    </row>
    <row r="6" spans="1:14">
      <c r="A6" s="62">
        <v>4</v>
      </c>
      <c r="B6" s="63">
        <v>45017</v>
      </c>
      <c r="C6">
        <v>0.34640810929925081</v>
      </c>
      <c r="D6">
        <v>0.21507271925958571</v>
      </c>
      <c r="E6">
        <v>0</v>
      </c>
      <c r="F6">
        <v>0</v>
      </c>
      <c r="H6" s="62">
        <v>4</v>
      </c>
      <c r="I6" s="63">
        <v>45017</v>
      </c>
      <c r="J6">
        <v>786</v>
      </c>
      <c r="K6">
        <v>488</v>
      </c>
      <c r="L6">
        <v>0</v>
      </c>
      <c r="M6">
        <v>2269</v>
      </c>
      <c r="N6">
        <v>0</v>
      </c>
    </row>
    <row r="7" spans="1:14">
      <c r="A7" s="62">
        <v>5</v>
      </c>
      <c r="B7" s="63">
        <v>45047</v>
      </c>
      <c r="C7">
        <v>0.29070691024622719</v>
      </c>
      <c r="D7">
        <v>0.1850675138999206</v>
      </c>
      <c r="E7">
        <v>0</v>
      </c>
      <c r="F7">
        <v>0</v>
      </c>
      <c r="H7" s="62">
        <v>5</v>
      </c>
      <c r="I7" s="63">
        <v>45047</v>
      </c>
      <c r="J7">
        <v>366</v>
      </c>
      <c r="K7">
        <v>233</v>
      </c>
      <c r="L7">
        <v>0</v>
      </c>
      <c r="M7">
        <v>1259</v>
      </c>
      <c r="N7">
        <v>0</v>
      </c>
    </row>
    <row r="8" spans="1:14">
      <c r="A8" s="62">
        <v>6</v>
      </c>
      <c r="B8" s="63">
        <v>45078</v>
      </c>
      <c r="C8">
        <v>0.3112208892025406</v>
      </c>
      <c r="D8">
        <v>0.24841213832039519</v>
      </c>
      <c r="E8">
        <v>0</v>
      </c>
      <c r="F8">
        <v>0</v>
      </c>
      <c r="H8" s="62">
        <v>6</v>
      </c>
      <c r="I8" s="63">
        <v>45078</v>
      </c>
      <c r="J8">
        <v>441</v>
      </c>
      <c r="K8">
        <v>352</v>
      </c>
      <c r="L8">
        <v>0</v>
      </c>
      <c r="M8">
        <v>1417</v>
      </c>
      <c r="N8">
        <v>0</v>
      </c>
    </row>
    <row r="9" spans="1:14">
      <c r="A9" s="62">
        <v>7</v>
      </c>
      <c r="B9" s="63">
        <v>45108</v>
      </c>
      <c r="C9">
        <v>0.31468531468531469</v>
      </c>
      <c r="D9">
        <v>0.39429800968262507</v>
      </c>
      <c r="E9">
        <v>0</v>
      </c>
      <c r="F9">
        <v>0</v>
      </c>
      <c r="H9" s="62">
        <v>7</v>
      </c>
      <c r="I9" s="63">
        <v>45108</v>
      </c>
      <c r="J9">
        <v>585</v>
      </c>
      <c r="K9">
        <v>733</v>
      </c>
      <c r="L9">
        <v>0</v>
      </c>
      <c r="M9">
        <v>1859</v>
      </c>
      <c r="N9">
        <v>0</v>
      </c>
    </row>
    <row r="10" spans="1:14">
      <c r="A10" s="62">
        <v>8</v>
      </c>
      <c r="B10" s="63">
        <v>45139</v>
      </c>
      <c r="C10">
        <v>0.27371273712737132</v>
      </c>
      <c r="D10">
        <v>0.36720867208672092</v>
      </c>
      <c r="E10">
        <v>0</v>
      </c>
      <c r="F10">
        <v>1.309846431797651E-2</v>
      </c>
      <c r="H10" s="62">
        <v>8</v>
      </c>
      <c r="I10" s="63">
        <v>45139</v>
      </c>
      <c r="J10">
        <v>606</v>
      </c>
      <c r="K10">
        <v>813</v>
      </c>
      <c r="L10">
        <v>0</v>
      </c>
      <c r="M10">
        <v>2214</v>
      </c>
      <c r="N10">
        <v>29</v>
      </c>
    </row>
    <row r="11" spans="1:14">
      <c r="A11" s="62">
        <v>9</v>
      </c>
      <c r="B11" s="63">
        <v>45170</v>
      </c>
      <c r="C11">
        <v>0.24294960702727689</v>
      </c>
      <c r="D11">
        <v>0.2387887193712436</v>
      </c>
      <c r="E11">
        <v>0</v>
      </c>
      <c r="F11">
        <v>5.1317614424410539E-2</v>
      </c>
      <c r="H11" s="62">
        <v>9</v>
      </c>
      <c r="I11" s="63">
        <v>45170</v>
      </c>
      <c r="J11">
        <v>1051</v>
      </c>
      <c r="K11">
        <v>1033</v>
      </c>
      <c r="L11">
        <v>0</v>
      </c>
      <c r="M11">
        <v>4326</v>
      </c>
      <c r="N11">
        <v>222</v>
      </c>
    </row>
    <row r="12" spans="1:14">
      <c r="A12" s="62">
        <v>10</v>
      </c>
      <c r="B12" s="63">
        <v>45200</v>
      </c>
      <c r="C12">
        <v>0.38375314861460957</v>
      </c>
      <c r="D12">
        <v>0.2306045340050378</v>
      </c>
      <c r="E12">
        <v>0</v>
      </c>
      <c r="F12">
        <v>4.2191435768261967E-2</v>
      </c>
      <c r="H12" s="62">
        <v>10</v>
      </c>
      <c r="I12" s="63">
        <v>45200</v>
      </c>
      <c r="J12">
        <v>3047</v>
      </c>
      <c r="K12">
        <v>1831</v>
      </c>
      <c r="L12">
        <v>0</v>
      </c>
      <c r="M12">
        <v>7940</v>
      </c>
      <c r="N12">
        <v>335</v>
      </c>
    </row>
    <row r="13" spans="1:14">
      <c r="A13" s="62">
        <v>11</v>
      </c>
      <c r="B13" s="63">
        <v>45231</v>
      </c>
      <c r="C13">
        <v>0.3466644261468661</v>
      </c>
      <c r="D13">
        <v>0.2239959670643589</v>
      </c>
      <c r="E13">
        <v>0</v>
      </c>
      <c r="F13">
        <v>3.461603091917325E-2</v>
      </c>
      <c r="H13" s="62">
        <v>11</v>
      </c>
      <c r="I13" s="63">
        <v>45231</v>
      </c>
      <c r="J13">
        <v>2063</v>
      </c>
      <c r="K13">
        <v>1333</v>
      </c>
      <c r="L13">
        <v>0</v>
      </c>
      <c r="M13">
        <v>5951</v>
      </c>
      <c r="N13">
        <v>206</v>
      </c>
    </row>
    <row r="14" spans="1:14">
      <c r="A14" s="62">
        <v>12</v>
      </c>
      <c r="B14" s="63">
        <v>45261</v>
      </c>
      <c r="C14">
        <v>0.39618609238862401</v>
      </c>
      <c r="D14">
        <v>0.2064770672365609</v>
      </c>
      <c r="E14">
        <v>0</v>
      </c>
      <c r="F14">
        <v>2.663159625184942E-2</v>
      </c>
      <c r="H14" s="62">
        <v>12</v>
      </c>
      <c r="I14" s="63">
        <v>45261</v>
      </c>
      <c r="J14">
        <v>2410</v>
      </c>
      <c r="K14">
        <v>1256</v>
      </c>
      <c r="L14">
        <v>0</v>
      </c>
      <c r="M14">
        <v>6083</v>
      </c>
      <c r="N14">
        <v>162</v>
      </c>
    </row>
    <row r="15" spans="1:14">
      <c r="A15" s="62">
        <v>13</v>
      </c>
      <c r="B15" s="63">
        <v>45292</v>
      </c>
      <c r="C15">
        <v>0.38477431659249839</v>
      </c>
      <c r="D15">
        <v>0.23219961856325491</v>
      </c>
      <c r="E15">
        <v>0</v>
      </c>
      <c r="F15">
        <v>3.5600762873490149E-2</v>
      </c>
      <c r="H15" s="62">
        <v>13</v>
      </c>
      <c r="I15" s="63">
        <v>45292</v>
      </c>
      <c r="J15">
        <v>2421</v>
      </c>
      <c r="K15">
        <v>1461</v>
      </c>
      <c r="L15">
        <v>0</v>
      </c>
      <c r="M15">
        <v>6292</v>
      </c>
      <c r="N15">
        <v>224</v>
      </c>
    </row>
    <row r="16" spans="1:14">
      <c r="A16" s="62">
        <v>14</v>
      </c>
      <c r="B16" s="63">
        <v>45323</v>
      </c>
      <c r="C16">
        <v>0.35522151898734178</v>
      </c>
      <c r="D16">
        <v>0.24541139240506329</v>
      </c>
      <c r="E16">
        <v>0</v>
      </c>
      <c r="F16">
        <v>3.212025316455696E-2</v>
      </c>
      <c r="H16" s="62">
        <v>14</v>
      </c>
      <c r="I16" s="63">
        <v>45323</v>
      </c>
      <c r="J16">
        <v>2245</v>
      </c>
      <c r="K16">
        <v>1551</v>
      </c>
      <c r="L16">
        <v>0</v>
      </c>
      <c r="M16">
        <v>6320</v>
      </c>
      <c r="N16">
        <v>203</v>
      </c>
    </row>
    <row r="17" spans="1:14">
      <c r="A17" s="62">
        <v>15</v>
      </c>
      <c r="B17" s="63">
        <v>45352</v>
      </c>
      <c r="C17">
        <v>0.39979641175722103</v>
      </c>
      <c r="D17">
        <v>0.2245832803155618</v>
      </c>
      <c r="E17">
        <v>0</v>
      </c>
      <c r="F17">
        <v>2.4557831785214399E-2</v>
      </c>
      <c r="H17" s="62">
        <v>15</v>
      </c>
      <c r="I17" s="63">
        <v>45352</v>
      </c>
      <c r="J17">
        <v>3142</v>
      </c>
      <c r="K17">
        <v>1765</v>
      </c>
      <c r="L17">
        <v>0</v>
      </c>
      <c r="M17">
        <v>7859</v>
      </c>
      <c r="N17">
        <v>193</v>
      </c>
    </row>
    <row r="18" spans="1:14">
      <c r="A18" s="62">
        <v>16</v>
      </c>
      <c r="B18" s="63">
        <v>45383</v>
      </c>
      <c r="C18">
        <v>0.39657585872725309</v>
      </c>
      <c r="D18">
        <v>0.16033164638742331</v>
      </c>
      <c r="E18">
        <v>0</v>
      </c>
      <c r="F18">
        <v>1.690535156670615E-2</v>
      </c>
      <c r="H18" s="62">
        <v>16</v>
      </c>
      <c r="I18" s="63">
        <v>45383</v>
      </c>
      <c r="J18">
        <v>3683</v>
      </c>
      <c r="K18">
        <v>1489</v>
      </c>
      <c r="L18">
        <v>0</v>
      </c>
      <c r="M18">
        <v>9287</v>
      </c>
      <c r="N18">
        <v>157</v>
      </c>
    </row>
    <row r="19" spans="1:14">
      <c r="A19" s="62">
        <v>17</v>
      </c>
      <c r="B19" s="63">
        <v>45413</v>
      </c>
      <c r="C19">
        <v>0.29031085257225958</v>
      </c>
      <c r="D19">
        <v>0.1577894928194874</v>
      </c>
      <c r="E19">
        <v>0</v>
      </c>
      <c r="F19">
        <v>2.3995637156880571E-2</v>
      </c>
      <c r="H19" s="62">
        <v>17</v>
      </c>
      <c r="I19" s="63">
        <v>45413</v>
      </c>
      <c r="J19">
        <v>1597</v>
      </c>
      <c r="K19">
        <v>868</v>
      </c>
      <c r="L19">
        <v>0</v>
      </c>
      <c r="M19">
        <v>5501</v>
      </c>
      <c r="N19">
        <v>132</v>
      </c>
    </row>
    <row r="20" spans="1:14">
      <c r="A20" s="62">
        <v>18</v>
      </c>
      <c r="B20" s="63">
        <v>45444</v>
      </c>
      <c r="C20">
        <v>0.26909722222222221</v>
      </c>
      <c r="D20">
        <v>0.16631944444444441</v>
      </c>
      <c r="E20">
        <v>0</v>
      </c>
      <c r="F20">
        <v>1.7013888888888891E-2</v>
      </c>
      <c r="H20" s="62">
        <v>18</v>
      </c>
      <c r="I20" s="63">
        <v>45444</v>
      </c>
      <c r="J20">
        <v>1550</v>
      </c>
      <c r="K20">
        <v>958</v>
      </c>
      <c r="L20">
        <v>0</v>
      </c>
      <c r="M20">
        <v>5760</v>
      </c>
      <c r="N20">
        <v>98</v>
      </c>
    </row>
    <row r="21" spans="1:14">
      <c r="A21" s="62">
        <v>19</v>
      </c>
      <c r="B21" s="63">
        <v>45474</v>
      </c>
      <c r="C21">
        <v>0.37830006439150032</v>
      </c>
      <c r="D21">
        <v>0.216677398583387</v>
      </c>
      <c r="E21">
        <v>0</v>
      </c>
      <c r="F21">
        <v>1.835157759175789E-2</v>
      </c>
      <c r="H21" s="62">
        <v>19</v>
      </c>
      <c r="I21" s="63">
        <v>45474</v>
      </c>
      <c r="J21">
        <v>2350</v>
      </c>
      <c r="K21">
        <v>1346</v>
      </c>
      <c r="L21">
        <v>0</v>
      </c>
      <c r="M21">
        <v>6212</v>
      </c>
      <c r="N21">
        <v>114</v>
      </c>
    </row>
    <row r="22" spans="1:14">
      <c r="A22" s="62">
        <v>20</v>
      </c>
      <c r="B22" s="63">
        <v>45505</v>
      </c>
      <c r="C22">
        <v>0.29905098212315162</v>
      </c>
      <c r="D22">
        <v>0.2015007724564114</v>
      </c>
      <c r="E22">
        <v>0</v>
      </c>
      <c r="F22">
        <v>2.2511586846170821E-2</v>
      </c>
      <c r="H22" s="62">
        <v>20</v>
      </c>
      <c r="I22" s="63">
        <v>45505</v>
      </c>
      <c r="J22">
        <v>1355</v>
      </c>
      <c r="K22">
        <v>913</v>
      </c>
      <c r="L22">
        <v>0</v>
      </c>
      <c r="M22">
        <v>4531</v>
      </c>
      <c r="N22">
        <v>102</v>
      </c>
    </row>
    <row r="23" spans="1:14">
      <c r="A23" s="62">
        <v>21</v>
      </c>
      <c r="B23" s="63">
        <v>45536</v>
      </c>
      <c r="C23">
        <v>0.25826598089639968</v>
      </c>
      <c r="D23">
        <v>0.16972814107274059</v>
      </c>
      <c r="E23">
        <v>0</v>
      </c>
      <c r="F23">
        <v>2.4981631153563551E-2</v>
      </c>
      <c r="H23" s="62">
        <v>21</v>
      </c>
      <c r="I23" s="63">
        <v>45536</v>
      </c>
      <c r="J23">
        <v>1406</v>
      </c>
      <c r="K23">
        <v>924</v>
      </c>
      <c r="L23">
        <v>0</v>
      </c>
      <c r="M23">
        <v>5444</v>
      </c>
      <c r="N23">
        <v>136</v>
      </c>
    </row>
    <row r="24" spans="1:14">
      <c r="A24" s="62">
        <v>22</v>
      </c>
      <c r="B24" s="63">
        <v>45566</v>
      </c>
      <c r="C24">
        <v>0.30654761904761912</v>
      </c>
      <c r="D24">
        <v>0.18347338935574231</v>
      </c>
      <c r="E24">
        <v>0</v>
      </c>
      <c r="F24">
        <v>2.5210084033613449E-2</v>
      </c>
      <c r="H24" s="62">
        <v>22</v>
      </c>
      <c r="I24" s="63">
        <v>45566</v>
      </c>
      <c r="J24">
        <v>1751</v>
      </c>
      <c r="K24">
        <v>1048</v>
      </c>
      <c r="L24">
        <v>0</v>
      </c>
      <c r="M24">
        <v>5712</v>
      </c>
      <c r="N24">
        <v>144</v>
      </c>
    </row>
    <row r="25" spans="1:14">
      <c r="A25" s="62">
        <v>23</v>
      </c>
      <c r="B25" s="63">
        <v>45597</v>
      </c>
      <c r="C25">
        <v>0.24273902904388381</v>
      </c>
      <c r="D25">
        <v>0.16005935976256089</v>
      </c>
      <c r="E25">
        <v>0</v>
      </c>
      <c r="F25">
        <v>2.310790756836973E-2</v>
      </c>
      <c r="H25" s="62">
        <v>23</v>
      </c>
      <c r="I25" s="63">
        <v>45597</v>
      </c>
      <c r="J25">
        <v>1145</v>
      </c>
      <c r="K25">
        <v>755</v>
      </c>
      <c r="L25">
        <v>0</v>
      </c>
      <c r="M25">
        <v>4717</v>
      </c>
      <c r="N25">
        <v>109</v>
      </c>
    </row>
    <row r="26" spans="1:14">
      <c r="A26" s="62">
        <v>24</v>
      </c>
      <c r="B26" s="63">
        <v>45627</v>
      </c>
      <c r="C26">
        <v>0.26682224815246991</v>
      </c>
      <c r="D26">
        <v>0.16705562038117461</v>
      </c>
      <c r="E26">
        <v>0</v>
      </c>
      <c r="F26">
        <v>2.6059898872034231E-2</v>
      </c>
      <c r="H26" s="62">
        <v>24</v>
      </c>
      <c r="I26" s="63">
        <v>45627</v>
      </c>
      <c r="J26">
        <v>1372</v>
      </c>
      <c r="K26">
        <v>859</v>
      </c>
      <c r="L26">
        <v>0</v>
      </c>
      <c r="M26">
        <v>5142</v>
      </c>
      <c r="N26">
        <v>134</v>
      </c>
    </row>
    <row r="27" spans="1:14">
      <c r="A27" s="62">
        <v>25</v>
      </c>
      <c r="B27" s="63">
        <v>45658</v>
      </c>
      <c r="C27">
        <v>0.24859287054408999</v>
      </c>
      <c r="D27">
        <v>0.1532833020637899</v>
      </c>
      <c r="E27">
        <v>0</v>
      </c>
      <c r="F27">
        <v>2.1763602251407131E-2</v>
      </c>
      <c r="H27" s="62">
        <v>25</v>
      </c>
      <c r="I27" s="63">
        <v>45658</v>
      </c>
      <c r="J27">
        <v>1325</v>
      </c>
      <c r="K27">
        <v>817</v>
      </c>
      <c r="L27">
        <v>0</v>
      </c>
      <c r="M27">
        <v>5330</v>
      </c>
      <c r="N27">
        <v>116</v>
      </c>
    </row>
    <row r="28" spans="1:14">
      <c r="A28" s="62">
        <v>26</v>
      </c>
      <c r="B28" s="63">
        <v>45689</v>
      </c>
      <c r="C28">
        <v>0.25638210266264072</v>
      </c>
      <c r="D28">
        <v>0.15536645621740319</v>
      </c>
      <c r="E28">
        <v>0</v>
      </c>
      <c r="F28">
        <v>2.7998902003842991E-2</v>
      </c>
      <c r="H28" s="62">
        <v>26</v>
      </c>
      <c r="I28" s="63">
        <v>45689</v>
      </c>
      <c r="J28">
        <v>934</v>
      </c>
      <c r="K28">
        <v>566</v>
      </c>
      <c r="L28">
        <v>0</v>
      </c>
      <c r="M28">
        <v>3643</v>
      </c>
      <c r="N28">
        <v>102</v>
      </c>
    </row>
    <row r="29" spans="1:14">
      <c r="A29" s="62">
        <v>27</v>
      </c>
      <c r="B29" s="63">
        <v>45717</v>
      </c>
      <c r="C29">
        <v>0.25739089629282019</v>
      </c>
      <c r="D29">
        <v>0.1264664476771469</v>
      </c>
      <c r="E29">
        <v>0</v>
      </c>
      <c r="F29">
        <v>2.6278742374472079E-2</v>
      </c>
      <c r="H29" s="62">
        <v>27</v>
      </c>
      <c r="I29" s="63">
        <v>45717</v>
      </c>
      <c r="J29">
        <v>1097</v>
      </c>
      <c r="K29">
        <v>539</v>
      </c>
      <c r="L29">
        <v>0</v>
      </c>
      <c r="M29">
        <v>4262</v>
      </c>
      <c r="N29">
        <v>112</v>
      </c>
    </row>
    <row r="30" spans="1:14">
      <c r="A30" s="62">
        <v>28</v>
      </c>
      <c r="B30" s="63">
        <v>45748</v>
      </c>
      <c r="C30">
        <v>0.31634485855410871</v>
      </c>
      <c r="D30">
        <v>0.1084418500224517</v>
      </c>
      <c r="E30">
        <v>0</v>
      </c>
      <c r="F30">
        <v>1.6614279299506061E-2</v>
      </c>
      <c r="H30" s="62">
        <v>28</v>
      </c>
      <c r="I30" s="63">
        <v>45748</v>
      </c>
      <c r="J30">
        <v>1409</v>
      </c>
      <c r="K30">
        <v>483</v>
      </c>
      <c r="L30">
        <v>0</v>
      </c>
      <c r="M30">
        <v>4454</v>
      </c>
      <c r="N30">
        <v>74</v>
      </c>
    </row>
    <row r="31" spans="1:14">
      <c r="A31" s="62">
        <v>29</v>
      </c>
      <c r="B31" s="63">
        <v>45778</v>
      </c>
      <c r="C31">
        <v>0.19230769230769229</v>
      </c>
      <c r="D31">
        <v>9.0365944734876774E-2</v>
      </c>
      <c r="E31">
        <v>0</v>
      </c>
      <c r="F31">
        <v>1.568334578043316E-2</v>
      </c>
      <c r="H31" s="62">
        <v>29</v>
      </c>
      <c r="I31" s="63">
        <v>45778</v>
      </c>
      <c r="J31">
        <v>515</v>
      </c>
      <c r="K31">
        <v>242</v>
      </c>
      <c r="L31">
        <v>0</v>
      </c>
      <c r="M31">
        <v>2678</v>
      </c>
      <c r="N31">
        <v>42</v>
      </c>
    </row>
    <row r="32" spans="1:14">
      <c r="A32" s="62">
        <v>30</v>
      </c>
      <c r="B32" s="63">
        <v>45809</v>
      </c>
      <c r="C32">
        <v>0.19392123287671231</v>
      </c>
      <c r="D32">
        <v>8.3476027397260275E-2</v>
      </c>
      <c r="E32">
        <v>0</v>
      </c>
      <c r="F32">
        <v>1.7123287671232879E-2</v>
      </c>
      <c r="H32" s="62">
        <v>30</v>
      </c>
      <c r="I32" s="63">
        <v>45809</v>
      </c>
      <c r="J32">
        <v>453</v>
      </c>
      <c r="K32">
        <v>195</v>
      </c>
      <c r="L32">
        <v>0</v>
      </c>
      <c r="M32">
        <v>2336</v>
      </c>
      <c r="N32">
        <v>40</v>
      </c>
    </row>
    <row r="33" spans="1:14">
      <c r="A33" s="62">
        <v>31</v>
      </c>
      <c r="B33" s="63">
        <v>45839</v>
      </c>
      <c r="C33">
        <v>0.26991317478293703</v>
      </c>
      <c r="D33">
        <v>9.6262740656851642E-2</v>
      </c>
      <c r="E33">
        <v>7.5500188750471874E-4</v>
      </c>
      <c r="F33">
        <v>1.9630049075122689E-2</v>
      </c>
      <c r="H33" s="62">
        <v>31</v>
      </c>
      <c r="I33" s="63">
        <v>45839</v>
      </c>
      <c r="J33">
        <v>715</v>
      </c>
      <c r="K33">
        <v>255</v>
      </c>
      <c r="L33">
        <v>2</v>
      </c>
      <c r="M33">
        <v>2649</v>
      </c>
      <c r="N33">
        <v>52</v>
      </c>
    </row>
    <row r="34" spans="1:14">
      <c r="A34" s="62">
        <v>32</v>
      </c>
      <c r="B34" s="63">
        <v>45870</v>
      </c>
      <c r="C34">
        <v>0.19503722084367239</v>
      </c>
      <c r="D34">
        <v>8.2878411910669969E-2</v>
      </c>
      <c r="E34">
        <v>1.786600496277916E-2</v>
      </c>
      <c r="F34">
        <v>2.0347394540942931E-2</v>
      </c>
      <c r="H34" s="62">
        <v>32</v>
      </c>
      <c r="I34" s="63">
        <v>45870</v>
      </c>
      <c r="J34">
        <v>393</v>
      </c>
      <c r="K34">
        <v>167</v>
      </c>
      <c r="L34">
        <v>36</v>
      </c>
      <c r="M34">
        <v>2015</v>
      </c>
      <c r="N34">
        <v>41</v>
      </c>
    </row>
    <row r="35" spans="1:14">
      <c r="A35" s="62">
        <v>33</v>
      </c>
      <c r="B35" s="63">
        <v>45901</v>
      </c>
      <c r="C35">
        <v>0.1248741188318228</v>
      </c>
      <c r="D35">
        <v>7.3514602215508554E-2</v>
      </c>
      <c r="E35">
        <v>1.1581067472306141E-2</v>
      </c>
      <c r="F35">
        <v>1.7875125881168179E-2</v>
      </c>
      <c r="H35" s="62">
        <v>33</v>
      </c>
      <c r="I35" s="63">
        <v>45901</v>
      </c>
      <c r="J35">
        <v>496</v>
      </c>
      <c r="K35">
        <v>292</v>
      </c>
      <c r="L35">
        <v>46</v>
      </c>
      <c r="M35">
        <v>3972</v>
      </c>
      <c r="N35">
        <v>71</v>
      </c>
    </row>
    <row r="36" spans="1:14">
      <c r="A36" s="62">
        <v>34</v>
      </c>
      <c r="B36" s="63">
        <v>45931</v>
      </c>
      <c r="C36">
        <v>0.1675353685778109</v>
      </c>
      <c r="D36">
        <v>7.5452965996525193E-2</v>
      </c>
      <c r="E36">
        <v>4.7158103747828254E-3</v>
      </c>
      <c r="F36">
        <v>1.0176222387689249E-2</v>
      </c>
      <c r="H36" s="62">
        <v>34</v>
      </c>
      <c r="I36" s="63">
        <v>45931</v>
      </c>
      <c r="J36">
        <v>675</v>
      </c>
      <c r="K36">
        <v>304</v>
      </c>
      <c r="L36">
        <v>19</v>
      </c>
      <c r="M36">
        <v>4029</v>
      </c>
      <c r="N36">
        <v>41</v>
      </c>
    </row>
    <row r="37" spans="1:14">
      <c r="A37" s="62">
        <v>35</v>
      </c>
      <c r="B37" s="63">
        <v>45962</v>
      </c>
      <c r="C37">
        <v>0.14640883977900551</v>
      </c>
      <c r="D37">
        <v>7.4980268350434101E-2</v>
      </c>
      <c r="E37">
        <v>7.8926598263614842E-3</v>
      </c>
      <c r="F37">
        <v>1.3417521704814519E-2</v>
      </c>
      <c r="H37" s="62">
        <v>35</v>
      </c>
      <c r="I37" s="63">
        <v>45962</v>
      </c>
      <c r="J37">
        <v>371</v>
      </c>
      <c r="K37">
        <v>190</v>
      </c>
      <c r="L37">
        <v>20</v>
      </c>
      <c r="M37">
        <v>2534</v>
      </c>
      <c r="N37">
        <v>34</v>
      </c>
    </row>
    <row r="38" spans="1:14">
      <c r="A38" s="62">
        <v>36</v>
      </c>
      <c r="B38" s="63">
        <v>45992</v>
      </c>
      <c r="C38">
        <v>0.1263440860215054</v>
      </c>
      <c r="D38">
        <v>0.1095430107526882</v>
      </c>
      <c r="E38">
        <v>4.7043010752688174E-3</v>
      </c>
      <c r="F38">
        <v>1.0080645161290321E-2</v>
      </c>
      <c r="H38" s="62">
        <v>36</v>
      </c>
      <c r="I38" s="63">
        <v>45992</v>
      </c>
      <c r="J38">
        <v>376</v>
      </c>
      <c r="K38">
        <v>326</v>
      </c>
      <c r="L38">
        <v>14</v>
      </c>
      <c r="M38">
        <v>2976</v>
      </c>
      <c r="N38">
        <v>30</v>
      </c>
    </row>
    <row r="39" spans="1:14" s="66" customFormat="1">
      <c r="A39" s="64">
        <v>37</v>
      </c>
      <c r="B39" s="65">
        <v>46023</v>
      </c>
      <c r="C39" s="66">
        <v>0.1228457799381352</v>
      </c>
      <c r="D39" s="66">
        <v>0.13698630136986301</v>
      </c>
      <c r="E39" s="66">
        <v>6.1864781263809114E-3</v>
      </c>
      <c r="F39" s="66">
        <v>1.016349977905435E-2</v>
      </c>
      <c r="H39" s="64">
        <v>37</v>
      </c>
      <c r="I39" s="65">
        <v>46023</v>
      </c>
      <c r="J39" s="66">
        <v>278</v>
      </c>
      <c r="K39" s="66">
        <v>310</v>
      </c>
      <c r="L39" s="66">
        <v>14</v>
      </c>
      <c r="M39" s="66">
        <v>2263</v>
      </c>
      <c r="N39" s="66">
        <v>23</v>
      </c>
    </row>
    <row r="40" spans="1:14" s="66" customFormat="1">
      <c r="A40" s="64">
        <v>38</v>
      </c>
      <c r="B40" s="65">
        <v>46054</v>
      </c>
      <c r="C40" s="66">
        <v>0.1255946717411989</v>
      </c>
      <c r="D40" s="66">
        <v>0.13320647002854419</v>
      </c>
      <c r="E40" s="66">
        <v>2.85442435775452E-3</v>
      </c>
      <c r="F40" s="66">
        <v>1.04662226450999E-2</v>
      </c>
      <c r="H40" s="64">
        <v>38</v>
      </c>
      <c r="I40" s="65">
        <v>46054</v>
      </c>
      <c r="J40" s="66">
        <v>264</v>
      </c>
      <c r="K40" s="66">
        <v>280</v>
      </c>
      <c r="L40" s="66">
        <v>6</v>
      </c>
      <c r="M40" s="66">
        <v>2102</v>
      </c>
      <c r="N40" s="66">
        <v>22</v>
      </c>
    </row>
    <row r="41" spans="1:14" s="66" customFormat="1">
      <c r="A41" s="64">
        <v>39</v>
      </c>
      <c r="B41" s="65">
        <v>46082</v>
      </c>
      <c r="C41" s="66">
        <v>0.1342031686859273</v>
      </c>
      <c r="D41" s="66">
        <v>0.15517241379310351</v>
      </c>
      <c r="E41" s="66">
        <v>6.9897483690587138E-3</v>
      </c>
      <c r="F41" s="66">
        <v>1.3047530288909599E-2</v>
      </c>
      <c r="H41" s="64">
        <v>39</v>
      </c>
      <c r="I41" s="65">
        <v>46082</v>
      </c>
      <c r="J41" s="66">
        <v>288</v>
      </c>
      <c r="K41" s="66">
        <v>333</v>
      </c>
      <c r="L41" s="66">
        <v>15</v>
      </c>
      <c r="M41" s="66">
        <v>2146</v>
      </c>
      <c r="N41" s="66">
        <v>28</v>
      </c>
    </row>
    <row r="42" spans="1:14" s="66" customFormat="1">
      <c r="A42" s="64">
        <v>40</v>
      </c>
      <c r="B42" s="65">
        <v>46113</v>
      </c>
      <c r="C42" s="66">
        <v>0.21121416526138281</v>
      </c>
      <c r="D42" s="66">
        <v>0.15851602023608771</v>
      </c>
      <c r="E42" s="66">
        <v>2.951096121416526E-3</v>
      </c>
      <c r="F42" s="66">
        <v>3.7942664418212481E-3</v>
      </c>
      <c r="H42" s="64">
        <v>40</v>
      </c>
      <c r="I42" s="65">
        <v>46113</v>
      </c>
      <c r="J42" s="66">
        <v>501</v>
      </c>
      <c r="K42" s="66">
        <v>376</v>
      </c>
      <c r="L42" s="66">
        <v>7</v>
      </c>
      <c r="M42" s="66">
        <v>2372</v>
      </c>
      <c r="N42" s="66">
        <v>9</v>
      </c>
    </row>
    <row r="43" spans="1:14" s="66" customFormat="1">
      <c r="A43" s="64">
        <v>41</v>
      </c>
      <c r="B43" s="65">
        <v>46143</v>
      </c>
      <c r="C43" s="66">
        <v>0.1087087087087087</v>
      </c>
      <c r="D43" s="66">
        <v>0.1705705705705706</v>
      </c>
      <c r="E43" s="66">
        <v>4.8048048048048048E-2</v>
      </c>
      <c r="F43" s="66">
        <v>9.0090090090090089E-3</v>
      </c>
      <c r="H43" s="64">
        <v>41</v>
      </c>
      <c r="I43" s="65">
        <v>46143</v>
      </c>
      <c r="J43" s="66">
        <v>181</v>
      </c>
      <c r="K43" s="66">
        <v>284</v>
      </c>
      <c r="L43" s="66">
        <v>80</v>
      </c>
      <c r="M43" s="66">
        <v>1665</v>
      </c>
      <c r="N43" s="66">
        <v>15</v>
      </c>
    </row>
    <row r="44" spans="1:14">
      <c r="A44" s="62">
        <v>42</v>
      </c>
      <c r="B44" s="63">
        <v>46174</v>
      </c>
      <c r="C44">
        <v>0.10444444444444451</v>
      </c>
      <c r="D44">
        <v>0.1822222222222222</v>
      </c>
      <c r="E44">
        <v>7.1111111111111111E-2</v>
      </c>
      <c r="F44">
        <v>8.8888888888888889E-3</v>
      </c>
      <c r="H44" s="62">
        <v>42</v>
      </c>
      <c r="I44" s="63">
        <v>46174</v>
      </c>
      <c r="J44">
        <v>47</v>
      </c>
      <c r="K44">
        <v>82</v>
      </c>
      <c r="L44">
        <v>32</v>
      </c>
      <c r="M44">
        <v>450</v>
      </c>
      <c r="N44">
        <v>4</v>
      </c>
    </row>
    <row r="46" spans="1:14">
      <c r="C46" s="67">
        <f>AVERAGE(C39:C43)</f>
        <v>0.14051329886707059</v>
      </c>
      <c r="D46" s="67">
        <f>AVERAGE(D39:D43)</f>
        <v>0.15089035519963379</v>
      </c>
      <c r="J46" s="68">
        <f>AVERAGE(J39:J43)</f>
        <v>302.39999999999998</v>
      </c>
      <c r="K46" s="68">
        <f>AVERAGE(K39:K43)</f>
        <v>316.60000000000002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1A8B89-CF3D-F64F-A07A-1E59C11791E6}">
  <sheetPr codeName="Лист31"/>
  <dimension ref="A1:AR39"/>
  <sheetViews>
    <sheetView workbookViewId="0">
      <selection activeCell="AH39" sqref="AH39"/>
    </sheetView>
  </sheetViews>
  <sheetFormatPr baseColWidth="10" defaultColWidth="8.83203125" defaultRowHeight="16"/>
  <cols>
    <col min="2" max="2" width="11.1640625" customWidth="1"/>
    <col min="12" max="12" width="8.83203125" style="140"/>
    <col min="24" max="24" width="10.5" customWidth="1"/>
    <col min="34" max="34" width="8.83203125" style="140"/>
  </cols>
  <sheetData>
    <row r="1" spans="1:44">
      <c r="B1" t="s">
        <v>168</v>
      </c>
      <c r="X1" t="s">
        <v>167</v>
      </c>
    </row>
    <row r="2" spans="1:44" s="5" customFormat="1" ht="80">
      <c r="B2" s="141" t="s">
        <v>147</v>
      </c>
      <c r="C2" s="141" t="s">
        <v>148</v>
      </c>
      <c r="D2" s="141" t="s">
        <v>149</v>
      </c>
      <c r="E2" s="141" t="s">
        <v>150</v>
      </c>
      <c r="F2" s="141" t="s">
        <v>151</v>
      </c>
      <c r="G2" s="141" t="s">
        <v>152</v>
      </c>
      <c r="H2" s="141" t="s">
        <v>153</v>
      </c>
      <c r="I2" s="141" t="s">
        <v>154</v>
      </c>
      <c r="J2" s="141" t="s">
        <v>155</v>
      </c>
      <c r="K2" s="141" t="s">
        <v>156</v>
      </c>
      <c r="L2" s="144" t="s">
        <v>157</v>
      </c>
      <c r="M2" s="141" t="s">
        <v>158</v>
      </c>
      <c r="N2" s="141" t="s">
        <v>159</v>
      </c>
      <c r="O2" s="141" t="s">
        <v>160</v>
      </c>
      <c r="P2" s="141" t="s">
        <v>161</v>
      </c>
      <c r="Q2" s="141" t="s">
        <v>162</v>
      </c>
      <c r="R2" s="141" t="s">
        <v>163</v>
      </c>
      <c r="S2" s="141" t="s">
        <v>164</v>
      </c>
      <c r="T2" s="141" t="s">
        <v>165</v>
      </c>
      <c r="U2" s="141" t="s">
        <v>166</v>
      </c>
      <c r="V2" s="5" t="s">
        <v>126</v>
      </c>
      <c r="X2" s="141" t="s">
        <v>147</v>
      </c>
      <c r="Y2" s="141" t="s">
        <v>148</v>
      </c>
      <c r="Z2" s="141" t="s">
        <v>149</v>
      </c>
      <c r="AA2" s="141" t="s">
        <v>150</v>
      </c>
      <c r="AB2" s="141" t="s">
        <v>151</v>
      </c>
      <c r="AC2" s="141" t="s">
        <v>152</v>
      </c>
      <c r="AD2" s="141" t="s">
        <v>153</v>
      </c>
      <c r="AE2" s="141" t="s">
        <v>154</v>
      </c>
      <c r="AF2" s="141" t="s">
        <v>155</v>
      </c>
      <c r="AG2" s="141" t="s">
        <v>156</v>
      </c>
      <c r="AH2" s="144" t="s">
        <v>157</v>
      </c>
      <c r="AI2" s="141" t="s">
        <v>158</v>
      </c>
      <c r="AJ2" s="141" t="s">
        <v>159</v>
      </c>
      <c r="AK2" s="141" t="s">
        <v>160</v>
      </c>
      <c r="AL2" s="141" t="s">
        <v>161</v>
      </c>
      <c r="AM2" s="141" t="s">
        <v>162</v>
      </c>
      <c r="AN2" s="141" t="s">
        <v>163</v>
      </c>
      <c r="AO2" s="141" t="s">
        <v>164</v>
      </c>
      <c r="AP2" s="141" t="s">
        <v>165</v>
      </c>
      <c r="AQ2" s="141" t="s">
        <v>166</v>
      </c>
      <c r="AR2" s="5" t="s">
        <v>126</v>
      </c>
    </row>
    <row r="3" spans="1:44">
      <c r="A3" s="62">
        <v>0</v>
      </c>
      <c r="B3" s="63">
        <v>45139</v>
      </c>
      <c r="J3">
        <v>15000</v>
      </c>
      <c r="W3" s="62">
        <v>0</v>
      </c>
      <c r="X3" s="63">
        <v>45139</v>
      </c>
      <c r="AF3">
        <v>3</v>
      </c>
    </row>
    <row r="4" spans="1:44">
      <c r="A4" s="62">
        <v>1</v>
      </c>
      <c r="B4" s="63">
        <v>45170</v>
      </c>
      <c r="J4">
        <v>335000</v>
      </c>
      <c r="W4" s="62">
        <v>1</v>
      </c>
      <c r="X4" s="63">
        <v>45170</v>
      </c>
      <c r="AF4">
        <v>67</v>
      </c>
    </row>
    <row r="5" spans="1:44">
      <c r="A5" s="62">
        <v>2</v>
      </c>
      <c r="B5" s="63">
        <v>45200</v>
      </c>
      <c r="J5">
        <v>630000</v>
      </c>
      <c r="W5" s="62">
        <v>2</v>
      </c>
      <c r="X5" s="63">
        <v>45200</v>
      </c>
      <c r="AF5">
        <v>126</v>
      </c>
    </row>
    <row r="6" spans="1:44">
      <c r="A6" s="62">
        <v>3</v>
      </c>
      <c r="B6" s="63">
        <v>45231</v>
      </c>
      <c r="J6">
        <v>695000</v>
      </c>
      <c r="W6" s="62">
        <v>3</v>
      </c>
      <c r="X6" s="63">
        <v>45231</v>
      </c>
      <c r="AF6">
        <v>139</v>
      </c>
    </row>
    <row r="7" spans="1:44">
      <c r="A7" s="62">
        <v>4</v>
      </c>
      <c r="B7" s="63">
        <v>45261</v>
      </c>
      <c r="I7">
        <v>48000</v>
      </c>
      <c r="J7">
        <v>720000</v>
      </c>
      <c r="W7" s="62">
        <v>4</v>
      </c>
      <c r="X7" s="63">
        <v>45261</v>
      </c>
      <c r="AE7">
        <v>1</v>
      </c>
      <c r="AF7">
        <v>144</v>
      </c>
    </row>
    <row r="8" spans="1:44">
      <c r="A8" s="62">
        <v>5</v>
      </c>
      <c r="B8" s="63">
        <v>45292</v>
      </c>
      <c r="I8">
        <v>48000</v>
      </c>
      <c r="J8">
        <v>720000</v>
      </c>
      <c r="W8" s="62">
        <v>5</v>
      </c>
      <c r="X8" s="63">
        <v>45292</v>
      </c>
      <c r="AE8">
        <v>1</v>
      </c>
      <c r="AF8">
        <v>144</v>
      </c>
    </row>
    <row r="9" spans="1:44">
      <c r="A9" s="62">
        <v>6</v>
      </c>
      <c r="B9" s="63">
        <v>45323</v>
      </c>
      <c r="I9">
        <v>96000</v>
      </c>
      <c r="J9">
        <v>840000</v>
      </c>
      <c r="W9" s="62">
        <v>6</v>
      </c>
      <c r="X9" s="63">
        <v>45323</v>
      </c>
      <c r="AE9">
        <v>2</v>
      </c>
      <c r="AF9">
        <v>168</v>
      </c>
    </row>
    <row r="10" spans="1:44">
      <c r="A10" s="62">
        <v>7</v>
      </c>
      <c r="B10" s="63">
        <v>45352</v>
      </c>
      <c r="I10">
        <v>48000</v>
      </c>
      <c r="J10">
        <v>940000</v>
      </c>
      <c r="W10" s="62">
        <v>7</v>
      </c>
      <c r="X10" s="63">
        <v>45352</v>
      </c>
      <c r="AE10">
        <v>1</v>
      </c>
      <c r="AF10">
        <v>188</v>
      </c>
    </row>
    <row r="11" spans="1:44">
      <c r="A11" s="62">
        <v>8</v>
      </c>
      <c r="B11" s="63">
        <v>45383</v>
      </c>
      <c r="I11">
        <v>48000</v>
      </c>
      <c r="J11">
        <v>760000</v>
      </c>
      <c r="W11" s="62">
        <v>8</v>
      </c>
      <c r="X11" s="63">
        <v>45383</v>
      </c>
      <c r="AE11">
        <v>1</v>
      </c>
      <c r="AF11">
        <v>152</v>
      </c>
    </row>
    <row r="12" spans="1:44">
      <c r="A12" s="62">
        <v>9</v>
      </c>
      <c r="B12" s="63">
        <v>45413</v>
      </c>
      <c r="I12">
        <v>48000</v>
      </c>
      <c r="J12">
        <v>625000</v>
      </c>
      <c r="W12" s="62">
        <v>9</v>
      </c>
      <c r="X12" s="63">
        <v>45413</v>
      </c>
      <c r="AE12">
        <v>1</v>
      </c>
      <c r="AF12">
        <v>125</v>
      </c>
    </row>
    <row r="13" spans="1:44">
      <c r="A13" s="62">
        <v>10</v>
      </c>
      <c r="B13" s="63">
        <v>45444</v>
      </c>
      <c r="I13">
        <v>48000</v>
      </c>
      <c r="J13">
        <v>550000</v>
      </c>
      <c r="W13" s="62">
        <v>10</v>
      </c>
      <c r="X13" s="63">
        <v>45444</v>
      </c>
      <c r="AE13">
        <v>1</v>
      </c>
      <c r="AF13">
        <v>110</v>
      </c>
    </row>
    <row r="14" spans="1:44">
      <c r="A14" s="62">
        <v>11</v>
      </c>
      <c r="B14" s="63">
        <v>45474</v>
      </c>
      <c r="J14">
        <v>570000</v>
      </c>
      <c r="K14">
        <v>45000</v>
      </c>
      <c r="W14" s="62">
        <v>11</v>
      </c>
      <c r="X14" s="63">
        <v>45474</v>
      </c>
      <c r="AF14">
        <v>114</v>
      </c>
      <c r="AG14">
        <v>6</v>
      </c>
    </row>
    <row r="15" spans="1:44">
      <c r="A15" s="62">
        <v>12</v>
      </c>
      <c r="B15" s="63">
        <v>45505</v>
      </c>
      <c r="I15">
        <v>48000</v>
      </c>
      <c r="J15">
        <v>520000</v>
      </c>
      <c r="K15">
        <v>67500</v>
      </c>
      <c r="W15" s="62">
        <v>12</v>
      </c>
      <c r="X15" s="63">
        <v>45505</v>
      </c>
      <c r="AE15">
        <v>1</v>
      </c>
      <c r="AF15">
        <v>104</v>
      </c>
      <c r="AG15">
        <v>9</v>
      </c>
    </row>
    <row r="16" spans="1:44">
      <c r="A16" s="62">
        <v>13</v>
      </c>
      <c r="B16" s="63">
        <v>45536</v>
      </c>
      <c r="J16">
        <v>525000</v>
      </c>
      <c r="K16">
        <v>45000</v>
      </c>
      <c r="W16" s="62">
        <v>13</v>
      </c>
      <c r="X16" s="63">
        <v>45536</v>
      </c>
      <c r="AF16">
        <v>105</v>
      </c>
      <c r="AG16">
        <v>6</v>
      </c>
    </row>
    <row r="17" spans="1:43">
      <c r="A17" s="62">
        <v>14</v>
      </c>
      <c r="B17" s="63">
        <v>45566</v>
      </c>
      <c r="C17">
        <v>300</v>
      </c>
      <c r="E17">
        <v>30000</v>
      </c>
      <c r="F17">
        <v>1056000</v>
      </c>
      <c r="J17">
        <v>375000</v>
      </c>
      <c r="K17">
        <v>30000</v>
      </c>
      <c r="W17" s="62">
        <v>14</v>
      </c>
      <c r="X17" s="63">
        <v>45566</v>
      </c>
      <c r="Y17">
        <v>3</v>
      </c>
      <c r="AA17">
        <v>1</v>
      </c>
      <c r="AB17">
        <v>22</v>
      </c>
      <c r="AF17">
        <v>75</v>
      </c>
      <c r="AG17">
        <v>4</v>
      </c>
    </row>
    <row r="18" spans="1:43">
      <c r="A18" s="62">
        <v>15</v>
      </c>
      <c r="B18" s="63">
        <v>45597</v>
      </c>
      <c r="D18">
        <v>100500</v>
      </c>
      <c r="F18">
        <v>2016000</v>
      </c>
      <c r="H18">
        <v>160000</v>
      </c>
      <c r="J18">
        <v>185000</v>
      </c>
      <c r="K18">
        <v>30000</v>
      </c>
      <c r="W18" s="62">
        <v>15</v>
      </c>
      <c r="X18" s="63">
        <v>45597</v>
      </c>
      <c r="Z18">
        <v>5</v>
      </c>
      <c r="AB18">
        <v>42</v>
      </c>
      <c r="AD18">
        <v>16</v>
      </c>
      <c r="AF18">
        <v>37</v>
      </c>
      <c r="AG18">
        <v>4</v>
      </c>
    </row>
    <row r="19" spans="1:43">
      <c r="A19" s="62">
        <v>16</v>
      </c>
      <c r="B19" s="63">
        <v>45627</v>
      </c>
      <c r="D19">
        <v>20100</v>
      </c>
      <c r="F19">
        <v>1632000</v>
      </c>
      <c r="G19">
        <v>107997</v>
      </c>
      <c r="H19">
        <v>140000</v>
      </c>
      <c r="J19">
        <v>140000</v>
      </c>
      <c r="W19" s="62">
        <v>16</v>
      </c>
      <c r="X19" s="63">
        <v>45627</v>
      </c>
      <c r="Z19">
        <v>1</v>
      </c>
      <c r="AB19">
        <v>34</v>
      </c>
      <c r="AC19">
        <v>3</v>
      </c>
      <c r="AD19">
        <v>14</v>
      </c>
      <c r="AF19">
        <v>28</v>
      </c>
    </row>
    <row r="20" spans="1:43">
      <c r="A20" s="62">
        <v>17</v>
      </c>
      <c r="B20" s="63">
        <v>45658</v>
      </c>
      <c r="D20">
        <v>20100</v>
      </c>
      <c r="E20">
        <v>30000</v>
      </c>
      <c r="F20">
        <v>1872000</v>
      </c>
      <c r="H20">
        <v>140000</v>
      </c>
      <c r="J20">
        <v>105000</v>
      </c>
      <c r="W20" s="62">
        <v>17</v>
      </c>
      <c r="X20" s="63">
        <v>45658</v>
      </c>
      <c r="Z20">
        <v>1</v>
      </c>
      <c r="AA20">
        <v>1</v>
      </c>
      <c r="AB20">
        <v>39</v>
      </c>
      <c r="AD20">
        <v>14</v>
      </c>
      <c r="AF20">
        <v>21</v>
      </c>
    </row>
    <row r="21" spans="1:43">
      <c r="A21" s="62">
        <v>18</v>
      </c>
      <c r="B21" s="63">
        <v>45689</v>
      </c>
      <c r="D21">
        <v>80400</v>
      </c>
      <c r="E21">
        <v>60000</v>
      </c>
      <c r="F21">
        <v>528000</v>
      </c>
      <c r="G21">
        <v>107997</v>
      </c>
      <c r="H21">
        <v>140000</v>
      </c>
      <c r="J21">
        <v>95000</v>
      </c>
      <c r="W21" s="62">
        <v>18</v>
      </c>
      <c r="X21" s="63">
        <v>45689</v>
      </c>
      <c r="Z21">
        <v>4</v>
      </c>
      <c r="AA21">
        <v>2</v>
      </c>
      <c r="AB21">
        <v>11</v>
      </c>
      <c r="AC21">
        <v>3</v>
      </c>
      <c r="AD21">
        <v>14</v>
      </c>
      <c r="AF21">
        <v>19</v>
      </c>
    </row>
    <row r="22" spans="1:43">
      <c r="A22" s="62">
        <v>19</v>
      </c>
      <c r="B22" s="63">
        <v>45717</v>
      </c>
      <c r="D22">
        <v>80400</v>
      </c>
      <c r="E22">
        <v>60000</v>
      </c>
      <c r="F22">
        <v>192000</v>
      </c>
      <c r="G22">
        <v>251993</v>
      </c>
      <c r="H22">
        <v>270000</v>
      </c>
      <c r="J22">
        <v>65000</v>
      </c>
      <c r="N22">
        <v>125958</v>
      </c>
      <c r="Q22">
        <v>115942</v>
      </c>
      <c r="W22" s="62">
        <v>19</v>
      </c>
      <c r="X22" s="63">
        <v>45717</v>
      </c>
      <c r="Z22">
        <v>4</v>
      </c>
      <c r="AA22">
        <v>2</v>
      </c>
      <c r="AB22">
        <v>4</v>
      </c>
      <c r="AC22">
        <v>7</v>
      </c>
      <c r="AD22">
        <v>27</v>
      </c>
      <c r="AF22">
        <v>13</v>
      </c>
      <c r="AJ22">
        <v>42</v>
      </c>
      <c r="AM22">
        <v>58</v>
      </c>
    </row>
    <row r="23" spans="1:43">
      <c r="A23" s="62">
        <v>20</v>
      </c>
      <c r="B23" s="63">
        <v>45748</v>
      </c>
      <c r="D23">
        <v>40200</v>
      </c>
      <c r="E23">
        <v>60000</v>
      </c>
      <c r="F23">
        <v>96000</v>
      </c>
      <c r="H23">
        <v>190000</v>
      </c>
      <c r="J23">
        <v>50000</v>
      </c>
      <c r="N23">
        <v>212929</v>
      </c>
      <c r="Q23">
        <v>75962</v>
      </c>
      <c r="W23" s="62">
        <v>20</v>
      </c>
      <c r="X23" s="63">
        <v>45748</v>
      </c>
      <c r="Z23">
        <v>2</v>
      </c>
      <c r="AA23">
        <v>2</v>
      </c>
      <c r="AB23">
        <v>2</v>
      </c>
      <c r="AD23">
        <v>19</v>
      </c>
      <c r="AF23">
        <v>10</v>
      </c>
      <c r="AJ23">
        <v>71</v>
      </c>
      <c r="AM23">
        <v>38</v>
      </c>
    </row>
    <row r="24" spans="1:43">
      <c r="A24" s="62">
        <v>21</v>
      </c>
      <c r="B24" s="63">
        <v>45778</v>
      </c>
      <c r="D24">
        <v>40200</v>
      </c>
      <c r="F24">
        <v>96000</v>
      </c>
      <c r="G24">
        <v>35999</v>
      </c>
      <c r="H24">
        <v>190000</v>
      </c>
      <c r="J24">
        <v>50000</v>
      </c>
      <c r="N24">
        <v>203932</v>
      </c>
      <c r="Q24">
        <v>71964</v>
      </c>
      <c r="W24" s="62">
        <v>21</v>
      </c>
      <c r="X24" s="63">
        <v>45778</v>
      </c>
      <c r="Z24">
        <v>2</v>
      </c>
      <c r="AB24">
        <v>2</v>
      </c>
      <c r="AC24">
        <v>1</v>
      </c>
      <c r="AD24">
        <v>19</v>
      </c>
      <c r="AF24">
        <v>10</v>
      </c>
      <c r="AJ24">
        <v>68</v>
      </c>
      <c r="AM24">
        <v>36</v>
      </c>
    </row>
    <row r="25" spans="1:43">
      <c r="A25" s="62">
        <v>22</v>
      </c>
      <c r="B25" s="63">
        <v>45809</v>
      </c>
      <c r="D25">
        <v>80400</v>
      </c>
      <c r="F25">
        <v>48000</v>
      </c>
      <c r="H25">
        <v>160000</v>
      </c>
      <c r="J25">
        <v>40000</v>
      </c>
      <c r="N25">
        <v>143952</v>
      </c>
      <c r="O25">
        <v>29990</v>
      </c>
      <c r="P25">
        <v>9995</v>
      </c>
      <c r="Q25">
        <v>65967</v>
      </c>
      <c r="T25">
        <v>44985</v>
      </c>
      <c r="U25">
        <v>3998</v>
      </c>
      <c r="W25" s="62">
        <v>22</v>
      </c>
      <c r="X25" s="63">
        <v>45809</v>
      </c>
      <c r="Z25">
        <v>4</v>
      </c>
      <c r="AB25">
        <v>1</v>
      </c>
      <c r="AD25">
        <v>16</v>
      </c>
      <c r="AF25">
        <v>8</v>
      </c>
      <c r="AJ25">
        <v>48</v>
      </c>
      <c r="AK25">
        <v>10</v>
      </c>
      <c r="AL25">
        <v>5</v>
      </c>
      <c r="AM25">
        <v>33</v>
      </c>
      <c r="AP25">
        <v>15</v>
      </c>
      <c r="AQ25">
        <v>2</v>
      </c>
    </row>
    <row r="26" spans="1:43">
      <c r="A26" s="62">
        <v>23</v>
      </c>
      <c r="B26" s="63">
        <v>45839</v>
      </c>
      <c r="D26">
        <v>60300</v>
      </c>
      <c r="E26">
        <v>60000</v>
      </c>
      <c r="F26">
        <v>96000</v>
      </c>
      <c r="H26">
        <v>170000</v>
      </c>
      <c r="J26">
        <v>40000</v>
      </c>
      <c r="O26">
        <v>83972</v>
      </c>
      <c r="P26">
        <v>45977</v>
      </c>
      <c r="T26">
        <v>161946</v>
      </c>
      <c r="W26" s="62">
        <v>23</v>
      </c>
      <c r="X26" s="63">
        <v>45839</v>
      </c>
      <c r="Z26">
        <v>3</v>
      </c>
      <c r="AA26">
        <v>2</v>
      </c>
      <c r="AB26">
        <v>2</v>
      </c>
      <c r="AD26">
        <v>17</v>
      </c>
      <c r="AF26">
        <v>8</v>
      </c>
      <c r="AK26">
        <v>28</v>
      </c>
      <c r="AL26">
        <v>23</v>
      </c>
      <c r="AP26">
        <v>54</v>
      </c>
    </row>
    <row r="27" spans="1:43">
      <c r="A27" s="62">
        <v>24</v>
      </c>
      <c r="B27" s="63">
        <v>45870</v>
      </c>
      <c r="E27">
        <v>30000</v>
      </c>
      <c r="H27">
        <v>80000</v>
      </c>
      <c r="J27">
        <v>40000</v>
      </c>
      <c r="O27">
        <v>83972</v>
      </c>
      <c r="P27">
        <v>41979</v>
      </c>
      <c r="T27">
        <v>188937</v>
      </c>
      <c r="W27" s="62">
        <v>24</v>
      </c>
      <c r="X27" s="63">
        <v>45870</v>
      </c>
      <c r="AA27">
        <v>1</v>
      </c>
      <c r="AD27">
        <v>8</v>
      </c>
      <c r="AF27">
        <v>8</v>
      </c>
      <c r="AK27">
        <v>28</v>
      </c>
      <c r="AL27">
        <v>21</v>
      </c>
      <c r="AP27">
        <v>63</v>
      </c>
    </row>
    <row r="28" spans="1:43">
      <c r="A28" s="62">
        <v>25</v>
      </c>
      <c r="B28" s="63">
        <v>45901</v>
      </c>
      <c r="D28">
        <v>20100</v>
      </c>
      <c r="F28">
        <v>48000</v>
      </c>
      <c r="H28">
        <v>80000</v>
      </c>
      <c r="J28">
        <v>30000</v>
      </c>
      <c r="M28">
        <v>162000</v>
      </c>
      <c r="O28">
        <v>86971</v>
      </c>
      <c r="P28">
        <v>39980</v>
      </c>
      <c r="S28">
        <v>5243</v>
      </c>
      <c r="T28">
        <v>191936</v>
      </c>
      <c r="W28" s="62">
        <v>25</v>
      </c>
      <c r="X28" s="63">
        <v>45901</v>
      </c>
      <c r="Z28">
        <v>1</v>
      </c>
      <c r="AB28">
        <v>1</v>
      </c>
      <c r="AD28">
        <v>8</v>
      </c>
      <c r="AF28">
        <v>6</v>
      </c>
      <c r="AI28">
        <v>54</v>
      </c>
      <c r="AK28">
        <v>29</v>
      </c>
      <c r="AL28">
        <v>20</v>
      </c>
      <c r="AO28">
        <v>7</v>
      </c>
      <c r="AP28">
        <v>64</v>
      </c>
    </row>
    <row r="29" spans="1:43">
      <c r="A29" s="62">
        <v>26</v>
      </c>
      <c r="B29" s="63">
        <v>45931</v>
      </c>
      <c r="D29">
        <v>40200</v>
      </c>
      <c r="F29">
        <v>192000</v>
      </c>
      <c r="H29">
        <v>50000</v>
      </c>
      <c r="J29">
        <v>25000</v>
      </c>
      <c r="M29">
        <v>834000</v>
      </c>
      <c r="O29">
        <v>77974</v>
      </c>
      <c r="P29">
        <v>39980</v>
      </c>
      <c r="R29">
        <v>19992</v>
      </c>
      <c r="S29">
        <v>9737</v>
      </c>
      <c r="T29">
        <v>227924</v>
      </c>
      <c r="W29" s="62">
        <v>26</v>
      </c>
      <c r="X29" s="63">
        <v>45931</v>
      </c>
      <c r="Z29">
        <v>2</v>
      </c>
      <c r="AB29">
        <v>4</v>
      </c>
      <c r="AD29">
        <v>5</v>
      </c>
      <c r="AF29">
        <v>5</v>
      </c>
      <c r="AI29">
        <v>278</v>
      </c>
      <c r="AK29">
        <v>26</v>
      </c>
      <c r="AL29">
        <v>20</v>
      </c>
      <c r="AN29">
        <v>8</v>
      </c>
      <c r="AO29">
        <v>13</v>
      </c>
      <c r="AP29">
        <v>76</v>
      </c>
    </row>
    <row r="30" spans="1:43">
      <c r="A30" s="62">
        <v>27</v>
      </c>
      <c r="B30" s="63">
        <v>45962</v>
      </c>
      <c r="D30">
        <v>20100</v>
      </c>
      <c r="F30">
        <v>288000</v>
      </c>
      <c r="H30">
        <v>40000</v>
      </c>
      <c r="J30">
        <v>20000</v>
      </c>
      <c r="M30">
        <v>975000</v>
      </c>
      <c r="O30">
        <v>77974</v>
      </c>
      <c r="P30">
        <v>31984</v>
      </c>
      <c r="R30">
        <v>37485</v>
      </c>
      <c r="T30">
        <v>197934</v>
      </c>
      <c r="W30" s="62">
        <v>27</v>
      </c>
      <c r="X30" s="63">
        <v>45962</v>
      </c>
      <c r="Z30">
        <v>1</v>
      </c>
      <c r="AB30">
        <v>6</v>
      </c>
      <c r="AD30">
        <v>4</v>
      </c>
      <c r="AF30">
        <v>4</v>
      </c>
      <c r="AI30">
        <v>325</v>
      </c>
      <c r="AK30">
        <v>26</v>
      </c>
      <c r="AL30">
        <v>16</v>
      </c>
      <c r="AN30">
        <v>15</v>
      </c>
      <c r="AP30">
        <v>66</v>
      </c>
    </row>
    <row r="31" spans="1:43">
      <c r="A31" s="62">
        <v>28</v>
      </c>
      <c r="B31" s="63">
        <v>45992</v>
      </c>
      <c r="D31">
        <v>20100</v>
      </c>
      <c r="F31">
        <v>184529.96</v>
      </c>
      <c r="H31">
        <v>10000</v>
      </c>
      <c r="J31">
        <v>17024.8</v>
      </c>
      <c r="L31" s="140">
        <v>167844.6</v>
      </c>
      <c r="M31">
        <v>934466.69</v>
      </c>
      <c r="O31">
        <v>70976</v>
      </c>
      <c r="P31">
        <v>25987</v>
      </c>
      <c r="R31">
        <v>24391.119999999999</v>
      </c>
      <c r="T31">
        <v>217456.73</v>
      </c>
      <c r="W31" s="62">
        <v>28</v>
      </c>
      <c r="X31" s="63">
        <v>45992</v>
      </c>
      <c r="Z31">
        <v>1</v>
      </c>
      <c r="AB31">
        <v>6</v>
      </c>
      <c r="AD31">
        <v>1</v>
      </c>
      <c r="AF31">
        <v>4</v>
      </c>
      <c r="AH31" s="140">
        <v>54</v>
      </c>
      <c r="AI31">
        <v>329</v>
      </c>
      <c r="AK31">
        <v>24</v>
      </c>
      <c r="AL31">
        <v>13</v>
      </c>
      <c r="AN31">
        <v>10</v>
      </c>
      <c r="AP31">
        <v>74</v>
      </c>
    </row>
    <row r="32" spans="1:43" s="140" customFormat="1">
      <c r="A32" s="142">
        <v>29</v>
      </c>
      <c r="B32" s="143">
        <v>46023</v>
      </c>
      <c r="D32" s="140">
        <v>20100</v>
      </c>
      <c r="F32" s="140">
        <v>233105.99</v>
      </c>
      <c r="J32" s="140">
        <v>15000</v>
      </c>
      <c r="L32" s="140">
        <v>622092.50000000012</v>
      </c>
      <c r="M32" s="140">
        <v>894472.48999999987</v>
      </c>
      <c r="O32" s="140">
        <v>83089.13</v>
      </c>
      <c r="R32" s="140">
        <v>33194.81</v>
      </c>
      <c r="T32" s="140">
        <v>213944.3</v>
      </c>
      <c r="W32" s="142">
        <v>29</v>
      </c>
      <c r="X32" s="143">
        <v>46023</v>
      </c>
      <c r="Z32" s="140">
        <v>1</v>
      </c>
      <c r="AB32" s="140">
        <v>7</v>
      </c>
      <c r="AF32" s="140">
        <v>3</v>
      </c>
      <c r="AH32" s="140">
        <v>208</v>
      </c>
      <c r="AI32" s="140">
        <v>341</v>
      </c>
      <c r="AK32" s="140">
        <v>33</v>
      </c>
      <c r="AN32" s="140">
        <v>13</v>
      </c>
      <c r="AP32" s="140">
        <v>76</v>
      </c>
    </row>
    <row r="33" spans="1:44" s="140" customFormat="1">
      <c r="A33" s="142">
        <v>30</v>
      </c>
      <c r="B33" s="143">
        <v>46054</v>
      </c>
      <c r="F33" s="140">
        <v>151499.66</v>
      </c>
      <c r="I33" s="140">
        <v>48000</v>
      </c>
      <c r="J33" s="140">
        <v>15000</v>
      </c>
      <c r="L33" s="140">
        <v>583326.00999999989</v>
      </c>
      <c r="M33" s="140">
        <v>852573.53999999992</v>
      </c>
      <c r="O33" s="140">
        <v>84413.87000000001</v>
      </c>
      <c r="R33" s="140">
        <v>19992</v>
      </c>
      <c r="T33" s="140">
        <v>177148.99</v>
      </c>
      <c r="W33" s="142">
        <v>30</v>
      </c>
      <c r="X33" s="143">
        <v>46054</v>
      </c>
      <c r="AB33" s="140">
        <v>5</v>
      </c>
      <c r="AE33" s="140">
        <v>1</v>
      </c>
      <c r="AF33" s="140">
        <v>3</v>
      </c>
      <c r="AH33" s="140">
        <v>202</v>
      </c>
      <c r="AI33" s="140">
        <v>331</v>
      </c>
      <c r="AK33" s="140">
        <v>35</v>
      </c>
      <c r="AN33" s="140">
        <v>8</v>
      </c>
      <c r="AP33" s="140">
        <v>71</v>
      </c>
    </row>
    <row r="34" spans="1:44" s="140" customFormat="1">
      <c r="A34" s="142">
        <v>31</v>
      </c>
      <c r="B34" s="143">
        <v>46082</v>
      </c>
      <c r="F34" s="140">
        <v>26974.68</v>
      </c>
      <c r="J34" s="140">
        <v>10012.75</v>
      </c>
      <c r="L34" s="140">
        <v>669344.91999999993</v>
      </c>
      <c r="M34" s="140">
        <v>842216.02999999991</v>
      </c>
      <c r="O34" s="140">
        <v>71863.89</v>
      </c>
      <c r="R34" s="140">
        <v>22991</v>
      </c>
      <c r="T34" s="140">
        <v>202310.26</v>
      </c>
      <c r="W34" s="142">
        <v>31</v>
      </c>
      <c r="X34" s="143">
        <v>46082</v>
      </c>
      <c r="AB34" s="140">
        <v>2</v>
      </c>
      <c r="AF34" s="140">
        <v>3</v>
      </c>
      <c r="AH34" s="140">
        <v>234</v>
      </c>
      <c r="AI34" s="140">
        <v>324</v>
      </c>
      <c r="AK34" s="140">
        <v>30</v>
      </c>
      <c r="AN34" s="140">
        <v>9</v>
      </c>
      <c r="AP34" s="140">
        <v>76</v>
      </c>
    </row>
    <row r="35" spans="1:44" s="140" customFormat="1">
      <c r="A35" s="142">
        <v>32</v>
      </c>
      <c r="B35" s="143">
        <v>46113</v>
      </c>
      <c r="D35" s="140">
        <v>20100</v>
      </c>
      <c r="J35" s="140">
        <v>6433.75</v>
      </c>
      <c r="L35" s="140">
        <v>655249.57999999973</v>
      </c>
      <c r="M35" s="140">
        <v>911338.04999999993</v>
      </c>
      <c r="O35" s="140">
        <v>96695.4</v>
      </c>
      <c r="R35" s="140">
        <v>15494</v>
      </c>
      <c r="T35" s="140">
        <v>232764.62</v>
      </c>
      <c r="W35" s="142">
        <v>32</v>
      </c>
      <c r="X35" s="143">
        <v>46113</v>
      </c>
      <c r="Z35" s="140">
        <v>1</v>
      </c>
      <c r="AF35" s="140">
        <v>2</v>
      </c>
      <c r="AH35" s="140">
        <v>251</v>
      </c>
      <c r="AI35" s="140">
        <v>346</v>
      </c>
      <c r="AK35" s="140">
        <v>40</v>
      </c>
      <c r="AN35" s="140">
        <v>6</v>
      </c>
      <c r="AP35" s="140">
        <v>84</v>
      </c>
    </row>
    <row r="36" spans="1:44">
      <c r="A36" s="62">
        <v>33</v>
      </c>
      <c r="B36" s="63">
        <v>46143</v>
      </c>
      <c r="L36" s="140">
        <v>45733.16</v>
      </c>
      <c r="M36">
        <v>75328.759999999995</v>
      </c>
      <c r="T36">
        <v>15892.6</v>
      </c>
      <c r="W36" s="62">
        <v>33</v>
      </c>
      <c r="X36" s="63">
        <v>46143</v>
      </c>
      <c r="AH36" s="140">
        <v>17</v>
      </c>
      <c r="AI36">
        <v>31</v>
      </c>
      <c r="AP36">
        <v>6</v>
      </c>
    </row>
    <row r="37" spans="1:44">
      <c r="B37" t="s">
        <v>169</v>
      </c>
      <c r="C37">
        <f>SUM(C32:C35)</f>
        <v>0</v>
      </c>
      <c r="D37">
        <f>SUM(D32:D35)</f>
        <v>40200</v>
      </c>
      <c r="E37">
        <f t="shared" ref="E37:T37" si="0">SUM(E32:E35)</f>
        <v>0</v>
      </c>
      <c r="F37">
        <f t="shared" si="0"/>
        <v>411580.33</v>
      </c>
      <c r="G37">
        <f t="shared" si="0"/>
        <v>0</v>
      </c>
      <c r="H37">
        <f t="shared" si="0"/>
        <v>0</v>
      </c>
      <c r="I37">
        <f t="shared" si="0"/>
        <v>48000</v>
      </c>
      <c r="J37">
        <f t="shared" si="0"/>
        <v>46446.5</v>
      </c>
      <c r="K37">
        <f t="shared" si="0"/>
        <v>0</v>
      </c>
      <c r="L37" s="140">
        <f t="shared" si="0"/>
        <v>2530013.0099999998</v>
      </c>
      <c r="M37">
        <f t="shared" si="0"/>
        <v>3500600.1099999994</v>
      </c>
      <c r="N37">
        <f t="shared" si="0"/>
        <v>0</v>
      </c>
      <c r="O37">
        <f t="shared" si="0"/>
        <v>336062.29000000004</v>
      </c>
      <c r="P37">
        <f t="shared" si="0"/>
        <v>0</v>
      </c>
      <c r="Q37">
        <f t="shared" si="0"/>
        <v>0</v>
      </c>
      <c r="R37">
        <f t="shared" si="0"/>
        <v>91671.81</v>
      </c>
      <c r="S37">
        <f t="shared" si="0"/>
        <v>0</v>
      </c>
      <c r="T37">
        <f t="shared" si="0"/>
        <v>826168.17</v>
      </c>
      <c r="V37">
        <f>SUM(D37:T37)</f>
        <v>7830742.2199999988</v>
      </c>
      <c r="X37" t="s">
        <v>169</v>
      </c>
      <c r="Y37">
        <f>SUM(Y32:Y35)</f>
        <v>0</v>
      </c>
      <c r="Z37">
        <f>SUM(Z32:Z35)</f>
        <v>2</v>
      </c>
      <c r="AA37">
        <f t="shared" ref="AA37:AP37" si="1">SUM(AA32:AA35)</f>
        <v>0</v>
      </c>
      <c r="AB37">
        <f t="shared" si="1"/>
        <v>14</v>
      </c>
      <c r="AC37">
        <f t="shared" si="1"/>
        <v>0</v>
      </c>
      <c r="AD37">
        <f t="shared" si="1"/>
        <v>0</v>
      </c>
      <c r="AE37">
        <f t="shared" si="1"/>
        <v>1</v>
      </c>
      <c r="AF37">
        <f t="shared" si="1"/>
        <v>11</v>
      </c>
      <c r="AG37">
        <f t="shared" si="1"/>
        <v>0</v>
      </c>
      <c r="AH37" s="140">
        <f t="shared" si="1"/>
        <v>895</v>
      </c>
      <c r="AI37">
        <f t="shared" si="1"/>
        <v>1342</v>
      </c>
      <c r="AJ37">
        <f t="shared" si="1"/>
        <v>0</v>
      </c>
      <c r="AK37">
        <f t="shared" si="1"/>
        <v>138</v>
      </c>
      <c r="AL37">
        <f t="shared" si="1"/>
        <v>0</v>
      </c>
      <c r="AM37">
        <f t="shared" si="1"/>
        <v>0</v>
      </c>
      <c r="AN37">
        <f t="shared" si="1"/>
        <v>36</v>
      </c>
      <c r="AO37">
        <f t="shared" si="1"/>
        <v>0</v>
      </c>
      <c r="AP37">
        <f t="shared" si="1"/>
        <v>307</v>
      </c>
      <c r="AR37">
        <f>SUM(Z37:AP37)</f>
        <v>2746</v>
      </c>
    </row>
    <row r="39" spans="1:44">
      <c r="L39" s="145">
        <f>L37/V37</f>
        <v>0.32308725519507653</v>
      </c>
      <c r="AH39" s="145">
        <f>AH37/AR37</f>
        <v>0.32592862345229423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DBAB3F-4473-104D-9448-0BEBC2F8392D}">
  <sheetPr codeName="Лист32"/>
  <dimension ref="A1:E55"/>
  <sheetViews>
    <sheetView topLeftCell="A36" workbookViewId="0">
      <selection activeCell="B55" sqref="B55"/>
    </sheetView>
  </sheetViews>
  <sheetFormatPr baseColWidth="10" defaultColWidth="10.6640625" defaultRowHeight="16"/>
  <cols>
    <col min="1" max="1" width="54.5" customWidth="1"/>
    <col min="2" max="2" width="68.1640625" customWidth="1"/>
    <col min="3" max="3" width="20.6640625" customWidth="1"/>
  </cols>
  <sheetData>
    <row r="1" spans="1:5" ht="34">
      <c r="A1" s="8" t="s">
        <v>15</v>
      </c>
      <c r="B1" t="s">
        <v>14</v>
      </c>
      <c r="C1" s="4"/>
      <c r="E1" t="s">
        <v>16</v>
      </c>
    </row>
    <row r="2" spans="1:5">
      <c r="A2" s="8"/>
      <c r="B2" t="s">
        <v>19</v>
      </c>
      <c r="C2" s="4"/>
    </row>
    <row r="3" spans="1:5">
      <c r="A3" s="8"/>
      <c r="B3" s="7" t="s">
        <v>20</v>
      </c>
      <c r="C3" s="4"/>
    </row>
    <row r="4" spans="1:5">
      <c r="A4" s="5"/>
      <c r="B4" t="s">
        <v>5</v>
      </c>
      <c r="C4" s="4"/>
    </row>
    <row r="5" spans="1:5">
      <c r="B5" t="s">
        <v>6</v>
      </c>
    </row>
    <row r="6" spans="1:5">
      <c r="A6" t="s">
        <v>18</v>
      </c>
      <c r="B6" t="s">
        <v>21</v>
      </c>
    </row>
    <row r="8" spans="1:5">
      <c r="A8" s="7" t="s">
        <v>3</v>
      </c>
      <c r="B8" s="6" t="s">
        <v>9</v>
      </c>
      <c r="C8" s="4" t="s">
        <v>8</v>
      </c>
    </row>
    <row r="9" spans="1:5">
      <c r="A9" s="9"/>
      <c r="B9" s="9" t="s">
        <v>13</v>
      </c>
      <c r="C9" s="9" t="s">
        <v>30</v>
      </c>
    </row>
    <row r="10" spans="1:5">
      <c r="A10" s="9" t="s">
        <v>10</v>
      </c>
      <c r="B10" s="9">
        <v>36400</v>
      </c>
      <c r="C10" s="9">
        <v>34500</v>
      </c>
    </row>
    <row r="11" spans="1:5">
      <c r="A11" s="9" t="s">
        <v>11</v>
      </c>
      <c r="B11" s="9">
        <v>36200</v>
      </c>
      <c r="C11" s="9">
        <v>28300</v>
      </c>
    </row>
    <row r="12" spans="1:5">
      <c r="A12" s="9" t="s">
        <v>12</v>
      </c>
      <c r="B12" s="9">
        <v>4880</v>
      </c>
      <c r="C12" s="9">
        <v>4100</v>
      </c>
    </row>
    <row r="13" spans="1:5">
      <c r="A13" s="9" t="s">
        <v>31</v>
      </c>
      <c r="B13" s="9">
        <v>1730</v>
      </c>
      <c r="C13" s="9">
        <v>12400</v>
      </c>
    </row>
    <row r="14" spans="1:5">
      <c r="A14" s="9"/>
      <c r="B14" s="9">
        <f>SUM(B10:B13)</f>
        <v>79210</v>
      </c>
      <c r="C14" s="9">
        <f>SUM(C10:C13)</f>
        <v>79300</v>
      </c>
    </row>
    <row r="15" spans="1:5">
      <c r="A15" s="11" t="s">
        <v>4</v>
      </c>
      <c r="B15" s="12" t="s">
        <v>33</v>
      </c>
    </row>
    <row r="17" spans="1:2">
      <c r="A17" s="11" t="s">
        <v>7</v>
      </c>
      <c r="B17" s="12" t="s">
        <v>32</v>
      </c>
    </row>
    <row r="18" spans="1:2">
      <c r="B18" t="s">
        <v>17</v>
      </c>
    </row>
    <row r="20" spans="1:2">
      <c r="A20" t="s">
        <v>28</v>
      </c>
    </row>
    <row r="21" spans="1:2">
      <c r="A21" s="6" t="s">
        <v>27</v>
      </c>
    </row>
    <row r="23" spans="1:2" ht="19">
      <c r="A23" s="10" t="s">
        <v>22</v>
      </c>
      <c r="B23" t="s">
        <v>23</v>
      </c>
    </row>
    <row r="24" spans="1:2" ht="19">
      <c r="A24" s="10" t="s">
        <v>24</v>
      </c>
      <c r="B24" t="s">
        <v>25</v>
      </c>
    </row>
    <row r="25" spans="1:2" ht="19">
      <c r="A25" s="10" t="s">
        <v>26</v>
      </c>
      <c r="B25" t="s">
        <v>29</v>
      </c>
    </row>
    <row r="30" spans="1:2">
      <c r="A30" s="7" t="s">
        <v>69</v>
      </c>
    </row>
    <row r="32" spans="1:2" s="140" customFormat="1">
      <c r="A32" s="166" t="s">
        <v>203</v>
      </c>
      <c r="B32" s="168">
        <f>60000-43000</f>
        <v>17000</v>
      </c>
    </row>
    <row r="33" spans="1:2">
      <c r="B33" s="165" t="s">
        <v>204</v>
      </c>
    </row>
    <row r="34" spans="1:2">
      <c r="B34" s="165"/>
    </row>
    <row r="35" spans="1:2" s="140" customFormat="1">
      <c r="A35" s="166" t="s">
        <v>208</v>
      </c>
      <c r="B35" s="167" t="s">
        <v>207</v>
      </c>
    </row>
    <row r="36" spans="1:2">
      <c r="A36" t="s">
        <v>200</v>
      </c>
      <c r="B36">
        <v>100000</v>
      </c>
    </row>
    <row r="37" spans="1:2">
      <c r="A37" t="s">
        <v>201</v>
      </c>
      <c r="B37" s="7">
        <v>7100</v>
      </c>
    </row>
    <row r="38" spans="1:2">
      <c r="A38" t="s">
        <v>205</v>
      </c>
      <c r="B38" s="7">
        <v>60000</v>
      </c>
    </row>
    <row r="40" spans="1:2">
      <c r="B40" t="s">
        <v>206</v>
      </c>
    </row>
    <row r="41" spans="1:2">
      <c r="B41" t="s">
        <v>202</v>
      </c>
    </row>
    <row r="42" spans="1:2">
      <c r="B42">
        <v>58146</v>
      </c>
    </row>
    <row r="43" spans="1:2">
      <c r="B43">
        <v>35293.5</v>
      </c>
    </row>
    <row r="44" spans="1:2">
      <c r="B44">
        <v>22557</v>
      </c>
    </row>
    <row r="48" spans="1:2">
      <c r="A48" t="s">
        <v>1162</v>
      </c>
    </row>
    <row r="50" spans="1:2" ht="19">
      <c r="A50" s="1322" t="s">
        <v>651</v>
      </c>
      <c r="B50" s="1323">
        <v>4149</v>
      </c>
    </row>
    <row r="51" spans="1:2" ht="19">
      <c r="A51" s="1322" t="s">
        <v>652</v>
      </c>
      <c r="B51" s="1323">
        <v>6747</v>
      </c>
    </row>
    <row r="52" spans="1:2" ht="19">
      <c r="A52" s="254" t="s">
        <v>653</v>
      </c>
      <c r="B52" s="15">
        <v>20058</v>
      </c>
    </row>
    <row r="53" spans="1:2" ht="19">
      <c r="A53" s="254" t="s">
        <v>654</v>
      </c>
      <c r="B53" s="15">
        <v>21687</v>
      </c>
    </row>
    <row r="54" spans="1:2" ht="19">
      <c r="A54" s="254" t="s">
        <v>655</v>
      </c>
      <c r="B54" s="15">
        <v>73743</v>
      </c>
    </row>
    <row r="55" spans="1:2" ht="19">
      <c r="A55" s="254" t="s">
        <v>656</v>
      </c>
      <c r="B55" s="15">
        <v>117174</v>
      </c>
    </row>
  </sheetData>
  <hyperlinks>
    <hyperlink ref="B8" r:id="rId1" xr:uid="{B1C72D04-7547-6744-A07F-F25F768086EB}"/>
    <hyperlink ref="A21" r:id="rId2" xr:uid="{12C71B04-CEDE-1646-A3CC-D3794ED288A7}"/>
    <hyperlink ref="B35" r:id="rId3" xr:uid="{A0557143-F48A-E04A-B3C9-F9DE8A166287}"/>
  </hyperlinks>
  <pageMargins left="0.7" right="0.7" top="0.75" bottom="0.75" header="0.3" footer="0.3"/>
  <drawing r:id="rId4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2ECF46-2F93-1D4F-8971-E0665D52E954}">
  <sheetPr codeName="Лист33"/>
  <dimension ref="A1:E20"/>
  <sheetViews>
    <sheetView workbookViewId="0">
      <selection activeCell="F20" sqref="F20"/>
    </sheetView>
  </sheetViews>
  <sheetFormatPr baseColWidth="10" defaultColWidth="10.83203125" defaultRowHeight="19"/>
  <cols>
    <col min="1" max="1" width="46.1640625" style="15" customWidth="1"/>
    <col min="2" max="2" width="54.5" style="15" customWidth="1"/>
    <col min="3" max="3" width="30.33203125" style="15" customWidth="1"/>
    <col min="4" max="4" width="26.6640625" style="15" customWidth="1"/>
    <col min="5" max="5" width="23.83203125" style="15" customWidth="1"/>
    <col min="6" max="6" width="83.5" style="15" customWidth="1"/>
    <col min="7" max="7" width="38.33203125" style="15" customWidth="1"/>
    <col min="8" max="16384" width="10.83203125" style="15"/>
  </cols>
  <sheetData>
    <row r="1" spans="1:5">
      <c r="A1" s="136" t="s">
        <v>173</v>
      </c>
      <c r="B1" s="136" t="s">
        <v>64</v>
      </c>
      <c r="C1" s="136" t="s">
        <v>190</v>
      </c>
      <c r="D1" s="18"/>
      <c r="E1" s="18" t="s">
        <v>196</v>
      </c>
    </row>
    <row r="2" spans="1:5" ht="60">
      <c r="A2" s="17" t="s">
        <v>195</v>
      </c>
      <c r="B2" s="17" t="s">
        <v>62</v>
      </c>
      <c r="C2" s="3" t="s">
        <v>191</v>
      </c>
      <c r="D2" s="3" t="s">
        <v>48</v>
      </c>
    </row>
    <row r="3" spans="1:5" ht="60">
      <c r="B3" s="17" t="s">
        <v>65</v>
      </c>
      <c r="C3" s="3" t="s">
        <v>192</v>
      </c>
      <c r="D3" s="3" t="s">
        <v>49</v>
      </c>
    </row>
    <row r="4" spans="1:5" ht="60">
      <c r="A4" s="17"/>
      <c r="B4" s="17" t="s">
        <v>66</v>
      </c>
      <c r="C4" s="3" t="s">
        <v>193</v>
      </c>
      <c r="D4" s="3" t="s">
        <v>35</v>
      </c>
    </row>
    <row r="5" spans="1:5" ht="40">
      <c r="A5" s="17"/>
      <c r="B5" s="17" t="s">
        <v>31</v>
      </c>
      <c r="C5" s="3" t="s">
        <v>194</v>
      </c>
      <c r="D5" s="3" t="s">
        <v>36</v>
      </c>
    </row>
    <row r="8" spans="1:5">
      <c r="A8" s="164" t="s">
        <v>188</v>
      </c>
      <c r="B8" s="164" t="s">
        <v>180</v>
      </c>
    </row>
    <row r="9" spans="1:5">
      <c r="A9" s="164"/>
      <c r="B9" s="164" t="s">
        <v>185</v>
      </c>
    </row>
    <row r="10" spans="1:5">
      <c r="A10" s="164" t="s">
        <v>189</v>
      </c>
      <c r="B10" s="164" t="s">
        <v>186</v>
      </c>
    </row>
    <row r="11" spans="1:5">
      <c r="B11" s="164"/>
    </row>
    <row r="12" spans="1:5">
      <c r="B12" s="164" t="s">
        <v>187</v>
      </c>
    </row>
    <row r="14" spans="1:5">
      <c r="A14" s="18" t="s">
        <v>174</v>
      </c>
      <c r="B14" s="162" t="s">
        <v>182</v>
      </c>
    </row>
    <row r="15" spans="1:5">
      <c r="A15" s="15" t="s">
        <v>175</v>
      </c>
      <c r="B15" s="163" t="s">
        <v>176</v>
      </c>
    </row>
    <row r="16" spans="1:5">
      <c r="A16" s="15" t="s">
        <v>178</v>
      </c>
      <c r="B16" s="163" t="s">
        <v>184</v>
      </c>
    </row>
    <row r="17" spans="1:2" ht="40">
      <c r="A17" s="135" t="s">
        <v>179</v>
      </c>
      <c r="B17" s="163" t="s">
        <v>146</v>
      </c>
    </row>
    <row r="18" spans="1:2">
      <c r="A18" s="15" t="s">
        <v>177</v>
      </c>
      <c r="B18" s="163" t="s">
        <v>183</v>
      </c>
    </row>
    <row r="20" spans="1:2">
      <c r="A20" s="18" t="s">
        <v>181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38</vt:i4>
      </vt:variant>
    </vt:vector>
  </HeadingPairs>
  <TitlesOfParts>
    <vt:vector size="38" baseType="lpstr">
      <vt:lpstr>PnL_upd 28 июл</vt:lpstr>
      <vt:lpstr>ИТОГ_new v4_первые оплаты</vt:lpstr>
      <vt:lpstr>первые оплаты</vt:lpstr>
      <vt:lpstr>Воронка</vt:lpstr>
      <vt:lpstr>Гипотезы_v3</vt:lpstr>
      <vt:lpstr>Саммари_воронка</vt:lpstr>
      <vt:lpstr>расходы для PnL</vt:lpstr>
      <vt:lpstr>период вознаграждения</vt:lpstr>
      <vt:lpstr>доп расходы_свод</vt:lpstr>
      <vt:lpstr>ИТОГ_new v4</vt:lpstr>
      <vt:lpstr>ИТОГ_new v2_в презе</vt:lpstr>
      <vt:lpstr>Юля_ИТОГ_new v3</vt:lpstr>
      <vt:lpstr>ИТОГ_new v3</vt:lpstr>
      <vt:lpstr>ИТОГ_v1</vt:lpstr>
      <vt:lpstr>МП</vt:lpstr>
      <vt:lpstr>расходы_маркетинг</vt:lpstr>
      <vt:lpstr>расходы_разработка</vt:lpstr>
      <vt:lpstr>расходы на АПИ</vt:lpstr>
      <vt:lpstr>Гипотезы v3_CR лид, API upd Оле</vt:lpstr>
      <vt:lpstr>Гипотезы v3_CR лиды, API upd</vt:lpstr>
      <vt:lpstr>Гипотезы v3_CR лиды upd</vt:lpstr>
      <vt:lpstr>CR базы селлеров</vt:lpstr>
      <vt:lpstr>ожидания МПСт</vt:lpstr>
      <vt:lpstr>База селлеров</vt:lpstr>
      <vt:lpstr>Гипотезы_v2</vt:lpstr>
      <vt:lpstr>Вопросы</vt:lpstr>
      <vt:lpstr>Воронка MPS_обработано</vt:lpstr>
      <vt:lpstr>Воронка MPS_исх</vt:lpstr>
      <vt:lpstr>Гипотезы_v1</vt:lpstr>
      <vt:lpstr>MPS др метрики</vt:lpstr>
      <vt:lpstr>Гипотезы_драфт</vt:lpstr>
      <vt:lpstr>Пилот Точка</vt:lpstr>
      <vt:lpstr>MAU Селлер as is</vt:lpstr>
      <vt:lpstr>Воронка Селлер as is</vt:lpstr>
      <vt:lpstr>Селлер апи_исх</vt:lpstr>
      <vt:lpstr>Селлер оплаты_исх</vt:lpstr>
      <vt:lpstr>рабоч</vt:lpstr>
      <vt:lpstr>пересечь базы как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 balabaeva</dc:creator>
  <cp:lastModifiedBy>y balabaeva</cp:lastModifiedBy>
  <dcterms:created xsi:type="dcterms:W3CDTF">2026-05-26T07:29:26Z</dcterms:created>
  <dcterms:modified xsi:type="dcterms:W3CDTF">2026-08-13T10:14:32Z</dcterms:modified>
</cp:coreProperties>
</file>