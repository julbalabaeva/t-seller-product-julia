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.balabaeva/Desktop/Селлер/! MPStats/Воронка/"/>
    </mc:Choice>
  </mc:AlternateContent>
  <xr:revisionPtr revIDLastSave="0" documentId="13_ncr:1_{FBB4A52C-100B-C244-9DB8-2751FC4EE698}" xr6:coauthVersionLast="47" xr6:coauthVersionMax="47" xr10:uidLastSave="{00000000-0000-0000-0000-000000000000}"/>
  <bookViews>
    <workbookView xWindow="0" yWindow="580" windowWidth="29920" windowHeight="16940" activeTab="3" xr2:uid="{041A7F1C-756F-014C-8317-A22146C33BA3}"/>
  </bookViews>
  <sheets>
    <sheet name="Гипотеза T" sheetId="7" r:id="rId1"/>
    <sheet name="Вопросы" sheetId="10" r:id="rId2"/>
    <sheet name="Переменные" sheetId="6" r:id="rId3"/>
    <sheet name="Воронка MPStats_обработано" sheetId="1" r:id="rId4"/>
    <sheet name="Воронка MPStats_исх" sheetId="8" r:id="rId5"/>
    <sheet name="Воронка Селлер as is" sheetId="5" r:id="rId6"/>
    <sheet name="Селлер_исх" sheetId="9" r:id="rId7"/>
    <sheet name="рабоч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H14" i="1"/>
  <c r="G14" i="1"/>
  <c r="K13" i="1"/>
  <c r="J14" i="1"/>
  <c r="L14" i="1"/>
  <c r="K14" i="1"/>
  <c r="D14" i="1"/>
  <c r="N12" i="1"/>
  <c r="M12" i="1"/>
  <c r="J11" i="1"/>
  <c r="J12" i="1"/>
  <c r="J9" i="1"/>
  <c r="K10" i="1"/>
  <c r="D30" i="7"/>
  <c r="E30" i="7"/>
  <c r="F30" i="7"/>
  <c r="G30" i="7"/>
  <c r="C30" i="7"/>
  <c r="C60" i="7"/>
  <c r="D60" i="7" s="1"/>
  <c r="E60" i="7" s="1"/>
  <c r="F60" i="7" s="1"/>
  <c r="C61" i="7"/>
  <c r="D61" i="7" s="1"/>
  <c r="E61" i="7" s="1"/>
  <c r="F61" i="7" s="1"/>
  <c r="G61" i="7" s="1"/>
  <c r="C59" i="7"/>
  <c r="D59" i="7" s="1"/>
  <c r="E59" i="7" s="1"/>
  <c r="C58" i="7"/>
  <c r="D58" i="7" s="1"/>
  <c r="G52" i="7"/>
  <c r="G53" i="7"/>
  <c r="G54" i="7"/>
  <c r="G51" i="7"/>
  <c r="F52" i="7"/>
  <c r="F53" i="7"/>
  <c r="F54" i="7"/>
  <c r="F51" i="7"/>
  <c r="E52" i="7"/>
  <c r="E53" i="7"/>
  <c r="E54" i="7"/>
  <c r="E51" i="7"/>
  <c r="D52" i="7"/>
  <c r="D26" i="7" s="1"/>
  <c r="D53" i="7"/>
  <c r="D54" i="7"/>
  <c r="D51" i="7"/>
  <c r="C52" i="7"/>
  <c r="C53" i="7"/>
  <c r="C54" i="7"/>
  <c r="C51" i="7"/>
  <c r="D26" i="6"/>
  <c r="E26" i="6"/>
  <c r="F26" i="6"/>
  <c r="D27" i="6"/>
  <c r="E27" i="6"/>
  <c r="F27" i="6"/>
  <c r="F25" i="6"/>
  <c r="E25" i="6"/>
  <c r="D25" i="6"/>
  <c r="B51" i="6"/>
  <c r="D51" i="6" s="1"/>
  <c r="C40" i="7" s="1"/>
  <c r="C20" i="7" s="1"/>
  <c r="G20" i="6"/>
  <c r="G26" i="6" s="1"/>
  <c r="C20" i="6"/>
  <c r="C25" i="6" s="1"/>
  <c r="B20" i="6"/>
  <c r="D50" i="6"/>
  <c r="K46" i="9"/>
  <c r="J46" i="9"/>
  <c r="D46" i="9"/>
  <c r="C46" i="9"/>
  <c r="D13" i="5"/>
  <c r="D12" i="5"/>
  <c r="C14" i="5"/>
  <c r="D14" i="5" s="1"/>
  <c r="D4" i="5"/>
  <c r="E11" i="1"/>
  <c r="C46" i="6"/>
  <c r="D46" i="6"/>
  <c r="B46" i="6"/>
  <c r="F12" i="1"/>
  <c r="H12" i="1" s="1"/>
  <c r="C9" i="6"/>
  <c r="D4" i="7" s="1"/>
  <c r="D5" i="7" s="1"/>
  <c r="D9" i="6"/>
  <c r="E4" i="7" s="1"/>
  <c r="E5" i="7" s="1"/>
  <c r="E9" i="6"/>
  <c r="F4" i="7" s="1"/>
  <c r="F5" i="7" s="1"/>
  <c r="B9" i="6"/>
  <c r="C4" i="7" s="1"/>
  <c r="C5" i="7" s="1"/>
  <c r="F5" i="6"/>
  <c r="F9" i="6" s="1"/>
  <c r="G4" i="7" s="1"/>
  <c r="G5" i="7" s="1"/>
  <c r="M4" i="7" l="1"/>
  <c r="L4" i="7"/>
  <c r="J4" i="7"/>
  <c r="K4" i="7"/>
  <c r="I4" i="7"/>
  <c r="C25" i="7"/>
  <c r="E27" i="7"/>
  <c r="C26" i="7"/>
  <c r="C27" i="7"/>
  <c r="D25" i="7"/>
  <c r="E58" i="7"/>
  <c r="F58" i="7" s="1"/>
  <c r="G60" i="7"/>
  <c r="G27" i="7" s="1"/>
  <c r="F27" i="7"/>
  <c r="E26" i="7"/>
  <c r="F59" i="7"/>
  <c r="G59" i="7" s="1"/>
  <c r="G26" i="7" s="1"/>
  <c r="F26" i="7"/>
  <c r="D27" i="7"/>
  <c r="D40" i="7"/>
  <c r="G25" i="6"/>
  <c r="C27" i="6"/>
  <c r="C26" i="6"/>
  <c r="B25" i="6"/>
  <c r="G28" i="6"/>
  <c r="G27" i="6"/>
  <c r="B27" i="6"/>
  <c r="B26" i="6"/>
  <c r="G12" i="1"/>
  <c r="D12" i="1"/>
  <c r="D9" i="1"/>
  <c r="D10" i="1" s="1"/>
  <c r="S4" i="7" l="1"/>
  <c r="S5" i="7" s="1"/>
  <c r="M5" i="7"/>
  <c r="C23" i="7"/>
  <c r="R4" i="7"/>
  <c r="R5" i="7" s="1"/>
  <c r="L5" i="7"/>
  <c r="Q4" i="7"/>
  <c r="Q5" i="7" s="1"/>
  <c r="K5" i="7"/>
  <c r="E25" i="7"/>
  <c r="E23" i="7" s="1"/>
  <c r="I5" i="7"/>
  <c r="O4" i="7"/>
  <c r="O5" i="7" s="1"/>
  <c r="J5" i="7"/>
  <c r="P4" i="7"/>
  <c r="P5" i="7" s="1"/>
  <c r="E40" i="7"/>
  <c r="D20" i="7"/>
  <c r="D23" i="7"/>
  <c r="F25" i="7"/>
  <c r="F23" i="7" s="1"/>
  <c r="G58" i="7"/>
  <c r="G25" i="7" s="1"/>
  <c r="G23" i="7" s="1"/>
  <c r="F8" i="1"/>
  <c r="L8" i="1" s="1"/>
  <c r="L9" i="1" s="1"/>
  <c r="E8" i="1"/>
  <c r="D11" i="1"/>
  <c r="E9" i="1" l="1"/>
  <c r="E10" i="1" s="1"/>
  <c r="E13" i="1" s="1"/>
  <c r="K8" i="1"/>
  <c r="K9" i="1" s="1"/>
  <c r="F40" i="7"/>
  <c r="E20" i="7"/>
  <c r="F9" i="1"/>
  <c r="G40" i="7" l="1"/>
  <c r="G20" i="7" s="1"/>
  <c r="F20" i="7"/>
  <c r="C14" i="2"/>
  <c r="B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E2" authorId="0" shapeId="0" xr:uid="{9B9CF1BF-D00C-0B41-B6DA-DB3501EB554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квалиф. лид, согласились на демо-втречу</t>
        </r>
      </text>
    </comment>
    <comment ref="F2" authorId="0" shapeId="0" xr:uid="{B0AD466A-4421-844E-A067-2899A17991A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ОТП = квалиф лид, не согласились на демо
</t>
        </r>
      </text>
    </comment>
    <comment ref="G2" authorId="0" shapeId="0" xr:uid="{FF0DB9A2-7151-1547-A657-A82309B87F82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знают про MPStats, высокая вероятность покупки - доля 15,2% от ОТП</t>
        </r>
      </text>
    </comment>
    <comment ref="H2" authorId="0" shapeId="0" xr:uid="{5792192D-DF30-C54F-84A7-A02F188C448C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"не послали" - доля 84,8%</t>
        </r>
      </text>
    </comment>
    <comment ref="K2" authorId="0" shapeId="0" xr:uid="{2E187968-2B72-0648-8E9F-C23EC4F36411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 квалиф. лид, согласились на демо-втречу</t>
        </r>
      </text>
    </comment>
    <comment ref="L2" authorId="0" shapeId="0" xr:uid="{59E561C1-F6C1-4A47-8A76-C265979AA773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ОТП = квалиф лид, не согласились на демо
</t>
        </r>
      </text>
    </comment>
    <comment ref="M2" authorId="0" shapeId="0" xr:uid="{D0F2E80A-BC79-F448-9FE3-FAB322B93955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знают про MPStats, высокая вероятность покупки - доля 15,2% от ОТП</t>
        </r>
      </text>
    </comment>
    <comment ref="N2" authorId="0" shapeId="0" xr:uid="{451985BF-826D-B74A-B1D4-3C3352E4D13D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"не послали" - доля 84,8%</t>
        </r>
      </text>
    </comment>
    <comment ref="C8" authorId="0" shapeId="0" xr:uid="{DDEAC26C-4DA0-E541-94D4-AC0FBFE428F4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1"/>
            <color rgb="FF000000"/>
            <rFont val="Calibri"/>
            <family val="2"/>
            <scheme val="minor"/>
          </rPr>
          <t xml:space="preserve">Квалификация ЦА </t>
        </r>
        <r>
          <rPr>
            <sz val="11"/>
            <color rgb="FF000000"/>
            <rFont val="Calibri"/>
            <family val="2"/>
            <scheme val="minor"/>
          </rPr>
          <t>MPSTats</t>
        </r>
        <r>
          <rPr>
            <sz val="11"/>
            <color rgb="FF000000"/>
            <rFont val="Calibri"/>
            <family val="2"/>
            <scheme val="minor"/>
          </rPr>
          <t xml:space="preserve"> 
</t>
        </r>
        <r>
          <rPr>
            <sz val="11"/>
            <color rgb="FF000000"/>
            <rFont val="Calibri"/>
            <family val="2"/>
            <scheme val="minor"/>
          </rPr>
          <t xml:space="preserve">- 150 000 - есть для старта
</t>
        </r>
        <r>
          <rPr>
            <sz val="11"/>
            <color rgb="FF000000"/>
            <rFont val="Calibri"/>
            <family val="2"/>
            <scheme val="minor"/>
          </rPr>
          <t xml:space="preserve">- в теч 2 мес планирует начать торговать на МП
</t>
        </r>
        <r>
          <rPr>
            <sz val="11"/>
            <color rgb="FF000000"/>
            <rFont val="Calibri"/>
            <family val="2"/>
            <scheme val="minor"/>
          </rPr>
          <t xml:space="preserve">- селлер - есть рега на МП (озон вб яндекс)
</t>
        </r>
        <r>
          <rPr>
            <sz val="11"/>
            <color rgb="FF000000"/>
            <rFont val="Calibri"/>
            <family val="2"/>
            <scheme val="minor"/>
          </rPr>
          <t xml:space="preserve">
</t>
        </r>
        <r>
          <rPr>
            <sz val="11"/>
            <color rgb="FF000000"/>
            <rFont val="Calibri"/>
            <family val="2"/>
            <scheme val="minor"/>
          </rPr>
          <t>Хантеры =  квалиф. лид, согласились на демо-втречу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ОТП = квалиф лид, не согласились на демо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 balabaeva</author>
  </authors>
  <commentList>
    <comment ref="C1" authorId="0" shapeId="0" xr:uid="{08F1D1F1-07A1-FF40-A76B-E67253CC7DB6}">
      <text>
        <r>
          <rPr>
            <b/>
            <sz val="10"/>
            <color rgb="FF000000"/>
            <rFont val="Tahoma"/>
            <family val="2"/>
            <charset val="204"/>
          </rPr>
          <t>y balabaeva: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база на апр 26, остальные метрики - усредненные за период</t>
        </r>
      </text>
    </comment>
  </commentList>
</comments>
</file>

<file path=xl/sharedStrings.xml><?xml version="1.0" encoding="utf-8"?>
<sst xmlns="http://schemas.openxmlformats.org/spreadsheetml/2006/main" count="567" uniqueCount="247">
  <si>
    <t>База селлеров Т-Банк</t>
  </si>
  <si>
    <t>Оставление API ключа</t>
  </si>
  <si>
    <t>Триал выдан</t>
  </si>
  <si>
    <t>?</t>
  </si>
  <si>
    <t>Вопросы</t>
  </si>
  <si>
    <t>-</t>
  </si>
  <si>
    <t>AS IS</t>
  </si>
  <si>
    <t>кол- во селлеров  Т - сегменты по оборотам</t>
  </si>
  <si>
    <t>сколько остается за вычетом пересчений с МПС и Точкой?</t>
  </si>
  <si>
    <t>преза от Н: S - 515 тыс, М - 31,5 , L - 1,8</t>
  </si>
  <si>
    <t>это типа малый средний и большой ибзнес?</t>
  </si>
  <si>
    <t>какому сегменту - какой тариф продавать?</t>
  </si>
  <si>
    <t>Саша - уточняю по фильтрам</t>
  </si>
  <si>
    <t xml:space="preserve">https://proteus.tcsbank.ru/superset/dashboard/35207/?native_filters_key=6UD6_31FByJJBSkeo1OjteN2ZrhDe0UXwiQb27k-OI1_2btiTS-ROCrKRUs0NQiB </t>
  </si>
  <si>
    <t>S</t>
  </si>
  <si>
    <t>Core</t>
  </si>
  <si>
    <t>M</t>
  </si>
  <si>
    <t>t segment (апр 26)</t>
  </si>
  <si>
    <t>MPStsts за счет S, а M (2-3 тыс) и L (100)</t>
  </si>
  <si>
    <t xml:space="preserve">какие сегменты по обороту имелись ввиду: хотим раскачать за счет  S </t>
  </si>
  <si>
    <t xml:space="preserve">по этому отчету похоже на правду https://proteus.tcsbank.ru/superset/dashboard/46771/?native_filters_key=i_cpHlkPJC3wQAO8lt2_Tg8N-LHsXqmC68he0NAQEyNRwaKHgbBgPwIpTLJmR6wH </t>
  </si>
  <si>
    <t>см текущие данные Селлер</t>
  </si>
  <si>
    <t>сегменты селлеров SE</t>
  </si>
  <si>
    <t>Саша: SE до 100 млн годового оборота, ME 100млн-1млрд, LE &gt;1млрд</t>
  </si>
  <si>
    <t>Карина: s до 120 млн в год, m до 16 млрд, по le нет верхнего порога</t>
  </si>
  <si>
    <t>S - до 100 тыс, Core - 2 млн, M больше 2 млн</t>
  </si>
  <si>
    <t xml:space="preserve">t_segment </t>
  </si>
  <si>
    <t>по выплатам</t>
  </si>
  <si>
    <r>
      <t>receipt_seller_segment</t>
    </r>
    <r>
      <rPr>
        <sz val="15"/>
        <color rgb="FF3F4350"/>
        <rFont val="Arial"/>
        <family val="2"/>
      </rPr>
      <t xml:space="preserve"> </t>
    </r>
  </si>
  <si>
    <t>по внешним чековым данным</t>
  </si>
  <si>
    <t>mnpl_segment</t>
  </si>
  <si>
    <t>https://proteus.tcsbank.ru/superset/dashboard/35207/?native_filters_key=aLN1Xx1yD5vdgsrx8uoA0pvrJEUqFxG78QxXMsGytEGq4tZDfgeCUsezc9HMrNwl</t>
  </si>
  <si>
    <t>Отчет по базе селлеров</t>
  </si>
  <si>
    <t>маниплэйс, старый источник внешних данных по оборотам, данные получались парсингом, невалиден начиная с 2025-09-01</t>
  </si>
  <si>
    <t>по чекам (апр 26)</t>
  </si>
  <si>
    <t>Unk</t>
  </si>
  <si>
    <t>Карина в целом опредялеят?</t>
  </si>
  <si>
    <t>Карина?</t>
  </si>
  <si>
    <t>Все сегменты</t>
  </si>
  <si>
    <t>Сегмент 3. Спящие клиенты в Т (нет транзакций по РКО)</t>
  </si>
  <si>
    <t>Сегмент 4. Клиенты без РКО в Т - Рынок</t>
  </si>
  <si>
    <t>Сегмент 1.  Активные клиенты в Т с выплатами от МП. 1 приоритет</t>
  </si>
  <si>
    <t xml:space="preserve">Активация триала </t>
  </si>
  <si>
    <t>Воронка</t>
  </si>
  <si>
    <t>А. Гипотеза. Digital канал + Биллинг Т</t>
  </si>
  <si>
    <t>B. Гипотеза. Sales канал Т + Биллинг Т</t>
  </si>
  <si>
    <t>С. Гипотеза. Sales канал MPS + Биллинг Т</t>
  </si>
  <si>
    <t>D. Гипотеза. Sales канал MPS + Биллинг MPS</t>
  </si>
  <si>
    <t>E. Гипотеза. Digital +  Sales канал MPS + Биллинг Т</t>
  </si>
  <si>
    <t>F. Гипотеза. Digital +  Sales канал Т + Биллинг Т</t>
  </si>
  <si>
    <t>База селлеров</t>
  </si>
  <si>
    <t>TO BE - убрать пересечение баз с MPS и Точкой</t>
  </si>
  <si>
    <t>Базовый</t>
  </si>
  <si>
    <t>Бизнес</t>
  </si>
  <si>
    <t>Корпоративный</t>
  </si>
  <si>
    <t>Ср доход на 1 клиента по банку - от других продуктов Банка</t>
  </si>
  <si>
    <t>PV</t>
  </si>
  <si>
    <t>NPV</t>
  </si>
  <si>
    <t xml:space="preserve">Сегмент 1.  Активные клиенты в Т с выплатами от МП. </t>
  </si>
  <si>
    <t xml:space="preserve">Сегмент 2. Активные клиенты в Т., но  без выплат от МП </t>
  </si>
  <si>
    <t>Сегмент 2. Активные клиенты в Т, но  без выплат от МП на РКО</t>
  </si>
  <si>
    <t>Сегмент 2. Активные клиенты в Т., но  без выплат от МП на РКО</t>
  </si>
  <si>
    <t>Оффер демо встречи</t>
  </si>
  <si>
    <t>Согласились на демо встречу</t>
  </si>
  <si>
    <t>Демо встреча состоялась</t>
  </si>
  <si>
    <t>доля Хантеры-40%, ОТП - 60%, Самоходы - Unk</t>
  </si>
  <si>
    <t>Триала выдан</t>
  </si>
  <si>
    <t>Лиды (заявка на сайте MPS/ первое посещение Селлера)</t>
  </si>
  <si>
    <t xml:space="preserve">Оффер триала </t>
  </si>
  <si>
    <t>Дозвон sales (продажа без демо)</t>
  </si>
  <si>
    <t>Допродажа платного тарифа</t>
  </si>
  <si>
    <t>Комментарий к воронке</t>
  </si>
  <si>
    <t>Из них: горячие</t>
  </si>
  <si>
    <t>Из них: заинтересованные</t>
  </si>
  <si>
    <t>40% соглашаются на встречу = Хантеры, 60% не соглашаются = ОТП</t>
  </si>
  <si>
    <t>Стоимость тарифов MPStats</t>
  </si>
  <si>
    <t>Ср чек первой покупки</t>
  </si>
  <si>
    <t>оптимистично</t>
  </si>
  <si>
    <t>в основном покупка тарифа на 3/6 мес</t>
  </si>
  <si>
    <t>10 + млн</t>
  </si>
  <si>
    <t>LTV</t>
  </si>
  <si>
    <t>Сегмент по обороту</t>
  </si>
  <si>
    <t>1-10 млн</t>
  </si>
  <si>
    <t>менее 1 млн</t>
  </si>
  <si>
    <t>LTV по сегментам по оборотам селеров</t>
  </si>
  <si>
    <t>Ср время от лида до первой покупки</t>
  </si>
  <si>
    <t>AS IS (скидка 50%)</t>
  </si>
  <si>
    <t>TO BE (после согласования с юристами и налоговиками)</t>
  </si>
  <si>
    <t>реалистчно - гипотеза</t>
  </si>
  <si>
    <t>Стоимость 1 дня триала MPStats</t>
  </si>
  <si>
    <t>Сегмент по статусу активности</t>
  </si>
  <si>
    <t>в нашем отчете Селлер  - по чековым данным</t>
  </si>
  <si>
    <t>Квалификация лидов (звонок КЦ) - ЦА</t>
  </si>
  <si>
    <t xml:space="preserve">Mpstats все лиды   </t>
  </si>
  <si>
    <t>Хантеры (демо)</t>
  </si>
  <si>
    <t>ОТП (звонок, без демо)</t>
  </si>
  <si>
    <t>сейчас выдают триал всем автоматом после реги лида</t>
  </si>
  <si>
    <t xml:space="preserve">демо состоялось = 29,8% от квалиф. лидов </t>
  </si>
  <si>
    <t>дозвон = 45,5% от квалиф. лидов . Из них: Горячие  - доля 15,2% (знают про MPStats, высок.  вероятность покупки), Заинтересованные - доля 84,8% (не послали)</t>
  </si>
  <si>
    <t>Хантеры - 0,7% сквозной СR от лидов; ОТП - 0,41% сквозной СR от лидов или 6,85% от звонка  (горячие 34% - от звонка, заинтересован - 2% от звонка)</t>
  </si>
  <si>
    <t>1 флоу</t>
  </si>
  <si>
    <t>2 флоу</t>
  </si>
  <si>
    <t xml:space="preserve">Mpstats Самоходы (оплатили сами без демо и звонка) </t>
  </si>
  <si>
    <t>Оплата тарифа</t>
  </si>
  <si>
    <t>Общий флоу</t>
  </si>
  <si>
    <t>Выставлние счета</t>
  </si>
  <si>
    <t>Не считают в воронке</t>
  </si>
  <si>
    <t>Дополнительные данные для расчетов</t>
  </si>
  <si>
    <t>Воронка продаж: ОТП и Хантеры — средние CR за фев / апр / май 2026</t>
  </si>
  <si>
    <t>Только CR. Среднее по фев/апр/май (март исключён — акция демо-доступов размыла конверсии; лист сам усредняет эти 3 месяца). Источник цифр — лист «Ретро для июня».</t>
  </si>
  <si>
    <t>ХАНТЕРЫ (встречи)</t>
  </si>
  <si>
    <t>СРЕДНЕЕ (Февраль/Апрель/Май)</t>
  </si>
  <si>
    <t>CR лид → квал</t>
  </si>
  <si>
    <t>13%</t>
  </si>
  <si>
    <t>CR квал → встреча</t>
  </si>
  <si>
    <t>29,8%</t>
  </si>
  <si>
    <t>CR встреча → счёт</t>
  </si>
  <si>
    <t>20%</t>
  </si>
  <si>
    <t>CR счёт → оплата</t>
  </si>
  <si>
    <t>90%</t>
  </si>
  <si>
    <t>Сквозной CR лид → оплата</t>
  </si>
  <si>
    <t>ОТП (звонки) — 2 корзины</t>
  </si>
  <si>
    <t>СРЕДНЕЕ</t>
  </si>
  <si>
    <t>CR квал → звонок</t>
  </si>
  <si>
    <t>45,5%</t>
  </si>
  <si>
    <t xml:space="preserve">  доля → корзина ГОРЯЧИЕ</t>
  </si>
  <si>
    <t>15,2%</t>
  </si>
  <si>
    <t xml:space="preserve">  доля → корзина ЗАИНТЕРЕС.</t>
  </si>
  <si>
    <t>84,8%</t>
  </si>
  <si>
    <t xml:space="preserve">  конв. ГОРЯЧИЕ → оплата</t>
  </si>
  <si>
    <t>34%</t>
  </si>
  <si>
    <t xml:space="preserve">  конв. ЗАИНТЕРЕС → оплата</t>
  </si>
  <si>
    <t>2%</t>
  </si>
  <si>
    <t>CR звонок → оплата (итог 2 корзин)</t>
  </si>
  <si>
    <t>6,85%</t>
  </si>
  <si>
    <t>0,41%</t>
  </si>
  <si>
    <t>Повторная покупка</t>
  </si>
  <si>
    <t>Пересечение селлеров Т-Точка-Mpstats</t>
  </si>
  <si>
    <t>CR первой покупки</t>
  </si>
  <si>
    <t>AS IS - MPStats</t>
  </si>
  <si>
    <t>CR повторной покупки</t>
  </si>
  <si>
    <r>
      <rPr>
        <b/>
        <sz val="14"/>
        <color theme="1"/>
        <rFont val="Calibri"/>
        <family val="2"/>
        <scheme val="minor"/>
      </rPr>
      <t>Селлер Digital канал</t>
    </r>
    <r>
      <rPr>
        <sz val="14"/>
        <color theme="1"/>
        <rFont val="Calibri"/>
        <family val="2"/>
        <scheme val="minor"/>
      </rPr>
      <t xml:space="preserve"> (с апр25 до апр26)</t>
    </r>
  </si>
  <si>
    <r>
      <rPr>
        <b/>
        <sz val="14"/>
        <color theme="1"/>
        <rFont val="Calibri"/>
        <family val="2"/>
        <scheme val="minor"/>
      </rPr>
      <t>Селлер Sales канал</t>
    </r>
    <r>
      <rPr>
        <sz val="14"/>
        <color theme="1"/>
        <rFont val="Calibri"/>
        <family val="2"/>
        <scheme val="minor"/>
      </rPr>
      <t xml:space="preserve"> (ноя 24-мар25)</t>
    </r>
  </si>
  <si>
    <t>79- с выплатами от МП на РКО, 33- по внешним данным без выплат на РКО</t>
  </si>
  <si>
    <t>Лиды (первое посещение Селлера)</t>
  </si>
  <si>
    <t xml:space="preserve">9200 - MAU, из них селлеров - 5400, первые посещения селлеров - 1300. </t>
  </si>
  <si>
    <t>Комментарий</t>
  </si>
  <si>
    <t>триал доступен всем</t>
  </si>
  <si>
    <t>Оффер триала</t>
  </si>
  <si>
    <t>Триал активирован</t>
  </si>
  <si>
    <t>нет четких криериев активации тариал, но модно посмотрать факт ЦД во время триала</t>
  </si>
  <si>
    <t>CR в покупку тарифов</t>
  </si>
  <si>
    <t>фин аналитика/ отзывы 3000 р</t>
  </si>
  <si>
    <t>ИУ месячный М тариф 3000 р</t>
  </si>
  <si>
    <t>М тариф  10000 р - до сент 25  (после только ИУ 3000)</t>
  </si>
  <si>
    <t>Ср срок жизни клиента/ретеншн подписки</t>
  </si>
  <si>
    <t>CR от лидов</t>
  </si>
  <si>
    <t>Повторные покупки</t>
  </si>
  <si>
    <t>Оплата тарифа всего</t>
  </si>
  <si>
    <t>Гранулярность</t>
  </si>
  <si>
    <t>CR API</t>
  </si>
  <si>
    <t>CR Активация</t>
  </si>
  <si>
    <t>CR Налоги</t>
  </si>
  <si>
    <t>CR Себестоимость</t>
  </si>
  <si>
    <t>API</t>
  </si>
  <si>
    <t>Активации</t>
  </si>
  <si>
    <t>Налоги</t>
  </si>
  <si>
    <t>Реги</t>
  </si>
  <si>
    <t>Себестоимость</t>
  </si>
  <si>
    <t>Активация</t>
  </si>
  <si>
    <t>Ср за янв-май 2026 по отчету - 15,1% (317)</t>
  </si>
  <si>
    <r>
      <t xml:space="preserve">900 - первые оставления АПИ. </t>
    </r>
    <r>
      <rPr>
        <sz val="14"/>
        <color rgb="FFC00000"/>
        <rFont val="Calibri (Основной текст)"/>
        <charset val="204"/>
      </rPr>
      <t>Почему высокий CR АПИ?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 (Основной текст)"/>
        <charset val="204"/>
      </rPr>
      <t xml:space="preserve">Ср за янв-май 2026 по отчету - </t>
    </r>
    <r>
      <rPr>
        <sz val="14"/>
        <color theme="1"/>
        <rFont val="Calibri"/>
        <family val="2"/>
        <scheme val="minor"/>
      </rPr>
      <t>14,1% (302)</t>
    </r>
  </si>
  <si>
    <t>Активация в Селлере</t>
  </si>
  <si>
    <t>TO BE - Тбанк (скидка)</t>
  </si>
  <si>
    <t>31000 (оптимистично), скорее меньше - 85%</t>
  </si>
  <si>
    <t xml:space="preserve">Ср расход на 1 продажу </t>
  </si>
  <si>
    <t>На привлечение</t>
  </si>
  <si>
    <t>Sales - демо</t>
  </si>
  <si>
    <t>MPStats</t>
  </si>
  <si>
    <t>Sales - звонок</t>
  </si>
  <si>
    <t>Т-банк</t>
  </si>
  <si>
    <t>Сегмент 1+ Сегмент 2</t>
  </si>
  <si>
    <t>Всего</t>
  </si>
  <si>
    <r>
      <t xml:space="preserve">покупка в рамках окончания триала -110. </t>
    </r>
    <r>
      <rPr>
        <sz val="14"/>
        <color rgb="FFC00000"/>
        <rFont val="Calibri (Основной текст)"/>
        <charset val="204"/>
      </rPr>
      <t>Это корректные конверсии?</t>
    </r>
  </si>
  <si>
    <r>
      <t xml:space="preserve">покупка без триала /  по окончанию триала отключили и купили позже -100. </t>
    </r>
    <r>
      <rPr>
        <sz val="14"/>
        <color rgb="FFC00000"/>
        <rFont val="Calibri (Основной текст)"/>
        <charset val="204"/>
      </rPr>
      <t>Это корректные конверсии?</t>
    </r>
  </si>
  <si>
    <r>
      <rPr>
        <sz val="14"/>
        <color rgb="FFC00000"/>
        <rFont val="Calibri (Основной текст)"/>
        <charset val="204"/>
      </rPr>
      <t>почему больше чем первичные покупки?</t>
    </r>
    <r>
      <rPr>
        <sz val="14"/>
        <color rgb="FF0070C0"/>
        <rFont val="Calibri"/>
        <family val="2"/>
        <scheme val="minor"/>
      </rPr>
      <t xml:space="preserve"> Тк это усредненные</t>
    </r>
  </si>
  <si>
    <t>Переменные</t>
  </si>
  <si>
    <t>Расходы на 1 клиента - привлечение</t>
  </si>
  <si>
    <t>Расходы на 1 клиента - содержание (триал, саппорт)</t>
  </si>
  <si>
    <t>но вероятно это недозревшие данные - тк апр 26</t>
  </si>
  <si>
    <t>ср чек по сегментам</t>
  </si>
  <si>
    <t>LTV по сегментам</t>
  </si>
  <si>
    <t>Расход на 1 клиента</t>
  </si>
  <si>
    <t>Привлечение (sales)</t>
  </si>
  <si>
    <t>Содержание (триал, поддрежка)</t>
  </si>
  <si>
    <t>Ср чек первой покупки по сегментам</t>
  </si>
  <si>
    <t>Дополнительные данные для расчета</t>
  </si>
  <si>
    <t>LTV (тарифы)</t>
  </si>
  <si>
    <t>LTV (другие продукты Банка)</t>
  </si>
  <si>
    <t>Оплата тарифа первая покупка</t>
  </si>
  <si>
    <t>Доход от первых покупок</t>
  </si>
  <si>
    <t xml:space="preserve">Распределение кол-ва селлеров по сегментам по оборотам </t>
  </si>
  <si>
    <t>LTV MPStats (за май 2025-апрель 2026)</t>
  </si>
  <si>
    <t>+50% оплат c картотек</t>
  </si>
  <si>
    <t>Распределение кол-ва селлеров по сегментам по оборотам в Т-Банке</t>
  </si>
  <si>
    <t xml:space="preserve">но вероятно это не дозревшие данные </t>
  </si>
  <si>
    <t>LTV на базе MPStats (за май 25-апр 26) - 50%</t>
  </si>
  <si>
    <t>Воронка DIGITAL</t>
  </si>
  <si>
    <t>Точно ли конверсии коррекные?</t>
  </si>
  <si>
    <t>https://jira.tcsbank.ru/browse/ECA-2046</t>
  </si>
  <si>
    <t>Воронка SALES</t>
  </si>
  <si>
    <t>Когда сможем построить?</t>
  </si>
  <si>
    <t>MPST</t>
  </si>
  <si>
    <t>LTV по сегментам - дозревший?</t>
  </si>
  <si>
    <t>Расходы на привлечение Т-Банк</t>
  </si>
  <si>
    <t>какой базе продаем, какие сегменты - какие тарифы (за вычетом пересечений баз: есть тариф - исключаем, есть апи и нет тарифа - низкая вреоятность покупки)</t>
  </si>
  <si>
    <t>Ср чек первой покупки - есть общий без сегментации</t>
  </si>
  <si>
    <t xml:space="preserve">Ср чек первой покупки (по сегментам) и Ср время до первой покупки - какой доход получим за X времени? </t>
  </si>
  <si>
    <t>Ретеншн (по сегментам) - за какое время получим доход?</t>
  </si>
  <si>
    <t>Расходы на привлечение (sales, КЦ)</t>
  </si>
  <si>
    <t>Расходы на содержание (триал, поддержка)</t>
  </si>
  <si>
    <t>Пересечение баз - какой базе продаем, какие сегменты - какие тарифы (за вычетом пересечений баз: есть тариф - исключаем, есть апи и нет тарифа - низкая вреоятность покупки)</t>
  </si>
  <si>
    <t>Саша</t>
  </si>
  <si>
    <t>MPS</t>
  </si>
  <si>
    <t>Карина</t>
  </si>
  <si>
    <t>Карина/ MPS</t>
  </si>
  <si>
    <t>Триал - сейчас доступен без АПИ?</t>
  </si>
  <si>
    <t xml:space="preserve">средний срок жизни  платного клиента , ltv, </t>
  </si>
  <si>
    <t>факт прохождения триала - можно глянуть сколько % совершают ЦД в рамках триала (и мб ограничить платными фичами) - влияет на расходы</t>
  </si>
  <si>
    <t>Юля</t>
  </si>
  <si>
    <t>Сколько дают картотеки? Гипотеза</t>
  </si>
  <si>
    <t>Юля/Саша</t>
  </si>
  <si>
    <t xml:space="preserve">В воронке имеет сымсл оставлять сначала АПИ потом триал иначе будут оставлять в МПСтатс, наша база для  для Селелр и ОБ не будет пополняться как раньше </t>
  </si>
  <si>
    <t>Флоу</t>
  </si>
  <si>
    <t xml:space="preserve">https://time.tbank.ru/tinkoff/pl/18hcpdo657s35g9799tcxths91 </t>
  </si>
  <si>
    <t>Измененеи мтерик</t>
  </si>
  <si>
    <t>Навигация - подключился? Видел?</t>
  </si>
  <si>
    <t>Онбординг</t>
  </si>
  <si>
    <t>Маркетинг</t>
  </si>
  <si>
    <t>Нина</t>
  </si>
  <si>
    <t>Воронка от 1го этапа  - лиды</t>
  </si>
  <si>
    <t>Воронка - от квалиф лида</t>
  </si>
  <si>
    <t>большая часть продаж - через счет, но есть и для ФЛ способы оплаты. Хантеры: 20% от демо - выставление счета</t>
  </si>
  <si>
    <t>Карина обещала данные:</t>
  </si>
  <si>
    <t>MPS?</t>
  </si>
  <si>
    <t>Через какое время</t>
  </si>
  <si>
    <t>Как посчитать конверсию MPS сквозную от квалив лидов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</si>
</sst>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33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2"/>
      <color rgb="FFFF000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5"/>
      <color rgb="FF3F4350"/>
      <name val="Arial"/>
      <family val="2"/>
    </font>
    <font>
      <b/>
      <sz val="15"/>
      <color rgb="FF3F4350"/>
      <name val="Arial"/>
      <family val="2"/>
    </font>
    <font>
      <sz val="12"/>
      <color theme="1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4"/>
      <color rgb="FFC00000"/>
      <name val="Calibri"/>
      <family val="2"/>
      <scheme val="minor"/>
    </font>
    <font>
      <sz val="14"/>
      <color rgb="FFC00000"/>
      <name val="Calibri (Основной текст)"/>
      <charset val="204"/>
    </font>
    <font>
      <b/>
      <sz val="11"/>
      <color theme="1"/>
      <name val="Calibri"/>
      <family val="2"/>
      <scheme val="minor"/>
    </font>
    <font>
      <sz val="14"/>
      <color theme="1"/>
      <name val="Calibri (Основной текст)"/>
      <charset val="204"/>
    </font>
    <font>
      <sz val="14"/>
      <color rgb="FF0070C0"/>
      <name val="Calibri"/>
      <family val="2"/>
      <scheme val="minor"/>
    </font>
    <font>
      <sz val="14"/>
      <color rgb="FF0070C0"/>
      <name val="Calibri"/>
      <family val="2"/>
      <charset val="204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172B4D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BF50"/>
        <bgColor rgb="FF17BF50"/>
      </patternFill>
    </fill>
    <fill>
      <patternFill patternType="solid">
        <fgColor rgb="FFEAF7EE"/>
        <bgColor rgb="FFEAF7EE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20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/>
    <xf numFmtId="0" fontId="5" fillId="0" borderId="0" xfId="0" applyFont="1"/>
    <xf numFmtId="0" fontId="0" fillId="0" borderId="0" xfId="0" applyAlignment="1">
      <alignment wrapText="1"/>
    </xf>
    <xf numFmtId="0" fontId="6" fillId="0" borderId="0" xfId="1"/>
    <xf numFmtId="0" fontId="7" fillId="0" borderId="0" xfId="0" applyFont="1"/>
    <xf numFmtId="0" fontId="7" fillId="0" borderId="0" xfId="0" applyFont="1" applyAlignment="1">
      <alignment wrapText="1"/>
    </xf>
    <xf numFmtId="0" fontId="0" fillId="0" borderId="1" xfId="0" applyBorder="1"/>
    <xf numFmtId="0" fontId="9" fillId="0" borderId="0" xfId="0" applyFont="1"/>
    <xf numFmtId="0" fontId="7" fillId="4" borderId="0" xfId="0" applyFont="1" applyFill="1"/>
    <xf numFmtId="0" fontId="0" fillId="4" borderId="0" xfId="0" applyFill="1"/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0" borderId="0" xfId="0" applyFont="1"/>
    <xf numFmtId="0" fontId="1" fillId="0" borderId="7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/>
    <xf numFmtId="0" fontId="11" fillId="0" borderId="0" xfId="0" applyFont="1" applyAlignment="1">
      <alignment vertical="top" wrapText="1"/>
    </xf>
    <xf numFmtId="0" fontId="2" fillId="0" borderId="0" xfId="0" applyFont="1"/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3" borderId="5" xfId="0" applyFont="1" applyFill="1" applyBorder="1" applyAlignment="1">
      <alignment vertical="top" wrapText="1"/>
    </xf>
    <xf numFmtId="0" fontId="12" fillId="4" borderId="1" xfId="0" applyFont="1" applyFill="1" applyBorder="1"/>
    <xf numFmtId="0" fontId="1" fillId="7" borderId="0" xfId="0" applyFont="1" applyFill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2" fillId="8" borderId="0" xfId="0" applyFont="1" applyFill="1"/>
    <xf numFmtId="0" fontId="1" fillId="8" borderId="0" xfId="0" applyFont="1" applyFill="1"/>
    <xf numFmtId="0" fontId="1" fillId="0" borderId="9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2" fillId="3" borderId="1" xfId="0" applyFont="1" applyFill="1" applyBorder="1"/>
    <xf numFmtId="0" fontId="2" fillId="2" borderId="0" xfId="0" applyFont="1" applyFill="1"/>
    <xf numFmtId="0" fontId="1" fillId="4" borderId="1" xfId="0" applyFont="1" applyFill="1" applyBorder="1"/>
    <xf numFmtId="0" fontId="1" fillId="0" borderId="9" xfId="0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/>
    </xf>
    <xf numFmtId="164" fontId="1" fillId="0" borderId="0" xfId="2" applyNumberFormat="1" applyFont="1" applyFill="1" applyBorder="1" applyAlignment="1">
      <alignment horizontal="right" vertical="top"/>
    </xf>
    <xf numFmtId="0" fontId="12" fillId="0" borderId="9" xfId="0" applyFont="1" applyBorder="1" applyAlignment="1">
      <alignment horizontal="right" vertical="top" wrapText="1"/>
    </xf>
    <xf numFmtId="0" fontId="1" fillId="0" borderId="13" xfId="0" applyFont="1" applyBorder="1" applyAlignment="1">
      <alignment vertical="top" wrapText="1"/>
    </xf>
    <xf numFmtId="164" fontId="1" fillId="0" borderId="0" xfId="2" applyNumberFormat="1" applyFont="1" applyFill="1" applyBorder="1" applyAlignment="1">
      <alignment horizontal="right" vertical="top" wrapText="1"/>
    </xf>
    <xf numFmtId="0" fontId="12" fillId="0" borderId="10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3" xfId="0" applyFont="1" applyBorder="1" applyAlignment="1">
      <alignment vertical="top"/>
    </xf>
    <xf numFmtId="164" fontId="12" fillId="0" borderId="0" xfId="2" applyNumberFormat="1" applyFont="1" applyFill="1" applyBorder="1" applyAlignment="1">
      <alignment horizontal="right" vertical="top" wrapText="1"/>
    </xf>
    <xf numFmtId="0" fontId="1" fillId="5" borderId="9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6" borderId="9" xfId="0" applyFont="1" applyFill="1" applyBorder="1" applyAlignment="1">
      <alignment vertical="top"/>
    </xf>
    <xf numFmtId="0" fontId="1" fillId="3" borderId="9" xfId="0" applyFont="1" applyFill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16" fillId="9" borderId="15" xfId="0" applyFont="1" applyFill="1" applyBorder="1" applyAlignment="1">
      <alignment horizontal="left" vertical="center"/>
    </xf>
    <xf numFmtId="0" fontId="16" fillId="9" borderId="1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10" borderId="15" xfId="0" applyFont="1" applyFill="1" applyBorder="1" applyAlignment="1">
      <alignment horizontal="left" vertical="center"/>
    </xf>
    <xf numFmtId="10" fontId="17" fillId="10" borderId="1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10" borderId="15" xfId="0" applyFill="1" applyBorder="1" applyAlignment="1">
      <alignment horizontal="left" vertical="center"/>
    </xf>
    <xf numFmtId="0" fontId="0" fillId="10" borderId="15" xfId="0" applyFill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right" vertical="top"/>
    </xf>
    <xf numFmtId="9" fontId="12" fillId="0" borderId="9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vertical="top"/>
    </xf>
    <xf numFmtId="9" fontId="1" fillId="0" borderId="0" xfId="2" applyFont="1" applyAlignment="1">
      <alignment vertical="top" wrapText="1"/>
    </xf>
    <xf numFmtId="0" fontId="2" fillId="0" borderId="0" xfId="0" applyFont="1" applyAlignment="1">
      <alignment vertical="top"/>
    </xf>
    <xf numFmtId="0" fontId="12" fillId="3" borderId="0" xfId="0" applyFont="1" applyFill="1" applyAlignment="1">
      <alignment vertical="top"/>
    </xf>
    <xf numFmtId="164" fontId="1" fillId="0" borderId="10" xfId="2" applyNumberFormat="1" applyFont="1" applyBorder="1" applyAlignment="1">
      <alignment vertical="top"/>
    </xf>
    <xf numFmtId="0" fontId="18" fillId="0" borderId="9" xfId="0" applyFont="1" applyBorder="1" applyAlignment="1">
      <alignment vertical="top"/>
    </xf>
    <xf numFmtId="9" fontId="18" fillId="0" borderId="10" xfId="2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8" fillId="0" borderId="8" xfId="0" applyFont="1" applyBorder="1" applyAlignment="1">
      <alignment vertical="top" wrapText="1"/>
    </xf>
    <xf numFmtId="9" fontId="1" fillId="0" borderId="9" xfId="2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4" xfId="0" applyFont="1" applyBorder="1" applyAlignment="1">
      <alignment vertical="top" wrapText="1"/>
    </xf>
    <xf numFmtId="0" fontId="2" fillId="3" borderId="1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20" fillId="0" borderId="1" xfId="0" applyFont="1" applyBorder="1" applyAlignment="1">
      <alignment horizontal="center" vertical="top"/>
    </xf>
    <xf numFmtId="165" fontId="0" fillId="0" borderId="0" xfId="0" applyNumberFormat="1"/>
    <xf numFmtId="0" fontId="20" fillId="11" borderId="1" xfId="0" applyFont="1" applyFill="1" applyBorder="1" applyAlignment="1">
      <alignment horizontal="center" vertical="top"/>
    </xf>
    <xf numFmtId="165" fontId="0" fillId="11" borderId="0" xfId="0" applyNumberFormat="1" applyFill="1"/>
    <xf numFmtId="0" fontId="0" fillId="11" borderId="0" xfId="0" applyFill="1"/>
    <xf numFmtId="164" fontId="0" fillId="11" borderId="0" xfId="2" applyNumberFormat="1" applyFont="1" applyFill="1"/>
    <xf numFmtId="1" fontId="0" fillId="11" borderId="0" xfId="2" applyNumberFormat="1" applyFont="1" applyFill="1"/>
    <xf numFmtId="1" fontId="1" fillId="0" borderId="0" xfId="0" applyNumberFormat="1" applyFont="1" applyAlignment="1">
      <alignment vertical="top" wrapText="1"/>
    </xf>
    <xf numFmtId="0" fontId="1" fillId="6" borderId="1" xfId="0" applyFont="1" applyFill="1" applyBorder="1"/>
    <xf numFmtId="164" fontId="1" fillId="0" borderId="0" xfId="2" applyNumberFormat="1" applyFont="1"/>
    <xf numFmtId="164" fontId="1" fillId="0" borderId="1" xfId="2" applyNumberFormat="1" applyFont="1" applyBorder="1"/>
    <xf numFmtId="164" fontId="18" fillId="0" borderId="10" xfId="2" applyNumberFormat="1" applyFont="1" applyFill="1" applyBorder="1" applyAlignment="1">
      <alignment vertical="top" wrapText="1"/>
    </xf>
    <xf numFmtId="0" fontId="22" fillId="0" borderId="6" xfId="0" applyFont="1" applyBorder="1" applyAlignment="1">
      <alignment vertical="top" wrapText="1"/>
    </xf>
    <xf numFmtId="0" fontId="23" fillId="0" borderId="8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1" fillId="4" borderId="0" xfId="0" applyFont="1" applyFill="1" applyAlignment="1">
      <alignment vertical="top" wrapText="1"/>
    </xf>
    <xf numFmtId="0" fontId="18" fillId="0" borderId="0" xfId="0" applyFont="1"/>
    <xf numFmtId="164" fontId="1" fillId="0" borderId="0" xfId="2" applyNumberFormat="1" applyFont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0" fillId="7" borderId="0" xfId="0" applyFill="1"/>
    <xf numFmtId="164" fontId="1" fillId="0" borderId="0" xfId="0" applyNumberFormat="1" applyFont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12" borderId="16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12" borderId="1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4" xfId="0" applyBorder="1"/>
    <xf numFmtId="0" fontId="1" fillId="5" borderId="9" xfId="0" applyFont="1" applyFill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0" fontId="1" fillId="4" borderId="9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 wrapText="1"/>
    </xf>
    <xf numFmtId="0" fontId="1" fillId="0" borderId="7" xfId="0" quotePrefix="1" applyFont="1" applyBorder="1" applyAlignment="1">
      <alignment vertical="top" wrapText="1"/>
    </xf>
    <xf numFmtId="0" fontId="0" fillId="0" borderId="7" xfId="0" applyBorder="1"/>
    <xf numFmtId="0" fontId="24" fillId="13" borderId="0" xfId="0" applyFont="1" applyFill="1" applyAlignment="1">
      <alignment vertical="top" wrapText="1"/>
    </xf>
    <xf numFmtId="0" fontId="1" fillId="0" borderId="9" xfId="0" applyFont="1" applyBorder="1"/>
    <xf numFmtId="0" fontId="1" fillId="0" borderId="0" xfId="0" quotePrefix="1" applyFont="1" applyAlignment="1">
      <alignment vertical="top" wrapText="1"/>
    </xf>
    <xf numFmtId="164" fontId="1" fillId="3" borderId="1" xfId="2" applyNumberFormat="1" applyFont="1" applyFill="1" applyBorder="1"/>
    <xf numFmtId="0" fontId="1" fillId="14" borderId="0" xfId="0" applyFont="1" applyFill="1"/>
    <xf numFmtId="0" fontId="25" fillId="14" borderId="0" xfId="0" applyFont="1" applyFill="1" applyAlignment="1">
      <alignment vertical="top"/>
    </xf>
    <xf numFmtId="0" fontId="2" fillId="14" borderId="0" xfId="0" applyFont="1" applyFill="1"/>
    <xf numFmtId="0" fontId="18" fillId="0" borderId="0" xfId="0" applyFont="1" applyAlignment="1">
      <alignment vertical="top" wrapText="1"/>
    </xf>
    <xf numFmtId="1" fontId="1" fillId="7" borderId="0" xfId="0" applyNumberFormat="1" applyFont="1" applyFill="1" applyAlignment="1">
      <alignment vertical="top" wrapText="1"/>
    </xf>
    <xf numFmtId="0" fontId="2" fillId="0" borderId="17" xfId="0" applyFont="1" applyBorder="1" applyAlignment="1">
      <alignment vertical="top"/>
    </xf>
    <xf numFmtId="0" fontId="1" fillId="0" borderId="18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1" fillId="12" borderId="20" xfId="0" applyFont="1" applyFill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7" borderId="23" xfId="0" applyFont="1" applyFill="1" applyBorder="1" applyAlignment="1">
      <alignment vertical="top" wrapText="1"/>
    </xf>
    <xf numFmtId="0" fontId="1" fillId="0" borderId="24" xfId="0" quotePrefix="1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  <xf numFmtId="0" fontId="1" fillId="0" borderId="22" xfId="0" applyFont="1" applyBorder="1"/>
    <xf numFmtId="0" fontId="0" fillId="0" borderId="25" xfId="0" applyBorder="1"/>
    <xf numFmtId="0" fontId="2" fillId="6" borderId="17" xfId="0" applyFont="1" applyFill="1" applyBorder="1" applyAlignment="1">
      <alignment vertical="top" wrapText="1"/>
    </xf>
    <xf numFmtId="0" fontId="0" fillId="0" borderId="18" xfId="0" applyBorder="1"/>
    <xf numFmtId="0" fontId="1" fillId="0" borderId="24" xfId="0" applyFont="1" applyBorder="1" applyAlignment="1">
      <alignment vertical="top" wrapText="1"/>
    </xf>
    <xf numFmtId="0" fontId="1" fillId="3" borderId="25" xfId="0" applyFont="1" applyFill="1" applyBorder="1" applyAlignment="1">
      <alignment vertical="top" wrapText="1"/>
    </xf>
    <xf numFmtId="0" fontId="24" fillId="13" borderId="25" xfId="0" applyFont="1" applyFill="1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2" fillId="6" borderId="22" xfId="0" applyFont="1" applyFill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6" fillId="5" borderId="0" xfId="0" applyFont="1" applyFill="1" applyAlignment="1">
      <alignment vertical="top"/>
    </xf>
    <xf numFmtId="0" fontId="27" fillId="0" borderId="0" xfId="1" applyFont="1" applyAlignment="1">
      <alignment vertical="top"/>
    </xf>
    <xf numFmtId="0" fontId="28" fillId="0" borderId="0" xfId="0" applyFont="1" applyAlignment="1">
      <alignment vertical="top" wrapText="1"/>
    </xf>
    <xf numFmtId="0" fontId="26" fillId="3" borderId="0" xfId="0" applyFont="1" applyFill="1" applyAlignment="1">
      <alignment vertical="top"/>
    </xf>
    <xf numFmtId="0" fontId="26" fillId="4" borderId="0" xfId="0" applyFont="1" applyFill="1" applyAlignment="1">
      <alignment vertical="top"/>
    </xf>
    <xf numFmtId="0" fontId="29" fillId="0" borderId="0" xfId="0" applyFont="1" applyAlignment="1">
      <alignment vertical="top" wrapText="1"/>
    </xf>
    <xf numFmtId="0" fontId="26" fillId="6" borderId="0" xfId="0" applyFont="1" applyFill="1" applyAlignment="1">
      <alignment vertical="top"/>
    </xf>
    <xf numFmtId="0" fontId="30" fillId="0" borderId="0" xfId="0" applyFont="1" applyAlignment="1">
      <alignment vertical="top" wrapText="1"/>
    </xf>
    <xf numFmtId="0" fontId="31" fillId="0" borderId="0" xfId="0" applyFont="1" applyAlignment="1">
      <alignment vertical="top" wrapText="1"/>
    </xf>
    <xf numFmtId="0" fontId="6" fillId="0" borderId="0" xfId="1" applyAlignment="1">
      <alignment vertical="top" wrapText="1"/>
    </xf>
    <xf numFmtId="0" fontId="2" fillId="5" borderId="9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9" fontId="1" fillId="0" borderId="9" xfId="0" applyNumberFormat="1" applyFont="1" applyBorder="1" applyAlignment="1">
      <alignment horizontal="right" vertical="top"/>
    </xf>
    <xf numFmtId="164" fontId="1" fillId="0" borderId="9" xfId="2" applyNumberFormat="1" applyFont="1" applyFill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 wrapText="1"/>
    </xf>
    <xf numFmtId="164" fontId="12" fillId="0" borderId="9" xfId="0" applyNumberFormat="1" applyFont="1" applyBorder="1" applyAlignment="1">
      <alignment horizontal="right" vertical="top" wrapText="1"/>
    </xf>
    <xf numFmtId="0" fontId="12" fillId="4" borderId="9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4" fillId="0" borderId="0" xfId="0" applyFont="1"/>
    <xf numFmtId="0" fontId="0" fillId="0" borderId="0" xfId="0"/>
    <xf numFmtId="0" fontId="15" fillId="0" borderId="0" xfId="0" applyFont="1" applyAlignment="1">
      <alignment wrapText="1"/>
    </xf>
    <xf numFmtId="10" fontId="1" fillId="0" borderId="9" xfId="0" applyNumberFormat="1" applyFont="1" applyFill="1" applyBorder="1" applyAlignment="1">
      <alignment horizontal="right" vertical="top" wrapText="1"/>
    </xf>
    <xf numFmtId="0" fontId="2" fillId="6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9" fontId="12" fillId="0" borderId="0" xfId="0" applyNumberFormat="1" applyFont="1" applyBorder="1" applyAlignment="1">
      <alignment horizontal="right" vertical="top" wrapText="1"/>
    </xf>
    <xf numFmtId="164" fontId="1" fillId="0" borderId="0" xfId="0" applyNumberFormat="1" applyFont="1" applyBorder="1" applyAlignment="1">
      <alignment horizontal="right" vertical="top"/>
    </xf>
    <xf numFmtId="0" fontId="12" fillId="0" borderId="0" xfId="0" applyFont="1" applyBorder="1" applyAlignment="1">
      <alignment horizontal="right" vertical="top" wrapText="1"/>
    </xf>
    <xf numFmtId="164" fontId="1" fillId="0" borderId="0" xfId="0" applyNumberFormat="1" applyFont="1" applyBorder="1" applyAlignment="1">
      <alignment horizontal="right" vertical="top" wrapText="1"/>
    </xf>
    <xf numFmtId="9" fontId="1" fillId="0" borderId="0" xfId="0" applyNumberFormat="1" applyFont="1" applyBorder="1" applyAlignment="1">
      <alignment horizontal="right" vertical="top" wrapText="1"/>
    </xf>
    <xf numFmtId="0" fontId="1" fillId="0" borderId="0" xfId="0" applyFont="1" applyBorder="1" applyAlignment="1">
      <alignment horizontal="right" vertical="top" wrapText="1"/>
    </xf>
    <xf numFmtId="164" fontId="1" fillId="0" borderId="0" xfId="0" applyNumberFormat="1" applyFont="1" applyFill="1" applyBorder="1" applyAlignment="1">
      <alignment horizontal="right" vertical="top" wrapText="1"/>
    </xf>
    <xf numFmtId="10" fontId="1" fillId="0" borderId="0" xfId="0" applyNumberFormat="1" applyFont="1" applyBorder="1" applyAlignment="1">
      <alignment horizontal="right" vertical="top" wrapText="1"/>
    </xf>
    <xf numFmtId="0" fontId="1" fillId="0" borderId="0" xfId="0" applyFont="1" applyBorder="1" applyAlignment="1">
      <alignment vertical="top" wrapText="1"/>
    </xf>
    <xf numFmtId="9" fontId="1" fillId="5" borderId="9" xfId="0" applyNumberFormat="1" applyFont="1" applyFill="1" applyBorder="1" applyAlignment="1">
      <alignment horizontal="right" vertical="top" wrapText="1"/>
    </xf>
    <xf numFmtId="164" fontId="1" fillId="5" borderId="0" xfId="0" applyNumberFormat="1" applyFont="1" applyFill="1" applyBorder="1" applyAlignment="1">
      <alignment horizontal="right" vertical="top" wrapText="1"/>
    </xf>
    <xf numFmtId="164" fontId="1" fillId="5" borderId="0" xfId="2" applyNumberFormat="1" applyFont="1" applyFill="1" applyBorder="1" applyAlignment="1">
      <alignment horizontal="right" vertical="top" wrapText="1"/>
    </xf>
    <xf numFmtId="164" fontId="1" fillId="7" borderId="0" xfId="0" applyNumberFormat="1" applyFont="1" applyFill="1" applyBorder="1" applyAlignment="1">
      <alignment horizontal="right" vertical="top" wrapText="1"/>
    </xf>
    <xf numFmtId="164" fontId="12" fillId="0" borderId="0" xfId="0" applyNumberFormat="1" applyFont="1" applyBorder="1" applyAlignment="1">
      <alignment horizontal="right" vertical="top" wrapText="1"/>
    </xf>
    <xf numFmtId="0" fontId="2" fillId="5" borderId="0" xfId="0" applyFont="1" applyFill="1" applyBorder="1" applyAlignment="1">
      <alignment horizontal="left" vertical="top" wrapText="1"/>
    </xf>
    <xf numFmtId="9" fontId="1" fillId="5" borderId="0" xfId="0" applyNumberFormat="1" applyFont="1" applyFill="1" applyBorder="1" applyAlignment="1">
      <alignment horizontal="right" vertical="top"/>
    </xf>
    <xf numFmtId="9" fontId="1" fillId="0" borderId="0" xfId="0" applyNumberFormat="1" applyFont="1" applyBorder="1" applyAlignment="1">
      <alignment horizontal="right" vertical="top"/>
    </xf>
    <xf numFmtId="0" fontId="12" fillId="4" borderId="0" xfId="0" applyFont="1" applyFill="1" applyBorder="1" applyAlignment="1">
      <alignment horizontal="right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/>
    <xf numFmtId="9" fontId="1" fillId="5" borderId="0" xfId="0" applyNumberFormat="1" applyFont="1" applyFill="1" applyBorder="1" applyAlignment="1">
      <alignment horizontal="right" vertical="top" wrapText="1"/>
    </xf>
    <xf numFmtId="10" fontId="1" fillId="0" borderId="0" xfId="0" applyNumberFormat="1" applyFont="1" applyFill="1" applyBorder="1" applyAlignment="1">
      <alignment horizontal="right" vertical="top" wrapText="1"/>
    </xf>
    <xf numFmtId="164" fontId="12" fillId="0" borderId="10" xfId="0" applyNumberFormat="1" applyFont="1" applyBorder="1" applyAlignment="1">
      <alignment horizontal="right" vertical="top" wrapText="1"/>
    </xf>
    <xf numFmtId="164" fontId="1" fillId="0" borderId="0" xfId="2" applyNumberFormat="1" applyFont="1" applyBorder="1" applyAlignment="1">
      <alignment horizontal="right" vertical="top" wrapText="1"/>
    </xf>
    <xf numFmtId="10" fontId="1" fillId="7" borderId="0" xfId="0" applyNumberFormat="1" applyFont="1" applyFill="1" applyBorder="1" applyAlignment="1">
      <alignment horizontal="right" vertical="top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ime.tbank.ru/tinkoff/pl/18hcpdo657s35g9799tcxths91" TargetMode="External"/><Relationship Id="rId2" Type="http://schemas.openxmlformats.org/officeDocument/2006/relationships/hyperlink" Target="https://jira.tcsbank.ru/browse/ECA-2046" TargetMode="External"/><Relationship Id="rId1" Type="http://schemas.openxmlformats.org/officeDocument/2006/relationships/hyperlink" Target="https://jira.tcsbank.ru/browse/ECA-204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proteus.tcsbank.ru/superset/dashboard/35207/?native_filters_key=aLN1Xx1yD5vdgsrx8uoA0pvrJEUqFxG78QxXMsGytEGq4tZDfgeCUsezc9HMrNwl" TargetMode="External"/><Relationship Id="rId1" Type="http://schemas.openxmlformats.org/officeDocument/2006/relationships/hyperlink" Target="https://proteus.tcsbank.ru/superset/dashboard/35207/?native_filters_key=6UD6_31FByJJBSkeo1OjteN2ZrhDe0UXwiQb27k-OI1_2btiTS-ROCrKRUs0NQ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1C1F-47DE-1144-A843-D31F1564C291}">
  <dimension ref="A1:AK6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3" sqref="A23"/>
    </sheetView>
  </sheetViews>
  <sheetFormatPr baseColWidth="10" defaultRowHeight="19" x14ac:dyDescent="0.2"/>
  <cols>
    <col min="1" max="1" width="48.83203125" style="1" customWidth="1"/>
    <col min="2" max="2" width="21.83203125" style="1" customWidth="1"/>
    <col min="3" max="7" width="17" style="1" customWidth="1"/>
    <col min="8" max="8" width="19.6640625" style="1" customWidth="1"/>
    <col min="9" max="37" width="17" style="1" customWidth="1"/>
  </cols>
  <sheetData>
    <row r="1" spans="1:37" ht="20" thickBot="1" x14ac:dyDescent="0.25"/>
    <row r="2" spans="1:37" x14ac:dyDescent="0.2">
      <c r="B2" s="133" t="s">
        <v>44</v>
      </c>
      <c r="C2" s="134"/>
      <c r="D2" s="135"/>
      <c r="E2" s="135"/>
      <c r="F2" s="135"/>
      <c r="G2" s="136"/>
      <c r="H2" s="105" t="s">
        <v>45</v>
      </c>
      <c r="I2" s="28"/>
      <c r="J2" s="22"/>
      <c r="K2" s="22"/>
      <c r="L2" s="22"/>
      <c r="M2" s="22"/>
      <c r="N2" s="105" t="s">
        <v>46</v>
      </c>
      <c r="O2" s="28"/>
      <c r="P2" s="22"/>
      <c r="Q2" s="22"/>
      <c r="R2" s="22"/>
      <c r="S2" s="22"/>
      <c r="T2" s="24" t="s">
        <v>47</v>
      </c>
      <c r="U2" s="28"/>
      <c r="V2" s="22"/>
      <c r="W2" s="22"/>
      <c r="X2" s="22"/>
      <c r="Y2" s="23"/>
      <c r="Z2" s="105" t="s">
        <v>48</v>
      </c>
      <c r="AA2" s="28"/>
      <c r="AB2" s="22"/>
      <c r="AC2" s="22"/>
      <c r="AD2" s="22"/>
      <c r="AE2" s="23"/>
      <c r="AF2" s="24" t="s">
        <v>49</v>
      </c>
      <c r="AG2" s="28"/>
      <c r="AH2" s="22"/>
      <c r="AI2" s="22"/>
      <c r="AJ2" s="22"/>
      <c r="AK2" s="25"/>
    </row>
    <row r="3" spans="1:37" s="117" customFormat="1" ht="120" x14ac:dyDescent="0.2">
      <c r="A3" s="112" t="s">
        <v>43</v>
      </c>
      <c r="B3" s="137" t="s">
        <v>186</v>
      </c>
      <c r="C3" s="114" t="s">
        <v>41</v>
      </c>
      <c r="D3" s="114" t="s">
        <v>59</v>
      </c>
      <c r="E3" s="114" t="s">
        <v>39</v>
      </c>
      <c r="F3" s="114" t="s">
        <v>40</v>
      </c>
      <c r="G3" s="138" t="s">
        <v>38</v>
      </c>
      <c r="H3" s="115" t="s">
        <v>186</v>
      </c>
      <c r="I3" s="114" t="s">
        <v>41</v>
      </c>
      <c r="J3" s="114" t="s">
        <v>59</v>
      </c>
      <c r="K3" s="114" t="s">
        <v>39</v>
      </c>
      <c r="L3" s="114" t="s">
        <v>40</v>
      </c>
      <c r="M3" s="114" t="s">
        <v>38</v>
      </c>
      <c r="N3" s="115" t="s">
        <v>186</v>
      </c>
      <c r="O3" s="114" t="s">
        <v>41</v>
      </c>
      <c r="P3" s="114" t="s">
        <v>59</v>
      </c>
      <c r="Q3" s="114" t="s">
        <v>39</v>
      </c>
      <c r="R3" s="114" t="s">
        <v>40</v>
      </c>
      <c r="S3" s="114" t="s">
        <v>38</v>
      </c>
      <c r="T3" s="113" t="s">
        <v>186</v>
      </c>
      <c r="U3" s="114" t="s">
        <v>41</v>
      </c>
      <c r="V3" s="114" t="s">
        <v>61</v>
      </c>
      <c r="W3" s="114" t="s">
        <v>39</v>
      </c>
      <c r="X3" s="114" t="s">
        <v>40</v>
      </c>
      <c r="Y3" s="116" t="s">
        <v>38</v>
      </c>
      <c r="Z3" s="115" t="s">
        <v>186</v>
      </c>
      <c r="AA3" s="114" t="s">
        <v>41</v>
      </c>
      <c r="AB3" s="114" t="s">
        <v>61</v>
      </c>
      <c r="AC3" s="114" t="s">
        <v>39</v>
      </c>
      <c r="AD3" s="114" t="s">
        <v>40</v>
      </c>
      <c r="AE3" s="116" t="s">
        <v>38</v>
      </c>
      <c r="AF3" s="113" t="s">
        <v>186</v>
      </c>
      <c r="AG3" s="114" t="s">
        <v>41</v>
      </c>
      <c r="AH3" s="114" t="s">
        <v>61</v>
      </c>
      <c r="AI3" s="114" t="s">
        <v>39</v>
      </c>
      <c r="AJ3" s="114" t="s">
        <v>40</v>
      </c>
      <c r="AK3" s="116" t="s">
        <v>38</v>
      </c>
    </row>
    <row r="4" spans="1:37" ht="20" x14ac:dyDescent="0.2">
      <c r="A4" s="34" t="s">
        <v>50</v>
      </c>
      <c r="B4" s="139"/>
      <c r="C4" s="1">
        <f>Переменные!B9</f>
        <v>79000</v>
      </c>
      <c r="D4" s="1">
        <f>Переменные!C9</f>
        <v>33000</v>
      </c>
      <c r="E4" s="1">
        <f>Переменные!D9</f>
        <v>13000</v>
      </c>
      <c r="F4" s="1">
        <f>Переменные!E9</f>
        <v>247000</v>
      </c>
      <c r="G4" s="140">
        <f>Переменные!F9</f>
        <v>372000</v>
      </c>
      <c r="I4" s="1">
        <f>C4</f>
        <v>79000</v>
      </c>
      <c r="J4" s="1">
        <f t="shared" ref="J4:M4" si="0">D4</f>
        <v>33000</v>
      </c>
      <c r="K4" s="1">
        <f t="shared" si="0"/>
        <v>13000</v>
      </c>
      <c r="L4" s="1">
        <f t="shared" si="0"/>
        <v>247000</v>
      </c>
      <c r="M4" s="1">
        <f t="shared" si="0"/>
        <v>372000</v>
      </c>
      <c r="O4" s="1">
        <f>I4</f>
        <v>79000</v>
      </c>
      <c r="P4" s="1">
        <f t="shared" ref="P4:S4" si="1">J4</f>
        <v>33000</v>
      </c>
      <c r="Q4" s="1">
        <f t="shared" si="1"/>
        <v>13000</v>
      </c>
      <c r="R4" s="1">
        <f t="shared" si="1"/>
        <v>247000</v>
      </c>
      <c r="S4" s="1">
        <f t="shared" si="1"/>
        <v>372000</v>
      </c>
    </row>
    <row r="5" spans="1:37" ht="20" x14ac:dyDescent="0.2">
      <c r="A5" s="118" t="s">
        <v>144</v>
      </c>
      <c r="B5" s="139"/>
      <c r="C5" s="1">
        <f>C4</f>
        <v>79000</v>
      </c>
      <c r="D5" s="1">
        <f t="shared" ref="D5:G5" si="2">D4</f>
        <v>33000</v>
      </c>
      <c r="E5" s="1">
        <f t="shared" si="2"/>
        <v>13000</v>
      </c>
      <c r="F5" s="1">
        <f t="shared" si="2"/>
        <v>247000</v>
      </c>
      <c r="G5" s="140">
        <f t="shared" si="2"/>
        <v>372000</v>
      </c>
      <c r="I5" s="1">
        <f>I4</f>
        <v>79000</v>
      </c>
      <c r="J5" s="1">
        <f t="shared" ref="J5:M5" si="3">J4</f>
        <v>33000</v>
      </c>
      <c r="K5" s="1">
        <f t="shared" si="3"/>
        <v>13000</v>
      </c>
      <c r="L5" s="1">
        <f t="shared" si="3"/>
        <v>247000</v>
      </c>
      <c r="M5" s="1">
        <f t="shared" si="3"/>
        <v>372000</v>
      </c>
      <c r="O5" s="1">
        <f>O4</f>
        <v>79000</v>
      </c>
      <c r="P5" s="1">
        <f t="shared" ref="P5:S5" si="4">P4</f>
        <v>33000</v>
      </c>
      <c r="Q5" s="1">
        <f t="shared" si="4"/>
        <v>13000</v>
      </c>
      <c r="R5" s="1">
        <f t="shared" si="4"/>
        <v>247000</v>
      </c>
      <c r="S5" s="1">
        <f t="shared" si="4"/>
        <v>372000</v>
      </c>
    </row>
    <row r="6" spans="1:37" ht="20" x14ac:dyDescent="0.2">
      <c r="A6" s="119" t="s">
        <v>68</v>
      </c>
      <c r="B6" s="139"/>
      <c r="G6" s="140"/>
    </row>
    <row r="7" spans="1:37" ht="20" x14ac:dyDescent="0.2">
      <c r="A7" s="119" t="s">
        <v>66</v>
      </c>
      <c r="B7" s="139"/>
      <c r="G7" s="140"/>
    </row>
    <row r="8" spans="1:37" ht="20" x14ac:dyDescent="0.2">
      <c r="A8" s="119" t="s">
        <v>42</v>
      </c>
      <c r="B8" s="139"/>
      <c r="G8" s="140"/>
    </row>
    <row r="9" spans="1:37" ht="20" x14ac:dyDescent="0.2">
      <c r="A9" s="119" t="s">
        <v>1</v>
      </c>
      <c r="B9" s="139"/>
      <c r="G9" s="140"/>
    </row>
    <row r="10" spans="1:37" ht="20" x14ac:dyDescent="0.2">
      <c r="A10" s="119" t="s">
        <v>172</v>
      </c>
      <c r="B10" s="139"/>
      <c r="G10" s="140"/>
    </row>
    <row r="11" spans="1:37" ht="20" x14ac:dyDescent="0.2">
      <c r="A11" s="120" t="s">
        <v>92</v>
      </c>
      <c r="B11" s="139"/>
      <c r="G11" s="140"/>
    </row>
    <row r="12" spans="1:37" ht="20" x14ac:dyDescent="0.2">
      <c r="A12" s="120" t="s">
        <v>62</v>
      </c>
      <c r="B12" s="139"/>
      <c r="G12" s="140"/>
    </row>
    <row r="13" spans="1:37" ht="20" x14ac:dyDescent="0.2">
      <c r="A13" s="120" t="s">
        <v>63</v>
      </c>
      <c r="B13" s="139"/>
      <c r="G13" s="140"/>
    </row>
    <row r="14" spans="1:37" ht="20" x14ac:dyDescent="0.2">
      <c r="A14" s="120" t="s">
        <v>64</v>
      </c>
      <c r="B14" s="139"/>
      <c r="G14" s="140"/>
    </row>
    <row r="15" spans="1:37" ht="20" x14ac:dyDescent="0.2">
      <c r="A15" s="120" t="s">
        <v>69</v>
      </c>
      <c r="B15" s="139"/>
      <c r="G15" s="140"/>
    </row>
    <row r="16" spans="1:37" ht="20" x14ac:dyDescent="0.2">
      <c r="A16" s="118" t="s">
        <v>199</v>
      </c>
      <c r="B16" s="139"/>
      <c r="C16" s="27">
        <v>1</v>
      </c>
      <c r="D16" s="27">
        <v>2</v>
      </c>
      <c r="E16" s="27"/>
      <c r="F16" s="27"/>
      <c r="G16" s="141"/>
    </row>
    <row r="17" spans="1:37" s="123" customFormat="1" ht="22" customHeight="1" thickBot="1" x14ac:dyDescent="0.25">
      <c r="A17" s="121" t="s">
        <v>157</v>
      </c>
      <c r="B17" s="142" t="s">
        <v>203</v>
      </c>
      <c r="C17" s="143"/>
      <c r="D17" s="143"/>
      <c r="E17" s="143"/>
      <c r="F17" s="143"/>
      <c r="G17" s="144"/>
      <c r="H17" s="122" t="s">
        <v>203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ht="22" customHeight="1" x14ac:dyDescent="0.2">
      <c r="B18" s="126"/>
      <c r="H18" s="126"/>
    </row>
    <row r="19" spans="1:37" ht="20" thickBot="1" x14ac:dyDescent="0.25"/>
    <row r="20" spans="1:37" s="148" customFormat="1" ht="20" x14ac:dyDescent="0.2">
      <c r="A20" s="147" t="s">
        <v>200</v>
      </c>
      <c r="B20" s="134"/>
      <c r="C20" s="134">
        <f>C16*C40</f>
        <v>12400</v>
      </c>
      <c r="D20" s="134">
        <f>D16*D40</f>
        <v>24800</v>
      </c>
      <c r="E20" s="134">
        <f>E16*E40</f>
        <v>0</v>
      </c>
      <c r="F20" s="134">
        <f>F16*F40</f>
        <v>0</v>
      </c>
      <c r="G20" s="134">
        <f>G16*G40</f>
        <v>0</v>
      </c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</row>
    <row r="21" spans="1:37" ht="20" x14ac:dyDescent="0.2">
      <c r="A21" s="139" t="s">
        <v>245</v>
      </c>
    </row>
    <row r="22" spans="1:37" x14ac:dyDescent="0.2">
      <c r="A22" s="139"/>
    </row>
    <row r="23" spans="1:37" ht="20" x14ac:dyDescent="0.2">
      <c r="A23" s="153" t="s">
        <v>197</v>
      </c>
      <c r="C23" s="132">
        <f>SUM(C25:C27)</f>
        <v>24282.486235073247</v>
      </c>
      <c r="D23" s="132">
        <f t="shared" ref="D23:G23" si="5">SUM(D25:D27)</f>
        <v>50438.484900024894</v>
      </c>
      <c r="E23" s="132">
        <f t="shared" si="5"/>
        <v>0</v>
      </c>
      <c r="F23" s="132">
        <f t="shared" si="5"/>
        <v>0</v>
      </c>
      <c r="G23" s="132">
        <f t="shared" si="5"/>
        <v>0</v>
      </c>
    </row>
    <row r="24" spans="1:37" ht="20" x14ac:dyDescent="0.2">
      <c r="A24" s="139" t="s">
        <v>191</v>
      </c>
      <c r="C24"/>
    </row>
    <row r="25" spans="1:37" x14ac:dyDescent="0.25">
      <c r="A25" s="145" t="s">
        <v>79</v>
      </c>
      <c r="C25" s="132">
        <f>C$16*C51*C58</f>
        <v>505.54736550535517</v>
      </c>
      <c r="D25" s="132">
        <f>D$16*D51*D58</f>
        <v>2561.6465610221526</v>
      </c>
      <c r="E25" s="132">
        <f t="shared" ref="E25:G25" si="6">E$16*E51*E58</f>
        <v>0</v>
      </c>
      <c r="F25" s="132">
        <f t="shared" si="6"/>
        <v>0</v>
      </c>
      <c r="G25" s="132">
        <f t="shared" si="6"/>
        <v>0</v>
      </c>
    </row>
    <row r="26" spans="1:37" x14ac:dyDescent="0.25">
      <c r="A26" s="145" t="s">
        <v>82</v>
      </c>
      <c r="C26" s="132">
        <f>C$16*C52*C59</f>
        <v>3923.9741705650617</v>
      </c>
      <c r="D26" s="132">
        <f t="shared" ref="D26:G26" si="7">D$16*D52*D59</f>
        <v>10409.723097983906</v>
      </c>
      <c r="E26" s="132">
        <f t="shared" si="7"/>
        <v>0</v>
      </c>
      <c r="F26" s="132">
        <f t="shared" si="7"/>
        <v>0</v>
      </c>
      <c r="G26" s="132">
        <f t="shared" si="7"/>
        <v>0</v>
      </c>
    </row>
    <row r="27" spans="1:37" x14ac:dyDescent="0.25">
      <c r="A27" s="145" t="s">
        <v>83</v>
      </c>
      <c r="C27" s="132">
        <f>C$16*C53*C60</f>
        <v>19852.96469900283</v>
      </c>
      <c r="D27" s="132">
        <f t="shared" ref="D27:G27" si="8">D$16*D53*D60</f>
        <v>37467.115241018837</v>
      </c>
      <c r="E27" s="132">
        <f t="shared" si="8"/>
        <v>0</v>
      </c>
      <c r="F27" s="132">
        <f t="shared" si="8"/>
        <v>0</v>
      </c>
      <c r="G27" s="132">
        <f t="shared" si="8"/>
        <v>0</v>
      </c>
    </row>
    <row r="28" spans="1:37" x14ac:dyDescent="0.25">
      <c r="A28" s="145"/>
    </row>
    <row r="29" spans="1:37" x14ac:dyDescent="0.25">
      <c r="A29" s="145" t="s">
        <v>245</v>
      </c>
    </row>
    <row r="30" spans="1:37" ht="20" x14ac:dyDescent="0.2">
      <c r="A30" s="153" t="s">
        <v>198</v>
      </c>
      <c r="B30" s="152"/>
      <c r="C30" s="27">
        <f>Переменные!$C$79*'Гипотеза T'!C16</f>
        <v>40000</v>
      </c>
      <c r="D30" s="27">
        <f>Переменные!$C$79*'Гипотеза T'!D16</f>
        <v>80000</v>
      </c>
      <c r="E30" s="27">
        <f>Переменные!$C$79*'Гипотеза T'!E16</f>
        <v>0</v>
      </c>
      <c r="F30" s="27">
        <f>Переменные!$C$79*'Гипотеза T'!F16</f>
        <v>0</v>
      </c>
      <c r="G30" s="27">
        <f>Переменные!$C$79*'Гипотеза T'!G16</f>
        <v>0</v>
      </c>
    </row>
    <row r="31" spans="1:37" x14ac:dyDescent="0.2">
      <c r="A31" s="139"/>
    </row>
    <row r="32" spans="1:37" ht="20" x14ac:dyDescent="0.2">
      <c r="A32" s="153" t="s">
        <v>192</v>
      </c>
      <c r="B32" s="15" t="s">
        <v>37</v>
      </c>
      <c r="H32" s="15" t="s">
        <v>37</v>
      </c>
      <c r="N32" s="124" t="s">
        <v>244</v>
      </c>
      <c r="T32" s="124" t="s">
        <v>244</v>
      </c>
      <c r="Z32" s="124" t="s">
        <v>244</v>
      </c>
      <c r="AF32" s="15" t="s">
        <v>37</v>
      </c>
    </row>
    <row r="33" spans="1:37" ht="20" x14ac:dyDescent="0.2">
      <c r="A33" s="139" t="s">
        <v>193</v>
      </c>
      <c r="B33" s="15" t="s">
        <v>37</v>
      </c>
      <c r="H33" s="15" t="s">
        <v>37</v>
      </c>
      <c r="N33" s="124" t="s">
        <v>244</v>
      </c>
      <c r="T33" s="124" t="s">
        <v>244</v>
      </c>
      <c r="Z33" s="124" t="s">
        <v>244</v>
      </c>
      <c r="AF33" s="15" t="s">
        <v>37</v>
      </c>
    </row>
    <row r="34" spans="1:37" s="146" customFormat="1" ht="21" thickBot="1" x14ac:dyDescent="0.25">
      <c r="A34" s="149" t="s">
        <v>194</v>
      </c>
      <c r="B34" s="150" t="s">
        <v>37</v>
      </c>
      <c r="C34" s="143"/>
      <c r="D34" s="143"/>
      <c r="E34" s="143"/>
      <c r="F34" s="143"/>
      <c r="G34" s="143"/>
      <c r="H34" s="150" t="s">
        <v>37</v>
      </c>
      <c r="I34" s="143"/>
      <c r="J34" s="143"/>
      <c r="K34" s="143"/>
      <c r="L34" s="143"/>
      <c r="M34" s="143"/>
      <c r="N34" s="151" t="s">
        <v>244</v>
      </c>
      <c r="O34" s="143"/>
      <c r="P34" s="143"/>
      <c r="Q34" s="143"/>
      <c r="R34" s="143"/>
      <c r="S34" s="143"/>
      <c r="T34" s="151" t="s">
        <v>244</v>
      </c>
      <c r="U34" s="143"/>
      <c r="V34" s="143"/>
      <c r="W34" s="143"/>
      <c r="X34" s="143"/>
      <c r="Y34" s="143"/>
      <c r="Z34" s="151" t="s">
        <v>244</v>
      </c>
      <c r="AA34" s="143"/>
      <c r="AB34" s="143"/>
      <c r="AC34" s="143"/>
      <c r="AD34" s="143"/>
      <c r="AE34" s="143"/>
      <c r="AF34" s="150" t="s">
        <v>37</v>
      </c>
      <c r="AG34" s="143"/>
      <c r="AH34" s="143"/>
      <c r="AI34" s="143"/>
      <c r="AJ34" s="143"/>
      <c r="AK34" s="143"/>
    </row>
    <row r="39" spans="1:37" s="110" customFormat="1" ht="20" x14ac:dyDescent="0.2">
      <c r="A39" s="109" t="s">
        <v>196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spans="1:37" ht="20" x14ac:dyDescent="0.2">
      <c r="A40" s="14" t="s">
        <v>76</v>
      </c>
      <c r="C40" s="1">
        <f>Переменные!D51</f>
        <v>12400</v>
      </c>
      <c r="D40" s="1">
        <f>C40</f>
        <v>12400</v>
      </c>
      <c r="E40" s="1">
        <f t="shared" ref="E40:G40" si="9">D40</f>
        <v>12400</v>
      </c>
      <c r="F40" s="1">
        <f t="shared" si="9"/>
        <v>12400</v>
      </c>
      <c r="G40" s="1">
        <f t="shared" si="9"/>
        <v>12400</v>
      </c>
    </row>
    <row r="41" spans="1:37" ht="20" x14ac:dyDescent="0.2">
      <c r="A41" s="14" t="s">
        <v>195</v>
      </c>
    </row>
    <row r="42" spans="1:37" ht="20" x14ac:dyDescent="0.25">
      <c r="A42" s="16" t="s">
        <v>79</v>
      </c>
      <c r="C42" s="106" t="s">
        <v>244</v>
      </c>
      <c r="D42" s="106" t="s">
        <v>244</v>
      </c>
      <c r="E42" s="106" t="s">
        <v>244</v>
      </c>
      <c r="F42" s="106" t="s">
        <v>244</v>
      </c>
      <c r="G42" s="106" t="s">
        <v>244</v>
      </c>
    </row>
    <row r="43" spans="1:37" ht="20" x14ac:dyDescent="0.25">
      <c r="A43" s="16" t="s">
        <v>82</v>
      </c>
      <c r="C43" s="106" t="s">
        <v>244</v>
      </c>
      <c r="D43" s="106" t="s">
        <v>244</v>
      </c>
      <c r="E43" s="106" t="s">
        <v>244</v>
      </c>
      <c r="F43" s="106" t="s">
        <v>244</v>
      </c>
      <c r="G43" s="106" t="s">
        <v>244</v>
      </c>
    </row>
    <row r="44" spans="1:37" ht="20" x14ac:dyDescent="0.25">
      <c r="A44" s="16" t="s">
        <v>83</v>
      </c>
      <c r="C44" s="106" t="s">
        <v>244</v>
      </c>
      <c r="D44" s="106" t="s">
        <v>244</v>
      </c>
      <c r="E44" s="106" t="s">
        <v>244</v>
      </c>
      <c r="F44" s="106" t="s">
        <v>244</v>
      </c>
      <c r="G44" s="106" t="s">
        <v>244</v>
      </c>
    </row>
    <row r="45" spans="1:37" ht="20" x14ac:dyDescent="0.25">
      <c r="A45" s="16" t="s">
        <v>35</v>
      </c>
      <c r="C45" s="106" t="s">
        <v>244</v>
      </c>
      <c r="D45" s="106" t="s">
        <v>244</v>
      </c>
      <c r="E45" s="106" t="s">
        <v>244</v>
      </c>
      <c r="F45" s="106" t="s">
        <v>244</v>
      </c>
      <c r="G45" s="106" t="s">
        <v>244</v>
      </c>
    </row>
    <row r="47" spans="1:37" ht="20" x14ac:dyDescent="0.2">
      <c r="A47" s="14" t="s">
        <v>85</v>
      </c>
    </row>
    <row r="48" spans="1:37" ht="20" x14ac:dyDescent="0.2">
      <c r="A48" s="14" t="s">
        <v>140</v>
      </c>
    </row>
    <row r="50" spans="1:7" ht="40" x14ac:dyDescent="0.2">
      <c r="A50" s="14" t="s">
        <v>204</v>
      </c>
    </row>
    <row r="51" spans="1:7" x14ac:dyDescent="0.25">
      <c r="A51" s="16" t="s">
        <v>79</v>
      </c>
      <c r="B51" s="16"/>
      <c r="C51" s="108">
        <f>Переменные!B25</f>
        <v>8.694447864089622E-3</v>
      </c>
      <c r="D51" s="111">
        <f>Переменные!C25</f>
        <v>2.2027710943333612E-2</v>
      </c>
      <c r="E51" s="111">
        <f>Переменные!D25</f>
        <v>1.4373426388091347E-2</v>
      </c>
      <c r="F51" s="111">
        <f>Переменные!E25</f>
        <v>1.4373426388091347E-2</v>
      </c>
      <c r="G51" s="111">
        <f>Переменные!G25</f>
        <v>1.4373426388091347E-2</v>
      </c>
    </row>
    <row r="52" spans="1:7" x14ac:dyDescent="0.25">
      <c r="A52" s="16" t="s">
        <v>82</v>
      </c>
      <c r="B52" s="16"/>
      <c r="C52" s="108">
        <f>Переменные!B26</f>
        <v>0.11118121383725224</v>
      </c>
      <c r="D52" s="111">
        <f>Переменные!C26</f>
        <v>0.14747365801045384</v>
      </c>
      <c r="E52" s="111">
        <f>Переменные!D26</f>
        <v>0.12663986925217546</v>
      </c>
      <c r="F52" s="111">
        <f>Переменные!E26</f>
        <v>0.12663986925217546</v>
      </c>
      <c r="G52" s="111">
        <f>Переменные!G26</f>
        <v>0.12663986925217546</v>
      </c>
    </row>
    <row r="53" spans="1:7" x14ac:dyDescent="0.25">
      <c r="A53" s="16" t="s">
        <v>83</v>
      </c>
      <c r="B53" s="16"/>
      <c r="C53" s="108">
        <f>Переменные!B27</f>
        <v>0.8801243382986581</v>
      </c>
      <c r="D53" s="111">
        <f>Переменные!C27</f>
        <v>0.83049863104621258</v>
      </c>
      <c r="E53" s="111">
        <f>Переменные!D27</f>
        <v>0.85898670435973323</v>
      </c>
      <c r="F53" s="111">
        <f>Переменные!E27</f>
        <v>0.85898670435973323</v>
      </c>
      <c r="G53" s="111">
        <f>Переменные!G27</f>
        <v>0.85898670435973323</v>
      </c>
    </row>
    <row r="54" spans="1:7" x14ac:dyDescent="0.25">
      <c r="A54" s="16" t="s">
        <v>35</v>
      </c>
      <c r="B54" s="16"/>
      <c r="C54" s="108">
        <f>Переменные!B28</f>
        <v>0</v>
      </c>
      <c r="D54" s="111">
        <f>Переменные!C28</f>
        <v>0</v>
      </c>
      <c r="E54" s="111">
        <f>Переменные!D28</f>
        <v>0</v>
      </c>
      <c r="F54" s="111">
        <f>Переменные!E28</f>
        <v>0</v>
      </c>
      <c r="G54" s="111">
        <f>Переменные!G28</f>
        <v>0</v>
      </c>
    </row>
    <row r="56" spans="1:7" x14ac:dyDescent="0.25">
      <c r="A56" s="21" t="s">
        <v>206</v>
      </c>
      <c r="B56" s="21"/>
    </row>
    <row r="57" spans="1:7" x14ac:dyDescent="0.25">
      <c r="A57" s="19" t="s">
        <v>81</v>
      </c>
      <c r="B57" s="21"/>
    </row>
    <row r="58" spans="1:7" x14ac:dyDescent="0.25">
      <c r="A58" s="19" t="s">
        <v>79</v>
      </c>
      <c r="B58" s="21"/>
      <c r="C58" s="1">
        <f>Переменные!C32/2</f>
        <v>58146</v>
      </c>
      <c r="D58" s="98">
        <f>C58</f>
        <v>58146</v>
      </c>
      <c r="E58" s="98">
        <f>D58</f>
        <v>58146</v>
      </c>
      <c r="F58" s="98">
        <f>E58</f>
        <v>58146</v>
      </c>
      <c r="G58" s="98">
        <f>F58</f>
        <v>58146</v>
      </c>
    </row>
    <row r="59" spans="1:7" x14ac:dyDescent="0.25">
      <c r="A59" s="19" t="s">
        <v>82</v>
      </c>
      <c r="B59" s="21"/>
      <c r="C59" s="98">
        <f>Переменные!C33/2</f>
        <v>35293.5</v>
      </c>
      <c r="D59" s="98">
        <f t="shared" ref="D59:G61" si="10">C59</f>
        <v>35293.5</v>
      </c>
      <c r="E59" s="98">
        <f t="shared" si="10"/>
        <v>35293.5</v>
      </c>
      <c r="F59" s="98">
        <f t="shared" si="10"/>
        <v>35293.5</v>
      </c>
      <c r="G59" s="98">
        <f t="shared" si="10"/>
        <v>35293.5</v>
      </c>
    </row>
    <row r="60" spans="1:7" x14ac:dyDescent="0.25">
      <c r="A60" s="19" t="s">
        <v>83</v>
      </c>
      <c r="B60" s="21"/>
      <c r="C60" s="1">
        <f>Переменные!C34/2</f>
        <v>22557</v>
      </c>
      <c r="D60" s="98">
        <f t="shared" si="10"/>
        <v>22557</v>
      </c>
      <c r="E60" s="98">
        <f t="shared" si="10"/>
        <v>22557</v>
      </c>
      <c r="F60" s="98">
        <f t="shared" si="10"/>
        <v>22557</v>
      </c>
      <c r="G60" s="98">
        <f t="shared" si="10"/>
        <v>22557</v>
      </c>
    </row>
    <row r="61" spans="1:7" x14ac:dyDescent="0.25">
      <c r="A61" s="19" t="s">
        <v>35</v>
      </c>
      <c r="B61" s="21"/>
      <c r="C61" s="1">
        <f>Переменные!C35/2</f>
        <v>14103</v>
      </c>
      <c r="D61" s="98">
        <f t="shared" si="10"/>
        <v>14103</v>
      </c>
      <c r="E61" s="98">
        <f t="shared" si="10"/>
        <v>14103</v>
      </c>
      <c r="F61" s="98">
        <f t="shared" si="10"/>
        <v>14103</v>
      </c>
      <c r="G61" s="98">
        <f t="shared" si="10"/>
        <v>14103</v>
      </c>
    </row>
    <row r="62" spans="1:7" ht="20" x14ac:dyDescent="0.2">
      <c r="A62" s="131" t="s">
        <v>205</v>
      </c>
    </row>
    <row r="64" spans="1:7" ht="20" x14ac:dyDescent="0.2">
      <c r="A64" s="15" t="s">
        <v>243</v>
      </c>
    </row>
    <row r="65" spans="1:7" ht="80" x14ac:dyDescent="0.2">
      <c r="A65" s="1" t="s">
        <v>215</v>
      </c>
      <c r="C65" s="15" t="s">
        <v>37</v>
      </c>
      <c r="D65" s="15" t="s">
        <v>37</v>
      </c>
      <c r="E65" s="15" t="s">
        <v>37</v>
      </c>
      <c r="F65" s="15" t="s">
        <v>37</v>
      </c>
      <c r="G65" s="15" t="s">
        <v>37</v>
      </c>
    </row>
    <row r="66" spans="1:7" ht="20" x14ac:dyDescent="0.2">
      <c r="A66" s="1" t="s">
        <v>214</v>
      </c>
      <c r="C66" s="15" t="s">
        <v>37</v>
      </c>
      <c r="D66" s="15" t="s">
        <v>37</v>
      </c>
      <c r="E66" s="15" t="s">
        <v>37</v>
      </c>
      <c r="F66" s="15" t="s">
        <v>37</v>
      </c>
      <c r="G66" s="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3D9E-C43D-EF4B-8B64-4612BB09D338}">
  <dimension ref="A1:D28"/>
  <sheetViews>
    <sheetView zoomScale="110" zoomScaleNormal="110" workbookViewId="0">
      <selection activeCell="C15" sqref="C15"/>
    </sheetView>
  </sheetViews>
  <sheetFormatPr baseColWidth="10" defaultRowHeight="16" x14ac:dyDescent="0.2"/>
  <cols>
    <col min="1" max="1" width="24.5" style="156" customWidth="1"/>
    <col min="2" max="2" width="53" style="154" customWidth="1"/>
    <col min="3" max="3" width="32.1640625" style="154" customWidth="1"/>
    <col min="4" max="4" width="36.6640625" style="156" customWidth="1"/>
    <col min="5" max="16384" width="10.83203125" style="156"/>
  </cols>
  <sheetData>
    <row r="1" spans="1:4" x14ac:dyDescent="0.2">
      <c r="A1" s="155" t="s">
        <v>4</v>
      </c>
    </row>
    <row r="3" spans="1:4" ht="17" x14ac:dyDescent="0.2">
      <c r="A3" s="157" t="s">
        <v>207</v>
      </c>
      <c r="B3" s="154" t="s">
        <v>208</v>
      </c>
      <c r="C3" s="165" t="s">
        <v>222</v>
      </c>
      <c r="D3" s="158" t="s">
        <v>209</v>
      </c>
    </row>
    <row r="4" spans="1:4" ht="17" x14ac:dyDescent="0.2">
      <c r="A4" s="157"/>
      <c r="B4" s="159" t="s">
        <v>227</v>
      </c>
      <c r="C4" s="165" t="s">
        <v>222</v>
      </c>
    </row>
    <row r="5" spans="1:4" ht="51" x14ac:dyDescent="0.2">
      <c r="A5" s="157"/>
      <c r="B5" s="159" t="s">
        <v>228</v>
      </c>
      <c r="C5" s="165"/>
    </row>
    <row r="6" spans="1:4" ht="17" x14ac:dyDescent="0.2">
      <c r="A6" s="160" t="s">
        <v>210</v>
      </c>
      <c r="B6" s="154" t="s">
        <v>211</v>
      </c>
      <c r="C6" s="165" t="s">
        <v>222</v>
      </c>
      <c r="D6" s="158" t="s">
        <v>209</v>
      </c>
    </row>
    <row r="7" spans="1:4" ht="17" x14ac:dyDescent="0.2">
      <c r="A7" s="163" t="s">
        <v>180</v>
      </c>
      <c r="B7" s="164" t="s">
        <v>230</v>
      </c>
      <c r="C7" s="165" t="s">
        <v>231</v>
      </c>
      <c r="D7" s="158"/>
    </row>
    <row r="8" spans="1:4" ht="17" x14ac:dyDescent="0.2">
      <c r="A8" s="161" t="s">
        <v>212</v>
      </c>
      <c r="B8" s="164" t="s">
        <v>246</v>
      </c>
      <c r="C8" s="164" t="s">
        <v>229</v>
      </c>
    </row>
    <row r="9" spans="1:4" ht="17" x14ac:dyDescent="0.2">
      <c r="A9" s="161"/>
      <c r="B9" s="154" t="s">
        <v>213</v>
      </c>
      <c r="C9" s="154" t="s">
        <v>223</v>
      </c>
    </row>
    <row r="10" spans="1:4" ht="17" x14ac:dyDescent="0.2">
      <c r="A10" s="161"/>
      <c r="B10" s="162" t="s">
        <v>216</v>
      </c>
      <c r="C10" s="154" t="s">
        <v>223</v>
      </c>
    </row>
    <row r="11" spans="1:4" ht="34" x14ac:dyDescent="0.2">
      <c r="A11" s="161"/>
      <c r="B11" s="154" t="s">
        <v>217</v>
      </c>
      <c r="C11" s="154" t="s">
        <v>223</v>
      </c>
    </row>
    <row r="12" spans="1:4" ht="17" x14ac:dyDescent="0.2">
      <c r="A12" s="161"/>
      <c r="B12" s="154" t="s">
        <v>218</v>
      </c>
      <c r="C12" s="154" t="s">
        <v>223</v>
      </c>
    </row>
    <row r="13" spans="1:4" ht="17" x14ac:dyDescent="0.2">
      <c r="A13" s="161"/>
      <c r="B13" s="154" t="s">
        <v>219</v>
      </c>
      <c r="C13" s="154" t="s">
        <v>223</v>
      </c>
    </row>
    <row r="14" spans="1:4" ht="17" x14ac:dyDescent="0.2">
      <c r="A14" s="161"/>
      <c r="B14" s="154" t="s">
        <v>220</v>
      </c>
      <c r="C14" s="154" t="s">
        <v>223</v>
      </c>
    </row>
    <row r="15" spans="1:4" ht="68" x14ac:dyDescent="0.2">
      <c r="A15" s="161"/>
      <c r="B15" s="154" t="s">
        <v>221</v>
      </c>
      <c r="C15" s="154" t="s">
        <v>225</v>
      </c>
    </row>
    <row r="16" spans="1:4" ht="17" x14ac:dyDescent="0.2">
      <c r="A16" s="163" t="s">
        <v>180</v>
      </c>
      <c r="B16" s="154" t="s">
        <v>219</v>
      </c>
      <c r="C16" s="154" t="s">
        <v>224</v>
      </c>
    </row>
    <row r="17" spans="1:4" ht="17" x14ac:dyDescent="0.2">
      <c r="A17" s="163" t="s">
        <v>180</v>
      </c>
      <c r="B17" s="154" t="s">
        <v>220</v>
      </c>
      <c r="C17" s="154" t="s">
        <v>224</v>
      </c>
    </row>
    <row r="20" spans="1:4" ht="17" x14ac:dyDescent="0.2">
      <c r="A20" s="156" t="s">
        <v>233</v>
      </c>
      <c r="B20" s="164" t="s">
        <v>226</v>
      </c>
      <c r="C20" s="154" t="s">
        <v>229</v>
      </c>
    </row>
    <row r="21" spans="1:4" ht="51" x14ac:dyDescent="0.2">
      <c r="A21" s="156" t="s">
        <v>233</v>
      </c>
      <c r="B21" s="154" t="s">
        <v>232</v>
      </c>
      <c r="C21" s="154" t="s">
        <v>229</v>
      </c>
    </row>
    <row r="25" spans="1:4" ht="17" x14ac:dyDescent="0.2">
      <c r="B25" s="154" t="s">
        <v>235</v>
      </c>
    </row>
    <row r="26" spans="1:4" ht="34" x14ac:dyDescent="0.2">
      <c r="B26" s="154" t="s">
        <v>236</v>
      </c>
      <c r="C26" s="154" t="s">
        <v>222</v>
      </c>
      <c r="D26" s="166" t="s">
        <v>234</v>
      </c>
    </row>
    <row r="27" spans="1:4" ht="17" x14ac:dyDescent="0.2">
      <c r="B27" s="154" t="s">
        <v>237</v>
      </c>
      <c r="C27" s="154" t="s">
        <v>222</v>
      </c>
    </row>
    <row r="28" spans="1:4" ht="17" x14ac:dyDescent="0.2">
      <c r="B28" s="154" t="s">
        <v>238</v>
      </c>
      <c r="C28" s="154" t="s">
        <v>239</v>
      </c>
    </row>
  </sheetData>
  <hyperlinks>
    <hyperlink ref="D3" r:id="rId1" xr:uid="{6E837917-C714-CD49-ADF6-803F3EA08613}"/>
    <hyperlink ref="D6" r:id="rId2" xr:uid="{A0D7C395-A132-0B45-B84A-3D2E51A0EDCD}"/>
    <hyperlink ref="D26" r:id="rId3" xr:uid="{33644CB1-48EE-BA4B-A5C9-5BAD2F3D4F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8E28-DD6C-6F47-AE29-C9676FEF6CE3}">
  <dimension ref="A1:G79"/>
  <sheetViews>
    <sheetView topLeftCell="A59" workbookViewId="0">
      <selection activeCell="B30" sqref="B30"/>
    </sheetView>
  </sheetViews>
  <sheetFormatPr baseColWidth="10" defaultRowHeight="19" x14ac:dyDescent="0.25"/>
  <cols>
    <col min="1" max="1" width="21.1640625" style="16" customWidth="1"/>
    <col min="2" max="2" width="24.6640625" style="16" customWidth="1"/>
    <col min="3" max="7" width="23.5" style="16" customWidth="1"/>
    <col min="8" max="8" width="10.83203125" style="16"/>
    <col min="9" max="9" width="20" style="16" customWidth="1"/>
    <col min="10" max="10" width="20.33203125" style="16" customWidth="1"/>
    <col min="11" max="11" width="21.6640625" style="16" customWidth="1"/>
    <col min="12" max="16384" width="10.83203125" style="16"/>
  </cols>
  <sheetData>
    <row r="1" spans="1:7" s="33" customFormat="1" x14ac:dyDescent="0.25">
      <c r="B1" s="32" t="s">
        <v>50</v>
      </c>
    </row>
    <row r="2" spans="1:7" x14ac:dyDescent="0.25">
      <c r="B2" s="21" t="s">
        <v>6</v>
      </c>
    </row>
    <row r="3" spans="1:7" x14ac:dyDescent="0.25">
      <c r="B3" s="16" t="s">
        <v>90</v>
      </c>
    </row>
    <row r="4" spans="1:7" ht="60" x14ac:dyDescent="0.25">
      <c r="B4" s="3" t="s">
        <v>58</v>
      </c>
      <c r="C4" s="3" t="s">
        <v>60</v>
      </c>
      <c r="D4" s="3" t="s">
        <v>39</v>
      </c>
      <c r="E4" s="3" t="s">
        <v>40</v>
      </c>
      <c r="F4" s="3" t="s">
        <v>38</v>
      </c>
    </row>
    <row r="5" spans="1:7" x14ac:dyDescent="0.25">
      <c r="B5" s="19">
        <v>79000</v>
      </c>
      <c r="C5" s="19">
        <v>33000</v>
      </c>
      <c r="D5" s="19">
        <v>13000</v>
      </c>
      <c r="E5" s="19">
        <v>247000</v>
      </c>
      <c r="F5" s="19">
        <f>SUM(B5:E5)</f>
        <v>372000</v>
      </c>
    </row>
    <row r="7" spans="1:7" x14ac:dyDescent="0.25">
      <c r="B7" s="21" t="s">
        <v>51</v>
      </c>
    </row>
    <row r="8" spans="1:7" ht="60" x14ac:dyDescent="0.25">
      <c r="B8" s="3" t="s">
        <v>58</v>
      </c>
      <c r="C8" s="3" t="s">
        <v>60</v>
      </c>
      <c r="D8" s="3" t="s">
        <v>39</v>
      </c>
      <c r="E8" s="3" t="s">
        <v>40</v>
      </c>
      <c r="F8" s="3" t="s">
        <v>38</v>
      </c>
    </row>
    <row r="9" spans="1:7" x14ac:dyDescent="0.25">
      <c r="B9" s="26">
        <f>B5</f>
        <v>79000</v>
      </c>
      <c r="C9" s="26">
        <f t="shared" ref="C9:F9" si="0">C5</f>
        <v>33000</v>
      </c>
      <c r="D9" s="26">
        <f t="shared" si="0"/>
        <v>13000</v>
      </c>
      <c r="E9" s="26">
        <f t="shared" si="0"/>
        <v>247000</v>
      </c>
      <c r="F9" s="26">
        <f t="shared" si="0"/>
        <v>372000</v>
      </c>
    </row>
    <row r="12" spans="1:7" s="128" customFormat="1" x14ac:dyDescent="0.25">
      <c r="B12" s="129" t="s">
        <v>201</v>
      </c>
      <c r="C12" s="130"/>
    </row>
    <row r="13" spans="1:7" x14ac:dyDescent="0.25">
      <c r="B13" s="21"/>
      <c r="C13" s="21"/>
    </row>
    <row r="14" spans="1:7" x14ac:dyDescent="0.25">
      <c r="B14" s="16" t="s">
        <v>90</v>
      </c>
      <c r="C14" s="21"/>
    </row>
    <row r="15" spans="1:7" ht="63" customHeight="1" x14ac:dyDescent="0.25">
      <c r="A15" s="35" t="s">
        <v>81</v>
      </c>
      <c r="B15" s="3" t="s">
        <v>58</v>
      </c>
      <c r="C15" s="3" t="s">
        <v>60</v>
      </c>
      <c r="D15" s="3" t="s">
        <v>39</v>
      </c>
      <c r="E15" s="3" t="s">
        <v>40</v>
      </c>
      <c r="F15" s="3" t="s">
        <v>38</v>
      </c>
      <c r="G15" s="74" t="s">
        <v>181</v>
      </c>
    </row>
    <row r="16" spans="1:7" x14ac:dyDescent="0.25">
      <c r="A16" s="19" t="s">
        <v>79</v>
      </c>
      <c r="B16" s="19">
        <v>565</v>
      </c>
      <c r="C16" s="19">
        <v>1062</v>
      </c>
      <c r="D16" s="4" t="s">
        <v>3</v>
      </c>
      <c r="E16" s="4" t="s">
        <v>3</v>
      </c>
      <c r="F16" s="4" t="s">
        <v>3</v>
      </c>
      <c r="G16" s="19">
        <v>1627</v>
      </c>
    </row>
    <row r="17" spans="1:7" x14ac:dyDescent="0.25">
      <c r="A17" s="19" t="s">
        <v>82</v>
      </c>
      <c r="B17" s="19">
        <v>7225</v>
      </c>
      <c r="C17" s="19">
        <v>7110</v>
      </c>
      <c r="D17" s="4" t="s">
        <v>3</v>
      </c>
      <c r="E17" s="4" t="s">
        <v>3</v>
      </c>
      <c r="F17" s="4" t="s">
        <v>3</v>
      </c>
      <c r="G17" s="19">
        <v>14335</v>
      </c>
    </row>
    <row r="18" spans="1:7" x14ac:dyDescent="0.25">
      <c r="A18" s="19" t="s">
        <v>83</v>
      </c>
      <c r="B18" s="19">
        <v>57194</v>
      </c>
      <c r="C18" s="19">
        <v>40040</v>
      </c>
      <c r="D18" s="4" t="s">
        <v>3</v>
      </c>
      <c r="E18" s="4" t="s">
        <v>3</v>
      </c>
      <c r="F18" s="4" t="s">
        <v>3</v>
      </c>
      <c r="G18" s="19">
        <v>97233</v>
      </c>
    </row>
    <row r="19" spans="1:7" x14ac:dyDescent="0.25">
      <c r="A19" s="19" t="s">
        <v>35</v>
      </c>
      <c r="B19" s="19"/>
      <c r="C19" s="19"/>
      <c r="D19" s="4" t="s">
        <v>3</v>
      </c>
      <c r="E19" s="4" t="s">
        <v>3</v>
      </c>
      <c r="F19" s="4" t="s">
        <v>3</v>
      </c>
      <c r="G19" s="19"/>
    </row>
    <row r="20" spans="1:7" x14ac:dyDescent="0.25">
      <c r="A20" s="16" t="s">
        <v>182</v>
      </c>
      <c r="B20" s="16">
        <f>SUM(B16:B19)</f>
        <v>64984</v>
      </c>
      <c r="C20" s="16">
        <f>SUM(C16:C19)</f>
        <v>48212</v>
      </c>
      <c r="G20" s="16">
        <f>SUM(G16:G19)</f>
        <v>113195</v>
      </c>
    </row>
    <row r="22" spans="1:7" x14ac:dyDescent="0.25">
      <c r="B22" s="21"/>
    </row>
    <row r="23" spans="1:7" x14ac:dyDescent="0.25">
      <c r="B23" s="16" t="s">
        <v>90</v>
      </c>
    </row>
    <row r="24" spans="1:7" ht="60" x14ac:dyDescent="0.25">
      <c r="A24" s="35" t="s">
        <v>81</v>
      </c>
      <c r="B24" s="3" t="s">
        <v>58</v>
      </c>
      <c r="C24" s="3" t="s">
        <v>60</v>
      </c>
      <c r="D24" s="3" t="s">
        <v>39</v>
      </c>
      <c r="E24" s="3" t="s">
        <v>40</v>
      </c>
      <c r="F24" s="3" t="s">
        <v>38</v>
      </c>
      <c r="G24" s="74" t="s">
        <v>181</v>
      </c>
    </row>
    <row r="25" spans="1:7" x14ac:dyDescent="0.25">
      <c r="A25" s="19" t="s">
        <v>79</v>
      </c>
      <c r="B25" s="101">
        <f>B16/$B$20</f>
        <v>8.694447864089622E-3</v>
      </c>
      <c r="C25" s="101">
        <f>C16/$C$20</f>
        <v>2.2027710943333612E-2</v>
      </c>
      <c r="D25" s="127">
        <f>G25</f>
        <v>1.4373426388091347E-2</v>
      </c>
      <c r="E25" s="127">
        <f>G25</f>
        <v>1.4373426388091347E-2</v>
      </c>
      <c r="F25" s="127">
        <f>G25</f>
        <v>1.4373426388091347E-2</v>
      </c>
      <c r="G25" s="101">
        <f>G16/$G$20</f>
        <v>1.4373426388091347E-2</v>
      </c>
    </row>
    <row r="26" spans="1:7" x14ac:dyDescent="0.25">
      <c r="A26" s="19" t="s">
        <v>82</v>
      </c>
      <c r="B26" s="101">
        <f>B17/$B$20</f>
        <v>0.11118121383725224</v>
      </c>
      <c r="C26" s="101">
        <f>C17/$C$20</f>
        <v>0.14747365801045384</v>
      </c>
      <c r="D26" s="127">
        <f t="shared" ref="D26:D27" si="1">G26</f>
        <v>0.12663986925217546</v>
      </c>
      <c r="E26" s="127">
        <f t="shared" ref="E26:E27" si="2">G26</f>
        <v>0.12663986925217546</v>
      </c>
      <c r="F26" s="127">
        <f t="shared" ref="F26:F27" si="3">G26</f>
        <v>0.12663986925217546</v>
      </c>
      <c r="G26" s="101">
        <f>G17/$G$20</f>
        <v>0.12663986925217546</v>
      </c>
    </row>
    <row r="27" spans="1:7" x14ac:dyDescent="0.25">
      <c r="A27" s="19" t="s">
        <v>83</v>
      </c>
      <c r="B27" s="101">
        <f>B18/$B$20</f>
        <v>0.8801243382986581</v>
      </c>
      <c r="C27" s="101">
        <f>C18/$C$20</f>
        <v>0.83049863104621258</v>
      </c>
      <c r="D27" s="127">
        <f t="shared" si="1"/>
        <v>0.85898670435973323</v>
      </c>
      <c r="E27" s="127">
        <f t="shared" si="2"/>
        <v>0.85898670435973323</v>
      </c>
      <c r="F27" s="127">
        <f t="shared" si="3"/>
        <v>0.85898670435973323</v>
      </c>
      <c r="G27" s="101">
        <f>G18/$G$20</f>
        <v>0.85898670435973323</v>
      </c>
    </row>
    <row r="28" spans="1:7" x14ac:dyDescent="0.25">
      <c r="A28" s="19" t="s">
        <v>35</v>
      </c>
      <c r="B28" s="101"/>
      <c r="C28" s="101"/>
      <c r="D28" s="101"/>
      <c r="E28" s="101"/>
      <c r="F28" s="101"/>
      <c r="G28" s="101">
        <f>G19/$G$20</f>
        <v>0</v>
      </c>
    </row>
    <row r="29" spans="1:7" x14ac:dyDescent="0.25">
      <c r="B29" s="100"/>
      <c r="C29" s="100"/>
      <c r="G29" s="100"/>
    </row>
    <row r="30" spans="1:7" s="32" customFormat="1" x14ac:dyDescent="0.25">
      <c r="B30" s="32" t="s">
        <v>202</v>
      </c>
    </row>
    <row r="31" spans="1:7" s="21" customFormat="1" x14ac:dyDescent="0.25">
      <c r="B31" s="19" t="s">
        <v>81</v>
      </c>
      <c r="C31" s="19" t="s">
        <v>80</v>
      </c>
    </row>
    <row r="32" spans="1:7" x14ac:dyDescent="0.25">
      <c r="B32" s="19" t="s">
        <v>79</v>
      </c>
      <c r="C32" s="19">
        <v>116292</v>
      </c>
      <c r="D32" s="21"/>
    </row>
    <row r="33" spans="2:4" x14ac:dyDescent="0.25">
      <c r="B33" s="19" t="s">
        <v>82</v>
      </c>
      <c r="C33" s="19">
        <v>70587</v>
      </c>
    </row>
    <row r="34" spans="2:4" x14ac:dyDescent="0.25">
      <c r="B34" s="19" t="s">
        <v>83</v>
      </c>
      <c r="C34" s="19">
        <v>45114</v>
      </c>
    </row>
    <row r="35" spans="2:4" x14ac:dyDescent="0.25">
      <c r="B35" s="19" t="s">
        <v>35</v>
      </c>
      <c r="C35" s="19">
        <v>28206</v>
      </c>
    </row>
    <row r="37" spans="2:4" x14ac:dyDescent="0.25">
      <c r="B37" s="107" t="s">
        <v>189</v>
      </c>
    </row>
    <row r="39" spans="2:4" s="33" customFormat="1" x14ac:dyDescent="0.25">
      <c r="B39" s="32" t="s">
        <v>75</v>
      </c>
    </row>
    <row r="40" spans="2:4" x14ac:dyDescent="0.25">
      <c r="B40" s="21" t="s">
        <v>86</v>
      </c>
    </row>
    <row r="41" spans="2:4" x14ac:dyDescent="0.25">
      <c r="B41" s="19" t="s">
        <v>52</v>
      </c>
      <c r="C41" s="19" t="s">
        <v>53</v>
      </c>
      <c r="D41" s="19" t="s">
        <v>54</v>
      </c>
    </row>
    <row r="42" spans="2:4" x14ac:dyDescent="0.25">
      <c r="B42" s="19">
        <v>6495</v>
      </c>
      <c r="C42" s="19">
        <v>14995</v>
      </c>
      <c r="D42" s="19">
        <v>34995</v>
      </c>
    </row>
    <row r="44" spans="2:4" x14ac:dyDescent="0.25">
      <c r="B44" s="21" t="s">
        <v>87</v>
      </c>
    </row>
    <row r="45" spans="2:4" x14ac:dyDescent="0.25">
      <c r="B45" s="19" t="s">
        <v>52</v>
      </c>
      <c r="C45" s="19" t="s">
        <v>53</v>
      </c>
      <c r="D45" s="19" t="s">
        <v>54</v>
      </c>
    </row>
    <row r="46" spans="2:4" x14ac:dyDescent="0.25">
      <c r="B46" s="36">
        <f>B42</f>
        <v>6495</v>
      </c>
      <c r="C46" s="36">
        <f t="shared" ref="C46:D46" si="4">C42</f>
        <v>14995</v>
      </c>
      <c r="D46" s="36">
        <f t="shared" si="4"/>
        <v>34995</v>
      </c>
    </row>
    <row r="48" spans="2:4" s="33" customFormat="1" x14ac:dyDescent="0.25">
      <c r="B48" s="32" t="s">
        <v>76</v>
      </c>
      <c r="C48" s="32"/>
    </row>
    <row r="49" spans="2:4" x14ac:dyDescent="0.25">
      <c r="B49" s="21" t="s">
        <v>139</v>
      </c>
      <c r="C49" s="21"/>
      <c r="D49" s="21" t="s">
        <v>173</v>
      </c>
    </row>
    <row r="50" spans="2:4" x14ac:dyDescent="0.25">
      <c r="B50" s="19">
        <v>31000</v>
      </c>
      <c r="C50" s="19" t="s">
        <v>77</v>
      </c>
      <c r="D50" s="19">
        <f>B50/2</f>
        <v>15500</v>
      </c>
    </row>
    <row r="51" spans="2:4" x14ac:dyDescent="0.25">
      <c r="B51" s="19">
        <f>0.8*B50</f>
        <v>24800</v>
      </c>
      <c r="C51" s="19" t="s">
        <v>88</v>
      </c>
      <c r="D51" s="19">
        <f>B51/2</f>
        <v>12400</v>
      </c>
    </row>
    <row r="52" spans="2:4" x14ac:dyDescent="0.25">
      <c r="B52" s="16" t="s">
        <v>78</v>
      </c>
    </row>
    <row r="54" spans="2:4" x14ac:dyDescent="0.25">
      <c r="B54" s="107" t="s">
        <v>190</v>
      </c>
    </row>
    <row r="56" spans="2:4" s="33" customFormat="1" x14ac:dyDescent="0.25">
      <c r="B56" s="32" t="s">
        <v>138</v>
      </c>
      <c r="C56" s="32"/>
    </row>
    <row r="57" spans="2:4" x14ac:dyDescent="0.25">
      <c r="B57" s="21" t="s">
        <v>139</v>
      </c>
      <c r="C57" s="21"/>
    </row>
    <row r="58" spans="2:4" x14ac:dyDescent="0.25">
      <c r="B58" s="99"/>
    </row>
    <row r="60" spans="2:4" s="33" customFormat="1" x14ac:dyDescent="0.25">
      <c r="B60" s="32" t="s">
        <v>85</v>
      </c>
      <c r="C60" s="32"/>
    </row>
    <row r="61" spans="2:4" x14ac:dyDescent="0.25">
      <c r="B61" s="21" t="s">
        <v>139</v>
      </c>
    </row>
    <row r="62" spans="2:4" x14ac:dyDescent="0.25">
      <c r="B62" s="38"/>
    </row>
    <row r="64" spans="2:4" s="33" customFormat="1" x14ac:dyDescent="0.25">
      <c r="B64" s="32" t="s">
        <v>140</v>
      </c>
      <c r="C64" s="32"/>
    </row>
    <row r="65" spans="1:5" x14ac:dyDescent="0.25">
      <c r="B65" s="21" t="s">
        <v>139</v>
      </c>
      <c r="C65" s="21"/>
    </row>
    <row r="66" spans="1:5" x14ac:dyDescent="0.25">
      <c r="B66" s="38"/>
    </row>
    <row r="69" spans="1:5" s="33" customFormat="1" x14ac:dyDescent="0.25">
      <c r="B69" s="32" t="s">
        <v>175</v>
      </c>
    </row>
    <row r="70" spans="1:5" x14ac:dyDescent="0.25">
      <c r="B70" s="21" t="s">
        <v>178</v>
      </c>
      <c r="D70" s="16" t="s">
        <v>180</v>
      </c>
    </row>
    <row r="71" spans="1:5" x14ac:dyDescent="0.25">
      <c r="B71" s="16" t="s">
        <v>177</v>
      </c>
      <c r="C71" s="16" t="s">
        <v>179</v>
      </c>
      <c r="D71" s="16" t="s">
        <v>177</v>
      </c>
      <c r="E71" s="16" t="s">
        <v>179</v>
      </c>
    </row>
    <row r="72" spans="1:5" x14ac:dyDescent="0.25">
      <c r="A72" s="16" t="s">
        <v>176</v>
      </c>
      <c r="B72" s="38"/>
      <c r="C72" s="38"/>
      <c r="D72" s="4"/>
      <c r="E72" s="4"/>
    </row>
    <row r="74" spans="1:5" s="37" customFormat="1" x14ac:dyDescent="0.25">
      <c r="B74" s="37" t="s">
        <v>89</v>
      </c>
    </row>
    <row r="75" spans="1:5" x14ac:dyDescent="0.25">
      <c r="B75" s="38"/>
    </row>
    <row r="77" spans="1:5" s="33" customFormat="1" x14ac:dyDescent="0.25">
      <c r="B77" s="32" t="s">
        <v>55</v>
      </c>
      <c r="C77" s="32"/>
    </row>
    <row r="78" spans="1:5" x14ac:dyDescent="0.25">
      <c r="B78" s="19" t="s">
        <v>56</v>
      </c>
      <c r="C78" s="19" t="s">
        <v>57</v>
      </c>
    </row>
    <row r="79" spans="1:5" x14ac:dyDescent="0.25">
      <c r="B79" s="19">
        <v>60000</v>
      </c>
      <c r="C79" s="19">
        <v>40000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DC60-0D8E-DD4A-ACA0-3B5B341E859E}">
  <dimension ref="A1:O33"/>
  <sheetViews>
    <sheetView tabSelected="1" zoomScale="90" zoomScaleNormal="90" workbookViewId="0">
      <pane xSplit="2" ySplit="2" topLeftCell="C5" activePane="bottomRight" state="frozen"/>
      <selection pane="topRight" activeCell="B1" sqref="B1"/>
      <selection pane="bottomLeft" activeCell="A4" sqref="A4"/>
      <selection pane="bottomRight" activeCell="I10" sqref="I10"/>
    </sheetView>
  </sheetViews>
  <sheetFormatPr baseColWidth="10" defaultRowHeight="19" x14ac:dyDescent="0.2"/>
  <cols>
    <col min="1" max="1" width="23.5" style="2" customWidth="1"/>
    <col min="2" max="2" width="45.33203125" style="1" customWidth="1"/>
    <col min="3" max="3" width="47" style="1" customWidth="1"/>
    <col min="4" max="4" width="13.83203125" style="39" customWidth="1"/>
    <col min="5" max="8" width="13.83203125" style="191" customWidth="1"/>
    <col min="9" max="9" width="13.83203125" style="46" customWidth="1"/>
    <col min="10" max="10" width="13.83203125" style="188" customWidth="1"/>
    <col min="11" max="14" width="13.83203125" style="191" customWidth="1"/>
    <col min="15" max="15" width="13.83203125" style="46" customWidth="1"/>
    <col min="16" max="16384" width="10.83203125" style="2"/>
  </cols>
  <sheetData>
    <row r="1" spans="1:15" x14ac:dyDescent="0.25">
      <c r="D1" s="174" t="s">
        <v>240</v>
      </c>
      <c r="E1" s="175"/>
      <c r="F1" s="175"/>
      <c r="G1" s="175"/>
      <c r="H1" s="175"/>
      <c r="I1" s="176"/>
      <c r="J1" s="174" t="s">
        <v>241</v>
      </c>
      <c r="K1" s="175"/>
      <c r="L1" s="175"/>
      <c r="M1" s="175"/>
      <c r="N1" s="175"/>
      <c r="O1" s="176"/>
    </row>
    <row r="2" spans="1:15" s="28" customFormat="1" ht="120" x14ac:dyDescent="0.2">
      <c r="A2" s="18"/>
      <c r="B2" s="22" t="s">
        <v>43</v>
      </c>
      <c r="C2" s="22" t="s">
        <v>71</v>
      </c>
      <c r="D2" s="167" t="s">
        <v>93</v>
      </c>
      <c r="E2" s="181" t="s">
        <v>94</v>
      </c>
      <c r="F2" s="182" t="s">
        <v>95</v>
      </c>
      <c r="G2" s="182" t="s">
        <v>72</v>
      </c>
      <c r="H2" s="182" t="s">
        <v>73</v>
      </c>
      <c r="I2" s="168" t="s">
        <v>102</v>
      </c>
      <c r="J2" s="197" t="s">
        <v>93</v>
      </c>
      <c r="K2" s="181" t="s">
        <v>94</v>
      </c>
      <c r="L2" s="182" t="s">
        <v>95</v>
      </c>
      <c r="M2" s="182" t="s">
        <v>72</v>
      </c>
      <c r="N2" s="182" t="s">
        <v>73</v>
      </c>
      <c r="O2" s="168" t="s">
        <v>102</v>
      </c>
    </row>
    <row r="3" spans="1:15" ht="40" x14ac:dyDescent="0.2">
      <c r="A3" s="49" t="s">
        <v>104</v>
      </c>
      <c r="B3" s="29" t="s">
        <v>67</v>
      </c>
      <c r="D3" s="192">
        <v>1</v>
      </c>
      <c r="E3" s="203">
        <v>1</v>
      </c>
      <c r="F3" s="203">
        <v>1</v>
      </c>
      <c r="G3" s="184" t="s">
        <v>5</v>
      </c>
      <c r="H3" s="184" t="s">
        <v>5</v>
      </c>
      <c r="I3" s="45" t="s">
        <v>35</v>
      </c>
      <c r="J3" s="183">
        <v>1</v>
      </c>
      <c r="K3" s="183">
        <v>1</v>
      </c>
      <c r="L3" s="183">
        <v>1</v>
      </c>
      <c r="M3" s="184" t="s">
        <v>5</v>
      </c>
      <c r="N3" s="184" t="s">
        <v>5</v>
      </c>
      <c r="O3" s="45" t="s">
        <v>35</v>
      </c>
    </row>
    <row r="4" spans="1:15" ht="20" x14ac:dyDescent="0.2">
      <c r="A4" s="54" t="s">
        <v>106</v>
      </c>
      <c r="B4" s="55" t="s">
        <v>68</v>
      </c>
      <c r="C4" s="2"/>
      <c r="D4" s="73">
        <v>1</v>
      </c>
      <c r="E4" s="183">
        <v>1</v>
      </c>
      <c r="F4" s="183">
        <v>1</v>
      </c>
      <c r="G4" s="184" t="s">
        <v>5</v>
      </c>
      <c r="H4" s="184" t="s">
        <v>5</v>
      </c>
      <c r="I4" s="45" t="s">
        <v>35</v>
      </c>
      <c r="J4" s="183">
        <v>1</v>
      </c>
      <c r="K4" s="183">
        <v>1</v>
      </c>
      <c r="L4" s="183">
        <v>1</v>
      </c>
      <c r="M4" s="184" t="s">
        <v>5</v>
      </c>
      <c r="N4" s="184" t="s">
        <v>5</v>
      </c>
      <c r="O4" s="45" t="s">
        <v>35</v>
      </c>
    </row>
    <row r="5" spans="1:15" ht="41" customHeight="1" x14ac:dyDescent="0.2">
      <c r="A5" s="54"/>
      <c r="B5" s="55" t="s">
        <v>66</v>
      </c>
      <c r="C5" s="1" t="s">
        <v>96</v>
      </c>
      <c r="D5" s="73">
        <v>1</v>
      </c>
      <c r="E5" s="183">
        <v>1</v>
      </c>
      <c r="F5" s="183">
        <v>1</v>
      </c>
      <c r="G5" s="184" t="s">
        <v>5</v>
      </c>
      <c r="H5" s="184" t="s">
        <v>5</v>
      </c>
      <c r="I5" s="45" t="s">
        <v>35</v>
      </c>
      <c r="J5" s="183">
        <v>1</v>
      </c>
      <c r="K5" s="183">
        <v>1</v>
      </c>
      <c r="L5" s="183">
        <v>1</v>
      </c>
      <c r="M5" s="184" t="s">
        <v>5</v>
      </c>
      <c r="N5" s="184" t="s">
        <v>5</v>
      </c>
      <c r="O5" s="45" t="s">
        <v>35</v>
      </c>
    </row>
    <row r="6" spans="1:15" ht="20" x14ac:dyDescent="0.2">
      <c r="A6" s="54"/>
      <c r="B6" s="55" t="s">
        <v>42</v>
      </c>
      <c r="D6" s="42" t="s">
        <v>35</v>
      </c>
      <c r="E6" s="185" t="s">
        <v>35</v>
      </c>
      <c r="F6" s="185" t="s">
        <v>35</v>
      </c>
      <c r="G6" s="184" t="s">
        <v>5</v>
      </c>
      <c r="H6" s="184" t="s">
        <v>5</v>
      </c>
      <c r="I6" s="45" t="s">
        <v>35</v>
      </c>
      <c r="J6" s="185" t="s">
        <v>35</v>
      </c>
      <c r="K6" s="185" t="s">
        <v>35</v>
      </c>
      <c r="L6" s="185" t="s">
        <v>35</v>
      </c>
      <c r="M6" s="184" t="s">
        <v>5</v>
      </c>
      <c r="N6" s="184" t="s">
        <v>5</v>
      </c>
      <c r="O6" s="45" t="s">
        <v>35</v>
      </c>
    </row>
    <row r="7" spans="1:15" ht="20" x14ac:dyDescent="0.2">
      <c r="A7" s="54"/>
      <c r="B7" s="55" t="s">
        <v>1</v>
      </c>
      <c r="D7" s="42" t="s">
        <v>35</v>
      </c>
      <c r="E7" s="185" t="s">
        <v>35</v>
      </c>
      <c r="F7" s="185" t="s">
        <v>35</v>
      </c>
      <c r="G7" s="184" t="s">
        <v>5</v>
      </c>
      <c r="H7" s="184" t="s">
        <v>5</v>
      </c>
      <c r="I7" s="45" t="s">
        <v>35</v>
      </c>
      <c r="J7" s="185" t="s">
        <v>35</v>
      </c>
      <c r="K7" s="185" t="s">
        <v>35</v>
      </c>
      <c r="L7" s="185" t="s">
        <v>35</v>
      </c>
      <c r="M7" s="184" t="s">
        <v>5</v>
      </c>
      <c r="N7" s="184" t="s">
        <v>5</v>
      </c>
      <c r="O7" s="45" t="s">
        <v>35</v>
      </c>
    </row>
    <row r="8" spans="1:15" ht="38" customHeight="1" x14ac:dyDescent="0.2">
      <c r="A8" s="49" t="s">
        <v>104</v>
      </c>
      <c r="B8" s="29" t="s">
        <v>92</v>
      </c>
      <c r="C8" s="1" t="s">
        <v>65</v>
      </c>
      <c r="D8" s="169">
        <v>0.13</v>
      </c>
      <c r="E8" s="186">
        <f>D10</f>
        <v>5.2000000000000005E-2</v>
      </c>
      <c r="F8" s="44">
        <f>D8-D10</f>
        <v>7.8E-2</v>
      </c>
      <c r="G8" s="184" t="s">
        <v>5</v>
      </c>
      <c r="H8" s="184" t="s">
        <v>5</v>
      </c>
      <c r="I8" s="45" t="s">
        <v>5</v>
      </c>
      <c r="J8" s="198">
        <v>0.13</v>
      </c>
      <c r="K8" s="193">
        <f>E8</f>
        <v>5.2000000000000005E-2</v>
      </c>
      <c r="L8" s="194">
        <f>F8</f>
        <v>7.8E-2</v>
      </c>
      <c r="M8" s="184" t="s">
        <v>5</v>
      </c>
      <c r="N8" s="184" t="s">
        <v>5</v>
      </c>
      <c r="O8" s="45" t="s">
        <v>5</v>
      </c>
    </row>
    <row r="9" spans="1:15" ht="20" x14ac:dyDescent="0.2">
      <c r="A9" s="49"/>
      <c r="B9" s="29" t="s">
        <v>62</v>
      </c>
      <c r="D9" s="169">
        <f>D8</f>
        <v>0.13</v>
      </c>
      <c r="E9" s="184">
        <f>E8</f>
        <v>5.2000000000000005E-2</v>
      </c>
      <c r="F9" s="184">
        <f>F8</f>
        <v>7.8E-2</v>
      </c>
      <c r="G9" s="184" t="s">
        <v>5</v>
      </c>
      <c r="H9" s="184" t="s">
        <v>5</v>
      </c>
      <c r="I9" s="45" t="s">
        <v>5</v>
      </c>
      <c r="J9" s="199">
        <f>J8</f>
        <v>0.13</v>
      </c>
      <c r="K9" s="184">
        <f t="shared" ref="K9:L9" si="0">K8</f>
        <v>5.2000000000000005E-2</v>
      </c>
      <c r="L9" s="184">
        <f t="shared" si="0"/>
        <v>7.8E-2</v>
      </c>
      <c r="M9" s="184" t="s">
        <v>5</v>
      </c>
      <c r="N9" s="184" t="s">
        <v>5</v>
      </c>
      <c r="O9" s="45" t="s">
        <v>5</v>
      </c>
    </row>
    <row r="10" spans="1:15" ht="40" x14ac:dyDescent="0.2">
      <c r="A10" s="51" t="s">
        <v>100</v>
      </c>
      <c r="B10" s="31" t="s">
        <v>63</v>
      </c>
      <c r="C10" s="1" t="s">
        <v>74</v>
      </c>
      <c r="D10" s="40">
        <f>40%*D9</f>
        <v>5.2000000000000005E-2</v>
      </c>
      <c r="E10" s="186">
        <f>E9</f>
        <v>5.2000000000000005E-2</v>
      </c>
      <c r="F10" s="187">
        <v>0</v>
      </c>
      <c r="G10" s="184" t="s">
        <v>5</v>
      </c>
      <c r="H10" s="184" t="s">
        <v>5</v>
      </c>
      <c r="I10" s="45" t="s">
        <v>5</v>
      </c>
      <c r="J10" s="199">
        <v>0.4</v>
      </c>
      <c r="K10" s="187">
        <f>J10</f>
        <v>0.4</v>
      </c>
      <c r="L10" s="187">
        <v>0</v>
      </c>
      <c r="M10" s="184" t="s">
        <v>5</v>
      </c>
      <c r="N10" s="184" t="s">
        <v>5</v>
      </c>
      <c r="O10" s="45" t="s">
        <v>5</v>
      </c>
    </row>
    <row r="11" spans="1:15" ht="20" x14ac:dyDescent="0.2">
      <c r="A11" s="51"/>
      <c r="B11" s="31" t="s">
        <v>64</v>
      </c>
      <c r="C11" s="1" t="s">
        <v>97</v>
      </c>
      <c r="D11" s="170">
        <f>E11</f>
        <v>3.8739999999999997E-2</v>
      </c>
      <c r="E11" s="41">
        <f>29.8%*D8</f>
        <v>3.8739999999999997E-2</v>
      </c>
      <c r="F11" s="187">
        <v>0</v>
      </c>
      <c r="G11" s="184" t="s">
        <v>5</v>
      </c>
      <c r="H11" s="184" t="s">
        <v>5</v>
      </c>
      <c r="I11" s="45" t="s">
        <v>5</v>
      </c>
      <c r="J11" s="41">
        <f>K11</f>
        <v>0.29799999999999999</v>
      </c>
      <c r="K11" s="41">
        <v>0.29799999999999999</v>
      </c>
      <c r="L11" s="187">
        <v>0</v>
      </c>
      <c r="M11" s="184" t="s">
        <v>5</v>
      </c>
      <c r="N11" s="184" t="s">
        <v>5</v>
      </c>
      <c r="O11" s="45" t="s">
        <v>5</v>
      </c>
    </row>
    <row r="12" spans="1:15" ht="77" customHeight="1" x14ac:dyDescent="0.2">
      <c r="A12" s="52" t="s">
        <v>101</v>
      </c>
      <c r="B12" s="15" t="s">
        <v>69</v>
      </c>
      <c r="C12" s="1" t="s">
        <v>98</v>
      </c>
      <c r="D12" s="171">
        <f>F12</f>
        <v>5.9150000000000001E-2</v>
      </c>
      <c r="E12" s="188" t="s">
        <v>5</v>
      </c>
      <c r="F12" s="44">
        <f>45.5%*D8</f>
        <v>5.9150000000000001E-2</v>
      </c>
      <c r="G12" s="44">
        <f>15.2%*F12</f>
        <v>8.9908000000000002E-3</v>
      </c>
      <c r="H12" s="44">
        <f>84.8%*F12</f>
        <v>5.0159200000000001E-2</v>
      </c>
      <c r="I12" s="45" t="s">
        <v>5</v>
      </c>
      <c r="J12" s="186">
        <f>L12</f>
        <v>0.45500000000000002</v>
      </c>
      <c r="K12" s="188" t="s">
        <v>5</v>
      </c>
      <c r="L12" s="186">
        <v>0.45500000000000002</v>
      </c>
      <c r="M12" s="44">
        <f>15.2%*L12</f>
        <v>6.9159999999999999E-2</v>
      </c>
      <c r="N12" s="44">
        <f>84.8%*L12</f>
        <v>0.38584000000000002</v>
      </c>
      <c r="O12" s="45" t="s">
        <v>5</v>
      </c>
    </row>
    <row r="13" spans="1:15" ht="44" customHeight="1" x14ac:dyDescent="0.2">
      <c r="A13" s="49" t="s">
        <v>104</v>
      </c>
      <c r="B13" s="29" t="s">
        <v>105</v>
      </c>
      <c r="C13" s="1" t="s">
        <v>242</v>
      </c>
      <c r="D13" s="172" t="s">
        <v>35</v>
      </c>
      <c r="E13" s="186">
        <f>20%*E10</f>
        <v>1.0400000000000001E-2</v>
      </c>
      <c r="F13" s="48" t="s">
        <v>35</v>
      </c>
      <c r="G13" s="48" t="s">
        <v>35</v>
      </c>
      <c r="H13" s="48" t="s">
        <v>35</v>
      </c>
      <c r="I13" s="45" t="s">
        <v>5</v>
      </c>
      <c r="J13" s="196" t="s">
        <v>35</v>
      </c>
      <c r="K13" s="195">
        <f>E13/K8</f>
        <v>0.2</v>
      </c>
      <c r="L13" s="48" t="s">
        <v>35</v>
      </c>
      <c r="M13" s="48" t="s">
        <v>35</v>
      </c>
      <c r="N13" s="48" t="s">
        <v>35</v>
      </c>
      <c r="O13" s="45" t="s">
        <v>5</v>
      </c>
    </row>
    <row r="14" spans="1:15" ht="80" x14ac:dyDescent="0.2">
      <c r="A14" s="49"/>
      <c r="B14" s="29" t="s">
        <v>103</v>
      </c>
      <c r="C14" s="1" t="s">
        <v>99</v>
      </c>
      <c r="D14" s="180">
        <f>E14+F14</f>
        <v>1.11E-2</v>
      </c>
      <c r="E14" s="204">
        <v>7.0000000000000001E-3</v>
      </c>
      <c r="F14" s="204">
        <v>4.1000000000000003E-3</v>
      </c>
      <c r="G14" s="204">
        <f>34%*G12</f>
        <v>3.0568720000000004E-3</v>
      </c>
      <c r="H14" s="204">
        <f>2%*H12</f>
        <v>1.0031840000000001E-3</v>
      </c>
      <c r="I14" s="45" t="s">
        <v>35</v>
      </c>
      <c r="J14" s="189">
        <f>D14/J8</f>
        <v>8.5384615384615392E-2</v>
      </c>
      <c r="K14" s="189">
        <f>E14/K8</f>
        <v>0.13461538461538461</v>
      </c>
      <c r="L14" s="189">
        <f>F14/L8</f>
        <v>5.2564102564102572E-2</v>
      </c>
      <c r="M14" s="207">
        <f>G14/M12</f>
        <v>4.4200000000000003E-2</v>
      </c>
      <c r="N14" s="207">
        <f>H14/N12</f>
        <v>2.5999999999999999E-3</v>
      </c>
      <c r="O14" s="45" t="s">
        <v>35</v>
      </c>
    </row>
    <row r="15" spans="1:15" ht="20" x14ac:dyDescent="0.2">
      <c r="A15" s="54" t="s">
        <v>106</v>
      </c>
      <c r="B15" s="55" t="s">
        <v>136</v>
      </c>
      <c r="D15" s="172" t="s">
        <v>35</v>
      </c>
      <c r="E15" s="196" t="s">
        <v>35</v>
      </c>
      <c r="F15" s="196" t="s">
        <v>35</v>
      </c>
      <c r="G15" s="196" t="s">
        <v>35</v>
      </c>
      <c r="H15" s="196" t="s">
        <v>35</v>
      </c>
      <c r="I15" s="205" t="s">
        <v>35</v>
      </c>
      <c r="J15" s="172" t="s">
        <v>35</v>
      </c>
      <c r="K15" s="196" t="s">
        <v>35</v>
      </c>
      <c r="L15" s="196" t="s">
        <v>35</v>
      </c>
      <c r="M15" s="196" t="s">
        <v>35</v>
      </c>
      <c r="N15" s="196" t="s">
        <v>35</v>
      </c>
      <c r="O15" s="205" t="s">
        <v>35</v>
      </c>
    </row>
    <row r="16" spans="1:15" x14ac:dyDescent="0.2">
      <c r="E16" s="190"/>
      <c r="F16" s="188"/>
      <c r="G16" s="188"/>
      <c r="H16" s="188"/>
      <c r="K16" s="190"/>
      <c r="L16" s="188"/>
      <c r="M16" s="188"/>
      <c r="N16" s="188"/>
    </row>
    <row r="17" spans="2:15" x14ac:dyDescent="0.2">
      <c r="E17" s="190"/>
      <c r="F17" s="206"/>
      <c r="G17" s="188"/>
      <c r="H17" s="188"/>
      <c r="K17" s="190"/>
      <c r="L17" s="188"/>
      <c r="M17" s="188"/>
      <c r="N17" s="188"/>
    </row>
    <row r="18" spans="2:15" x14ac:dyDescent="0.2">
      <c r="E18" s="190"/>
      <c r="F18" s="188"/>
      <c r="G18" s="188"/>
      <c r="H18" s="188"/>
      <c r="K18" s="190"/>
      <c r="L18" s="188"/>
      <c r="M18" s="188"/>
      <c r="N18" s="188"/>
    </row>
    <row r="19" spans="2:15" ht="20" x14ac:dyDescent="0.2">
      <c r="B19" s="14" t="s">
        <v>107</v>
      </c>
      <c r="E19" s="190"/>
      <c r="F19" s="188"/>
      <c r="G19" s="188"/>
      <c r="H19" s="188"/>
      <c r="K19" s="190"/>
      <c r="L19" s="188"/>
      <c r="M19" s="188"/>
      <c r="N19" s="188"/>
    </row>
    <row r="20" spans="2:15" ht="20" x14ac:dyDescent="0.2">
      <c r="B20" s="1" t="s">
        <v>76</v>
      </c>
      <c r="C20" s="1" t="s">
        <v>174</v>
      </c>
      <c r="D20" s="39">
        <v>26350</v>
      </c>
      <c r="E20" s="188"/>
      <c r="F20" s="188"/>
      <c r="G20" s="188"/>
      <c r="H20" s="188"/>
      <c r="J20" s="188">
        <v>26350</v>
      </c>
      <c r="K20" s="188"/>
      <c r="L20" s="188"/>
      <c r="M20" s="188"/>
      <c r="N20" s="188"/>
    </row>
    <row r="21" spans="2:15" ht="20" x14ac:dyDescent="0.2">
      <c r="B21" s="1" t="s">
        <v>85</v>
      </c>
      <c r="D21" s="173" t="s">
        <v>35</v>
      </c>
      <c r="E21" s="188"/>
      <c r="F21" s="188"/>
      <c r="G21" s="188"/>
      <c r="H21" s="188"/>
      <c r="J21" s="200" t="s">
        <v>35</v>
      </c>
      <c r="K21" s="188"/>
      <c r="L21" s="188"/>
      <c r="M21" s="188"/>
      <c r="N21" s="188"/>
    </row>
    <row r="22" spans="2:15" x14ac:dyDescent="0.2">
      <c r="D22" s="42"/>
      <c r="E22" s="188"/>
      <c r="F22" s="188"/>
      <c r="G22" s="188"/>
      <c r="H22" s="188"/>
      <c r="J22" s="185"/>
      <c r="K22" s="188"/>
      <c r="L22" s="188"/>
      <c r="M22" s="188"/>
      <c r="N22" s="188"/>
    </row>
    <row r="23" spans="2:15" ht="20" x14ac:dyDescent="0.2">
      <c r="B23" s="1" t="s">
        <v>140</v>
      </c>
      <c r="D23" s="173" t="s">
        <v>35</v>
      </c>
      <c r="E23" s="188"/>
      <c r="F23" s="188"/>
      <c r="G23" s="188"/>
      <c r="H23" s="188"/>
      <c r="J23" s="200" t="s">
        <v>35</v>
      </c>
      <c r="K23" s="188"/>
      <c r="L23" s="188"/>
      <c r="M23" s="188"/>
      <c r="N23" s="188"/>
    </row>
    <row r="24" spans="2:15" ht="20" x14ac:dyDescent="0.2">
      <c r="B24" s="1" t="s">
        <v>84</v>
      </c>
      <c r="C24" s="2"/>
      <c r="D24" s="50"/>
      <c r="E24" s="188"/>
      <c r="F24" s="188"/>
      <c r="G24" s="188"/>
      <c r="H24" s="188"/>
      <c r="I24" s="72"/>
      <c r="J24" s="201"/>
      <c r="K24" s="188"/>
      <c r="L24" s="188"/>
      <c r="M24" s="188"/>
      <c r="N24" s="188"/>
      <c r="O24" s="72"/>
    </row>
    <row r="25" spans="2:15" x14ac:dyDescent="0.25">
      <c r="B25" s="16" t="s">
        <v>79</v>
      </c>
      <c r="C25" s="2"/>
      <c r="D25" s="125">
        <v>116292</v>
      </c>
      <c r="E25" s="188"/>
      <c r="F25" s="188"/>
      <c r="G25" s="188"/>
      <c r="H25" s="188"/>
      <c r="I25" s="72"/>
      <c r="J25" s="202">
        <v>116292</v>
      </c>
      <c r="K25" s="188"/>
      <c r="L25" s="188"/>
      <c r="M25" s="188"/>
      <c r="N25" s="188"/>
      <c r="O25" s="72"/>
    </row>
    <row r="26" spans="2:15" x14ac:dyDescent="0.25">
      <c r="B26" s="16" t="s">
        <v>82</v>
      </c>
      <c r="C26" s="2"/>
      <c r="D26" s="125">
        <v>70587</v>
      </c>
      <c r="I26" s="72"/>
      <c r="J26" s="202">
        <v>70587</v>
      </c>
      <c r="O26" s="72"/>
    </row>
    <row r="27" spans="2:15" x14ac:dyDescent="0.25">
      <c r="B27" s="16" t="s">
        <v>83</v>
      </c>
      <c r="C27" s="2"/>
      <c r="D27" s="125">
        <v>45114</v>
      </c>
      <c r="J27" s="202">
        <v>45114</v>
      </c>
    </row>
    <row r="28" spans="2:15" x14ac:dyDescent="0.25">
      <c r="B28" s="16" t="s">
        <v>35</v>
      </c>
      <c r="D28" s="125">
        <v>28206</v>
      </c>
      <c r="J28" s="202">
        <v>28206</v>
      </c>
    </row>
    <row r="30" spans="2:15" ht="20" x14ac:dyDescent="0.2">
      <c r="B30" s="1" t="s">
        <v>137</v>
      </c>
      <c r="D30" s="173" t="s">
        <v>35</v>
      </c>
      <c r="J30" s="200" t="s">
        <v>35</v>
      </c>
    </row>
    <row r="32" spans="2:15" ht="20" x14ac:dyDescent="0.2">
      <c r="B32" s="1" t="s">
        <v>187</v>
      </c>
      <c r="D32" s="173" t="s">
        <v>35</v>
      </c>
      <c r="J32" s="200" t="s">
        <v>35</v>
      </c>
    </row>
    <row r="33" spans="2:10" ht="40" x14ac:dyDescent="0.2">
      <c r="B33" s="1" t="s">
        <v>188</v>
      </c>
      <c r="D33" s="173" t="s">
        <v>35</v>
      </c>
      <c r="J33" s="200" t="s">
        <v>35</v>
      </c>
    </row>
  </sheetData>
  <mergeCells count="2">
    <mergeCell ref="D1:I1"/>
    <mergeCell ref="J1:O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8D63-2353-A14F-A44F-541062431287}">
  <dimension ref="A1:C22"/>
  <sheetViews>
    <sheetView workbookViewId="0">
      <selection activeCell="A17" sqref="A17:A18"/>
    </sheetView>
  </sheetViews>
  <sheetFormatPr baseColWidth="10" defaultColWidth="8.83203125" defaultRowHeight="16" x14ac:dyDescent="0.2"/>
  <cols>
    <col min="1" max="1" width="36" customWidth="1"/>
    <col min="2" max="2" width="34.5" customWidth="1"/>
    <col min="3" max="3" width="77.1640625" customWidth="1"/>
  </cols>
  <sheetData>
    <row r="1" spans="1:3" ht="17" x14ac:dyDescent="0.2">
      <c r="A1" s="177" t="s">
        <v>108</v>
      </c>
      <c r="B1" s="178"/>
    </row>
    <row r="2" spans="1:3" ht="42" customHeight="1" x14ac:dyDescent="0.2">
      <c r="A2" s="179" t="s">
        <v>109</v>
      </c>
      <c r="B2" s="178"/>
    </row>
    <row r="4" spans="1:3" x14ac:dyDescent="0.2">
      <c r="A4" s="56" t="s">
        <v>110</v>
      </c>
      <c r="B4" s="57" t="s">
        <v>111</v>
      </c>
      <c r="C4" s="58"/>
    </row>
    <row r="5" spans="1:3" x14ac:dyDescent="0.2">
      <c r="A5" s="59" t="s">
        <v>112</v>
      </c>
      <c r="B5" s="60" t="s">
        <v>113</v>
      </c>
      <c r="C5" s="61"/>
    </row>
    <row r="6" spans="1:3" x14ac:dyDescent="0.2">
      <c r="A6" s="59" t="s">
        <v>114</v>
      </c>
      <c r="B6" s="60" t="s">
        <v>115</v>
      </c>
      <c r="C6" s="61"/>
    </row>
    <row r="7" spans="1:3" x14ac:dyDescent="0.2">
      <c r="A7" s="59" t="s">
        <v>116</v>
      </c>
      <c r="B7" s="60" t="s">
        <v>117</v>
      </c>
      <c r="C7" s="61"/>
    </row>
    <row r="8" spans="1:3" x14ac:dyDescent="0.2">
      <c r="A8" s="59" t="s">
        <v>118</v>
      </c>
      <c r="B8" s="60" t="s">
        <v>119</v>
      </c>
      <c r="C8" s="61"/>
    </row>
    <row r="9" spans="1:3" x14ac:dyDescent="0.2">
      <c r="A9" s="62" t="s">
        <v>120</v>
      </c>
      <c r="B9" s="63">
        <v>7.0000000000000001E-3</v>
      </c>
      <c r="C9" s="64"/>
    </row>
    <row r="14" spans="1:3" x14ac:dyDescent="0.2">
      <c r="A14" s="56" t="s">
        <v>121</v>
      </c>
      <c r="B14" s="65" t="s">
        <v>122</v>
      </c>
      <c r="C14" s="66"/>
    </row>
    <row r="15" spans="1:3" x14ac:dyDescent="0.2">
      <c r="A15" s="59" t="s">
        <v>112</v>
      </c>
      <c r="B15" s="60" t="s">
        <v>113</v>
      </c>
      <c r="C15" s="61"/>
    </row>
    <row r="16" spans="1:3" x14ac:dyDescent="0.2">
      <c r="A16" s="59" t="s">
        <v>123</v>
      </c>
      <c r="B16" s="60" t="s">
        <v>124</v>
      </c>
      <c r="C16" s="61"/>
    </row>
    <row r="17" spans="1:3" x14ac:dyDescent="0.2">
      <c r="A17" s="67" t="s">
        <v>125</v>
      </c>
      <c r="B17" s="68" t="s">
        <v>126</v>
      </c>
      <c r="C17" s="61"/>
    </row>
    <row r="18" spans="1:3" x14ac:dyDescent="0.2">
      <c r="A18" s="67" t="s">
        <v>127</v>
      </c>
      <c r="B18" s="68" t="s">
        <v>128</v>
      </c>
      <c r="C18" s="61"/>
    </row>
    <row r="19" spans="1:3" x14ac:dyDescent="0.2">
      <c r="A19" s="67" t="s">
        <v>129</v>
      </c>
      <c r="B19" s="68" t="s">
        <v>130</v>
      </c>
      <c r="C19" s="61"/>
    </row>
    <row r="20" spans="1:3" x14ac:dyDescent="0.2">
      <c r="A20" s="67" t="s">
        <v>131</v>
      </c>
      <c r="B20" s="68" t="s">
        <v>132</v>
      </c>
      <c r="C20" s="61"/>
    </row>
    <row r="21" spans="1:3" x14ac:dyDescent="0.2">
      <c r="A21" s="69" t="s">
        <v>133</v>
      </c>
      <c r="B21" s="70" t="s">
        <v>134</v>
      </c>
      <c r="C21" s="64"/>
    </row>
    <row r="22" spans="1:3" x14ac:dyDescent="0.2">
      <c r="A22" s="62" t="s">
        <v>120</v>
      </c>
      <c r="B22" s="71" t="s">
        <v>135</v>
      </c>
      <c r="C22" s="64"/>
    </row>
  </sheetData>
  <mergeCells count="2">
    <mergeCell ref="A1:B1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C0FD-7393-1745-9AF4-81796922DD53}">
  <dimension ref="A1:F33"/>
  <sheetViews>
    <sheetView topLeftCell="A4" workbookViewId="0">
      <selection activeCell="D8" sqref="D8"/>
    </sheetView>
  </sheetViews>
  <sheetFormatPr baseColWidth="10" defaultRowHeight="19" x14ac:dyDescent="0.2"/>
  <cols>
    <col min="1" max="1" width="45.33203125" style="1" customWidth="1"/>
    <col min="2" max="2" width="33" style="1" customWidth="1"/>
    <col min="3" max="6" width="21.33203125" style="2" customWidth="1"/>
    <col min="7" max="16384" width="10.83203125" style="2"/>
  </cols>
  <sheetData>
    <row r="1" spans="1:6" ht="60" x14ac:dyDescent="0.2">
      <c r="A1" s="88" t="s">
        <v>43</v>
      </c>
      <c r="B1" s="25" t="s">
        <v>146</v>
      </c>
      <c r="C1" s="89" t="s">
        <v>141</v>
      </c>
      <c r="D1" s="90" t="s">
        <v>156</v>
      </c>
      <c r="E1" s="89" t="s">
        <v>142</v>
      </c>
      <c r="F1" s="90" t="s">
        <v>156</v>
      </c>
    </row>
    <row r="2" spans="1:6" ht="60" x14ac:dyDescent="0.2">
      <c r="A2" s="43" t="s">
        <v>0</v>
      </c>
      <c r="B2" s="30" t="s">
        <v>143</v>
      </c>
      <c r="C2" s="34">
        <v>113252</v>
      </c>
      <c r="D2" s="30"/>
      <c r="E2" s="50"/>
      <c r="F2" s="83"/>
    </row>
    <row r="3" spans="1:6" ht="60" x14ac:dyDescent="0.2">
      <c r="A3" s="43" t="s">
        <v>144</v>
      </c>
      <c r="B3" s="30" t="s">
        <v>145</v>
      </c>
      <c r="C3" s="50">
        <v>1300</v>
      </c>
      <c r="D3" s="78"/>
      <c r="E3" s="50"/>
      <c r="F3" s="83"/>
    </row>
    <row r="4" spans="1:6" ht="80" x14ac:dyDescent="0.2">
      <c r="A4" s="43" t="s">
        <v>1</v>
      </c>
      <c r="B4" s="30" t="s">
        <v>171</v>
      </c>
      <c r="C4" s="79">
        <v>900</v>
      </c>
      <c r="D4" s="80">
        <f>C4/C3</f>
        <v>0.69230769230769229</v>
      </c>
      <c r="E4" s="85"/>
      <c r="F4" s="83"/>
    </row>
    <row r="5" spans="1:6" ht="40" x14ac:dyDescent="0.2">
      <c r="A5" s="43" t="s">
        <v>169</v>
      </c>
      <c r="B5" s="30" t="s">
        <v>170</v>
      </c>
      <c r="C5" s="79"/>
      <c r="D5" s="78"/>
      <c r="E5" s="85"/>
      <c r="F5" s="83"/>
    </row>
    <row r="6" spans="1:6" ht="20" x14ac:dyDescent="0.2">
      <c r="A6" s="43" t="s">
        <v>148</v>
      </c>
      <c r="B6" s="30" t="s">
        <v>147</v>
      </c>
      <c r="C6" s="81" t="s">
        <v>35</v>
      </c>
      <c r="D6" s="82"/>
      <c r="E6" s="50"/>
      <c r="F6" s="83"/>
    </row>
    <row r="7" spans="1:6" ht="20" x14ac:dyDescent="0.2">
      <c r="A7" s="43" t="s">
        <v>2</v>
      </c>
      <c r="B7" s="30"/>
      <c r="C7" s="81" t="s">
        <v>35</v>
      </c>
      <c r="D7" s="82"/>
      <c r="E7" s="50"/>
      <c r="F7" s="83"/>
    </row>
    <row r="8" spans="1:6" ht="58" customHeight="1" x14ac:dyDescent="0.2">
      <c r="A8" s="47" t="s">
        <v>149</v>
      </c>
      <c r="B8" s="30" t="s">
        <v>150</v>
      </c>
      <c r="C8" s="81" t="s">
        <v>35</v>
      </c>
      <c r="D8" s="82"/>
      <c r="E8" s="50"/>
      <c r="F8" s="83"/>
    </row>
    <row r="9" spans="1:6" x14ac:dyDescent="0.2">
      <c r="A9" s="47" t="s">
        <v>62</v>
      </c>
      <c r="B9" s="83"/>
      <c r="C9" s="50" t="s">
        <v>5</v>
      </c>
      <c r="D9" s="83"/>
      <c r="E9" s="50"/>
      <c r="F9" s="83"/>
    </row>
    <row r="10" spans="1:6" ht="20" x14ac:dyDescent="0.2">
      <c r="A10" s="43" t="s">
        <v>63</v>
      </c>
      <c r="B10" s="83"/>
      <c r="C10" s="50" t="s">
        <v>5</v>
      </c>
      <c r="D10" s="83"/>
      <c r="E10" s="50"/>
      <c r="F10" s="83"/>
    </row>
    <row r="11" spans="1:6" x14ac:dyDescent="0.2">
      <c r="A11" s="47" t="s">
        <v>64</v>
      </c>
      <c r="B11" s="83"/>
      <c r="C11" s="50" t="s">
        <v>5</v>
      </c>
      <c r="D11" s="83"/>
      <c r="E11" s="50"/>
      <c r="F11" s="83"/>
    </row>
    <row r="12" spans="1:6" ht="60" x14ac:dyDescent="0.2">
      <c r="A12" s="43" t="s">
        <v>103</v>
      </c>
      <c r="B12" s="30" t="s">
        <v>183</v>
      </c>
      <c r="C12" s="34">
        <v>110</v>
      </c>
      <c r="D12" s="102">
        <f>C12/C3</f>
        <v>8.461538461538462E-2</v>
      </c>
      <c r="E12" s="50"/>
      <c r="F12" s="83"/>
    </row>
    <row r="13" spans="1:6" ht="80" x14ac:dyDescent="0.2">
      <c r="A13" s="43" t="s">
        <v>70</v>
      </c>
      <c r="B13" s="30" t="s">
        <v>184</v>
      </c>
      <c r="C13" s="34">
        <v>100</v>
      </c>
      <c r="D13" s="102">
        <f>C13/C3</f>
        <v>7.6923076923076927E-2</v>
      </c>
      <c r="E13" s="50"/>
      <c r="F13" s="83"/>
    </row>
    <row r="14" spans="1:6" ht="20" x14ac:dyDescent="0.2">
      <c r="A14" s="43" t="s">
        <v>158</v>
      </c>
      <c r="B14" s="30"/>
      <c r="C14" s="34">
        <f>C13+C12</f>
        <v>210</v>
      </c>
      <c r="D14" s="102">
        <f>C14/C3</f>
        <v>0.16153846153846155</v>
      </c>
      <c r="E14" s="50"/>
      <c r="F14" s="83"/>
    </row>
    <row r="15" spans="1:6" ht="40" x14ac:dyDescent="0.2">
      <c r="A15" s="87" t="s">
        <v>157</v>
      </c>
      <c r="B15" s="104" t="s">
        <v>185</v>
      </c>
      <c r="C15" s="103">
        <v>238</v>
      </c>
      <c r="D15" s="84"/>
      <c r="E15" s="53"/>
      <c r="F15" s="86"/>
    </row>
    <row r="17" spans="1:4" ht="20" x14ac:dyDescent="0.2">
      <c r="A17" s="14" t="s">
        <v>107</v>
      </c>
    </row>
    <row r="18" spans="1:4" x14ac:dyDescent="0.2">
      <c r="B18" s="76" t="s">
        <v>151</v>
      </c>
    </row>
    <row r="19" spans="1:4" x14ac:dyDescent="0.2">
      <c r="A19" s="2"/>
      <c r="B19" s="2" t="s">
        <v>152</v>
      </c>
      <c r="C19" s="75">
        <v>0.6</v>
      </c>
      <c r="D19" s="75"/>
    </row>
    <row r="20" spans="1:4" x14ac:dyDescent="0.2">
      <c r="A20" s="2"/>
      <c r="B20" s="2" t="s">
        <v>153</v>
      </c>
      <c r="C20" s="75">
        <v>0.51</v>
      </c>
      <c r="D20" s="75"/>
    </row>
    <row r="21" spans="1:4" ht="40" x14ac:dyDescent="0.2">
      <c r="A21" s="2"/>
      <c r="B21" s="1" t="s">
        <v>154</v>
      </c>
      <c r="C21" s="75">
        <v>0.25</v>
      </c>
      <c r="D21" s="75"/>
    </row>
    <row r="22" spans="1:4" x14ac:dyDescent="0.2">
      <c r="D22" s="75"/>
    </row>
    <row r="23" spans="1:4" ht="20" x14ac:dyDescent="0.2">
      <c r="B23" s="1" t="s">
        <v>80</v>
      </c>
      <c r="C23" s="77" t="s">
        <v>35</v>
      </c>
      <c r="D23" s="75"/>
    </row>
    <row r="24" spans="1:4" ht="40" x14ac:dyDescent="0.2">
      <c r="B24" s="1" t="s">
        <v>155</v>
      </c>
      <c r="C24" s="77" t="s">
        <v>35</v>
      </c>
      <c r="D24" s="75"/>
    </row>
    <row r="26" spans="1:4" x14ac:dyDescent="0.2">
      <c r="B26" s="2"/>
    </row>
    <row r="28" spans="1:4" x14ac:dyDescent="0.2">
      <c r="B28" s="2"/>
    </row>
    <row r="29" spans="1:4" x14ac:dyDescent="0.2">
      <c r="B29" s="2"/>
    </row>
    <row r="30" spans="1:4" x14ac:dyDescent="0.2">
      <c r="B30" s="2"/>
    </row>
    <row r="32" spans="1:4" x14ac:dyDescent="0.2">
      <c r="B32" s="20"/>
    </row>
    <row r="33" spans="2:2" x14ac:dyDescent="0.2">
      <c r="B33" s="20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4B37-2C9E-5048-8903-9883E4216AC5}">
  <dimension ref="A1:N46"/>
  <sheetViews>
    <sheetView topLeftCell="A19" workbookViewId="0">
      <selection activeCell="F16" sqref="F16"/>
    </sheetView>
  </sheetViews>
  <sheetFormatPr baseColWidth="10" defaultColWidth="8.83203125" defaultRowHeight="16" x14ac:dyDescent="0.2"/>
  <cols>
    <col min="2" max="2" width="12.5" customWidth="1"/>
    <col min="3" max="3" width="19" customWidth="1"/>
    <col min="4" max="4" width="24.6640625" customWidth="1"/>
    <col min="5" max="5" width="13.5" customWidth="1"/>
    <col min="6" max="6" width="16.33203125" customWidth="1"/>
    <col min="9" max="9" width="15.83203125" customWidth="1"/>
  </cols>
  <sheetData>
    <row r="1" spans="1:14" x14ac:dyDescent="0.2">
      <c r="B1" s="91" t="s">
        <v>159</v>
      </c>
      <c r="C1" s="91" t="s">
        <v>160</v>
      </c>
      <c r="D1" s="91" t="s">
        <v>161</v>
      </c>
      <c r="E1" s="91" t="s">
        <v>162</v>
      </c>
      <c r="F1" s="91" t="s">
        <v>163</v>
      </c>
      <c r="I1" s="91" t="s">
        <v>159</v>
      </c>
      <c r="J1" s="91" t="s">
        <v>164</v>
      </c>
      <c r="K1" s="91" t="s">
        <v>165</v>
      </c>
      <c r="L1" s="91" t="s">
        <v>166</v>
      </c>
      <c r="M1" s="91" t="s">
        <v>167</v>
      </c>
      <c r="N1" s="91" t="s">
        <v>168</v>
      </c>
    </row>
    <row r="2" spans="1:14" x14ac:dyDescent="0.2">
      <c r="A2" s="91">
        <v>0</v>
      </c>
      <c r="B2" s="92">
        <v>44896</v>
      </c>
      <c r="C2">
        <v>0.52317327766179544</v>
      </c>
      <c r="D2">
        <v>0.47494780793319408</v>
      </c>
      <c r="E2">
        <v>0</v>
      </c>
      <c r="F2">
        <v>0</v>
      </c>
      <c r="H2" s="91">
        <v>0</v>
      </c>
      <c r="I2" s="92">
        <v>44896</v>
      </c>
      <c r="J2">
        <v>2506</v>
      </c>
      <c r="K2">
        <v>2275</v>
      </c>
      <c r="L2">
        <v>0</v>
      </c>
      <c r="M2">
        <v>4790</v>
      </c>
      <c r="N2">
        <v>0</v>
      </c>
    </row>
    <row r="3" spans="1:14" x14ac:dyDescent="0.2">
      <c r="A3" s="91">
        <v>1</v>
      </c>
      <c r="B3" s="92">
        <v>44927</v>
      </c>
      <c r="C3">
        <v>0.48473520249221191</v>
      </c>
      <c r="D3">
        <v>0.42866043613707172</v>
      </c>
      <c r="E3">
        <v>0</v>
      </c>
      <c r="F3">
        <v>0</v>
      </c>
      <c r="H3" s="91">
        <v>1</v>
      </c>
      <c r="I3" s="92">
        <v>44927</v>
      </c>
      <c r="J3">
        <v>778</v>
      </c>
      <c r="K3">
        <v>688</v>
      </c>
      <c r="L3">
        <v>0</v>
      </c>
      <c r="M3">
        <v>1605</v>
      </c>
      <c r="N3">
        <v>0</v>
      </c>
    </row>
    <row r="4" spans="1:14" x14ac:dyDescent="0.2">
      <c r="A4" s="91">
        <v>2</v>
      </c>
      <c r="B4" s="92">
        <v>44958</v>
      </c>
      <c r="C4">
        <v>0.49058295964125559</v>
      </c>
      <c r="D4">
        <v>0.4295964125560538</v>
      </c>
      <c r="E4">
        <v>0</v>
      </c>
      <c r="F4">
        <v>0</v>
      </c>
      <c r="H4" s="91">
        <v>2</v>
      </c>
      <c r="I4" s="92">
        <v>44958</v>
      </c>
      <c r="J4">
        <v>547</v>
      </c>
      <c r="K4">
        <v>479</v>
      </c>
      <c r="L4">
        <v>0</v>
      </c>
      <c r="M4">
        <v>1115</v>
      </c>
      <c r="N4">
        <v>0</v>
      </c>
    </row>
    <row r="5" spans="1:14" x14ac:dyDescent="0.2">
      <c r="A5" s="91">
        <v>3</v>
      </c>
      <c r="B5" s="92">
        <v>44986</v>
      </c>
      <c r="C5">
        <v>0.40740740740740738</v>
      </c>
      <c r="D5">
        <v>0.27805417357656159</v>
      </c>
      <c r="E5">
        <v>0</v>
      </c>
      <c r="F5">
        <v>0</v>
      </c>
      <c r="H5" s="91">
        <v>3</v>
      </c>
      <c r="I5" s="92">
        <v>44986</v>
      </c>
      <c r="J5">
        <v>737</v>
      </c>
      <c r="K5">
        <v>503</v>
      </c>
      <c r="L5">
        <v>0</v>
      </c>
      <c r="M5">
        <v>1809</v>
      </c>
      <c r="N5">
        <v>0</v>
      </c>
    </row>
    <row r="6" spans="1:14" x14ac:dyDescent="0.2">
      <c r="A6" s="91">
        <v>4</v>
      </c>
      <c r="B6" s="92">
        <v>45017</v>
      </c>
      <c r="C6">
        <v>0.34640810929925081</v>
      </c>
      <c r="D6">
        <v>0.21507271925958571</v>
      </c>
      <c r="E6">
        <v>0</v>
      </c>
      <c r="F6">
        <v>0</v>
      </c>
      <c r="H6" s="91">
        <v>4</v>
      </c>
      <c r="I6" s="92">
        <v>45017</v>
      </c>
      <c r="J6">
        <v>786</v>
      </c>
      <c r="K6">
        <v>488</v>
      </c>
      <c r="L6">
        <v>0</v>
      </c>
      <c r="M6">
        <v>2269</v>
      </c>
      <c r="N6">
        <v>0</v>
      </c>
    </row>
    <row r="7" spans="1:14" x14ac:dyDescent="0.2">
      <c r="A7" s="91">
        <v>5</v>
      </c>
      <c r="B7" s="92">
        <v>45047</v>
      </c>
      <c r="C7">
        <v>0.29070691024622719</v>
      </c>
      <c r="D7">
        <v>0.1850675138999206</v>
      </c>
      <c r="E7">
        <v>0</v>
      </c>
      <c r="F7">
        <v>0</v>
      </c>
      <c r="H7" s="91">
        <v>5</v>
      </c>
      <c r="I7" s="92">
        <v>45047</v>
      </c>
      <c r="J7">
        <v>366</v>
      </c>
      <c r="K7">
        <v>233</v>
      </c>
      <c r="L7">
        <v>0</v>
      </c>
      <c r="M7">
        <v>1259</v>
      </c>
      <c r="N7">
        <v>0</v>
      </c>
    </row>
    <row r="8" spans="1:14" x14ac:dyDescent="0.2">
      <c r="A8" s="91">
        <v>6</v>
      </c>
      <c r="B8" s="92">
        <v>45078</v>
      </c>
      <c r="C8">
        <v>0.3112208892025406</v>
      </c>
      <c r="D8">
        <v>0.24841213832039519</v>
      </c>
      <c r="E8">
        <v>0</v>
      </c>
      <c r="F8">
        <v>0</v>
      </c>
      <c r="H8" s="91">
        <v>6</v>
      </c>
      <c r="I8" s="92">
        <v>45078</v>
      </c>
      <c r="J8">
        <v>441</v>
      </c>
      <c r="K8">
        <v>352</v>
      </c>
      <c r="L8">
        <v>0</v>
      </c>
      <c r="M8">
        <v>1417</v>
      </c>
      <c r="N8">
        <v>0</v>
      </c>
    </row>
    <row r="9" spans="1:14" x14ac:dyDescent="0.2">
      <c r="A9" s="91">
        <v>7</v>
      </c>
      <c r="B9" s="92">
        <v>45108</v>
      </c>
      <c r="C9">
        <v>0.31468531468531469</v>
      </c>
      <c r="D9">
        <v>0.39429800968262507</v>
      </c>
      <c r="E9">
        <v>0</v>
      </c>
      <c r="F9">
        <v>0</v>
      </c>
      <c r="H9" s="91">
        <v>7</v>
      </c>
      <c r="I9" s="92">
        <v>45108</v>
      </c>
      <c r="J9">
        <v>585</v>
      </c>
      <c r="K9">
        <v>733</v>
      </c>
      <c r="L9">
        <v>0</v>
      </c>
      <c r="M9">
        <v>1859</v>
      </c>
      <c r="N9">
        <v>0</v>
      </c>
    </row>
    <row r="10" spans="1:14" x14ac:dyDescent="0.2">
      <c r="A10" s="91">
        <v>8</v>
      </c>
      <c r="B10" s="92">
        <v>45139</v>
      </c>
      <c r="C10">
        <v>0.27371273712737132</v>
      </c>
      <c r="D10">
        <v>0.36720867208672092</v>
      </c>
      <c r="E10">
        <v>0</v>
      </c>
      <c r="F10">
        <v>1.309846431797651E-2</v>
      </c>
      <c r="H10" s="91">
        <v>8</v>
      </c>
      <c r="I10" s="92">
        <v>45139</v>
      </c>
      <c r="J10">
        <v>606</v>
      </c>
      <c r="K10">
        <v>813</v>
      </c>
      <c r="L10">
        <v>0</v>
      </c>
      <c r="M10">
        <v>2214</v>
      </c>
      <c r="N10">
        <v>29</v>
      </c>
    </row>
    <row r="11" spans="1:14" x14ac:dyDescent="0.2">
      <c r="A11" s="91">
        <v>9</v>
      </c>
      <c r="B11" s="92">
        <v>45170</v>
      </c>
      <c r="C11">
        <v>0.24294960702727689</v>
      </c>
      <c r="D11">
        <v>0.2387887193712436</v>
      </c>
      <c r="E11">
        <v>0</v>
      </c>
      <c r="F11">
        <v>5.1317614424410539E-2</v>
      </c>
      <c r="H11" s="91">
        <v>9</v>
      </c>
      <c r="I11" s="92">
        <v>45170</v>
      </c>
      <c r="J11">
        <v>1051</v>
      </c>
      <c r="K11">
        <v>1033</v>
      </c>
      <c r="L11">
        <v>0</v>
      </c>
      <c r="M11">
        <v>4326</v>
      </c>
      <c r="N11">
        <v>222</v>
      </c>
    </row>
    <row r="12" spans="1:14" x14ac:dyDescent="0.2">
      <c r="A12" s="91">
        <v>10</v>
      </c>
      <c r="B12" s="92">
        <v>45200</v>
      </c>
      <c r="C12">
        <v>0.38375314861460957</v>
      </c>
      <c r="D12">
        <v>0.2306045340050378</v>
      </c>
      <c r="E12">
        <v>0</v>
      </c>
      <c r="F12">
        <v>4.2191435768261967E-2</v>
      </c>
      <c r="H12" s="91">
        <v>10</v>
      </c>
      <c r="I12" s="92">
        <v>45200</v>
      </c>
      <c r="J12">
        <v>3047</v>
      </c>
      <c r="K12">
        <v>1831</v>
      </c>
      <c r="L12">
        <v>0</v>
      </c>
      <c r="M12">
        <v>7940</v>
      </c>
      <c r="N12">
        <v>335</v>
      </c>
    </row>
    <row r="13" spans="1:14" x14ac:dyDescent="0.2">
      <c r="A13" s="91">
        <v>11</v>
      </c>
      <c r="B13" s="92">
        <v>45231</v>
      </c>
      <c r="C13">
        <v>0.3466644261468661</v>
      </c>
      <c r="D13">
        <v>0.2239959670643589</v>
      </c>
      <c r="E13">
        <v>0</v>
      </c>
      <c r="F13">
        <v>3.461603091917325E-2</v>
      </c>
      <c r="H13" s="91">
        <v>11</v>
      </c>
      <c r="I13" s="92">
        <v>45231</v>
      </c>
      <c r="J13">
        <v>2063</v>
      </c>
      <c r="K13">
        <v>1333</v>
      </c>
      <c r="L13">
        <v>0</v>
      </c>
      <c r="M13">
        <v>5951</v>
      </c>
      <c r="N13">
        <v>206</v>
      </c>
    </row>
    <row r="14" spans="1:14" x14ac:dyDescent="0.2">
      <c r="A14" s="91">
        <v>12</v>
      </c>
      <c r="B14" s="92">
        <v>45261</v>
      </c>
      <c r="C14">
        <v>0.39618609238862401</v>
      </c>
      <c r="D14">
        <v>0.2064770672365609</v>
      </c>
      <c r="E14">
        <v>0</v>
      </c>
      <c r="F14">
        <v>2.663159625184942E-2</v>
      </c>
      <c r="H14" s="91">
        <v>12</v>
      </c>
      <c r="I14" s="92">
        <v>45261</v>
      </c>
      <c r="J14">
        <v>2410</v>
      </c>
      <c r="K14">
        <v>1256</v>
      </c>
      <c r="L14">
        <v>0</v>
      </c>
      <c r="M14">
        <v>6083</v>
      </c>
      <c r="N14">
        <v>162</v>
      </c>
    </row>
    <row r="15" spans="1:14" x14ac:dyDescent="0.2">
      <c r="A15" s="91">
        <v>13</v>
      </c>
      <c r="B15" s="92">
        <v>45292</v>
      </c>
      <c r="C15">
        <v>0.38477431659249839</v>
      </c>
      <c r="D15">
        <v>0.23219961856325491</v>
      </c>
      <c r="E15">
        <v>0</v>
      </c>
      <c r="F15">
        <v>3.5600762873490149E-2</v>
      </c>
      <c r="H15" s="91">
        <v>13</v>
      </c>
      <c r="I15" s="92">
        <v>45292</v>
      </c>
      <c r="J15">
        <v>2421</v>
      </c>
      <c r="K15">
        <v>1461</v>
      </c>
      <c r="L15">
        <v>0</v>
      </c>
      <c r="M15">
        <v>6292</v>
      </c>
      <c r="N15">
        <v>224</v>
      </c>
    </row>
    <row r="16" spans="1:14" x14ac:dyDescent="0.2">
      <c r="A16" s="91">
        <v>14</v>
      </c>
      <c r="B16" s="92">
        <v>45323</v>
      </c>
      <c r="C16">
        <v>0.35522151898734178</v>
      </c>
      <c r="D16">
        <v>0.24541139240506329</v>
      </c>
      <c r="E16">
        <v>0</v>
      </c>
      <c r="F16">
        <v>3.212025316455696E-2</v>
      </c>
      <c r="H16" s="91">
        <v>14</v>
      </c>
      <c r="I16" s="92">
        <v>45323</v>
      </c>
      <c r="J16">
        <v>2245</v>
      </c>
      <c r="K16">
        <v>1551</v>
      </c>
      <c r="L16">
        <v>0</v>
      </c>
      <c r="M16">
        <v>6320</v>
      </c>
      <c r="N16">
        <v>203</v>
      </c>
    </row>
    <row r="17" spans="1:14" x14ac:dyDescent="0.2">
      <c r="A17" s="91">
        <v>15</v>
      </c>
      <c r="B17" s="92">
        <v>45352</v>
      </c>
      <c r="C17">
        <v>0.39979641175722103</v>
      </c>
      <c r="D17">
        <v>0.2245832803155618</v>
      </c>
      <c r="E17">
        <v>0</v>
      </c>
      <c r="F17">
        <v>2.4557831785214399E-2</v>
      </c>
      <c r="H17" s="91">
        <v>15</v>
      </c>
      <c r="I17" s="92">
        <v>45352</v>
      </c>
      <c r="J17">
        <v>3142</v>
      </c>
      <c r="K17">
        <v>1765</v>
      </c>
      <c r="L17">
        <v>0</v>
      </c>
      <c r="M17">
        <v>7859</v>
      </c>
      <c r="N17">
        <v>193</v>
      </c>
    </row>
    <row r="18" spans="1:14" x14ac:dyDescent="0.2">
      <c r="A18" s="91">
        <v>16</v>
      </c>
      <c r="B18" s="92">
        <v>45383</v>
      </c>
      <c r="C18">
        <v>0.39657585872725309</v>
      </c>
      <c r="D18">
        <v>0.16033164638742331</v>
      </c>
      <c r="E18">
        <v>0</v>
      </c>
      <c r="F18">
        <v>1.690535156670615E-2</v>
      </c>
      <c r="H18" s="91">
        <v>16</v>
      </c>
      <c r="I18" s="92">
        <v>45383</v>
      </c>
      <c r="J18">
        <v>3683</v>
      </c>
      <c r="K18">
        <v>1489</v>
      </c>
      <c r="L18">
        <v>0</v>
      </c>
      <c r="M18">
        <v>9287</v>
      </c>
      <c r="N18">
        <v>157</v>
      </c>
    </row>
    <row r="19" spans="1:14" x14ac:dyDescent="0.2">
      <c r="A19" s="91">
        <v>17</v>
      </c>
      <c r="B19" s="92">
        <v>45413</v>
      </c>
      <c r="C19">
        <v>0.29031085257225958</v>
      </c>
      <c r="D19">
        <v>0.1577894928194874</v>
      </c>
      <c r="E19">
        <v>0</v>
      </c>
      <c r="F19">
        <v>2.3995637156880571E-2</v>
      </c>
      <c r="H19" s="91">
        <v>17</v>
      </c>
      <c r="I19" s="92">
        <v>45413</v>
      </c>
      <c r="J19">
        <v>1597</v>
      </c>
      <c r="K19">
        <v>868</v>
      </c>
      <c r="L19">
        <v>0</v>
      </c>
      <c r="M19">
        <v>5501</v>
      </c>
      <c r="N19">
        <v>132</v>
      </c>
    </row>
    <row r="20" spans="1:14" x14ac:dyDescent="0.2">
      <c r="A20" s="91">
        <v>18</v>
      </c>
      <c r="B20" s="92">
        <v>45444</v>
      </c>
      <c r="C20">
        <v>0.26909722222222221</v>
      </c>
      <c r="D20">
        <v>0.16631944444444441</v>
      </c>
      <c r="E20">
        <v>0</v>
      </c>
      <c r="F20">
        <v>1.7013888888888891E-2</v>
      </c>
      <c r="H20" s="91">
        <v>18</v>
      </c>
      <c r="I20" s="92">
        <v>45444</v>
      </c>
      <c r="J20">
        <v>1550</v>
      </c>
      <c r="K20">
        <v>958</v>
      </c>
      <c r="L20">
        <v>0</v>
      </c>
      <c r="M20">
        <v>5760</v>
      </c>
      <c r="N20">
        <v>98</v>
      </c>
    </row>
    <row r="21" spans="1:14" x14ac:dyDescent="0.2">
      <c r="A21" s="91">
        <v>19</v>
      </c>
      <c r="B21" s="92">
        <v>45474</v>
      </c>
      <c r="C21">
        <v>0.37830006439150032</v>
      </c>
      <c r="D21">
        <v>0.216677398583387</v>
      </c>
      <c r="E21">
        <v>0</v>
      </c>
      <c r="F21">
        <v>1.835157759175789E-2</v>
      </c>
      <c r="H21" s="91">
        <v>19</v>
      </c>
      <c r="I21" s="92">
        <v>45474</v>
      </c>
      <c r="J21">
        <v>2350</v>
      </c>
      <c r="K21">
        <v>1346</v>
      </c>
      <c r="L21">
        <v>0</v>
      </c>
      <c r="M21">
        <v>6212</v>
      </c>
      <c r="N21">
        <v>114</v>
      </c>
    </row>
    <row r="22" spans="1:14" x14ac:dyDescent="0.2">
      <c r="A22" s="91">
        <v>20</v>
      </c>
      <c r="B22" s="92">
        <v>45505</v>
      </c>
      <c r="C22">
        <v>0.29905098212315162</v>
      </c>
      <c r="D22">
        <v>0.2015007724564114</v>
      </c>
      <c r="E22">
        <v>0</v>
      </c>
      <c r="F22">
        <v>2.2511586846170821E-2</v>
      </c>
      <c r="H22" s="91">
        <v>20</v>
      </c>
      <c r="I22" s="92">
        <v>45505</v>
      </c>
      <c r="J22">
        <v>1355</v>
      </c>
      <c r="K22">
        <v>913</v>
      </c>
      <c r="L22">
        <v>0</v>
      </c>
      <c r="M22">
        <v>4531</v>
      </c>
      <c r="N22">
        <v>102</v>
      </c>
    </row>
    <row r="23" spans="1:14" x14ac:dyDescent="0.2">
      <c r="A23" s="91">
        <v>21</v>
      </c>
      <c r="B23" s="92">
        <v>45536</v>
      </c>
      <c r="C23">
        <v>0.25826598089639968</v>
      </c>
      <c r="D23">
        <v>0.16972814107274059</v>
      </c>
      <c r="E23">
        <v>0</v>
      </c>
      <c r="F23">
        <v>2.4981631153563551E-2</v>
      </c>
      <c r="H23" s="91">
        <v>21</v>
      </c>
      <c r="I23" s="92">
        <v>45536</v>
      </c>
      <c r="J23">
        <v>1406</v>
      </c>
      <c r="K23">
        <v>924</v>
      </c>
      <c r="L23">
        <v>0</v>
      </c>
      <c r="M23">
        <v>5444</v>
      </c>
      <c r="N23">
        <v>136</v>
      </c>
    </row>
    <row r="24" spans="1:14" x14ac:dyDescent="0.2">
      <c r="A24" s="91">
        <v>22</v>
      </c>
      <c r="B24" s="92">
        <v>45566</v>
      </c>
      <c r="C24">
        <v>0.30654761904761912</v>
      </c>
      <c r="D24">
        <v>0.18347338935574231</v>
      </c>
      <c r="E24">
        <v>0</v>
      </c>
      <c r="F24">
        <v>2.5210084033613449E-2</v>
      </c>
      <c r="H24" s="91">
        <v>22</v>
      </c>
      <c r="I24" s="92">
        <v>45566</v>
      </c>
      <c r="J24">
        <v>1751</v>
      </c>
      <c r="K24">
        <v>1048</v>
      </c>
      <c r="L24">
        <v>0</v>
      </c>
      <c r="M24">
        <v>5712</v>
      </c>
      <c r="N24">
        <v>144</v>
      </c>
    </row>
    <row r="25" spans="1:14" x14ac:dyDescent="0.2">
      <c r="A25" s="91">
        <v>23</v>
      </c>
      <c r="B25" s="92">
        <v>45597</v>
      </c>
      <c r="C25">
        <v>0.24273902904388381</v>
      </c>
      <c r="D25">
        <v>0.16005935976256089</v>
      </c>
      <c r="E25">
        <v>0</v>
      </c>
      <c r="F25">
        <v>2.310790756836973E-2</v>
      </c>
      <c r="H25" s="91">
        <v>23</v>
      </c>
      <c r="I25" s="92">
        <v>45597</v>
      </c>
      <c r="J25">
        <v>1145</v>
      </c>
      <c r="K25">
        <v>755</v>
      </c>
      <c r="L25">
        <v>0</v>
      </c>
      <c r="M25">
        <v>4717</v>
      </c>
      <c r="N25">
        <v>109</v>
      </c>
    </row>
    <row r="26" spans="1:14" x14ac:dyDescent="0.2">
      <c r="A26" s="91">
        <v>24</v>
      </c>
      <c r="B26" s="92">
        <v>45627</v>
      </c>
      <c r="C26">
        <v>0.26682224815246991</v>
      </c>
      <c r="D26">
        <v>0.16705562038117461</v>
      </c>
      <c r="E26">
        <v>0</v>
      </c>
      <c r="F26">
        <v>2.6059898872034231E-2</v>
      </c>
      <c r="H26" s="91">
        <v>24</v>
      </c>
      <c r="I26" s="92">
        <v>45627</v>
      </c>
      <c r="J26">
        <v>1372</v>
      </c>
      <c r="K26">
        <v>859</v>
      </c>
      <c r="L26">
        <v>0</v>
      </c>
      <c r="M26">
        <v>5142</v>
      </c>
      <c r="N26">
        <v>134</v>
      </c>
    </row>
    <row r="27" spans="1:14" x14ac:dyDescent="0.2">
      <c r="A27" s="91">
        <v>25</v>
      </c>
      <c r="B27" s="92">
        <v>45658</v>
      </c>
      <c r="C27">
        <v>0.24859287054408999</v>
      </c>
      <c r="D27">
        <v>0.1532833020637899</v>
      </c>
      <c r="E27">
        <v>0</v>
      </c>
      <c r="F27">
        <v>2.1763602251407131E-2</v>
      </c>
      <c r="H27" s="91">
        <v>25</v>
      </c>
      <c r="I27" s="92">
        <v>45658</v>
      </c>
      <c r="J27">
        <v>1325</v>
      </c>
      <c r="K27">
        <v>817</v>
      </c>
      <c r="L27">
        <v>0</v>
      </c>
      <c r="M27">
        <v>5330</v>
      </c>
      <c r="N27">
        <v>116</v>
      </c>
    </row>
    <row r="28" spans="1:14" x14ac:dyDescent="0.2">
      <c r="A28" s="91">
        <v>26</v>
      </c>
      <c r="B28" s="92">
        <v>45689</v>
      </c>
      <c r="C28">
        <v>0.25638210266264072</v>
      </c>
      <c r="D28">
        <v>0.15536645621740319</v>
      </c>
      <c r="E28">
        <v>0</v>
      </c>
      <c r="F28">
        <v>2.7998902003842991E-2</v>
      </c>
      <c r="H28" s="91">
        <v>26</v>
      </c>
      <c r="I28" s="92">
        <v>45689</v>
      </c>
      <c r="J28">
        <v>934</v>
      </c>
      <c r="K28">
        <v>566</v>
      </c>
      <c r="L28">
        <v>0</v>
      </c>
      <c r="M28">
        <v>3643</v>
      </c>
      <c r="N28">
        <v>102</v>
      </c>
    </row>
    <row r="29" spans="1:14" x14ac:dyDescent="0.2">
      <c r="A29" s="91">
        <v>27</v>
      </c>
      <c r="B29" s="92">
        <v>45717</v>
      </c>
      <c r="C29">
        <v>0.25739089629282019</v>
      </c>
      <c r="D29">
        <v>0.1264664476771469</v>
      </c>
      <c r="E29">
        <v>0</v>
      </c>
      <c r="F29">
        <v>2.6278742374472079E-2</v>
      </c>
      <c r="H29" s="91">
        <v>27</v>
      </c>
      <c r="I29" s="92">
        <v>45717</v>
      </c>
      <c r="J29">
        <v>1097</v>
      </c>
      <c r="K29">
        <v>539</v>
      </c>
      <c r="L29">
        <v>0</v>
      </c>
      <c r="M29">
        <v>4262</v>
      </c>
      <c r="N29">
        <v>112</v>
      </c>
    </row>
    <row r="30" spans="1:14" x14ac:dyDescent="0.2">
      <c r="A30" s="91">
        <v>28</v>
      </c>
      <c r="B30" s="92">
        <v>45748</v>
      </c>
      <c r="C30">
        <v>0.31634485855410871</v>
      </c>
      <c r="D30">
        <v>0.1084418500224517</v>
      </c>
      <c r="E30">
        <v>0</v>
      </c>
      <c r="F30">
        <v>1.6614279299506061E-2</v>
      </c>
      <c r="H30" s="91">
        <v>28</v>
      </c>
      <c r="I30" s="92">
        <v>45748</v>
      </c>
      <c r="J30">
        <v>1409</v>
      </c>
      <c r="K30">
        <v>483</v>
      </c>
      <c r="L30">
        <v>0</v>
      </c>
      <c r="M30">
        <v>4454</v>
      </c>
      <c r="N30">
        <v>74</v>
      </c>
    </row>
    <row r="31" spans="1:14" x14ac:dyDescent="0.2">
      <c r="A31" s="91">
        <v>29</v>
      </c>
      <c r="B31" s="92">
        <v>45778</v>
      </c>
      <c r="C31">
        <v>0.19230769230769229</v>
      </c>
      <c r="D31">
        <v>9.0365944734876774E-2</v>
      </c>
      <c r="E31">
        <v>0</v>
      </c>
      <c r="F31">
        <v>1.568334578043316E-2</v>
      </c>
      <c r="H31" s="91">
        <v>29</v>
      </c>
      <c r="I31" s="92">
        <v>45778</v>
      </c>
      <c r="J31">
        <v>515</v>
      </c>
      <c r="K31">
        <v>242</v>
      </c>
      <c r="L31">
        <v>0</v>
      </c>
      <c r="M31">
        <v>2678</v>
      </c>
      <c r="N31">
        <v>42</v>
      </c>
    </row>
    <row r="32" spans="1:14" x14ac:dyDescent="0.2">
      <c r="A32" s="91">
        <v>30</v>
      </c>
      <c r="B32" s="92">
        <v>45809</v>
      </c>
      <c r="C32">
        <v>0.19392123287671231</v>
      </c>
      <c r="D32">
        <v>8.3476027397260275E-2</v>
      </c>
      <c r="E32">
        <v>0</v>
      </c>
      <c r="F32">
        <v>1.7123287671232879E-2</v>
      </c>
      <c r="H32" s="91">
        <v>30</v>
      </c>
      <c r="I32" s="92">
        <v>45809</v>
      </c>
      <c r="J32">
        <v>453</v>
      </c>
      <c r="K32">
        <v>195</v>
      </c>
      <c r="L32">
        <v>0</v>
      </c>
      <c r="M32">
        <v>2336</v>
      </c>
      <c r="N32">
        <v>40</v>
      </c>
    </row>
    <row r="33" spans="1:14" x14ac:dyDescent="0.2">
      <c r="A33" s="91">
        <v>31</v>
      </c>
      <c r="B33" s="92">
        <v>45839</v>
      </c>
      <c r="C33">
        <v>0.26991317478293703</v>
      </c>
      <c r="D33">
        <v>9.6262740656851642E-2</v>
      </c>
      <c r="E33">
        <v>7.5500188750471874E-4</v>
      </c>
      <c r="F33">
        <v>1.9630049075122689E-2</v>
      </c>
      <c r="H33" s="91">
        <v>31</v>
      </c>
      <c r="I33" s="92">
        <v>45839</v>
      </c>
      <c r="J33">
        <v>715</v>
      </c>
      <c r="K33">
        <v>255</v>
      </c>
      <c r="L33">
        <v>2</v>
      </c>
      <c r="M33">
        <v>2649</v>
      </c>
      <c r="N33">
        <v>52</v>
      </c>
    </row>
    <row r="34" spans="1:14" x14ac:dyDescent="0.2">
      <c r="A34" s="91">
        <v>32</v>
      </c>
      <c r="B34" s="92">
        <v>45870</v>
      </c>
      <c r="C34">
        <v>0.19503722084367239</v>
      </c>
      <c r="D34">
        <v>8.2878411910669969E-2</v>
      </c>
      <c r="E34">
        <v>1.786600496277916E-2</v>
      </c>
      <c r="F34">
        <v>2.0347394540942931E-2</v>
      </c>
      <c r="H34" s="91">
        <v>32</v>
      </c>
      <c r="I34" s="92">
        <v>45870</v>
      </c>
      <c r="J34">
        <v>393</v>
      </c>
      <c r="K34">
        <v>167</v>
      </c>
      <c r="L34">
        <v>36</v>
      </c>
      <c r="M34">
        <v>2015</v>
      </c>
      <c r="N34">
        <v>41</v>
      </c>
    </row>
    <row r="35" spans="1:14" x14ac:dyDescent="0.2">
      <c r="A35" s="91">
        <v>33</v>
      </c>
      <c r="B35" s="92">
        <v>45901</v>
      </c>
      <c r="C35">
        <v>0.1248741188318228</v>
      </c>
      <c r="D35">
        <v>7.3514602215508554E-2</v>
      </c>
      <c r="E35">
        <v>1.1581067472306141E-2</v>
      </c>
      <c r="F35">
        <v>1.7875125881168179E-2</v>
      </c>
      <c r="H35" s="91">
        <v>33</v>
      </c>
      <c r="I35" s="92">
        <v>45901</v>
      </c>
      <c r="J35">
        <v>496</v>
      </c>
      <c r="K35">
        <v>292</v>
      </c>
      <c r="L35">
        <v>46</v>
      </c>
      <c r="M35">
        <v>3972</v>
      </c>
      <c r="N35">
        <v>71</v>
      </c>
    </row>
    <row r="36" spans="1:14" x14ac:dyDescent="0.2">
      <c r="A36" s="91">
        <v>34</v>
      </c>
      <c r="B36" s="92">
        <v>45931</v>
      </c>
      <c r="C36">
        <v>0.1675353685778109</v>
      </c>
      <c r="D36">
        <v>7.5452965996525193E-2</v>
      </c>
      <c r="E36">
        <v>4.7158103747828254E-3</v>
      </c>
      <c r="F36">
        <v>1.0176222387689249E-2</v>
      </c>
      <c r="H36" s="91">
        <v>34</v>
      </c>
      <c r="I36" s="92">
        <v>45931</v>
      </c>
      <c r="J36">
        <v>675</v>
      </c>
      <c r="K36">
        <v>304</v>
      </c>
      <c r="L36">
        <v>19</v>
      </c>
      <c r="M36">
        <v>4029</v>
      </c>
      <c r="N36">
        <v>41</v>
      </c>
    </row>
    <row r="37" spans="1:14" x14ac:dyDescent="0.2">
      <c r="A37" s="91">
        <v>35</v>
      </c>
      <c r="B37" s="92">
        <v>45962</v>
      </c>
      <c r="C37">
        <v>0.14640883977900551</v>
      </c>
      <c r="D37">
        <v>7.4980268350434101E-2</v>
      </c>
      <c r="E37">
        <v>7.8926598263614842E-3</v>
      </c>
      <c r="F37">
        <v>1.3417521704814519E-2</v>
      </c>
      <c r="H37" s="91">
        <v>35</v>
      </c>
      <c r="I37" s="92">
        <v>45962</v>
      </c>
      <c r="J37">
        <v>371</v>
      </c>
      <c r="K37">
        <v>190</v>
      </c>
      <c r="L37">
        <v>20</v>
      </c>
      <c r="M37">
        <v>2534</v>
      </c>
      <c r="N37">
        <v>34</v>
      </c>
    </row>
    <row r="38" spans="1:14" x14ac:dyDescent="0.2">
      <c r="A38" s="91">
        <v>36</v>
      </c>
      <c r="B38" s="92">
        <v>45992</v>
      </c>
      <c r="C38">
        <v>0.1263440860215054</v>
      </c>
      <c r="D38">
        <v>0.1095430107526882</v>
      </c>
      <c r="E38">
        <v>4.7043010752688174E-3</v>
      </c>
      <c r="F38">
        <v>1.0080645161290321E-2</v>
      </c>
      <c r="H38" s="91">
        <v>36</v>
      </c>
      <c r="I38" s="92">
        <v>45992</v>
      </c>
      <c r="J38">
        <v>376</v>
      </c>
      <c r="K38">
        <v>326</v>
      </c>
      <c r="L38">
        <v>14</v>
      </c>
      <c r="M38">
        <v>2976</v>
      </c>
      <c r="N38">
        <v>30</v>
      </c>
    </row>
    <row r="39" spans="1:14" s="95" customFormat="1" x14ac:dyDescent="0.2">
      <c r="A39" s="93">
        <v>37</v>
      </c>
      <c r="B39" s="94">
        <v>46023</v>
      </c>
      <c r="C39" s="95">
        <v>0.1228457799381352</v>
      </c>
      <c r="D39" s="95">
        <v>0.13698630136986301</v>
      </c>
      <c r="E39" s="95">
        <v>6.1864781263809114E-3</v>
      </c>
      <c r="F39" s="95">
        <v>1.016349977905435E-2</v>
      </c>
      <c r="H39" s="93">
        <v>37</v>
      </c>
      <c r="I39" s="94">
        <v>46023</v>
      </c>
      <c r="J39" s="95">
        <v>278</v>
      </c>
      <c r="K39" s="95">
        <v>310</v>
      </c>
      <c r="L39" s="95">
        <v>14</v>
      </c>
      <c r="M39" s="95">
        <v>2263</v>
      </c>
      <c r="N39" s="95">
        <v>23</v>
      </c>
    </row>
    <row r="40" spans="1:14" s="95" customFormat="1" x14ac:dyDescent="0.2">
      <c r="A40" s="93">
        <v>38</v>
      </c>
      <c r="B40" s="94">
        <v>46054</v>
      </c>
      <c r="C40" s="95">
        <v>0.1255946717411989</v>
      </c>
      <c r="D40" s="95">
        <v>0.13320647002854419</v>
      </c>
      <c r="E40" s="95">
        <v>2.85442435775452E-3</v>
      </c>
      <c r="F40" s="95">
        <v>1.04662226450999E-2</v>
      </c>
      <c r="H40" s="93">
        <v>38</v>
      </c>
      <c r="I40" s="94">
        <v>46054</v>
      </c>
      <c r="J40" s="95">
        <v>264</v>
      </c>
      <c r="K40" s="95">
        <v>280</v>
      </c>
      <c r="L40" s="95">
        <v>6</v>
      </c>
      <c r="M40" s="95">
        <v>2102</v>
      </c>
      <c r="N40" s="95">
        <v>22</v>
      </c>
    </row>
    <row r="41" spans="1:14" s="95" customFormat="1" x14ac:dyDescent="0.2">
      <c r="A41" s="93">
        <v>39</v>
      </c>
      <c r="B41" s="94">
        <v>46082</v>
      </c>
      <c r="C41" s="95">
        <v>0.1342031686859273</v>
      </c>
      <c r="D41" s="95">
        <v>0.15517241379310351</v>
      </c>
      <c r="E41" s="95">
        <v>6.9897483690587138E-3</v>
      </c>
      <c r="F41" s="95">
        <v>1.3047530288909599E-2</v>
      </c>
      <c r="H41" s="93">
        <v>39</v>
      </c>
      <c r="I41" s="94">
        <v>46082</v>
      </c>
      <c r="J41" s="95">
        <v>288</v>
      </c>
      <c r="K41" s="95">
        <v>333</v>
      </c>
      <c r="L41" s="95">
        <v>15</v>
      </c>
      <c r="M41" s="95">
        <v>2146</v>
      </c>
      <c r="N41" s="95">
        <v>28</v>
      </c>
    </row>
    <row r="42" spans="1:14" s="95" customFormat="1" x14ac:dyDescent="0.2">
      <c r="A42" s="93">
        <v>40</v>
      </c>
      <c r="B42" s="94">
        <v>46113</v>
      </c>
      <c r="C42" s="95">
        <v>0.21121416526138281</v>
      </c>
      <c r="D42" s="95">
        <v>0.15851602023608771</v>
      </c>
      <c r="E42" s="95">
        <v>2.951096121416526E-3</v>
      </c>
      <c r="F42" s="95">
        <v>3.7942664418212481E-3</v>
      </c>
      <c r="H42" s="93">
        <v>40</v>
      </c>
      <c r="I42" s="94">
        <v>46113</v>
      </c>
      <c r="J42" s="95">
        <v>501</v>
      </c>
      <c r="K42" s="95">
        <v>376</v>
      </c>
      <c r="L42" s="95">
        <v>7</v>
      </c>
      <c r="M42" s="95">
        <v>2372</v>
      </c>
      <c r="N42" s="95">
        <v>9</v>
      </c>
    </row>
    <row r="43" spans="1:14" s="95" customFormat="1" x14ac:dyDescent="0.2">
      <c r="A43" s="93">
        <v>41</v>
      </c>
      <c r="B43" s="94">
        <v>46143</v>
      </c>
      <c r="C43" s="95">
        <v>0.1087087087087087</v>
      </c>
      <c r="D43" s="95">
        <v>0.1705705705705706</v>
      </c>
      <c r="E43" s="95">
        <v>4.8048048048048048E-2</v>
      </c>
      <c r="F43" s="95">
        <v>9.0090090090090089E-3</v>
      </c>
      <c r="H43" s="93">
        <v>41</v>
      </c>
      <c r="I43" s="94">
        <v>46143</v>
      </c>
      <c r="J43" s="95">
        <v>181</v>
      </c>
      <c r="K43" s="95">
        <v>284</v>
      </c>
      <c r="L43" s="95">
        <v>80</v>
      </c>
      <c r="M43" s="95">
        <v>1665</v>
      </c>
      <c r="N43" s="95">
        <v>15</v>
      </c>
    </row>
    <row r="44" spans="1:14" x14ac:dyDescent="0.2">
      <c r="A44" s="91">
        <v>42</v>
      </c>
      <c r="B44" s="92">
        <v>46174</v>
      </c>
      <c r="C44">
        <v>0.10444444444444451</v>
      </c>
      <c r="D44">
        <v>0.1822222222222222</v>
      </c>
      <c r="E44">
        <v>7.1111111111111111E-2</v>
      </c>
      <c r="F44">
        <v>8.8888888888888889E-3</v>
      </c>
      <c r="H44" s="91">
        <v>42</v>
      </c>
      <c r="I44" s="92">
        <v>46174</v>
      </c>
      <c r="J44">
        <v>47</v>
      </c>
      <c r="K44">
        <v>82</v>
      </c>
      <c r="L44">
        <v>32</v>
      </c>
      <c r="M44">
        <v>450</v>
      </c>
      <c r="N44">
        <v>4</v>
      </c>
    </row>
    <row r="46" spans="1:14" x14ac:dyDescent="0.2">
      <c r="C46" s="96">
        <f>AVERAGE(C39:C43)</f>
        <v>0.14051329886707059</v>
      </c>
      <c r="D46" s="96">
        <f>AVERAGE(D39:D43)</f>
        <v>0.15089035519963379</v>
      </c>
      <c r="J46" s="97">
        <f>AVERAGE(J39:J43)</f>
        <v>302.39999999999998</v>
      </c>
      <c r="K46" s="97">
        <f>AVERAGE(K39:K43)</f>
        <v>316.60000000000002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AB3F-4473-104D-9448-0BEBC2F8392D}">
  <dimension ref="A1:E30"/>
  <sheetViews>
    <sheetView workbookViewId="0">
      <selection activeCell="B30" sqref="B30"/>
    </sheetView>
  </sheetViews>
  <sheetFormatPr baseColWidth="10" defaultRowHeight="16" x14ac:dyDescent="0.2"/>
  <cols>
    <col min="1" max="1" width="54.5" customWidth="1"/>
    <col min="2" max="2" width="68.1640625" customWidth="1"/>
    <col min="3" max="3" width="20.6640625" customWidth="1"/>
  </cols>
  <sheetData>
    <row r="1" spans="1:5" ht="34" x14ac:dyDescent="0.2">
      <c r="A1" s="9" t="s">
        <v>19</v>
      </c>
      <c r="B1" t="s">
        <v>18</v>
      </c>
      <c r="C1" s="5"/>
      <c r="E1" t="s">
        <v>20</v>
      </c>
    </row>
    <row r="2" spans="1:5" x14ac:dyDescent="0.2">
      <c r="A2" s="9"/>
      <c r="B2" t="s">
        <v>23</v>
      </c>
      <c r="C2" s="5"/>
    </row>
    <row r="3" spans="1:5" x14ac:dyDescent="0.2">
      <c r="A3" s="9"/>
      <c r="B3" t="s">
        <v>24</v>
      </c>
      <c r="C3" s="5"/>
    </row>
    <row r="4" spans="1:5" x14ac:dyDescent="0.2">
      <c r="A4" s="6"/>
      <c r="B4" t="s">
        <v>9</v>
      </c>
      <c r="C4" s="5"/>
    </row>
    <row r="5" spans="1:5" x14ac:dyDescent="0.2">
      <c r="B5" t="s">
        <v>10</v>
      </c>
    </row>
    <row r="6" spans="1:5" x14ac:dyDescent="0.2">
      <c r="A6" t="s">
        <v>22</v>
      </c>
      <c r="B6" t="s">
        <v>25</v>
      </c>
    </row>
    <row r="8" spans="1:5" x14ac:dyDescent="0.2">
      <c r="A8" s="8" t="s">
        <v>7</v>
      </c>
      <c r="B8" s="7" t="s">
        <v>13</v>
      </c>
      <c r="C8" s="5" t="s">
        <v>12</v>
      </c>
    </row>
    <row r="9" spans="1:5" x14ac:dyDescent="0.2">
      <c r="A9" s="10"/>
      <c r="B9" s="10" t="s">
        <v>17</v>
      </c>
      <c r="C9" s="10" t="s">
        <v>34</v>
      </c>
    </row>
    <row r="10" spans="1:5" x14ac:dyDescent="0.2">
      <c r="A10" s="10" t="s">
        <v>14</v>
      </c>
      <c r="B10" s="10">
        <v>36400</v>
      </c>
      <c r="C10" s="10">
        <v>34500</v>
      </c>
    </row>
    <row r="11" spans="1:5" x14ac:dyDescent="0.2">
      <c r="A11" s="10" t="s">
        <v>15</v>
      </c>
      <c r="B11" s="10">
        <v>36200</v>
      </c>
      <c r="C11" s="10">
        <v>28300</v>
      </c>
    </row>
    <row r="12" spans="1:5" x14ac:dyDescent="0.2">
      <c r="A12" s="10" t="s">
        <v>16</v>
      </c>
      <c r="B12" s="10">
        <v>4880</v>
      </c>
      <c r="C12" s="10">
        <v>4100</v>
      </c>
    </row>
    <row r="13" spans="1:5" x14ac:dyDescent="0.2">
      <c r="A13" s="10" t="s">
        <v>35</v>
      </c>
      <c r="B13" s="10">
        <v>1730</v>
      </c>
      <c r="C13" s="10">
        <v>12400</v>
      </c>
    </row>
    <row r="14" spans="1:5" x14ac:dyDescent="0.2">
      <c r="A14" s="10"/>
      <c r="B14" s="10">
        <f>SUM(B10:B13)</f>
        <v>79210</v>
      </c>
      <c r="C14" s="10">
        <f>SUM(C10:C13)</f>
        <v>79300</v>
      </c>
    </row>
    <row r="15" spans="1:5" x14ac:dyDescent="0.2">
      <c r="A15" s="12" t="s">
        <v>8</v>
      </c>
      <c r="B15" s="13" t="s">
        <v>37</v>
      </c>
    </row>
    <row r="17" spans="1:2" x14ac:dyDescent="0.2">
      <c r="A17" s="12" t="s">
        <v>11</v>
      </c>
      <c r="B17" s="13" t="s">
        <v>36</v>
      </c>
    </row>
    <row r="18" spans="1:2" x14ac:dyDescent="0.2">
      <c r="B18" t="s">
        <v>21</v>
      </c>
    </row>
    <row r="20" spans="1:2" x14ac:dyDescent="0.2">
      <c r="A20" t="s">
        <v>32</v>
      </c>
    </row>
    <row r="21" spans="1:2" x14ac:dyDescent="0.2">
      <c r="A21" s="7" t="s">
        <v>31</v>
      </c>
    </row>
    <row r="23" spans="1:2" ht="19" x14ac:dyDescent="0.2">
      <c r="A23" s="11" t="s">
        <v>26</v>
      </c>
      <c r="B23" t="s">
        <v>27</v>
      </c>
    </row>
    <row r="24" spans="1:2" ht="19" x14ac:dyDescent="0.2">
      <c r="A24" s="11" t="s">
        <v>28</v>
      </c>
      <c r="B24" t="s">
        <v>29</v>
      </c>
    </row>
    <row r="25" spans="1:2" ht="19" x14ac:dyDescent="0.2">
      <c r="A25" s="11" t="s">
        <v>30</v>
      </c>
      <c r="B25" t="s">
        <v>33</v>
      </c>
    </row>
    <row r="30" spans="1:2" x14ac:dyDescent="0.2">
      <c r="A30" s="8" t="s">
        <v>91</v>
      </c>
    </row>
  </sheetData>
  <hyperlinks>
    <hyperlink ref="B8" r:id="rId1" xr:uid="{B1C72D04-7547-6744-A07F-F25F768086EB}"/>
    <hyperlink ref="A21" r:id="rId2" xr:uid="{12C71B04-CEDE-1646-A3CC-D3794ED288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Гипотеза T</vt:lpstr>
      <vt:lpstr>Вопросы</vt:lpstr>
      <vt:lpstr>Переменные</vt:lpstr>
      <vt:lpstr>Воронка MPStats_обработано</vt:lpstr>
      <vt:lpstr>Воронка MPStats_исх</vt:lpstr>
      <vt:lpstr>Воронка Селлер as is</vt:lpstr>
      <vt:lpstr>Селлер_исх</vt:lpstr>
      <vt:lpstr>рабоч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balabaeva</dc:creator>
  <cp:lastModifiedBy>y balabaeva</cp:lastModifiedBy>
  <dcterms:created xsi:type="dcterms:W3CDTF">2026-05-26T07:29:26Z</dcterms:created>
  <dcterms:modified xsi:type="dcterms:W3CDTF">2026-06-10T08:35:05Z</dcterms:modified>
</cp:coreProperties>
</file>