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.balabaeva/Desktop/Селлер/! MPStats/Воронка/"/>
    </mc:Choice>
  </mc:AlternateContent>
  <xr:revisionPtr revIDLastSave="0" documentId="13_ncr:1_{DE947E19-B37D-9549-AE92-EBE8ED0F0EFC}" xr6:coauthVersionLast="47" xr6:coauthVersionMax="47" xr10:uidLastSave="{00000000-0000-0000-0000-000000000000}"/>
  <bookViews>
    <workbookView xWindow="0" yWindow="580" windowWidth="29820" windowHeight="16880" xr2:uid="{041A7F1C-756F-014C-8317-A22146C33BA3}"/>
  </bookViews>
  <sheets>
    <sheet name="Гипотезы_v3" sheetId="18" r:id="rId1"/>
    <sheet name="Саммари" sheetId="21" r:id="rId2"/>
    <sheet name="Гипотезы_v2" sheetId="20" r:id="rId3"/>
    <sheet name="Вопросы" sheetId="10" r:id="rId4"/>
    <sheet name="тесты" sheetId="19" r:id="rId5"/>
    <sheet name="База селлеров" sheetId="6" r:id="rId6"/>
    <sheet name="Воронка MPS_обработано" sheetId="1" r:id="rId7"/>
    <sheet name="Воронка MPS_исх" sheetId="8" r:id="rId8"/>
    <sheet name="Гипотезы_v1" sheetId="17" r:id="rId9"/>
    <sheet name="MPS др метрики" sheetId="15" r:id="rId10"/>
    <sheet name="Гипотезы_драфт" sheetId="7" state="hidden" r:id="rId11"/>
    <sheet name="Пилот Точка" sheetId="16" r:id="rId12"/>
    <sheet name="MAU Селлер as is" sheetId="22" r:id="rId13"/>
    <sheet name="Воронка Селлер as is" sheetId="5" r:id="rId14"/>
    <sheet name="Селлер апи_исх" sheetId="9" r:id="rId15"/>
    <sheet name="Селлер оплаты_исх" sheetId="12" r:id="rId16"/>
    <sheet name="рабоч" sheetId="2" r:id="rId17"/>
    <sheet name="пересечь базы как" sheetId="13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6" l="1"/>
  <c r="L32" i="6" s="1"/>
  <c r="K31" i="6"/>
  <c r="L31" i="6" s="1"/>
  <c r="L30" i="6"/>
  <c r="K30" i="6"/>
  <c r="K29" i="6"/>
  <c r="L29" i="6" s="1"/>
  <c r="K28" i="6"/>
  <c r="L28" i="6" s="1"/>
  <c r="L27" i="6"/>
  <c r="K27" i="6"/>
  <c r="K33" i="6" s="1"/>
  <c r="L33" i="6" s="1"/>
  <c r="N9" i="1"/>
  <c r="M9" i="1"/>
  <c r="F43" i="5"/>
  <c r="F14" i="5"/>
  <c r="N157" i="18"/>
  <c r="T157" i="18" s="1"/>
  <c r="H157" i="18"/>
  <c r="G151" i="18"/>
  <c r="H151" i="18" s="1"/>
  <c r="I151" i="18" s="1"/>
  <c r="J151" i="18" s="1"/>
  <c r="C46" i="22"/>
  <c r="G154" i="18"/>
  <c r="H154" i="18" s="1"/>
  <c r="I154" i="18" s="1"/>
  <c r="J154" i="18" s="1"/>
  <c r="G148" i="18"/>
  <c r="H148" i="18" s="1"/>
  <c r="I148" i="18" s="1"/>
  <c r="J148" i="18" s="1"/>
  <c r="G156" i="18"/>
  <c r="G146" i="18" s="1"/>
  <c r="G155" i="18"/>
  <c r="G147" i="18" s="1"/>
  <c r="N147" i="18" s="1"/>
  <c r="G175" i="18"/>
  <c r="G145" i="18" s="1"/>
  <c r="G144" i="18" s="1"/>
  <c r="H144" i="18" s="1"/>
  <c r="I144" i="18" s="1"/>
  <c r="J144" i="18" s="1"/>
  <c r="H188" i="18"/>
  <c r="I188" i="18" s="1"/>
  <c r="J188" i="18" s="1"/>
  <c r="H189" i="18"/>
  <c r="I189" i="18" s="1"/>
  <c r="J189" i="18" s="1"/>
  <c r="H187" i="18"/>
  <c r="I187" i="18" s="1"/>
  <c r="J187" i="18" s="1"/>
  <c r="G37" i="21"/>
  <c r="H37" i="21"/>
  <c r="I37" i="21"/>
  <c r="J37" i="21"/>
  <c r="K37" i="21"/>
  <c r="K38" i="21"/>
  <c r="K39" i="21"/>
  <c r="K40" i="21"/>
  <c r="K26" i="21"/>
  <c r="K27" i="21"/>
  <c r="G28" i="21"/>
  <c r="H28" i="21"/>
  <c r="I28" i="21"/>
  <c r="J28" i="21"/>
  <c r="K28" i="21"/>
  <c r="K29" i="21"/>
  <c r="K30" i="21"/>
  <c r="K31" i="21"/>
  <c r="K32" i="21"/>
  <c r="K33" i="21"/>
  <c r="G34" i="21"/>
  <c r="H34" i="21"/>
  <c r="I34" i="21"/>
  <c r="J34" i="21"/>
  <c r="K34" i="21"/>
  <c r="K35" i="21"/>
  <c r="K36" i="21"/>
  <c r="K25" i="21"/>
  <c r="C33" i="6"/>
  <c r="C53" i="6" s="1"/>
  <c r="B33" i="6"/>
  <c r="B49" i="6" s="1"/>
  <c r="G28" i="6"/>
  <c r="G29" i="6"/>
  <c r="G30" i="6"/>
  <c r="G31" i="6"/>
  <c r="G32" i="6"/>
  <c r="G27" i="6"/>
  <c r="I159" i="20"/>
  <c r="H159" i="20"/>
  <c r="G159" i="20"/>
  <c r="F159" i="20"/>
  <c r="I156" i="20"/>
  <c r="H156" i="20"/>
  <c r="G156" i="20"/>
  <c r="F156" i="20"/>
  <c r="O151" i="20"/>
  <c r="O130" i="20" s="1"/>
  <c r="N151" i="20"/>
  <c r="N130" i="20" s="1"/>
  <c r="M151" i="20"/>
  <c r="S151" i="20" s="1"/>
  <c r="S130" i="20" s="1"/>
  <c r="Y130" i="20" s="1"/>
  <c r="AE130" i="20" s="1"/>
  <c r="L151" i="20"/>
  <c r="R151" i="20" s="1"/>
  <c r="R130" i="20" s="1"/>
  <c r="X130" i="20" s="1"/>
  <c r="AD130" i="20" s="1"/>
  <c r="F150" i="20"/>
  <c r="G150" i="20" s="1"/>
  <c r="H150" i="20" s="1"/>
  <c r="I150" i="20" s="1"/>
  <c r="L150" i="20" s="1"/>
  <c r="M150" i="20" s="1"/>
  <c r="L147" i="20"/>
  <c r="R147" i="20" s="1"/>
  <c r="G147" i="20"/>
  <c r="H147" i="20" s="1"/>
  <c r="I147" i="20" s="1"/>
  <c r="O147" i="20" s="1"/>
  <c r="U147" i="20" s="1"/>
  <c r="O145" i="20"/>
  <c r="U145" i="20" s="1"/>
  <c r="N145" i="20"/>
  <c r="T145" i="20" s="1"/>
  <c r="M145" i="20"/>
  <c r="S145" i="20" s="1"/>
  <c r="L145" i="20"/>
  <c r="R145" i="20" s="1"/>
  <c r="L144" i="20"/>
  <c r="R144" i="20" s="1"/>
  <c r="S144" i="20" s="1"/>
  <c r="T144" i="20" s="1"/>
  <c r="U144" i="20" s="1"/>
  <c r="G144" i="20"/>
  <c r="H144" i="20" s="1"/>
  <c r="I144" i="20" s="1"/>
  <c r="L143" i="20"/>
  <c r="R143" i="20" s="1"/>
  <c r="G143" i="20"/>
  <c r="H143" i="20" s="1"/>
  <c r="I143" i="20" s="1"/>
  <c r="O143" i="20" s="1"/>
  <c r="U143" i="20" s="1"/>
  <c r="L142" i="20"/>
  <c r="R142" i="20" s="1"/>
  <c r="G142" i="20"/>
  <c r="M142" i="20" s="1"/>
  <c r="S142" i="20" s="1"/>
  <c r="S141" i="20"/>
  <c r="T141" i="20" s="1"/>
  <c r="U141" i="20" s="1"/>
  <c r="L141" i="20"/>
  <c r="G141" i="20"/>
  <c r="M141" i="20" s="1"/>
  <c r="L140" i="20"/>
  <c r="R140" i="20" s="1"/>
  <c r="G140" i="20"/>
  <c r="M140" i="20" s="1"/>
  <c r="S140" i="20" s="1"/>
  <c r="AD136" i="20"/>
  <c r="Y136" i="20"/>
  <c r="Z136" i="20" s="1"/>
  <c r="AA136" i="20" s="1"/>
  <c r="AB136" i="20" s="1"/>
  <c r="S136" i="20"/>
  <c r="T136" i="20" s="1"/>
  <c r="U136" i="20" s="1"/>
  <c r="M136" i="20"/>
  <c r="AE136" i="20" s="1"/>
  <c r="F136" i="20"/>
  <c r="G136" i="20" s="1"/>
  <c r="H136" i="20" s="1"/>
  <c r="I136" i="20" s="1"/>
  <c r="F134" i="20"/>
  <c r="L134" i="20" s="1"/>
  <c r="M134" i="20" s="1"/>
  <c r="N134" i="20" s="1"/>
  <c r="O134" i="20" s="1"/>
  <c r="L133" i="20"/>
  <c r="R133" i="20" s="1"/>
  <c r="X133" i="20" s="1"/>
  <c r="AD133" i="20" s="1"/>
  <c r="G133" i="20"/>
  <c r="H133" i="20" s="1"/>
  <c r="AD132" i="20"/>
  <c r="AE132" i="20" s="1"/>
  <c r="AF132" i="20" s="1"/>
  <c r="AG132" i="20" s="1"/>
  <c r="X132" i="20"/>
  <c r="Y132" i="20" s="1"/>
  <c r="Z132" i="20" s="1"/>
  <c r="AA132" i="20" s="1"/>
  <c r="S132" i="20"/>
  <c r="T132" i="20" s="1"/>
  <c r="U132" i="20" s="1"/>
  <c r="R132" i="20"/>
  <c r="M132" i="20"/>
  <c r="N132" i="20" s="1"/>
  <c r="O132" i="20" s="1"/>
  <c r="L132" i="20"/>
  <c r="F132" i="20"/>
  <c r="G132" i="20" s="1"/>
  <c r="H132" i="20" s="1"/>
  <c r="I132" i="20" s="1"/>
  <c r="AE131" i="20"/>
  <c r="AF131" i="20" s="1"/>
  <c r="AG131" i="20" s="1"/>
  <c r="AD131" i="20"/>
  <c r="Y131" i="20"/>
  <c r="Z131" i="20" s="1"/>
  <c r="AA131" i="20" s="1"/>
  <c r="X131" i="20"/>
  <c r="R131" i="20"/>
  <c r="S131" i="20" s="1"/>
  <c r="T131" i="20" s="1"/>
  <c r="U131" i="20" s="1"/>
  <c r="M131" i="20"/>
  <c r="N131" i="20" s="1"/>
  <c r="O131" i="20" s="1"/>
  <c r="L131" i="20"/>
  <c r="F131" i="20"/>
  <c r="G131" i="20" s="1"/>
  <c r="H131" i="20" s="1"/>
  <c r="I131" i="20" s="1"/>
  <c r="F130" i="20"/>
  <c r="G130" i="20" s="1"/>
  <c r="H130" i="20" s="1"/>
  <c r="I130" i="20" s="1"/>
  <c r="AA125" i="20"/>
  <c r="Z125" i="20"/>
  <c r="Y125" i="20"/>
  <c r="X125" i="20"/>
  <c r="F125" i="20"/>
  <c r="L125" i="20" s="1"/>
  <c r="AD125" i="20" s="1"/>
  <c r="L124" i="20"/>
  <c r="M124" i="20" s="1"/>
  <c r="N124" i="20" s="1"/>
  <c r="O124" i="20" s="1"/>
  <c r="R120" i="20"/>
  <c r="X120" i="20" s="1"/>
  <c r="AD120" i="20" s="1"/>
  <c r="M120" i="20"/>
  <c r="N120" i="20" s="1"/>
  <c r="O120" i="20" s="1"/>
  <c r="U120" i="20" s="1"/>
  <c r="AA120" i="20" s="1"/>
  <c r="AG120" i="20" s="1"/>
  <c r="G118" i="20"/>
  <c r="L117" i="20"/>
  <c r="L119" i="20" s="1"/>
  <c r="G117" i="20"/>
  <c r="M117" i="20" s="1"/>
  <c r="S117" i="20" s="1"/>
  <c r="Y117" i="20" s="1"/>
  <c r="AE117" i="20" s="1"/>
  <c r="L116" i="20"/>
  <c r="R116" i="20" s="1"/>
  <c r="X116" i="20" s="1"/>
  <c r="AD116" i="20" s="1"/>
  <c r="G116" i="20"/>
  <c r="H116" i="20" s="1"/>
  <c r="N116" i="20" s="1"/>
  <c r="T116" i="20" s="1"/>
  <c r="Z116" i="20" s="1"/>
  <c r="AF116" i="20" s="1"/>
  <c r="L112" i="20"/>
  <c r="R112" i="20" s="1"/>
  <c r="X112" i="20" s="1"/>
  <c r="AD112" i="20" s="1"/>
  <c r="F112" i="20"/>
  <c r="G112" i="20" s="1"/>
  <c r="M112" i="20" s="1"/>
  <c r="S112" i="20" s="1"/>
  <c r="Y112" i="20" s="1"/>
  <c r="AE112" i="20" s="1"/>
  <c r="F111" i="20"/>
  <c r="L110" i="20"/>
  <c r="R110" i="20" s="1"/>
  <c r="X110" i="20" s="1"/>
  <c r="AD110" i="20" s="1"/>
  <c r="G110" i="20"/>
  <c r="M110" i="20" s="1"/>
  <c r="S110" i="20" s="1"/>
  <c r="Y110" i="20" s="1"/>
  <c r="AE110" i="20" s="1"/>
  <c r="F110" i="20"/>
  <c r="G109" i="20"/>
  <c r="H109" i="20" s="1"/>
  <c r="I109" i="20" s="1"/>
  <c r="O109" i="20" s="1"/>
  <c r="U109" i="20" s="1"/>
  <c r="AA109" i="20" s="1"/>
  <c r="AG109" i="20" s="1"/>
  <c r="F109" i="20"/>
  <c r="G108" i="20"/>
  <c r="M108" i="20" s="1"/>
  <c r="S108" i="20" s="1"/>
  <c r="Y108" i="20" s="1"/>
  <c r="AE108" i="20" s="1"/>
  <c r="F108" i="20"/>
  <c r="L107" i="20"/>
  <c r="R107" i="20" s="1"/>
  <c r="X107" i="20" s="1"/>
  <c r="AD107" i="20" s="1"/>
  <c r="G107" i="20"/>
  <c r="H107" i="20" s="1"/>
  <c r="I107" i="20" s="1"/>
  <c r="O107" i="20" s="1"/>
  <c r="U107" i="20" s="1"/>
  <c r="AA107" i="20" s="1"/>
  <c r="AG107" i="20" s="1"/>
  <c r="F107" i="20"/>
  <c r="F104" i="20"/>
  <c r="L104" i="20" s="1"/>
  <c r="F102" i="20"/>
  <c r="L102" i="20" s="1"/>
  <c r="F99" i="20"/>
  <c r="L99" i="20" s="1"/>
  <c r="F88" i="20"/>
  <c r="G88" i="20" s="1"/>
  <c r="L87" i="20"/>
  <c r="R87" i="20" s="1"/>
  <c r="X87" i="20" s="1"/>
  <c r="AD87" i="20" s="1"/>
  <c r="G87" i="20"/>
  <c r="H87" i="20" s="1"/>
  <c r="F87" i="20"/>
  <c r="F86" i="20"/>
  <c r="G85" i="20"/>
  <c r="F85" i="20"/>
  <c r="L84" i="20"/>
  <c r="M84" i="20" s="1"/>
  <c r="S84" i="20" s="1"/>
  <c r="Y84" i="20" s="1"/>
  <c r="AE84" i="20" s="1"/>
  <c r="G84" i="20"/>
  <c r="G75" i="20" s="1"/>
  <c r="F84" i="20"/>
  <c r="F92" i="20" s="1"/>
  <c r="L92" i="20" s="1"/>
  <c r="F83" i="20"/>
  <c r="F78" i="20"/>
  <c r="F75" i="20"/>
  <c r="F74" i="20"/>
  <c r="AG68" i="20"/>
  <c r="AF68" i="20"/>
  <c r="AE68" i="20"/>
  <c r="AD68" i="20"/>
  <c r="O68" i="20"/>
  <c r="U68" i="20" s="1"/>
  <c r="N68" i="20"/>
  <c r="T68" i="20" s="1"/>
  <c r="M68" i="20"/>
  <c r="S68" i="20" s="1"/>
  <c r="L68" i="20"/>
  <c r="R68" i="20" s="1"/>
  <c r="Q18" i="20"/>
  <c r="E18" i="20"/>
  <c r="K18" i="20" s="1"/>
  <c r="AC18" i="20" s="1"/>
  <c r="K17" i="20"/>
  <c r="AC17" i="20" s="1"/>
  <c r="E17" i="20"/>
  <c r="E16" i="20"/>
  <c r="K16" i="20" s="1"/>
  <c r="AC16" i="20" s="1"/>
  <c r="E15" i="20"/>
  <c r="K15" i="20" s="1"/>
  <c r="AC15" i="20" s="1"/>
  <c r="E14" i="20"/>
  <c r="K14" i="20" s="1"/>
  <c r="AC14" i="20" s="1"/>
  <c r="K13" i="20"/>
  <c r="AC13" i="20" s="1"/>
  <c r="K6" i="20"/>
  <c r="AC6" i="20" s="1"/>
  <c r="K4" i="20"/>
  <c r="Q4" i="20" s="1"/>
  <c r="K8" i="1"/>
  <c r="K11" i="1" s="1"/>
  <c r="D8" i="1"/>
  <c r="M14" i="18"/>
  <c r="AH14" i="18" s="1"/>
  <c r="A34" i="19"/>
  <c r="K23" i="5"/>
  <c r="K20" i="5"/>
  <c r="G23" i="10"/>
  <c r="H23" i="10" s="1"/>
  <c r="AD140" i="18"/>
  <c r="AE140" i="18"/>
  <c r="AF140" i="18"/>
  <c r="AC140" i="18"/>
  <c r="N169" i="18"/>
  <c r="T169" i="18" s="1"/>
  <c r="O169" i="18"/>
  <c r="U169" i="18" s="1"/>
  <c r="P169" i="18"/>
  <c r="V169" i="18" s="1"/>
  <c r="Q169" i="18"/>
  <c r="W169" i="18" s="1"/>
  <c r="G150" i="18"/>
  <c r="N150" i="18" s="1"/>
  <c r="N149" i="18"/>
  <c r="T149" i="18" s="1"/>
  <c r="AC149" i="18" s="1"/>
  <c r="AI149" i="18" s="1"/>
  <c r="H149" i="18"/>
  <c r="H150" i="18" s="1"/>
  <c r="N167" i="18"/>
  <c r="T167" i="18" s="1"/>
  <c r="N166" i="18"/>
  <c r="T166" i="18" s="1"/>
  <c r="H167" i="18"/>
  <c r="I167" i="18" s="1"/>
  <c r="J167" i="18" s="1"/>
  <c r="Q167" i="18" s="1"/>
  <c r="W167" i="18" s="1"/>
  <c r="H166" i="18"/>
  <c r="O166" i="18" s="1"/>
  <c r="U166" i="18" s="1"/>
  <c r="H32" i="15"/>
  <c r="H31" i="15"/>
  <c r="H58" i="15"/>
  <c r="H44" i="15"/>
  <c r="H33" i="15"/>
  <c r="H30" i="15"/>
  <c r="H29" i="15"/>
  <c r="H47" i="15"/>
  <c r="H43" i="15"/>
  <c r="J183" i="18"/>
  <c r="I183" i="18"/>
  <c r="H183" i="18"/>
  <c r="G183" i="18"/>
  <c r="J58" i="15"/>
  <c r="C60" i="15"/>
  <c r="D60" i="15"/>
  <c r="E60" i="15"/>
  <c r="F60" i="15"/>
  <c r="G60" i="15"/>
  <c r="D36" i="15"/>
  <c r="E36" i="15"/>
  <c r="F36" i="15"/>
  <c r="G36" i="15"/>
  <c r="C36" i="15"/>
  <c r="N168" i="18"/>
  <c r="T168" i="18" s="1"/>
  <c r="U168" i="18" s="1"/>
  <c r="V168" i="18" s="1"/>
  <c r="W168" i="18" s="1"/>
  <c r="N165" i="18"/>
  <c r="N164" i="18"/>
  <c r="T164" i="18" s="1"/>
  <c r="G140" i="18"/>
  <c r="H140" i="18" s="1"/>
  <c r="I140" i="18" s="1"/>
  <c r="J140" i="18" s="1"/>
  <c r="Q140" i="18" s="1"/>
  <c r="AL140" i="18" s="1"/>
  <c r="H168" i="18"/>
  <c r="I168" i="18" s="1"/>
  <c r="J168" i="18" s="1"/>
  <c r="G33" i="15"/>
  <c r="F33" i="15"/>
  <c r="E33" i="15"/>
  <c r="D33" i="15"/>
  <c r="C33" i="15"/>
  <c r="U165" i="18"/>
  <c r="V165" i="18" s="1"/>
  <c r="W165" i="18" s="1"/>
  <c r="H165" i="18"/>
  <c r="I165" i="18" s="1"/>
  <c r="J165" i="18" s="1"/>
  <c r="Q165" i="18" s="1"/>
  <c r="J180" i="18"/>
  <c r="I180" i="18"/>
  <c r="H180" i="18"/>
  <c r="G180" i="18"/>
  <c r="N171" i="18"/>
  <c r="T171" i="18" s="1"/>
  <c r="H171" i="18"/>
  <c r="I171" i="18" s="1"/>
  <c r="J171" i="18" s="1"/>
  <c r="H164" i="18"/>
  <c r="O164" i="18" s="1"/>
  <c r="AI160" i="18"/>
  <c r="AD160" i="18"/>
  <c r="AE160" i="18" s="1"/>
  <c r="AF160" i="18" s="1"/>
  <c r="AG160" i="18" s="1"/>
  <c r="U160" i="18"/>
  <c r="V160" i="18" s="1"/>
  <c r="W160" i="18" s="1"/>
  <c r="O160" i="18"/>
  <c r="P160" i="18" s="1"/>
  <c r="G160" i="18"/>
  <c r="H160" i="18" s="1"/>
  <c r="I160" i="18" s="1"/>
  <c r="J160" i="18" s="1"/>
  <c r="T135" i="18"/>
  <c r="AC135" i="18" s="1"/>
  <c r="AI135" i="18" s="1"/>
  <c r="O135" i="18"/>
  <c r="H133" i="18"/>
  <c r="N132" i="18"/>
  <c r="H132" i="18"/>
  <c r="I132" i="18" s="1"/>
  <c r="J132" i="18" s="1"/>
  <c r="Q132" i="18" s="1"/>
  <c r="N131" i="18"/>
  <c r="T131" i="18" s="1"/>
  <c r="AC131" i="18" s="1"/>
  <c r="AI131" i="18" s="1"/>
  <c r="H131" i="18"/>
  <c r="O131" i="18" s="1"/>
  <c r="U131" i="18" s="1"/>
  <c r="AD131" i="18" s="1"/>
  <c r="AJ131" i="18" s="1"/>
  <c r="G103" i="18"/>
  <c r="G102" i="18"/>
  <c r="H102" i="18" s="1"/>
  <c r="G101" i="18"/>
  <c r="N101" i="18" s="1"/>
  <c r="T101" i="18" s="1"/>
  <c r="AC101" i="18" s="1"/>
  <c r="AI101" i="18" s="1"/>
  <c r="G100" i="18"/>
  <c r="N100" i="18" s="1"/>
  <c r="O100" i="18" s="1"/>
  <c r="U100" i="18" s="1"/>
  <c r="AD100" i="18" s="1"/>
  <c r="AJ100" i="18" s="1"/>
  <c r="G99" i="18"/>
  <c r="H99" i="18" s="1"/>
  <c r="I99" i="18" s="1"/>
  <c r="G98" i="18"/>
  <c r="AL83" i="18"/>
  <c r="AK83" i="18"/>
  <c r="AJ83" i="18"/>
  <c r="AI83" i="18"/>
  <c r="Q83" i="18"/>
  <c r="W83" i="18" s="1"/>
  <c r="P83" i="18"/>
  <c r="V83" i="18" s="1"/>
  <c r="O83" i="18"/>
  <c r="U83" i="18" s="1"/>
  <c r="N83" i="18"/>
  <c r="T83" i="18" s="1"/>
  <c r="F15" i="18"/>
  <c r="M15" i="18" s="1"/>
  <c r="AH15" i="18" s="1"/>
  <c r="M13" i="18"/>
  <c r="AH13" i="18" s="1"/>
  <c r="M6" i="18"/>
  <c r="AH6" i="18" s="1"/>
  <c r="M4" i="18"/>
  <c r="S4" i="18" s="1"/>
  <c r="D61" i="15"/>
  <c r="E61" i="15"/>
  <c r="F61" i="15"/>
  <c r="G61" i="15"/>
  <c r="C61" i="15"/>
  <c r="G30" i="15"/>
  <c r="F30" i="15"/>
  <c r="E30" i="15"/>
  <c r="D30" i="15"/>
  <c r="C30" i="15"/>
  <c r="I43" i="15"/>
  <c r="F87" i="15"/>
  <c r="J43" i="15" s="1"/>
  <c r="L43" i="15"/>
  <c r="M43" i="15"/>
  <c r="N41" i="15"/>
  <c r="K43" i="15"/>
  <c r="AA108" i="17"/>
  <c r="AD46" i="17"/>
  <c r="AC46" i="17"/>
  <c r="AB46" i="17"/>
  <c r="AA46" i="17"/>
  <c r="V108" i="17"/>
  <c r="W108" i="17" s="1"/>
  <c r="X108" i="17" s="1"/>
  <c r="Y108" i="17" s="1"/>
  <c r="Y103" i="17"/>
  <c r="V103" i="17"/>
  <c r="W103" i="17"/>
  <c r="X103" i="17"/>
  <c r="U103" i="17"/>
  <c r="C74" i="6"/>
  <c r="B74" i="6"/>
  <c r="D73" i="6"/>
  <c r="D72" i="6"/>
  <c r="D71" i="6"/>
  <c r="G17" i="6"/>
  <c r="C22" i="6"/>
  <c r="C38" i="6" s="1"/>
  <c r="D42" i="17" s="1"/>
  <c r="J42" i="17" s="1"/>
  <c r="P42" i="17" s="1"/>
  <c r="B22" i="6"/>
  <c r="B38" i="6" s="1"/>
  <c r="C42" i="17" s="1"/>
  <c r="I42" i="17" s="1"/>
  <c r="O42" i="17" s="1"/>
  <c r="G62" i="6"/>
  <c r="D127" i="15"/>
  <c r="E127" i="15"/>
  <c r="C127" i="15"/>
  <c r="J108" i="17"/>
  <c r="K108" i="17" s="1"/>
  <c r="L108" i="17" s="1"/>
  <c r="AD108" i="17" s="1"/>
  <c r="B130" i="17"/>
  <c r="D130" i="17"/>
  <c r="D110" i="17" s="1"/>
  <c r="J110" i="17" s="1"/>
  <c r="P110" i="17" s="1"/>
  <c r="V110" i="17" s="1"/>
  <c r="E130" i="17"/>
  <c r="E110" i="17" s="1"/>
  <c r="K110" i="17" s="1"/>
  <c r="Q110" i="17" s="1"/>
  <c r="W110" i="17" s="1"/>
  <c r="F130" i="17"/>
  <c r="F110" i="17" s="1"/>
  <c r="L110" i="17" s="1"/>
  <c r="R110" i="17" s="1"/>
  <c r="X110" i="17" s="1"/>
  <c r="C130" i="17"/>
  <c r="C110" i="17" s="1"/>
  <c r="I110" i="17" s="1"/>
  <c r="O110" i="17" s="1"/>
  <c r="U110" i="17" s="1"/>
  <c r="P108" i="17"/>
  <c r="Q108" i="17" s="1"/>
  <c r="R108" i="17" s="1"/>
  <c r="S108" i="17" s="1"/>
  <c r="C108" i="17"/>
  <c r="C102" i="17"/>
  <c r="I102" i="17" s="1"/>
  <c r="E111" i="15"/>
  <c r="C86" i="17" s="1"/>
  <c r="D86" i="17" s="1"/>
  <c r="E86" i="17" s="1"/>
  <c r="F86" i="17" s="1"/>
  <c r="L86" i="17" s="1"/>
  <c r="R86" i="17" s="1"/>
  <c r="X86" i="17" s="1"/>
  <c r="AD86" i="17" s="1"/>
  <c r="E112" i="15"/>
  <c r="C87" i="17" s="1"/>
  <c r="D87" i="17" s="1"/>
  <c r="E87" i="17" s="1"/>
  <c r="F87" i="17" s="1"/>
  <c r="L87" i="17" s="1"/>
  <c r="R87" i="17" s="1"/>
  <c r="X87" i="17" s="1"/>
  <c r="AD87" i="17" s="1"/>
  <c r="E113" i="15"/>
  <c r="C88" i="17" s="1"/>
  <c r="D88" i="17" s="1"/>
  <c r="E88" i="17" s="1"/>
  <c r="F88" i="17" s="1"/>
  <c r="L88" i="17" s="1"/>
  <c r="R88" i="17" s="1"/>
  <c r="X88" i="17" s="1"/>
  <c r="AD88" i="17" s="1"/>
  <c r="E114" i="15"/>
  <c r="C89" i="17" s="1"/>
  <c r="D89" i="17" s="1"/>
  <c r="E89" i="17" s="1"/>
  <c r="F89" i="17" s="1"/>
  <c r="L89" i="17" s="1"/>
  <c r="R89" i="17" s="1"/>
  <c r="X89" i="17" s="1"/>
  <c r="AD89" i="17" s="1"/>
  <c r="E115" i="15"/>
  <c r="C90" i="17" s="1"/>
  <c r="D90" i="17" s="1"/>
  <c r="E90" i="17" s="1"/>
  <c r="F90" i="17" s="1"/>
  <c r="L90" i="17" s="1"/>
  <c r="R90" i="17" s="1"/>
  <c r="X90" i="17" s="1"/>
  <c r="AD90" i="17" s="1"/>
  <c r="E110" i="15"/>
  <c r="C85" i="17" s="1"/>
  <c r="D85" i="17" s="1"/>
  <c r="E85" i="17" s="1"/>
  <c r="F85" i="17" s="1"/>
  <c r="L85" i="17" s="1"/>
  <c r="R85" i="17" s="1"/>
  <c r="X85" i="17" s="1"/>
  <c r="AD85" i="17" s="1"/>
  <c r="C66" i="17"/>
  <c r="I66" i="17" s="1"/>
  <c r="J66" i="17" s="1"/>
  <c r="K66" i="17" s="1"/>
  <c r="L66" i="17" s="1"/>
  <c r="C62" i="17"/>
  <c r="D62" i="17" s="1"/>
  <c r="E62" i="17" s="1"/>
  <c r="F62" i="17" s="1"/>
  <c r="C63" i="17"/>
  <c r="C54" i="17" s="1"/>
  <c r="C64" i="17"/>
  <c r="C65" i="17"/>
  <c r="I65" i="17" s="1"/>
  <c r="J65" i="17" s="1"/>
  <c r="K65" i="17" s="1"/>
  <c r="L65" i="17" s="1"/>
  <c r="C61" i="17"/>
  <c r="D61" i="17" s="1"/>
  <c r="E61" i="17" s="1"/>
  <c r="F61" i="17" s="1"/>
  <c r="O98" i="17"/>
  <c r="U98" i="17" s="1"/>
  <c r="AA98" i="17" s="1"/>
  <c r="J98" i="17"/>
  <c r="P98" i="17" s="1"/>
  <c r="V98" i="17" s="1"/>
  <c r="AB98" i="17" s="1"/>
  <c r="I95" i="17"/>
  <c r="O95" i="17" s="1"/>
  <c r="U95" i="17" s="1"/>
  <c r="AA95" i="17" s="1"/>
  <c r="D95" i="17"/>
  <c r="E95" i="17" s="1"/>
  <c r="F95" i="17" s="1"/>
  <c r="D39" i="7"/>
  <c r="L46" i="17"/>
  <c r="R46" i="17" s="1"/>
  <c r="K46" i="17"/>
  <c r="Q46" i="17" s="1"/>
  <c r="J46" i="17"/>
  <c r="P46" i="17" s="1"/>
  <c r="I46" i="17"/>
  <c r="O46" i="17" s="1"/>
  <c r="I122" i="17"/>
  <c r="O122" i="17" s="1"/>
  <c r="D122" i="17"/>
  <c r="J122" i="17" s="1"/>
  <c r="P122" i="17" s="1"/>
  <c r="I114" i="17"/>
  <c r="O114" i="17" s="1"/>
  <c r="D114" i="17"/>
  <c r="J114" i="17" s="1"/>
  <c r="P114" i="17" s="1"/>
  <c r="I94" i="17"/>
  <c r="O94" i="17" s="1"/>
  <c r="U94" i="17" s="1"/>
  <c r="AA94" i="17" s="1"/>
  <c r="D94" i="17"/>
  <c r="J94" i="17" s="1"/>
  <c r="P94" i="17" s="1"/>
  <c r="V94" i="17" s="1"/>
  <c r="AB94" i="17" s="1"/>
  <c r="B15" i="17"/>
  <c r="H15" i="17" s="1"/>
  <c r="Z15" i="17" s="1"/>
  <c r="B14" i="17"/>
  <c r="H14" i="17" s="1"/>
  <c r="Z14" i="17" s="1"/>
  <c r="H13" i="17"/>
  <c r="Z13" i="17" s="1"/>
  <c r="H6" i="17"/>
  <c r="N6" i="17" s="1"/>
  <c r="T6" i="17" s="1"/>
  <c r="H4" i="17"/>
  <c r="N4" i="17" s="1"/>
  <c r="L130" i="20" l="1"/>
  <c r="N107" i="20"/>
  <c r="T107" i="20" s="1"/>
  <c r="Z107" i="20" s="1"/>
  <c r="AF107" i="20" s="1"/>
  <c r="T151" i="20"/>
  <c r="T130" i="20" s="1"/>
  <c r="Z130" i="20" s="1"/>
  <c r="AF130" i="20" s="1"/>
  <c r="M130" i="20"/>
  <c r="U151" i="20"/>
  <c r="U130" i="20" s="1"/>
  <c r="AA130" i="20" s="1"/>
  <c r="AG130" i="20" s="1"/>
  <c r="G78" i="20"/>
  <c r="G92" i="20"/>
  <c r="G93" i="20"/>
  <c r="H155" i="18"/>
  <c r="I155" i="18" s="1"/>
  <c r="J155" i="18" s="1"/>
  <c r="O157" i="18"/>
  <c r="N156" i="18"/>
  <c r="T156" i="18" s="1"/>
  <c r="AC156" i="18" s="1"/>
  <c r="AI156" i="18" s="1"/>
  <c r="AJ156" i="18" s="1"/>
  <c r="AK156" i="18" s="1"/>
  <c r="AL156" i="18" s="1"/>
  <c r="N151" i="18"/>
  <c r="O151" i="18" s="1"/>
  <c r="P151" i="18" s="1"/>
  <c r="Q151" i="18" s="1"/>
  <c r="N155" i="18"/>
  <c r="T155" i="18" s="1"/>
  <c r="AC155" i="18" s="1"/>
  <c r="AI155" i="18" s="1"/>
  <c r="AJ155" i="18" s="1"/>
  <c r="AK155" i="18" s="1"/>
  <c r="AL155" i="18" s="1"/>
  <c r="H156" i="18"/>
  <c r="I156" i="18" s="1"/>
  <c r="J156" i="18" s="1"/>
  <c r="G59" i="18"/>
  <c r="N154" i="18"/>
  <c r="I157" i="18"/>
  <c r="N146" i="18"/>
  <c r="T146" i="18" s="1"/>
  <c r="H146" i="18"/>
  <c r="I146" i="18" s="1"/>
  <c r="J146" i="18" s="1"/>
  <c r="O147" i="18"/>
  <c r="P147" i="18" s="1"/>
  <c r="Q147" i="18" s="1"/>
  <c r="T147" i="18"/>
  <c r="N148" i="18"/>
  <c r="H147" i="18"/>
  <c r="I147" i="18" s="1"/>
  <c r="J147" i="18" s="1"/>
  <c r="H175" i="18"/>
  <c r="I175" i="18" s="1"/>
  <c r="J175" i="18" s="1"/>
  <c r="N175" i="18"/>
  <c r="N145" i="18" s="1"/>
  <c r="G174" i="18"/>
  <c r="C52" i="6"/>
  <c r="C51" i="6"/>
  <c r="G48" i="6"/>
  <c r="B53" i="6"/>
  <c r="C48" i="6"/>
  <c r="B52" i="6"/>
  <c r="B51" i="6"/>
  <c r="B47" i="6"/>
  <c r="B50" i="6"/>
  <c r="C50" i="6"/>
  <c r="B48" i="6"/>
  <c r="C47" i="6"/>
  <c r="C49" i="6"/>
  <c r="G33" i="6"/>
  <c r="F64" i="20"/>
  <c r="L64" i="20" s="1"/>
  <c r="R64" i="20" s="1"/>
  <c r="G79" i="18"/>
  <c r="N79" i="18" s="1"/>
  <c r="T79" i="18" s="1"/>
  <c r="G64" i="20"/>
  <c r="M64" i="20" s="1"/>
  <c r="S64" i="20" s="1"/>
  <c r="H79" i="18"/>
  <c r="O79" i="18" s="1"/>
  <c r="U79" i="18" s="1"/>
  <c r="G76" i="20"/>
  <c r="M116" i="20"/>
  <c r="S116" i="20" s="1"/>
  <c r="Y116" i="20" s="1"/>
  <c r="AE116" i="20" s="1"/>
  <c r="M133" i="20"/>
  <c r="S133" i="20" s="1"/>
  <c r="Y133" i="20" s="1"/>
  <c r="AE133" i="20" s="1"/>
  <c r="F129" i="20"/>
  <c r="L129" i="20" s="1"/>
  <c r="R129" i="20" s="1"/>
  <c r="X129" i="20" s="1"/>
  <c r="H84" i="20"/>
  <c r="T120" i="20"/>
  <c r="Z120" i="20" s="1"/>
  <c r="AF120" i="20" s="1"/>
  <c r="G134" i="20"/>
  <c r="N133" i="20"/>
  <c r="T133" i="20" s="1"/>
  <c r="Z133" i="20" s="1"/>
  <c r="AF133" i="20" s="1"/>
  <c r="I133" i="20"/>
  <c r="I134" i="20" s="1"/>
  <c r="H134" i="20"/>
  <c r="R84" i="20"/>
  <c r="X84" i="20" s="1"/>
  <c r="AD84" i="20" s="1"/>
  <c r="N143" i="20"/>
  <c r="T143" i="20" s="1"/>
  <c r="H110" i="20"/>
  <c r="Q6" i="20"/>
  <c r="W6" i="20" s="1"/>
  <c r="H117" i="20"/>
  <c r="I117" i="20" s="1"/>
  <c r="O117" i="20" s="1"/>
  <c r="U117" i="20" s="1"/>
  <c r="AA117" i="20" s="1"/>
  <c r="AG117" i="20" s="1"/>
  <c r="H108" i="20"/>
  <c r="G125" i="20"/>
  <c r="R134" i="20"/>
  <c r="H112" i="20"/>
  <c r="N112" i="20" s="1"/>
  <c r="T112" i="20" s="1"/>
  <c r="Z112" i="20" s="1"/>
  <c r="AF112" i="20" s="1"/>
  <c r="R150" i="20"/>
  <c r="N109" i="20"/>
  <c r="T109" i="20" s="1"/>
  <c r="Z109" i="20" s="1"/>
  <c r="AF109" i="20" s="1"/>
  <c r="M147" i="20"/>
  <c r="S147" i="20" s="1"/>
  <c r="M143" i="20"/>
  <c r="S143" i="20" s="1"/>
  <c r="M109" i="20"/>
  <c r="S109" i="20" s="1"/>
  <c r="Y109" i="20" s="1"/>
  <c r="AE109" i="20" s="1"/>
  <c r="R117" i="20"/>
  <c r="X117" i="20" s="1"/>
  <c r="AD117" i="20" s="1"/>
  <c r="H140" i="20"/>
  <c r="I140" i="20" s="1"/>
  <c r="O140" i="20" s="1"/>
  <c r="U140" i="20" s="1"/>
  <c r="G102" i="20"/>
  <c r="H102" i="20" s="1"/>
  <c r="I102" i="20" s="1"/>
  <c r="M107" i="20"/>
  <c r="S107" i="20" s="1"/>
  <c r="Y107" i="20" s="1"/>
  <c r="AE107" i="20" s="1"/>
  <c r="S120" i="20"/>
  <c r="Y120" i="20" s="1"/>
  <c r="AE120" i="20" s="1"/>
  <c r="F127" i="20"/>
  <c r="S150" i="20"/>
  <c r="N150" i="20"/>
  <c r="M92" i="20"/>
  <c r="N92" i="20" s="1"/>
  <c r="O92" i="20" s="1"/>
  <c r="R92" i="20"/>
  <c r="G79" i="20"/>
  <c r="G96" i="20"/>
  <c r="H88" i="20"/>
  <c r="G104" i="20"/>
  <c r="H104" i="20" s="1"/>
  <c r="I104" i="20" s="1"/>
  <c r="I116" i="20"/>
  <c r="O116" i="20" s="1"/>
  <c r="U116" i="20" s="1"/>
  <c r="AA116" i="20" s="1"/>
  <c r="AG116" i="20" s="1"/>
  <c r="E19" i="20"/>
  <c r="W18" i="20"/>
  <c r="L83" i="20"/>
  <c r="G83" i="20"/>
  <c r="F91" i="20"/>
  <c r="L91" i="20" s="1"/>
  <c r="R99" i="20"/>
  <c r="M99" i="20"/>
  <c r="N99" i="20" s="1"/>
  <c r="O99" i="20" s="1"/>
  <c r="L88" i="20"/>
  <c r="F79" i="20"/>
  <c r="F96" i="20"/>
  <c r="L96" i="20" s="1"/>
  <c r="G99" i="20"/>
  <c r="H99" i="20" s="1"/>
  <c r="I99" i="20" s="1"/>
  <c r="R102" i="20"/>
  <c r="M102" i="20"/>
  <c r="N102" i="20" s="1"/>
  <c r="O102" i="20" s="1"/>
  <c r="F77" i="20"/>
  <c r="F94" i="20"/>
  <c r="L94" i="20" s="1"/>
  <c r="G86" i="20"/>
  <c r="L86" i="20"/>
  <c r="R104" i="20"/>
  <c r="M104" i="20"/>
  <c r="N104" i="20" s="1"/>
  <c r="O104" i="20" s="1"/>
  <c r="K19" i="20"/>
  <c r="AC19" i="20" s="1"/>
  <c r="H78" i="20"/>
  <c r="I87" i="20"/>
  <c r="L85" i="20"/>
  <c r="F93" i="20"/>
  <c r="L93" i="20" s="1"/>
  <c r="M119" i="20"/>
  <c r="L118" i="20"/>
  <c r="R118" i="20" s="1"/>
  <c r="H85" i="20"/>
  <c r="M87" i="20"/>
  <c r="I112" i="20"/>
  <c r="O112" i="20" s="1"/>
  <c r="U112" i="20" s="1"/>
  <c r="AA112" i="20" s="1"/>
  <c r="AG112" i="20" s="1"/>
  <c r="R119" i="20"/>
  <c r="L111" i="20"/>
  <c r="R111" i="20" s="1"/>
  <c r="X111" i="20" s="1"/>
  <c r="AD111" i="20" s="1"/>
  <c r="F103" i="20"/>
  <c r="H142" i="20"/>
  <c r="N84" i="20"/>
  <c r="G111" i="20"/>
  <c r="N136" i="20"/>
  <c r="M144" i="20"/>
  <c r="N144" i="20" s="1"/>
  <c r="O144" i="20" s="1"/>
  <c r="N147" i="20"/>
  <c r="T147" i="20" s="1"/>
  <c r="F76" i="20"/>
  <c r="L108" i="20"/>
  <c r="R108" i="20" s="1"/>
  <c r="X108" i="20" s="1"/>
  <c r="AD108" i="20" s="1"/>
  <c r="F100" i="20"/>
  <c r="L109" i="20"/>
  <c r="R109" i="20" s="1"/>
  <c r="X109" i="20" s="1"/>
  <c r="AD109" i="20" s="1"/>
  <c r="F101" i="20"/>
  <c r="F95" i="20"/>
  <c r="L95" i="20" s="1"/>
  <c r="H141" i="20"/>
  <c r="K10" i="1"/>
  <c r="K14" i="1"/>
  <c r="K12" i="1"/>
  <c r="O150" i="18"/>
  <c r="P150" i="18" s="1"/>
  <c r="T150" i="18"/>
  <c r="O149" i="18"/>
  <c r="U149" i="18" s="1"/>
  <c r="N140" i="18"/>
  <c r="AI140" i="18" s="1"/>
  <c r="P140" i="18"/>
  <c r="AK140" i="18" s="1"/>
  <c r="O140" i="18"/>
  <c r="AJ140" i="18" s="1"/>
  <c r="I149" i="18"/>
  <c r="H145" i="18"/>
  <c r="I145" i="18" s="1"/>
  <c r="J145" i="18" s="1"/>
  <c r="O167" i="18"/>
  <c r="U167" i="18" s="1"/>
  <c r="I166" i="18"/>
  <c r="J166" i="18" s="1"/>
  <c r="Q166" i="18" s="1"/>
  <c r="W166" i="18" s="1"/>
  <c r="P167" i="18"/>
  <c r="V167" i="18" s="1"/>
  <c r="N144" i="18"/>
  <c r="AI144" i="18" s="1"/>
  <c r="P144" i="18"/>
  <c r="AK144" i="18" s="1"/>
  <c r="Q144" i="18"/>
  <c r="AL144" i="18" s="1"/>
  <c r="O144" i="18"/>
  <c r="U144" i="18" s="1"/>
  <c r="AD144" i="18" s="1"/>
  <c r="G90" i="18"/>
  <c r="G93" i="18"/>
  <c r="N139" i="18"/>
  <c r="O139" i="18" s="1"/>
  <c r="O132" i="18"/>
  <c r="U132" i="18" s="1"/>
  <c r="AD132" i="18" s="1"/>
  <c r="AJ132" i="18" s="1"/>
  <c r="I133" i="18"/>
  <c r="P132" i="18"/>
  <c r="V132" i="18" s="1"/>
  <c r="AE132" i="18" s="1"/>
  <c r="AK132" i="18" s="1"/>
  <c r="N102" i="18"/>
  <c r="T102" i="18" s="1"/>
  <c r="AC102" i="18" s="1"/>
  <c r="AI102" i="18" s="1"/>
  <c r="N99" i="18"/>
  <c r="O99" i="18" s="1"/>
  <c r="G123" i="18"/>
  <c r="G124" i="18"/>
  <c r="G108" i="18" s="1"/>
  <c r="N108" i="18" s="1"/>
  <c r="O108" i="18" s="1"/>
  <c r="P108" i="18" s="1"/>
  <c r="Q108" i="18" s="1"/>
  <c r="G125" i="18"/>
  <c r="G126" i="18"/>
  <c r="G91" i="18"/>
  <c r="H101" i="18"/>
  <c r="H92" i="18" s="1"/>
  <c r="G92" i="18"/>
  <c r="G127" i="18"/>
  <c r="H127" i="18" s="1"/>
  <c r="O127" i="18" s="1"/>
  <c r="U127" i="18" s="1"/>
  <c r="AD127" i="18" s="1"/>
  <c r="AJ127" i="18" s="1"/>
  <c r="G122" i="18"/>
  <c r="G106" i="18" s="1"/>
  <c r="N106" i="18" s="1"/>
  <c r="O168" i="18"/>
  <c r="P168" i="18" s="1"/>
  <c r="Q168" i="18" s="1"/>
  <c r="O171" i="18"/>
  <c r="U171" i="18" s="1"/>
  <c r="P100" i="18"/>
  <c r="P165" i="18"/>
  <c r="S6" i="18"/>
  <c r="AB6" i="18" s="1"/>
  <c r="T100" i="18"/>
  <c r="AC100" i="18" s="1"/>
  <c r="AI100" i="18" s="1"/>
  <c r="O165" i="18"/>
  <c r="Q171" i="18"/>
  <c r="W171" i="18" s="1"/>
  <c r="I131" i="18"/>
  <c r="J131" i="18" s="1"/>
  <c r="Q131" i="18" s="1"/>
  <c r="W131" i="18" s="1"/>
  <c r="AF131" i="18" s="1"/>
  <c r="AL131" i="18" s="1"/>
  <c r="P171" i="18"/>
  <c r="V171" i="18" s="1"/>
  <c r="O101" i="18"/>
  <c r="I90" i="18"/>
  <c r="J99" i="18"/>
  <c r="W132" i="18"/>
  <c r="AF132" i="18" s="1"/>
  <c r="AL132" i="18" s="1"/>
  <c r="N134" i="18"/>
  <c r="T132" i="18"/>
  <c r="AC132" i="18" s="1"/>
  <c r="AI132" i="18" s="1"/>
  <c r="U135" i="18"/>
  <c r="AD135" i="18" s="1"/>
  <c r="AJ135" i="18" s="1"/>
  <c r="P135" i="18"/>
  <c r="I164" i="18"/>
  <c r="P164" i="18" s="1"/>
  <c r="U164" i="18"/>
  <c r="H93" i="18"/>
  <c r="N103" i="18"/>
  <c r="G94" i="18"/>
  <c r="H103" i="18"/>
  <c r="I102" i="18"/>
  <c r="N98" i="18"/>
  <c r="G89" i="18"/>
  <c r="H98" i="18"/>
  <c r="H90" i="18"/>
  <c r="Q160" i="18"/>
  <c r="AL160" i="18" s="1"/>
  <c r="AK160" i="18"/>
  <c r="H100" i="18"/>
  <c r="AJ160" i="18"/>
  <c r="D74" i="6"/>
  <c r="AD110" i="17"/>
  <c r="J102" i="17"/>
  <c r="AA102" i="17"/>
  <c r="AC110" i="17"/>
  <c r="AA110" i="17"/>
  <c r="AB108" i="17"/>
  <c r="Z6" i="17"/>
  <c r="AB110" i="17"/>
  <c r="AC108" i="17"/>
  <c r="D102" i="17"/>
  <c r="D108" i="17"/>
  <c r="E108" i="17" s="1"/>
  <c r="F108" i="17" s="1"/>
  <c r="F69" i="17"/>
  <c r="J89" i="17"/>
  <c r="P89" i="17" s="1"/>
  <c r="V89" i="17" s="1"/>
  <c r="AB89" i="17" s="1"/>
  <c r="C72" i="17"/>
  <c r="I72" i="17" s="1"/>
  <c r="K88" i="17"/>
  <c r="Q88" i="17" s="1"/>
  <c r="W88" i="17" s="1"/>
  <c r="AC88" i="17" s="1"/>
  <c r="J88" i="17"/>
  <c r="P88" i="17" s="1"/>
  <c r="V88" i="17" s="1"/>
  <c r="AB88" i="17" s="1"/>
  <c r="F70" i="17"/>
  <c r="D66" i="17"/>
  <c r="E66" i="17" s="1"/>
  <c r="F66" i="17" s="1"/>
  <c r="F74" i="17" s="1"/>
  <c r="K87" i="17"/>
  <c r="Q87" i="17" s="1"/>
  <c r="W87" i="17" s="1"/>
  <c r="AC87" i="17" s="1"/>
  <c r="E70" i="17"/>
  <c r="D70" i="17"/>
  <c r="J86" i="17"/>
  <c r="P86" i="17" s="1"/>
  <c r="V86" i="17" s="1"/>
  <c r="AB86" i="17" s="1"/>
  <c r="C70" i="17"/>
  <c r="I70" i="17" s="1"/>
  <c r="K85" i="17"/>
  <c r="Q85" i="17" s="1"/>
  <c r="W85" i="17" s="1"/>
  <c r="AC85" i="17" s="1"/>
  <c r="I86" i="17"/>
  <c r="O86" i="17" s="1"/>
  <c r="U86" i="17" s="1"/>
  <c r="AA86" i="17" s="1"/>
  <c r="I87" i="17"/>
  <c r="O87" i="17" s="1"/>
  <c r="U87" i="17" s="1"/>
  <c r="AA87" i="17" s="1"/>
  <c r="C73" i="17"/>
  <c r="I73" i="17" s="1"/>
  <c r="J90" i="17"/>
  <c r="P90" i="17" s="1"/>
  <c r="V90" i="17" s="1"/>
  <c r="AB90" i="17" s="1"/>
  <c r="J85" i="17"/>
  <c r="P85" i="17" s="1"/>
  <c r="V85" i="17" s="1"/>
  <c r="AB85" i="17" s="1"/>
  <c r="C74" i="17"/>
  <c r="I74" i="17" s="1"/>
  <c r="C71" i="17"/>
  <c r="I71" i="17" s="1"/>
  <c r="K89" i="17"/>
  <c r="Q89" i="17" s="1"/>
  <c r="W89" i="17" s="1"/>
  <c r="AC89" i="17" s="1"/>
  <c r="I88" i="17"/>
  <c r="O88" i="17" s="1"/>
  <c r="U88" i="17" s="1"/>
  <c r="AA88" i="17" s="1"/>
  <c r="E69" i="17"/>
  <c r="I89" i="17"/>
  <c r="O89" i="17" s="1"/>
  <c r="U89" i="17" s="1"/>
  <c r="AA89" i="17" s="1"/>
  <c r="J87" i="17"/>
  <c r="P87" i="17" s="1"/>
  <c r="V87" i="17" s="1"/>
  <c r="AB87" i="17" s="1"/>
  <c r="I63" i="17"/>
  <c r="J63" i="17" s="1"/>
  <c r="K63" i="17" s="1"/>
  <c r="L63" i="17" s="1"/>
  <c r="D69" i="17"/>
  <c r="I90" i="17"/>
  <c r="O90" i="17" s="1"/>
  <c r="U90" i="17" s="1"/>
  <c r="AA90" i="17" s="1"/>
  <c r="I62" i="17"/>
  <c r="J62" i="17" s="1"/>
  <c r="K62" i="17" s="1"/>
  <c r="L62" i="17" s="1"/>
  <c r="I85" i="17"/>
  <c r="O85" i="17" s="1"/>
  <c r="U85" i="17" s="1"/>
  <c r="AA85" i="17" s="1"/>
  <c r="I64" i="17"/>
  <c r="J64" i="17" s="1"/>
  <c r="K64" i="17" s="1"/>
  <c r="L64" i="17" s="1"/>
  <c r="C69" i="17"/>
  <c r="I69" i="17" s="1"/>
  <c r="K90" i="17"/>
  <c r="Q90" i="17" s="1"/>
  <c r="W90" i="17" s="1"/>
  <c r="AC90" i="17" s="1"/>
  <c r="K86" i="17"/>
  <c r="Q86" i="17" s="1"/>
  <c r="W86" i="17" s="1"/>
  <c r="AC86" i="17" s="1"/>
  <c r="I61" i="17"/>
  <c r="J61" i="17" s="1"/>
  <c r="K61" i="17" s="1"/>
  <c r="L61" i="17" s="1"/>
  <c r="R61" i="17" s="1"/>
  <c r="X61" i="17" s="1"/>
  <c r="AD61" i="17" s="1"/>
  <c r="C79" i="17"/>
  <c r="C78" i="17"/>
  <c r="C82" i="17"/>
  <c r="C77" i="17"/>
  <c r="C81" i="17"/>
  <c r="C80" i="17"/>
  <c r="D64" i="17"/>
  <c r="D63" i="17"/>
  <c r="D65" i="17"/>
  <c r="O65" i="17"/>
  <c r="U65" i="17" s="1"/>
  <c r="AA65" i="17" s="1"/>
  <c r="C57" i="17"/>
  <c r="C52" i="17"/>
  <c r="C56" i="17"/>
  <c r="E52" i="17"/>
  <c r="D52" i="17"/>
  <c r="F52" i="17"/>
  <c r="O66" i="17"/>
  <c r="U66" i="17" s="1"/>
  <c r="AA66" i="17" s="1"/>
  <c r="P66" i="17"/>
  <c r="V66" i="17" s="1"/>
  <c r="AB66" i="17" s="1"/>
  <c r="Q66" i="17"/>
  <c r="W66" i="17" s="1"/>
  <c r="AC66" i="17" s="1"/>
  <c r="R66" i="17"/>
  <c r="X66" i="17" s="1"/>
  <c r="AD66" i="17" s="1"/>
  <c r="I97" i="17"/>
  <c r="E96" i="17"/>
  <c r="K98" i="17"/>
  <c r="Q98" i="17" s="1"/>
  <c r="W98" i="17" s="1"/>
  <c r="AC98" i="17" s="1"/>
  <c r="D96" i="17"/>
  <c r="L95" i="17"/>
  <c r="J95" i="17"/>
  <c r="K95" i="17"/>
  <c r="C55" i="17"/>
  <c r="D53" i="17"/>
  <c r="C53" i="17"/>
  <c r="E94" i="17"/>
  <c r="E122" i="17"/>
  <c r="E114" i="17"/>
  <c r="E102" i="17" s="1"/>
  <c r="AD149" i="18" l="1"/>
  <c r="AJ149" i="18" s="1"/>
  <c r="O146" i="18"/>
  <c r="P146" i="18" s="1"/>
  <c r="Q146" i="18" s="1"/>
  <c r="U157" i="18"/>
  <c r="N59" i="18"/>
  <c r="H174" i="18"/>
  <c r="I174" i="18" s="1"/>
  <c r="J174" i="18" s="1"/>
  <c r="N174" i="18" s="1"/>
  <c r="O174" i="18" s="1"/>
  <c r="U174" i="18" s="1"/>
  <c r="G142" i="18"/>
  <c r="H142" i="18" s="1"/>
  <c r="P157" i="18"/>
  <c r="G129" i="20"/>
  <c r="AD129" i="20"/>
  <c r="O156" i="18"/>
  <c r="U156" i="18" s="1"/>
  <c r="AD156" i="18" s="1"/>
  <c r="T151" i="18"/>
  <c r="O155" i="18"/>
  <c r="P155" i="18" s="1"/>
  <c r="H59" i="18"/>
  <c r="AC146" i="18"/>
  <c r="U146" i="18"/>
  <c r="V146" i="18" s="1"/>
  <c r="W146" i="18" s="1"/>
  <c r="I59" i="18"/>
  <c r="J157" i="18"/>
  <c r="J59" i="18" s="1"/>
  <c r="O154" i="18"/>
  <c r="T154" i="18"/>
  <c r="AC154" i="18" s="1"/>
  <c r="AI154" i="18" s="1"/>
  <c r="AJ154" i="18" s="1"/>
  <c r="AK154" i="18" s="1"/>
  <c r="AL154" i="18" s="1"/>
  <c r="T174" i="18"/>
  <c r="T148" i="18"/>
  <c r="O148" i="18"/>
  <c r="P148" i="18" s="1"/>
  <c r="Q148" i="18" s="1"/>
  <c r="AC147" i="18"/>
  <c r="U147" i="18"/>
  <c r="V147" i="18" s="1"/>
  <c r="W147" i="18" s="1"/>
  <c r="T175" i="18"/>
  <c r="O175" i="18"/>
  <c r="H29" i="6"/>
  <c r="G50" i="6"/>
  <c r="G51" i="6"/>
  <c r="G53" i="6"/>
  <c r="G47" i="6"/>
  <c r="G52" i="6"/>
  <c r="G49" i="6"/>
  <c r="H30" i="6"/>
  <c r="H27" i="6"/>
  <c r="H31" i="6"/>
  <c r="H32" i="6"/>
  <c r="H33" i="6"/>
  <c r="H28" i="6"/>
  <c r="I84" i="20"/>
  <c r="I75" i="20" s="1"/>
  <c r="H75" i="20"/>
  <c r="I108" i="20"/>
  <c r="H92" i="20"/>
  <c r="M125" i="20"/>
  <c r="AE125" i="20" s="1"/>
  <c r="H125" i="20"/>
  <c r="F105" i="20"/>
  <c r="G105" i="20" s="1"/>
  <c r="H105" i="20" s="1"/>
  <c r="I105" i="20" s="1"/>
  <c r="H118" i="20"/>
  <c r="I110" i="20"/>
  <c r="O110" i="20" s="1"/>
  <c r="U110" i="20" s="1"/>
  <c r="AA110" i="20" s="1"/>
  <c r="AG110" i="20" s="1"/>
  <c r="N110" i="20"/>
  <c r="T110" i="20" s="1"/>
  <c r="Z110" i="20" s="1"/>
  <c r="AF110" i="20" s="1"/>
  <c r="N117" i="20"/>
  <c r="T117" i="20" s="1"/>
  <c r="Z117" i="20" s="1"/>
  <c r="AF117" i="20" s="1"/>
  <c r="G127" i="20"/>
  <c r="L127" i="20"/>
  <c r="S134" i="20"/>
  <c r="T134" i="20" s="1"/>
  <c r="U134" i="20" s="1"/>
  <c r="X134" i="20"/>
  <c r="N108" i="20"/>
  <c r="T108" i="20" s="1"/>
  <c r="Z108" i="20" s="1"/>
  <c r="AF108" i="20" s="1"/>
  <c r="O133" i="20"/>
  <c r="U133" i="20" s="1"/>
  <c r="AA133" i="20" s="1"/>
  <c r="AG133" i="20" s="1"/>
  <c r="N140" i="20"/>
  <c r="T140" i="20" s="1"/>
  <c r="O84" i="20"/>
  <c r="U84" i="20" s="1"/>
  <c r="AA84" i="20" s="1"/>
  <c r="AG84" i="20" s="1"/>
  <c r="T84" i="20"/>
  <c r="Z84" i="20" s="1"/>
  <c r="AF84" i="20" s="1"/>
  <c r="L79" i="20"/>
  <c r="M96" i="20"/>
  <c r="N96" i="20" s="1"/>
  <c r="O96" i="20" s="1"/>
  <c r="R96" i="20"/>
  <c r="L103" i="20"/>
  <c r="L78" i="20" s="1"/>
  <c r="G103" i="20"/>
  <c r="H103" i="20" s="1"/>
  <c r="I103" i="20" s="1"/>
  <c r="X104" i="20"/>
  <c r="S104" i="20"/>
  <c r="T104" i="20" s="1"/>
  <c r="U104" i="20" s="1"/>
  <c r="X119" i="20"/>
  <c r="S119" i="20"/>
  <c r="T119" i="20" s="1"/>
  <c r="U119" i="20" s="1"/>
  <c r="S102" i="20"/>
  <c r="T102" i="20" s="1"/>
  <c r="U102" i="20" s="1"/>
  <c r="X102" i="20"/>
  <c r="R94" i="20"/>
  <c r="L77" i="20"/>
  <c r="M94" i="20"/>
  <c r="N94" i="20" s="1"/>
  <c r="O94" i="20" s="1"/>
  <c r="N141" i="20"/>
  <c r="I141" i="20"/>
  <c r="O141" i="20" s="1"/>
  <c r="S118" i="20"/>
  <c r="T118" i="20" s="1"/>
  <c r="U118" i="20" s="1"/>
  <c r="X118" i="20"/>
  <c r="M85" i="20"/>
  <c r="R85" i="20"/>
  <c r="X85" i="20" s="1"/>
  <c r="AD85" i="20" s="1"/>
  <c r="N142" i="20"/>
  <c r="T142" i="20" s="1"/>
  <c r="I142" i="20"/>
  <c r="O142" i="20" s="1"/>
  <c r="U142" i="20" s="1"/>
  <c r="I78" i="20"/>
  <c r="T150" i="20"/>
  <c r="O150" i="20"/>
  <c r="U150" i="20" s="1"/>
  <c r="S87" i="20"/>
  <c r="Y87" i="20" s="1"/>
  <c r="AE87" i="20" s="1"/>
  <c r="N87" i="20"/>
  <c r="I85" i="20"/>
  <c r="H93" i="20"/>
  <c r="H76" i="20"/>
  <c r="L101" i="20"/>
  <c r="L76" i="20" s="1"/>
  <c r="G101" i="20"/>
  <c r="H101" i="20" s="1"/>
  <c r="I101" i="20" s="1"/>
  <c r="M129" i="20"/>
  <c r="H129" i="20"/>
  <c r="N119" i="20"/>
  <c r="O119" i="20" s="1"/>
  <c r="O118" i="20" s="1"/>
  <c r="M118" i="20"/>
  <c r="L100" i="20"/>
  <c r="G100" i="20"/>
  <c r="H100" i="20" s="1"/>
  <c r="I100" i="20" s="1"/>
  <c r="R88" i="20"/>
  <c r="X88" i="20" s="1"/>
  <c r="AD88" i="20" s="1"/>
  <c r="M88" i="20"/>
  <c r="R86" i="20"/>
  <c r="X86" i="20" s="1"/>
  <c r="AD86" i="20" s="1"/>
  <c r="M86" i="20"/>
  <c r="X99" i="20"/>
  <c r="S99" i="20"/>
  <c r="T99" i="20" s="1"/>
  <c r="U99" i="20" s="1"/>
  <c r="G94" i="20"/>
  <c r="H86" i="20"/>
  <c r="G77" i="20"/>
  <c r="R91" i="20"/>
  <c r="M91" i="20"/>
  <c r="N91" i="20" s="1"/>
  <c r="O91" i="20" s="1"/>
  <c r="L74" i="20"/>
  <c r="H83" i="20"/>
  <c r="G91" i="20"/>
  <c r="G74" i="20"/>
  <c r="R95" i="20"/>
  <c r="M95" i="20"/>
  <c r="N95" i="20" s="1"/>
  <c r="O95" i="20" s="1"/>
  <c r="AF136" i="20"/>
  <c r="O136" i="20"/>
  <c r="AG136" i="20" s="1"/>
  <c r="R83" i="20"/>
  <c r="X83" i="20" s="1"/>
  <c r="AD83" i="20" s="1"/>
  <c r="M83" i="20"/>
  <c r="M111" i="20"/>
  <c r="S111" i="20" s="1"/>
  <c r="Y111" i="20" s="1"/>
  <c r="AE111" i="20" s="1"/>
  <c r="H111" i="20"/>
  <c r="G95" i="20"/>
  <c r="M93" i="20"/>
  <c r="N93" i="20" s="1"/>
  <c r="O93" i="20" s="1"/>
  <c r="R93" i="20"/>
  <c r="I88" i="20"/>
  <c r="H96" i="20"/>
  <c r="H79" i="20"/>
  <c r="X92" i="20"/>
  <c r="S92" i="20"/>
  <c r="T92" i="20" s="1"/>
  <c r="U92" i="20" s="1"/>
  <c r="Q150" i="18"/>
  <c r="U150" i="18"/>
  <c r="V150" i="18" s="1"/>
  <c r="W150" i="18" s="1"/>
  <c r="AC150" i="18"/>
  <c r="J149" i="18"/>
  <c r="I150" i="18"/>
  <c r="P149" i="18"/>
  <c r="P166" i="18"/>
  <c r="V166" i="18" s="1"/>
  <c r="T144" i="18"/>
  <c r="AC144" i="18" s="1"/>
  <c r="AJ144" i="18"/>
  <c r="W144" i="18"/>
  <c r="AF144" i="18" s="1"/>
  <c r="V144" i="18"/>
  <c r="AE144" i="18" s="1"/>
  <c r="P174" i="18"/>
  <c r="P131" i="18"/>
  <c r="V131" i="18" s="1"/>
  <c r="AE131" i="18" s="1"/>
  <c r="AK131" i="18" s="1"/>
  <c r="H124" i="18"/>
  <c r="H108" i="18" s="1"/>
  <c r="J133" i="18"/>
  <c r="T108" i="18"/>
  <c r="U108" i="18" s="1"/>
  <c r="V108" i="18" s="1"/>
  <c r="W108" i="18" s="1"/>
  <c r="I127" i="18"/>
  <c r="P127" i="18" s="1"/>
  <c r="V127" i="18" s="1"/>
  <c r="AE127" i="18" s="1"/>
  <c r="AK127" i="18" s="1"/>
  <c r="O102" i="18"/>
  <c r="I101" i="18"/>
  <c r="J101" i="18" s="1"/>
  <c r="J92" i="18" s="1"/>
  <c r="N124" i="18"/>
  <c r="T124" i="18" s="1"/>
  <c r="AC124" i="18" s="1"/>
  <c r="AI124" i="18" s="1"/>
  <c r="T99" i="18"/>
  <c r="AC99" i="18" s="1"/>
  <c r="AI99" i="18" s="1"/>
  <c r="G119" i="18"/>
  <c r="N127" i="18"/>
  <c r="T127" i="18" s="1"/>
  <c r="AC127" i="18" s="1"/>
  <c r="AI127" i="18" s="1"/>
  <c r="H126" i="18"/>
  <c r="G118" i="18"/>
  <c r="N118" i="18" s="1"/>
  <c r="N126" i="18"/>
  <c r="T126" i="18" s="1"/>
  <c r="AC126" i="18" s="1"/>
  <c r="AI126" i="18" s="1"/>
  <c r="G111" i="18"/>
  <c r="N111" i="18" s="1"/>
  <c r="O111" i="18" s="1"/>
  <c r="P111" i="18" s="1"/>
  <c r="Q111" i="18" s="1"/>
  <c r="P99" i="18"/>
  <c r="U99" i="18"/>
  <c r="AD99" i="18" s="1"/>
  <c r="AJ99" i="18" s="1"/>
  <c r="H125" i="18"/>
  <c r="G117" i="18"/>
  <c r="N117" i="18" s="1"/>
  <c r="N125" i="18"/>
  <c r="T125" i="18" s="1"/>
  <c r="AC125" i="18" s="1"/>
  <c r="AI125" i="18" s="1"/>
  <c r="G109" i="18"/>
  <c r="N109" i="18" s="1"/>
  <c r="H123" i="18"/>
  <c r="G115" i="18"/>
  <c r="N115" i="18" s="1"/>
  <c r="N123" i="18"/>
  <c r="T123" i="18" s="1"/>
  <c r="AC123" i="18" s="1"/>
  <c r="AI123" i="18" s="1"/>
  <c r="G110" i="18"/>
  <c r="N110" i="18" s="1"/>
  <c r="O110" i="18" s="1"/>
  <c r="P110" i="18" s="1"/>
  <c r="Q110" i="18" s="1"/>
  <c r="G107" i="18"/>
  <c r="N107" i="18" s="1"/>
  <c r="T107" i="18" s="1"/>
  <c r="G116" i="18"/>
  <c r="N116" i="18" s="1"/>
  <c r="G114" i="18"/>
  <c r="N114" i="18" s="1"/>
  <c r="N122" i="18"/>
  <c r="T122" i="18" s="1"/>
  <c r="AC122" i="18" s="1"/>
  <c r="AI122" i="18" s="1"/>
  <c r="H122" i="18"/>
  <c r="U101" i="18"/>
  <c r="AD101" i="18" s="1"/>
  <c r="AJ101" i="18" s="1"/>
  <c r="P101" i="18"/>
  <c r="Q100" i="18"/>
  <c r="W100" i="18" s="1"/>
  <c r="AF100" i="18" s="1"/>
  <c r="AL100" i="18" s="1"/>
  <c r="V100" i="18"/>
  <c r="AE100" i="18" s="1"/>
  <c r="AK100" i="18" s="1"/>
  <c r="P139" i="18"/>
  <c r="V135" i="18"/>
  <c r="AE135" i="18" s="1"/>
  <c r="AK135" i="18" s="1"/>
  <c r="Q135" i="18"/>
  <c r="W135" i="18" s="1"/>
  <c r="AF135" i="18" s="1"/>
  <c r="AL135" i="18" s="1"/>
  <c r="I103" i="18"/>
  <c r="H111" i="18"/>
  <c r="H94" i="18"/>
  <c r="T98" i="18"/>
  <c r="AC98" i="18" s="1"/>
  <c r="AI98" i="18" s="1"/>
  <c r="O98" i="18"/>
  <c r="J164" i="18"/>
  <c r="Q164" i="18" s="1"/>
  <c r="V164" i="18"/>
  <c r="I100" i="18"/>
  <c r="H91" i="18"/>
  <c r="O134" i="18"/>
  <c r="T134" i="18"/>
  <c r="N133" i="18"/>
  <c r="T133" i="18" s="1"/>
  <c r="J90" i="18"/>
  <c r="O103" i="18"/>
  <c r="T103" i="18"/>
  <c r="AC103" i="18" s="1"/>
  <c r="AI103" i="18" s="1"/>
  <c r="I93" i="18"/>
  <c r="J102" i="18"/>
  <c r="T106" i="18"/>
  <c r="O106" i="18"/>
  <c r="P106" i="18" s="1"/>
  <c r="Q106" i="18" s="1"/>
  <c r="H89" i="18"/>
  <c r="I98" i="18"/>
  <c r="K102" i="17"/>
  <c r="AB102" i="17"/>
  <c r="O97" i="17"/>
  <c r="J97" i="17"/>
  <c r="K97" i="17" s="1"/>
  <c r="L97" i="17" s="1"/>
  <c r="R95" i="17"/>
  <c r="X95" i="17" s="1"/>
  <c r="AD95" i="17" s="1"/>
  <c r="I96" i="17"/>
  <c r="O96" i="17" s="1"/>
  <c r="J73" i="17"/>
  <c r="K73" i="17" s="1"/>
  <c r="L73" i="17" s="1"/>
  <c r="O73" i="17"/>
  <c r="J70" i="17"/>
  <c r="K70" i="17" s="1"/>
  <c r="L70" i="17" s="1"/>
  <c r="O70" i="17"/>
  <c r="J71" i="17"/>
  <c r="K71" i="17" s="1"/>
  <c r="L71" i="17" s="1"/>
  <c r="O71" i="17"/>
  <c r="J72" i="17"/>
  <c r="K72" i="17" s="1"/>
  <c r="L72" i="17" s="1"/>
  <c r="O72" i="17"/>
  <c r="J69" i="17"/>
  <c r="K69" i="17" s="1"/>
  <c r="L69" i="17" s="1"/>
  <c r="O69" i="17"/>
  <c r="J74" i="17"/>
  <c r="K74" i="17" s="1"/>
  <c r="L74" i="17" s="1"/>
  <c r="O74" i="17"/>
  <c r="D57" i="17"/>
  <c r="E74" i="17"/>
  <c r="F57" i="17"/>
  <c r="E57" i="17"/>
  <c r="D74" i="17"/>
  <c r="E64" i="17"/>
  <c r="E55" i="17" s="1"/>
  <c r="D72" i="17"/>
  <c r="D80" i="17"/>
  <c r="E80" i="17" s="1"/>
  <c r="F80" i="17" s="1"/>
  <c r="I80" i="17"/>
  <c r="I55" i="17" s="1"/>
  <c r="J55" i="17" s="1"/>
  <c r="K55" i="17" s="1"/>
  <c r="L55" i="17" s="1"/>
  <c r="D77" i="17"/>
  <c r="E77" i="17" s="1"/>
  <c r="F77" i="17" s="1"/>
  <c r="I77" i="17"/>
  <c r="I52" i="17" s="1"/>
  <c r="J52" i="17" s="1"/>
  <c r="D79" i="17"/>
  <c r="E79" i="17" s="1"/>
  <c r="F79" i="17" s="1"/>
  <c r="I79" i="17"/>
  <c r="I54" i="17" s="1"/>
  <c r="J54" i="17" s="1"/>
  <c r="K54" i="17" s="1"/>
  <c r="L54" i="17" s="1"/>
  <c r="O63" i="17"/>
  <c r="U63" i="17" s="1"/>
  <c r="AA63" i="17" s="1"/>
  <c r="P61" i="17"/>
  <c r="V61" i="17" s="1"/>
  <c r="AB61" i="17" s="1"/>
  <c r="E65" i="17"/>
  <c r="E56" i="17" s="1"/>
  <c r="D73" i="17"/>
  <c r="D81" i="17"/>
  <c r="E81" i="17" s="1"/>
  <c r="F81" i="17" s="1"/>
  <c r="I81" i="17"/>
  <c r="I56" i="17" s="1"/>
  <c r="J56" i="17" s="1"/>
  <c r="K56" i="17" s="1"/>
  <c r="L56" i="17" s="1"/>
  <c r="D82" i="17"/>
  <c r="E82" i="17" s="1"/>
  <c r="F82" i="17" s="1"/>
  <c r="I82" i="17"/>
  <c r="I57" i="17" s="1"/>
  <c r="J57" i="17" s="1"/>
  <c r="K57" i="17" s="1"/>
  <c r="L57" i="17" s="1"/>
  <c r="D78" i="17"/>
  <c r="E78" i="17" s="1"/>
  <c r="F78" i="17" s="1"/>
  <c r="I78" i="17"/>
  <c r="I53" i="17" s="1"/>
  <c r="J53" i="17" s="1"/>
  <c r="K53" i="17" s="1"/>
  <c r="L53" i="17" s="1"/>
  <c r="Q61" i="17"/>
  <c r="W61" i="17" s="1"/>
  <c r="AC61" i="17" s="1"/>
  <c r="O62" i="17"/>
  <c r="U62" i="17" s="1"/>
  <c r="AA62" i="17" s="1"/>
  <c r="O61" i="17"/>
  <c r="U61" i="17" s="1"/>
  <c r="AA61" i="17" s="1"/>
  <c r="E63" i="17"/>
  <c r="D71" i="17"/>
  <c r="O64" i="17"/>
  <c r="U64" i="17" s="1"/>
  <c r="AA64" i="17" s="1"/>
  <c r="D54" i="17"/>
  <c r="D55" i="17"/>
  <c r="D56" i="17"/>
  <c r="Q95" i="17"/>
  <c r="W95" i="17" s="1"/>
  <c r="AC95" i="17" s="1"/>
  <c r="P95" i="17"/>
  <c r="V95" i="17" s="1"/>
  <c r="AB95" i="17" s="1"/>
  <c r="L98" i="17"/>
  <c r="P65" i="17"/>
  <c r="V65" i="17" s="1"/>
  <c r="AB65" i="17" s="1"/>
  <c r="P64" i="17"/>
  <c r="V64" i="17" s="1"/>
  <c r="AB64" i="17" s="1"/>
  <c r="P62" i="17"/>
  <c r="V62" i="17" s="1"/>
  <c r="AB62" i="17" s="1"/>
  <c r="E53" i="17"/>
  <c r="F94" i="17"/>
  <c r="K94" i="17"/>
  <c r="Q94" i="17" s="1"/>
  <c r="W94" i="17" s="1"/>
  <c r="AC94" i="17" s="1"/>
  <c r="F114" i="17"/>
  <c r="F102" i="17" s="1"/>
  <c r="K114" i="17"/>
  <c r="Q114" i="17" s="1"/>
  <c r="F122" i="17"/>
  <c r="K122" i="17"/>
  <c r="Q122" i="17" s="1"/>
  <c r="P63" i="17"/>
  <c r="V63" i="17" s="1"/>
  <c r="AB63" i="17" s="1"/>
  <c r="U151" i="18" l="1"/>
  <c r="T59" i="18"/>
  <c r="P59" i="18"/>
  <c r="O59" i="18"/>
  <c r="P156" i="18"/>
  <c r="V156" i="18" s="1"/>
  <c r="AE156" i="18" s="1"/>
  <c r="Q157" i="18"/>
  <c r="V157" i="18"/>
  <c r="L105" i="20"/>
  <c r="R105" i="20" s="1"/>
  <c r="U155" i="18"/>
  <c r="AD155" i="18" s="1"/>
  <c r="AC151" i="18"/>
  <c r="AD151" i="18" s="1"/>
  <c r="AE151" i="18" s="1"/>
  <c r="AF151" i="18" s="1"/>
  <c r="K59" i="18"/>
  <c r="P154" i="18"/>
  <c r="U154" i="18"/>
  <c r="AD154" i="18" s="1"/>
  <c r="V155" i="18"/>
  <c r="AE155" i="18" s="1"/>
  <c r="Q155" i="18"/>
  <c r="AD146" i="18"/>
  <c r="AE146" i="18" s="1"/>
  <c r="AF146" i="18" s="1"/>
  <c r="AI146" i="18"/>
  <c r="AJ146" i="18" s="1"/>
  <c r="AK146" i="18" s="1"/>
  <c r="AL146" i="18" s="1"/>
  <c r="N142" i="18"/>
  <c r="T142" i="18" s="1"/>
  <c r="AD147" i="18"/>
  <c r="AE147" i="18" s="1"/>
  <c r="AF147" i="18" s="1"/>
  <c r="AI147" i="18"/>
  <c r="AJ147" i="18" s="1"/>
  <c r="AK147" i="18" s="1"/>
  <c r="AL147" i="18" s="1"/>
  <c r="AC148" i="18"/>
  <c r="U148" i="18"/>
  <c r="P175" i="18"/>
  <c r="O145" i="18"/>
  <c r="U175" i="18"/>
  <c r="T145" i="18"/>
  <c r="AC145" i="18" s="1"/>
  <c r="AI145" i="18" s="1"/>
  <c r="H127" i="20"/>
  <c r="I118" i="20"/>
  <c r="AD134" i="20"/>
  <c r="AE134" i="20" s="1"/>
  <c r="AF134" i="20" s="1"/>
  <c r="AG134" i="20" s="1"/>
  <c r="Y134" i="20"/>
  <c r="Z134" i="20" s="1"/>
  <c r="AA134" i="20" s="1"/>
  <c r="N125" i="20"/>
  <c r="AF125" i="20" s="1"/>
  <c r="I125" i="20"/>
  <c r="O125" i="20" s="1"/>
  <c r="AG125" i="20" s="1"/>
  <c r="O108" i="20"/>
  <c r="U108" i="20" s="1"/>
  <c r="AA108" i="20" s="1"/>
  <c r="AG108" i="20" s="1"/>
  <c r="I92" i="20"/>
  <c r="M127" i="20"/>
  <c r="R127" i="20"/>
  <c r="M78" i="20"/>
  <c r="N78" i="20" s="1"/>
  <c r="O78" i="20" s="1"/>
  <c r="R78" i="20"/>
  <c r="X93" i="20"/>
  <c r="S93" i="20"/>
  <c r="T93" i="20" s="1"/>
  <c r="U93" i="20" s="1"/>
  <c r="M100" i="20"/>
  <c r="N100" i="20" s="1"/>
  <c r="O100" i="20" s="1"/>
  <c r="R100" i="20"/>
  <c r="L75" i="20"/>
  <c r="X95" i="20"/>
  <c r="S95" i="20"/>
  <c r="T95" i="20" s="1"/>
  <c r="U95" i="20" s="1"/>
  <c r="N86" i="20"/>
  <c r="S86" i="20"/>
  <c r="Y86" i="20" s="1"/>
  <c r="AE86" i="20" s="1"/>
  <c r="I111" i="20"/>
  <c r="N111" i="20"/>
  <c r="T111" i="20" s="1"/>
  <c r="Z111" i="20" s="1"/>
  <c r="AF111" i="20" s="1"/>
  <c r="H95" i="20"/>
  <c r="I129" i="20"/>
  <c r="O129" i="20" s="1"/>
  <c r="N129" i="20"/>
  <c r="R77" i="20"/>
  <c r="M77" i="20"/>
  <c r="N77" i="20" s="1"/>
  <c r="O77" i="20" s="1"/>
  <c r="S129" i="20"/>
  <c r="Y129" i="20" s="1"/>
  <c r="AE129" i="20"/>
  <c r="X96" i="20"/>
  <c r="S96" i="20"/>
  <c r="T96" i="20" s="1"/>
  <c r="U96" i="20" s="1"/>
  <c r="N85" i="20"/>
  <c r="S85" i="20"/>
  <c r="Y85" i="20" s="1"/>
  <c r="AE85" i="20" s="1"/>
  <c r="R79" i="20"/>
  <c r="M79" i="20"/>
  <c r="N79" i="20" s="1"/>
  <c r="O79" i="20" s="1"/>
  <c r="S83" i="20"/>
  <c r="Y83" i="20" s="1"/>
  <c r="AE83" i="20" s="1"/>
  <c r="N83" i="20"/>
  <c r="R74" i="20"/>
  <c r="M74" i="20"/>
  <c r="N74" i="20" s="1"/>
  <c r="O74" i="20" s="1"/>
  <c r="M76" i="20"/>
  <c r="N76" i="20" s="1"/>
  <c r="O76" i="20" s="1"/>
  <c r="R76" i="20"/>
  <c r="Y99" i="20"/>
  <c r="Z99" i="20" s="1"/>
  <c r="AA99" i="20" s="1"/>
  <c r="AD99" i="20"/>
  <c r="AE99" i="20" s="1"/>
  <c r="AF99" i="20" s="1"/>
  <c r="AG99" i="20" s="1"/>
  <c r="AD104" i="20"/>
  <c r="AE104" i="20" s="1"/>
  <c r="AF104" i="20" s="1"/>
  <c r="AG104" i="20" s="1"/>
  <c r="Y104" i="20"/>
  <c r="Z104" i="20" s="1"/>
  <c r="AA104" i="20" s="1"/>
  <c r="S94" i="20"/>
  <c r="T94" i="20" s="1"/>
  <c r="U94" i="20" s="1"/>
  <c r="X94" i="20"/>
  <c r="H91" i="20"/>
  <c r="H74" i="20"/>
  <c r="I83" i="20"/>
  <c r="R101" i="20"/>
  <c r="M101" i="20"/>
  <c r="N101" i="20" s="1"/>
  <c r="O101" i="20" s="1"/>
  <c r="Y92" i="20"/>
  <c r="Z92" i="20" s="1"/>
  <c r="AA92" i="20" s="1"/>
  <c r="AD92" i="20"/>
  <c r="AE92" i="20" s="1"/>
  <c r="AF92" i="20" s="1"/>
  <c r="AG92" i="20" s="1"/>
  <c r="I93" i="20"/>
  <c r="I76" i="20"/>
  <c r="AD119" i="20"/>
  <c r="AE119" i="20" s="1"/>
  <c r="AF119" i="20" s="1"/>
  <c r="AG119" i="20" s="1"/>
  <c r="Y119" i="20"/>
  <c r="Z119" i="20" s="1"/>
  <c r="AA119" i="20" s="1"/>
  <c r="M103" i="20"/>
  <c r="N103" i="20" s="1"/>
  <c r="O103" i="20" s="1"/>
  <c r="R103" i="20"/>
  <c r="AD102" i="20"/>
  <c r="AE102" i="20" s="1"/>
  <c r="AF102" i="20" s="1"/>
  <c r="AG102" i="20" s="1"/>
  <c r="Y102" i="20"/>
  <c r="Z102" i="20" s="1"/>
  <c r="AA102" i="20" s="1"/>
  <c r="H94" i="20"/>
  <c r="I86" i="20"/>
  <c r="H77" i="20"/>
  <c r="S88" i="20"/>
  <c r="Y88" i="20" s="1"/>
  <c r="AE88" i="20" s="1"/>
  <c r="N88" i="20"/>
  <c r="I96" i="20"/>
  <c r="I79" i="20"/>
  <c r="S91" i="20"/>
  <c r="T91" i="20" s="1"/>
  <c r="U91" i="20" s="1"/>
  <c r="X91" i="20"/>
  <c r="T87" i="20"/>
  <c r="Z87" i="20" s="1"/>
  <c r="AF87" i="20" s="1"/>
  <c r="O87" i="20"/>
  <c r="U87" i="20" s="1"/>
  <c r="AA87" i="20" s="1"/>
  <c r="AG87" i="20" s="1"/>
  <c r="Y118" i="20"/>
  <c r="Z118" i="20" s="1"/>
  <c r="AD118" i="20"/>
  <c r="AE118" i="20" s="1"/>
  <c r="AF118" i="20" s="1"/>
  <c r="AG118" i="20" s="1"/>
  <c r="N118" i="20"/>
  <c r="H119" i="18"/>
  <c r="I119" i="18" s="1"/>
  <c r="J119" i="18" s="1"/>
  <c r="N119" i="18"/>
  <c r="O119" i="18" s="1"/>
  <c r="P119" i="18" s="1"/>
  <c r="Q119" i="18" s="1"/>
  <c r="V149" i="18"/>
  <c r="AD150" i="18"/>
  <c r="AE150" i="18" s="1"/>
  <c r="AF150" i="18" s="1"/>
  <c r="AI150" i="18"/>
  <c r="AJ150" i="18" s="1"/>
  <c r="AK150" i="18" s="1"/>
  <c r="AL150" i="18" s="1"/>
  <c r="I142" i="18"/>
  <c r="J150" i="18"/>
  <c r="Q149" i="18"/>
  <c r="W149" i="18" s="1"/>
  <c r="Q174" i="18"/>
  <c r="V174" i="18"/>
  <c r="O124" i="18"/>
  <c r="U124" i="18" s="1"/>
  <c r="AD124" i="18" s="1"/>
  <c r="AJ124" i="18" s="1"/>
  <c r="T110" i="18"/>
  <c r="U110" i="18" s="1"/>
  <c r="V110" i="18" s="1"/>
  <c r="W110" i="18" s="1"/>
  <c r="I124" i="18"/>
  <c r="P124" i="18" s="1"/>
  <c r="V124" i="18" s="1"/>
  <c r="AE124" i="18" s="1"/>
  <c r="AK124" i="18" s="1"/>
  <c r="J127" i="18"/>
  <c r="Q127" i="18" s="1"/>
  <c r="W127" i="18" s="1"/>
  <c r="AF127" i="18" s="1"/>
  <c r="AL127" i="18" s="1"/>
  <c r="AC108" i="18"/>
  <c r="AI108" i="18" s="1"/>
  <c r="AJ108" i="18" s="1"/>
  <c r="AK108" i="18" s="1"/>
  <c r="AL108" i="18" s="1"/>
  <c r="I92" i="18"/>
  <c r="U102" i="18"/>
  <c r="AD102" i="18" s="1"/>
  <c r="AJ102" i="18" s="1"/>
  <c r="P102" i="18"/>
  <c r="H117" i="18"/>
  <c r="I117" i="18" s="1"/>
  <c r="J117" i="18" s="1"/>
  <c r="H114" i="18"/>
  <c r="I114" i="18" s="1"/>
  <c r="J114" i="18" s="1"/>
  <c r="I125" i="18"/>
  <c r="O125" i="18"/>
  <c r="U125" i="18" s="1"/>
  <c r="AD125" i="18" s="1"/>
  <c r="AJ125" i="18" s="1"/>
  <c r="O122" i="18"/>
  <c r="U122" i="18" s="1"/>
  <c r="AD122" i="18" s="1"/>
  <c r="AJ122" i="18" s="1"/>
  <c r="I122" i="18"/>
  <c r="I106" i="18" s="1"/>
  <c r="G120" i="18"/>
  <c r="Q99" i="18"/>
  <c r="W99" i="18" s="1"/>
  <c r="AF99" i="18" s="1"/>
  <c r="AL99" i="18" s="1"/>
  <c r="V99" i="18"/>
  <c r="AE99" i="18" s="1"/>
  <c r="AK99" i="18" s="1"/>
  <c r="H116" i="18"/>
  <c r="I116" i="18" s="1"/>
  <c r="J116" i="18" s="1"/>
  <c r="O116" i="18"/>
  <c r="P116" i="18" s="1"/>
  <c r="Q116" i="18" s="1"/>
  <c r="T111" i="18"/>
  <c r="AC111" i="18" s="1"/>
  <c r="O126" i="18"/>
  <c r="U126" i="18" s="1"/>
  <c r="AD126" i="18" s="1"/>
  <c r="AJ126" i="18" s="1"/>
  <c r="I126" i="18"/>
  <c r="H110" i="18"/>
  <c r="I123" i="18"/>
  <c r="H107" i="18"/>
  <c r="O123" i="18"/>
  <c r="U123" i="18" s="1"/>
  <c r="AD123" i="18" s="1"/>
  <c r="AJ123" i="18" s="1"/>
  <c r="H109" i="18"/>
  <c r="H106" i="18"/>
  <c r="H118" i="18"/>
  <c r="I118" i="18" s="1"/>
  <c r="J118" i="18" s="1"/>
  <c r="O107" i="18"/>
  <c r="P107" i="18" s="1"/>
  <c r="Q107" i="18" s="1"/>
  <c r="H115" i="18"/>
  <c r="I115" i="18" s="1"/>
  <c r="J115" i="18" s="1"/>
  <c r="N90" i="18"/>
  <c r="T90" i="18" s="1"/>
  <c r="T109" i="18"/>
  <c r="O109" i="18"/>
  <c r="P109" i="18" s="1"/>
  <c r="Q109" i="18" s="1"/>
  <c r="Q101" i="18"/>
  <c r="W101" i="18" s="1"/>
  <c r="AF101" i="18" s="1"/>
  <c r="AL101" i="18" s="1"/>
  <c r="V101" i="18"/>
  <c r="AE101" i="18" s="1"/>
  <c r="AK101" i="18" s="1"/>
  <c r="U106" i="18"/>
  <c r="V106" i="18" s="1"/>
  <c r="W106" i="18" s="1"/>
  <c r="AC106" i="18"/>
  <c r="U98" i="18"/>
  <c r="AD98" i="18" s="1"/>
  <c r="AJ98" i="18" s="1"/>
  <c r="P98" i="18"/>
  <c r="Q139" i="18"/>
  <c r="P134" i="18"/>
  <c r="O133" i="18"/>
  <c r="I89" i="18"/>
  <c r="J98" i="18"/>
  <c r="J100" i="18"/>
  <c r="I91" i="18"/>
  <c r="AC134" i="18"/>
  <c r="U134" i="18"/>
  <c r="V134" i="18" s="1"/>
  <c r="W134" i="18" s="1"/>
  <c r="AC107" i="18"/>
  <c r="U107" i="18"/>
  <c r="V107" i="18" s="1"/>
  <c r="W107" i="18" s="1"/>
  <c r="J93" i="18"/>
  <c r="J103" i="18"/>
  <c r="I94" i="18"/>
  <c r="I111" i="18"/>
  <c r="P103" i="18"/>
  <c r="U103" i="18"/>
  <c r="AD103" i="18" s="1"/>
  <c r="AJ103" i="18" s="1"/>
  <c r="AC133" i="18"/>
  <c r="U133" i="18"/>
  <c r="V133" i="18" s="1"/>
  <c r="W164" i="18"/>
  <c r="P71" i="17"/>
  <c r="Q71" i="17" s="1"/>
  <c r="R71" i="17" s="1"/>
  <c r="U71" i="17"/>
  <c r="P70" i="17"/>
  <c r="Q70" i="17" s="1"/>
  <c r="R70" i="17" s="1"/>
  <c r="U70" i="17"/>
  <c r="P72" i="17"/>
  <c r="Q72" i="17" s="1"/>
  <c r="R72" i="17" s="1"/>
  <c r="U72" i="17"/>
  <c r="P73" i="17"/>
  <c r="Q73" i="17" s="1"/>
  <c r="R73" i="17" s="1"/>
  <c r="U73" i="17"/>
  <c r="P74" i="17"/>
  <c r="Q74" i="17" s="1"/>
  <c r="R74" i="17" s="1"/>
  <c r="U74" i="17"/>
  <c r="P96" i="17"/>
  <c r="Q96" i="17" s="1"/>
  <c r="R96" i="17" s="1"/>
  <c r="U96" i="17"/>
  <c r="P69" i="17"/>
  <c r="Q69" i="17" s="1"/>
  <c r="R69" i="17" s="1"/>
  <c r="U69" i="17"/>
  <c r="L102" i="17"/>
  <c r="AD102" i="17" s="1"/>
  <c r="AC102" i="17"/>
  <c r="P97" i="17"/>
  <c r="Q97" i="17" s="1"/>
  <c r="R97" i="17" s="1"/>
  <c r="U97" i="17"/>
  <c r="O77" i="17"/>
  <c r="O80" i="17"/>
  <c r="O79" i="17"/>
  <c r="O78" i="17"/>
  <c r="O82" i="17"/>
  <c r="O81" i="17"/>
  <c r="J96" i="17"/>
  <c r="K96" i="17"/>
  <c r="F63" i="17"/>
  <c r="F71" i="17" s="1"/>
  <c r="E71" i="17"/>
  <c r="J82" i="17"/>
  <c r="K82" i="17" s="1"/>
  <c r="L82" i="17" s="1"/>
  <c r="J80" i="17"/>
  <c r="K80" i="17" s="1"/>
  <c r="L80" i="17" s="1"/>
  <c r="J79" i="17"/>
  <c r="K79" i="17" s="1"/>
  <c r="L79" i="17" s="1"/>
  <c r="J77" i="17"/>
  <c r="K77" i="17" s="1"/>
  <c r="L77" i="17" s="1"/>
  <c r="J81" i="17"/>
  <c r="K81" i="17" s="1"/>
  <c r="L81" i="17" s="1"/>
  <c r="F65" i="17"/>
  <c r="F73" i="17" s="1"/>
  <c r="E73" i="17"/>
  <c r="J78" i="17"/>
  <c r="K78" i="17" s="1"/>
  <c r="L78" i="17" s="1"/>
  <c r="E54" i="17"/>
  <c r="F64" i="17"/>
  <c r="F72" i="17" s="1"/>
  <c r="E72" i="17"/>
  <c r="R98" i="17"/>
  <c r="X98" i="17" s="1"/>
  <c r="AD98" i="17" s="1"/>
  <c r="F96" i="17"/>
  <c r="Q63" i="17"/>
  <c r="W63" i="17" s="1"/>
  <c r="AC63" i="17" s="1"/>
  <c r="L94" i="17"/>
  <c r="R94" i="17" s="1"/>
  <c r="X94" i="17" s="1"/>
  <c r="AD94" i="17" s="1"/>
  <c r="G122" i="17"/>
  <c r="L122" i="17"/>
  <c r="R122" i="17" s="1"/>
  <c r="L114" i="17"/>
  <c r="R114" i="17" s="1"/>
  <c r="Q64" i="17"/>
  <c r="W64" i="17" s="1"/>
  <c r="AC64" i="17" s="1"/>
  <c r="Q65" i="17"/>
  <c r="W65" i="17" s="1"/>
  <c r="AC65" i="17" s="1"/>
  <c r="Q62" i="17"/>
  <c r="W62" i="17" s="1"/>
  <c r="AC62" i="17" s="1"/>
  <c r="F53" i="17"/>
  <c r="U59" i="18" l="1"/>
  <c r="M105" i="20"/>
  <c r="N105" i="20" s="1"/>
  <c r="O105" i="20" s="1"/>
  <c r="V151" i="18"/>
  <c r="V59" i="18" s="1"/>
  <c r="AF149" i="18"/>
  <c r="AL149" i="18" s="1"/>
  <c r="V148" i="18"/>
  <c r="W148" i="18" s="1"/>
  <c r="AI151" i="18"/>
  <c r="AJ151" i="18" s="1"/>
  <c r="AK151" i="18" s="1"/>
  <c r="AL151" i="18" s="1"/>
  <c r="Q156" i="18"/>
  <c r="W156" i="18" s="1"/>
  <c r="AF156" i="18" s="1"/>
  <c r="W157" i="18"/>
  <c r="Q59" i="18"/>
  <c r="R59" i="18" s="1"/>
  <c r="O142" i="18"/>
  <c r="P142" i="18" s="1"/>
  <c r="Q142" i="18" s="1"/>
  <c r="V154" i="18"/>
  <c r="AE154" i="18" s="1"/>
  <c r="Q154" i="18"/>
  <c r="W154" i="18" s="1"/>
  <c r="AF154" i="18" s="1"/>
  <c r="W155" i="18"/>
  <c r="AF155" i="18" s="1"/>
  <c r="AI148" i="18"/>
  <c r="AJ148" i="18" s="1"/>
  <c r="AK148" i="18" s="1"/>
  <c r="AL148" i="18" s="1"/>
  <c r="AD148" i="18"/>
  <c r="AE148" i="18" s="1"/>
  <c r="AF148" i="18" s="1"/>
  <c r="V175" i="18"/>
  <c r="U145" i="18"/>
  <c r="AD145" i="18" s="1"/>
  <c r="AJ145" i="18" s="1"/>
  <c r="P145" i="18"/>
  <c r="Q175" i="18"/>
  <c r="S127" i="20"/>
  <c r="X127" i="20"/>
  <c r="N127" i="20"/>
  <c r="I127" i="20"/>
  <c r="AA118" i="20"/>
  <c r="S77" i="20"/>
  <c r="T77" i="20" s="1"/>
  <c r="U77" i="20" s="1"/>
  <c r="X77" i="20"/>
  <c r="T88" i="20"/>
  <c r="Z88" i="20" s="1"/>
  <c r="AF88" i="20" s="1"/>
  <c r="O88" i="20"/>
  <c r="U88" i="20" s="1"/>
  <c r="AA88" i="20" s="1"/>
  <c r="AG88" i="20" s="1"/>
  <c r="X74" i="20"/>
  <c r="S74" i="20"/>
  <c r="T74" i="20" s="1"/>
  <c r="U74" i="20" s="1"/>
  <c r="AD94" i="20"/>
  <c r="AE94" i="20" s="1"/>
  <c r="AF94" i="20" s="1"/>
  <c r="AG94" i="20" s="1"/>
  <c r="Y94" i="20"/>
  <c r="Z94" i="20" s="1"/>
  <c r="AA94" i="20" s="1"/>
  <c r="AD91" i="20"/>
  <c r="AE91" i="20" s="1"/>
  <c r="AF91" i="20" s="1"/>
  <c r="AG91" i="20" s="1"/>
  <c r="Y91" i="20"/>
  <c r="Z91" i="20" s="1"/>
  <c r="AA91" i="20" s="1"/>
  <c r="I91" i="20"/>
  <c r="I74" i="20"/>
  <c r="O85" i="20"/>
  <c r="U85" i="20" s="1"/>
  <c r="AA85" i="20" s="1"/>
  <c r="AG85" i="20" s="1"/>
  <c r="T85" i="20"/>
  <c r="Z85" i="20" s="1"/>
  <c r="AF85" i="20" s="1"/>
  <c r="AF129" i="20"/>
  <c r="T129" i="20"/>
  <c r="Z129" i="20" s="1"/>
  <c r="AG129" i="20"/>
  <c r="U129" i="20"/>
  <c r="AA129" i="20" s="1"/>
  <c r="AD93" i="20"/>
  <c r="AE93" i="20" s="1"/>
  <c r="AF93" i="20" s="1"/>
  <c r="AG93" i="20" s="1"/>
  <c r="Y93" i="20"/>
  <c r="Z93" i="20" s="1"/>
  <c r="AA93" i="20" s="1"/>
  <c r="O111" i="20"/>
  <c r="U111" i="20" s="1"/>
  <c r="AA111" i="20" s="1"/>
  <c r="AG111" i="20" s="1"/>
  <c r="I95" i="20"/>
  <c r="O83" i="20"/>
  <c r="U83" i="20" s="1"/>
  <c r="AA83" i="20" s="1"/>
  <c r="AG83" i="20" s="1"/>
  <c r="T83" i="20"/>
  <c r="Z83" i="20" s="1"/>
  <c r="AF83" i="20" s="1"/>
  <c r="AD95" i="20"/>
  <c r="AE95" i="20" s="1"/>
  <c r="AF95" i="20" s="1"/>
  <c r="AG95" i="20" s="1"/>
  <c r="Y95" i="20"/>
  <c r="Z95" i="20" s="1"/>
  <c r="AA95" i="20" s="1"/>
  <c r="X78" i="20"/>
  <c r="S78" i="20"/>
  <c r="T78" i="20" s="1"/>
  <c r="U78" i="20" s="1"/>
  <c r="S101" i="20"/>
  <c r="T101" i="20" s="1"/>
  <c r="U101" i="20" s="1"/>
  <c r="X101" i="20"/>
  <c r="X100" i="20"/>
  <c r="S100" i="20"/>
  <c r="T100" i="20" s="1"/>
  <c r="U100" i="20" s="1"/>
  <c r="S76" i="20"/>
  <c r="T76" i="20" s="1"/>
  <c r="U76" i="20" s="1"/>
  <c r="X76" i="20"/>
  <c r="I77" i="20"/>
  <c r="I94" i="20"/>
  <c r="AD96" i="20"/>
  <c r="AE96" i="20" s="1"/>
  <c r="AF96" i="20" s="1"/>
  <c r="AG96" i="20" s="1"/>
  <c r="Y96" i="20"/>
  <c r="Z96" i="20" s="1"/>
  <c r="AA96" i="20" s="1"/>
  <c r="O86" i="20"/>
  <c r="U86" i="20" s="1"/>
  <c r="AA86" i="20" s="1"/>
  <c r="AG86" i="20" s="1"/>
  <c r="T86" i="20"/>
  <c r="Z86" i="20" s="1"/>
  <c r="AF86" i="20" s="1"/>
  <c r="S105" i="20"/>
  <c r="T105" i="20" s="1"/>
  <c r="U105" i="20" s="1"/>
  <c r="X105" i="20"/>
  <c r="X103" i="20"/>
  <c r="S103" i="20"/>
  <c r="T103" i="20" s="1"/>
  <c r="U103" i="20" s="1"/>
  <c r="X79" i="20"/>
  <c r="S79" i="20"/>
  <c r="T79" i="20" s="1"/>
  <c r="U79" i="20" s="1"/>
  <c r="R75" i="20"/>
  <c r="M75" i="20"/>
  <c r="N75" i="20" s="1"/>
  <c r="O75" i="20" s="1"/>
  <c r="AE149" i="18"/>
  <c r="AK149" i="18" s="1"/>
  <c r="U142" i="18"/>
  <c r="AC142" i="18"/>
  <c r="J142" i="18"/>
  <c r="W174" i="18"/>
  <c r="J124" i="18"/>
  <c r="Q124" i="18" s="1"/>
  <c r="W124" i="18" s="1"/>
  <c r="AF124" i="18" s="1"/>
  <c r="AL124" i="18" s="1"/>
  <c r="AC110" i="18"/>
  <c r="AD110" i="18" s="1"/>
  <c r="AE110" i="18" s="1"/>
  <c r="AF110" i="18" s="1"/>
  <c r="I108" i="18"/>
  <c r="N94" i="18"/>
  <c r="O94" i="18" s="1"/>
  <c r="P94" i="18" s="1"/>
  <c r="Q94" i="18" s="1"/>
  <c r="T119" i="18"/>
  <c r="U119" i="18" s="1"/>
  <c r="V119" i="18" s="1"/>
  <c r="W119" i="18" s="1"/>
  <c r="N91" i="18"/>
  <c r="O91" i="18" s="1"/>
  <c r="AD108" i="18"/>
  <c r="AE108" i="18" s="1"/>
  <c r="AF108" i="18" s="1"/>
  <c r="O90" i="18"/>
  <c r="P90" i="18" s="1"/>
  <c r="T116" i="18"/>
  <c r="AC116" i="18" s="1"/>
  <c r="U111" i="18"/>
  <c r="V111" i="18" s="1"/>
  <c r="W111" i="18" s="1"/>
  <c r="Q102" i="18"/>
  <c r="W102" i="18" s="1"/>
  <c r="AF102" i="18" s="1"/>
  <c r="AL102" i="18" s="1"/>
  <c r="V102" i="18"/>
  <c r="AE102" i="18" s="1"/>
  <c r="AK102" i="18" s="1"/>
  <c r="H120" i="18"/>
  <c r="N120" i="18"/>
  <c r="J122" i="18"/>
  <c r="Q122" i="18" s="1"/>
  <c r="W122" i="18" s="1"/>
  <c r="AF122" i="18" s="1"/>
  <c r="AL122" i="18" s="1"/>
  <c r="P122" i="18"/>
  <c r="V122" i="18" s="1"/>
  <c r="AE122" i="18" s="1"/>
  <c r="AK122" i="18" s="1"/>
  <c r="U109" i="18"/>
  <c r="V109" i="18" s="1"/>
  <c r="W109" i="18" s="1"/>
  <c r="AC109" i="18"/>
  <c r="J123" i="18"/>
  <c r="P123" i="18"/>
  <c r="V123" i="18" s="1"/>
  <c r="AE123" i="18" s="1"/>
  <c r="AK123" i="18" s="1"/>
  <c r="I107" i="18"/>
  <c r="P126" i="18"/>
  <c r="V126" i="18" s="1"/>
  <c r="AE126" i="18" s="1"/>
  <c r="AK126" i="18" s="1"/>
  <c r="J126" i="18"/>
  <c r="I110" i="18"/>
  <c r="T114" i="18"/>
  <c r="O114" i="18"/>
  <c r="N89" i="18"/>
  <c r="T117" i="18"/>
  <c r="O117" i="18"/>
  <c r="N92" i="18"/>
  <c r="O115" i="18"/>
  <c r="T115" i="18"/>
  <c r="P125" i="18"/>
  <c r="V125" i="18" s="1"/>
  <c r="AE125" i="18" s="1"/>
  <c r="AK125" i="18" s="1"/>
  <c r="J125" i="18"/>
  <c r="I109" i="18"/>
  <c r="T118" i="18"/>
  <c r="N93" i="18"/>
  <c r="O118" i="18"/>
  <c r="W133" i="18"/>
  <c r="J111" i="18"/>
  <c r="J94" i="18"/>
  <c r="Q134" i="18"/>
  <c r="Q133" i="18" s="1"/>
  <c r="P133" i="18"/>
  <c r="AI134" i="18"/>
  <c r="AJ134" i="18" s="1"/>
  <c r="AK134" i="18" s="1"/>
  <c r="AL134" i="18" s="1"/>
  <c r="AD134" i="18"/>
  <c r="J89" i="18"/>
  <c r="AI111" i="18"/>
  <c r="AJ111" i="18" s="1"/>
  <c r="AK111" i="18" s="1"/>
  <c r="AL111" i="18" s="1"/>
  <c r="AD111" i="18"/>
  <c r="AE111" i="18" s="1"/>
  <c r="AF111" i="18" s="1"/>
  <c r="AC90" i="18"/>
  <c r="U90" i="18"/>
  <c r="Q98" i="18"/>
  <c r="W98" i="18" s="1"/>
  <c r="AF98" i="18" s="1"/>
  <c r="AL98" i="18" s="1"/>
  <c r="V98" i="18"/>
  <c r="AE98" i="18" s="1"/>
  <c r="AK98" i="18" s="1"/>
  <c r="AD107" i="18"/>
  <c r="AE107" i="18" s="1"/>
  <c r="AF107" i="18" s="1"/>
  <c r="AI107" i="18"/>
  <c r="AJ107" i="18" s="1"/>
  <c r="AK107" i="18" s="1"/>
  <c r="AL107" i="18" s="1"/>
  <c r="AD133" i="18"/>
  <c r="AE133" i="18" s="1"/>
  <c r="AI133" i="18"/>
  <c r="AJ133" i="18" s="1"/>
  <c r="AK133" i="18" s="1"/>
  <c r="J91" i="18"/>
  <c r="Q103" i="18"/>
  <c r="W103" i="18" s="1"/>
  <c r="AF103" i="18" s="1"/>
  <c r="AL103" i="18" s="1"/>
  <c r="V103" i="18"/>
  <c r="AE103" i="18" s="1"/>
  <c r="AK103" i="18" s="1"/>
  <c r="AI106" i="18"/>
  <c r="AJ106" i="18" s="1"/>
  <c r="AK106" i="18" s="1"/>
  <c r="AL106" i="18" s="1"/>
  <c r="AD106" i="18"/>
  <c r="AE106" i="18" s="1"/>
  <c r="AF106" i="18" s="1"/>
  <c r="V73" i="17"/>
  <c r="W73" i="17" s="1"/>
  <c r="X73" i="17" s="1"/>
  <c r="AA73" i="17"/>
  <c r="AB73" i="17" s="1"/>
  <c r="AC73" i="17" s="1"/>
  <c r="AD73" i="17" s="1"/>
  <c r="V72" i="17"/>
  <c r="W72" i="17" s="1"/>
  <c r="X72" i="17" s="1"/>
  <c r="AA72" i="17"/>
  <c r="AB72" i="17" s="1"/>
  <c r="AC72" i="17" s="1"/>
  <c r="AD72" i="17" s="1"/>
  <c r="V74" i="17"/>
  <c r="W74" i="17" s="1"/>
  <c r="X74" i="17" s="1"/>
  <c r="AA74" i="17"/>
  <c r="AB74" i="17" s="1"/>
  <c r="AC74" i="17" s="1"/>
  <c r="AD74" i="17" s="1"/>
  <c r="V97" i="17"/>
  <c r="W97" i="17" s="1"/>
  <c r="X97" i="17" s="1"/>
  <c r="AA97" i="17"/>
  <c r="AB97" i="17" s="1"/>
  <c r="AC97" i="17" s="1"/>
  <c r="AD97" i="17" s="1"/>
  <c r="P81" i="17"/>
  <c r="Q81" i="17" s="1"/>
  <c r="R81" i="17" s="1"/>
  <c r="U81" i="17"/>
  <c r="V69" i="17"/>
  <c r="W69" i="17" s="1"/>
  <c r="X69" i="17" s="1"/>
  <c r="AA69" i="17"/>
  <c r="AB69" i="17" s="1"/>
  <c r="AC69" i="17" s="1"/>
  <c r="AD69" i="17" s="1"/>
  <c r="V71" i="17"/>
  <c r="W71" i="17" s="1"/>
  <c r="X71" i="17" s="1"/>
  <c r="AA71" i="17"/>
  <c r="AB71" i="17" s="1"/>
  <c r="AC71" i="17" s="1"/>
  <c r="AD71" i="17" s="1"/>
  <c r="P78" i="17"/>
  <c r="Q78" i="17" s="1"/>
  <c r="R78" i="17" s="1"/>
  <c r="U78" i="17"/>
  <c r="V96" i="17"/>
  <c r="W96" i="17" s="1"/>
  <c r="X96" i="17" s="1"/>
  <c r="AA96" i="17"/>
  <c r="AB96" i="17" s="1"/>
  <c r="AC96" i="17" s="1"/>
  <c r="AD96" i="17" s="1"/>
  <c r="P79" i="17"/>
  <c r="Q79" i="17" s="1"/>
  <c r="R79" i="17" s="1"/>
  <c r="U79" i="17"/>
  <c r="P80" i="17"/>
  <c r="Q80" i="17" s="1"/>
  <c r="R80" i="17" s="1"/>
  <c r="U80" i="17"/>
  <c r="P77" i="17"/>
  <c r="Q77" i="17" s="1"/>
  <c r="R77" i="17" s="1"/>
  <c r="U77" i="17"/>
  <c r="V70" i="17"/>
  <c r="W70" i="17" s="1"/>
  <c r="X70" i="17" s="1"/>
  <c r="AA70" i="17"/>
  <c r="AB70" i="17" s="1"/>
  <c r="AC70" i="17" s="1"/>
  <c r="AD70" i="17" s="1"/>
  <c r="P82" i="17"/>
  <c r="Q82" i="17" s="1"/>
  <c r="R82" i="17" s="1"/>
  <c r="U82" i="17"/>
  <c r="L96" i="17"/>
  <c r="K52" i="17"/>
  <c r="L52" i="17" s="1"/>
  <c r="O52" i="17"/>
  <c r="O55" i="17"/>
  <c r="O57" i="17"/>
  <c r="O53" i="17"/>
  <c r="O56" i="17"/>
  <c r="O54" i="17"/>
  <c r="F54" i="17"/>
  <c r="F56" i="17"/>
  <c r="F55" i="17"/>
  <c r="R65" i="17"/>
  <c r="X65" i="17" s="1"/>
  <c r="AD65" i="17" s="1"/>
  <c r="R64" i="17"/>
  <c r="X64" i="17" s="1"/>
  <c r="AD64" i="17" s="1"/>
  <c r="R62" i="17"/>
  <c r="X62" i="17" s="1"/>
  <c r="AD62" i="17" s="1"/>
  <c r="R63" i="17"/>
  <c r="X63" i="17" s="1"/>
  <c r="AD63" i="17" s="1"/>
  <c r="W151" i="18" l="1"/>
  <c r="W59" i="18" s="1"/>
  <c r="X59" i="18" s="1"/>
  <c r="Q145" i="18"/>
  <c r="W175" i="18"/>
  <c r="W145" i="18" s="1"/>
  <c r="AF145" i="18" s="1"/>
  <c r="AL145" i="18" s="1"/>
  <c r="V145" i="18"/>
  <c r="AE145" i="18" s="1"/>
  <c r="AK145" i="18" s="1"/>
  <c r="O127" i="20"/>
  <c r="AD127" i="20"/>
  <c r="Y127" i="20"/>
  <c r="T127" i="20"/>
  <c r="X75" i="20"/>
  <c r="S75" i="20"/>
  <c r="T75" i="20" s="1"/>
  <c r="U75" i="20" s="1"/>
  <c r="Y100" i="20"/>
  <c r="Z100" i="20" s="1"/>
  <c r="AA100" i="20" s="1"/>
  <c r="AD100" i="20"/>
  <c r="AE100" i="20" s="1"/>
  <c r="AF100" i="20" s="1"/>
  <c r="AG100" i="20" s="1"/>
  <c r="AD78" i="20"/>
  <c r="AE78" i="20" s="1"/>
  <c r="Y78" i="20"/>
  <c r="Z78" i="20" s="1"/>
  <c r="Y77" i="20"/>
  <c r="Z77" i="20" s="1"/>
  <c r="AD77" i="20"/>
  <c r="AE77" i="20" s="1"/>
  <c r="Y103" i="20"/>
  <c r="Z103" i="20" s="1"/>
  <c r="AA103" i="20" s="1"/>
  <c r="AD103" i="20"/>
  <c r="AE103" i="20" s="1"/>
  <c r="AF103" i="20" s="1"/>
  <c r="AG103" i="20" s="1"/>
  <c r="AD101" i="20"/>
  <c r="AE101" i="20" s="1"/>
  <c r="AF101" i="20" s="1"/>
  <c r="AG101" i="20" s="1"/>
  <c r="Y101" i="20"/>
  <c r="Z101" i="20" s="1"/>
  <c r="AA101" i="20" s="1"/>
  <c r="AD74" i="20"/>
  <c r="AE74" i="20" s="1"/>
  <c r="Y74" i="20"/>
  <c r="Z74" i="20" s="1"/>
  <c r="AD79" i="20"/>
  <c r="AE79" i="20" s="1"/>
  <c r="AF79" i="20" s="1"/>
  <c r="AG79" i="20" s="1"/>
  <c r="Y79" i="20"/>
  <c r="Z79" i="20" s="1"/>
  <c r="AA79" i="20" s="1"/>
  <c r="AD105" i="20"/>
  <c r="AE105" i="20" s="1"/>
  <c r="AF105" i="20" s="1"/>
  <c r="AG105" i="20" s="1"/>
  <c r="Y105" i="20"/>
  <c r="Z105" i="20" s="1"/>
  <c r="AA105" i="20" s="1"/>
  <c r="AD76" i="20"/>
  <c r="AE76" i="20" s="1"/>
  <c r="Y76" i="20"/>
  <c r="Z76" i="20" s="1"/>
  <c r="V142" i="18"/>
  <c r="AD142" i="18"/>
  <c r="AI142" i="18"/>
  <c r="J108" i="18"/>
  <c r="AI110" i="18"/>
  <c r="AJ110" i="18" s="1"/>
  <c r="AK110" i="18" s="1"/>
  <c r="AL110" i="18" s="1"/>
  <c r="T94" i="18"/>
  <c r="U94" i="18" s="1"/>
  <c r="V94" i="18" s="1"/>
  <c r="W94" i="18" s="1"/>
  <c r="U116" i="18"/>
  <c r="AC119" i="18"/>
  <c r="AI119" i="18" s="1"/>
  <c r="AJ119" i="18" s="1"/>
  <c r="AK119" i="18" s="1"/>
  <c r="AL119" i="18" s="1"/>
  <c r="P118" i="18"/>
  <c r="P117" i="18"/>
  <c r="P114" i="18"/>
  <c r="P115" i="18"/>
  <c r="T91" i="18"/>
  <c r="AC91" i="18" s="1"/>
  <c r="J106" i="18"/>
  <c r="U118" i="18"/>
  <c r="AC118" i="18"/>
  <c r="Q123" i="18"/>
  <c r="W123" i="18" s="1"/>
  <c r="AF123" i="18" s="1"/>
  <c r="AL123" i="18" s="1"/>
  <c r="J107" i="18"/>
  <c r="T92" i="18"/>
  <c r="O92" i="18"/>
  <c r="U117" i="18"/>
  <c r="AC117" i="18"/>
  <c r="O89" i="18"/>
  <c r="T89" i="18"/>
  <c r="Q126" i="18"/>
  <c r="W126" i="18" s="1"/>
  <c r="AF126" i="18" s="1"/>
  <c r="AL126" i="18" s="1"/>
  <c r="J110" i="18"/>
  <c r="T120" i="18"/>
  <c r="O120" i="18"/>
  <c r="Q125" i="18"/>
  <c r="W125" i="18" s="1"/>
  <c r="AF125" i="18" s="1"/>
  <c r="AL125" i="18" s="1"/>
  <c r="J109" i="18"/>
  <c r="AC115" i="18"/>
  <c r="U115" i="18"/>
  <c r="AI109" i="18"/>
  <c r="AJ109" i="18" s="1"/>
  <c r="AK109" i="18" s="1"/>
  <c r="AL109" i="18" s="1"/>
  <c r="AD109" i="18"/>
  <c r="AE109" i="18" s="1"/>
  <c r="AF109" i="18" s="1"/>
  <c r="O93" i="18"/>
  <c r="T93" i="18"/>
  <c r="U114" i="18"/>
  <c r="AC114" i="18"/>
  <c r="I120" i="18"/>
  <c r="AD90" i="18"/>
  <c r="AI90" i="18"/>
  <c r="AJ90" i="18" s="1"/>
  <c r="AK90" i="18" s="1"/>
  <c r="AL90" i="18" s="1"/>
  <c r="AE134" i="18"/>
  <c r="AF134" i="18" s="1"/>
  <c r="AL133" i="18"/>
  <c r="AF133" i="18"/>
  <c r="P91" i="18"/>
  <c r="AI116" i="18"/>
  <c r="AJ116" i="18" s="1"/>
  <c r="AK116" i="18" s="1"/>
  <c r="AL116" i="18" s="1"/>
  <c r="AD116" i="18"/>
  <c r="Q90" i="18"/>
  <c r="V90" i="18"/>
  <c r="V78" i="17"/>
  <c r="W78" i="17" s="1"/>
  <c r="X78" i="17" s="1"/>
  <c r="AA78" i="17"/>
  <c r="AB78" i="17" s="1"/>
  <c r="AC78" i="17" s="1"/>
  <c r="AD78" i="17" s="1"/>
  <c r="V77" i="17"/>
  <c r="W77" i="17" s="1"/>
  <c r="X77" i="17" s="1"/>
  <c r="AA77" i="17"/>
  <c r="AB77" i="17" s="1"/>
  <c r="AC77" i="17" s="1"/>
  <c r="AD77" i="17" s="1"/>
  <c r="P53" i="17"/>
  <c r="Q53" i="17" s="1"/>
  <c r="R53" i="17" s="1"/>
  <c r="U53" i="17"/>
  <c r="V80" i="17"/>
  <c r="W80" i="17" s="1"/>
  <c r="X80" i="17" s="1"/>
  <c r="AA80" i="17"/>
  <c r="AB80" i="17" s="1"/>
  <c r="AC80" i="17" s="1"/>
  <c r="AD80" i="17" s="1"/>
  <c r="P57" i="17"/>
  <c r="Q57" i="17" s="1"/>
  <c r="R57" i="17" s="1"/>
  <c r="U57" i="17"/>
  <c r="V82" i="17"/>
  <c r="W82" i="17" s="1"/>
  <c r="X82" i="17" s="1"/>
  <c r="AA82" i="17"/>
  <c r="AB82" i="17" s="1"/>
  <c r="AC82" i="17" s="1"/>
  <c r="AD82" i="17" s="1"/>
  <c r="P54" i="17"/>
  <c r="Q54" i="17" s="1"/>
  <c r="R54" i="17" s="1"/>
  <c r="U54" i="17"/>
  <c r="P56" i="17"/>
  <c r="Q56" i="17" s="1"/>
  <c r="R56" i="17" s="1"/>
  <c r="U56" i="17"/>
  <c r="V81" i="17"/>
  <c r="W81" i="17" s="1"/>
  <c r="X81" i="17" s="1"/>
  <c r="AA81" i="17"/>
  <c r="AB81" i="17" s="1"/>
  <c r="AC81" i="17" s="1"/>
  <c r="AD81" i="17" s="1"/>
  <c r="P55" i="17"/>
  <c r="Q55" i="17" s="1"/>
  <c r="R55" i="17" s="1"/>
  <c r="U55" i="17"/>
  <c r="V79" i="17"/>
  <c r="W79" i="17" s="1"/>
  <c r="X79" i="17" s="1"/>
  <c r="AA79" i="17"/>
  <c r="AB79" i="17" s="1"/>
  <c r="AC79" i="17" s="1"/>
  <c r="AD79" i="17" s="1"/>
  <c r="P52" i="17"/>
  <c r="Q52" i="17" s="1"/>
  <c r="R52" i="17" s="1"/>
  <c r="U52" i="17"/>
  <c r="U127" i="20" l="1"/>
  <c r="Z127" i="20"/>
  <c r="AE127" i="20"/>
  <c r="AA74" i="20"/>
  <c r="AF74" i="20"/>
  <c r="AG74" i="20" s="1"/>
  <c r="AA77" i="20"/>
  <c r="AA78" i="20"/>
  <c r="AF78" i="20"/>
  <c r="AG78" i="20" s="1"/>
  <c r="AF77" i="20"/>
  <c r="AG77" i="20" s="1"/>
  <c r="AF76" i="20"/>
  <c r="AG76" i="20" s="1"/>
  <c r="AA76" i="20"/>
  <c r="Y75" i="20"/>
  <c r="AD75" i="20"/>
  <c r="AE75" i="20" s="1"/>
  <c r="AJ142" i="18"/>
  <c r="AE142" i="18"/>
  <c r="W142" i="18"/>
  <c r="AC94" i="18"/>
  <c r="AI94" i="18" s="1"/>
  <c r="AJ94" i="18" s="1"/>
  <c r="AK94" i="18" s="1"/>
  <c r="AL94" i="18" s="1"/>
  <c r="U91" i="18"/>
  <c r="V91" i="18" s="1"/>
  <c r="AD119" i="18"/>
  <c r="AE119" i="18" s="1"/>
  <c r="AF119" i="18" s="1"/>
  <c r="V116" i="18"/>
  <c r="AE116" i="18"/>
  <c r="V118" i="18"/>
  <c r="V114" i="18"/>
  <c r="Q114" i="18"/>
  <c r="Q117" i="18"/>
  <c r="V117" i="18"/>
  <c r="Q118" i="18"/>
  <c r="V115" i="18"/>
  <c r="Q115" i="18"/>
  <c r="P89" i="18"/>
  <c r="AI115" i="18"/>
  <c r="AJ115" i="18" s="1"/>
  <c r="AD115" i="18"/>
  <c r="J120" i="18"/>
  <c r="U120" i="18"/>
  <c r="AC120" i="18"/>
  <c r="U89" i="18"/>
  <c r="AC89" i="18"/>
  <c r="AD117" i="18"/>
  <c r="AI117" i="18"/>
  <c r="AJ117" i="18" s="1"/>
  <c r="AD118" i="18"/>
  <c r="AI118" i="18"/>
  <c r="AJ118" i="18" s="1"/>
  <c r="AC93" i="18"/>
  <c r="U93" i="18"/>
  <c r="P92" i="18"/>
  <c r="U92" i="18"/>
  <c r="AC92" i="18"/>
  <c r="P120" i="18"/>
  <c r="AD114" i="18"/>
  <c r="AI114" i="18"/>
  <c r="AJ114" i="18" s="1"/>
  <c r="P93" i="18"/>
  <c r="Q91" i="18"/>
  <c r="W90" i="18"/>
  <c r="AE90" i="18"/>
  <c r="AI91" i="18"/>
  <c r="AJ91" i="18" s="1"/>
  <c r="AD91" i="18"/>
  <c r="V53" i="17"/>
  <c r="W53" i="17" s="1"/>
  <c r="X53" i="17" s="1"/>
  <c r="AA53" i="17"/>
  <c r="AB53" i="17" s="1"/>
  <c r="AC53" i="17" s="1"/>
  <c r="AD53" i="17" s="1"/>
  <c r="V57" i="17"/>
  <c r="W57" i="17" s="1"/>
  <c r="X57" i="17" s="1"/>
  <c r="AA57" i="17"/>
  <c r="AB57" i="17" s="1"/>
  <c r="AC57" i="17" s="1"/>
  <c r="AD57" i="17" s="1"/>
  <c r="V52" i="17"/>
  <c r="W52" i="17" s="1"/>
  <c r="X52" i="17" s="1"/>
  <c r="AA52" i="17"/>
  <c r="AB52" i="17" s="1"/>
  <c r="AC52" i="17" s="1"/>
  <c r="AD52" i="17" s="1"/>
  <c r="V55" i="17"/>
  <c r="W55" i="17" s="1"/>
  <c r="X55" i="17" s="1"/>
  <c r="AA55" i="17"/>
  <c r="AB55" i="17" s="1"/>
  <c r="AC55" i="17" s="1"/>
  <c r="AD55" i="17" s="1"/>
  <c r="V56" i="17"/>
  <c r="W56" i="17" s="1"/>
  <c r="X56" i="17" s="1"/>
  <c r="AA56" i="17"/>
  <c r="AB56" i="17" s="1"/>
  <c r="AC56" i="17" s="1"/>
  <c r="AD56" i="17" s="1"/>
  <c r="V54" i="17"/>
  <c r="W54" i="17" s="1"/>
  <c r="X54" i="17" s="1"/>
  <c r="AA54" i="17"/>
  <c r="AB54" i="17" s="1"/>
  <c r="AC54" i="17" s="1"/>
  <c r="AD54" i="17" s="1"/>
  <c r="AF127" i="20" l="1"/>
  <c r="AA127" i="20"/>
  <c r="AF75" i="20"/>
  <c r="Z75" i="20"/>
  <c r="AF142" i="18"/>
  <c r="AK142" i="18"/>
  <c r="AD94" i="18"/>
  <c r="AE94" i="18" s="1"/>
  <c r="AF94" i="18" s="1"/>
  <c r="W116" i="18"/>
  <c r="AE114" i="18"/>
  <c r="AE118" i="18"/>
  <c r="AE117" i="18"/>
  <c r="W117" i="18"/>
  <c r="W114" i="18"/>
  <c r="AK117" i="18"/>
  <c r="W115" i="18"/>
  <c r="AE115" i="18"/>
  <c r="W118" i="18"/>
  <c r="AK115" i="18"/>
  <c r="AK114" i="18"/>
  <c r="AK118" i="18"/>
  <c r="AF116" i="18"/>
  <c r="V89" i="18"/>
  <c r="V92" i="18"/>
  <c r="Q92" i="18"/>
  <c r="Q93" i="18"/>
  <c r="V93" i="18"/>
  <c r="AD93" i="18"/>
  <c r="AI93" i="18"/>
  <c r="AJ93" i="18" s="1"/>
  <c r="Q120" i="18"/>
  <c r="Q89" i="18"/>
  <c r="AD89" i="18"/>
  <c r="AI89" i="18"/>
  <c r="AJ89" i="18" s="1"/>
  <c r="AD120" i="18"/>
  <c r="AI120" i="18"/>
  <c r="AJ120" i="18" s="1"/>
  <c r="V120" i="18"/>
  <c r="AD92" i="18"/>
  <c r="AI92" i="18"/>
  <c r="AJ92" i="18" s="1"/>
  <c r="W91" i="18"/>
  <c r="AF90" i="18"/>
  <c r="AE91" i="18"/>
  <c r="AK91" i="18"/>
  <c r="C85" i="7"/>
  <c r="D85" i="7" s="1"/>
  <c r="E85" i="7" s="1"/>
  <c r="F85" i="7" s="1"/>
  <c r="G85" i="7" s="1"/>
  <c r="I48" i="7"/>
  <c r="O48" i="7" s="1"/>
  <c r="I42" i="7"/>
  <c r="O42" i="7" s="1"/>
  <c r="I39" i="7"/>
  <c r="O39" i="7" s="1"/>
  <c r="H5" i="7"/>
  <c r="N5" i="7" s="1"/>
  <c r="H11" i="7"/>
  <c r="H4" i="7"/>
  <c r="N4" i="7" s="1"/>
  <c r="C82" i="7"/>
  <c r="C31" i="7" s="1"/>
  <c r="C83" i="7"/>
  <c r="C32" i="7" s="1"/>
  <c r="I32" i="7" s="1"/>
  <c r="O32" i="7" s="1"/>
  <c r="C84" i="7"/>
  <c r="I84" i="7" s="1"/>
  <c r="O84" i="7" s="1"/>
  <c r="C81" i="7"/>
  <c r="C30" i="7" s="1"/>
  <c r="D48" i="7"/>
  <c r="E48" i="7" s="1"/>
  <c r="F48" i="7" s="1"/>
  <c r="G48" i="7" s="1"/>
  <c r="D42" i="7"/>
  <c r="E42" i="7" s="1"/>
  <c r="F42" i="7" s="1"/>
  <c r="G42" i="7" s="1"/>
  <c r="E36" i="5"/>
  <c r="E35" i="5"/>
  <c r="E34" i="5"/>
  <c r="E33" i="5"/>
  <c r="E31" i="5"/>
  <c r="E30" i="5"/>
  <c r="E12" i="5"/>
  <c r="F12" i="5" s="1"/>
  <c r="J11" i="5"/>
  <c r="H11" i="5"/>
  <c r="J10" i="5"/>
  <c r="H10" i="5"/>
  <c r="J9" i="5"/>
  <c r="H9" i="5"/>
  <c r="J8" i="5"/>
  <c r="H8" i="5"/>
  <c r="J7" i="5"/>
  <c r="H7" i="5"/>
  <c r="J6" i="5"/>
  <c r="H6" i="5"/>
  <c r="J5" i="5"/>
  <c r="H5" i="5"/>
  <c r="C9" i="16"/>
  <c r="C8" i="16"/>
  <c r="F7" i="16"/>
  <c r="C7" i="16"/>
  <c r="AG127" i="20" l="1"/>
  <c r="AG75" i="20"/>
  <c r="AA75" i="20"/>
  <c r="S18" i="18"/>
  <c r="N18" i="17"/>
  <c r="N16" i="7"/>
  <c r="AL142" i="18"/>
  <c r="AF115" i="18"/>
  <c r="AF117" i="18"/>
  <c r="AF114" i="18"/>
  <c r="AL114" i="18"/>
  <c r="AL115" i="18"/>
  <c r="AL118" i="18"/>
  <c r="AL117" i="18"/>
  <c r="AF118" i="18"/>
  <c r="AK92" i="18"/>
  <c r="W89" i="18"/>
  <c r="W93" i="18"/>
  <c r="AE89" i="18"/>
  <c r="AE92" i="18"/>
  <c r="AK93" i="18"/>
  <c r="AK89" i="18"/>
  <c r="W92" i="18"/>
  <c r="W120" i="18"/>
  <c r="AK120" i="18"/>
  <c r="AE120" i="18"/>
  <c r="AE93" i="18"/>
  <c r="AL91" i="18"/>
  <c r="AF91" i="18"/>
  <c r="L48" i="7"/>
  <c r="R48" i="7" s="1"/>
  <c r="I82" i="7"/>
  <c r="O82" i="7" s="1"/>
  <c r="K48" i="7"/>
  <c r="Q48" i="7" s="1"/>
  <c r="I83" i="7"/>
  <c r="O83" i="7" s="1"/>
  <c r="K42" i="7"/>
  <c r="Q42" i="7" s="1"/>
  <c r="J42" i="7"/>
  <c r="P42" i="7" s="1"/>
  <c r="L42" i="7"/>
  <c r="R42" i="7" s="1"/>
  <c r="J48" i="7"/>
  <c r="P48" i="7" s="1"/>
  <c r="I81" i="7"/>
  <c r="O81" i="7" s="1"/>
  <c r="F85" i="15"/>
  <c r="F84" i="15"/>
  <c r="B32" i="2"/>
  <c r="F19" i="18" l="1"/>
  <c r="D5" i="21"/>
  <c r="I27" i="21" s="1"/>
  <c r="M19" i="18"/>
  <c r="AB18" i="18"/>
  <c r="B19" i="17"/>
  <c r="T18" i="17"/>
  <c r="H19" i="17"/>
  <c r="Z19" i="17" s="1"/>
  <c r="AF93" i="18"/>
  <c r="AL93" i="18"/>
  <c r="AL89" i="18"/>
  <c r="AF92" i="18"/>
  <c r="AF89" i="18"/>
  <c r="AF120" i="18"/>
  <c r="AL120" i="18"/>
  <c r="AL92" i="18"/>
  <c r="B12" i="7"/>
  <c r="H12" i="7" s="1"/>
  <c r="B13" i="7"/>
  <c r="H13" i="7" s="1"/>
  <c r="AH19" i="18" l="1"/>
  <c r="AH39" i="12"/>
  <c r="L39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AR37" i="12" s="1"/>
  <c r="Y37" i="12"/>
  <c r="C37" i="12"/>
  <c r="V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D37" i="12"/>
  <c r="D84" i="7"/>
  <c r="C34" i="7"/>
  <c r="D71" i="7"/>
  <c r="J71" i="7" s="1"/>
  <c r="P71" i="7" s="1"/>
  <c r="E71" i="7"/>
  <c r="K71" i="7" s="1"/>
  <c r="Q71" i="7" s="1"/>
  <c r="F71" i="7"/>
  <c r="L71" i="7" s="1"/>
  <c r="R71" i="7" s="1"/>
  <c r="G71" i="7"/>
  <c r="C71" i="7"/>
  <c r="I71" i="7" s="1"/>
  <c r="O71" i="7" s="1"/>
  <c r="G19" i="6"/>
  <c r="G20" i="6"/>
  <c r="G21" i="6"/>
  <c r="G18" i="6"/>
  <c r="E9" i="6"/>
  <c r="D9" i="6"/>
  <c r="C9" i="6"/>
  <c r="B9" i="6"/>
  <c r="D62" i="6" l="1"/>
  <c r="E62" i="6"/>
  <c r="B58" i="6"/>
  <c r="C58" i="6"/>
  <c r="G22" i="6"/>
  <c r="H18" i="6" s="1"/>
  <c r="I30" i="7"/>
  <c r="O30" i="7" s="1"/>
  <c r="I31" i="7"/>
  <c r="O31" i="7" s="1"/>
  <c r="E84" i="7"/>
  <c r="J84" i="7"/>
  <c r="P84" i="7" s="1"/>
  <c r="E39" i="7"/>
  <c r="J39" i="7"/>
  <c r="P39" i="7" s="1"/>
  <c r="D81" i="7"/>
  <c r="J81" i="7" s="1"/>
  <c r="P81" i="7" s="1"/>
  <c r="D83" i="7"/>
  <c r="J83" i="7" s="1"/>
  <c r="P83" i="7" s="1"/>
  <c r="D82" i="7"/>
  <c r="J82" i="7" s="1"/>
  <c r="P82" i="7" s="1"/>
  <c r="H19" i="6" l="1"/>
  <c r="H21" i="6"/>
  <c r="G38" i="6"/>
  <c r="D38" i="6" s="1"/>
  <c r="H17" i="6"/>
  <c r="G58" i="6"/>
  <c r="H20" i="6"/>
  <c r="F39" i="7"/>
  <c r="K39" i="7"/>
  <c r="Q39" i="7" s="1"/>
  <c r="F84" i="7"/>
  <c r="K84" i="7"/>
  <c r="Q84" i="7" s="1"/>
  <c r="E82" i="7"/>
  <c r="K82" i="7" s="1"/>
  <c r="Q82" i="7" s="1"/>
  <c r="D31" i="7"/>
  <c r="E83" i="7"/>
  <c r="K83" i="7" s="1"/>
  <c r="Q83" i="7" s="1"/>
  <c r="D32" i="7"/>
  <c r="J32" i="7" s="1"/>
  <c r="P32" i="7" s="1"/>
  <c r="E81" i="7"/>
  <c r="K81" i="7" s="1"/>
  <c r="Q81" i="7" s="1"/>
  <c r="D30" i="7"/>
  <c r="E14" i="1"/>
  <c r="P12" i="1"/>
  <c r="O12" i="1"/>
  <c r="L11" i="1"/>
  <c r="L12" i="1"/>
  <c r="K9" i="1"/>
  <c r="M10" i="1"/>
  <c r="M13" i="1" s="1"/>
  <c r="C56" i="7"/>
  <c r="G40" i="6"/>
  <c r="F40" i="6" s="1"/>
  <c r="G69" i="7" s="1"/>
  <c r="C39" i="6"/>
  <c r="G65" i="20" s="1"/>
  <c r="M65" i="20" s="1"/>
  <c r="S65" i="20" s="1"/>
  <c r="K46" i="9"/>
  <c r="J46" i="9"/>
  <c r="D46" i="9"/>
  <c r="C46" i="9"/>
  <c r="F11" i="1"/>
  <c r="F13" i="1" s="1"/>
  <c r="G12" i="1"/>
  <c r="I12" i="1" s="1"/>
  <c r="I14" i="1" s="1"/>
  <c r="F5" i="6"/>
  <c r="F9" i="6" s="1"/>
  <c r="E38" i="6" l="1"/>
  <c r="F38" i="6"/>
  <c r="I79" i="18"/>
  <c r="P79" i="18" s="1"/>
  <c r="V79" i="18" s="1"/>
  <c r="H64" i="20"/>
  <c r="N64" i="20" s="1"/>
  <c r="T64" i="20" s="1"/>
  <c r="J79" i="18"/>
  <c r="Q79" i="18" s="1"/>
  <c r="W79" i="18" s="1"/>
  <c r="I64" i="20"/>
  <c r="O64" i="20" s="1"/>
  <c r="U64" i="20" s="1"/>
  <c r="C59" i="6"/>
  <c r="H80" i="18"/>
  <c r="O80" i="18" s="1"/>
  <c r="U80" i="18" s="1"/>
  <c r="F16" i="18"/>
  <c r="M16" i="18" s="1"/>
  <c r="F17" i="18"/>
  <c r="M17" i="18" s="1"/>
  <c r="L14" i="1"/>
  <c r="B16" i="7" s="1"/>
  <c r="H16" i="7" s="1"/>
  <c r="D14" i="1"/>
  <c r="D58" i="6"/>
  <c r="E42" i="17"/>
  <c r="K42" i="17" s="1"/>
  <c r="Q42" i="17" s="1"/>
  <c r="E58" i="6"/>
  <c r="F42" i="17"/>
  <c r="L42" i="17" s="1"/>
  <c r="R42" i="17" s="1"/>
  <c r="D68" i="7"/>
  <c r="J68" i="7" s="1"/>
  <c r="P68" i="7" s="1"/>
  <c r="D43" i="17"/>
  <c r="J43" i="17" s="1"/>
  <c r="P43" i="17" s="1"/>
  <c r="B17" i="17"/>
  <c r="B15" i="7"/>
  <c r="H15" i="7" s="1"/>
  <c r="B16" i="17"/>
  <c r="B14" i="7"/>
  <c r="H14" i="7" s="1"/>
  <c r="D34" i="7"/>
  <c r="J30" i="7" s="1"/>
  <c r="P30" i="7" s="1"/>
  <c r="G84" i="7"/>
  <c r="L84" i="7"/>
  <c r="R84" i="7" s="1"/>
  <c r="G39" i="7"/>
  <c r="L39" i="7"/>
  <c r="R39" i="7" s="1"/>
  <c r="F81" i="7"/>
  <c r="L81" i="7" s="1"/>
  <c r="R81" i="7" s="1"/>
  <c r="E30" i="7"/>
  <c r="F83" i="7"/>
  <c r="L83" i="7" s="1"/>
  <c r="R83" i="7" s="1"/>
  <c r="E32" i="7"/>
  <c r="K32" i="7" s="1"/>
  <c r="Q32" i="7" s="1"/>
  <c r="F82" i="7"/>
  <c r="L82" i="7" s="1"/>
  <c r="R82" i="7" s="1"/>
  <c r="E31" i="7"/>
  <c r="D56" i="7"/>
  <c r="E56" i="7" s="1"/>
  <c r="F56" i="7" s="1"/>
  <c r="G56" i="7" s="1"/>
  <c r="E40" i="6"/>
  <c r="I66" i="20" s="1"/>
  <c r="O66" i="20" s="1"/>
  <c r="U66" i="20" s="1"/>
  <c r="D40" i="6"/>
  <c r="H66" i="20" s="1"/>
  <c r="N66" i="20" s="1"/>
  <c r="T66" i="20" s="1"/>
  <c r="G39" i="6"/>
  <c r="C41" i="6"/>
  <c r="G67" i="20" s="1"/>
  <c r="M67" i="20" s="1"/>
  <c r="S67" i="20" s="1"/>
  <c r="C40" i="6"/>
  <c r="G66" i="20" s="1"/>
  <c r="M66" i="20" s="1"/>
  <c r="S66" i="20" s="1"/>
  <c r="AE66" i="20" s="1"/>
  <c r="B39" i="6"/>
  <c r="F65" i="20" s="1"/>
  <c r="L65" i="20" s="1"/>
  <c r="R65" i="20" s="1"/>
  <c r="G42" i="6"/>
  <c r="G41" i="6"/>
  <c r="B41" i="6"/>
  <c r="F67" i="20" s="1"/>
  <c r="L67" i="20" s="1"/>
  <c r="R67" i="20" s="1"/>
  <c r="B40" i="6"/>
  <c r="F66" i="20" s="1"/>
  <c r="L66" i="20" s="1"/>
  <c r="R66" i="20" s="1"/>
  <c r="H12" i="1"/>
  <c r="H14" i="1" s="1"/>
  <c r="E12" i="1"/>
  <c r="D12" i="1" s="1"/>
  <c r="E9" i="1"/>
  <c r="AD66" i="20" l="1"/>
  <c r="AE64" i="20"/>
  <c r="AE65" i="20"/>
  <c r="AD65" i="20"/>
  <c r="AD64" i="20"/>
  <c r="B61" i="6"/>
  <c r="G82" i="18"/>
  <c r="N82" i="18" s="1"/>
  <c r="T82" i="18" s="1"/>
  <c r="D60" i="6"/>
  <c r="I81" i="18"/>
  <c r="P81" i="18" s="1"/>
  <c r="V81" i="18" s="1"/>
  <c r="E60" i="6"/>
  <c r="J81" i="18"/>
  <c r="Q81" i="18" s="1"/>
  <c r="W81" i="18" s="1"/>
  <c r="B60" i="6"/>
  <c r="G81" i="18"/>
  <c r="N81" i="18" s="1"/>
  <c r="T81" i="18" s="1"/>
  <c r="B59" i="6"/>
  <c r="F62" i="6" s="1"/>
  <c r="G80" i="18"/>
  <c r="N80" i="18" s="1"/>
  <c r="T80" i="18" s="1"/>
  <c r="C60" i="6"/>
  <c r="H81" i="18"/>
  <c r="O81" i="18" s="1"/>
  <c r="U81" i="18" s="1"/>
  <c r="AJ81" i="18" s="1"/>
  <c r="C61" i="6"/>
  <c r="H82" i="18"/>
  <c r="O82" i="18" s="1"/>
  <c r="U82" i="18" s="1"/>
  <c r="F18" i="18"/>
  <c r="B18" i="17"/>
  <c r="E10" i="1"/>
  <c r="D10" i="1" s="1"/>
  <c r="D9" i="1"/>
  <c r="AH17" i="18"/>
  <c r="AH16" i="18"/>
  <c r="F69" i="7"/>
  <c r="L69" i="7" s="1"/>
  <c r="R69" i="7" s="1"/>
  <c r="F44" i="17"/>
  <c r="L44" i="17" s="1"/>
  <c r="R44" i="17" s="1"/>
  <c r="C68" i="7"/>
  <c r="I68" i="7" s="1"/>
  <c r="O68" i="7" s="1"/>
  <c r="C43" i="17"/>
  <c r="I43" i="17" s="1"/>
  <c r="O43" i="17" s="1"/>
  <c r="C69" i="7"/>
  <c r="I69" i="7" s="1"/>
  <c r="O69" i="7" s="1"/>
  <c r="C44" i="17"/>
  <c r="I44" i="17" s="1"/>
  <c r="O44" i="17" s="1"/>
  <c r="C70" i="7"/>
  <c r="I70" i="7" s="1"/>
  <c r="O70" i="7" s="1"/>
  <c r="C45" i="17"/>
  <c r="I45" i="17" s="1"/>
  <c r="O45" i="17" s="1"/>
  <c r="E69" i="7"/>
  <c r="K69" i="7" s="1"/>
  <c r="Q69" i="7" s="1"/>
  <c r="E44" i="17"/>
  <c r="K44" i="17" s="1"/>
  <c r="Q44" i="17" s="1"/>
  <c r="D69" i="7"/>
  <c r="J69" i="7" s="1"/>
  <c r="P69" i="7" s="1"/>
  <c r="D44" i="17"/>
  <c r="J44" i="17" s="1"/>
  <c r="P44" i="17" s="1"/>
  <c r="AB44" i="17" s="1"/>
  <c r="D70" i="7"/>
  <c r="J70" i="7" s="1"/>
  <c r="P70" i="7" s="1"/>
  <c r="D45" i="17"/>
  <c r="J45" i="17" s="1"/>
  <c r="P45" i="17" s="1"/>
  <c r="H17" i="17"/>
  <c r="Z17" i="17" s="1"/>
  <c r="H16" i="17"/>
  <c r="Z16" i="17" s="1"/>
  <c r="H18" i="17"/>
  <c r="Z18" i="17" s="1"/>
  <c r="J31" i="7"/>
  <c r="P31" i="7" s="1"/>
  <c r="E34" i="7"/>
  <c r="K30" i="7" s="1"/>
  <c r="Q30" i="7" s="1"/>
  <c r="G82" i="7"/>
  <c r="F31" i="7"/>
  <c r="G83" i="7"/>
  <c r="F32" i="7"/>
  <c r="L32" i="7" s="1"/>
  <c r="R32" i="7" s="1"/>
  <c r="G81" i="7"/>
  <c r="F30" i="7"/>
  <c r="E41" i="6"/>
  <c r="F41" i="6"/>
  <c r="G70" i="7" s="1"/>
  <c r="D41" i="6"/>
  <c r="F39" i="6"/>
  <c r="G68" i="7" s="1"/>
  <c r="E39" i="6"/>
  <c r="E59" i="6" s="1"/>
  <c r="D39" i="6"/>
  <c r="G8" i="1"/>
  <c r="O14" i="1" s="1"/>
  <c r="F8" i="1"/>
  <c r="E11" i="1"/>
  <c r="D11" i="1" s="1"/>
  <c r="AJ80" i="18" l="1"/>
  <c r="C63" i="6"/>
  <c r="H4" i="18" s="1"/>
  <c r="J82" i="18"/>
  <c r="Q82" i="18" s="1"/>
  <c r="W82" i="18" s="1"/>
  <c r="I67" i="20"/>
  <c r="O67" i="20" s="1"/>
  <c r="U67" i="20" s="1"/>
  <c r="I82" i="18"/>
  <c r="P82" i="18" s="1"/>
  <c r="V82" i="18" s="1"/>
  <c r="H67" i="20"/>
  <c r="N67" i="20" s="1"/>
  <c r="T67" i="20" s="1"/>
  <c r="B63" i="6"/>
  <c r="AJ79" i="18"/>
  <c r="I80" i="18"/>
  <c r="J80" i="18" s="1"/>
  <c r="Q80" i="18" s="1"/>
  <c r="W80" i="18" s="1"/>
  <c r="H65" i="20"/>
  <c r="AI80" i="18"/>
  <c r="AI79" i="18"/>
  <c r="AA44" i="17"/>
  <c r="AI81" i="18"/>
  <c r="M18" i="18"/>
  <c r="AA43" i="17"/>
  <c r="AA42" i="17"/>
  <c r="AB42" i="17"/>
  <c r="AB43" i="17"/>
  <c r="E43" i="17"/>
  <c r="K43" i="17" s="1"/>
  <c r="Q43" i="17" s="1"/>
  <c r="D59" i="6"/>
  <c r="F45" i="17"/>
  <c r="L45" i="17" s="1"/>
  <c r="R45" i="17" s="1"/>
  <c r="E61" i="6"/>
  <c r="E63" i="6" s="1"/>
  <c r="E65" i="6" s="1"/>
  <c r="E45" i="17"/>
  <c r="K45" i="17" s="1"/>
  <c r="Q45" i="17" s="1"/>
  <c r="D61" i="6"/>
  <c r="F60" i="6"/>
  <c r="G60" i="6"/>
  <c r="G61" i="6"/>
  <c r="G59" i="6"/>
  <c r="N8" i="1"/>
  <c r="N14" i="1"/>
  <c r="P14" i="1"/>
  <c r="K31" i="7"/>
  <c r="Q31" i="7" s="1"/>
  <c r="G30" i="7"/>
  <c r="G32" i="7"/>
  <c r="F34" i="7"/>
  <c r="L31" i="7" s="1"/>
  <c r="R31" i="7" s="1"/>
  <c r="G31" i="7"/>
  <c r="D4" i="17"/>
  <c r="E68" i="7"/>
  <c r="K68" i="7" s="1"/>
  <c r="Q68" i="7" s="1"/>
  <c r="F68" i="7"/>
  <c r="L68" i="7" s="1"/>
  <c r="R68" i="7" s="1"/>
  <c r="E70" i="7"/>
  <c r="K70" i="7" s="1"/>
  <c r="Q70" i="7" s="1"/>
  <c r="F70" i="7"/>
  <c r="L70" i="7" s="1"/>
  <c r="R70" i="7" s="1"/>
  <c r="F9" i="1"/>
  <c r="F10" i="1" s="1"/>
  <c r="M8" i="1"/>
  <c r="G9" i="1"/>
  <c r="D4" i="7" l="1"/>
  <c r="J4" i="7" s="1"/>
  <c r="P4" i="7" s="1"/>
  <c r="AH4" i="7" s="1"/>
  <c r="G4" i="20"/>
  <c r="M4" i="20" s="1"/>
  <c r="S4" i="20" s="1"/>
  <c r="O4" i="18"/>
  <c r="U4" i="18" s="1"/>
  <c r="AW4" i="18" s="1"/>
  <c r="H6" i="18"/>
  <c r="O6" i="18" s="1"/>
  <c r="I65" i="20"/>
  <c r="O65" i="20" s="1"/>
  <c r="U65" i="20" s="1"/>
  <c r="N65" i="20"/>
  <c r="T65" i="20" s="1"/>
  <c r="J4" i="18"/>
  <c r="J6" i="18" s="1"/>
  <c r="I4" i="20"/>
  <c r="G4" i="18"/>
  <c r="F4" i="20"/>
  <c r="P80" i="18"/>
  <c r="V80" i="18" s="1"/>
  <c r="AK80" i="18" s="1"/>
  <c r="G6" i="20"/>
  <c r="AL80" i="18"/>
  <c r="AL79" i="18"/>
  <c r="AL81" i="18"/>
  <c r="AH18" i="18"/>
  <c r="F4" i="17"/>
  <c r="L4" i="17" s="1"/>
  <c r="E67" i="6"/>
  <c r="I5" i="20" s="1"/>
  <c r="F43" i="17"/>
  <c r="L43" i="17" s="1"/>
  <c r="R43" i="17" s="1"/>
  <c r="AD43" i="17" s="1"/>
  <c r="AC43" i="17"/>
  <c r="AC42" i="17"/>
  <c r="AC44" i="17"/>
  <c r="G63" i="6"/>
  <c r="D63" i="6"/>
  <c r="D65" i="6" s="1"/>
  <c r="F61" i="6"/>
  <c r="F59" i="6"/>
  <c r="J4" i="17"/>
  <c r="P4" i="17" s="1"/>
  <c r="D6" i="17"/>
  <c r="M14" i="1"/>
  <c r="L30" i="7"/>
  <c r="R30" i="7" s="1"/>
  <c r="G34" i="7"/>
  <c r="F4" i="7"/>
  <c r="C4" i="17"/>
  <c r="C14" i="2"/>
  <c r="B14" i="2"/>
  <c r="O49" i="18" l="1"/>
  <c r="O60" i="18"/>
  <c r="D5" i="7"/>
  <c r="AD4" i="18"/>
  <c r="AD6" i="18" s="1"/>
  <c r="AD60" i="18" s="1"/>
  <c r="H49" i="18"/>
  <c r="H60" i="18"/>
  <c r="H13" i="18"/>
  <c r="H12" i="18" s="1"/>
  <c r="H19" i="18" s="1"/>
  <c r="Q4" i="18"/>
  <c r="W4" i="18" s="1"/>
  <c r="AY4" i="18" s="1"/>
  <c r="AY6" i="18" s="1"/>
  <c r="AK81" i="18"/>
  <c r="AK79" i="18"/>
  <c r="Y4" i="20"/>
  <c r="AR4" i="20"/>
  <c r="G45" i="20"/>
  <c r="M6" i="20"/>
  <c r="G13" i="20"/>
  <c r="G12" i="20" s="1"/>
  <c r="G19" i="20" s="1"/>
  <c r="G36" i="20"/>
  <c r="O5" i="20"/>
  <c r="I55" i="20"/>
  <c r="F6" i="20"/>
  <c r="L4" i="20"/>
  <c r="AF65" i="20"/>
  <c r="AF66" i="20"/>
  <c r="AF64" i="20"/>
  <c r="H62" i="6"/>
  <c r="H58" i="6"/>
  <c r="N4" i="18"/>
  <c r="T4" i="18" s="1"/>
  <c r="AC4" i="18" s="1"/>
  <c r="G6" i="18"/>
  <c r="O4" i="20"/>
  <c r="U4" i="20" s="1"/>
  <c r="I6" i="20"/>
  <c r="I4" i="18"/>
  <c r="I6" i="18" s="1"/>
  <c r="H4" i="20"/>
  <c r="J4" i="20" s="1"/>
  <c r="AG64" i="20"/>
  <c r="AG65" i="20"/>
  <c r="AG66" i="20"/>
  <c r="F6" i="17"/>
  <c r="L6" i="17" s="1"/>
  <c r="AJ4" i="18"/>
  <c r="AJ6" i="18" s="1"/>
  <c r="H60" i="6"/>
  <c r="H61" i="6"/>
  <c r="F5" i="17"/>
  <c r="F34" i="17" s="1"/>
  <c r="J5" i="18"/>
  <c r="O15" i="18"/>
  <c r="U6" i="18"/>
  <c r="U60" i="18" s="1"/>
  <c r="O13" i="18"/>
  <c r="O18" i="18" s="1"/>
  <c r="O48" i="18" s="1"/>
  <c r="O14" i="18"/>
  <c r="O17" i="18"/>
  <c r="O16" i="18"/>
  <c r="H59" i="6"/>
  <c r="Q6" i="18"/>
  <c r="J13" i="18"/>
  <c r="J12" i="18" s="1"/>
  <c r="J19" i="18" s="1"/>
  <c r="J60" i="18"/>
  <c r="J49" i="18"/>
  <c r="AD44" i="17"/>
  <c r="AD42" i="17"/>
  <c r="E4" i="17"/>
  <c r="G4" i="17" s="1"/>
  <c r="D67" i="6"/>
  <c r="H5" i="20" s="1"/>
  <c r="E4" i="7"/>
  <c r="E5" i="7" s="1"/>
  <c r="F63" i="6"/>
  <c r="AO4" i="17"/>
  <c r="V4" i="17"/>
  <c r="V6" i="17" s="1"/>
  <c r="V18" i="17" s="1"/>
  <c r="D13" i="17"/>
  <c r="D12" i="17" s="1"/>
  <c r="D19" i="17" s="1"/>
  <c r="J6" i="17"/>
  <c r="C6" i="17"/>
  <c r="I4" i="17"/>
  <c r="O4" i="17" s="1"/>
  <c r="R4" i="17"/>
  <c r="F5" i="7"/>
  <c r="L4" i="7"/>
  <c r="R4" i="7" s="1"/>
  <c r="AJ4" i="7" s="1"/>
  <c r="D11" i="7"/>
  <c r="J5" i="7"/>
  <c r="P5" i="7" s="1"/>
  <c r="P16" i="7" s="1"/>
  <c r="C4" i="7"/>
  <c r="I4" i="7" s="1"/>
  <c r="AH5" i="7"/>
  <c r="AJ17" i="18" l="1"/>
  <c r="AJ60" i="18"/>
  <c r="AD18" i="18"/>
  <c r="AD48" i="18" s="1"/>
  <c r="AD49" i="18"/>
  <c r="Q49" i="18"/>
  <c r="Q60" i="18"/>
  <c r="H15" i="18"/>
  <c r="H14" i="18"/>
  <c r="AF4" i="18"/>
  <c r="AF6" i="18" s="1"/>
  <c r="AF60" i="18" s="1"/>
  <c r="H18" i="18"/>
  <c r="F13" i="17"/>
  <c r="F12" i="17" s="1"/>
  <c r="F19" i="17" s="1"/>
  <c r="H16" i="18"/>
  <c r="H17" i="18"/>
  <c r="K4" i="18"/>
  <c r="R4" i="20"/>
  <c r="F45" i="20"/>
  <c r="F36" i="20"/>
  <c r="L6" i="20"/>
  <c r="F13" i="20"/>
  <c r="F12" i="20" s="1"/>
  <c r="I13" i="20"/>
  <c r="I12" i="20" s="1"/>
  <c r="I19" i="20" s="1"/>
  <c r="O6" i="20"/>
  <c r="I45" i="20"/>
  <c r="I36" i="20"/>
  <c r="N5" i="20"/>
  <c r="H55" i="20"/>
  <c r="AV4" i="18"/>
  <c r="AA4" i="20"/>
  <c r="AA6" i="20" s="1"/>
  <c r="AT4" i="20"/>
  <c r="AT6" i="20" s="1"/>
  <c r="U5" i="20"/>
  <c r="U55" i="20" s="1"/>
  <c r="O55" i="20"/>
  <c r="P4" i="18"/>
  <c r="V4" i="18" s="1"/>
  <c r="G49" i="18"/>
  <c r="G13" i="18"/>
  <c r="G60" i="18"/>
  <c r="N6" i="18"/>
  <c r="N4" i="20"/>
  <c r="T4" i="20" s="1"/>
  <c r="H6" i="20"/>
  <c r="J6" i="20" s="1"/>
  <c r="G17" i="20"/>
  <c r="G18" i="20"/>
  <c r="G15" i="20"/>
  <c r="G14" i="20"/>
  <c r="G16" i="20"/>
  <c r="M14" i="20"/>
  <c r="M13" i="20"/>
  <c r="M18" i="20" s="1"/>
  <c r="M16" i="20"/>
  <c r="M45" i="20"/>
  <c r="M17" i="20"/>
  <c r="S6" i="20"/>
  <c r="M15" i="20"/>
  <c r="M36" i="20"/>
  <c r="K4" i="7"/>
  <c r="Q4" i="7" s="1"/>
  <c r="AI4" i="7" s="1"/>
  <c r="AI5" i="7" s="1"/>
  <c r="AE4" i="20"/>
  <c r="AE6" i="20" s="1"/>
  <c r="Y6" i="20"/>
  <c r="O12" i="18"/>
  <c r="O19" i="18" s="1"/>
  <c r="O20" i="18" s="1"/>
  <c r="AJ14" i="18"/>
  <c r="AJ16" i="18"/>
  <c r="AJ49" i="18"/>
  <c r="AJ15" i="18"/>
  <c r="AJ13" i="18"/>
  <c r="AJ12" i="18" s="1"/>
  <c r="AJ19" i="18" s="1"/>
  <c r="L5" i="17"/>
  <c r="L34" i="17" s="1"/>
  <c r="AI4" i="18"/>
  <c r="AI6" i="18" s="1"/>
  <c r="AI60" i="18" s="1"/>
  <c r="AC6" i="18"/>
  <c r="AC60" i="18" s="1"/>
  <c r="U49" i="18"/>
  <c r="U18" i="18"/>
  <c r="U48" i="18" s="1"/>
  <c r="J14" i="18"/>
  <c r="J15" i="18"/>
  <c r="J17" i="18"/>
  <c r="J16" i="18"/>
  <c r="J18" i="18"/>
  <c r="AF49" i="18"/>
  <c r="Q5" i="18"/>
  <c r="J70" i="18"/>
  <c r="E5" i="17"/>
  <c r="I5" i="18"/>
  <c r="Q15" i="18"/>
  <c r="W6" i="18"/>
  <c r="W60" i="18" s="1"/>
  <c r="Q13" i="18"/>
  <c r="Q18" i="18" s="1"/>
  <c r="Q48" i="18" s="1"/>
  <c r="Q14" i="18"/>
  <c r="Q17" i="18"/>
  <c r="Q16" i="18"/>
  <c r="P6" i="18"/>
  <c r="I13" i="18"/>
  <c r="I12" i="18" s="1"/>
  <c r="I60" i="18"/>
  <c r="I49" i="18"/>
  <c r="K6" i="18"/>
  <c r="B3" i="21" s="1"/>
  <c r="AD20" i="18"/>
  <c r="AB4" i="17"/>
  <c r="AB6" i="17" s="1"/>
  <c r="AB16" i="17" s="1"/>
  <c r="K4" i="17"/>
  <c r="Q4" i="17" s="1"/>
  <c r="S4" i="17" s="1"/>
  <c r="AR4" i="17" s="1"/>
  <c r="AR6" i="17" s="1"/>
  <c r="E6" i="17"/>
  <c r="AN4" i="17"/>
  <c r="U4" i="17"/>
  <c r="AA4" i="17" s="1"/>
  <c r="X4" i="17"/>
  <c r="AA5" i="20" s="1"/>
  <c r="AA55" i="20" s="1"/>
  <c r="V30" i="17"/>
  <c r="V20" i="17"/>
  <c r="J15" i="17"/>
  <c r="J14" i="17"/>
  <c r="J13" i="17"/>
  <c r="J18" i="17" s="1"/>
  <c r="P6" i="17"/>
  <c r="P18" i="17" s="1"/>
  <c r="J17" i="17"/>
  <c r="J16" i="17"/>
  <c r="D15" i="17"/>
  <c r="D14" i="17"/>
  <c r="D18" i="17"/>
  <c r="D17" i="17"/>
  <c r="D16" i="17"/>
  <c r="C13" i="17"/>
  <c r="C12" i="17" s="1"/>
  <c r="I6" i="17"/>
  <c r="AQ4" i="17"/>
  <c r="AQ6" i="17" s="1"/>
  <c r="L15" i="17"/>
  <c r="L16" i="17"/>
  <c r="L17" i="17"/>
  <c r="R6" i="17"/>
  <c r="L14" i="17"/>
  <c r="L13" i="17"/>
  <c r="O4" i="7"/>
  <c r="P22" i="7"/>
  <c r="P21" i="7"/>
  <c r="P19" i="7"/>
  <c r="E11" i="7"/>
  <c r="K5" i="7"/>
  <c r="Q5" i="7" s="1"/>
  <c r="Q16" i="7" s="1"/>
  <c r="J12" i="7"/>
  <c r="J13" i="7"/>
  <c r="J15" i="7"/>
  <c r="J14" i="7"/>
  <c r="J11" i="7"/>
  <c r="J16" i="7"/>
  <c r="D15" i="7"/>
  <c r="D13" i="7"/>
  <c r="D16" i="7"/>
  <c r="D19" i="7" s="1"/>
  <c r="D14" i="7"/>
  <c r="D12" i="7"/>
  <c r="F11" i="7"/>
  <c r="L5" i="7"/>
  <c r="R5" i="7" s="1"/>
  <c r="R16" i="7" s="1"/>
  <c r="AJ5" i="7"/>
  <c r="C5" i="7"/>
  <c r="G4" i="7"/>
  <c r="H20" i="18" l="1"/>
  <c r="H48" i="18"/>
  <c r="AD67" i="18"/>
  <c r="J20" i="18"/>
  <c r="J23" i="18" s="1"/>
  <c r="J48" i="18"/>
  <c r="P49" i="18"/>
  <c r="P60" i="18"/>
  <c r="N49" i="18"/>
  <c r="R49" i="18" s="1"/>
  <c r="N60" i="18"/>
  <c r="R60" i="18" s="1"/>
  <c r="C3" i="21"/>
  <c r="G25" i="21"/>
  <c r="H70" i="18"/>
  <c r="AF18" i="18"/>
  <c r="AL4" i="18"/>
  <c r="AL5" i="18" s="1"/>
  <c r="AL70" i="18" s="1"/>
  <c r="F18" i="17"/>
  <c r="F16" i="17"/>
  <c r="F17" i="17"/>
  <c r="F14" i="17"/>
  <c r="F15" i="17"/>
  <c r="K60" i="18"/>
  <c r="AG4" i="20"/>
  <c r="AG5" i="20" s="1"/>
  <c r="AG55" i="20" s="1"/>
  <c r="F19" i="20"/>
  <c r="E12" i="20"/>
  <c r="O16" i="20"/>
  <c r="O15" i="20"/>
  <c r="O14" i="20"/>
  <c r="O13" i="20"/>
  <c r="O18" i="20" s="1"/>
  <c r="O17" i="20"/>
  <c r="U6" i="20"/>
  <c r="O45" i="20"/>
  <c r="O36" i="20"/>
  <c r="Y45" i="20"/>
  <c r="Y18" i="20"/>
  <c r="Y36" i="20"/>
  <c r="I17" i="20"/>
  <c r="I15" i="20"/>
  <c r="I18" i="20"/>
  <c r="I20" i="20" s="1"/>
  <c r="I16" i="20"/>
  <c r="I14" i="20"/>
  <c r="G12" i="18"/>
  <c r="K12" i="18" s="1"/>
  <c r="G14" i="18"/>
  <c r="G15" i="18"/>
  <c r="G17" i="18"/>
  <c r="G16" i="18"/>
  <c r="G18" i="18"/>
  <c r="G48" i="18" s="1"/>
  <c r="AE15" i="20"/>
  <c r="AE14" i="20"/>
  <c r="AE16" i="20"/>
  <c r="AE45" i="20"/>
  <c r="AE13" i="20"/>
  <c r="AE18" i="20" s="1"/>
  <c r="AE17" i="20"/>
  <c r="AE36" i="20"/>
  <c r="F16" i="20"/>
  <c r="F15" i="20"/>
  <c r="F18" i="20"/>
  <c r="F14" i="20"/>
  <c r="F17" i="20"/>
  <c r="G20" i="20"/>
  <c r="G55" i="20"/>
  <c r="M12" i="20"/>
  <c r="M19" i="20" s="1"/>
  <c r="M20" i="20" s="1"/>
  <c r="AA18" i="20"/>
  <c r="AA45" i="20"/>
  <c r="AA36" i="20"/>
  <c r="L45" i="20"/>
  <c r="L36" i="20"/>
  <c r="R6" i="20"/>
  <c r="L13" i="20"/>
  <c r="L12" i="20" s="1"/>
  <c r="L17" i="20"/>
  <c r="L16" i="20"/>
  <c r="L14" i="20"/>
  <c r="L15" i="20"/>
  <c r="N6" i="20"/>
  <c r="H13" i="20"/>
  <c r="J13" i="20" s="1"/>
  <c r="H45" i="20"/>
  <c r="J45" i="20" s="1"/>
  <c r="H36" i="20"/>
  <c r="J36" i="20" s="1"/>
  <c r="AJ18" i="18"/>
  <c r="M4" i="7"/>
  <c r="R4" i="18"/>
  <c r="S45" i="20"/>
  <c r="S18" i="20"/>
  <c r="S36" i="20"/>
  <c r="Z4" i="20"/>
  <c r="Z6" i="20" s="1"/>
  <c r="AS4" i="20"/>
  <c r="T6" i="18"/>
  <c r="T60" i="18" s="1"/>
  <c r="N13" i="18"/>
  <c r="N17" i="18"/>
  <c r="N15" i="18"/>
  <c r="N14" i="18"/>
  <c r="N16" i="18"/>
  <c r="T5" i="20"/>
  <c r="T55" i="20" s="1"/>
  <c r="N55" i="20"/>
  <c r="V4" i="20"/>
  <c r="AU4" i="20" s="1"/>
  <c r="AU6" i="20" s="1"/>
  <c r="AQ4" i="20"/>
  <c r="X4" i="20"/>
  <c r="S4" i="7"/>
  <c r="AK4" i="7" s="1"/>
  <c r="K49" i="18"/>
  <c r="P4" i="20"/>
  <c r="AD37" i="18"/>
  <c r="R5" i="17"/>
  <c r="R34" i="17" s="1"/>
  <c r="AB17" i="17"/>
  <c r="AB13" i="17"/>
  <c r="AB18" i="17" s="1"/>
  <c r="AB14" i="17"/>
  <c r="AB15" i="17"/>
  <c r="K5" i="17"/>
  <c r="E34" i="17"/>
  <c r="H41" i="18"/>
  <c r="H25" i="18"/>
  <c r="H22" i="18"/>
  <c r="H24" i="18"/>
  <c r="H42" i="18"/>
  <c r="H23" i="18"/>
  <c r="H44" i="18"/>
  <c r="H21" i="18"/>
  <c r="H45" i="18"/>
  <c r="H67" i="18"/>
  <c r="H37" i="18" s="1"/>
  <c r="H43" i="18"/>
  <c r="I19" i="18"/>
  <c r="I15" i="18"/>
  <c r="I14" i="18"/>
  <c r="I17" i="18"/>
  <c r="I16" i="18"/>
  <c r="I18" i="18"/>
  <c r="I48" i="18" s="1"/>
  <c r="K13" i="18"/>
  <c r="W49" i="18"/>
  <c r="W18" i="18"/>
  <c r="W48" i="18" s="1"/>
  <c r="W5" i="18"/>
  <c r="W70" i="18" s="1"/>
  <c r="Q70" i="18"/>
  <c r="V6" i="18"/>
  <c r="V60" i="18" s="1"/>
  <c r="P15" i="18"/>
  <c r="P14" i="18"/>
  <c r="P13" i="18"/>
  <c r="P12" i="18" s="1"/>
  <c r="P17" i="18"/>
  <c r="P16" i="18"/>
  <c r="R6" i="18"/>
  <c r="M4" i="17"/>
  <c r="U20" i="18"/>
  <c r="U67" i="18"/>
  <c r="AD45" i="18"/>
  <c r="AD22" i="18"/>
  <c r="AD55" i="18" s="1"/>
  <c r="AD21" i="18"/>
  <c r="AD54" i="18" s="1"/>
  <c r="AD25" i="18"/>
  <c r="AD58" i="18" s="1"/>
  <c r="AD44" i="18"/>
  <c r="AD42" i="18"/>
  <c r="AD41" i="18"/>
  <c r="AD70" i="18"/>
  <c r="AD23" i="18"/>
  <c r="AD56" i="18" s="1"/>
  <c r="AD24" i="18"/>
  <c r="AD57" i="18" s="1"/>
  <c r="AD43" i="18"/>
  <c r="AC49" i="18"/>
  <c r="AC18" i="18"/>
  <c r="AC48" i="18" s="1"/>
  <c r="O44" i="18"/>
  <c r="O70" i="18"/>
  <c r="O21" i="18"/>
  <c r="O54" i="18" s="1"/>
  <c r="O25" i="18"/>
  <c r="O58" i="18" s="1"/>
  <c r="O42" i="18"/>
  <c r="O22" i="18"/>
  <c r="O55" i="18" s="1"/>
  <c r="O24" i="18"/>
  <c r="O57" i="18" s="1"/>
  <c r="O43" i="18"/>
  <c r="O67" i="18"/>
  <c r="O37" i="18" s="1"/>
  <c r="O41" i="18"/>
  <c r="O23" i="18"/>
  <c r="O56" i="18" s="1"/>
  <c r="O45" i="18"/>
  <c r="Q12" i="18"/>
  <c r="Q19" i="18" s="1"/>
  <c r="Q20" i="18" s="1"/>
  <c r="AI15" i="18"/>
  <c r="AI14" i="18"/>
  <c r="AI13" i="18"/>
  <c r="AI49" i="18"/>
  <c r="AI17" i="18"/>
  <c r="AI16" i="18"/>
  <c r="AX4" i="18"/>
  <c r="AE4" i="18"/>
  <c r="X4" i="18"/>
  <c r="AZ4" i="18" s="1"/>
  <c r="AZ6" i="18" s="1"/>
  <c r="P5" i="18"/>
  <c r="I70" i="18"/>
  <c r="J25" i="18"/>
  <c r="J21" i="18"/>
  <c r="J45" i="18"/>
  <c r="J41" i="18"/>
  <c r="J67" i="18"/>
  <c r="J37" i="18" s="1"/>
  <c r="J42" i="18"/>
  <c r="AD4" i="17"/>
  <c r="AD5" i="17" s="1"/>
  <c r="AD34" i="17" s="1"/>
  <c r="AF5" i="18"/>
  <c r="AF70" i="18" s="1"/>
  <c r="E13" i="17"/>
  <c r="G13" i="17" s="1"/>
  <c r="K6" i="17"/>
  <c r="M6" i="17" s="1"/>
  <c r="AP4" i="17"/>
  <c r="W4" i="17"/>
  <c r="G6" i="17"/>
  <c r="U6" i="17"/>
  <c r="AA6" i="17"/>
  <c r="V26" i="17"/>
  <c r="V23" i="17"/>
  <c r="V27" i="17"/>
  <c r="V31" i="17"/>
  <c r="V34" i="17"/>
  <c r="V24" i="17"/>
  <c r="V25" i="17"/>
  <c r="X5" i="17"/>
  <c r="X34" i="17" s="1"/>
  <c r="X6" i="17"/>
  <c r="X18" i="17" s="1"/>
  <c r="C19" i="17"/>
  <c r="B12" i="17"/>
  <c r="I13" i="17"/>
  <c r="I18" i="17" s="1"/>
  <c r="O6" i="17"/>
  <c r="O18" i="17" s="1"/>
  <c r="I14" i="17"/>
  <c r="I15" i="17"/>
  <c r="I17" i="17"/>
  <c r="I16" i="17"/>
  <c r="D34" i="17"/>
  <c r="D20" i="17"/>
  <c r="C15" i="17"/>
  <c r="C14" i="17"/>
  <c r="C17" i="17"/>
  <c r="C16" i="17"/>
  <c r="C18" i="17"/>
  <c r="P20" i="17"/>
  <c r="P30" i="17"/>
  <c r="J12" i="17"/>
  <c r="J19" i="17" s="1"/>
  <c r="J20" i="17" s="1"/>
  <c r="J29" i="17" s="1"/>
  <c r="AG4" i="7"/>
  <c r="AG5" i="7" s="1"/>
  <c r="L18" i="17"/>
  <c r="F20" i="17"/>
  <c r="F23" i="17" s="1"/>
  <c r="L12" i="17"/>
  <c r="L19" i="17" s="1"/>
  <c r="R18" i="17"/>
  <c r="R30" i="17" s="1"/>
  <c r="R22" i="7"/>
  <c r="R21" i="7"/>
  <c r="R19" i="7"/>
  <c r="P24" i="7"/>
  <c r="P20" i="7"/>
  <c r="Q21" i="7"/>
  <c r="Q22" i="7"/>
  <c r="Q19" i="7"/>
  <c r="F16" i="7"/>
  <c r="F14" i="7"/>
  <c r="F12" i="7"/>
  <c r="F15" i="7"/>
  <c r="F13" i="7"/>
  <c r="I5" i="7"/>
  <c r="K12" i="7"/>
  <c r="K13" i="7"/>
  <c r="K14" i="7"/>
  <c r="K15" i="7"/>
  <c r="K16" i="7"/>
  <c r="K11" i="7"/>
  <c r="J22" i="7"/>
  <c r="J19" i="7"/>
  <c r="J21" i="7"/>
  <c r="L14" i="7"/>
  <c r="L12" i="7"/>
  <c r="L15" i="7"/>
  <c r="L11" i="7"/>
  <c r="L13" i="7"/>
  <c r="L16" i="7"/>
  <c r="D22" i="7"/>
  <c r="D21" i="7"/>
  <c r="E16" i="7"/>
  <c r="E14" i="7"/>
  <c r="E12" i="7"/>
  <c r="E15" i="7"/>
  <c r="E13" i="7"/>
  <c r="G5" i="7"/>
  <c r="C11" i="7"/>
  <c r="C16" i="7" s="1"/>
  <c r="C19" i="7" s="1"/>
  <c r="C20" i="7" s="1"/>
  <c r="J22" i="18" l="1"/>
  <c r="J24" i="18"/>
  <c r="J44" i="18"/>
  <c r="J43" i="18"/>
  <c r="J40" i="18" s="1"/>
  <c r="J28" i="18" s="1"/>
  <c r="AJ20" i="18"/>
  <c r="AJ24" i="18" s="1"/>
  <c r="AJ57" i="18" s="1"/>
  <c r="AJ48" i="18"/>
  <c r="AF67" i="18"/>
  <c r="AF48" i="18"/>
  <c r="X60" i="18"/>
  <c r="AD53" i="18"/>
  <c r="O53" i="18"/>
  <c r="O52" i="18" s="1"/>
  <c r="D3" i="21"/>
  <c r="H25" i="21"/>
  <c r="AF20" i="18"/>
  <c r="AL6" i="18"/>
  <c r="AG6" i="20"/>
  <c r="AG15" i="20" s="1"/>
  <c r="K16" i="18"/>
  <c r="AE12" i="20"/>
  <c r="AE19" i="20" s="1"/>
  <c r="AE20" i="20" s="1"/>
  <c r="AE55" i="20" s="1"/>
  <c r="R16" i="18"/>
  <c r="O12" i="20"/>
  <c r="O19" i="20" s="1"/>
  <c r="O20" i="20" s="1"/>
  <c r="O33" i="20" s="1"/>
  <c r="AJ23" i="18"/>
  <c r="AJ56" i="18" s="1"/>
  <c r="J31" i="18"/>
  <c r="AJ25" i="18"/>
  <c r="AJ58" i="18" s="1"/>
  <c r="AJ44" i="18"/>
  <c r="AJ32" i="18" s="1"/>
  <c r="R15" i="18"/>
  <c r="R17" i="18"/>
  <c r="J30" i="18"/>
  <c r="R14" i="18"/>
  <c r="K17" i="18"/>
  <c r="AF4" i="20"/>
  <c r="Z18" i="20"/>
  <c r="Z45" i="20"/>
  <c r="Z36" i="20"/>
  <c r="N14" i="20"/>
  <c r="P14" i="20" s="1"/>
  <c r="N13" i="20"/>
  <c r="N18" i="20" s="1"/>
  <c r="N16" i="20"/>
  <c r="P16" i="20" s="1"/>
  <c r="N45" i="20"/>
  <c r="P45" i="20" s="1"/>
  <c r="N15" i="20"/>
  <c r="P15" i="20" s="1"/>
  <c r="T6" i="20"/>
  <c r="V6" i="20" s="1"/>
  <c r="N17" i="20"/>
  <c r="P17" i="20" s="1"/>
  <c r="N36" i="20"/>
  <c r="P36" i="20" s="1"/>
  <c r="F12" i="18"/>
  <c r="G19" i="18"/>
  <c r="G20" i="18" s="1"/>
  <c r="U45" i="20"/>
  <c r="U18" i="20"/>
  <c r="U36" i="20"/>
  <c r="S52" i="20"/>
  <c r="S20" i="20"/>
  <c r="K12" i="20"/>
  <c r="AC12" i="20" s="1"/>
  <c r="L19" i="20"/>
  <c r="AA52" i="20"/>
  <c r="AA20" i="20"/>
  <c r="M33" i="20"/>
  <c r="M32" i="20"/>
  <c r="M52" i="20"/>
  <c r="M22" i="20"/>
  <c r="M25" i="20"/>
  <c r="M29" i="20"/>
  <c r="M23" i="20"/>
  <c r="M24" i="20"/>
  <c r="M21" i="20"/>
  <c r="M35" i="20"/>
  <c r="M31" i="20"/>
  <c r="M55" i="20"/>
  <c r="M30" i="20"/>
  <c r="K14" i="18"/>
  <c r="P6" i="20"/>
  <c r="I23" i="20"/>
  <c r="I24" i="20"/>
  <c r="I31" i="20"/>
  <c r="I22" i="20"/>
  <c r="I33" i="20"/>
  <c r="I35" i="20"/>
  <c r="I25" i="20"/>
  <c r="I21" i="20"/>
  <c r="I30" i="20"/>
  <c r="I52" i="20"/>
  <c r="I32" i="20"/>
  <c r="I29" i="20"/>
  <c r="H17" i="20"/>
  <c r="J17" i="20" s="1"/>
  <c r="H15" i="20"/>
  <c r="J15" i="20" s="1"/>
  <c r="H16" i="20"/>
  <c r="J16" i="20" s="1"/>
  <c r="H14" i="20"/>
  <c r="J14" i="20" s="1"/>
  <c r="H18" i="20"/>
  <c r="J18" i="20" s="1"/>
  <c r="K15" i="18"/>
  <c r="G24" i="20"/>
  <c r="G31" i="20"/>
  <c r="G52" i="20"/>
  <c r="G25" i="20"/>
  <c r="G22" i="20"/>
  <c r="G29" i="20"/>
  <c r="G32" i="20"/>
  <c r="G23" i="20"/>
  <c r="G33" i="20"/>
  <c r="G35" i="20"/>
  <c r="G30" i="20"/>
  <c r="G21" i="20"/>
  <c r="N12" i="18"/>
  <c r="R12" i="18" s="1"/>
  <c r="N18" i="18"/>
  <c r="N48" i="18" s="1"/>
  <c r="H29" i="18"/>
  <c r="AG17" i="20"/>
  <c r="AG45" i="20"/>
  <c r="AG16" i="20"/>
  <c r="T49" i="18"/>
  <c r="T18" i="18"/>
  <c r="T48" i="18" s="1"/>
  <c r="AD29" i="18"/>
  <c r="H31" i="18"/>
  <c r="AD4" i="20"/>
  <c r="X6" i="20"/>
  <c r="AB4" i="20"/>
  <c r="L18" i="20"/>
  <c r="F55" i="20"/>
  <c r="J55" i="20" s="1"/>
  <c r="F20" i="20"/>
  <c r="G70" i="18"/>
  <c r="K70" i="18" s="1"/>
  <c r="Y52" i="20"/>
  <c r="Y20" i="20"/>
  <c r="J29" i="18"/>
  <c r="AD30" i="18"/>
  <c r="H12" i="20"/>
  <c r="R45" i="20"/>
  <c r="R36" i="20"/>
  <c r="R18" i="20"/>
  <c r="O31" i="18"/>
  <c r="AD31" i="18"/>
  <c r="U37" i="18"/>
  <c r="H30" i="18"/>
  <c r="O32" i="18"/>
  <c r="AD32" i="18"/>
  <c r="J32" i="18"/>
  <c r="O30" i="18"/>
  <c r="O29" i="18"/>
  <c r="H32" i="18"/>
  <c r="AE5" i="18"/>
  <c r="AE70" i="18" s="1"/>
  <c r="Z5" i="20"/>
  <c r="Z55" i="20" s="1"/>
  <c r="AC4" i="17"/>
  <c r="AC6" i="17" s="1"/>
  <c r="AB12" i="17"/>
  <c r="AB19" i="17" s="1"/>
  <c r="AB20" i="17" s="1"/>
  <c r="AB29" i="17" s="1"/>
  <c r="P19" i="18"/>
  <c r="AD6" i="17"/>
  <c r="AD14" i="17" s="1"/>
  <c r="O40" i="18"/>
  <c r="O28" i="18" s="1"/>
  <c r="Q25" i="18"/>
  <c r="Q58" i="18" s="1"/>
  <c r="Q67" i="18"/>
  <c r="Q37" i="18" s="1"/>
  <c r="Q24" i="18"/>
  <c r="Q57" i="18" s="1"/>
  <c r="Q44" i="18"/>
  <c r="Q41" i="18"/>
  <c r="Q23" i="18"/>
  <c r="Q56" i="18" s="1"/>
  <c r="Q43" i="18"/>
  <c r="Q45" i="18"/>
  <c r="Q22" i="18"/>
  <c r="Q55" i="18" s="1"/>
  <c r="Q21" i="18"/>
  <c r="Q54" i="18" s="1"/>
  <c r="Q42" i="18"/>
  <c r="H54" i="18"/>
  <c r="H62" i="18"/>
  <c r="AD40" i="18"/>
  <c r="AD28" i="18" s="1"/>
  <c r="I20" i="18"/>
  <c r="K18" i="18"/>
  <c r="E18" i="18" s="1"/>
  <c r="H64" i="18"/>
  <c r="H56" i="18"/>
  <c r="J55" i="18"/>
  <c r="J63" i="18"/>
  <c r="O62" i="18"/>
  <c r="J65" i="18"/>
  <c r="J57" i="18"/>
  <c r="V5" i="18"/>
  <c r="V70" i="18" s="1"/>
  <c r="P70" i="18"/>
  <c r="AK4" i="18"/>
  <c r="AE6" i="18"/>
  <c r="AE60" i="18" s="1"/>
  <c r="AG60" i="18" s="1"/>
  <c r="AG4" i="18"/>
  <c r="O64" i="18"/>
  <c r="H65" i="18"/>
  <c r="H57" i="18"/>
  <c r="AD66" i="18"/>
  <c r="H55" i="18"/>
  <c r="H63" i="18"/>
  <c r="AC67" i="18"/>
  <c r="AC20" i="18"/>
  <c r="AF44" i="18"/>
  <c r="AF41" i="18"/>
  <c r="AF21" i="18"/>
  <c r="AF54" i="18" s="1"/>
  <c r="AF43" i="18"/>
  <c r="AF25" i="18"/>
  <c r="AF58" i="18" s="1"/>
  <c r="AD62" i="18"/>
  <c r="H66" i="18"/>
  <c r="H58" i="18"/>
  <c r="J64" i="18"/>
  <c r="J56" i="18"/>
  <c r="AD63" i="18"/>
  <c r="O65" i="18"/>
  <c r="P18" i="18"/>
  <c r="P48" i="18" s="1"/>
  <c r="R13" i="18"/>
  <c r="H40" i="18"/>
  <c r="H28" i="18" s="1"/>
  <c r="O63" i="18"/>
  <c r="J54" i="18"/>
  <c r="J62" i="18"/>
  <c r="AD65" i="18"/>
  <c r="U45" i="18"/>
  <c r="U22" i="18"/>
  <c r="U55" i="18" s="1"/>
  <c r="U43" i="18"/>
  <c r="U70" i="18"/>
  <c r="U41" i="18"/>
  <c r="U24" i="18"/>
  <c r="U57" i="18" s="1"/>
  <c r="U21" i="18"/>
  <c r="U54" i="18" s="1"/>
  <c r="U23" i="18"/>
  <c r="U56" i="18" s="1"/>
  <c r="U25" i="18"/>
  <c r="U58" i="18" s="1"/>
  <c r="U42" i="18"/>
  <c r="U44" i="18"/>
  <c r="W67" i="18"/>
  <c r="W20" i="18"/>
  <c r="K34" i="17"/>
  <c r="Q5" i="17"/>
  <c r="Q34" i="17" s="1"/>
  <c r="J58" i="18"/>
  <c r="J66" i="18"/>
  <c r="AI12" i="18"/>
  <c r="AI18" i="18"/>
  <c r="AI48" i="18" s="1"/>
  <c r="O66" i="18"/>
  <c r="AD64" i="18"/>
  <c r="V49" i="18"/>
  <c r="V18" i="18"/>
  <c r="V48" i="18" s="1"/>
  <c r="X6" i="18"/>
  <c r="Y4" i="17"/>
  <c r="W6" i="17"/>
  <c r="W18" i="17" s="1"/>
  <c r="W5" i="17"/>
  <c r="W34" i="17" s="1"/>
  <c r="K13" i="17"/>
  <c r="M13" i="17" s="1"/>
  <c r="Q6" i="17"/>
  <c r="Q18" i="17" s="1"/>
  <c r="K16" i="17"/>
  <c r="M16" i="17" s="1"/>
  <c r="K17" i="17"/>
  <c r="M17" i="17" s="1"/>
  <c r="K14" i="17"/>
  <c r="M14" i="17" s="1"/>
  <c r="K15" i="17"/>
  <c r="M15" i="17" s="1"/>
  <c r="E12" i="17"/>
  <c r="E14" i="17"/>
  <c r="G14" i="17" s="1"/>
  <c r="E18" i="17"/>
  <c r="G18" i="17" s="1"/>
  <c r="E16" i="17"/>
  <c r="G16" i="17" s="1"/>
  <c r="E15" i="17"/>
  <c r="G15" i="17" s="1"/>
  <c r="E17" i="17"/>
  <c r="G17" i="17" s="1"/>
  <c r="D30" i="17"/>
  <c r="D31" i="17"/>
  <c r="D29" i="17"/>
  <c r="X30" i="17"/>
  <c r="X20" i="17"/>
  <c r="AA13" i="17"/>
  <c r="AA12" i="17" s="1"/>
  <c r="AA17" i="17"/>
  <c r="AA16" i="17"/>
  <c r="AA14" i="17"/>
  <c r="AA15" i="17"/>
  <c r="V22" i="17"/>
  <c r="U18" i="17"/>
  <c r="F26" i="17"/>
  <c r="F31" i="17"/>
  <c r="F30" i="17"/>
  <c r="F29" i="17"/>
  <c r="I12" i="17"/>
  <c r="I19" i="17" s="1"/>
  <c r="I20" i="17" s="1"/>
  <c r="I29" i="17" s="1"/>
  <c r="F24" i="17"/>
  <c r="F27" i="17"/>
  <c r="F25" i="17"/>
  <c r="J27" i="17"/>
  <c r="J25" i="17"/>
  <c r="J31" i="17"/>
  <c r="J23" i="17"/>
  <c r="J24" i="17"/>
  <c r="J34" i="17"/>
  <c r="J26" i="17"/>
  <c r="J30" i="17"/>
  <c r="C34" i="17"/>
  <c r="G34" i="17" s="1"/>
  <c r="C20" i="17"/>
  <c r="O20" i="17"/>
  <c r="O30" i="17"/>
  <c r="D24" i="17"/>
  <c r="D23" i="17"/>
  <c r="D25" i="17"/>
  <c r="D26" i="17"/>
  <c r="D27" i="17"/>
  <c r="P34" i="17"/>
  <c r="P31" i="17"/>
  <c r="P25" i="17"/>
  <c r="P23" i="17"/>
  <c r="P24" i="17"/>
  <c r="P27" i="17"/>
  <c r="P26" i="17"/>
  <c r="R20" i="17"/>
  <c r="R31" i="17" s="1"/>
  <c r="Q20" i="7"/>
  <c r="Q24" i="7"/>
  <c r="R24" i="7"/>
  <c r="R20" i="7"/>
  <c r="O5" i="7"/>
  <c r="M5" i="7"/>
  <c r="L22" i="7"/>
  <c r="L21" i="7"/>
  <c r="L19" i="7"/>
  <c r="E22" i="7"/>
  <c r="E19" i="7"/>
  <c r="E21" i="7"/>
  <c r="I13" i="7"/>
  <c r="M13" i="7" s="1"/>
  <c r="I11" i="7"/>
  <c r="M11" i="7" s="1"/>
  <c r="I14" i="7"/>
  <c r="M14" i="7" s="1"/>
  <c r="I15" i="7"/>
  <c r="M15" i="7" s="1"/>
  <c r="I16" i="7"/>
  <c r="M16" i="7" s="1"/>
  <c r="I12" i="7"/>
  <c r="M12" i="7" s="1"/>
  <c r="J20" i="7"/>
  <c r="J24" i="7"/>
  <c r="D20" i="7"/>
  <c r="D24" i="7"/>
  <c r="K21" i="7"/>
  <c r="K22" i="7"/>
  <c r="K19" i="7"/>
  <c r="F22" i="7"/>
  <c r="F19" i="7"/>
  <c r="F21" i="7"/>
  <c r="C13" i="7"/>
  <c r="G13" i="7" s="1"/>
  <c r="C12" i="7"/>
  <c r="C14" i="7"/>
  <c r="G14" i="7" s="1"/>
  <c r="G11" i="7"/>
  <c r="C15" i="7"/>
  <c r="G15" i="7" s="1"/>
  <c r="AK5" i="7"/>
  <c r="AJ22" i="18" l="1"/>
  <c r="AJ55" i="18" s="1"/>
  <c r="AJ43" i="18"/>
  <c r="AJ67" i="18"/>
  <c r="AJ37" i="18" s="1"/>
  <c r="AJ21" i="18"/>
  <c r="AJ62" i="18" s="1"/>
  <c r="AG36" i="20"/>
  <c r="AJ70" i="18"/>
  <c r="AG13" i="20"/>
  <c r="AG18" i="20" s="1"/>
  <c r="AF37" i="18"/>
  <c r="AG14" i="20"/>
  <c r="AJ42" i="18"/>
  <c r="AJ30" i="18" s="1"/>
  <c r="AJ65" i="18"/>
  <c r="AJ41" i="18"/>
  <c r="AJ29" i="18" s="1"/>
  <c r="AD61" i="18"/>
  <c r="Q53" i="18"/>
  <c r="Q52" i="18" s="1"/>
  <c r="AJ45" i="18"/>
  <c r="AL16" i="18"/>
  <c r="AL60" i="18"/>
  <c r="U53" i="18"/>
  <c r="U52" i="18" s="1"/>
  <c r="AF45" i="18"/>
  <c r="AF42" i="18"/>
  <c r="AF40" i="18" s="1"/>
  <c r="AF28" i="18" s="1"/>
  <c r="AE21" i="20"/>
  <c r="B17" i="21"/>
  <c r="G39" i="21" s="1"/>
  <c r="J169" i="20"/>
  <c r="AF22" i="18"/>
  <c r="AF23" i="18"/>
  <c r="AF56" i="18" s="1"/>
  <c r="AF24" i="18"/>
  <c r="AL15" i="18"/>
  <c r="AL14" i="18"/>
  <c r="AL13" i="18"/>
  <c r="AL18" i="18" s="1"/>
  <c r="AL48" i="18" s="1"/>
  <c r="AL49" i="18"/>
  <c r="AL17" i="18"/>
  <c r="E3" i="21"/>
  <c r="J25" i="21" s="1"/>
  <c r="I25" i="21"/>
  <c r="AE33" i="20"/>
  <c r="AE32" i="20"/>
  <c r="AE25" i="20"/>
  <c r="AE51" i="20" s="1"/>
  <c r="AE35" i="20"/>
  <c r="AE23" i="20"/>
  <c r="AE42" i="20" s="1"/>
  <c r="AE24" i="20"/>
  <c r="AE43" i="20" s="1"/>
  <c r="AE52" i="20"/>
  <c r="O30" i="20"/>
  <c r="O24" i="20"/>
  <c r="O43" i="20" s="1"/>
  <c r="AE30" i="20"/>
  <c r="O25" i="20"/>
  <c r="O51" i="20" s="1"/>
  <c r="AE31" i="20"/>
  <c r="O31" i="20"/>
  <c r="AE29" i="20"/>
  <c r="O23" i="20"/>
  <c r="O49" i="20" s="1"/>
  <c r="O35" i="20"/>
  <c r="O21" i="20"/>
  <c r="O47" i="20" s="1"/>
  <c r="AE22" i="20"/>
  <c r="AE41" i="20" s="1"/>
  <c r="O52" i="20"/>
  <c r="O32" i="20"/>
  <c r="AJ31" i="18"/>
  <c r="O22" i="20"/>
  <c r="O48" i="20" s="1"/>
  <c r="O29" i="20"/>
  <c r="P13" i="20"/>
  <c r="AJ63" i="18"/>
  <c r="AB34" i="17"/>
  <c r="Q29" i="18"/>
  <c r="AJ66" i="18"/>
  <c r="AJ64" i="18"/>
  <c r="AB26" i="17"/>
  <c r="AB27" i="17"/>
  <c r="AB30" i="17"/>
  <c r="X49" i="18"/>
  <c r="K19" i="18"/>
  <c r="E19" i="18" s="1"/>
  <c r="I28" i="20"/>
  <c r="AB23" i="17"/>
  <c r="G41" i="18"/>
  <c r="G22" i="18"/>
  <c r="G24" i="18"/>
  <c r="G21" i="18"/>
  <c r="G43" i="18"/>
  <c r="G45" i="18"/>
  <c r="G25" i="18"/>
  <c r="G67" i="18"/>
  <c r="G37" i="18" s="1"/>
  <c r="G44" i="18"/>
  <c r="G23" i="18"/>
  <c r="G42" i="18"/>
  <c r="G48" i="20"/>
  <c r="G41" i="20"/>
  <c r="I49" i="20"/>
  <c r="I42" i="20"/>
  <c r="M44" i="20"/>
  <c r="M51" i="20"/>
  <c r="T45" i="20"/>
  <c r="V45" i="20" s="1"/>
  <c r="T18" i="20"/>
  <c r="T36" i="20"/>
  <c r="V36" i="20" s="1"/>
  <c r="G44" i="20"/>
  <c r="G51" i="20"/>
  <c r="M41" i="20"/>
  <c r="M48" i="20"/>
  <c r="AE40" i="20"/>
  <c r="AE47" i="20"/>
  <c r="H19" i="20"/>
  <c r="J19" i="20" s="1"/>
  <c r="J12" i="20"/>
  <c r="U52" i="20"/>
  <c r="U20" i="20"/>
  <c r="T20" i="18"/>
  <c r="T67" i="18"/>
  <c r="P18" i="20"/>
  <c r="L20" i="20"/>
  <c r="AG12" i="20"/>
  <c r="AG19" i="20" s="1"/>
  <c r="AG20" i="20" s="1"/>
  <c r="M12" i="18"/>
  <c r="AH12" i="18" s="1"/>
  <c r="N19" i="18"/>
  <c r="N20" i="18" s="1"/>
  <c r="G50" i="20"/>
  <c r="G43" i="20"/>
  <c r="X45" i="20"/>
  <c r="AB45" i="20" s="1"/>
  <c r="X36" i="20"/>
  <c r="AB36" i="20" s="1"/>
  <c r="X18" i="20"/>
  <c r="AB6" i="20"/>
  <c r="G40" i="20"/>
  <c r="G47" i="20"/>
  <c r="I47" i="20"/>
  <c r="I40" i="20"/>
  <c r="AH4" i="20"/>
  <c r="AI4" i="20" s="1"/>
  <c r="AD6" i="20"/>
  <c r="I51" i="20"/>
  <c r="I44" i="20"/>
  <c r="AA21" i="20"/>
  <c r="AA35" i="20"/>
  <c r="AA23" i="20"/>
  <c r="AA24" i="20"/>
  <c r="AA22" i="20"/>
  <c r="AA25" i="20"/>
  <c r="AA33" i="20"/>
  <c r="AA32" i="20"/>
  <c r="AA29" i="20"/>
  <c r="AA31" i="20"/>
  <c r="AA30" i="20"/>
  <c r="M47" i="20"/>
  <c r="M40" i="20"/>
  <c r="Z52" i="20"/>
  <c r="Z20" i="20"/>
  <c r="G42" i="20"/>
  <c r="G49" i="20"/>
  <c r="I41" i="20"/>
  <c r="I48" i="20"/>
  <c r="M43" i="20"/>
  <c r="M50" i="20"/>
  <c r="R52" i="20"/>
  <c r="R20" i="20"/>
  <c r="M49" i="20"/>
  <c r="M42" i="20"/>
  <c r="N12" i="20"/>
  <c r="Y25" i="20"/>
  <c r="Y22" i="20"/>
  <c r="Y21" i="20"/>
  <c r="Y24" i="20"/>
  <c r="Y23" i="20"/>
  <c r="Y55" i="20"/>
  <c r="Y35" i="20"/>
  <c r="Y32" i="20"/>
  <c r="Y29" i="20"/>
  <c r="Y31" i="20"/>
  <c r="Y33" i="20"/>
  <c r="Y30" i="20"/>
  <c r="F33" i="20"/>
  <c r="F21" i="20"/>
  <c r="F52" i="20"/>
  <c r="F32" i="20"/>
  <c r="F22" i="20"/>
  <c r="F31" i="20"/>
  <c r="F30" i="20"/>
  <c r="F29" i="20"/>
  <c r="F35" i="20"/>
  <c r="F25" i="20"/>
  <c r="F24" i="20"/>
  <c r="F23" i="20"/>
  <c r="G28" i="20"/>
  <c r="I50" i="20"/>
  <c r="I43" i="20"/>
  <c r="M28" i="20"/>
  <c r="S24" i="20"/>
  <c r="S31" i="20"/>
  <c r="S23" i="20"/>
  <c r="S35" i="20"/>
  <c r="S33" i="20"/>
  <c r="S32" i="20"/>
  <c r="S22" i="20"/>
  <c r="S21" i="20"/>
  <c r="S55" i="20"/>
  <c r="S29" i="20"/>
  <c r="S25" i="20"/>
  <c r="S30" i="20"/>
  <c r="AF5" i="20"/>
  <c r="AF55" i="20" s="1"/>
  <c r="AF6" i="20"/>
  <c r="AC37" i="18"/>
  <c r="W37" i="18"/>
  <c r="Q32" i="18"/>
  <c r="U32" i="18"/>
  <c r="U30" i="18"/>
  <c r="Q31" i="18"/>
  <c r="U29" i="18"/>
  <c r="U31" i="18"/>
  <c r="AF29" i="18"/>
  <c r="Q30" i="18"/>
  <c r="AB31" i="17"/>
  <c r="AB25" i="17"/>
  <c r="AB24" i="17"/>
  <c r="AC5" i="17"/>
  <c r="AC34" i="17" s="1"/>
  <c r="AE4" i="17"/>
  <c r="AF4" i="17" s="1"/>
  <c r="AD17" i="17"/>
  <c r="AD13" i="17"/>
  <c r="AD18" i="17" s="1"/>
  <c r="AD15" i="17"/>
  <c r="AD16" i="17"/>
  <c r="S6" i="17"/>
  <c r="U40" i="18"/>
  <c r="U28" i="18" s="1"/>
  <c r="AF62" i="18"/>
  <c r="Q62" i="18"/>
  <c r="Q63" i="18"/>
  <c r="I44" i="18"/>
  <c r="I42" i="18"/>
  <c r="I43" i="18"/>
  <c r="I21" i="18"/>
  <c r="I41" i="18"/>
  <c r="I25" i="18"/>
  <c r="I24" i="18"/>
  <c r="I23" i="18"/>
  <c r="I22" i="18"/>
  <c r="I45" i="18"/>
  <c r="I67" i="18"/>
  <c r="K20" i="18"/>
  <c r="E20" i="18" s="1"/>
  <c r="B5" i="21" s="1"/>
  <c r="G27" i="21" s="1"/>
  <c r="W45" i="18"/>
  <c r="W21" i="18"/>
  <c r="W54" i="18" s="1"/>
  <c r="W25" i="18"/>
  <c r="W58" i="18" s="1"/>
  <c r="W42" i="18"/>
  <c r="W43" i="18"/>
  <c r="W44" i="18"/>
  <c r="W23" i="18"/>
  <c r="W56" i="18" s="1"/>
  <c r="W41" i="18"/>
  <c r="W24" i="18"/>
  <c r="W57" i="18" s="1"/>
  <c r="W22" i="18"/>
  <c r="W55" i="18" s="1"/>
  <c r="U63" i="18"/>
  <c r="P20" i="18"/>
  <c r="R18" i="18"/>
  <c r="L18" i="18" s="1"/>
  <c r="AC70" i="18"/>
  <c r="AG70" i="18" s="1"/>
  <c r="AC42" i="18"/>
  <c r="AC23" i="18"/>
  <c r="AC56" i="18" s="1"/>
  <c r="AC44" i="18"/>
  <c r="AC21" i="18"/>
  <c r="AC54" i="18" s="1"/>
  <c r="AC22" i="18"/>
  <c r="AC55" i="18" s="1"/>
  <c r="AC43" i="18"/>
  <c r="AC45" i="18"/>
  <c r="AC41" i="18"/>
  <c r="AC25" i="18"/>
  <c r="AC58" i="18" s="1"/>
  <c r="AC24" i="18"/>
  <c r="AC57" i="18" s="1"/>
  <c r="Q64" i="18"/>
  <c r="U66" i="18"/>
  <c r="O61" i="18"/>
  <c r="Q40" i="18"/>
  <c r="Q28" i="18" s="1"/>
  <c r="AE49" i="18"/>
  <c r="AG49" i="18" s="1"/>
  <c r="AE18" i="18"/>
  <c r="AE48" i="18" s="1"/>
  <c r="AG6" i="18"/>
  <c r="U64" i="18"/>
  <c r="U62" i="18"/>
  <c r="J61" i="18"/>
  <c r="AK6" i="18"/>
  <c r="AK60" i="18" s="1"/>
  <c r="AK5" i="18"/>
  <c r="AK70" i="18" s="1"/>
  <c r="AM4" i="18"/>
  <c r="AN4" i="18" s="1"/>
  <c r="H61" i="18"/>
  <c r="Q65" i="18"/>
  <c r="AF66" i="18"/>
  <c r="V20" i="18"/>
  <c r="V67" i="18"/>
  <c r="X18" i="18"/>
  <c r="AI19" i="18"/>
  <c r="U65" i="18"/>
  <c r="J53" i="18"/>
  <c r="J52" i="18" s="1"/>
  <c r="H53" i="18"/>
  <c r="H52" i="18" s="1"/>
  <c r="Q66" i="18"/>
  <c r="Y6" i="17"/>
  <c r="E19" i="17"/>
  <c r="G19" i="17" s="1"/>
  <c r="G12" i="17"/>
  <c r="W30" i="17"/>
  <c r="W20" i="17"/>
  <c r="Q20" i="17"/>
  <c r="S20" i="17" s="1"/>
  <c r="S104" i="17" s="1"/>
  <c r="Q30" i="17"/>
  <c r="S30" i="17" s="1"/>
  <c r="AC14" i="17"/>
  <c r="AE14" i="17" s="1"/>
  <c r="AF14" i="17" s="1"/>
  <c r="AC15" i="17"/>
  <c r="AC16" i="17"/>
  <c r="AC13" i="17"/>
  <c r="AC17" i="17"/>
  <c r="K18" i="17"/>
  <c r="M18" i="17" s="1"/>
  <c r="K12" i="17"/>
  <c r="S18" i="17"/>
  <c r="AE6" i="17"/>
  <c r="H12" i="17"/>
  <c r="Z12" i="17" s="1"/>
  <c r="AA19" i="17"/>
  <c r="C30" i="17"/>
  <c r="C31" i="17"/>
  <c r="C29" i="17"/>
  <c r="AA18" i="17"/>
  <c r="Y18" i="17"/>
  <c r="U20" i="17"/>
  <c r="U30" i="17"/>
  <c r="X27" i="17"/>
  <c r="X26" i="17"/>
  <c r="X31" i="17"/>
  <c r="X23" i="17"/>
  <c r="X25" i="17"/>
  <c r="X24" i="17"/>
  <c r="F28" i="17"/>
  <c r="D28" i="17"/>
  <c r="F22" i="17"/>
  <c r="P22" i="17"/>
  <c r="D22" i="17"/>
  <c r="J22" i="17"/>
  <c r="I24" i="17"/>
  <c r="I31" i="17"/>
  <c r="I30" i="17"/>
  <c r="I27" i="17"/>
  <c r="I23" i="17"/>
  <c r="I34" i="17"/>
  <c r="M34" i="17" s="1"/>
  <c r="I26" i="17"/>
  <c r="I25" i="17"/>
  <c r="J28" i="17"/>
  <c r="O34" i="17"/>
  <c r="S34" i="17" s="1"/>
  <c r="O31" i="17"/>
  <c r="O26" i="17"/>
  <c r="O23" i="17"/>
  <c r="O25" i="17"/>
  <c r="O24" i="17"/>
  <c r="O27" i="17"/>
  <c r="C25" i="17"/>
  <c r="C23" i="17"/>
  <c r="C27" i="17"/>
  <c r="C26" i="17"/>
  <c r="C24" i="17"/>
  <c r="L20" i="17"/>
  <c r="R27" i="17"/>
  <c r="R24" i="17"/>
  <c r="R23" i="17"/>
  <c r="R25" i="17"/>
  <c r="R26" i="17"/>
  <c r="S5" i="7"/>
  <c r="O16" i="7"/>
  <c r="F24" i="7"/>
  <c r="F20" i="7"/>
  <c r="K20" i="7"/>
  <c r="K24" i="7"/>
  <c r="E20" i="7"/>
  <c r="E24" i="7"/>
  <c r="L20" i="7"/>
  <c r="L24" i="7"/>
  <c r="I22" i="7"/>
  <c r="M22" i="7" s="1"/>
  <c r="I19" i="7"/>
  <c r="M19" i="7" s="1"/>
  <c r="I21" i="7"/>
  <c r="M21" i="7" s="1"/>
  <c r="C21" i="7"/>
  <c r="C22" i="7"/>
  <c r="G16" i="7"/>
  <c r="G12" i="7"/>
  <c r="AJ40" i="18" l="1"/>
  <c r="AJ28" i="18" s="1"/>
  <c r="AJ54" i="18"/>
  <c r="AJ53" i="18" s="1"/>
  <c r="AC53" i="18"/>
  <c r="AF32" i="18"/>
  <c r="AF57" i="18"/>
  <c r="AM60" i="18"/>
  <c r="AN60" i="18" s="1"/>
  <c r="AJ61" i="18"/>
  <c r="AF63" i="18"/>
  <c r="AF55" i="18"/>
  <c r="U61" i="18"/>
  <c r="U51" i="18" s="1"/>
  <c r="AF64" i="18"/>
  <c r="W53" i="18"/>
  <c r="W52" i="18" s="1"/>
  <c r="AF31" i="18"/>
  <c r="AF65" i="18"/>
  <c r="AL12" i="18"/>
  <c r="AL19" i="18" s="1"/>
  <c r="AL20" i="18" s="1"/>
  <c r="AL67" i="18" s="1"/>
  <c r="AL37" i="18" s="1"/>
  <c r="AF30" i="18"/>
  <c r="N45" i="18"/>
  <c r="R48" i="18"/>
  <c r="AE49" i="20"/>
  <c r="O50" i="20"/>
  <c r="O46" i="20" s="1"/>
  <c r="AE50" i="20"/>
  <c r="AE44" i="20"/>
  <c r="AE39" i="20" s="1"/>
  <c r="AE38" i="20" s="1"/>
  <c r="O42" i="20"/>
  <c r="Y19" i="18"/>
  <c r="AE28" i="20"/>
  <c r="O44" i="20"/>
  <c r="O40" i="20"/>
  <c r="O28" i="20"/>
  <c r="AE48" i="20"/>
  <c r="O41" i="20"/>
  <c r="AE13" i="17"/>
  <c r="AF13" i="17" s="1"/>
  <c r="K45" i="18"/>
  <c r="AB22" i="17"/>
  <c r="AE17" i="17"/>
  <c r="AF17" i="17" s="1"/>
  <c r="R20" i="18"/>
  <c r="L20" i="18" s="1"/>
  <c r="C5" i="21" s="1"/>
  <c r="H27" i="21" s="1"/>
  <c r="AB28" i="17"/>
  <c r="N43" i="18"/>
  <c r="N42" i="18"/>
  <c r="N24" i="18"/>
  <c r="N57" i="18" s="1"/>
  <c r="N23" i="18"/>
  <c r="T37" i="18"/>
  <c r="AA28" i="20"/>
  <c r="R19" i="18"/>
  <c r="L19" i="18" s="1"/>
  <c r="N22" i="18"/>
  <c r="N44" i="18"/>
  <c r="N41" i="18"/>
  <c r="G30" i="18"/>
  <c r="N25" i="18"/>
  <c r="N58" i="18" s="1"/>
  <c r="N67" i="18"/>
  <c r="N37" i="18" s="1"/>
  <c r="M46" i="20"/>
  <c r="N70" i="18"/>
  <c r="R70" i="18" s="1"/>
  <c r="G32" i="18"/>
  <c r="N21" i="18"/>
  <c r="S40" i="20"/>
  <c r="S47" i="20"/>
  <c r="F49" i="20"/>
  <c r="F42" i="20"/>
  <c r="Y48" i="20"/>
  <c r="Y41" i="20"/>
  <c r="AA42" i="20"/>
  <c r="AA49" i="20"/>
  <c r="S41" i="20"/>
  <c r="S48" i="20"/>
  <c r="F50" i="20"/>
  <c r="F43" i="20"/>
  <c r="Y51" i="20"/>
  <c r="Y44" i="20"/>
  <c r="G56" i="18"/>
  <c r="G64" i="18"/>
  <c r="F44" i="20"/>
  <c r="F51" i="20"/>
  <c r="AA47" i="20"/>
  <c r="AA40" i="20"/>
  <c r="T20" i="20"/>
  <c r="V20" i="20" s="1"/>
  <c r="V126" i="20" s="1"/>
  <c r="T52" i="20"/>
  <c r="V52" i="20" s="1"/>
  <c r="AE15" i="17"/>
  <c r="AF15" i="17" s="1"/>
  <c r="I39" i="20"/>
  <c r="I38" i="20" s="1"/>
  <c r="AF45" i="20"/>
  <c r="AF14" i="20"/>
  <c r="AF13" i="20"/>
  <c r="AF18" i="20" s="1"/>
  <c r="AF15" i="20"/>
  <c r="AF16" i="20"/>
  <c r="AF17" i="20"/>
  <c r="AF36" i="20"/>
  <c r="F28" i="20"/>
  <c r="N19" i="20"/>
  <c r="P12" i="20"/>
  <c r="Z23" i="20"/>
  <c r="Z35" i="20"/>
  <c r="Z24" i="20"/>
  <c r="Z21" i="20"/>
  <c r="Z25" i="20"/>
  <c r="Z22" i="20"/>
  <c r="Z31" i="20"/>
  <c r="Z29" i="20"/>
  <c r="Z32" i="20"/>
  <c r="Z33" i="20"/>
  <c r="Z30" i="20"/>
  <c r="T22" i="18"/>
  <c r="T55" i="18" s="1"/>
  <c r="T42" i="18"/>
  <c r="T70" i="18"/>
  <c r="X70" i="18" s="1"/>
  <c r="T23" i="18"/>
  <c r="T56" i="18" s="1"/>
  <c r="T44" i="18"/>
  <c r="T25" i="18"/>
  <c r="T58" i="18" s="1"/>
  <c r="T45" i="18"/>
  <c r="T41" i="18"/>
  <c r="T21" i="18"/>
  <c r="T54" i="18" s="1"/>
  <c r="T24" i="18"/>
  <c r="T57" i="18" s="1"/>
  <c r="T43" i="18"/>
  <c r="G66" i="18"/>
  <c r="G58" i="18"/>
  <c r="S49" i="20"/>
  <c r="S42" i="20"/>
  <c r="Y28" i="20"/>
  <c r="AG24" i="20"/>
  <c r="AG23" i="20"/>
  <c r="AG52" i="20"/>
  <c r="AG35" i="20"/>
  <c r="AG25" i="20"/>
  <c r="AG22" i="20"/>
  <c r="AG21" i="20"/>
  <c r="AG32" i="20"/>
  <c r="AG31" i="20"/>
  <c r="AG33" i="20"/>
  <c r="AG29" i="20"/>
  <c r="AG30" i="20"/>
  <c r="I29" i="18"/>
  <c r="AD13" i="20"/>
  <c r="AD16" i="20"/>
  <c r="AD45" i="20"/>
  <c r="AD17" i="20"/>
  <c r="AD14" i="20"/>
  <c r="AH6" i="20"/>
  <c r="AI6" i="20" s="1"/>
  <c r="AD15" i="20"/>
  <c r="AD36" i="20"/>
  <c r="S43" i="20"/>
  <c r="S50" i="20"/>
  <c r="R23" i="20"/>
  <c r="R24" i="20"/>
  <c r="R31" i="20"/>
  <c r="R55" i="20"/>
  <c r="V55" i="20" s="1"/>
  <c r="R32" i="20"/>
  <c r="R21" i="20"/>
  <c r="R22" i="20"/>
  <c r="R35" i="20"/>
  <c r="R25" i="20"/>
  <c r="R33" i="20"/>
  <c r="R29" i="20"/>
  <c r="R30" i="20"/>
  <c r="M39" i="20"/>
  <c r="M38" i="20" s="1"/>
  <c r="G31" i="18"/>
  <c r="S28" i="20"/>
  <c r="V18" i="20"/>
  <c r="G54" i="18"/>
  <c r="G62" i="18"/>
  <c r="F41" i="20"/>
  <c r="F48" i="20"/>
  <c r="S51" i="20"/>
  <c r="S44" i="20"/>
  <c r="Y49" i="20"/>
  <c r="Y42" i="20"/>
  <c r="H20" i="20"/>
  <c r="AA51" i="20"/>
  <c r="AA44" i="20"/>
  <c r="I46" i="20"/>
  <c r="U31" i="20"/>
  <c r="U23" i="20"/>
  <c r="U29" i="20"/>
  <c r="U21" i="20"/>
  <c r="U24" i="20"/>
  <c r="U33" i="20"/>
  <c r="U25" i="20"/>
  <c r="U22" i="20"/>
  <c r="U35" i="20"/>
  <c r="U32" i="20"/>
  <c r="U30" i="20"/>
  <c r="G65" i="18"/>
  <c r="G57" i="18"/>
  <c r="X52" i="20"/>
  <c r="AB52" i="20" s="1"/>
  <c r="X20" i="20"/>
  <c r="AB18" i="20"/>
  <c r="Y43" i="20"/>
  <c r="Y50" i="20"/>
  <c r="AA48" i="20"/>
  <c r="AA41" i="20"/>
  <c r="G46" i="20"/>
  <c r="G55" i="18"/>
  <c r="G63" i="18"/>
  <c r="F40" i="20"/>
  <c r="F47" i="20"/>
  <c r="Y47" i="20"/>
  <c r="Y40" i="20"/>
  <c r="AA50" i="20"/>
  <c r="AA43" i="20"/>
  <c r="G39" i="20"/>
  <c r="G38" i="20" s="1"/>
  <c r="L35" i="20"/>
  <c r="L31" i="20"/>
  <c r="L30" i="20"/>
  <c r="L33" i="20"/>
  <c r="L23" i="20"/>
  <c r="L55" i="20"/>
  <c r="P55" i="20" s="1"/>
  <c r="L21" i="20"/>
  <c r="L52" i="20"/>
  <c r="L29" i="20"/>
  <c r="L25" i="20"/>
  <c r="L22" i="20"/>
  <c r="L32" i="20"/>
  <c r="L24" i="20"/>
  <c r="G40" i="18"/>
  <c r="G28" i="18" s="1"/>
  <c r="G29" i="18"/>
  <c r="X67" i="18"/>
  <c r="V37" i="18"/>
  <c r="K67" i="18"/>
  <c r="K37" i="18" s="1"/>
  <c r="B11" i="21" s="1"/>
  <c r="G33" i="21" s="1"/>
  <c r="I37" i="18"/>
  <c r="O51" i="18"/>
  <c r="O36" i="18" s="1"/>
  <c r="AC32" i="18"/>
  <c r="J51" i="18"/>
  <c r="J36" i="18" s="1"/>
  <c r="H51" i="18"/>
  <c r="H36" i="18" s="1"/>
  <c r="K48" i="18"/>
  <c r="AC31" i="18"/>
  <c r="K43" i="18"/>
  <c r="I31" i="18"/>
  <c r="K42" i="18"/>
  <c r="I30" i="18"/>
  <c r="W29" i="18"/>
  <c r="W32" i="18"/>
  <c r="AC29" i="18"/>
  <c r="W30" i="18"/>
  <c r="K44" i="18"/>
  <c r="I32" i="18"/>
  <c r="AC30" i="18"/>
  <c r="W31" i="18"/>
  <c r="AD12" i="17"/>
  <c r="AD19" i="17" s="1"/>
  <c r="AD20" i="17" s="1"/>
  <c r="K141" i="18"/>
  <c r="J141" i="18" s="1"/>
  <c r="J50" i="18" s="1"/>
  <c r="B4" i="21"/>
  <c r="G26" i="21" s="1"/>
  <c r="AE16" i="17"/>
  <c r="AF16" i="17" s="1"/>
  <c r="W40" i="18"/>
  <c r="W28" i="18" s="1"/>
  <c r="AK13" i="18"/>
  <c r="AK12" i="18" s="1"/>
  <c r="AK14" i="18"/>
  <c r="AM14" i="18" s="1"/>
  <c r="AN14" i="18" s="1"/>
  <c r="AK15" i="18"/>
  <c r="AM15" i="18" s="1"/>
  <c r="AN15" i="18" s="1"/>
  <c r="AK49" i="18"/>
  <c r="AM49" i="18" s="1"/>
  <c r="AN49" i="18" s="1"/>
  <c r="AK16" i="18"/>
  <c r="AM16" i="18" s="1"/>
  <c r="AN16" i="18" s="1"/>
  <c r="AK17" i="18"/>
  <c r="AM17" i="18" s="1"/>
  <c r="AN17" i="18" s="1"/>
  <c r="AM6" i="18"/>
  <c r="AN6" i="18" s="1"/>
  <c r="AG157" i="18" s="1"/>
  <c r="AE20" i="18"/>
  <c r="AE67" i="18"/>
  <c r="AG18" i="18"/>
  <c r="Y18" i="18" s="1"/>
  <c r="AC62" i="18"/>
  <c r="P67" i="18"/>
  <c r="P41" i="18"/>
  <c r="P23" i="18"/>
  <c r="P56" i="18" s="1"/>
  <c r="P22" i="18"/>
  <c r="P55" i="18" s="1"/>
  <c r="P42" i="18"/>
  <c r="P45" i="18"/>
  <c r="P43" i="18"/>
  <c r="P24" i="18"/>
  <c r="P57" i="18" s="1"/>
  <c r="P44" i="18"/>
  <c r="P21" i="18"/>
  <c r="P54" i="18" s="1"/>
  <c r="P25" i="18"/>
  <c r="P58" i="18" s="1"/>
  <c r="I57" i="18"/>
  <c r="I65" i="18"/>
  <c r="K24" i="18"/>
  <c r="AC64" i="18"/>
  <c r="I58" i="18"/>
  <c r="I66" i="18"/>
  <c r="K25" i="18"/>
  <c r="I64" i="18"/>
  <c r="I56" i="18"/>
  <c r="K23" i="18"/>
  <c r="AI20" i="18"/>
  <c r="W66" i="18"/>
  <c r="I40" i="18"/>
  <c r="K41" i="18"/>
  <c r="V22" i="18"/>
  <c r="V55" i="18" s="1"/>
  <c r="V21" i="18"/>
  <c r="V54" i="18" s="1"/>
  <c r="V41" i="18"/>
  <c r="V25" i="18"/>
  <c r="V58" i="18" s="1"/>
  <c r="V44" i="18"/>
  <c r="V24" i="18"/>
  <c r="V57" i="18" s="1"/>
  <c r="V23" i="18"/>
  <c r="V56" i="18" s="1"/>
  <c r="V42" i="18"/>
  <c r="V43" i="18"/>
  <c r="V45" i="18"/>
  <c r="X20" i="18"/>
  <c r="AC65" i="18"/>
  <c r="W62" i="18"/>
  <c r="I54" i="18"/>
  <c r="I62" i="18"/>
  <c r="K21" i="18"/>
  <c r="Q61" i="18"/>
  <c r="AC66" i="18"/>
  <c r="I63" i="18"/>
  <c r="I55" i="18"/>
  <c r="K22" i="18"/>
  <c r="W64" i="18"/>
  <c r="AF6" i="17"/>
  <c r="W63" i="18"/>
  <c r="W65" i="18"/>
  <c r="AC40" i="18"/>
  <c r="AC28" i="18" s="1"/>
  <c r="E20" i="17"/>
  <c r="G20" i="17" s="1"/>
  <c r="AC63" i="18"/>
  <c r="Y30" i="17"/>
  <c r="X22" i="17"/>
  <c r="Q26" i="17"/>
  <c r="S26" i="17" s="1"/>
  <c r="Q25" i="17"/>
  <c r="S25" i="17" s="1"/>
  <c r="Q24" i="17"/>
  <c r="S24" i="17" s="1"/>
  <c r="Q31" i="17"/>
  <c r="S31" i="17" s="1"/>
  <c r="Q23" i="17"/>
  <c r="S23" i="17" s="1"/>
  <c r="Q27" i="17"/>
  <c r="S27" i="17" s="1"/>
  <c r="K19" i="17"/>
  <c r="M12" i="17"/>
  <c r="W27" i="17"/>
  <c r="W24" i="17"/>
  <c r="W26" i="17"/>
  <c r="W25" i="17"/>
  <c r="W31" i="17"/>
  <c r="W23" i="17"/>
  <c r="AC18" i="17"/>
  <c r="AE18" i="17" s="1"/>
  <c r="AF18" i="17" s="1"/>
  <c r="AC12" i="17"/>
  <c r="J32" i="17"/>
  <c r="J36" i="17" s="1"/>
  <c r="AA20" i="17"/>
  <c r="AA29" i="17" s="1"/>
  <c r="U27" i="17"/>
  <c r="U26" i="17"/>
  <c r="U31" i="17"/>
  <c r="Y20" i="17"/>
  <c r="U24" i="17"/>
  <c r="U34" i="17"/>
  <c r="Y34" i="17" s="1"/>
  <c r="U25" i="17"/>
  <c r="U23" i="17"/>
  <c r="L30" i="17"/>
  <c r="L29" i="17"/>
  <c r="R104" i="17"/>
  <c r="Y104" i="17"/>
  <c r="P104" i="17"/>
  <c r="Q104" i="17"/>
  <c r="O104" i="17"/>
  <c r="D32" i="17"/>
  <c r="D36" i="17" s="1"/>
  <c r="F32" i="17"/>
  <c r="F36" i="17" s="1"/>
  <c r="C28" i="17"/>
  <c r="C22" i="17"/>
  <c r="I28" i="17"/>
  <c r="O22" i="17"/>
  <c r="I22" i="17"/>
  <c r="L31" i="17"/>
  <c r="R22" i="17"/>
  <c r="L23" i="17"/>
  <c r="L25" i="17"/>
  <c r="L27" i="17"/>
  <c r="L24" i="17"/>
  <c r="L26" i="17"/>
  <c r="S16" i="7"/>
  <c r="O22" i="7"/>
  <c r="S22" i="7" s="1"/>
  <c r="O21" i="7"/>
  <c r="S21" i="7" s="1"/>
  <c r="O19" i="7"/>
  <c r="C24" i="7"/>
  <c r="I20" i="7"/>
  <c r="M20" i="7" s="1"/>
  <c r="I24" i="7"/>
  <c r="M24" i="7" s="1"/>
  <c r="G22" i="7"/>
  <c r="G19" i="7"/>
  <c r="G21" i="7"/>
  <c r="AF61" i="18" l="1"/>
  <c r="AF53" i="18"/>
  <c r="AE46" i="20"/>
  <c r="AC61" i="18"/>
  <c r="X57" i="18"/>
  <c r="X58" i="18"/>
  <c r="V53" i="18"/>
  <c r="V52" i="18" s="1"/>
  <c r="T53" i="18"/>
  <c r="X55" i="18"/>
  <c r="R45" i="18"/>
  <c r="X56" i="18"/>
  <c r="X54" i="18"/>
  <c r="W61" i="18"/>
  <c r="W51" i="18" s="1"/>
  <c r="R57" i="18"/>
  <c r="N62" i="18"/>
  <c r="N54" i="18"/>
  <c r="N63" i="18"/>
  <c r="N55" i="18"/>
  <c r="R55" i="18" s="1"/>
  <c r="R58" i="18"/>
  <c r="N64" i="18"/>
  <c r="N56" i="18"/>
  <c r="R56" i="18" s="1"/>
  <c r="P53" i="18"/>
  <c r="P52" i="18" s="1"/>
  <c r="AL22" i="18"/>
  <c r="AL42" i="18"/>
  <c r="AL23" i="18"/>
  <c r="AL44" i="18"/>
  <c r="AL21" i="18"/>
  <c r="O39" i="20"/>
  <c r="O38" i="20" s="1"/>
  <c r="C17" i="21"/>
  <c r="H39" i="21" s="1"/>
  <c r="P169" i="20"/>
  <c r="D17" i="21"/>
  <c r="I39" i="21" s="1"/>
  <c r="V169" i="20"/>
  <c r="AL25" i="18"/>
  <c r="AC157" i="18"/>
  <c r="AC59" i="18" s="1"/>
  <c r="AC52" i="18" s="1"/>
  <c r="AM157" i="18"/>
  <c r="AI157" i="18" s="1"/>
  <c r="AI59" i="18" s="1"/>
  <c r="AL43" i="18"/>
  <c r="AL24" i="18"/>
  <c r="AL57" i="18" s="1"/>
  <c r="AL45" i="18"/>
  <c r="AL41" i="18"/>
  <c r="N32" i="18"/>
  <c r="C4" i="21"/>
  <c r="H26" i="21" s="1"/>
  <c r="AB32" i="17"/>
  <c r="AB36" i="17" s="1"/>
  <c r="R23" i="18"/>
  <c r="R141" i="18"/>
  <c r="Q141" i="18" s="1"/>
  <c r="N66" i="18"/>
  <c r="N65" i="18"/>
  <c r="N31" i="18"/>
  <c r="N40" i="18"/>
  <c r="N28" i="18" s="1"/>
  <c r="X45" i="18"/>
  <c r="AH16" i="20"/>
  <c r="AI16" i="20" s="1"/>
  <c r="N30" i="18"/>
  <c r="K64" i="18"/>
  <c r="K58" i="18"/>
  <c r="Q51" i="18"/>
  <c r="N29" i="18"/>
  <c r="K65" i="18"/>
  <c r="AH14" i="20"/>
  <c r="AI14" i="20" s="1"/>
  <c r="AH17" i="20"/>
  <c r="AI17" i="20" s="1"/>
  <c r="K55" i="18"/>
  <c r="K57" i="18"/>
  <c r="K56" i="18"/>
  <c r="AH45" i="20"/>
  <c r="AI45" i="20" s="1"/>
  <c r="T31" i="18"/>
  <c r="AH36" i="20"/>
  <c r="L28" i="20"/>
  <c r="U51" i="20"/>
  <c r="U44" i="20"/>
  <c r="Z50" i="20"/>
  <c r="Z43" i="20"/>
  <c r="AA46" i="20"/>
  <c r="R126" i="20"/>
  <c r="U126" i="20"/>
  <c r="T126" i="20"/>
  <c r="S126" i="20"/>
  <c r="T30" i="18"/>
  <c r="Y39" i="20"/>
  <c r="Y38" i="20" s="1"/>
  <c r="L47" i="20"/>
  <c r="L40" i="20"/>
  <c r="Y46" i="20"/>
  <c r="U43" i="20"/>
  <c r="U50" i="20"/>
  <c r="AG47" i="20"/>
  <c r="AG40" i="20"/>
  <c r="Z42" i="20"/>
  <c r="Z49" i="20"/>
  <c r="R43" i="20"/>
  <c r="R50" i="20"/>
  <c r="T63" i="18"/>
  <c r="K63" i="18"/>
  <c r="L42" i="20"/>
  <c r="L49" i="20"/>
  <c r="F46" i="20"/>
  <c r="X55" i="20"/>
  <c r="AB55" i="20" s="1"/>
  <c r="AB169" i="20" s="1"/>
  <c r="X31" i="20"/>
  <c r="AB31" i="20" s="1"/>
  <c r="AB20" i="20"/>
  <c r="X30" i="20"/>
  <c r="AB30" i="20" s="1"/>
  <c r="X35" i="20"/>
  <c r="X25" i="20"/>
  <c r="X23" i="20"/>
  <c r="X32" i="20"/>
  <c r="AB32" i="20" s="1"/>
  <c r="X24" i="20"/>
  <c r="X33" i="20"/>
  <c r="AB33" i="20" s="1"/>
  <c r="X22" i="20"/>
  <c r="X21" i="20"/>
  <c r="X29" i="20"/>
  <c r="U28" i="20"/>
  <c r="R42" i="20"/>
  <c r="R49" i="20"/>
  <c r="AD12" i="20"/>
  <c r="AD18" i="20"/>
  <c r="AH13" i="20"/>
  <c r="AI13" i="20" s="1"/>
  <c r="AG44" i="20"/>
  <c r="AG51" i="20"/>
  <c r="N20" i="20"/>
  <c r="P19" i="20"/>
  <c r="U40" i="20"/>
  <c r="U47" i="20"/>
  <c r="AG48" i="20"/>
  <c r="AG41" i="20"/>
  <c r="F39" i="20"/>
  <c r="U42" i="20"/>
  <c r="U49" i="20"/>
  <c r="R28" i="20"/>
  <c r="T65" i="18"/>
  <c r="T62" i="18"/>
  <c r="R44" i="20"/>
  <c r="R51" i="20"/>
  <c r="AG49" i="20"/>
  <c r="AG42" i="20"/>
  <c r="T29" i="18"/>
  <c r="T40" i="18"/>
  <c r="T28" i="18" s="1"/>
  <c r="Z28" i="20"/>
  <c r="L43" i="20"/>
  <c r="L50" i="20"/>
  <c r="AG50" i="20"/>
  <c r="AG43" i="20"/>
  <c r="G61" i="18"/>
  <c r="R48" i="20"/>
  <c r="R41" i="20"/>
  <c r="AG28" i="20"/>
  <c r="T66" i="18"/>
  <c r="Z41" i="20"/>
  <c r="Z48" i="20"/>
  <c r="AF12" i="20"/>
  <c r="AF19" i="20" s="1"/>
  <c r="AF20" i="20" s="1"/>
  <c r="L41" i="20"/>
  <c r="L48" i="20"/>
  <c r="H29" i="20"/>
  <c r="H30" i="20"/>
  <c r="J30" i="20" s="1"/>
  <c r="H23" i="20"/>
  <c r="H35" i="20"/>
  <c r="H24" i="20"/>
  <c r="H25" i="20"/>
  <c r="H31" i="20"/>
  <c r="J31" i="20" s="1"/>
  <c r="H33" i="20"/>
  <c r="J33" i="20" s="1"/>
  <c r="H21" i="20"/>
  <c r="H22" i="20"/>
  <c r="H32" i="20"/>
  <c r="J32" i="20" s="1"/>
  <c r="H52" i="20"/>
  <c r="J52" i="20" s="1"/>
  <c r="J20" i="20"/>
  <c r="J126" i="20" s="1"/>
  <c r="G53" i="18"/>
  <c r="G52" i="18" s="1"/>
  <c r="R40" i="20"/>
  <c r="R47" i="20"/>
  <c r="AH15" i="20"/>
  <c r="AI15" i="20" s="1"/>
  <c r="T32" i="18"/>
  <c r="Z51" i="20"/>
  <c r="Z44" i="20"/>
  <c r="T33" i="20"/>
  <c r="V33" i="20" s="1"/>
  <c r="T32" i="20"/>
  <c r="V32" i="20" s="1"/>
  <c r="T22" i="20"/>
  <c r="T21" i="20"/>
  <c r="T31" i="20"/>
  <c r="V31" i="20" s="1"/>
  <c r="T29" i="20"/>
  <c r="V29" i="20" s="1"/>
  <c r="T25" i="20"/>
  <c r="T24" i="20"/>
  <c r="V24" i="20" s="1"/>
  <c r="T23" i="20"/>
  <c r="V23" i="20" s="1"/>
  <c r="T35" i="20"/>
  <c r="V35" i="20" s="1"/>
  <c r="T30" i="20"/>
  <c r="S46" i="20"/>
  <c r="K29" i="18"/>
  <c r="K66" i="18"/>
  <c r="L44" i="20"/>
  <c r="L51" i="20"/>
  <c r="U48" i="20"/>
  <c r="U41" i="20"/>
  <c r="T64" i="18"/>
  <c r="Z47" i="20"/>
  <c r="Z40" i="20"/>
  <c r="AA39" i="20"/>
  <c r="AA38" i="20" s="1"/>
  <c r="S39" i="20"/>
  <c r="S38" i="20" s="1"/>
  <c r="AG67" i="18"/>
  <c r="AE37" i="18"/>
  <c r="R67" i="18"/>
  <c r="R37" i="18" s="1"/>
  <c r="C11" i="21" s="1"/>
  <c r="H33" i="21" s="1"/>
  <c r="P37" i="18"/>
  <c r="X37" i="18"/>
  <c r="D11" i="21" s="1"/>
  <c r="I33" i="21" s="1"/>
  <c r="U36" i="18"/>
  <c r="J47" i="18"/>
  <c r="X43" i="18"/>
  <c r="V31" i="18"/>
  <c r="X42" i="18"/>
  <c r="V30" i="18"/>
  <c r="K40" i="18"/>
  <c r="I28" i="18"/>
  <c r="R41" i="18"/>
  <c r="P29" i="18"/>
  <c r="R43" i="18"/>
  <c r="P31" i="18"/>
  <c r="K32" i="18"/>
  <c r="R42" i="18"/>
  <c r="P30" i="18"/>
  <c r="X44" i="18"/>
  <c r="V32" i="18"/>
  <c r="K30" i="18"/>
  <c r="R44" i="18"/>
  <c r="P32" i="18"/>
  <c r="V29" i="18"/>
  <c r="K31" i="18"/>
  <c r="AD29" i="17"/>
  <c r="AD23" i="17"/>
  <c r="AD25" i="17"/>
  <c r="AD24" i="17"/>
  <c r="AD27" i="17"/>
  <c r="AD30" i="17"/>
  <c r="AD26" i="17"/>
  <c r="AD31" i="17"/>
  <c r="H141" i="18"/>
  <c r="H50" i="18" s="1"/>
  <c r="G141" i="18"/>
  <c r="I141" i="18"/>
  <c r="I50" i="18" s="1"/>
  <c r="I47" i="18" s="1"/>
  <c r="I35" i="18" s="1"/>
  <c r="X141" i="18"/>
  <c r="U141" i="18" s="1"/>
  <c r="D4" i="21"/>
  <c r="I26" i="21" s="1"/>
  <c r="E27" i="17"/>
  <c r="G27" i="17" s="1"/>
  <c r="E24" i="17"/>
  <c r="G24" i="17" s="1"/>
  <c r="E23" i="17"/>
  <c r="G23" i="17" s="1"/>
  <c r="E26" i="17"/>
  <c r="G26" i="17" s="1"/>
  <c r="E31" i="17"/>
  <c r="G31" i="17" s="1"/>
  <c r="E30" i="17"/>
  <c r="G30" i="17" s="1"/>
  <c r="E29" i="17"/>
  <c r="G29" i="17" s="1"/>
  <c r="E25" i="17"/>
  <c r="G25" i="17" s="1"/>
  <c r="V65" i="18"/>
  <c r="X24" i="18"/>
  <c r="AK19" i="18"/>
  <c r="AM19" i="18" s="1"/>
  <c r="AM12" i="18"/>
  <c r="AN12" i="18" s="1"/>
  <c r="P66" i="18"/>
  <c r="X48" i="18"/>
  <c r="AK18" i="18"/>
  <c r="AK48" i="18" s="1"/>
  <c r="AM13" i="18"/>
  <c r="AN13" i="18" s="1"/>
  <c r="V66" i="18"/>
  <c r="X25" i="18"/>
  <c r="V40" i="18"/>
  <c r="X41" i="18"/>
  <c r="AI70" i="18"/>
  <c r="AM70" i="18" s="1"/>
  <c r="AI42" i="18"/>
  <c r="AI41" i="18"/>
  <c r="AI44" i="18"/>
  <c r="AI43" i="18"/>
  <c r="AI24" i="18"/>
  <c r="AI57" i="18" s="1"/>
  <c r="AI21" i="18"/>
  <c r="AI54" i="18" s="1"/>
  <c r="AI22" i="18"/>
  <c r="AI55" i="18" s="1"/>
  <c r="AI23" i="18"/>
  <c r="AI56" i="18" s="1"/>
  <c r="AI67" i="18"/>
  <c r="AI37" i="18" s="1"/>
  <c r="AI25" i="18"/>
  <c r="AI58" i="18" s="1"/>
  <c r="AI45" i="18"/>
  <c r="P65" i="18"/>
  <c r="Y25" i="17"/>
  <c r="V62" i="18"/>
  <c r="V61" i="18" s="1"/>
  <c r="V51" i="18" s="1"/>
  <c r="X21" i="18"/>
  <c r="P62" i="18"/>
  <c r="AE21" i="18"/>
  <c r="AE54" i="18" s="1"/>
  <c r="AG54" i="18" s="1"/>
  <c r="AE23" i="18"/>
  <c r="AE56" i="18" s="1"/>
  <c r="AG56" i="18" s="1"/>
  <c r="AE42" i="18"/>
  <c r="AE22" i="18"/>
  <c r="AE55" i="18" s="1"/>
  <c r="AE24" i="18"/>
  <c r="AE57" i="18" s="1"/>
  <c r="AG57" i="18" s="1"/>
  <c r="AE43" i="18"/>
  <c r="AE44" i="18"/>
  <c r="AE25" i="18"/>
  <c r="AE58" i="18" s="1"/>
  <c r="AG58" i="18" s="1"/>
  <c r="AE41" i="18"/>
  <c r="AE45" i="18"/>
  <c r="AG45" i="18" s="1"/>
  <c r="AG20" i="18"/>
  <c r="Y20" i="18" s="1"/>
  <c r="V63" i="18"/>
  <c r="X22" i="18"/>
  <c r="R24" i="18"/>
  <c r="R21" i="18"/>
  <c r="R25" i="18"/>
  <c r="P63" i="18"/>
  <c r="R22" i="18"/>
  <c r="I61" i="18"/>
  <c r="K62" i="18"/>
  <c r="P64" i="18"/>
  <c r="I53" i="18"/>
  <c r="I52" i="18" s="1"/>
  <c r="K54" i="18"/>
  <c r="V64" i="18"/>
  <c r="X23" i="18"/>
  <c r="P40" i="18"/>
  <c r="Y24" i="17"/>
  <c r="Y27" i="17"/>
  <c r="K20" i="17"/>
  <c r="M19" i="17"/>
  <c r="W22" i="17"/>
  <c r="Q22" i="17"/>
  <c r="S22" i="17" s="1"/>
  <c r="AC19" i="17"/>
  <c r="AE19" i="17" s="1"/>
  <c r="AF19" i="17" s="1"/>
  <c r="AE12" i="17"/>
  <c r="AF12" i="17" s="1"/>
  <c r="Y31" i="17"/>
  <c r="Y26" i="17"/>
  <c r="O102" i="17"/>
  <c r="U104" i="17"/>
  <c r="Q102" i="17"/>
  <c r="W104" i="17"/>
  <c r="P102" i="17"/>
  <c r="V104" i="17"/>
  <c r="R102" i="17"/>
  <c r="X104" i="17"/>
  <c r="U22" i="17"/>
  <c r="Y23" i="17"/>
  <c r="AA27" i="17"/>
  <c r="AA34" i="17"/>
  <c r="AE34" i="17" s="1"/>
  <c r="AF34" i="17" s="1"/>
  <c r="AA24" i="17"/>
  <c r="AA26" i="17"/>
  <c r="AA25" i="17"/>
  <c r="AA23" i="17"/>
  <c r="AA31" i="17"/>
  <c r="AA30" i="17"/>
  <c r="I32" i="17"/>
  <c r="I36" i="17" s="1"/>
  <c r="L28" i="17"/>
  <c r="C32" i="17"/>
  <c r="L22" i="17"/>
  <c r="O20" i="7"/>
  <c r="S20" i="7" s="1"/>
  <c r="S19" i="7"/>
  <c r="O24" i="7"/>
  <c r="S24" i="7" s="1"/>
  <c r="G24" i="7"/>
  <c r="G20" i="7"/>
  <c r="AC51" i="18" l="1"/>
  <c r="AL30" i="18"/>
  <c r="AL66" i="18"/>
  <c r="AL58" i="18"/>
  <c r="AL63" i="18"/>
  <c r="AL55" i="18"/>
  <c r="AE53" i="18"/>
  <c r="AG55" i="18"/>
  <c r="AL62" i="18"/>
  <c r="AL54" i="18"/>
  <c r="AI53" i="18"/>
  <c r="AL64" i="18"/>
  <c r="AL56" i="18"/>
  <c r="R63" i="18"/>
  <c r="R62" i="18"/>
  <c r="T61" i="18"/>
  <c r="X61" i="18" s="1"/>
  <c r="T52" i="18"/>
  <c r="X53" i="18"/>
  <c r="R64" i="18"/>
  <c r="N53" i="18"/>
  <c r="R54" i="18"/>
  <c r="Q50" i="18"/>
  <c r="Q47" i="18" s="1"/>
  <c r="AL31" i="18"/>
  <c r="G50" i="18"/>
  <c r="G47" i="18" s="1"/>
  <c r="G35" i="18" s="1"/>
  <c r="AL65" i="18"/>
  <c r="AL40" i="18"/>
  <c r="AL28" i="18" s="1"/>
  <c r="AL32" i="18"/>
  <c r="AN70" i="18"/>
  <c r="AL29" i="18"/>
  <c r="P141" i="18"/>
  <c r="AJ157" i="18"/>
  <c r="AJ59" i="18" s="1"/>
  <c r="AJ52" i="18" s="1"/>
  <c r="AJ51" i="18" s="1"/>
  <c r="AD157" i="18"/>
  <c r="AD59" i="18" s="1"/>
  <c r="AD52" i="18" s="1"/>
  <c r="AD51" i="18" s="1"/>
  <c r="O141" i="18"/>
  <c r="O50" i="18" s="1"/>
  <c r="R31" i="18"/>
  <c r="N61" i="18"/>
  <c r="N141" i="18"/>
  <c r="R65" i="18"/>
  <c r="R66" i="18"/>
  <c r="K28" i="18"/>
  <c r="B7" i="21" s="1"/>
  <c r="G29" i="21" s="1"/>
  <c r="B13" i="21"/>
  <c r="G35" i="21" s="1"/>
  <c r="Q36" i="18"/>
  <c r="X64" i="18"/>
  <c r="X65" i="18"/>
  <c r="X66" i="18"/>
  <c r="Z46" i="20"/>
  <c r="X63" i="18"/>
  <c r="T40" i="20"/>
  <c r="V40" i="20" s="1"/>
  <c r="T47" i="20"/>
  <c r="V47" i="20" s="1"/>
  <c r="I126" i="20"/>
  <c r="I37" i="20" s="1"/>
  <c r="I34" i="20" s="1"/>
  <c r="I53" i="20" s="1"/>
  <c r="I57" i="20" s="1"/>
  <c r="H126" i="20"/>
  <c r="H37" i="20" s="1"/>
  <c r="G126" i="20"/>
  <c r="G37" i="20" s="1"/>
  <c r="G34" i="20" s="1"/>
  <c r="G53" i="20" s="1"/>
  <c r="G57" i="20" s="1"/>
  <c r="F126" i="20"/>
  <c r="F37" i="20" s="1"/>
  <c r="H28" i="20"/>
  <c r="J28" i="20" s="1"/>
  <c r="J166" i="20" s="1"/>
  <c r="J29" i="20"/>
  <c r="T48" i="20"/>
  <c r="V48" i="20" s="1"/>
  <c r="T41" i="20"/>
  <c r="V41" i="20" s="1"/>
  <c r="V22" i="20"/>
  <c r="X50" i="20"/>
  <c r="AB50" i="20" s="1"/>
  <c r="AB24" i="20"/>
  <c r="X43" i="20"/>
  <c r="AB43" i="20" s="1"/>
  <c r="AG39" i="20"/>
  <c r="AG38" i="20" s="1"/>
  <c r="S124" i="20"/>
  <c r="S37" i="20"/>
  <c r="S34" i="20" s="1"/>
  <c r="S53" i="20" s="1"/>
  <c r="S57" i="20" s="1"/>
  <c r="AH18" i="20"/>
  <c r="AI18" i="20" s="1"/>
  <c r="AG46" i="20"/>
  <c r="T124" i="20"/>
  <c r="T37" i="20"/>
  <c r="F38" i="20"/>
  <c r="AD19" i="20"/>
  <c r="AH19" i="20" s="1"/>
  <c r="AI19" i="20" s="1"/>
  <c r="AH12" i="20"/>
  <c r="AI12" i="20" s="1"/>
  <c r="X49" i="20"/>
  <c r="AB49" i="20" s="1"/>
  <c r="X42" i="20"/>
  <c r="AB42" i="20" s="1"/>
  <c r="AB23" i="20"/>
  <c r="U124" i="20"/>
  <c r="U37" i="20"/>
  <c r="Z39" i="20"/>
  <c r="Z38" i="20" s="1"/>
  <c r="H47" i="20"/>
  <c r="H40" i="20"/>
  <c r="J21" i="20"/>
  <c r="X44" i="20"/>
  <c r="AB44" i="20" s="1"/>
  <c r="X51" i="20"/>
  <c r="AB51" i="20" s="1"/>
  <c r="AB25" i="20"/>
  <c r="R124" i="20"/>
  <c r="R37" i="20"/>
  <c r="T28" i="20"/>
  <c r="V28" i="20" s="1"/>
  <c r="AB35" i="20"/>
  <c r="U46" i="20"/>
  <c r="V30" i="20"/>
  <c r="AD22" i="17"/>
  <c r="T49" i="20"/>
  <c r="V49" i="20" s="1"/>
  <c r="T42" i="20"/>
  <c r="V42" i="20" s="1"/>
  <c r="H44" i="20"/>
  <c r="J44" i="20" s="1"/>
  <c r="H51" i="20"/>
  <c r="J51" i="20" s="1"/>
  <c r="J25" i="20"/>
  <c r="AD28" i="17"/>
  <c r="T50" i="20"/>
  <c r="V50" i="20" s="1"/>
  <c r="T43" i="20"/>
  <c r="V43" i="20" s="1"/>
  <c r="R46" i="20"/>
  <c r="H50" i="20"/>
  <c r="J50" i="20" s="1"/>
  <c r="H43" i="20"/>
  <c r="J43" i="20" s="1"/>
  <c r="J24" i="20"/>
  <c r="U39" i="20"/>
  <c r="U38" i="20" s="1"/>
  <c r="L39" i="20"/>
  <c r="H48" i="20"/>
  <c r="J48" i="20" s="1"/>
  <c r="H41" i="20"/>
  <c r="J41" i="20" s="1"/>
  <c r="J22" i="20"/>
  <c r="AF35" i="20"/>
  <c r="AF21" i="20"/>
  <c r="AF31" i="20"/>
  <c r="AF24" i="20"/>
  <c r="AF52" i="20"/>
  <c r="AF25" i="20"/>
  <c r="AF23" i="20"/>
  <c r="AF22" i="20"/>
  <c r="AF32" i="20"/>
  <c r="AF29" i="20"/>
  <c r="AF33" i="20"/>
  <c r="AF30" i="20"/>
  <c r="AG37" i="18"/>
  <c r="T51" i="20"/>
  <c r="V51" i="20" s="1"/>
  <c r="T44" i="20"/>
  <c r="V44" i="20" s="1"/>
  <c r="R39" i="20"/>
  <c r="J35" i="20"/>
  <c r="AB29" i="20"/>
  <c r="X28" i="20"/>
  <c r="L46" i="20"/>
  <c r="V21" i="20"/>
  <c r="H49" i="20"/>
  <c r="J49" i="20" s="1"/>
  <c r="H42" i="20"/>
  <c r="J42" i="20" s="1"/>
  <c r="J23" i="20"/>
  <c r="N22" i="20"/>
  <c r="N21" i="20"/>
  <c r="N25" i="20"/>
  <c r="N23" i="20"/>
  <c r="N33" i="20"/>
  <c r="P33" i="20" s="1"/>
  <c r="N24" i="20"/>
  <c r="N29" i="20"/>
  <c r="P29" i="20" s="1"/>
  <c r="N35" i="20"/>
  <c r="P35" i="20" s="1"/>
  <c r="N32" i="20"/>
  <c r="P32" i="20" s="1"/>
  <c r="N31" i="20"/>
  <c r="P31" i="20" s="1"/>
  <c r="N52" i="20"/>
  <c r="P52" i="20" s="1"/>
  <c r="N30" i="20"/>
  <c r="P20" i="20"/>
  <c r="P126" i="20" s="1"/>
  <c r="AB21" i="20"/>
  <c r="X47" i="20"/>
  <c r="X40" i="20"/>
  <c r="G51" i="18"/>
  <c r="G36" i="18" s="1"/>
  <c r="V25" i="20"/>
  <c r="X41" i="20"/>
  <c r="AB41" i="20" s="1"/>
  <c r="AB22" i="20"/>
  <c r="X48" i="20"/>
  <c r="AB48" i="20" s="1"/>
  <c r="J46" i="18"/>
  <c r="J35" i="18"/>
  <c r="AG48" i="18"/>
  <c r="W36" i="18"/>
  <c r="R32" i="18"/>
  <c r="R29" i="18"/>
  <c r="K61" i="18"/>
  <c r="H47" i="18"/>
  <c r="AE29" i="18"/>
  <c r="AI31" i="18"/>
  <c r="R30" i="18"/>
  <c r="AG44" i="18"/>
  <c r="AE32" i="18"/>
  <c r="AI32" i="18"/>
  <c r="AG43" i="18"/>
  <c r="AE31" i="18"/>
  <c r="AI30" i="18"/>
  <c r="X29" i="18"/>
  <c r="AI29" i="18"/>
  <c r="AG42" i="18"/>
  <c r="AE30" i="18"/>
  <c r="X40" i="18"/>
  <c r="V28" i="18"/>
  <c r="X30" i="18"/>
  <c r="X32" i="18"/>
  <c r="R40" i="18"/>
  <c r="P28" i="18"/>
  <c r="X31" i="18"/>
  <c r="AN19" i="18"/>
  <c r="AA19" i="18" s="1"/>
  <c r="Z19" i="18"/>
  <c r="V141" i="18"/>
  <c r="V50" i="18" s="1"/>
  <c r="V47" i="18" s="1"/>
  <c r="V35" i="18" s="1"/>
  <c r="W141" i="18"/>
  <c r="W139" i="18" s="1"/>
  <c r="T141" i="18"/>
  <c r="T139" i="18" s="1"/>
  <c r="E28" i="17"/>
  <c r="E22" i="17"/>
  <c r="G22" i="17" s="1"/>
  <c r="G28" i="17"/>
  <c r="AE65" i="18"/>
  <c r="AG65" i="18" s="1"/>
  <c r="AG24" i="18"/>
  <c r="AI64" i="18"/>
  <c r="AE63" i="18"/>
  <c r="AG63" i="18" s="1"/>
  <c r="AG22" i="18"/>
  <c r="AI63" i="18"/>
  <c r="I51" i="18"/>
  <c r="I36" i="18" s="1"/>
  <c r="K53" i="18"/>
  <c r="AE64" i="18"/>
  <c r="AG64" i="18" s="1"/>
  <c r="AG23" i="18"/>
  <c r="AE62" i="18"/>
  <c r="AG21" i="18"/>
  <c r="AI65" i="18"/>
  <c r="X62" i="18"/>
  <c r="AI62" i="18"/>
  <c r="P61" i="18"/>
  <c r="AE40" i="18"/>
  <c r="AG41" i="18"/>
  <c r="AI40" i="18"/>
  <c r="AI28" i="18" s="1"/>
  <c r="AE66" i="18"/>
  <c r="AG66" i="18" s="1"/>
  <c r="AG25" i="18"/>
  <c r="AK20" i="18"/>
  <c r="AM18" i="18"/>
  <c r="U139" i="18"/>
  <c r="U50" i="18"/>
  <c r="AI66" i="18"/>
  <c r="AC20" i="17"/>
  <c r="AC29" i="17" s="1"/>
  <c r="K29" i="17"/>
  <c r="K30" i="17"/>
  <c r="M30" i="17" s="1"/>
  <c r="K23" i="17"/>
  <c r="K24" i="17"/>
  <c r="M24" i="17" s="1"/>
  <c r="K25" i="17"/>
  <c r="M25" i="17" s="1"/>
  <c r="K26" i="17"/>
  <c r="M26" i="17" s="1"/>
  <c r="K31" i="17"/>
  <c r="M31" i="17" s="1"/>
  <c r="K27" i="17"/>
  <c r="M27" i="17" s="1"/>
  <c r="M20" i="17"/>
  <c r="AA22" i="17"/>
  <c r="X102" i="17"/>
  <c r="X29" i="17" s="1"/>
  <c r="X28" i="17" s="1"/>
  <c r="X32" i="17" s="1"/>
  <c r="X36" i="17" s="1"/>
  <c r="R29" i="17"/>
  <c r="R28" i="17" s="1"/>
  <c r="R32" i="17" s="1"/>
  <c r="R36" i="17" s="1"/>
  <c r="V102" i="17"/>
  <c r="V29" i="17" s="1"/>
  <c r="V28" i="17" s="1"/>
  <c r="V32" i="17" s="1"/>
  <c r="V36" i="17" s="1"/>
  <c r="P29" i="17"/>
  <c r="P28" i="17" s="1"/>
  <c r="P32" i="17" s="1"/>
  <c r="P36" i="17" s="1"/>
  <c r="W102" i="17"/>
  <c r="W29" i="17" s="1"/>
  <c r="W28" i="17" s="1"/>
  <c r="W32" i="17" s="1"/>
  <c r="W36" i="17" s="1"/>
  <c r="Q29" i="17"/>
  <c r="Q28" i="17" s="1"/>
  <c r="Q32" i="17" s="1"/>
  <c r="Q36" i="17" s="1"/>
  <c r="Y22" i="17"/>
  <c r="U102" i="17"/>
  <c r="U29" i="17" s="1"/>
  <c r="O29" i="17"/>
  <c r="AA28" i="17"/>
  <c r="C36" i="17"/>
  <c r="L32" i="17"/>
  <c r="AL53" i="18" l="1"/>
  <c r="AG53" i="18"/>
  <c r="AI52" i="18"/>
  <c r="AI61" i="18"/>
  <c r="AE61" i="18"/>
  <c r="AG61" i="18" s="1"/>
  <c r="AL61" i="18"/>
  <c r="T51" i="18"/>
  <c r="X51" i="18" s="1"/>
  <c r="X52" i="18"/>
  <c r="R61" i="18"/>
  <c r="N52" i="18"/>
  <c r="R52" i="18" s="1"/>
  <c r="R53" i="18"/>
  <c r="K50" i="18"/>
  <c r="Q35" i="18"/>
  <c r="Q46" i="18"/>
  <c r="Q34" i="18" s="1"/>
  <c r="N50" i="18"/>
  <c r="N47" i="18" s="1"/>
  <c r="N35" i="18" s="1"/>
  <c r="P50" i="18"/>
  <c r="P47" i="18" s="1"/>
  <c r="P35" i="18" s="1"/>
  <c r="V166" i="20"/>
  <c r="E17" i="21"/>
  <c r="J39" i="21" s="1"/>
  <c r="AC36" i="18"/>
  <c r="AJ36" i="18"/>
  <c r="AK157" i="18"/>
  <c r="AK59" i="18" s="1"/>
  <c r="AD36" i="18"/>
  <c r="AE157" i="18"/>
  <c r="AE59" i="18" s="1"/>
  <c r="AE52" i="18" s="1"/>
  <c r="O47" i="18"/>
  <c r="O46" i="18" s="1"/>
  <c r="R28" i="18"/>
  <c r="C7" i="21" s="1"/>
  <c r="H29" i="21" s="1"/>
  <c r="C13" i="21"/>
  <c r="H35" i="21" s="1"/>
  <c r="X28" i="18"/>
  <c r="D7" i="21" s="1"/>
  <c r="I29" i="21" s="1"/>
  <c r="D13" i="21"/>
  <c r="I35" i="21" s="1"/>
  <c r="AD32" i="17"/>
  <c r="AD36" i="17" s="1"/>
  <c r="AD20" i="20"/>
  <c r="AD30" i="20" s="1"/>
  <c r="AH30" i="20" s="1"/>
  <c r="AI30" i="20" s="1"/>
  <c r="AF50" i="20"/>
  <c r="AF43" i="20"/>
  <c r="N50" i="20"/>
  <c r="P50" i="20" s="1"/>
  <c r="N43" i="20"/>
  <c r="P43" i="20" s="1"/>
  <c r="P24" i="20"/>
  <c r="AF47" i="20"/>
  <c r="AF40" i="20"/>
  <c r="X39" i="20"/>
  <c r="AB40" i="20"/>
  <c r="N49" i="20"/>
  <c r="P49" i="20" s="1"/>
  <c r="N42" i="20"/>
  <c r="P42" i="20" s="1"/>
  <c r="P23" i="20"/>
  <c r="AB47" i="20"/>
  <c r="X46" i="20"/>
  <c r="AB46" i="20" s="1"/>
  <c r="N51" i="20"/>
  <c r="P51" i="20" s="1"/>
  <c r="N44" i="20"/>
  <c r="P44" i="20" s="1"/>
  <c r="P25" i="20"/>
  <c r="N40" i="20"/>
  <c r="N47" i="20"/>
  <c r="P21" i="20"/>
  <c r="H39" i="20"/>
  <c r="J40" i="20"/>
  <c r="J37" i="20"/>
  <c r="F34" i="20"/>
  <c r="F53" i="20" s="1"/>
  <c r="AF48" i="20"/>
  <c r="AF41" i="20"/>
  <c r="AF49" i="20"/>
  <c r="AF42" i="20"/>
  <c r="L38" i="20"/>
  <c r="U34" i="20"/>
  <c r="U53" i="20" s="1"/>
  <c r="U57" i="20" s="1"/>
  <c r="T46" i="20"/>
  <c r="V46" i="20" s="1"/>
  <c r="O126" i="20"/>
  <c r="O37" i="20" s="1"/>
  <c r="O34" i="20" s="1"/>
  <c r="O53" i="20" s="1"/>
  <c r="O57" i="20" s="1"/>
  <c r="N126" i="20"/>
  <c r="N37" i="20" s="1"/>
  <c r="L126" i="20"/>
  <c r="L37" i="20" s="1"/>
  <c r="M126" i="20"/>
  <c r="M37" i="20" s="1"/>
  <c r="M34" i="20" s="1"/>
  <c r="M53" i="20" s="1"/>
  <c r="M57" i="20" s="1"/>
  <c r="N48" i="20"/>
  <c r="P48" i="20" s="1"/>
  <c r="N41" i="20"/>
  <c r="P41" i="20" s="1"/>
  <c r="P22" i="20"/>
  <c r="AB28" i="20"/>
  <c r="AF28" i="20"/>
  <c r="H46" i="20"/>
  <c r="J46" i="20" s="1"/>
  <c r="J47" i="20"/>
  <c r="G46" i="18"/>
  <c r="N28" i="20"/>
  <c r="P28" i="20" s="1"/>
  <c r="P166" i="20" s="1"/>
  <c r="P30" i="20"/>
  <c r="R38" i="20"/>
  <c r="R34" i="20" s="1"/>
  <c r="AF44" i="20"/>
  <c r="AF51" i="20"/>
  <c r="V37" i="20"/>
  <c r="T39" i="20"/>
  <c r="T38" i="20" s="1"/>
  <c r="J68" i="18"/>
  <c r="J72" i="18" s="1"/>
  <c r="J34" i="18"/>
  <c r="H46" i="18"/>
  <c r="H35" i="18"/>
  <c r="P51" i="18"/>
  <c r="U47" i="18"/>
  <c r="K47" i="18"/>
  <c r="K35" i="18" s="1"/>
  <c r="B9" i="21" s="1"/>
  <c r="G31" i="21" s="1"/>
  <c r="I46" i="18"/>
  <c r="K51" i="18"/>
  <c r="K36" i="18" s="1"/>
  <c r="B10" i="21" s="1"/>
  <c r="G32" i="21" s="1"/>
  <c r="AG29" i="18"/>
  <c r="AG30" i="18"/>
  <c r="AG31" i="18"/>
  <c r="AG32" i="18"/>
  <c r="W50" i="18"/>
  <c r="AG40" i="18"/>
  <c r="AE28" i="18"/>
  <c r="V139" i="18"/>
  <c r="T50" i="18"/>
  <c r="E32" i="17"/>
  <c r="E36" i="17" s="1"/>
  <c r="G36" i="17" s="1"/>
  <c r="AC30" i="17"/>
  <c r="AE30" i="17" s="1"/>
  <c r="AF30" i="17" s="1"/>
  <c r="AC25" i="17"/>
  <c r="AE25" i="17" s="1"/>
  <c r="AF25" i="17" s="1"/>
  <c r="AN18" i="18"/>
  <c r="AA18" i="18" s="1"/>
  <c r="Z18" i="18"/>
  <c r="AC31" i="17"/>
  <c r="AE31" i="17" s="1"/>
  <c r="AF31" i="17" s="1"/>
  <c r="AK21" i="18"/>
  <c r="AK54" i="18" s="1"/>
  <c r="AM54" i="18" s="1"/>
  <c r="AK42" i="18"/>
  <c r="AK45" i="18"/>
  <c r="AM45" i="18" s="1"/>
  <c r="AN45" i="18" s="1"/>
  <c r="AK41" i="18"/>
  <c r="AK43" i="18"/>
  <c r="AK23" i="18"/>
  <c r="AK56" i="18" s="1"/>
  <c r="AM56" i="18" s="1"/>
  <c r="AK25" i="18"/>
  <c r="AK58" i="18" s="1"/>
  <c r="AM58" i="18" s="1"/>
  <c r="AK24" i="18"/>
  <c r="AK57" i="18" s="1"/>
  <c r="AM57" i="18" s="1"/>
  <c r="AK22" i="18"/>
  <c r="AK55" i="18" s="1"/>
  <c r="AK44" i="18"/>
  <c r="AK67" i="18"/>
  <c r="AM20" i="18"/>
  <c r="K52" i="18"/>
  <c r="AG62" i="18"/>
  <c r="AE20" i="17"/>
  <c r="AF20" i="17" s="1"/>
  <c r="AC26" i="17"/>
  <c r="AE26" i="17" s="1"/>
  <c r="AF26" i="17" s="1"/>
  <c r="AC24" i="17"/>
  <c r="AE24" i="17" s="1"/>
  <c r="AF24" i="17" s="1"/>
  <c r="AC23" i="17"/>
  <c r="AE23" i="17" s="1"/>
  <c r="AF23" i="17" s="1"/>
  <c r="AC27" i="17"/>
  <c r="AE27" i="17" s="1"/>
  <c r="AF27" i="17" s="1"/>
  <c r="K28" i="17"/>
  <c r="M28" i="17" s="1"/>
  <c r="M29" i="17"/>
  <c r="K22" i="17"/>
  <c r="M23" i="17"/>
  <c r="AE29" i="17"/>
  <c r="Y29" i="17"/>
  <c r="U28" i="17"/>
  <c r="O28" i="17"/>
  <c r="S29" i="17"/>
  <c r="AA32" i="17"/>
  <c r="L36" i="17"/>
  <c r="T36" i="18" l="1"/>
  <c r="N51" i="18"/>
  <c r="N36" i="18" s="1"/>
  <c r="AE51" i="18"/>
  <c r="AK53" i="18"/>
  <c r="AM55" i="18"/>
  <c r="AN55" i="18" s="1"/>
  <c r="AI51" i="18"/>
  <c r="Q68" i="18"/>
  <c r="Q72" i="18" s="1"/>
  <c r="R50" i="18"/>
  <c r="AG28" i="18"/>
  <c r="AB166" i="20"/>
  <c r="R47" i="18"/>
  <c r="R35" i="18" s="1"/>
  <c r="C9" i="21" s="1"/>
  <c r="H31" i="21" s="1"/>
  <c r="N46" i="18"/>
  <c r="N34" i="18" s="1"/>
  <c r="AF157" i="18"/>
  <c r="AL157" i="18"/>
  <c r="O35" i="18"/>
  <c r="AD23" i="20"/>
  <c r="AH23" i="20" s="1"/>
  <c r="AI23" i="20" s="1"/>
  <c r="AD31" i="20"/>
  <c r="AH31" i="20" s="1"/>
  <c r="AI31" i="20" s="1"/>
  <c r="AD35" i="20"/>
  <c r="AH35" i="20" s="1"/>
  <c r="AI35" i="20" s="1"/>
  <c r="AD21" i="20"/>
  <c r="AD40" i="20" s="1"/>
  <c r="AD33" i="20"/>
  <c r="AH33" i="20" s="1"/>
  <c r="AI33" i="20" s="1"/>
  <c r="AH20" i="20"/>
  <c r="AI20" i="20" s="1"/>
  <c r="AB127" i="20" s="1"/>
  <c r="AB126" i="20" s="1"/>
  <c r="G32" i="17"/>
  <c r="AD55" i="20"/>
  <c r="AH55" i="20" s="1"/>
  <c r="AD32" i="20"/>
  <c r="AH32" i="20" s="1"/>
  <c r="AI32" i="20" s="1"/>
  <c r="AD29" i="20"/>
  <c r="AH29" i="20" s="1"/>
  <c r="AI29" i="20" s="1"/>
  <c r="AD22" i="20"/>
  <c r="AH22" i="20" s="1"/>
  <c r="AI22" i="20" s="1"/>
  <c r="AD24" i="20"/>
  <c r="AD43" i="20" s="1"/>
  <c r="AH43" i="20" s="1"/>
  <c r="AI43" i="20" s="1"/>
  <c r="AD52" i="20"/>
  <c r="AH52" i="20" s="1"/>
  <c r="AI52" i="20" s="1"/>
  <c r="AD25" i="20"/>
  <c r="AD51" i="20" s="1"/>
  <c r="AH51" i="20" s="1"/>
  <c r="AI51" i="20" s="1"/>
  <c r="V39" i="20"/>
  <c r="V38" i="20"/>
  <c r="V174" i="20" s="1"/>
  <c r="R53" i="20"/>
  <c r="AB39" i="20"/>
  <c r="X38" i="20"/>
  <c r="AB38" i="20" s="1"/>
  <c r="AF39" i="20"/>
  <c r="AF38" i="20" s="1"/>
  <c r="AC28" i="17"/>
  <c r="AE28" i="17" s="1"/>
  <c r="F57" i="20"/>
  <c r="P37" i="20"/>
  <c r="L34" i="20"/>
  <c r="H38" i="20"/>
  <c r="J39" i="20"/>
  <c r="G34" i="18"/>
  <c r="G68" i="18"/>
  <c r="G72" i="18" s="1"/>
  <c r="AF46" i="20"/>
  <c r="N46" i="20"/>
  <c r="P46" i="20" s="1"/>
  <c r="P47" i="20"/>
  <c r="T34" i="20"/>
  <c r="T53" i="20" s="1"/>
  <c r="T57" i="20" s="1"/>
  <c r="N39" i="20"/>
  <c r="P40" i="20"/>
  <c r="O68" i="18"/>
  <c r="O72" i="18" s="1"/>
  <c r="O34" i="18"/>
  <c r="H68" i="18"/>
  <c r="H72" i="18" s="1"/>
  <c r="H34" i="18"/>
  <c r="K46" i="18"/>
  <c r="I34" i="18"/>
  <c r="U46" i="18"/>
  <c r="U35" i="18"/>
  <c r="P46" i="18"/>
  <c r="P36" i="18"/>
  <c r="AM67" i="18"/>
  <c r="AK37" i="18"/>
  <c r="AM48" i="18"/>
  <c r="AN48" i="18" s="1"/>
  <c r="X50" i="18"/>
  <c r="T47" i="18"/>
  <c r="T35" i="18" s="1"/>
  <c r="W47" i="18"/>
  <c r="V36" i="18"/>
  <c r="I68" i="18"/>
  <c r="AK29" i="18"/>
  <c r="AM43" i="18"/>
  <c r="AK31" i="18"/>
  <c r="AM44" i="18"/>
  <c r="AK32" i="18"/>
  <c r="AM42" i="18"/>
  <c r="AK30" i="18"/>
  <c r="AN20" i="18"/>
  <c r="AA20" i="18" s="1"/>
  <c r="E5" i="21" s="1"/>
  <c r="J27" i="21" s="1"/>
  <c r="Z20" i="18"/>
  <c r="AK40" i="18"/>
  <c r="AM41" i="18"/>
  <c r="AI36" i="18"/>
  <c r="AK62" i="18"/>
  <c r="AM21" i="18"/>
  <c r="AN21" i="18" s="1"/>
  <c r="AN58" i="18"/>
  <c r="AK66" i="18"/>
  <c r="AM66" i="18" s="1"/>
  <c r="AN66" i="18" s="1"/>
  <c r="AM25" i="18"/>
  <c r="AN25" i="18" s="1"/>
  <c r="AN56" i="18"/>
  <c r="AK64" i="18"/>
  <c r="AM64" i="18" s="1"/>
  <c r="AN64" i="18" s="1"/>
  <c r="AM23" i="18"/>
  <c r="AN23" i="18" s="1"/>
  <c r="AK63" i="18"/>
  <c r="AM63" i="18" s="1"/>
  <c r="AN63" i="18" s="1"/>
  <c r="AM22" i="18"/>
  <c r="AN22" i="18" s="1"/>
  <c r="AN57" i="18"/>
  <c r="AK65" i="18"/>
  <c r="AM65" i="18" s="1"/>
  <c r="AN65" i="18" s="1"/>
  <c r="AM24" i="18"/>
  <c r="AN24" i="18" s="1"/>
  <c r="AC22" i="17"/>
  <c r="AF29" i="17"/>
  <c r="K32" i="17"/>
  <c r="M22" i="17"/>
  <c r="AA36" i="17"/>
  <c r="O32" i="17"/>
  <c r="S28" i="17"/>
  <c r="Y28" i="17"/>
  <c r="U32" i="17"/>
  <c r="R51" i="18" l="1"/>
  <c r="R36" i="18" s="1"/>
  <c r="C10" i="21" s="1"/>
  <c r="H32" i="21" s="1"/>
  <c r="AD47" i="20"/>
  <c r="AK61" i="18"/>
  <c r="AM61" i="18" s="1"/>
  <c r="AN61" i="18" s="1"/>
  <c r="AL59" i="18"/>
  <c r="AF59" i="18"/>
  <c r="AK52" i="18"/>
  <c r="AM53" i="18"/>
  <c r="N68" i="18"/>
  <c r="AI55" i="20"/>
  <c r="AI169" i="20" s="1"/>
  <c r="AH169" i="20"/>
  <c r="AD49" i="20"/>
  <c r="AH49" i="20" s="1"/>
  <c r="AI49" i="20" s="1"/>
  <c r="AD42" i="20"/>
  <c r="AH42" i="20" s="1"/>
  <c r="AI42" i="20" s="1"/>
  <c r="AH21" i="20"/>
  <c r="AI21" i="20" s="1"/>
  <c r="AH127" i="20"/>
  <c r="AH126" i="20" s="1"/>
  <c r="AF126" i="20" s="1"/>
  <c r="AF37" i="20" s="1"/>
  <c r="AF34" i="20" s="1"/>
  <c r="AF53" i="20" s="1"/>
  <c r="AF57" i="20" s="1"/>
  <c r="AH25" i="20"/>
  <c r="AI25" i="20" s="1"/>
  <c r="AD28" i="20"/>
  <c r="AH28" i="20" s="1"/>
  <c r="AI28" i="20" s="1"/>
  <c r="K34" i="18"/>
  <c r="B8" i="21" s="1"/>
  <c r="G30" i="21" s="1"/>
  <c r="B14" i="21"/>
  <c r="G36" i="21" s="1"/>
  <c r="AD41" i="20"/>
  <c r="AH41" i="20" s="1"/>
  <c r="AI41" i="20" s="1"/>
  <c r="AH24" i="20"/>
  <c r="AI24" i="20" s="1"/>
  <c r="AD50" i="20"/>
  <c r="AH50" i="20" s="1"/>
  <c r="AI50" i="20" s="1"/>
  <c r="AD44" i="20"/>
  <c r="AH44" i="20" s="1"/>
  <c r="AI44" i="20" s="1"/>
  <c r="AD48" i="20"/>
  <c r="AH48" i="20" s="1"/>
  <c r="AI48" i="20" s="1"/>
  <c r="AC32" i="17"/>
  <c r="AC36" i="17" s="1"/>
  <c r="AE36" i="17" s="1"/>
  <c r="AG142" i="18"/>
  <c r="AM142" i="18" s="1"/>
  <c r="AM141" i="18" s="1"/>
  <c r="AK141" i="18" s="1"/>
  <c r="AK50" i="18" s="1"/>
  <c r="AK47" i="18" s="1"/>
  <c r="AK35" i="18" s="1"/>
  <c r="AF28" i="17"/>
  <c r="N38" i="20"/>
  <c r="P39" i="20"/>
  <c r="X126" i="20"/>
  <c r="X37" i="20" s="1"/>
  <c r="Y126" i="20"/>
  <c r="Y37" i="20" s="1"/>
  <c r="Y34" i="20" s="1"/>
  <c r="Y53" i="20" s="1"/>
  <c r="Y57" i="20" s="1"/>
  <c r="AA126" i="20"/>
  <c r="AA37" i="20" s="1"/>
  <c r="AA34" i="20" s="1"/>
  <c r="AA53" i="20" s="1"/>
  <c r="AA57" i="20" s="1"/>
  <c r="Z126" i="20"/>
  <c r="Z37" i="20" s="1"/>
  <c r="Z34" i="20" s="1"/>
  <c r="Z53" i="20" s="1"/>
  <c r="Z57" i="20" s="1"/>
  <c r="AH40" i="20"/>
  <c r="AI40" i="20" s="1"/>
  <c r="K68" i="18"/>
  <c r="AH47" i="20"/>
  <c r="AI47" i="20" s="1"/>
  <c r="L53" i="20"/>
  <c r="AE22" i="17"/>
  <c r="AF22" i="17" s="1"/>
  <c r="H34" i="20"/>
  <c r="H53" i="20" s="1"/>
  <c r="J38" i="20"/>
  <c r="V53" i="20"/>
  <c r="R57" i="20"/>
  <c r="V57" i="20" s="1"/>
  <c r="V34" i="20"/>
  <c r="P68" i="18"/>
  <c r="P72" i="18" s="1"/>
  <c r="P34" i="18"/>
  <c r="U68" i="18"/>
  <c r="U72" i="18" s="1"/>
  <c r="U34" i="18"/>
  <c r="W46" i="18"/>
  <c r="W35" i="18"/>
  <c r="AN67" i="18"/>
  <c r="AN37" i="18" s="1"/>
  <c r="E11" i="21" s="1"/>
  <c r="J33" i="21" s="1"/>
  <c r="AM37" i="18"/>
  <c r="R46" i="18"/>
  <c r="I72" i="18"/>
  <c r="K72" i="18" s="1"/>
  <c r="X47" i="18"/>
  <c r="X35" i="18" s="1"/>
  <c r="D9" i="21" s="1"/>
  <c r="I31" i="21" s="1"/>
  <c r="T46" i="18"/>
  <c r="V46" i="18"/>
  <c r="V34" i="18" s="1"/>
  <c r="X36" i="18"/>
  <c r="D10" i="21" s="1"/>
  <c r="I32" i="21" s="1"/>
  <c r="E4" i="21"/>
  <c r="J26" i="21" s="1"/>
  <c r="AM40" i="18"/>
  <c r="AK28" i="18"/>
  <c r="AN42" i="18"/>
  <c r="AN30" i="18" s="1"/>
  <c r="AM30" i="18"/>
  <c r="AN44" i="18"/>
  <c r="AN32" i="18" s="1"/>
  <c r="AM32" i="18"/>
  <c r="AN41" i="18"/>
  <c r="AN29" i="18" s="1"/>
  <c r="AM29" i="18"/>
  <c r="AN43" i="18"/>
  <c r="AN31" i="18" s="1"/>
  <c r="AM31" i="18"/>
  <c r="AM62" i="18"/>
  <c r="AN62" i="18" s="1"/>
  <c r="N72" i="18"/>
  <c r="AN54" i="18"/>
  <c r="K36" i="17"/>
  <c r="M36" i="17" s="1"/>
  <c r="M32" i="17"/>
  <c r="U36" i="17"/>
  <c r="Y36" i="17" s="1"/>
  <c r="Y32" i="17"/>
  <c r="O36" i="17"/>
  <c r="S36" i="17" s="1"/>
  <c r="S32" i="17"/>
  <c r="AK51" i="18" l="1"/>
  <c r="AG59" i="18"/>
  <c r="AF52" i="18"/>
  <c r="AM59" i="18"/>
  <c r="AN59" i="18" s="1"/>
  <c r="AL52" i="18"/>
  <c r="AL51" i="18" s="1"/>
  <c r="AL36" i="18" s="1"/>
  <c r="J34" i="20"/>
  <c r="J167" i="20" s="1"/>
  <c r="J174" i="20"/>
  <c r="J175" i="20" s="1"/>
  <c r="AH166" i="20"/>
  <c r="B18" i="21"/>
  <c r="B16" i="21"/>
  <c r="AG126" i="20"/>
  <c r="AG37" i="20" s="1"/>
  <c r="AG34" i="20" s="1"/>
  <c r="AG53" i="20" s="1"/>
  <c r="AG57" i="20" s="1"/>
  <c r="AD126" i="20"/>
  <c r="AD37" i="20" s="1"/>
  <c r="AE126" i="20"/>
  <c r="AE37" i="20" s="1"/>
  <c r="AE34" i="20" s="1"/>
  <c r="AE53" i="20" s="1"/>
  <c r="AE57" i="20" s="1"/>
  <c r="AD39" i="20"/>
  <c r="AH39" i="20" s="1"/>
  <c r="AI39" i="20" s="1"/>
  <c r="R34" i="18"/>
  <c r="C8" i="21" s="1"/>
  <c r="H30" i="21" s="1"/>
  <c r="C14" i="21"/>
  <c r="H36" i="21" s="1"/>
  <c r="AG141" i="18"/>
  <c r="AD141" i="18" s="1"/>
  <c r="AD50" i="18" s="1"/>
  <c r="AD47" i="18" s="1"/>
  <c r="AD46" i="20"/>
  <c r="AH46" i="20" s="1"/>
  <c r="AI46" i="20" s="1"/>
  <c r="AE32" i="17"/>
  <c r="AF32" i="17" s="1"/>
  <c r="AI141" i="18"/>
  <c r="AI50" i="18" s="1"/>
  <c r="AI47" i="18" s="1"/>
  <c r="AI35" i="18" s="1"/>
  <c r="AL141" i="18"/>
  <c r="AL50" i="18" s="1"/>
  <c r="AL47" i="18" s="1"/>
  <c r="AJ141" i="18"/>
  <c r="AJ50" i="18" s="1"/>
  <c r="AJ47" i="18" s="1"/>
  <c r="AB37" i="20"/>
  <c r="X34" i="20"/>
  <c r="H57" i="20"/>
  <c r="J57" i="20" s="1"/>
  <c r="J170" i="20" s="1"/>
  <c r="J53" i="20"/>
  <c r="J168" i="20" s="1"/>
  <c r="J173" i="20" s="1"/>
  <c r="L57" i="20"/>
  <c r="P38" i="20"/>
  <c r="P174" i="20" s="1"/>
  <c r="P175" i="20" s="1"/>
  <c r="N34" i="20"/>
  <c r="R68" i="18"/>
  <c r="R72" i="18"/>
  <c r="W68" i="18"/>
  <c r="W72" i="18" s="1"/>
  <c r="W34" i="18"/>
  <c r="T68" i="18"/>
  <c r="T72" i="18" s="1"/>
  <c r="T34" i="18"/>
  <c r="AE36" i="18"/>
  <c r="X46" i="18"/>
  <c r="V68" i="18"/>
  <c r="AN40" i="18"/>
  <c r="AI166" i="20" s="1"/>
  <c r="AM28" i="18"/>
  <c r="AF36" i="17"/>
  <c r="AN53" i="18"/>
  <c r="G38" i="21" l="1"/>
  <c r="B62" i="21"/>
  <c r="G40" i="21"/>
  <c r="B63" i="21"/>
  <c r="AM52" i="18"/>
  <c r="AF51" i="18"/>
  <c r="AG52" i="18"/>
  <c r="AM51" i="18"/>
  <c r="V167" i="20"/>
  <c r="V175" i="20"/>
  <c r="C16" i="21"/>
  <c r="AH37" i="20"/>
  <c r="AI37" i="20" s="1"/>
  <c r="AF141" i="18"/>
  <c r="AF50" i="18" s="1"/>
  <c r="AF47" i="18" s="1"/>
  <c r="AE141" i="18"/>
  <c r="AE50" i="18" s="1"/>
  <c r="AE47" i="18" s="1"/>
  <c r="AC141" i="18"/>
  <c r="AC50" i="18" s="1"/>
  <c r="AD38" i="20"/>
  <c r="AH38" i="20" s="1"/>
  <c r="AI38" i="20" s="1"/>
  <c r="X34" i="18"/>
  <c r="D8" i="21" s="1"/>
  <c r="I30" i="21" s="1"/>
  <c r="D14" i="21"/>
  <c r="I36" i="21" s="1"/>
  <c r="R73" i="18"/>
  <c r="R74" i="18" s="1"/>
  <c r="C18" i="21"/>
  <c r="AN28" i="18"/>
  <c r="E7" i="21" s="1"/>
  <c r="J29" i="21" s="1"/>
  <c r="E13" i="21"/>
  <c r="J35" i="21" s="1"/>
  <c r="AI46" i="18"/>
  <c r="AI34" i="18" s="1"/>
  <c r="AM50" i="18"/>
  <c r="N53" i="20"/>
  <c r="P34" i="20"/>
  <c r="P167" i="20" s="1"/>
  <c r="AB34" i="20"/>
  <c r="X53" i="20"/>
  <c r="AJ46" i="18"/>
  <c r="AJ35" i="18"/>
  <c r="AL46" i="18"/>
  <c r="AL35" i="18"/>
  <c r="AD46" i="18"/>
  <c r="AD35" i="18"/>
  <c r="AN52" i="18"/>
  <c r="AK36" i="18"/>
  <c r="AM47" i="18"/>
  <c r="AM35" i="18" s="1"/>
  <c r="V72" i="18"/>
  <c r="X72" i="18" s="1"/>
  <c r="X68" i="18"/>
  <c r="H38" i="21" l="1"/>
  <c r="C62" i="21"/>
  <c r="H40" i="21"/>
  <c r="C63" i="21"/>
  <c r="AG51" i="18"/>
  <c r="AG36" i="18" s="1"/>
  <c r="AF36" i="18"/>
  <c r="D16" i="21"/>
  <c r="V168" i="20"/>
  <c r="V173" i="20" s="1"/>
  <c r="D18" i="21"/>
  <c r="V170" i="20"/>
  <c r="AG50" i="18"/>
  <c r="AN50" i="18" s="1"/>
  <c r="AC47" i="18"/>
  <c r="AC35" i="18" s="1"/>
  <c r="AD34" i="20"/>
  <c r="AD53" i="20" s="1"/>
  <c r="AI68" i="18"/>
  <c r="AI72" i="18" s="1"/>
  <c r="AH34" i="20"/>
  <c r="AI34" i="20" s="1"/>
  <c r="X57" i="20"/>
  <c r="AB57" i="20" s="1"/>
  <c r="AB53" i="20"/>
  <c r="AB168" i="20" s="1"/>
  <c r="AB173" i="20" s="1"/>
  <c r="N57" i="20"/>
  <c r="P57" i="20" s="1"/>
  <c r="P53" i="20"/>
  <c r="P168" i="20" s="1"/>
  <c r="P173" i="20" s="1"/>
  <c r="AD68" i="18"/>
  <c r="AD72" i="18" s="1"/>
  <c r="AD34" i="18"/>
  <c r="AL68" i="18"/>
  <c r="AL72" i="18" s="1"/>
  <c r="AL34" i="18"/>
  <c r="AJ68" i="18"/>
  <c r="AJ72" i="18" s="1"/>
  <c r="AJ34" i="18"/>
  <c r="AF46" i="18"/>
  <c r="AF35" i="18"/>
  <c r="AE46" i="18"/>
  <c r="AE35" i="18"/>
  <c r="AK46" i="18"/>
  <c r="AK34" i="18" s="1"/>
  <c r="I40" i="21" l="1"/>
  <c r="D63" i="21"/>
  <c r="I38" i="21"/>
  <c r="D62" i="21"/>
  <c r="P58" i="20"/>
  <c r="P59" i="20" s="1"/>
  <c r="P170" i="20"/>
  <c r="AC46" i="18"/>
  <c r="AC34" i="18" s="1"/>
  <c r="AG47" i="18"/>
  <c r="AN47" i="18" s="1"/>
  <c r="AN35" i="18" s="1"/>
  <c r="E9" i="21" s="1"/>
  <c r="J31" i="21" s="1"/>
  <c r="AH53" i="20"/>
  <c r="AI53" i="20" s="1"/>
  <c r="AD57" i="20"/>
  <c r="AH57" i="20" s="1"/>
  <c r="AI57" i="20" s="1"/>
  <c r="AE68" i="18"/>
  <c r="AE72" i="18" s="1"/>
  <c r="AE34" i="18"/>
  <c r="AF68" i="18"/>
  <c r="AF72" i="18" s="1"/>
  <c r="AF34" i="18"/>
  <c r="AN51" i="18"/>
  <c r="AN36" i="18" s="1"/>
  <c r="E10" i="21" s="1"/>
  <c r="J32" i="21" s="1"/>
  <c r="AM36" i="18"/>
  <c r="AM46" i="18"/>
  <c r="AK68" i="18"/>
  <c r="AC68" i="18" l="1"/>
  <c r="AG46" i="18"/>
  <c r="AG34" i="18" s="1"/>
  <c r="AG35" i="18"/>
  <c r="AB167" i="20"/>
  <c r="AM34" i="18"/>
  <c r="AH167" i="20"/>
  <c r="AG68" i="18"/>
  <c r="AC72" i="18"/>
  <c r="AG72" i="18" s="1"/>
  <c r="AB170" i="20" s="1"/>
  <c r="AK72" i="18"/>
  <c r="AM72" i="18" s="1"/>
  <c r="AH170" i="20" s="1"/>
  <c r="AM68" i="18"/>
  <c r="AH168" i="20" s="1"/>
  <c r="AH173" i="20" s="1"/>
  <c r="AN46" i="18"/>
  <c r="AI167" i="20" s="1"/>
  <c r="AN72" i="18" l="1"/>
  <c r="AN68" i="18"/>
  <c r="AN34" i="18"/>
  <c r="E8" i="21" s="1"/>
  <c r="J30" i="21" s="1"/>
  <c r="E14" i="21"/>
  <c r="J36" i="21" s="1"/>
  <c r="E16" i="21" l="1"/>
  <c r="AI168" i="20"/>
  <c r="AI173" i="20" s="1"/>
  <c r="E18" i="21"/>
  <c r="AI170" i="20"/>
  <c r="J40" i="21" l="1"/>
  <c r="E63" i="21"/>
  <c r="J38" i="21"/>
  <c r="E62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F4" authorId="0" shapeId="0" xr:uid="{9CA93FB8-3405-8741-8507-0E0C0A84F8B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не очищенная база от пересечений с МПС и Точкой</t>
        </r>
      </text>
    </comment>
    <comment ref="I4" authorId="0" shapeId="0" xr:uid="{ED022DD2-213D-D74F-90FA-4DCB1C94A4C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бизнес-модель Карины</t>
        </r>
      </text>
    </comment>
    <comment ref="J4" authorId="0" shapeId="0" xr:uid="{B77A9DD8-FC02-EA47-92FD-E514AA3A239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бизнес-модель Карины
</t>
        </r>
      </text>
    </comment>
    <comment ref="I5" authorId="0" shapeId="0" xr:uid="{A964D76F-9A68-F94E-929F-E4CD7EB25050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из базы сегмента  - придут за МПС</t>
        </r>
      </text>
    </comment>
    <comment ref="J5" authorId="0" shapeId="0" xr:uid="{ABD0DFC5-28A3-4941-838A-29AC7076524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из базы сегмента  - придут за МПС
</t>
        </r>
      </text>
    </comment>
    <comment ref="F6" authorId="0" shapeId="0" xr:uid="{4E0654C9-7C77-B74E-A03C-98CA435DF72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M6" authorId="0" shapeId="0" xr:uid="{F9299F2D-830A-5D44-B56E-E784913EF5C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S6" authorId="0" shapeId="0" xr:uid="{144CAA39-F5E2-B24C-A0CF-3AC1A7280FA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F13" authorId="0" shapeId="0" xr:uid="{75D3CE2E-62BB-1248-A17A-4F087785E82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 xml:space="preserve">- селлер - есть рега на МП (озон вб яндекс)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CR </t>
        </r>
        <r>
          <rPr>
            <sz val="10"/>
            <color rgb="FF000000"/>
            <rFont val="Calibri"/>
            <family val="2"/>
          </rPr>
          <t xml:space="preserve">в дозвон холодня база Т - </t>
        </r>
        <r>
          <rPr>
            <sz val="10"/>
            <color rgb="FF000000"/>
            <rFont val="Calibri"/>
            <family val="2"/>
          </rPr>
          <t>65</t>
        </r>
        <r>
          <rPr>
            <sz val="10"/>
            <color rgb="FF000000"/>
            <rFont val="Calibri"/>
            <family val="2"/>
          </rPr>
          <t>%. гипотеза теплые - 75</t>
        </r>
        <r>
          <rPr>
            <sz val="10"/>
            <color rgb="FF000000"/>
            <rFont val="Calibri"/>
            <family val="2"/>
          </rPr>
          <t>%</t>
        </r>
      </text>
    </comment>
    <comment ref="M13" authorId="0" shapeId="0" xr:uid="{3B6AB549-D2FE-8842-9B41-006256E290B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>- селлер - есть рега на МП (озон вб яндекс)</t>
        </r>
      </text>
    </comment>
    <comment ref="M18" authorId="0" shapeId="0" xr:uid="{2A5A8015-CED7-F741-BA38-EAAA437E225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CR в первую оплату
</t>
        </r>
        <r>
          <rPr>
            <sz val="10"/>
            <color rgb="FF000000"/>
            <rFont val="Tahoma"/>
            <family val="2"/>
            <charset val="204"/>
          </rPr>
          <t xml:space="preserve">На данных - автосписания дают аплифт в 2 раза (посомтрели до фичи и после)
</t>
        </r>
        <r>
          <rPr>
            <sz val="10"/>
            <color rgb="FF000000"/>
            <rFont val="Calibri"/>
            <family val="2"/>
          </rPr>
          <t xml:space="preserve">гипотеза - в 1,5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Повторные оплатв
</t>
        </r>
        <r>
          <rPr>
            <sz val="10"/>
            <color rgb="FF000000"/>
            <rFont val="Calibri"/>
            <family val="2"/>
          </rPr>
          <t xml:space="preserve">+ к LT за счет механизма достписаний при недостатке ДС
</t>
        </r>
        <r>
          <rPr>
            <sz val="10"/>
            <color rgb="FF000000"/>
            <rFont val="Calibri"/>
            <family val="2"/>
          </rPr>
          <t xml:space="preserve">На данных - 0.7 мес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S18" authorId="0" shapeId="0" xr:uid="{5ED869BE-20B3-E64F-AF45-0586C3C2965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текущий CR (усредненный янв-мар 2026)</t>
        </r>
      </text>
    </comment>
    <comment ref="F19" authorId="0" shapeId="0" xr:uid="{D5B77F99-AAF6-8C48-ADF0-F84B639795A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CR - digital канал Т</t>
        </r>
      </text>
    </comment>
    <comment ref="M19" authorId="0" shapeId="0" xr:uid="{73E9FCCC-26FC-2247-826C-5D68A6152726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CR - digital канал Т</t>
        </r>
      </text>
    </comment>
    <comment ref="A52" authorId="0" shapeId="0" xr:uid="{4DF53953-48C2-EF48-9D8F-E8F7B5C16CB0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расходы на платящих пользователй + лидов</t>
        </r>
      </text>
    </comment>
    <comment ref="A60" authorId="0" shapeId="0" xr:uid="{14CA8428-7BF6-9D42-978A-B5EA86249F0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из расчета 35% от лидов оставят API</t>
        </r>
      </text>
    </comment>
    <comment ref="A61" authorId="0" shapeId="0" xr:uid="{8E0C6852-C1E7-354F-AFDC-241C34D9C15B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пока взяли расходы МПС + заложили главную Селлер</t>
        </r>
      </text>
    </comment>
    <comment ref="A67" authorId="0" shapeId="0" xr:uid="{0A082094-4004-AA47-9074-787E9820C5F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вероятно выставленеи счетов, коммуникации</t>
        </r>
      </text>
    </comment>
    <comment ref="G70" authorId="0" shapeId="0" xr:uid="{72EC2F13-40EC-7C49-A2E9-0A5682DC90B0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уже получаем доход с др продуктов Банка</t>
        </r>
      </text>
    </comment>
    <comment ref="I70" authorId="0" shapeId="0" xr:uid="{C1F2A0E4-A39A-B849-BD0C-327BAAC1E2F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из расчета на кол-во клиентво в инкременте (из бизнес модели Крины) - клиенты проснулись  в РКО из-за МПС</t>
        </r>
      </text>
    </comment>
    <comment ref="J70" authorId="0" shapeId="0" xr:uid="{F6E7AEEB-1C0E-E749-9F97-5A0DE17951A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из расчета на кол-во клиентво в инкременте (из бизнес модели Крины) - клиенты открвли  РКО из-за МПС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R70" authorId="0" shapeId="0" xr:uid="{50A55520-2686-7349-8891-0AB5FFCD240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LTV тарифов МПС выше на за счет ковенант</t>
        </r>
      </text>
    </comment>
    <comment ref="X70" authorId="0" shapeId="0" xr:uid="{C3C7A41A-CC0B-514D-89C7-4AF5040352F6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по клиентам с тарифом MPS LTV выше на 30% за счет ковенант)</t>
        </r>
      </text>
    </comment>
    <comment ref="AG70" authorId="0" shapeId="0" xr:uid="{CB5D83E9-6DA9-4541-869A-56ED01E657C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по клиентам с тарифом MPS LTV выше на 30% за счет ковенант)</t>
        </r>
      </text>
    </comment>
    <comment ref="AM70" authorId="0" shapeId="0" xr:uid="{560A53DA-E159-C247-A1CC-8BCA96B5019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LTV тарифов МПС выше на за счет ковенант</t>
        </r>
      </text>
    </comment>
    <comment ref="I80" authorId="0" shapeId="0" xr:uid="{70EDCBC1-B8F4-BF47-B134-5E20C8DC74F6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уточнить по сегменту (сейчас ср по 1 и 2 сегменту)</t>
        </r>
      </text>
    </comment>
    <comment ref="M87" authorId="0" shapeId="0" xr:uid="{E6AA54BE-0AEC-5E4E-8D69-E8967573F122}">
      <text>
        <r>
          <rPr>
            <b/>
            <sz val="10"/>
            <color rgb="FF000000"/>
            <rFont val="Tahoma"/>
            <family val="2"/>
            <charset val="204"/>
          </rPr>
          <t xml:space="preserve">y balabaeva:
</t>
        </r>
        <r>
          <rPr>
            <sz val="10"/>
            <color rgb="FF000000"/>
            <rFont val="Tahoma"/>
            <family val="2"/>
            <charset val="204"/>
          </rPr>
          <t xml:space="preserve">as is в Селлере - 35% оплат- досписания </t>
        </r>
        <r>
          <rPr>
            <sz val="10"/>
            <color rgb="FF000000"/>
            <rFont val="Calibri"/>
            <family val="2"/>
          </rPr>
          <t>с РКО  при недостатке средств в конце мес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Пока предположила LT </t>
        </r>
        <r>
          <rPr>
            <sz val="10"/>
            <color rgb="FF000000"/>
            <rFont val="Calibri"/>
            <family val="2"/>
          </rPr>
          <t xml:space="preserve">экспертно  + 1 мес к LT MPS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Какк уточнить гипотезу:
</t>
        </r>
        <r>
          <rPr>
            <sz val="10"/>
            <color rgb="FF000000"/>
            <rFont val="Calibri"/>
            <family val="2"/>
          </rPr>
          <t xml:space="preserve">1) как изменилось LT в Селлере после фичи досписания? (если не было запущено так изначлаьно)
</t>
        </r>
        <r>
          <rPr>
            <sz val="10"/>
            <color rgb="FF000000"/>
            <rFont val="Calibri"/>
            <family val="2"/>
          </rPr>
          <t xml:space="preserve">2) Бенчи
</t>
        </r>
      </text>
    </comment>
    <comment ref="M134" authorId="0" shapeId="0" xr:uid="{C7F76779-5BB6-5043-B991-C8CBC41843C6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S134" authorId="0" shapeId="0" xr:uid="{798E035C-C02D-4848-92AF-67ACBB2E38F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AB134" authorId="0" shapeId="0" xr:uid="{D6578670-9706-3444-883B-A9171E55836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AH134" authorId="0" shapeId="0" xr:uid="{3EF40AC3-1480-7146-9CD5-7699D32EB43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A141" authorId="0" shapeId="0" xr:uid="{156C6C68-D723-5F41-80D1-B774CB103A4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будет внешний маркетинг - ср 3 млн на медиа и тг каналы . внутренний маркетинг (почта, пуши и пр)  считается бесплатным каналом
</t>
        </r>
      </text>
    </comment>
    <comment ref="K141" authorId="0" shapeId="0" xr:uid="{280F6CB9-7209-4E4D-B7CF-008A6BFFEC1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если будет внешний маркетинг (3 млн на медиа и тг каналы). внутренний маркетинг считается бесплатным каналом</t>
        </r>
      </text>
    </comment>
    <comment ref="R141" authorId="0" shapeId="0" xr:uid="{03E397AA-B855-F44F-A254-A072B42A870B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если будет внешний маркетинг (3 млн на медиа и тг каналы). внутренний маркетинг считается бесплатным каналом</t>
        </r>
      </text>
    </comment>
    <comment ref="X141" authorId="0" shapeId="0" xr:uid="{340A5C87-7BA8-6A4E-95DB-187E94B0DBE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если будет внешний маркетинг (3 млн на медиа и тг каналы). внутренний маркетинг считается бесплатным каналом</t>
        </r>
      </text>
    </comment>
    <comment ref="AG141" authorId="0" shapeId="0" xr:uid="{C930AA89-DA78-224B-AADA-EE11D84F9D6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если будет внешний маркетинг (3 млн на медиа и тг каналы). внутренний маркетинг считается бесплатным каналом</t>
        </r>
      </text>
    </comment>
    <comment ref="AM141" authorId="0" shapeId="0" xr:uid="{DC6AB96B-D6E1-B04F-A0E1-2FC85C0439F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если будет внешний маркетинг (3 млн на медиа и тг каналы). внутренний маркетинг считается бесплатным каналом</t>
        </r>
      </text>
    </comment>
    <comment ref="A142" authorId="0" shapeId="0" xr:uid="{239C81EC-20AA-2C42-9402-4A37652087A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</t>
        </r>
      </text>
    </comment>
    <comment ref="G142" authorId="0" shapeId="0" xr:uid="{439BB069-3ED6-604D-A938-A0B3742EC31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предположение: из 14 дней пользователь в ср будет посещать сервис 4 дн</t>
        </r>
      </text>
    </comment>
    <comment ref="N142" authorId="0" shapeId="0" xr:uid="{B9BF1941-3FF3-7242-BA0D-7F1C20BC0CAB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предположение: из 14 дней пользователь в ср будет посещать сервис 4 дн</t>
        </r>
      </text>
    </comment>
    <comment ref="T142" authorId="0" shapeId="0" xr:uid="{BDFFB5C0-7D06-6846-9E65-D6C2B827862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предположение: из 14 дней пользователь в ср будет посещать сервис 4 дн</t>
        </r>
      </text>
    </comment>
    <comment ref="AC142" authorId="0" shapeId="0" xr:uid="{A850ECBF-9DD5-7746-8118-1E507B6818E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предположение: из 14 дней пользователь в ср будет посещать сервис 4 дн</t>
        </r>
      </text>
    </comment>
    <comment ref="AI142" authorId="0" shapeId="0" xr:uid="{9B09EEB8-54AD-6843-85C9-7F2ED7289C3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предположение: из 14 дней пользователь в ср будет посещать сервис 4 дн</t>
        </r>
      </text>
    </comment>
    <comment ref="A146" authorId="0" shapeId="0" xr:uid="{6ED4A588-A0EE-0948-9526-78A034D7479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2,7 р - стоимость на 1 пользователя в день от МПС на главную Селлер
</t>
        </r>
        <r>
          <rPr>
            <sz val="10"/>
            <color rgb="FF000000"/>
            <rFont val="Tahoma"/>
            <family val="2"/>
            <charset val="204"/>
          </rPr>
          <t xml:space="preserve">
9 заходов - данные Селлер (заложен небольшой рост)</t>
        </r>
      </text>
    </comment>
    <comment ref="G146" authorId="0" shapeId="0" xr:uid="{891D800E-56A7-FE4E-8CB4-C36DC92BC65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знаем что главная будет обходиться примерно 2.7 р в день на 1 пользователя. предполагаем что платящие будут посещать 9 дней в мес. итого 2.7*9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as is Селлер ср заходы на 1 платящего - 7,69. гипотеза - рос 20%, 9. </t>
        </r>
      </text>
    </comment>
    <comment ref="A147" authorId="0" shapeId="0" xr:uid="{1C2AFBFE-5347-2D4F-B6C5-E8E43574D1C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+mn-lt"/>
            <charset val="1"/>
          </rPr>
          <t>2,7 р - стоимость на 1 пользователя в день от МПС на главную Селлер</t>
        </r>
        <r>
          <rPr>
            <sz val="10"/>
            <color rgb="FF000000"/>
            <rFont val="+mn-lt"/>
            <charset val="1"/>
          </rPr>
          <t xml:space="preserve">
</t>
        </r>
        <r>
          <rPr>
            <sz val="10"/>
            <color rgb="FF000000"/>
            <rFont val="+mn-lt"/>
            <charset val="1"/>
          </rPr>
          <t xml:space="preserve">
2 заходов - данные Селлер (заложен небольшой рост)</t>
        </r>
        <r>
          <rPr>
            <sz val="10"/>
            <color rgb="FF000000"/>
            <rFont val="+mn-lt"/>
            <charset val="1"/>
          </rPr>
          <t xml:space="preserve">
</t>
        </r>
      </text>
    </comment>
    <comment ref="G147" authorId="0" shapeId="0" xr:uid="{F3477F5E-A677-D241-B999-3F611F387CA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знаем что главная будет обходиться примерно 2.7 р в день на 1 пользователя. предполагаем что лиды не платящие в ср зайдут в Селлер 2 раза 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As Is  в Селлер: среднее число заходов в Селлер в месяц на 1 неплатящего пользователя - 1,73 раза</t>
        </r>
        <r>
          <rPr>
            <sz val="10"/>
            <color rgb="FF000000"/>
            <rFont val="Calibri"/>
            <family val="2"/>
          </rPr>
          <t xml:space="preserve"> гипотеза - рост 20%, 2. </t>
        </r>
      </text>
    </comment>
    <comment ref="G148" authorId="0" shapeId="0" xr:uid="{B49848E6-51A9-FF42-9E78-F4CD8ECE641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знаем что главная будет обходиться примерно 2.7 р в день на 1 пользователя. предполагаем что лиды не платящие в ср зайдут в Селлер 2 раза 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As Is  в Селлер: среднее число заходов в Селлер в месяц на 1 неплатящего пользователя - 1,73 раза</t>
        </r>
        <r>
          <rPr>
            <sz val="10"/>
            <color rgb="FF000000"/>
            <rFont val="Calibri"/>
            <family val="2"/>
          </rPr>
          <t xml:space="preserve"> гипотеза - рост 20%, 2. </t>
        </r>
      </text>
    </comment>
    <comment ref="G149" authorId="0" shapeId="0" xr:uid="{0FAD736F-AA93-F944-A2BC-2B5CD9D9570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на данных Селлера AS IS  - 25% оставляют АПИ</t>
        </r>
      </text>
    </comment>
    <comment ref="A150" authorId="0" shapeId="0" xr:uid="{69427EC7-2C70-BA47-B96C-6EE41123C26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на данных Селлера</t>
        </r>
      </text>
    </comment>
    <comment ref="A171" authorId="0" shapeId="0" xr:uid="{30BD9B6C-52F1-1545-80BD-6C30439F8FD0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тут по названию - расходы на коммуникации , повторное выставление счетов</t>
        </r>
      </text>
    </comment>
    <comment ref="G174" authorId="0" shapeId="0" xr:uid="{52482554-ED83-9542-8961-242E9E0022D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 (на основе стоимсти API в мес на 1 платящего) - 212 р в мес /10 дней (предположение: ср посещение платного пользователя) = 21 р</t>
        </r>
      </text>
    </comment>
    <comment ref="N174" authorId="0" shapeId="0" xr:uid="{32721A67-E947-9A45-B6CF-C6773C07689B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 (на основе стоимсти API в мес на 1 платящего) - 212 р в мес /10 дней (предположение: ср посещение платного пользователя) = 21 р</t>
        </r>
      </text>
    </comment>
    <comment ref="T174" authorId="0" shapeId="0" xr:uid="{10834180-263E-1441-AFA7-7246246393BB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 (на основе стоимсти API в мес на 1 платящего) - 212 р в мес /10 дней (предположение: ср посещение платного пользователя) = 21 р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E4" authorId="0" shapeId="0" xr:uid="{57990256-0AEA-FF44-9E03-328E5BA23DE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не очищенная база от пересечений с МПС и Точкой</t>
        </r>
      </text>
    </comment>
    <comment ref="H4" authorId="0" shapeId="0" xr:uid="{2120CD6C-A059-0E40-AC57-4111230424A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бизнес-модель Карины</t>
        </r>
      </text>
    </comment>
    <comment ref="I4" authorId="0" shapeId="0" xr:uid="{1C05705B-E278-6440-9E17-F6C58F26C76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бизнес-модель Карины
</t>
        </r>
      </text>
    </comment>
    <comment ref="H5" authorId="0" shapeId="0" xr:uid="{A7B56479-4957-E245-A938-488B3C380EE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из базы сегмента  - придут за МПС</t>
        </r>
      </text>
    </comment>
    <comment ref="I5" authorId="0" shapeId="0" xr:uid="{BCA90DA4-D713-C349-884D-CBBDC75A81A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из базы сегмента  - придут за МПС
</t>
        </r>
      </text>
    </comment>
    <comment ref="E6" authorId="0" shapeId="0" xr:uid="{BFF556ED-BBEB-B54E-9250-4C02DFCCB3EB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K6" authorId="0" shapeId="0" xr:uid="{E082EC38-F576-8F4A-B83E-FE312CFD5CF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Q6" authorId="0" shapeId="0" xr:uid="{594793A0-E7A5-904C-86E8-43E8EC1B7B8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E13" authorId="0" shapeId="0" xr:uid="{96B533DE-631E-0049-8C35-AAEE5D58C86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>- селлер - есть рега на МП (озон вб яндекс)</t>
        </r>
      </text>
    </comment>
    <comment ref="K13" authorId="0" shapeId="0" xr:uid="{2B84ED33-6E07-A341-963D-B1AB6B44B580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>- селлер - есть рега на МП (озон вб яндекс)</t>
        </r>
      </text>
    </comment>
    <comment ref="K18" authorId="0" shapeId="0" xr:uid="{73ACFA4F-2CC9-F24C-9904-C7C25F53B49B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CR в первую оплату
</t>
        </r>
        <r>
          <rPr>
            <sz val="10"/>
            <color rgb="FF000000"/>
            <rFont val="Tahoma"/>
            <family val="2"/>
            <charset val="204"/>
          </rPr>
          <t xml:space="preserve">На данных - автосписания дают аплифт в 2 раза (посомтрели до фичи и после)
</t>
        </r>
        <r>
          <rPr>
            <sz val="10"/>
            <color rgb="FF000000"/>
            <rFont val="Calibri"/>
            <family val="2"/>
          </rPr>
          <t xml:space="preserve">гипотеза - в 1,5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Повторные оплатв
</t>
        </r>
        <r>
          <rPr>
            <sz val="10"/>
            <color rgb="FF000000"/>
            <rFont val="Calibri"/>
            <family val="2"/>
          </rPr>
          <t xml:space="preserve">+ к LT за счет механизма достписаний при недостатке ДС
</t>
        </r>
        <r>
          <rPr>
            <sz val="10"/>
            <color rgb="FF000000"/>
            <rFont val="Calibri"/>
            <family val="2"/>
          </rPr>
          <t xml:space="preserve">На данных - 0.7 мес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Q18" authorId="0" shapeId="0" xr:uid="{4BDDE579-C34E-B543-9861-4EA91AFF558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текущий CR (усредненный янв-мар 2026)</t>
        </r>
      </text>
    </comment>
    <comment ref="E19" authorId="0" shapeId="0" xr:uid="{9F430FA1-8800-204A-B929-CB8A3BE24BA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CR - digital канал Т</t>
        </r>
      </text>
    </comment>
    <comment ref="K19" authorId="0" shapeId="0" xr:uid="{41939952-4BA5-D946-92CE-A459B43D02A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CR - digital канал Т</t>
        </r>
      </text>
    </comment>
    <comment ref="A38" authorId="0" shapeId="0" xr:uid="{12F9F0C9-CCFD-3447-AFC8-16891A6E8D6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расходы на платящих пользователй + лидов</t>
        </r>
      </text>
    </comment>
    <comment ref="A45" authorId="0" shapeId="0" xr:uid="{12553A40-CC63-3B44-8B84-C8AA21F4B71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из расчета 35% от лидов оставят API</t>
        </r>
      </text>
    </comment>
    <comment ref="A46" authorId="0" shapeId="0" xr:uid="{4D8CA3E6-204C-1440-AEEF-E9571632DC3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пока взяли расходы МПС + заложили главную Селлер</t>
        </r>
      </text>
    </comment>
    <comment ref="A52" authorId="0" shapeId="0" xr:uid="{C53DAD27-C7F9-0548-A8F4-963BBDB6AB7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вероятно выставленеи счетов, коммуникации</t>
        </r>
      </text>
    </comment>
    <comment ref="F55" authorId="0" shapeId="0" xr:uid="{80F91EB6-1085-354E-B6E7-E87B3194A1A0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уже получаем доход с др продуктов Банка</t>
        </r>
      </text>
    </comment>
    <comment ref="H55" authorId="0" shapeId="0" xr:uid="{C1B58AE6-55E0-284B-9FBD-6A69BF53B74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из расчета на кол-во клиентво в инкременте (из бизнес модели Крины) - клиенты проснулись  в РКО из-за МПС</t>
        </r>
      </text>
    </comment>
    <comment ref="I55" authorId="0" shapeId="0" xr:uid="{E709413D-2E64-2B43-A673-01D6804EC0F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из расчета на кол-во клиентво в инкременте (из бизнес модели Крины) - клиенты открвли  РКО из-за МПС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P55" authorId="0" shapeId="0" xr:uid="{AB7FC6B8-5D5B-7842-B95D-24E044FF9A7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LTV тарифов МПС выше на за счет ковенант</t>
        </r>
      </text>
    </comment>
    <comment ref="V55" authorId="0" shapeId="0" xr:uid="{5A10B262-E78A-5C4F-8279-0B231BB21770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по клиентам с тарифом MPS LTV выше на 30% за счет ковенант)</t>
        </r>
      </text>
    </comment>
    <comment ref="AB55" authorId="0" shapeId="0" xr:uid="{4B4239F5-CF94-794B-98B5-97334A9A477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по клиентам с тарифом MPS LTV выше на 30% за счет ковенант)</t>
        </r>
      </text>
    </comment>
    <comment ref="AH55" authorId="0" shapeId="0" xr:uid="{3A0EA420-0A27-D24F-BF0C-63F6E5480260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LTV тарифов МПС выше на за счет ковенант</t>
        </r>
      </text>
    </comment>
    <comment ref="H65" authorId="0" shapeId="0" xr:uid="{52FF564D-71CA-7B49-9467-D4481BAEAA8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уточнить по сегменту (сейчас ср по 1 и 2 сегменту)</t>
        </r>
      </text>
    </comment>
    <comment ref="K72" authorId="0" shapeId="0" xr:uid="{8BE6A5A7-A38B-EB47-A703-A87B32ECC708}">
      <text>
        <r>
          <rPr>
            <b/>
            <sz val="10"/>
            <color rgb="FF000000"/>
            <rFont val="Tahoma"/>
            <family val="2"/>
            <charset val="204"/>
          </rPr>
          <t xml:space="preserve">y balabaeva:
</t>
        </r>
        <r>
          <rPr>
            <sz val="10"/>
            <color rgb="FF000000"/>
            <rFont val="Tahoma"/>
            <family val="2"/>
            <charset val="204"/>
          </rPr>
          <t xml:space="preserve">as is в Селлере - 35% оплат- досписания </t>
        </r>
        <r>
          <rPr>
            <sz val="10"/>
            <color rgb="FF000000"/>
            <rFont val="Calibri"/>
            <family val="2"/>
          </rPr>
          <t>с РКО  при недостатке средств в конце мес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Пока предположила LT </t>
        </r>
        <r>
          <rPr>
            <sz val="10"/>
            <color rgb="FF000000"/>
            <rFont val="Calibri"/>
            <family val="2"/>
          </rPr>
          <t xml:space="preserve">экспертно </t>
        </r>
        <r>
          <rPr>
            <sz val="10"/>
            <color rgb="FF000000"/>
            <rFont val="Calibri"/>
            <family val="2"/>
          </rPr>
          <t xml:space="preserve"> + 1</t>
        </r>
        <r>
          <rPr>
            <sz val="10"/>
            <color rgb="FF000000"/>
            <rFont val="Calibri"/>
            <family val="2"/>
          </rPr>
          <t xml:space="preserve"> мес к </t>
        </r>
        <r>
          <rPr>
            <sz val="10"/>
            <color rgb="FF000000"/>
            <rFont val="Calibri"/>
            <family val="2"/>
          </rPr>
          <t>LT MPS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Какк уточнить гипотезу:
</t>
        </r>
        <r>
          <rPr>
            <sz val="10"/>
            <color rgb="FF000000"/>
            <rFont val="Calibri"/>
            <family val="2"/>
            <scheme val="minor"/>
          </rPr>
          <t>1</t>
        </r>
        <r>
          <rPr>
            <sz val="10"/>
            <color rgb="FF000000"/>
            <rFont val="Calibri"/>
            <family val="2"/>
            <scheme val="minor"/>
          </rPr>
          <t>)</t>
        </r>
        <r>
          <rPr>
            <sz val="10"/>
            <color rgb="FF000000"/>
            <rFont val="Calibri"/>
            <family val="2"/>
            <scheme val="minor"/>
          </rPr>
          <t xml:space="preserve"> как изменилось </t>
        </r>
        <r>
          <rPr>
            <sz val="10"/>
            <color rgb="FF000000"/>
            <rFont val="Calibri"/>
            <family val="2"/>
            <scheme val="minor"/>
          </rPr>
          <t xml:space="preserve">LT </t>
        </r>
        <r>
          <rPr>
            <sz val="10"/>
            <color rgb="FF000000"/>
            <rFont val="Calibri"/>
            <family val="2"/>
            <scheme val="minor"/>
          </rPr>
          <t xml:space="preserve">в Селлере после фичи досписания? (если не было запущено так изначлаьно)
</t>
        </r>
        <r>
          <rPr>
            <sz val="10"/>
            <color rgb="FF000000"/>
            <rFont val="Calibri"/>
            <family val="2"/>
            <scheme val="minor"/>
          </rPr>
          <t>2</t>
        </r>
        <r>
          <rPr>
            <sz val="10"/>
            <color rgb="FF000000"/>
            <rFont val="Calibri"/>
            <family val="2"/>
            <scheme val="minor"/>
          </rPr>
          <t>) Бенчи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K119" authorId="0" shapeId="0" xr:uid="{A931B036-F3C9-B54D-A9F9-4D83B8683FF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Q119" authorId="0" shapeId="0" xr:uid="{1DDD1C04-1453-C646-87B3-4E7D6349F23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W119" authorId="0" shapeId="0" xr:uid="{2C2302B5-D756-B840-9FF9-FA6FEF1E28E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AC119" authorId="0" shapeId="0" xr:uid="{B48B13E3-99BC-3341-9D91-276E30E0354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A126" authorId="0" shapeId="0" xr:uid="{FB9EFCF0-E9BA-EC43-9AC5-7CBCAF19DAE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если будет внешний маркетинг - ср 3 млн на медиа и тг каналы . внутренний маркетинг (почта, пуши и пр)  считается бесплатным каналом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J126" authorId="0" shapeId="0" xr:uid="{A80DC451-FEBA-B744-88D6-17A7235EDE8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если будет внешний маркетинг (3 млн на медиа и тг каналы). внутренний маркетинг считается бесплатным каналом</t>
        </r>
      </text>
    </comment>
    <comment ref="P126" authorId="0" shapeId="0" xr:uid="{B2A9981B-5987-134B-9705-A32FC888910B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если будет внешний маркетинг (3 млн на медиа и тг каналы). внутренний маркетинг считается бесплатным каналом</t>
        </r>
      </text>
    </comment>
    <comment ref="V126" authorId="0" shapeId="0" xr:uid="{F15B698F-E8AD-0B47-9A17-9F69965EF1AB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если будет внешний маркетинг (3 млн на медиа и тг каналы). внутренний маркетинг считается бесплатным каналом</t>
        </r>
      </text>
    </comment>
    <comment ref="AB126" authorId="0" shapeId="0" xr:uid="{5C9D6B96-0D6E-684F-8DD3-74C39647810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если будет внешний маркетинг (3 млн на медиа и тг каналы). внутренний маркетинг считается бесплатным каналом</t>
        </r>
      </text>
    </comment>
    <comment ref="AH126" authorId="0" shapeId="0" xr:uid="{638BCD5F-8CD6-E946-8FA7-1C42AF9DA72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если будет внешний маркетинг (3 млн на медиа и тг каналы). внутренний маркетинг считается бесплатным каналом</t>
        </r>
      </text>
    </comment>
    <comment ref="F127" authorId="0" shapeId="0" xr:uid="{57DB46B9-B9D2-1C41-BBF3-3429542D729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предположение: из 14 дней пользователь в ср будет посещать сервис 4 дн</t>
        </r>
      </text>
    </comment>
    <comment ref="L127" authorId="0" shapeId="0" xr:uid="{3BDCC696-DBEA-444A-9859-AA973389AD0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предположение: из 14 дней пользователь в ср будет посещать сервис 4 дн</t>
        </r>
      </text>
    </comment>
    <comment ref="R127" authorId="0" shapeId="0" xr:uid="{10994F6B-E55D-C54E-B3C0-DF543D1D371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предположение: из 14 дней пользователь в ср будет посещать сервис 4 дн</t>
        </r>
      </text>
    </comment>
    <comment ref="X127" authorId="0" shapeId="0" xr:uid="{069015D5-447C-134A-A683-C67E9E3D188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предположение: из 14 дней пользователь в ср будет посещать сервис 4 дн</t>
        </r>
      </text>
    </comment>
    <comment ref="AD127" authorId="0" shapeId="0" xr:uid="{74818B13-FEBF-354D-A47B-1151FF5573B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предположение: из 14 дней пользователь в ср будет посещать сервис 4 дн</t>
        </r>
      </text>
    </comment>
    <comment ref="F131" authorId="0" shapeId="0" xr:uid="{D7CFA2EC-12EC-1444-9518-3C983AF96BC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знаем что главная будет обходиться примерно 2.7 р в день на 1 пользователя. предполагаем что платящие будут посещать 10 дней в мес. итого 2.7*10</t>
        </r>
      </text>
    </comment>
    <comment ref="F132" authorId="0" shapeId="0" xr:uid="{A9003185-D77E-7149-A00E-F2648905FDB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знаем что главная будет обходиться примерно 2.7 р в день на 1 пользователя. предполагаем что лиды не платящие в ср зайдут в Селлер 2 раза  </t>
        </r>
      </text>
    </comment>
    <comment ref="F133" authorId="0" shapeId="0" xr:uid="{77042177-A362-7149-88FC-3316ADFDEC9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на данных Селлера - 25</t>
        </r>
        <r>
          <rPr>
            <sz val="10"/>
            <color rgb="FF000000"/>
            <rFont val="Tahoma"/>
            <family val="2"/>
            <charset val="204"/>
          </rPr>
          <t>%</t>
        </r>
        <r>
          <rPr>
            <sz val="10"/>
            <color rgb="FF000000"/>
            <rFont val="Tahoma"/>
            <family val="2"/>
            <charset val="204"/>
          </rPr>
          <t xml:space="preserve"> оставляют АПИ</t>
        </r>
      </text>
    </comment>
    <comment ref="A147" authorId="0" shapeId="0" xr:uid="{2E9C4D43-7A8C-FB43-92AD-418A6D635DE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тут по названию - расходы на коммуникации , повторное выставление счетов</t>
        </r>
      </text>
    </comment>
    <comment ref="F150" authorId="0" shapeId="0" xr:uid="{1606BA7A-FB3F-814A-BEC0-142D50A990B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 (на основе стоимсти API в мес на 1 платящего) - 212 р в мес /10 дней (предположение: ср посещение платного пользователя) = 21 р</t>
        </r>
      </text>
    </comment>
    <comment ref="L150" authorId="0" shapeId="0" xr:uid="{B4FA0856-D0E1-724C-AD6E-858BB6C4C1C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 (на основе стоимсти API в мес на 1 платящего) - 212 р в мес /10 дней (предположение: ср посещение платного пользователя) = 21 р</t>
        </r>
      </text>
    </comment>
    <comment ref="R150" authorId="0" shapeId="0" xr:uid="{9C0F17F4-5611-C542-A4BD-F2B3774ECC5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предположение (на основе стоимсти API в мес на 1 платящего) - 212 р в мес /10 дней (предположение: ср посещение платного пользователя) = 21 р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F2" authorId="0" shapeId="0" xr:uid="{9B9CF1BF-D00C-0B41-B6DA-DB3501EB554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квалиф. лид, согласились на демо-втречу</t>
        </r>
      </text>
    </comment>
    <comment ref="G2" authorId="0" shapeId="0" xr:uid="{B0AD466A-4421-844E-A067-2899A17991A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ОТП = квалиф лид, не согласились на демо
</t>
        </r>
      </text>
    </comment>
    <comment ref="H2" authorId="0" shapeId="0" xr:uid="{FF0DB9A2-7151-1547-A657-A82309B87F8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знают про MPStats, высокая вероятность покупки - доля 15,2% от ОТП</t>
        </r>
      </text>
    </comment>
    <comment ref="I2" authorId="0" shapeId="0" xr:uid="{5792192D-DF30-C54F-84A7-A02F188C448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"не послали" - доля 84,8%</t>
        </r>
      </text>
    </comment>
    <comment ref="M2" authorId="0" shapeId="0" xr:uid="{2E187968-2B72-0648-8E9F-C23EC4F3641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квалиф. лид, согласились на демо-втречу</t>
        </r>
      </text>
    </comment>
    <comment ref="N2" authorId="0" shapeId="0" xr:uid="{59E561C1-F6C1-4A47-8A76-C265979AA77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ОТП = квалиф лид, не согласились на демо
</t>
        </r>
      </text>
    </comment>
    <comment ref="O2" authorId="0" shapeId="0" xr:uid="{D0F2E80A-BC79-F448-9FE3-FAB322B9395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знают про MPStats, высокая вероятность покупки - доля 15,2% от ОТП</t>
        </r>
      </text>
    </comment>
    <comment ref="P2" authorId="0" shapeId="0" xr:uid="{451985BF-826D-B74A-B1D4-3C3352E4D13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"не послали" - доля 84,8%</t>
        </r>
      </text>
    </comment>
    <comment ref="C8" authorId="0" shapeId="0" xr:uid="{DDEAC26C-4DA0-E541-94D4-AC0FBFE428F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Квалификация ЦА MPSTats 
</t>
        </r>
        <r>
          <rPr>
            <sz val="11"/>
            <color rgb="FF000000"/>
            <rFont val="Calibri"/>
            <family val="2"/>
          </rPr>
          <t xml:space="preserve">- 150 000 - есть для старта
</t>
        </r>
        <r>
          <rPr>
            <sz val="11"/>
            <color rgb="FF000000"/>
            <rFont val="Calibri"/>
            <family val="2"/>
          </rPr>
          <t xml:space="preserve">- в теч 2 мес планирует начать торговать на МП
</t>
        </r>
        <r>
          <rPr>
            <sz val="11"/>
            <color rgb="FF000000"/>
            <rFont val="Calibri"/>
            <family val="2"/>
          </rPr>
          <t xml:space="preserve">- селлер - есть рега на МП (озон вб яндекс)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>Хантеры =  квалиф. лид, согласились на демо-втречу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ОТП = квалиф лид, не согласились на демо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B4" authorId="0" shapeId="0" xr:uid="{C46D54B3-153B-A441-A8CB-4EFC33D72D9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не очищенная база от пересечений с МПС и Точкой</t>
        </r>
      </text>
    </comment>
    <comment ref="E4" authorId="0" shapeId="0" xr:uid="{94D683AE-040C-B244-8A33-0D27EA52C64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бизнес-модель Карины</t>
        </r>
      </text>
    </comment>
    <comment ref="F4" authorId="0" shapeId="0" xr:uid="{8FA2FE6C-FE90-DE4D-A3B7-9EBDB120828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бизнес-модель Карины
</t>
        </r>
      </text>
    </comment>
    <comment ref="E5" authorId="0" shapeId="0" xr:uid="{8E4D695C-4298-A84C-9BD2-55538FA588C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из базы сегмента  - придут за МПС</t>
        </r>
      </text>
    </comment>
    <comment ref="F5" authorId="0" shapeId="0" xr:uid="{6B25C655-0F06-E04A-B8D0-48E6C9FBDF90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из базы сегмента  - придут за МПС
</t>
        </r>
      </text>
    </comment>
    <comment ref="B6" authorId="0" shapeId="0" xr:uid="{72A9BD99-1AD8-A449-9155-F6BE6128EF3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H6" authorId="0" shapeId="0" xr:uid="{98F19D7E-61D9-514E-A2AD-A246CF46C8D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N6" authorId="0" shapeId="0" xr:uid="{F0C609D3-64B0-6D4B-81A5-4878FA5EC62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B13" authorId="0" shapeId="0" xr:uid="{FD9B0191-2FF1-A94F-A3F1-FBF1F31A47B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>- селлер - есть рега на МП (озон вб яндекс)</t>
        </r>
      </text>
    </comment>
    <comment ref="H13" authorId="0" shapeId="0" xr:uid="{9E9DA740-818D-3E41-84E3-B8800CDBA14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>- селлер - есть рега на МП (озон вб яндекс)</t>
        </r>
      </text>
    </comment>
    <comment ref="H18" authorId="0" shapeId="0" xr:uid="{64703ACD-44C0-064B-8EF2-19AD1C8F9A0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экспертно +15% к базовой CR первой покупки MPS - за счет механизма автосписания с РКО по окончанию тариала.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нужно уточнить гипотезу
</t>
        </r>
        <r>
          <rPr>
            <sz val="10"/>
            <color rgb="FF000000"/>
            <rFont val="Tahoma"/>
            <family val="2"/>
            <charset val="204"/>
          </rPr>
          <t xml:space="preserve">1) есть ли данные: LT до фичи авто списаний после триала и LT как стало после?
</t>
        </r>
        <r>
          <rPr>
            <sz val="10"/>
            <color rgb="FF000000"/>
            <rFont val="Tahoma"/>
            <family val="2"/>
            <charset val="204"/>
          </rPr>
          <t xml:space="preserve">2) есть ли опыт такой фичи в других продуктах Т?
</t>
        </r>
        <r>
          <rPr>
            <sz val="10"/>
            <color rgb="FF000000"/>
            <rFont val="Tahoma"/>
            <family val="2"/>
            <charset val="204"/>
          </rPr>
          <t>3) есть ли бенчи?</t>
        </r>
      </text>
    </comment>
    <comment ref="N18" authorId="0" shapeId="0" xr:uid="{7AAA653A-C58E-254B-BC0D-77D4B9AB938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текущий CR (усредненный янв-мар 2026)</t>
        </r>
      </text>
    </comment>
    <comment ref="B19" authorId="0" shapeId="0" xr:uid="{9B70D630-5EB8-E244-9B66-53B08C486FD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CR - digital канал Т</t>
        </r>
      </text>
    </comment>
    <comment ref="H19" authorId="0" shapeId="0" xr:uid="{BC9274FD-640A-8548-B8EA-D1863FA24AA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CR - digital канал Т</t>
        </r>
      </text>
    </comment>
    <comment ref="G29" authorId="0" shapeId="0" xr:uid="{5A6FC237-6CA0-4B4E-9A95-A2C633B8BA4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нужно вычесть маркетинг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тут маркетинг + продажи (данные в только продажи - не дали МПС)
</t>
        </r>
      </text>
    </comment>
    <comment ref="M29" authorId="0" shapeId="0" xr:uid="{1957B9A6-2CD5-B94C-8C2E-87DC582FBC9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нужно вычесть маркетинг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тут маркетинг + продажи (данные в только продажи - не дали МПС)
</t>
        </r>
      </text>
    </comment>
    <comment ref="S29" authorId="0" shapeId="0" xr:uid="{22197E83-05FF-6E47-9B58-EF5E3DC1FFD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если закладываем внешний маркетинг Т (медиа, тг каналы)</t>
        </r>
      </text>
    </comment>
    <comment ref="Y29" authorId="0" shapeId="0" xr:uid="{F5893E7A-485B-C541-BECD-E0DEB1336CA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если закладываем внешний маркетинг Т (медиа, тг каналы)</t>
        </r>
      </text>
    </comment>
    <comment ref="AE29" authorId="0" shapeId="0" xr:uid="{9CCAF946-9D6C-DD44-98F5-CC44CEBD366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нужно вычесть маркетинг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тут маркетинг + продажи (данные в только продажи - не дали МПС)
</t>
        </r>
      </text>
    </comment>
    <comment ref="A30" authorId="0" shapeId="0" xr:uid="{AEF78201-0265-8446-B76D-9E3A055086B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вероятно выставленеи счетов, коммуникации</t>
        </r>
      </text>
    </comment>
    <comment ref="A31" authorId="0" shapeId="0" xr:uid="{E6A9F625-BB82-2440-8384-71D1B0A437C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пока взяли расходы Селлера
</t>
        </r>
        <r>
          <rPr>
            <sz val="10"/>
            <color rgb="FF000000"/>
            <rFont val="Tahoma"/>
            <family val="2"/>
            <charset val="204"/>
          </rPr>
          <t>уточняем у МПС</t>
        </r>
      </text>
    </comment>
    <comment ref="C34" authorId="0" shapeId="0" xr:uid="{42C47714-343C-534E-827E-D46A1FEDCE7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уже получаем доход с др продуктов Банка</t>
        </r>
      </text>
    </comment>
    <comment ref="E34" authorId="0" shapeId="0" xr:uid="{BA12244A-F59D-854F-9FD8-F16B510A310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из расчета на кол-во клиентво в инкременте (из бизнес модели Крины) - клиенты проснулись  в РКО из-за МПС</t>
        </r>
      </text>
    </comment>
    <comment ref="F34" authorId="0" shapeId="0" xr:uid="{DE82055E-3302-F144-876F-38EF3DC5E13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из расчета на кол-во клиентво в инкременте (из бизнес модели Крины) - клиенты открвли  РКО из-за МПС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M34" authorId="0" shapeId="0" xr:uid="{9425B734-61DF-824C-8958-4441295DF93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LTV тарифов МПС выше на за счет ковенант</t>
        </r>
      </text>
    </comment>
    <comment ref="S34" authorId="0" shapeId="0" xr:uid="{005DCD0D-27A7-E647-9687-0657EF591DF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по клиентам с тарифом MPS LTV выше на 30% за счет ковенант)</t>
        </r>
      </text>
    </comment>
    <comment ref="Y34" authorId="0" shapeId="0" xr:uid="{97BC6FD5-312B-6345-B21E-A90435DFC8A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по клиентам с тарифом MPS LTV выше на 30% за счет ковенант)</t>
        </r>
      </text>
    </comment>
    <comment ref="AE34" authorId="0" shapeId="0" xr:uid="{056E6F85-5E1A-694E-8812-A425064D387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LTV тарифов МПС выше на за счет ковенант</t>
        </r>
      </text>
    </comment>
    <comment ref="E43" authorId="0" shapeId="0" xr:uid="{EB17106D-D815-6C42-A11B-2BAE9A9DFA8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уточнить по сегменту (сейчас ср по 1 и 2 сегменту)</t>
        </r>
      </text>
    </comment>
    <comment ref="H50" authorId="0" shapeId="0" xr:uid="{39462A09-8B01-8741-8BC0-0F7B04862B43}">
      <text>
        <r>
          <rPr>
            <b/>
            <sz val="10"/>
            <color rgb="FF000000"/>
            <rFont val="Tahoma"/>
            <family val="2"/>
            <charset val="204"/>
          </rPr>
          <t xml:space="preserve">y balabaeva:
</t>
        </r>
        <r>
          <rPr>
            <sz val="10"/>
            <color rgb="FF000000"/>
            <rFont val="Tahoma"/>
            <family val="2"/>
            <charset val="204"/>
          </rPr>
          <t xml:space="preserve">as is в Селлере - 35% оплат- досписания </t>
        </r>
        <r>
          <rPr>
            <sz val="10"/>
            <color rgb="FF000000"/>
            <rFont val="Calibri"/>
            <family val="2"/>
          </rPr>
          <t>с РКО  при недостатке средств в конце мес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Пока предположила LT </t>
        </r>
        <r>
          <rPr>
            <sz val="10"/>
            <color rgb="FF000000"/>
            <rFont val="Calibri"/>
            <family val="2"/>
          </rPr>
          <t xml:space="preserve">экспертно </t>
        </r>
        <r>
          <rPr>
            <sz val="10"/>
            <color rgb="FF000000"/>
            <rFont val="Calibri"/>
            <family val="2"/>
          </rPr>
          <t xml:space="preserve"> + 1</t>
        </r>
        <r>
          <rPr>
            <sz val="10"/>
            <color rgb="FF000000"/>
            <rFont val="Calibri"/>
            <family val="2"/>
          </rPr>
          <t xml:space="preserve"> мес к </t>
        </r>
        <r>
          <rPr>
            <sz val="10"/>
            <color rgb="FF000000"/>
            <rFont val="Calibri"/>
            <family val="2"/>
          </rPr>
          <t>LT MPS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Какк уточнить гипотезу:
</t>
        </r>
        <r>
          <rPr>
            <sz val="10"/>
            <color rgb="FF000000"/>
            <rFont val="Calibri"/>
            <family val="2"/>
            <scheme val="minor"/>
          </rPr>
          <t>1</t>
        </r>
        <r>
          <rPr>
            <sz val="10"/>
            <color rgb="FF000000"/>
            <rFont val="Calibri"/>
            <family val="2"/>
            <scheme val="minor"/>
          </rPr>
          <t>)</t>
        </r>
        <r>
          <rPr>
            <sz val="10"/>
            <color rgb="FF000000"/>
            <rFont val="Calibri"/>
            <family val="2"/>
            <scheme val="minor"/>
          </rPr>
          <t xml:space="preserve"> как изменилось </t>
        </r>
        <r>
          <rPr>
            <sz val="10"/>
            <color rgb="FF000000"/>
            <rFont val="Calibri"/>
            <family val="2"/>
            <scheme val="minor"/>
          </rPr>
          <t xml:space="preserve">LT </t>
        </r>
        <r>
          <rPr>
            <sz val="10"/>
            <color rgb="FF000000"/>
            <rFont val="Calibri"/>
            <family val="2"/>
            <scheme val="minor"/>
          </rPr>
          <t xml:space="preserve">в Селлере после фичи досписания? (если не было запущено так изначлаьно)
</t>
        </r>
        <r>
          <rPr>
            <sz val="10"/>
            <color rgb="FF000000"/>
            <rFont val="Calibri"/>
            <family val="2"/>
            <scheme val="minor"/>
          </rPr>
          <t>2</t>
        </r>
        <r>
          <rPr>
            <sz val="10"/>
            <color rgb="FF000000"/>
            <rFont val="Calibri"/>
            <family val="2"/>
            <scheme val="minor"/>
          </rPr>
          <t>) Бенчи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H97" authorId="0" shapeId="0" xr:uid="{2CDF66BA-433E-C74D-A9F4-06384C3E7E0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N97" authorId="0" shapeId="0" xr:uid="{E94293C4-BC30-C54E-B6B2-8D98F752920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T97" authorId="0" shapeId="0" xr:uid="{69F0D3F4-D08B-2D4E-8E84-5B0F0A4D48E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Z97" authorId="0" shapeId="0" xr:uid="{71CA7FF0-75C6-AF46-A8E7-24F36F7E375B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S104" authorId="0" shapeId="0" xr:uid="{7B983E3F-AC62-A148-9A93-47623923F7F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если будет внешний маркетинг (3 млн на медиа и тг каналы). внутренний маркетинг считается бесплатным каналом</t>
        </r>
      </text>
    </comment>
    <comment ref="C110" authorId="0" shapeId="0" xr:uid="{2D6C09CB-F382-8545-B8AD-63A42DD81F1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это расходы селлер на 1 платящего. нужны расходы от МПС</t>
        </r>
      </text>
    </comment>
    <comment ref="A122" authorId="0" shapeId="0" xr:uid="{88CB6E72-DD60-844F-99CB-D3CBB0167AC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тут по названию - расходы на коммуникации , повторное выставление счетов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B4" authorId="0" shapeId="0" xr:uid="{47482E29-A895-604D-9313-DCCDB694D6A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не очищенная база от пересечений с МПС и Точкой</t>
        </r>
      </text>
    </comment>
    <comment ref="B5" authorId="0" shapeId="0" xr:uid="{928C2AD4-1FDB-7444-A250-E89F672CCA4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</t>
        </r>
        <r>
          <rPr>
            <sz val="10"/>
            <color rgb="FF000000"/>
            <rFont val="Tahoma"/>
            <family val="2"/>
            <charset val="204"/>
          </rPr>
          <t xml:space="preserve">80%
</t>
        </r>
      </text>
    </comment>
    <comment ref="H5" authorId="0" shapeId="0" xr:uid="{2547434C-3994-8348-AC1D-62BA13B7CC1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N5" authorId="0" shapeId="0" xr:uid="{1F68CA02-32B1-DE47-A716-5A679A2BC79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B11" authorId="0" shapeId="0" xr:uid="{10DD0A4A-BE9B-B140-A0A1-29785054AD2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Наша база - все ЦА </t>
        </r>
        <r>
          <rPr>
            <sz val="10"/>
            <color rgb="FF000000"/>
            <rFont val="Tahoma"/>
            <family val="2"/>
            <charset val="204"/>
          </rPr>
          <t>(</t>
        </r>
        <r>
          <rPr>
            <sz val="10"/>
            <color rgb="FF000000"/>
            <rFont val="Tahoma"/>
            <family val="2"/>
            <charset val="204"/>
          </rPr>
          <t xml:space="preserve">есть обороты на МП). 
</t>
        </r>
        <r>
          <rPr>
            <sz val="10"/>
            <color rgb="FF000000"/>
            <rFont val="Tahoma"/>
            <family val="2"/>
            <charset val="204"/>
          </rPr>
          <t>Как считает</t>
        </r>
        <r>
          <rPr>
            <sz val="10"/>
            <color rgb="FF000000"/>
            <rFont val="Tahoma"/>
            <family val="2"/>
            <charset val="204"/>
          </rPr>
          <t xml:space="preserve"> </t>
        </r>
        <r>
          <rPr>
            <sz val="10"/>
            <color rgb="FF000000"/>
            <rFont val="Tahoma"/>
            <family val="2"/>
            <charset val="204"/>
          </rPr>
          <t xml:space="preserve">ЦА </t>
        </r>
        <r>
          <rPr>
            <sz val="10"/>
            <color rgb="FF000000"/>
            <rFont val="Tahoma"/>
            <family val="2"/>
            <charset val="204"/>
          </rPr>
          <t>MPS</t>
        </r>
        <r>
          <rPr>
            <sz val="10"/>
            <color rgb="FF000000"/>
            <rFont val="Tahoma"/>
            <family val="2"/>
            <charset val="204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  <scheme val="minor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  <scheme val="minor"/>
          </rPr>
          <t>- селлер - есть рега на МП (озон вб яндекс)</t>
        </r>
      </text>
    </comment>
    <comment ref="H11" authorId="0" shapeId="0" xr:uid="{4CCD312E-FDD6-EA42-A7E5-89F58F636A4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>- селлер - есть рега на МП (озон вб яндекс)</t>
        </r>
      </text>
    </comment>
    <comment ref="H16" authorId="0" shapeId="0" xr:uid="{4097A085-4558-7B47-BF57-157F1C16A9B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</t>
        </r>
        <r>
          <rPr>
            <sz val="10"/>
            <color rgb="FF000000"/>
            <rFont val="Tahoma"/>
            <family val="2"/>
            <charset val="204"/>
          </rPr>
          <t xml:space="preserve">+X% </t>
        </r>
        <r>
          <rPr>
            <sz val="10"/>
            <color rgb="FF000000"/>
            <rFont val="Tahoma"/>
            <family val="2"/>
            <charset val="204"/>
          </rPr>
          <t xml:space="preserve">к базовой </t>
        </r>
        <r>
          <rPr>
            <sz val="10"/>
            <color rgb="FF000000"/>
            <rFont val="Tahoma"/>
            <family val="2"/>
            <charset val="204"/>
          </rPr>
          <t xml:space="preserve">CR </t>
        </r>
        <r>
          <rPr>
            <sz val="10"/>
            <color rgb="FF000000"/>
            <rFont val="Tahoma"/>
            <family val="2"/>
            <charset val="204"/>
          </rPr>
          <t xml:space="preserve">первой покупки </t>
        </r>
        <r>
          <rPr>
            <sz val="10"/>
            <color rgb="FF000000"/>
            <rFont val="Tahoma"/>
            <family val="2"/>
            <charset val="204"/>
          </rPr>
          <t xml:space="preserve">MPS </t>
        </r>
        <r>
          <rPr>
            <sz val="10"/>
            <color rgb="FF000000"/>
            <rFont val="Tahoma"/>
            <family val="2"/>
            <charset val="204"/>
          </rPr>
          <t>- за счет механизма автосписания с РКО по окончанию тариала</t>
        </r>
      </text>
    </comment>
    <comment ref="N16" authorId="0" shapeId="0" xr:uid="{7D685ED1-8044-7C4E-8901-79A1320D115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текущий </t>
        </r>
        <r>
          <rPr>
            <sz val="10"/>
            <color rgb="FF000000"/>
            <rFont val="Tahoma"/>
            <family val="2"/>
            <charset val="204"/>
          </rPr>
          <t xml:space="preserve">CR </t>
        </r>
        <r>
          <rPr>
            <sz val="10"/>
            <color rgb="FF000000"/>
            <rFont val="Tahoma"/>
            <family val="2"/>
            <charset val="204"/>
          </rPr>
          <t>(усредненный янв-мар 2026)</t>
        </r>
      </text>
    </comment>
    <comment ref="H17" authorId="0" shapeId="0" xr:uid="{651A71A5-CB9A-5D4C-B30B-C99E5738257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as is </t>
        </r>
        <r>
          <rPr>
            <sz val="10"/>
            <color rgb="FF000000"/>
            <rFont val="Tahoma"/>
            <family val="2"/>
            <charset val="204"/>
          </rPr>
          <t xml:space="preserve">в Селлере - 35% оплат- авто списания </t>
        </r>
        <r>
          <rPr>
            <sz val="10"/>
            <color rgb="FF000000"/>
            <rFont val="Calibri"/>
            <family val="2"/>
            <scheme val="minor"/>
          </rPr>
          <t xml:space="preserve">с РКО </t>
        </r>
        <r>
          <rPr>
            <sz val="10"/>
            <color rgb="FF000000"/>
            <rFont val="Calibri"/>
            <family val="2"/>
            <scheme val="minor"/>
          </rPr>
          <t>частичные</t>
        </r>
        <r>
          <rPr>
            <sz val="10"/>
            <color rgb="FF000000"/>
            <rFont val="Calibri"/>
            <family val="2"/>
            <scheme val="minor"/>
          </rPr>
          <t xml:space="preserve"> при недостатке средств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для гипотезы нужно </t>
        </r>
        <r>
          <rPr>
            <sz val="10"/>
            <color rgb="FF000000"/>
            <rFont val="Tahoma"/>
            <family val="2"/>
            <charset val="204"/>
          </rPr>
          <t xml:space="preserve">LT </t>
        </r>
        <r>
          <rPr>
            <sz val="10"/>
            <color rgb="FF000000"/>
            <rFont val="Tahoma"/>
            <family val="2"/>
            <charset val="204"/>
          </rPr>
          <t xml:space="preserve">от </t>
        </r>
        <r>
          <rPr>
            <sz val="10"/>
            <color rgb="FF000000"/>
            <rFont val="Tahoma"/>
            <family val="2"/>
            <charset val="204"/>
          </rPr>
          <t>MPStats</t>
        </r>
        <r>
          <rPr>
            <sz val="10"/>
            <color rgb="FF000000"/>
            <rFont val="Tahoma"/>
            <family val="2"/>
            <charset val="204"/>
          </rPr>
          <t xml:space="preserve"> (доход на 1 клиента в мес и пердположить на сколько месяцев больше даст механизм </t>
        </r>
        <r>
          <rPr>
            <sz val="10"/>
            <color rgb="FF000000"/>
            <rFont val="Tahoma"/>
            <family val="2"/>
            <charset val="204"/>
          </rPr>
          <t xml:space="preserve">T -&gt; </t>
        </r>
        <r>
          <rPr>
            <sz val="10"/>
            <color rgb="FF000000"/>
            <rFont val="Tahoma"/>
            <family val="2"/>
            <charset val="204"/>
          </rPr>
          <t xml:space="preserve">новый </t>
        </r>
        <r>
          <rPr>
            <sz val="10"/>
            <color rgb="FF000000"/>
            <rFont val="Tahoma"/>
            <family val="2"/>
            <charset val="204"/>
          </rPr>
          <t xml:space="preserve">LTV) -- </t>
        </r>
        <r>
          <rPr>
            <sz val="10"/>
            <color rgb="FF000000"/>
            <rFont val="Tahoma"/>
            <family val="2"/>
            <charset val="204"/>
          </rPr>
          <t xml:space="preserve">Данные не дают. 
</t>
        </r>
        <r>
          <rPr>
            <sz val="10"/>
            <color rgb="FF000000"/>
            <rFont val="Tahoma"/>
            <family val="2"/>
            <charset val="204"/>
          </rPr>
          <t xml:space="preserve">Пока предположила  </t>
        </r>
        <r>
          <rPr>
            <sz val="10"/>
            <color rgb="FF000000"/>
            <rFont val="Tahoma"/>
            <family val="2"/>
            <charset val="204"/>
          </rPr>
          <t>LT</t>
        </r>
        <r>
          <rPr>
            <sz val="10"/>
            <color rgb="FF000000"/>
            <rFont val="Tahoma"/>
            <family val="2"/>
            <charset val="204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>экспертно. И заложила рост +</t>
        </r>
        <r>
          <rPr>
            <sz val="10"/>
            <color rgb="FF000000"/>
            <rFont val="Calibri"/>
            <family val="2"/>
            <scheme val="minor"/>
          </rPr>
          <t xml:space="preserve">X </t>
        </r>
        <r>
          <rPr>
            <sz val="10"/>
            <color rgb="FF000000"/>
            <rFont val="Calibri"/>
            <family val="2"/>
            <scheme val="minor"/>
          </rPr>
          <t xml:space="preserve">мес. </t>
        </r>
      </text>
    </comment>
    <comment ref="C33" authorId="0" shapeId="0" xr:uid="{25E353EC-3120-AB43-865A-A883832EE3D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нет реальных данных по </t>
        </r>
        <r>
          <rPr>
            <sz val="10"/>
            <color rgb="FF000000"/>
            <rFont val="Tahoma"/>
            <family val="2"/>
            <charset val="204"/>
          </rPr>
          <t>MPStats</t>
        </r>
      </text>
    </comment>
  </commentList>
</comments>
</file>

<file path=xl/sharedStrings.xml><?xml version="1.0" encoding="utf-8"?>
<sst xmlns="http://schemas.openxmlformats.org/spreadsheetml/2006/main" count="1863" uniqueCount="646">
  <si>
    <t>Оставление API ключа</t>
  </si>
  <si>
    <t>-</t>
  </si>
  <si>
    <t>AS IS</t>
  </si>
  <si>
    <t>кол- во селлеров  Т - сегменты по оборотам</t>
  </si>
  <si>
    <t>сколько остается за вычетом пересчений с МПС и Точкой?</t>
  </si>
  <si>
    <t>преза от Н: S - 515 тыс, М - 31,5 , L - 1,8</t>
  </si>
  <si>
    <t>это типа малый средний и большой ибзнес?</t>
  </si>
  <si>
    <t>какому сегменту - какой тариф продавать?</t>
  </si>
  <si>
    <t>Саша - уточняю по фильтрам</t>
  </si>
  <si>
    <t xml:space="preserve">https://proteus.tcsbank.ru/superset/dashboard/35207/?native_filters_key=6UD6_31FByJJBSkeo1OjteN2ZrhDe0UXwiQb27k-OI1_2btiTS-ROCrKRUs0NQiB </t>
  </si>
  <si>
    <t>S</t>
  </si>
  <si>
    <t>Core</t>
  </si>
  <si>
    <t>M</t>
  </si>
  <si>
    <t>t segment (апр 26)</t>
  </si>
  <si>
    <t>MPStsts за счет S, а M (2-3 тыс) и L (100)</t>
  </si>
  <si>
    <t xml:space="preserve">какие сегменты по обороту имелись ввиду: хотим раскачать за счет  S </t>
  </si>
  <si>
    <t xml:space="preserve">по этому отчету похоже на правду https://proteus.tcsbank.ru/superset/dashboard/46771/?native_filters_key=i_cpHlkPJC3wQAO8lt2_Tg8N-LHsXqmC68he0NAQEyNRwaKHgbBgPwIpTLJmR6wH </t>
  </si>
  <si>
    <t>см текущие данные Селлер</t>
  </si>
  <si>
    <t>сегменты селлеров SE</t>
  </si>
  <si>
    <t>Саша: SE до 100 млн годового оборота, ME 100млн-1млрд, LE &gt;1млрд</t>
  </si>
  <si>
    <t>Карина: s до 120 млн в год, m до 16 млрд, по le нет верхнего порога</t>
  </si>
  <si>
    <t>S - до 100 тыс, Core - 2 млн, M больше 2 млн</t>
  </si>
  <si>
    <t xml:space="preserve">t_segment </t>
  </si>
  <si>
    <t>по выплатам</t>
  </si>
  <si>
    <r>
      <t>receipt_seller_segment</t>
    </r>
    <r>
      <rPr>
        <sz val="15"/>
        <color rgb="FF3F4350"/>
        <rFont val="Arial"/>
        <family val="2"/>
      </rPr>
      <t xml:space="preserve"> </t>
    </r>
  </si>
  <si>
    <t>по внешним чековым данным</t>
  </si>
  <si>
    <t>mnpl_segment</t>
  </si>
  <si>
    <t>https://proteus.tcsbank.ru/superset/dashboard/35207/?native_filters_key=aLN1Xx1yD5vdgsrx8uoA0pvrJEUqFxG78QxXMsGytEGq4tZDfgeCUsezc9HMrNwl</t>
  </si>
  <si>
    <t>Отчет по базе селлеров</t>
  </si>
  <si>
    <t>маниплэйс, старый источник внешних данных по оборотам, данные получались парсингом, невалиден начиная с 2025-09-01</t>
  </si>
  <si>
    <t>по чекам (апр 26)</t>
  </si>
  <si>
    <t>Unk</t>
  </si>
  <si>
    <t>Карина в целом опредялеят?</t>
  </si>
  <si>
    <t>Карина?</t>
  </si>
  <si>
    <t>Все сегменты</t>
  </si>
  <si>
    <t>Сегмент 3. Спящие клиенты в Т (нет транзакций по РКО)</t>
  </si>
  <si>
    <t>Сегмент 4. Клиенты без РКО в Т - Рынок</t>
  </si>
  <si>
    <t>Сегмент 1.  Активные клиенты в Т с выплатами от МП. 1 приоритет</t>
  </si>
  <si>
    <t xml:space="preserve">Активация триала </t>
  </si>
  <si>
    <t>Воронка</t>
  </si>
  <si>
    <t>А. Гипотеза. Digital канал + Биллинг Т</t>
  </si>
  <si>
    <t>B. Гипотеза. Sales канал Т + Биллинг Т</t>
  </si>
  <si>
    <t>С. Гипотеза. Sales канал MPS + Биллинг Т</t>
  </si>
  <si>
    <t>D. Гипотеза. Sales канал MPS + Биллинг MPS</t>
  </si>
  <si>
    <t>F. Гипотеза. Digital +  Sales канал Т + Биллинг Т</t>
  </si>
  <si>
    <t>База селлеров</t>
  </si>
  <si>
    <t>TO BE - убрать пересечение баз с MPS и Точкой</t>
  </si>
  <si>
    <t>Корпоративный</t>
  </si>
  <si>
    <t xml:space="preserve">Сегмент 1.  Активные клиенты в Т с выплатами от МП. </t>
  </si>
  <si>
    <t>Сегмент 2. Активные клиенты в Т, но  без выплат от МП на РКО</t>
  </si>
  <si>
    <t>Оффер демо встречи</t>
  </si>
  <si>
    <t>Согласились на демо встречу</t>
  </si>
  <si>
    <t>Демо встреча состоялась</t>
  </si>
  <si>
    <t>Триала выдан</t>
  </si>
  <si>
    <t>Лиды (заявка на сайте MPS/ первое посещение Селлера)</t>
  </si>
  <si>
    <t xml:space="preserve">Оффер триала </t>
  </si>
  <si>
    <t>Дозвон sales (продажа без демо)</t>
  </si>
  <si>
    <t>Комментарий к воронке</t>
  </si>
  <si>
    <t>Из них: горячие</t>
  </si>
  <si>
    <t>Из них: заинтересованные</t>
  </si>
  <si>
    <t>40% соглашаются на встречу = Хантеры, 60% не соглашаются = ОТП</t>
  </si>
  <si>
    <t>Ср чек первой покупки</t>
  </si>
  <si>
    <t>10 + млн</t>
  </si>
  <si>
    <t>LTV</t>
  </si>
  <si>
    <t>Сегмент по обороту</t>
  </si>
  <si>
    <t>1-10 млн</t>
  </si>
  <si>
    <t>менее 1 млн</t>
  </si>
  <si>
    <t>Ср время от лида до первой покупки</t>
  </si>
  <si>
    <t>Сегмент по статусу активности</t>
  </si>
  <si>
    <t>в нашем отчете Селлер  - по чековым данным</t>
  </si>
  <si>
    <t>Квалификация лидов (звонок КЦ) - ЦА</t>
  </si>
  <si>
    <t xml:space="preserve">Mpstats все лиды   </t>
  </si>
  <si>
    <t>Хантеры (демо)</t>
  </si>
  <si>
    <t>ОТП (звонок, без демо)</t>
  </si>
  <si>
    <t>сейчас выдают триал всем автоматом после реги лида</t>
  </si>
  <si>
    <t xml:space="preserve">демо состоялось = 29,8% от квалиф. лидов </t>
  </si>
  <si>
    <t>дозвон = 45,5% от квалиф. лидов . Из них: Горячие  - доля 15,2% (знают про MPStats, высок.  вероятность покупки), Заинтересованные - доля 84,8% (не послали)</t>
  </si>
  <si>
    <t>1 флоу</t>
  </si>
  <si>
    <t>2 флоу</t>
  </si>
  <si>
    <t xml:space="preserve">Mpstats Самоходы (оплатили сами без демо и звонка) </t>
  </si>
  <si>
    <t>Оплата тарифа</t>
  </si>
  <si>
    <t>Общий флоу</t>
  </si>
  <si>
    <t>Выставлние счета</t>
  </si>
  <si>
    <t>Не считают в воронке</t>
  </si>
  <si>
    <t>Воронка продаж: ОТП и Хантеры — средние CR за фев / апр / май 2026</t>
  </si>
  <si>
    <t>Только CR. Среднее по фев/апр/май (март исключён — акция демо-доступов размыла конверсии; лист сам усредняет эти 3 месяца). Источник цифр — лист «Ретро для июня».</t>
  </si>
  <si>
    <t>ХАНТЕРЫ (встречи)</t>
  </si>
  <si>
    <t>СРЕДНЕЕ (Февраль/Апрель/Май)</t>
  </si>
  <si>
    <t>CR лид → квал</t>
  </si>
  <si>
    <t>13%</t>
  </si>
  <si>
    <t>CR квал → встреча</t>
  </si>
  <si>
    <t>29,8%</t>
  </si>
  <si>
    <t>CR встреча → счёт</t>
  </si>
  <si>
    <t>20%</t>
  </si>
  <si>
    <t>CR счёт → оплата</t>
  </si>
  <si>
    <t>90%</t>
  </si>
  <si>
    <t>Сквозной CR лид → оплата</t>
  </si>
  <si>
    <t>ОТП (звонки) — 2 корзины</t>
  </si>
  <si>
    <t>СРЕДНЕЕ</t>
  </si>
  <si>
    <t>CR квал → звонок</t>
  </si>
  <si>
    <t>45,5%</t>
  </si>
  <si>
    <t xml:space="preserve">  доля → корзина ГОРЯЧИЕ</t>
  </si>
  <si>
    <t>15,2%</t>
  </si>
  <si>
    <t xml:space="preserve">  доля → корзина ЗАИНТЕРЕС.</t>
  </si>
  <si>
    <t>84,8%</t>
  </si>
  <si>
    <t xml:space="preserve">  конв. ГОРЯЧИЕ → оплата</t>
  </si>
  <si>
    <t>34%</t>
  </si>
  <si>
    <t xml:space="preserve">  конв. ЗАИНТЕРЕС → оплата</t>
  </si>
  <si>
    <t>2%</t>
  </si>
  <si>
    <t>CR звонок → оплата (итог 2 корзин)</t>
  </si>
  <si>
    <t>6,85%</t>
  </si>
  <si>
    <t>0,41%</t>
  </si>
  <si>
    <t>Повторная покупка</t>
  </si>
  <si>
    <t>CR повторной покупки</t>
  </si>
  <si>
    <t>Гранулярность</t>
  </si>
  <si>
    <t>CR API</t>
  </si>
  <si>
    <t>CR Активация</t>
  </si>
  <si>
    <t>CR Налоги</t>
  </si>
  <si>
    <t>CR Себестоимость</t>
  </si>
  <si>
    <t>API</t>
  </si>
  <si>
    <t>Активации</t>
  </si>
  <si>
    <t>Налоги</t>
  </si>
  <si>
    <t>Реги</t>
  </si>
  <si>
    <t>Себестоимость</t>
  </si>
  <si>
    <t>Активация в Селлере</t>
  </si>
  <si>
    <t>Сегмент 1+ Сегмент 2</t>
  </si>
  <si>
    <t>Всего</t>
  </si>
  <si>
    <t>Переменные</t>
  </si>
  <si>
    <t>LTV по сегментам</t>
  </si>
  <si>
    <t>Ср чек первой покупки по сегментам</t>
  </si>
  <si>
    <t>LTV (другие продукты Банка)</t>
  </si>
  <si>
    <t xml:space="preserve">Распределение кол-ва селлеров по сегментам по оборотам </t>
  </si>
  <si>
    <t>Воронка DIGITAL</t>
  </si>
  <si>
    <t>https://jira.tcsbank.ru/browse/ECA-2046</t>
  </si>
  <si>
    <t>MPST</t>
  </si>
  <si>
    <t>Саша</t>
  </si>
  <si>
    <t>Карина</t>
  </si>
  <si>
    <t>Юля</t>
  </si>
  <si>
    <t>Флоу</t>
  </si>
  <si>
    <t>Воронка от 1го этапа  - лиды</t>
  </si>
  <si>
    <t>большая часть продаж - через счет, но есть и для ФЛ способы оплаты. Хантеры: 20% от демо - выставление счета</t>
  </si>
  <si>
    <t>MPS?</t>
  </si>
  <si>
    <t>Через какое время</t>
  </si>
  <si>
    <t>Всего селлеров</t>
  </si>
  <si>
    <t xml:space="preserve">Кол-во селлеров по сегментам по оборотам в Т-Банке </t>
  </si>
  <si>
    <t>Кол-во селлеров по сегментам по оборотам в Т-Банке (за искл пересечений с MPStast и Точкой)</t>
  </si>
  <si>
    <t>?</t>
  </si>
  <si>
    <t>real_transaction_dttm</t>
  </si>
  <si>
    <t>&lt;NULL&gt;</t>
  </si>
  <si>
    <t>NEW М-тариф 3 месяца</t>
  </si>
  <si>
    <t>NEW М-тариф 6 месяцев</t>
  </si>
  <si>
    <t>NEW М-тариф год</t>
  </si>
  <si>
    <t>NEW М-тариф год ИУ</t>
  </si>
  <si>
    <t>NEW М-тариф месяц</t>
  </si>
  <si>
    <t>OLD М-тариф год</t>
  </si>
  <si>
    <t>OLD М-тариф месяц</t>
  </si>
  <si>
    <t>OLD Тариф с Маркетгуру месяц</t>
  </si>
  <si>
    <t>Досписание</t>
  </si>
  <si>
    <t>М-тариф месяц ИУ</t>
  </si>
  <si>
    <t>Свой тариф</t>
  </si>
  <si>
    <t>Свой тариф Автоотзывы</t>
  </si>
  <si>
    <t>Свой тариф Автоотзывы ИУ</t>
  </si>
  <si>
    <t>Свой тариф ИУ</t>
  </si>
  <si>
    <t>Свой тариф Магви</t>
  </si>
  <si>
    <t>Свой тариф Магви ИУ</t>
  </si>
  <si>
    <t>Свой тариф Фин.Аналитика</t>
  </si>
  <si>
    <t>Свой тариф Фин.Аналитика ИУ</t>
  </si>
  <si>
    <t>кол-во</t>
  </si>
  <si>
    <t>рубли</t>
  </si>
  <si>
    <t>за период</t>
  </si>
  <si>
    <r>
      <t xml:space="preserve">E. Гипотеза. Digital +  </t>
    </r>
    <r>
      <rPr>
        <b/>
        <sz val="14"/>
        <color theme="1"/>
        <rFont val="Calibri (Основной текст)"/>
        <charset val="204"/>
      </rPr>
      <t>Sales канал MPS</t>
    </r>
    <r>
      <rPr>
        <b/>
        <sz val="14"/>
        <color theme="1"/>
        <rFont val="Calibri"/>
        <family val="2"/>
        <scheme val="minor"/>
      </rPr>
      <t xml:space="preserve"> + Биллинг Т</t>
    </r>
  </si>
  <si>
    <t>/Оффер демо встречи</t>
  </si>
  <si>
    <t>Воронка от 2 этапа - квалифицированные лиды</t>
  </si>
  <si>
    <t>ID</t>
  </si>
  <si>
    <t>Получить от MPStasts кол-во</t>
  </si>
  <si>
    <t>активный платный тариф MPStats</t>
  </si>
  <si>
    <t>исключаем из воронки</t>
  </si>
  <si>
    <t>нет пересечений</t>
  </si>
  <si>
    <t xml:space="preserve">был ранее платный тариф MPStats </t>
  </si>
  <si>
    <t>нет активного платного тарифа MPStats / не было ранее, но есть непротухший API</t>
  </si>
  <si>
    <t>ИБ?</t>
  </si>
  <si>
    <t>в разрезе по сегментам по обороту и активности</t>
  </si>
  <si>
    <t>решение</t>
  </si>
  <si>
    <t>ЦА</t>
  </si>
  <si>
    <t>вероятно незаинтересованный - снижаем CR в воронке</t>
  </si>
  <si>
    <t>какой компнаии передаем =сотрудник кто будет обрабтывать?</t>
  </si>
  <si>
    <t>NDA с ЮЛ на эту передачу данных с компанией - подписанный (наверно скан)</t>
  </si>
  <si>
    <t>Дата Т Банк - загружаем, ссылка и пароль - разные каналы (почта, тг/смс)</t>
  </si>
  <si>
    <t>1-2 дня</t>
  </si>
  <si>
    <t>Лиза/Карина?</t>
  </si>
  <si>
    <t>Сегмент по активности Т</t>
  </si>
  <si>
    <t>Сегмент 1.</t>
  </si>
  <si>
    <t xml:space="preserve">Сегмент 2. </t>
  </si>
  <si>
    <t xml:space="preserve">Сегмент 3. </t>
  </si>
  <si>
    <t xml:space="preserve">Сегмент 4. </t>
  </si>
  <si>
    <t>ИНН/ОГРН</t>
  </si>
  <si>
    <t>Есть АПИ</t>
  </si>
  <si>
    <t>LT</t>
  </si>
  <si>
    <t>В воронке имеет сымсл оставлять сначала АПИ потом триал иначе будут оставлять в МПСтатс, наша база для  для Селелр и ОБ не будет пополняться как раньше (сейчас можно взять триал без АПИ)</t>
  </si>
  <si>
    <t>Содержание (продление, удержание)</t>
  </si>
  <si>
    <t>кост на 1 сейлза</t>
  </si>
  <si>
    <t>кост на 1 РКО</t>
  </si>
  <si>
    <t>X</t>
  </si>
  <si>
    <t>Косты на маркетинг на 1 клиента с РКО</t>
  </si>
  <si>
    <t>разница не очищенный - очищенный доход Npv-PV (но что входит в неочищенный неизвестно, вероятно маркетинг)</t>
  </si>
  <si>
    <t>NPV РКО и др</t>
  </si>
  <si>
    <t>идея - заложить расходы пропорционально на Тариф?</t>
  </si>
  <si>
    <t>https://proteus.tcsbank.ru/superset/dashboard/50759/?native_filters_key=N1EflRdRl3eeD4pGUhCGkab9qHa_Xovcdedg2EUhsrPb6m9J-vOOQNoVLOXMOQ1R</t>
  </si>
  <si>
    <t>Косты сейлзов</t>
  </si>
  <si>
    <t>Сегмент 4. Клиенты без РКО в Т - Рынок. Открыли РКО</t>
  </si>
  <si>
    <t>Сегмент 3. Спящие клиенты в Т (нет транзакций по РКО). Проснулись</t>
  </si>
  <si>
    <t>//Согласились на демо встречу</t>
  </si>
  <si>
    <t>//Демо встреча состоялась</t>
  </si>
  <si>
    <t>/Дозвон sales (кто не согласился на демо)</t>
  </si>
  <si>
    <t xml:space="preserve">Сегмент 2. Активные клиенты в Т., но  без выплат от МП на РКО. </t>
  </si>
  <si>
    <t>CAC (расходы на продажи с маркетингом)</t>
  </si>
  <si>
    <t xml:space="preserve"> https://wiki.tcsbank.ru/pages/viewpage.action?pageId=8507435153 </t>
  </si>
  <si>
    <t>ФОТ (ком персонал + маркетинг)</t>
  </si>
  <si>
    <t>CAC (аллокация)</t>
  </si>
  <si>
    <t>Кол-во новых клиентов</t>
  </si>
  <si>
    <t>Кол-во активных клиентов</t>
  </si>
  <si>
    <t>CAC (продажи и маркетинг)</t>
  </si>
  <si>
    <t>LTV (удельные расходы на продление и удержание)</t>
  </si>
  <si>
    <t>Пилот Точка - тариф со скидкой 50%</t>
  </si>
  <si>
    <t>Факт</t>
  </si>
  <si>
    <t>План</t>
  </si>
  <si>
    <t>CR</t>
  </si>
  <si>
    <t>регистрации</t>
  </si>
  <si>
    <t>покупка МПС</t>
  </si>
  <si>
    <t>ОРС</t>
  </si>
  <si>
    <t>ОРС - upd</t>
  </si>
  <si>
    <t>DIGITAL</t>
  </si>
  <si>
    <t xml:space="preserve">сейчас CR рассчитан </t>
  </si>
  <si>
    <t>ср в мес</t>
  </si>
  <si>
    <t>cnt_untouched</t>
  </si>
  <si>
    <t>база селлеров - активные с выплатами на МП</t>
  </si>
  <si>
    <t>cnt_visits</t>
  </si>
  <si>
    <t xml:space="preserve">Лизы - визиты селлеров в Селлер </t>
  </si>
  <si>
    <t>CR_untouched_visits</t>
  </si>
  <si>
    <t>от базы селлеров</t>
  </si>
  <si>
    <t>cnt_first_visits</t>
  </si>
  <si>
    <t>Лиды - первый визит селлера в Селлер</t>
  </si>
  <si>
    <t>CR_untouched_first_visit</t>
  </si>
  <si>
    <t>cnt_api</t>
  </si>
  <si>
    <r>
      <t xml:space="preserve">оставил АПИ </t>
    </r>
    <r>
      <rPr>
        <sz val="11"/>
        <color theme="1"/>
        <rFont val="Calibri (Основной текст)"/>
        <charset val="204"/>
      </rPr>
      <t>(без ограничений по времени)</t>
    </r>
  </si>
  <si>
    <t>CR_first_visit_api</t>
  </si>
  <si>
    <t>от первого визита</t>
  </si>
  <si>
    <t>cnt_act</t>
  </si>
  <si>
    <t>активировался</t>
  </si>
  <si>
    <t>CR_first_visit_act</t>
  </si>
  <si>
    <t>cnt_trial</t>
  </si>
  <si>
    <r>
      <t>триал</t>
    </r>
    <r>
      <rPr>
        <sz val="11"/>
        <color theme="1"/>
        <rFont val="Calibri (Основной текст)"/>
        <charset val="204"/>
      </rPr>
      <t xml:space="preserve"> (по ЦД во время триала)</t>
    </r>
  </si>
  <si>
    <t>CR_visit_trial</t>
  </si>
  <si>
    <t>cnt_payment_after_trial</t>
  </si>
  <si>
    <t>оплата после траила - не отменил</t>
  </si>
  <si>
    <t>CR_visit_payment_after_trial</t>
  </si>
  <si>
    <t>cnt_payment</t>
  </si>
  <si>
    <t>отменил триал - позже оплата/ не брал триал</t>
  </si>
  <si>
    <t>CR_visit_payment</t>
  </si>
  <si>
    <t>payments всего</t>
  </si>
  <si>
    <t>оплат всего</t>
  </si>
  <si>
    <t>RETENTION_AVG</t>
  </si>
  <si>
    <t>LT_AVG, мес</t>
  </si>
  <si>
    <t>PV_AVG_PER_CLIENT_MONTHLY, руб</t>
  </si>
  <si>
    <t>LTV, руб</t>
  </si>
  <si>
    <t>SALES</t>
  </si>
  <si>
    <t>visits</t>
  </si>
  <si>
    <t>CR_untouched_visit</t>
  </si>
  <si>
    <t>api</t>
  </si>
  <si>
    <t>CR_visit_api</t>
  </si>
  <si>
    <t>от визитов</t>
  </si>
  <si>
    <t>act</t>
  </si>
  <si>
    <t>CR_visit_act</t>
  </si>
  <si>
    <t>trials</t>
  </si>
  <si>
    <t>payments</t>
  </si>
  <si>
    <t>все сегменты в мес</t>
  </si>
  <si>
    <t xml:space="preserve">неизвестно - дозрешие данные или нет </t>
  </si>
  <si>
    <t xml:space="preserve">LTV </t>
  </si>
  <si>
    <t xml:space="preserve">MPStats (за май 25-апр 26) </t>
  </si>
  <si>
    <t xml:space="preserve">LTV (тарифы MPStats) </t>
  </si>
  <si>
    <t>as is MPS но с учетом скидки 50%</t>
  </si>
  <si>
    <t>as is MPS (ср янв апр 2026)</t>
  </si>
  <si>
    <t>уточнить по сегменту (сейчас ср по 1 и 2 сегменту)</t>
  </si>
  <si>
    <t>Доход от тарифов MPStats</t>
  </si>
  <si>
    <t>- Звонки КЦ</t>
  </si>
  <si>
    <t>- Звонки sales</t>
  </si>
  <si>
    <t>- демо sales</t>
  </si>
  <si>
    <t>- маркетинг</t>
  </si>
  <si>
    <t>- триал (входит?)</t>
  </si>
  <si>
    <t>Расход на 1 день триала на 1 клиента</t>
  </si>
  <si>
    <t xml:space="preserve">as is MPS </t>
  </si>
  <si>
    <t>Доход - расход</t>
  </si>
  <si>
    <t>Первая покупка тарифа MPS</t>
  </si>
  <si>
    <t>Повторные покупки тарифа MPS</t>
  </si>
  <si>
    <t>CR в Т-Банке выше</t>
  </si>
  <si>
    <t>Данные для расчета</t>
  </si>
  <si>
    <t>нужно понять итоговоый согласованный размер скидки</t>
  </si>
  <si>
    <t>но вообще абсолюты - от всех визитов cnt_visits - Заход и действие в 1 месяц, но не обязательно первый заход</t>
  </si>
  <si>
    <t>Общее</t>
  </si>
  <si>
    <t>Квалификация лидов (дозвон КЦ) - ЦА</t>
  </si>
  <si>
    <t>Лиды (визииты Селлер)</t>
  </si>
  <si>
    <t>Сегмент 1.  Активные селлеры в Т с выплатами от МП. 1 приоритет</t>
  </si>
  <si>
    <t xml:space="preserve">Сегмент 2. Активные селлеры в Т., но  без выплат от МП </t>
  </si>
  <si>
    <t>Сегмент 3. Спящие селлеры в Т (нет транзакций по РКО)</t>
  </si>
  <si>
    <t>Сегмент 4. Селлеры без РКО в Т - Рынок</t>
  </si>
  <si>
    <t>добавить самоходов</t>
  </si>
  <si>
    <t>логика дохода от др продуктов??</t>
  </si>
  <si>
    <t>Расход на привлечение MPStats</t>
  </si>
  <si>
    <t>Расход на содержание MPStats</t>
  </si>
  <si>
    <t>Расходы по др продуктам Т-Банк</t>
  </si>
  <si>
    <t>Доход Т-Банк  всего (тарифы + др продукты)</t>
  </si>
  <si>
    <t>гипотза - расходы в 3 раза ниже чем у MPStats с sales</t>
  </si>
  <si>
    <t>Расход на 1 клиента - тарифы MPStats</t>
  </si>
  <si>
    <t>Расход на 1 клиента - др продукты Т-Банка</t>
  </si>
  <si>
    <t>Гипотеза 1. Sales MPS + Биллинг MPS</t>
  </si>
  <si>
    <t>Гипотеза 2. Sales MPS + Биллинг Т</t>
  </si>
  <si>
    <t>Гипотеза 5. Digital +  Sales канал Т + Биллинг Т</t>
  </si>
  <si>
    <t>Гипотеза 6. Sales канал Т + Биллинг Т</t>
  </si>
  <si>
    <t>Увеличение базы - влияние MPStast</t>
  </si>
  <si>
    <t>внутренний маркетинг считается бесплатным каналом</t>
  </si>
  <si>
    <t>- Демо sales</t>
  </si>
  <si>
    <t>- Маркетинг</t>
  </si>
  <si>
    <t>- Триал (входит?)</t>
  </si>
  <si>
    <t>-Продажи</t>
  </si>
  <si>
    <t>- Продажи</t>
  </si>
  <si>
    <t>Лиды (визиты Селлер)</t>
  </si>
  <si>
    <t>LTV MPStats (за май 2025-апрель 2026) - v2 очищенные</t>
  </si>
  <si>
    <t>&gt;100 млн</t>
  </si>
  <si>
    <t>без оборотов</t>
  </si>
  <si>
    <t>связь с селлером не найдена</t>
  </si>
  <si>
    <t>Клиентов</t>
  </si>
  <si>
    <t>LT мес</t>
  </si>
  <si>
    <t>LTV  - тарифы MPStats</t>
  </si>
  <si>
    <t>За 1 мес LT</t>
  </si>
  <si>
    <t>гипотеза: +1 мес к LT (за счет досписания с РКО на след мес при недостатке ДС)</t>
  </si>
  <si>
    <t>Расходы</t>
  </si>
  <si>
    <t>Квалификация лидов (Не дозвон КЦ)</t>
  </si>
  <si>
    <t>Покупка тарифа MPS (основной канал)</t>
  </si>
  <si>
    <t>Покупка тарифа MPS (самоходы)</t>
  </si>
  <si>
    <t>Покупка тарифа MPS (всего)</t>
  </si>
  <si>
    <t xml:space="preserve">Продление и удержание </t>
  </si>
  <si>
    <t>Запросы к API маркетплейсы</t>
  </si>
  <si>
    <t xml:space="preserve">Доходы: Тарифы MPStats </t>
  </si>
  <si>
    <t xml:space="preserve">Расходы: Тарифы MPStats </t>
  </si>
  <si>
    <t>NPV: тарифы MPStats</t>
  </si>
  <si>
    <t>LT гипотеза: тарифы MPStats</t>
  </si>
  <si>
    <t xml:space="preserve">LT as is: MPStats ( май 25-апр 26) </t>
  </si>
  <si>
    <t xml:space="preserve">LTV as is: MPStats ( май 25-апр 26) </t>
  </si>
  <si>
    <t>LTV гипотеза: тарифы MPStats</t>
  </si>
  <si>
    <t xml:space="preserve">LTV: другие продукты Банка </t>
  </si>
  <si>
    <t>LTV: другие продукты Банка (PV)</t>
  </si>
  <si>
    <t>LTV: другие продукты Банка (NPV)</t>
  </si>
  <si>
    <t>LTV гипотеза: другие продукты Банка (NPV). Влияние MPStas</t>
  </si>
  <si>
    <t>доп LTV</t>
  </si>
  <si>
    <t xml:space="preserve">гипотеза - LTV выше на X за счет ковенант </t>
  </si>
  <si>
    <t>Расходы as is: содержание (продление, удержание)</t>
  </si>
  <si>
    <t>Расходы гипотеза: содержание (продление, удержание)</t>
  </si>
  <si>
    <t>CAC (продажи + марктеинг)</t>
  </si>
  <si>
    <t>CAC гипотеза: привлечение</t>
  </si>
  <si>
    <t>Расходы на API в мес. </t>
  </si>
  <si>
    <t>Расходы as is: запросы API Селлер</t>
  </si>
  <si>
    <t>Расходы гипотеза: запросы API</t>
  </si>
  <si>
    <t>Расходы as is: MPStats (ср янв апр 2026)</t>
  </si>
  <si>
    <t xml:space="preserve"> LT выше (досписания-люготный период)</t>
  </si>
  <si>
    <t>NPV: всего</t>
  </si>
  <si>
    <t>гипотеза - LTV выше на X (за счет ковенант)</t>
  </si>
  <si>
    <t>доп LTV выше (ковенанты)</t>
  </si>
  <si>
    <t>NPV доп: продукты Т-Банк (влияние MPStats)</t>
  </si>
  <si>
    <t>act и api - нужно от первых визитов</t>
  </si>
  <si>
    <t>Расходы as is: запросы API 1 день триала</t>
  </si>
  <si>
    <t>Расходы as is: запросы API на 1 плятящего</t>
  </si>
  <si>
    <t>Количество платящих пользователей в мес. </t>
  </si>
  <si>
    <t>Расходы на API в мес. на 1 платящего пользователя</t>
  </si>
  <si>
    <t>гипотеза - если будет внешний маркетинг (3 млн на медиа и тг каналы)-- Закладывать?</t>
  </si>
  <si>
    <t>Тема</t>
  </si>
  <si>
    <t>Что</t>
  </si>
  <si>
    <t>Кто</t>
  </si>
  <si>
    <t>Катя</t>
  </si>
  <si>
    <t>дали 17 июн</t>
  </si>
  <si>
    <t>LTV по сегментам - дозревший? -- пересчитали 17 июн + дали новую сегментацию</t>
  </si>
  <si>
    <t>Костя</t>
  </si>
  <si>
    <t>Пересечение баз Т и MPS</t>
  </si>
  <si>
    <t>рапределение по сегментам по обортам</t>
  </si>
  <si>
    <t>Т-Бнак</t>
  </si>
  <si>
    <t>автосписания</t>
  </si>
  <si>
    <t>досписания</t>
  </si>
  <si>
    <r>
      <t xml:space="preserve">Пока опираемся на 50% - </t>
    </r>
    <r>
      <rPr>
        <sz val="12"/>
        <color rgb="FFFF0000"/>
        <rFont val="Calibri (Основной текст)"/>
        <charset val="204"/>
      </rPr>
      <t>изменится?</t>
    </r>
  </si>
  <si>
    <t>28 тыс - продажи+маркетинг</t>
  </si>
  <si>
    <t>гипотеза - сколько дают ковенанты к LT</t>
  </si>
  <si>
    <t>Юля/Никита/Лиза</t>
  </si>
  <si>
    <t xml:space="preserve">Добавить в базу - селлеры без оборота? </t>
  </si>
  <si>
    <t>WB</t>
  </si>
  <si>
    <t>Озон</t>
  </si>
  <si>
    <t>Весь МПС</t>
  </si>
  <si>
    <t>Отдельные блоки</t>
  </si>
  <si>
    <t>1 мес</t>
  </si>
  <si>
    <t xml:space="preserve"> БЫЛО</t>
  </si>
  <si>
    <t>Тарифы</t>
  </si>
  <si>
    <t>Ср чек</t>
  </si>
  <si>
    <t>База</t>
  </si>
  <si>
    <t>Средний</t>
  </si>
  <si>
    <t>Гипотеза 3.Digital + Биллинг Т</t>
  </si>
  <si>
    <t>Конверсии</t>
  </si>
  <si>
    <t>без учета пересечений баз с MPStats (нет данных)</t>
  </si>
  <si>
    <t>скидка 50% от тарифов MPS</t>
  </si>
  <si>
    <t>нужна разбивка</t>
  </si>
  <si>
    <t>нужны данные MPS</t>
  </si>
  <si>
    <t>нужны данные MPS (должно быть больше)</t>
  </si>
  <si>
    <t>триал вкл?</t>
  </si>
  <si>
    <t>где разбивка?</t>
  </si>
  <si>
    <t>LTV MPStats (за май 2025-апрель 2026) - v1 исх</t>
  </si>
  <si>
    <t>нет данных пока (можно посчиать в начале/сер июля)</t>
  </si>
  <si>
    <t>оптимисчтино</t>
  </si>
  <si>
    <t>ОБСУЖДЕНИЕ</t>
  </si>
  <si>
    <t xml:space="preserve">https://unidraw.io/app/board/a099d59523c3e8ff1926?allow_guest=true </t>
  </si>
  <si>
    <t>СТАЛО (с июня 26)</t>
  </si>
  <si>
    <t>для Т (скидка 50%)</t>
  </si>
  <si>
    <t>ИТОГО: база для воронки</t>
  </si>
  <si>
    <t>- Триал (если входит в САС)</t>
  </si>
  <si>
    <t>конверсии ориентировочные - Опалат, апи, тариал</t>
  </si>
  <si>
    <t>ALL</t>
  </si>
  <si>
    <t xml:space="preserve">https://mpstats.io/tariffs </t>
  </si>
  <si>
    <t>Распределение селлеров по сегментам по оборотам в Т-Банке (акт РКО/ не утиль Озони ВБ)</t>
  </si>
  <si>
    <t>проверить в реальности какое число без оборотов - оставляют апи/ активруются потом /покупают? --- почти нет</t>
  </si>
  <si>
    <t>https://jira.tcsbank.ru/browse/ECA-2058</t>
  </si>
  <si>
    <r>
      <t xml:space="preserve">пока взяла экспертно. Карина уточнит - </t>
    </r>
    <r>
      <rPr>
        <sz val="12"/>
        <color rgb="FF0070C0"/>
        <rFont val="Calibri (Основной текст)"/>
        <charset val="204"/>
      </rPr>
      <t>в др продуктах Т какой рез?- Саша: сложно перенести на наш кейс (пока у нас даже нет условий)</t>
    </r>
  </si>
  <si>
    <t>будем ли мы использовать внешний маркетинг?</t>
  </si>
  <si>
    <r>
      <t xml:space="preserve">если да - 3 млн (медиа+тг каналы). Внутренний маркетинг считается условно беспралтным. </t>
    </r>
    <r>
      <rPr>
        <sz val="12"/>
        <color rgb="FF0070C0"/>
        <rFont val="Calibri (Основной текст)"/>
        <charset val="204"/>
      </rPr>
      <t>По предварительной бизнес модели - имеет сымсл + нужно понять финальный оффер. Обсудить</t>
    </r>
  </si>
  <si>
    <t>Финальная скидка на тарифы, оффер Т</t>
  </si>
  <si>
    <t>10-100 млн</t>
  </si>
  <si>
    <t>Сегмент по статусу активности (только WB/Ozon, без Яндекс маркета)</t>
  </si>
  <si>
    <t>База клиентов для Селлера из сегмента 3 и 4 = CR  из модели Карины (проснулись/открыли РКО)</t>
  </si>
  <si>
    <r>
      <t xml:space="preserve">Распределение по сегментам - пересчитать. </t>
    </r>
    <r>
      <rPr>
        <sz val="12"/>
        <color theme="1"/>
        <rFont val="Calibri (Основной текст)"/>
        <charset val="204"/>
      </rPr>
      <t>+ добавить новую сегментацию &gt;100 млн</t>
    </r>
  </si>
  <si>
    <t>Селелры без оборотов: заходят в Селлер, после оставляют АПИ (без ограничений по времени)</t>
  </si>
  <si>
    <t>февраль</t>
  </si>
  <si>
    <t>март</t>
  </si>
  <si>
    <t>аперль</t>
  </si>
  <si>
    <t>ср</t>
  </si>
  <si>
    <t>Заходы в Селлер</t>
  </si>
  <si>
    <t>Оставили АПИ</t>
  </si>
  <si>
    <t>в то время как "селлеры с оборотами" оставляют АПИ - 25%</t>
  </si>
  <si>
    <t>Зачем: нам нужно учесть в расходах.</t>
  </si>
  <si>
    <r>
      <t>Что ожидаем:</t>
    </r>
    <r>
      <rPr>
        <sz val="12"/>
        <color rgb="FF222222"/>
        <rFont val="Calibri"/>
        <family val="2"/>
        <scheme val="minor"/>
      </rPr>
      <t> необходима разбивка СAC – </t>
    </r>
    <r>
      <rPr>
        <u/>
        <sz val="12"/>
        <color rgb="FF222222"/>
        <rFont val="Calibri"/>
        <family val="2"/>
        <scheme val="minor"/>
      </rPr>
      <t>как минимум</t>
    </r>
    <r>
      <rPr>
        <sz val="12"/>
        <color rgb="FF222222"/>
        <rFont val="Calibri"/>
        <family val="2"/>
        <scheme val="minor"/>
      </rPr>
      <t> на «продажи» и  «маркетинг», «триал» (если входит). Зачем: нам нужно вычесть ваши расходы на маркетинг и применить другие расходы на триал. Если есть данные по подкатегориям (звонки КЦ, звонки sales, демо sales) – то по ним тоже. Зачем: рассчитать вариант, когда часть коммуникаций - через Т-Банк.</t>
    </r>
  </si>
  <si>
    <t>Что ожидаем: стоимость 1 дня триала на любого клиента. Зачем: нам нужно учесть в расходах стоимость триала - мы еще думаем какое количество дней это должно быть. Вопрос: Обсуждали что триал выдается всем клиентам автоматом после заявки на сайте. А какая доля от всех лидов активруют/используют триал (т.е. есть расходы)?</t>
  </si>
  <si>
    <t>Из них - придут за MPStats из модели Карины</t>
  </si>
  <si>
    <t>ALL Digital</t>
  </si>
  <si>
    <t>ALL Sales</t>
  </si>
  <si>
    <t xml:space="preserve">ALL </t>
  </si>
  <si>
    <t>Sales (&gt;1 млн оборот)</t>
  </si>
  <si>
    <t>Digital (до 1 млн оборот)</t>
  </si>
  <si>
    <r>
      <t xml:space="preserve">Гипотеза 4. Digital +  </t>
    </r>
    <r>
      <rPr>
        <b/>
        <sz val="14"/>
        <color theme="1"/>
        <rFont val="Calibri (Основной текст)"/>
        <charset val="204"/>
      </rPr>
      <t>Sales MPS</t>
    </r>
    <r>
      <rPr>
        <b/>
        <sz val="14"/>
        <color theme="1"/>
        <rFont val="Calibri"/>
        <family val="2"/>
        <scheme val="minor"/>
      </rPr>
      <t xml:space="preserve"> (крупные) + Биллинг Т</t>
    </r>
  </si>
  <si>
    <r>
      <t xml:space="preserve">от какой базы считаем воронку. какой базе продаем, какие сегменты - какие тарифы (за вычетом пересечений баз: есть тариф - исключаем, есть апи и нет тарифа - низкая вреоятность покупки) - </t>
    </r>
    <r>
      <rPr>
        <sz val="12"/>
        <color rgb="FFFF0000"/>
        <rFont val="Calibri (Основной текст)"/>
        <charset val="204"/>
      </rPr>
      <t>не хотят</t>
    </r>
    <r>
      <rPr>
        <sz val="12"/>
        <color rgb="FFFF0000"/>
        <rFont val="Calibri"/>
        <family val="2"/>
        <scheme val="minor"/>
      </rPr>
      <t xml:space="preserve"> делать пересечение (юр блокеры/долго)</t>
    </r>
  </si>
  <si>
    <t>Актуальный месяц</t>
  </si>
  <si>
    <t>января</t>
  </si>
  <si>
    <t>февраля</t>
  </si>
  <si>
    <t>марта</t>
  </si>
  <si>
    <t>апреля</t>
  </si>
  <si>
    <t>мая</t>
  </si>
  <si>
    <t>мая 2026</t>
  </si>
  <si>
    <t>Full CAC (все расходы на привлечение)</t>
  </si>
  <si>
    <t>САС (прямые расходы на продажи с маркетингом)</t>
  </si>
  <si>
    <t>тыс. руб.</t>
  </si>
  <si>
    <t>Стоимость удержания и продления</t>
  </si>
  <si>
    <t>Количество клиентов, которые взяли ДД</t>
  </si>
  <si>
    <t>тыс. шт.</t>
  </si>
  <si>
    <t>САС до ДД (стоимость привлечения по клиентов взявшие Демо доступ)</t>
  </si>
  <si>
    <t>Новые клиенты Сервиса ( шт)</t>
  </si>
  <si>
    <t>шт.</t>
  </si>
  <si>
    <t>Стоимость САС (маркетинговый бюджет\новый клиент (покупка))</t>
  </si>
  <si>
    <t>Стоимость САС (маркетинговый фот\новый клиент (покупка))</t>
  </si>
  <si>
    <t>Стоимость САС (КЦ\новый клиент (покупка))</t>
  </si>
  <si>
    <t>Стоимость САС (продажи фот\новый клиент (покупка))</t>
  </si>
  <si>
    <t>Сумма приходов от новых клиентов Сервиса)</t>
  </si>
  <si>
    <t>млн. руб.</t>
  </si>
  <si>
    <t>Ср чек от новых оплат</t>
  </si>
  <si>
    <t>Стоимость API/платящий клиент</t>
  </si>
  <si>
    <t>руб.</t>
  </si>
  <si>
    <t>разница</t>
  </si>
  <si>
    <t>Усреднен янв-апр</t>
  </si>
  <si>
    <t>СТАЛО</t>
  </si>
  <si>
    <t>Маркетинг</t>
  </si>
  <si>
    <t>Продажи</t>
  </si>
  <si>
    <t>Усредненное янв-май</t>
  </si>
  <si>
    <t>Итого (проверка логики)</t>
  </si>
  <si>
    <t>Итого: САС (прямые расходы на продажи с маркетингом)</t>
  </si>
  <si>
    <t>БЫЛО (в предыдущем скрине)</t>
  </si>
  <si>
    <t>- Триал</t>
  </si>
  <si>
    <t>Привлечение (продажи + маркетинг)</t>
  </si>
  <si>
    <t>CAC v1</t>
  </si>
  <si>
    <t>CAC v2</t>
  </si>
  <si>
    <t>Другое</t>
  </si>
  <si>
    <t>Расходы на API в мес. на 1 активного пользователя</t>
  </si>
  <si>
    <t>Усреднен фев-май</t>
  </si>
  <si>
    <t xml:space="preserve">- Триал </t>
  </si>
  <si>
    <t>Количество активных пользователей в мес. (мар-май26)</t>
  </si>
  <si>
    <t>главаная страница Селлер</t>
  </si>
  <si>
    <t>Новая главная: Расходы на API в мес. на 1 активного пользователя</t>
  </si>
  <si>
    <t>Расходы as is: запросы API на 1 платящего</t>
  </si>
  <si>
    <t>Привлечение (маркетинг Т внешний)</t>
  </si>
  <si>
    <t>Расходы as is: запросы API 1 день триала любого пользователя</t>
  </si>
  <si>
    <t>- Звонки sales, демо sales</t>
  </si>
  <si>
    <t>Привлечение (sales, КЦ MPStas)</t>
  </si>
  <si>
    <t>Привлечение (триал - 14 дн)</t>
  </si>
  <si>
    <t>Продление и удержание MPStas</t>
  </si>
  <si>
    <t>MPStats на 1 плятящего в мес</t>
  </si>
  <si>
    <t>Селлер новая главная на 1 платящего в мес</t>
  </si>
  <si>
    <t>Триал: запросы API  14 дней триала любого пользователя (посещение 4 дня)</t>
  </si>
  <si>
    <t>Маркетинг Т- внешний</t>
  </si>
  <si>
    <t>Запросы к API МП (бесплатная версия Селлер)</t>
  </si>
  <si>
    <t>Распределение селлров as is</t>
  </si>
  <si>
    <t>Запросы к API МП (за MPStats)</t>
  </si>
  <si>
    <t>Селлер новая главная на 1 лида (неплатящего, но с API) за все время</t>
  </si>
  <si>
    <t>Запросы к API МП (бесплатная версия Селлер) - платящие</t>
  </si>
  <si>
    <t>Запросы к API МП (бесплатная версия Селлер) - лиды</t>
  </si>
  <si>
    <t>Доля лидов кто кто оставит АПИ</t>
  </si>
  <si>
    <t>Доля лидов кто кто активируют триал</t>
  </si>
  <si>
    <t>гипотеза - если будет внешний маркетинг (3 млн на медиа и тг каналы). внутренний маркетинг считается бесплатным каналом</t>
  </si>
  <si>
    <t>В среднем автосписания дают аплифт 4.4 п.п к конверсии в оплату из реги. (Базовая 3.75%)</t>
  </si>
  <si>
    <t>Досписания увеличивают средний LT на 0.7 месяца</t>
  </si>
  <si>
    <t>более 1 млн</t>
  </si>
  <si>
    <t>Sales</t>
  </si>
  <si>
    <t>Digital</t>
  </si>
  <si>
    <t>визит селлер</t>
  </si>
  <si>
    <t xml:space="preserve">до 1 млн </t>
  </si>
  <si>
    <t>доп сегментация</t>
  </si>
  <si>
    <t>до 100</t>
  </si>
  <si>
    <t>до 500</t>
  </si>
  <si>
    <t>CR в оплату</t>
  </si>
  <si>
    <t>Net Rev 1 мес</t>
  </si>
  <si>
    <t>Net Rev на 1 клиента</t>
  </si>
  <si>
    <t>база селлеров</t>
  </si>
  <si>
    <t>на каких сегментах имеет смысл делать тест?</t>
  </si>
  <si>
    <t>есть ли достаточное кол-ов для теста? Сколько нужно для теста?</t>
  </si>
  <si>
    <t>сколько могут обработать сейлзы за 1 мес?</t>
  </si>
  <si>
    <t>далее - продумать маркетинг, чтобы нужны сегменты посещали селлер</t>
  </si>
  <si>
    <t>Открытые вопросы</t>
  </si>
  <si>
    <t>Какие метрики имеет смысл смотреть в Тесте</t>
  </si>
  <si>
    <t>500-1 млн</t>
  </si>
  <si>
    <t>Всего база селлеров</t>
  </si>
  <si>
    <t>Для теста</t>
  </si>
  <si>
    <t xml:space="preserve">Далее - только от этих лидов смотрите оплаты. </t>
  </si>
  <si>
    <t>В течение какого времени от лида сомтрите оплату? Есть/нет огранчиения по времени?</t>
  </si>
  <si>
    <t>В течение анлизируемого периода, кроме коммуникаций по воронке продаж (КЦ квалификация -&gt; Демо встерча/ Звонок sales),  были ли еще какие-то коммуникации по допродаже?</t>
  </si>
  <si>
    <t xml:space="preserve">Лиды которые были в работе в фев, апр, мае (могли прийти ранее, напрмиер, в январе). </t>
  </si>
  <si>
    <t>Опалты, которые прошли фев, апр, мае (в том числе по лидам, с которыми начали работу ранее, напрмиер, в январе)</t>
  </si>
  <si>
    <t>События в фев, апр, мае</t>
  </si>
  <si>
    <t xml:space="preserve">По лидам, которые пришли в фев, апр, мае. </t>
  </si>
  <si>
    <t>Вопрос по методике</t>
  </si>
  <si>
    <t>визиты все</t>
  </si>
  <si>
    <t>оплаты все (не только от первых визитов)</t>
  </si>
  <si>
    <t>так у нас на дашах синтетическая метрика</t>
  </si>
  <si>
    <t>первые визиты</t>
  </si>
  <si>
    <t>оплаты от первых визитов (в фев -апр)</t>
  </si>
  <si>
    <t>1 мес до оплаты</t>
  </si>
  <si>
    <t>оплата без ораничений фев-июнь</t>
  </si>
  <si>
    <t>Методика: по факту событий в месяце: все визиты в мес, все оплаты в мес (в тч по клиентам которые не посещали в этот мес)</t>
  </si>
  <si>
    <t>1 мес от лида до оплаты</t>
  </si>
  <si>
    <t>Методика: оплаты только от лидов (первых визитов) фев-апр</t>
  </si>
  <si>
    <t>Запросы к API МП (бесплатная версия Селлер) - неплатящие Добавить расход</t>
  </si>
  <si>
    <t>Конверсии как дали MPStats</t>
  </si>
  <si>
    <t xml:space="preserve">Квалификацированные лиды ЦА </t>
  </si>
  <si>
    <t>Квалификацированные лиды ЦА (не дозвон КЦ)</t>
  </si>
  <si>
    <t>от Лиды</t>
  </si>
  <si>
    <t>от Квалиф. Лиды</t>
  </si>
  <si>
    <t>0,7% / 0,41%/ 1,1% всего</t>
  </si>
  <si>
    <t>от Базы</t>
  </si>
  <si>
    <t>от Квал. Лиды</t>
  </si>
  <si>
    <t>проверка</t>
  </si>
  <si>
    <r>
      <rPr>
        <b/>
        <sz val="14"/>
        <color theme="1"/>
        <rFont val="Calibri"/>
        <family val="2"/>
        <scheme val="minor"/>
      </rPr>
      <t>Хантеры</t>
    </r>
    <r>
      <rPr>
        <sz val="14"/>
        <color theme="1"/>
        <rFont val="Calibri"/>
        <family val="2"/>
        <scheme val="minor"/>
      </rPr>
      <t xml:space="preserve"> - 0,7% сквозной СR от лидов; </t>
    </r>
    <r>
      <rPr>
        <b/>
        <sz val="14"/>
        <color theme="1"/>
        <rFont val="Calibri"/>
        <family val="2"/>
        <scheme val="minor"/>
      </rPr>
      <t>ОТП</t>
    </r>
    <r>
      <rPr>
        <sz val="14"/>
        <color theme="1"/>
        <rFont val="Calibri"/>
        <family val="2"/>
        <scheme val="minor"/>
      </rPr>
      <t xml:space="preserve"> - 0,41% сквозной СR от лидов или </t>
    </r>
    <r>
      <rPr>
        <b/>
        <sz val="14"/>
        <color theme="1"/>
        <rFont val="Calibri"/>
        <family val="2"/>
        <scheme val="minor"/>
      </rPr>
      <t xml:space="preserve">6,85% от звонка  </t>
    </r>
    <r>
      <rPr>
        <sz val="14"/>
        <color theme="1"/>
        <rFont val="Calibri"/>
        <family val="2"/>
        <scheme val="minor"/>
      </rPr>
      <t>(горячие 34% - от звонка, заинтересован - 2% от звонка)</t>
    </r>
  </si>
  <si>
    <t>AS IS от Саши</t>
  </si>
  <si>
    <t>Доля</t>
  </si>
  <si>
    <t>Количество</t>
  </si>
  <si>
    <t>1. Sales MPS – Биллинг MPS</t>
  </si>
  <si>
    <t>2. Sales MPS – Биллинг Т</t>
  </si>
  <si>
    <t>3.Digital – Биллинг Т</t>
  </si>
  <si>
    <t>Оплаты тарифов</t>
  </si>
  <si>
    <t>Лиды</t>
  </si>
  <si>
    <t>От какого этапа</t>
  </si>
  <si>
    <t>От все Лиды</t>
  </si>
  <si>
    <t>От все Лиды Sales</t>
  </si>
  <si>
    <t>От все Лиды Digital</t>
  </si>
  <si>
    <t>CR в оплату (от всех лидов)</t>
  </si>
  <si>
    <t xml:space="preserve">100k-500k </t>
  </si>
  <si>
    <t xml:space="preserve">10-100 млн </t>
  </si>
  <si>
    <t xml:space="preserve">1-10 млн </t>
  </si>
  <si>
    <t xml:space="preserve">500k-1 млн </t>
  </si>
  <si>
    <t xml:space="preserve">менее 100k </t>
  </si>
  <si>
    <t>CAC</t>
  </si>
  <si>
    <t>Potential Value: всего</t>
  </si>
  <si>
    <r>
      <t xml:space="preserve">Potential Value: продукты Т-Банк (влияние MPStats)
</t>
    </r>
    <r>
      <rPr>
        <i/>
        <sz val="14"/>
        <color theme="1"/>
        <rFont val="Calibri"/>
        <family val="2"/>
        <scheme val="minor"/>
      </rPr>
      <t>NVP от всех продуктов Т-Банк</t>
    </r>
  </si>
  <si>
    <t>Привлечение</t>
  </si>
  <si>
    <r>
      <t xml:space="preserve">Potential Value: тарифы MPStats
</t>
    </r>
    <r>
      <rPr>
        <i/>
        <sz val="14"/>
        <color theme="1"/>
        <rFont val="Calibri"/>
        <family val="2"/>
        <scheme val="minor"/>
      </rPr>
      <t>Доходы - Расходы на привлечение, API</t>
    </r>
    <r>
      <rPr>
        <b/>
        <sz val="14"/>
        <color theme="1"/>
        <rFont val="Calibri"/>
        <family val="2"/>
        <scheme val="minor"/>
      </rPr>
      <t>,</t>
    </r>
    <r>
      <rPr>
        <i/>
        <sz val="14"/>
        <color theme="1"/>
        <rFont val="Calibri"/>
        <family val="2"/>
        <scheme val="minor"/>
      </rPr>
      <t xml:space="preserve"> продление и удержание</t>
    </r>
  </si>
  <si>
    <t xml:space="preserve">API </t>
  </si>
  <si>
    <t>Расходы на платящего клиента</t>
  </si>
  <si>
    <t>Запросы к API МП (бесплатная версия Селлер) - НЕ платящие</t>
  </si>
  <si>
    <t>Все расходы</t>
  </si>
  <si>
    <t>Продление и удержание</t>
  </si>
  <si>
    <t>Доходы и расходы на 1 платящего клиента</t>
  </si>
  <si>
    <t>Потенциальная прибыль</t>
  </si>
  <si>
    <t>Доходы и расходы всего</t>
  </si>
  <si>
    <t>Сегмент 1+ 2</t>
  </si>
  <si>
    <t>Доля сегмента</t>
  </si>
  <si>
    <t>&gt; 100 млн</t>
  </si>
  <si>
    <t>4. Digital + Sales MPS (&gt;1 млн) – Биллинг Т</t>
  </si>
  <si>
    <t>Тарифы MPStats
Доходы - Расходы на Привлечение, API, продление и удержание</t>
  </si>
  <si>
    <t>Продукты Т-Банк (влияние MPStats)
NVP от всех продуктов Т-Банк</t>
  </si>
  <si>
    <t>ДО добавления расходов на API последних</t>
  </si>
  <si>
    <t xml:space="preserve">Доходы и расходы: Тарифы MPStats </t>
  </si>
  <si>
    <t>Доходы</t>
  </si>
  <si>
    <r>
      <rPr>
        <b/>
        <sz val="14"/>
        <color theme="1"/>
        <rFont val="Calibri"/>
        <family val="2"/>
        <scheme val="minor"/>
      </rPr>
      <t>Тарифы MPStats</t>
    </r>
    <r>
      <rPr>
        <sz val="14"/>
        <color theme="1"/>
        <rFont val="Calibri"/>
        <family val="2"/>
        <charset val="204"/>
        <scheme val="minor"/>
      </rPr>
      <t xml:space="preserve">
</t>
    </r>
    <r>
      <rPr>
        <i/>
        <sz val="14"/>
        <color theme="0" tint="-0.499984740745262"/>
        <rFont val="Calibri (Основной текст)"/>
        <charset val="204"/>
      </rPr>
      <t>Доходы - Расходы на Привлечение, API</t>
    </r>
    <r>
      <rPr>
        <sz val="14"/>
        <color theme="0" tint="-0.499984740745262"/>
        <rFont val="Calibri (Основной текст)"/>
        <charset val="204"/>
      </rPr>
      <t>,</t>
    </r>
    <r>
      <rPr>
        <i/>
        <sz val="14"/>
        <color theme="0" tint="-0.499984740745262"/>
        <rFont val="Calibri (Основной текст)"/>
        <charset val="204"/>
      </rPr>
      <t xml:space="preserve"> продление и удержание</t>
    </r>
  </si>
  <si>
    <r>
      <rPr>
        <b/>
        <sz val="14"/>
        <color theme="1"/>
        <rFont val="Calibri"/>
        <family val="2"/>
        <scheme val="minor"/>
      </rPr>
      <t>Продукты Т-Банк (влияние MPStats)</t>
    </r>
    <r>
      <rPr>
        <sz val="14"/>
        <color theme="1"/>
        <rFont val="Calibri"/>
        <family val="2"/>
        <charset val="204"/>
        <scheme val="minor"/>
      </rPr>
      <t xml:space="preserve">
</t>
    </r>
    <r>
      <rPr>
        <i/>
        <sz val="14"/>
        <color theme="0" tint="-0.499984740745262"/>
        <rFont val="Calibri (Основной текст)"/>
        <charset val="204"/>
      </rPr>
      <t>NVP от всех продуктов Т-Банк</t>
    </r>
  </si>
  <si>
    <r>
      <t xml:space="preserve">4. Digital + </t>
    </r>
    <r>
      <rPr>
        <b/>
        <sz val="14"/>
        <color theme="9" tint="-0.249977111117893"/>
        <rFont val="Calibri (Основной текст)"/>
        <charset val="204"/>
      </rPr>
      <t>Sales MPS</t>
    </r>
    <r>
      <rPr>
        <b/>
        <sz val="14"/>
        <color theme="9" tint="-0.249977111117893"/>
        <rFont val="Calibri"/>
        <family val="2"/>
        <scheme val="minor"/>
      </rPr>
      <t xml:space="preserve"> (&gt;1 млн) – Биллинг Т</t>
    </r>
  </si>
  <si>
    <t>API маркетплейсов</t>
  </si>
  <si>
    <t xml:space="preserve"> LT для неплатящих пользоватлей в Селлер</t>
  </si>
  <si>
    <t>среднее число заходов в Селлер в месяц на 1 неплатящего пользователя</t>
  </si>
  <si>
    <t>среднее число заходов в Селлер в меясц на 1 платящего пользователя</t>
  </si>
  <si>
    <t xml:space="preserve">Расходы as is: запросы API 1 день триала </t>
  </si>
  <si>
    <t>Селлер новая главная на лида (неплатящего, но с API) за все время 1 заход</t>
  </si>
  <si>
    <t>Селлер новая главная на 1 платящего в мес, 9 заходов в мес</t>
  </si>
  <si>
    <t>Селлер новая главная на неплатящего (но с API)  в мес, 2 захода в мес</t>
  </si>
  <si>
    <t>гипотеза AS IS + 20%</t>
  </si>
  <si>
    <t>Ox_Грануляция</t>
  </si>
  <si>
    <t>Без раскраски</t>
  </si>
  <si>
    <t>Выяснила что по процессу</t>
  </si>
  <si>
    <t>с ноября  2024 фокус сейлзов был на продаже тарифов (до этого - на активацию в АПИ)</t>
  </si>
  <si>
    <t>с апр 2025 - убрали из процесса сейлзов </t>
  </si>
  <si>
    <t>фокус на монетизации</t>
  </si>
  <si>
    <t>ср MAU</t>
  </si>
  <si>
    <t>доя MAU с API</t>
  </si>
  <si>
    <t>https://time.tbank.ru/tinkoff/pl/exj7twew7pb5b8ykrdr3pyr6wc</t>
  </si>
  <si>
    <t>Селлер AS IS</t>
  </si>
  <si>
    <t xml:space="preserve"> LT для   платящих пользоватлей в Селлер</t>
  </si>
  <si>
    <t>мес</t>
  </si>
  <si>
    <t>Доля MAU с API ключами</t>
  </si>
  <si>
    <t>Доля MAU  с API ключами</t>
  </si>
  <si>
    <t>ср MAU (когда фокус был на моентизации (сен 25- дек 25)</t>
  </si>
  <si>
    <t>Квалификацированные лиды ЦА (дозвоны)</t>
  </si>
  <si>
    <t>Гипотеза 4. Digital +  Sales MPS (&gt; 1млн) + Биллинг Т</t>
  </si>
  <si>
    <t>активировали триал</t>
  </si>
  <si>
    <t>Доля лидов кто кто активируют триал (60% от АПИ)</t>
  </si>
  <si>
    <t>CAC (sales, внешн. маркетинг Т, триал)</t>
  </si>
  <si>
    <t>ср MAU (когда фокус был на монетизации (сен 25- дек 25)</t>
  </si>
  <si>
    <t>заклдываю одинаковый MAU - во все варианты - расходы на АПИ</t>
  </si>
  <si>
    <t>ДО обнолвние CR звонка и оффера</t>
  </si>
  <si>
    <t>База селлеров Т</t>
  </si>
  <si>
    <t>в презентацию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</si>
</sst>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#,##0\ &quot;₽&quot;;[Red]\-#,##0\ &quot;₽&quot;"/>
    <numFmt numFmtId="44" formatCode="_-* #,##0.00\ &quot;₽&quot;_-;\-* #,##0.00\ &quot;₽&quot;_-;_-* &quot;-&quot;??\ &quot;₽&quot;_-;_-@_-"/>
    <numFmt numFmtId="164" formatCode="0.0%"/>
    <numFmt numFmtId="165" formatCode="yyyy\-mm\-dd"/>
    <numFmt numFmtId="166" formatCode="_-* #,##0\ &quot;₽&quot;_-;\-* #,##0\ &quot;₽&quot;_-;_-* &quot;-&quot;??\ &quot;₽&quot;_-;_-@_-"/>
    <numFmt numFmtId="167" formatCode="yyyy\-mm\-dd\ hh:mm:ss"/>
    <numFmt numFmtId="168" formatCode="0.0"/>
    <numFmt numFmtId="169" formatCode="#,##0\ &quot;₽&quot;"/>
    <numFmt numFmtId="170" formatCode="_-* #,##0.0\ &quot;₽&quot;_-;\-* #,##0.0\ &quot;₽&quot;_-;_-* &quot;-&quot;?\ &quot;₽&quot;_-;_-@_-"/>
    <numFmt numFmtId="171" formatCode="#,##0.00\ &quot;₽&quot;"/>
  </numFmts>
  <fonts count="91">
    <font>
      <sz val="12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sz val="12"/>
      <color rgb="FFFF0000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5"/>
      <color rgb="FF3F4350"/>
      <name val="Arial"/>
      <family val="2"/>
    </font>
    <font>
      <b/>
      <sz val="15"/>
      <color rgb="FF3F4350"/>
      <name val="Arial"/>
      <family val="2"/>
    </font>
    <font>
      <sz val="12"/>
      <color theme="1"/>
      <name val="Calibri"/>
      <family val="2"/>
      <charset val="204"/>
      <scheme val="minor"/>
    </font>
    <font>
      <sz val="14"/>
      <color rgb="FFFF0000"/>
      <name val="Calibri"/>
      <family val="2"/>
      <scheme val="minor"/>
    </font>
    <font>
      <sz val="14"/>
      <color theme="0" tint="-0.499984740745262"/>
      <name val="Calibri"/>
      <family val="2"/>
      <scheme val="minor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4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0"/>
      <color rgb="FF000000"/>
      <name val="Calibri"/>
      <family val="2"/>
    </font>
    <font>
      <b/>
      <sz val="14"/>
      <color theme="1"/>
      <name val="Calibri (Основной текст)"/>
      <charset val="204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1"/>
      <name val="Calibri (Основной текст)"/>
      <charset val="204"/>
    </font>
    <font>
      <b/>
      <sz val="11"/>
      <color indexed="8"/>
      <name val="Calibri"/>
      <family val="2"/>
      <scheme val="minor"/>
    </font>
    <font>
      <sz val="14"/>
      <color rgb="FF172B4D"/>
      <name val="Roboto"/>
    </font>
    <font>
      <i/>
      <sz val="11"/>
      <color theme="1"/>
      <name val="Calibri (Основной текст)"/>
      <charset val="204"/>
    </font>
    <font>
      <i/>
      <sz val="11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4"/>
      <color rgb="FFC00000"/>
      <name val="Calibri"/>
      <family val="2"/>
      <charset val="204"/>
      <scheme val="minor"/>
    </font>
    <font>
      <sz val="14"/>
      <color theme="5" tint="-0.249977111117893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sz val="12"/>
      <color theme="5" tint="-0.499984740745262"/>
      <name val="Calibri"/>
      <family val="2"/>
      <charset val="204"/>
      <scheme val="minor"/>
    </font>
    <font>
      <b/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FF0000"/>
      <name val="Calibri (Основной текст)"/>
      <charset val="204"/>
    </font>
    <font>
      <sz val="11"/>
      <color theme="2" tint="-0.89999084444715716"/>
      <name val="Calibri"/>
      <family val="2"/>
      <scheme val="minor"/>
    </font>
    <font>
      <sz val="12"/>
      <color rgb="FFC00000"/>
      <name val="Calibri"/>
      <family val="2"/>
      <charset val="204"/>
      <scheme val="minor"/>
    </font>
    <font>
      <b/>
      <sz val="14"/>
      <color rgb="FFC00000"/>
      <name val="Calibri"/>
      <family val="2"/>
      <scheme val="minor"/>
    </font>
    <font>
      <sz val="14"/>
      <color rgb="FF0070C0"/>
      <name val="Calibri"/>
      <family val="2"/>
      <scheme val="minor"/>
    </font>
    <font>
      <sz val="12"/>
      <color rgb="FF0070C0"/>
      <name val="Calibri (Основной текст)"/>
      <charset val="204"/>
    </font>
    <font>
      <i/>
      <sz val="14"/>
      <color rgb="FF0070C0"/>
      <name val="Calibri"/>
      <family val="2"/>
      <scheme val="minor"/>
    </font>
    <font>
      <sz val="14"/>
      <color theme="2" tint="-0.499984740745262"/>
      <name val="Calibri"/>
      <family val="2"/>
      <scheme val="minor"/>
    </font>
    <font>
      <sz val="12"/>
      <color theme="1"/>
      <name val="Calibri (Основной текст)"/>
      <charset val="204"/>
    </font>
    <font>
      <sz val="14"/>
      <color theme="2" tint="-0.749992370372631"/>
      <name val="Calibri"/>
      <family val="2"/>
      <scheme val="minor"/>
    </font>
    <font>
      <sz val="12"/>
      <color theme="2" tint="-0.749992370372631"/>
      <name val="Calibri"/>
      <family val="2"/>
      <scheme val="minor"/>
    </font>
    <font>
      <sz val="12"/>
      <color rgb="FF222222"/>
      <name val="Calibri"/>
      <family val="2"/>
      <scheme val="minor"/>
    </font>
    <font>
      <u/>
      <sz val="12"/>
      <color rgb="FF222222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i/>
      <sz val="10"/>
      <color rgb="FF555555"/>
      <name val="Arial"/>
      <family val="2"/>
    </font>
    <font>
      <sz val="11"/>
      <name val="Arial"/>
      <family val="2"/>
    </font>
    <font>
      <sz val="11"/>
      <name val="Arial"/>
      <family val="2"/>
      <charset val="204"/>
    </font>
    <font>
      <sz val="12"/>
      <color theme="2" tint="-0.499984740745262"/>
      <name val="Calibri"/>
      <family val="2"/>
      <scheme val="minor"/>
    </font>
    <font>
      <b/>
      <sz val="11"/>
      <color theme="0"/>
      <name val="Arial"/>
      <family val="2"/>
    </font>
    <font>
      <sz val="11"/>
      <color rgb="FFC00000"/>
      <name val="Arial"/>
      <family val="2"/>
    </font>
    <font>
      <b/>
      <sz val="20"/>
      <color theme="1"/>
      <name val="Calibri"/>
      <family val="2"/>
      <scheme val="minor"/>
    </font>
    <font>
      <b/>
      <sz val="12"/>
      <color theme="5" tint="-0.249977111117893"/>
      <name val="Calibri"/>
      <family val="2"/>
      <scheme val="minor"/>
    </font>
    <font>
      <sz val="11"/>
      <color theme="5" tint="-0.249977111117893"/>
      <name val="Calibri (Основной текст)"/>
      <charset val="204"/>
    </font>
    <font>
      <sz val="12"/>
      <color theme="5" tint="-0.249977111117893"/>
      <name val="Calibri (Основной текст)"/>
      <charset val="204"/>
    </font>
    <font>
      <b/>
      <sz val="11"/>
      <color theme="5" tint="-0.249977111117893"/>
      <name val="Calibri (Основной текст)"/>
      <charset val="204"/>
    </font>
    <font>
      <sz val="12"/>
      <color rgb="FF0070C0"/>
      <name val="Calibri"/>
      <family val="2"/>
      <charset val="204"/>
      <scheme val="minor"/>
    </font>
    <font>
      <b/>
      <sz val="12"/>
      <color rgb="FF0070C0"/>
      <name val="Calibri"/>
      <family val="2"/>
      <scheme val="minor"/>
    </font>
    <font>
      <sz val="11"/>
      <color rgb="FF000000"/>
      <name val="Calibri"/>
      <family val="2"/>
    </font>
    <font>
      <sz val="14"/>
      <color theme="9" tint="-0.499984740745262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14"/>
      <color theme="0" tint="-0.34998626667073579"/>
      <name val="Calibri"/>
      <family val="2"/>
      <scheme val="minor"/>
    </font>
    <font>
      <sz val="14"/>
      <color rgb="FF3F4350"/>
      <name val="Calibri"/>
      <family val="2"/>
      <scheme val="minor"/>
    </font>
    <font>
      <i/>
      <sz val="14"/>
      <color theme="0" tint="-0.499984740745262"/>
      <name val="Calibri (Основной текст)"/>
      <charset val="204"/>
    </font>
    <font>
      <sz val="14"/>
      <color theme="0" tint="-0.499984740745262"/>
      <name val="Calibri (Основной текст)"/>
      <charset val="204"/>
    </font>
    <font>
      <b/>
      <sz val="14"/>
      <color theme="9" tint="-0.249977111117893"/>
      <name val="Calibri"/>
      <family val="2"/>
      <charset val="204"/>
      <scheme val="minor"/>
    </font>
    <font>
      <b/>
      <sz val="14"/>
      <color theme="9" tint="-0.249977111117893"/>
      <name val="Calibri (Основной текст)"/>
      <charset val="204"/>
    </font>
    <font>
      <b/>
      <sz val="14"/>
      <color theme="9" tint="-0.249977111117893"/>
      <name val="Calibri"/>
      <family val="2"/>
      <scheme val="minor"/>
    </font>
    <font>
      <sz val="14"/>
      <color theme="8" tint="-0.499984740745262"/>
      <name val="Calibri"/>
      <family val="2"/>
      <charset val="204"/>
      <scheme val="minor"/>
    </font>
    <font>
      <sz val="14"/>
      <color theme="9" tint="-0.499984740745262"/>
      <name val="Calibri"/>
      <family val="2"/>
      <charset val="204"/>
      <scheme val="minor"/>
    </font>
    <font>
      <sz val="12"/>
      <color rgb="FF3F4350"/>
      <name val="Arial"/>
      <family val="2"/>
    </font>
    <font>
      <sz val="14"/>
      <color theme="9" tint="-0.249977111117893"/>
      <name val="Calibri"/>
      <family val="2"/>
      <scheme val="minor"/>
    </font>
    <font>
      <sz val="10"/>
      <color rgb="FF000000"/>
      <name val="+mn-lt"/>
      <charset val="1"/>
    </font>
  </fonts>
  <fills count="2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7BF50"/>
        <bgColor rgb="FF17BF50"/>
      </patternFill>
    </fill>
    <fill>
      <patternFill patternType="solid">
        <fgColor rgb="FFEAF7EE"/>
        <bgColor rgb="FFEAF7EE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0000"/>
        <bgColor rgb="FF003300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1334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vertical="top" wrapText="1"/>
    </xf>
    <xf numFmtId="0" fontId="5" fillId="0" borderId="0" xfId="0" applyFont="1"/>
    <xf numFmtId="0" fontId="0" fillId="0" borderId="0" xfId="0" applyAlignment="1">
      <alignment wrapText="1"/>
    </xf>
    <xf numFmtId="0" fontId="6" fillId="0" borderId="0" xfId="1"/>
    <xf numFmtId="0" fontId="7" fillId="0" borderId="0" xfId="0" applyFont="1"/>
    <xf numFmtId="0" fontId="7" fillId="0" borderId="0" xfId="0" applyFont="1" applyAlignment="1">
      <alignment wrapText="1"/>
    </xf>
    <xf numFmtId="0" fontId="0" fillId="0" borderId="1" xfId="0" applyBorder="1"/>
    <xf numFmtId="0" fontId="9" fillId="0" borderId="0" xfId="0" applyFont="1"/>
    <xf numFmtId="0" fontId="7" fillId="4" borderId="0" xfId="0" applyFont="1" applyFill="1"/>
    <xf numFmtId="0" fontId="0" fillId="4" borderId="0" xfId="0" applyFill="1"/>
    <xf numFmtId="0" fontId="2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0" borderId="0" xfId="0" applyFont="1"/>
    <xf numFmtId="0" fontId="1" fillId="0" borderId="3" xfId="0" applyFont="1" applyBorder="1" applyAlignment="1">
      <alignment vertical="top" wrapText="1"/>
    </xf>
    <xf numFmtId="0" fontId="1" fillId="0" borderId="1" xfId="0" applyFont="1" applyBorder="1"/>
    <xf numFmtId="0" fontId="2" fillId="0" borderId="0" xfId="0" applyFont="1"/>
    <xf numFmtId="0" fontId="2" fillId="0" borderId="4" xfId="0" applyFont="1" applyBorder="1" applyAlignment="1">
      <alignment vertical="top" wrapText="1"/>
    </xf>
    <xf numFmtId="0" fontId="12" fillId="4" borderId="1" xfId="0" applyFont="1" applyFill="1" applyBorder="1"/>
    <xf numFmtId="0" fontId="1" fillId="7" borderId="0" xfId="0" applyFont="1" applyFill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1" fillId="0" borderId="10" xfId="0" applyFont="1" applyBorder="1" applyAlignment="1">
      <alignment vertical="top" wrapText="1"/>
    </xf>
    <xf numFmtId="0" fontId="1" fillId="6" borderId="0" xfId="0" applyFont="1" applyFill="1" applyAlignment="1">
      <alignment vertical="top" wrapText="1"/>
    </xf>
    <xf numFmtId="0" fontId="2" fillId="8" borderId="0" xfId="0" applyFont="1" applyFill="1"/>
    <xf numFmtId="0" fontId="1" fillId="8" borderId="0" xfId="0" applyFont="1" applyFill="1"/>
    <xf numFmtId="0" fontId="1" fillId="0" borderId="9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" fillId="0" borderId="9" xfId="0" applyFont="1" applyBorder="1" applyAlignment="1">
      <alignment horizontal="right" vertical="top" wrapText="1"/>
    </xf>
    <xf numFmtId="164" fontId="1" fillId="0" borderId="9" xfId="0" applyNumberFormat="1" applyFont="1" applyBorder="1" applyAlignment="1">
      <alignment horizontal="right" vertical="top"/>
    </xf>
    <xf numFmtId="164" fontId="1" fillId="0" borderId="0" xfId="2" applyNumberFormat="1" applyFont="1" applyFill="1" applyBorder="1" applyAlignment="1">
      <alignment horizontal="right" vertical="top"/>
    </xf>
    <xf numFmtId="0" fontId="12" fillId="0" borderId="9" xfId="0" applyFont="1" applyBorder="1" applyAlignment="1">
      <alignment horizontal="right" vertical="top" wrapText="1"/>
    </xf>
    <xf numFmtId="164" fontId="1" fillId="0" borderId="0" xfId="2" applyNumberFormat="1" applyFont="1" applyFill="1" applyBorder="1" applyAlignment="1">
      <alignment horizontal="right" vertical="top" wrapText="1"/>
    </xf>
    <xf numFmtId="0" fontId="12" fillId="0" borderId="10" xfId="0" applyFont="1" applyBorder="1" applyAlignment="1">
      <alignment horizontal="right" vertical="top" wrapText="1"/>
    </xf>
    <xf numFmtId="0" fontId="1" fillId="0" borderId="10" xfId="0" applyFont="1" applyBorder="1" applyAlignment="1">
      <alignment horizontal="right" vertical="top" wrapText="1"/>
    </xf>
    <xf numFmtId="164" fontId="12" fillId="0" borderId="0" xfId="2" applyNumberFormat="1" applyFont="1" applyFill="1" applyBorder="1" applyAlignment="1">
      <alignment horizontal="right" vertical="top" wrapText="1"/>
    </xf>
    <xf numFmtId="0" fontId="1" fillId="5" borderId="9" xfId="0" applyFont="1" applyFill="1" applyBorder="1" applyAlignment="1">
      <alignment vertical="top"/>
    </xf>
    <xf numFmtId="0" fontId="1" fillId="0" borderId="9" xfId="0" applyFont="1" applyBorder="1" applyAlignment="1">
      <alignment vertical="top"/>
    </xf>
    <xf numFmtId="0" fontId="1" fillId="6" borderId="9" xfId="0" applyFont="1" applyFill="1" applyBorder="1" applyAlignment="1">
      <alignment vertical="top"/>
    </xf>
    <xf numFmtId="0" fontId="1" fillId="3" borderId="9" xfId="0" applyFont="1" applyFill="1" applyBorder="1" applyAlignment="1">
      <alignment horizontal="left" vertical="top"/>
    </xf>
    <xf numFmtId="0" fontId="1" fillId="2" borderId="9" xfId="0" applyFont="1" applyFill="1" applyBorder="1" applyAlignment="1">
      <alignment vertical="top"/>
    </xf>
    <xf numFmtId="0" fontId="1" fillId="2" borderId="0" xfId="0" applyFont="1" applyFill="1" applyAlignment="1">
      <alignment vertical="top" wrapText="1"/>
    </xf>
    <xf numFmtId="0" fontId="15" fillId="9" borderId="15" xfId="0" applyFont="1" applyFill="1" applyBorder="1" applyAlignment="1">
      <alignment horizontal="left" vertical="center"/>
    </xf>
    <xf numFmtId="0" fontId="15" fillId="9" borderId="15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10" borderId="15" xfId="0" applyFont="1" applyFill="1" applyBorder="1" applyAlignment="1">
      <alignment horizontal="left" vertical="center"/>
    </xf>
    <xf numFmtId="10" fontId="16" fillId="10" borderId="15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10" borderId="15" xfId="0" applyFill="1" applyBorder="1" applyAlignment="1">
      <alignment horizontal="left" vertical="center"/>
    </xf>
    <xf numFmtId="0" fontId="0" fillId="10" borderId="15" xfId="0" applyFill="1" applyBorder="1" applyAlignment="1">
      <alignment horizontal="center" vertical="center"/>
    </xf>
    <xf numFmtId="0" fontId="16" fillId="0" borderId="15" xfId="0" applyFont="1" applyBorder="1" applyAlignment="1">
      <alignment horizontal="left" vertical="center"/>
    </xf>
    <xf numFmtId="0" fontId="16" fillId="0" borderId="15" xfId="0" applyFont="1" applyBorder="1" applyAlignment="1">
      <alignment horizontal="center" vertical="center"/>
    </xf>
    <xf numFmtId="0" fontId="16" fillId="10" borderId="15" xfId="0" applyFont="1" applyFill="1" applyBorder="1" applyAlignment="1">
      <alignment horizontal="center" vertical="center"/>
    </xf>
    <xf numFmtId="9" fontId="12" fillId="0" borderId="9" xfId="0" applyNumberFormat="1" applyFont="1" applyBorder="1" applyAlignment="1">
      <alignment horizontal="right" vertical="top" wrapText="1"/>
    </xf>
    <xf numFmtId="0" fontId="1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0" fontId="18" fillId="0" borderId="1" xfId="0" applyFont="1" applyBorder="1" applyAlignment="1">
      <alignment horizontal="center" vertical="top"/>
    </xf>
    <xf numFmtId="165" fontId="0" fillId="0" borderId="0" xfId="0" applyNumberFormat="1"/>
    <xf numFmtId="0" fontId="18" fillId="11" borderId="1" xfId="0" applyFont="1" applyFill="1" applyBorder="1" applyAlignment="1">
      <alignment horizontal="center" vertical="top"/>
    </xf>
    <xf numFmtId="165" fontId="0" fillId="11" borderId="0" xfId="0" applyNumberFormat="1" applyFill="1"/>
    <xf numFmtId="0" fontId="0" fillId="11" borderId="0" xfId="0" applyFill="1"/>
    <xf numFmtId="164" fontId="0" fillId="11" borderId="0" xfId="2" applyNumberFormat="1" applyFont="1" applyFill="1"/>
    <xf numFmtId="1" fontId="0" fillId="11" borderId="0" xfId="2" applyNumberFormat="1" applyFont="1" applyFill="1"/>
    <xf numFmtId="164" fontId="1" fillId="0" borderId="0" xfId="2" applyNumberFormat="1" applyFont="1"/>
    <xf numFmtId="164" fontId="1" fillId="0" borderId="1" xfId="2" applyNumberFormat="1" applyFont="1" applyBorder="1"/>
    <xf numFmtId="0" fontId="1" fillId="4" borderId="0" xfId="0" applyFont="1" applyFill="1" applyAlignment="1">
      <alignment vertical="top" wrapText="1"/>
    </xf>
    <xf numFmtId="0" fontId="17" fillId="0" borderId="0" xfId="0" applyFont="1"/>
    <xf numFmtId="164" fontId="1" fillId="0" borderId="0" xfId="2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0" fontId="1" fillId="12" borderId="16" xfId="0" applyFont="1" applyFill="1" applyBorder="1" applyAlignment="1">
      <alignment vertical="top" wrapText="1"/>
    </xf>
    <xf numFmtId="0" fontId="1" fillId="0" borderId="11" xfId="0" applyFont="1" applyBorder="1" applyAlignment="1">
      <alignment vertical="top" wrapText="1"/>
    </xf>
    <xf numFmtId="0" fontId="1" fillId="12" borderId="11" xfId="0" applyFont="1" applyFill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0" fillId="0" borderId="4" xfId="0" applyBorder="1"/>
    <xf numFmtId="0" fontId="1" fillId="0" borderId="0" xfId="0" quotePrefix="1" applyFont="1" applyAlignment="1">
      <alignment vertical="top" wrapText="1"/>
    </xf>
    <xf numFmtId="0" fontId="1" fillId="14" borderId="0" xfId="0" applyFont="1" applyFill="1"/>
    <xf numFmtId="0" fontId="20" fillId="14" borderId="0" xfId="0" applyFont="1" applyFill="1" applyAlignment="1">
      <alignment vertical="top"/>
    </xf>
    <xf numFmtId="0" fontId="2" fillId="14" borderId="0" xfId="0" applyFont="1" applyFill="1"/>
    <xf numFmtId="0" fontId="17" fillId="0" borderId="0" xfId="0" applyFont="1" applyAlignment="1">
      <alignment vertical="top" wrapText="1"/>
    </xf>
    <xf numFmtId="0" fontId="1" fillId="0" borderId="18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1" fillId="0" borderId="19" xfId="0" applyFont="1" applyBorder="1" applyAlignment="1">
      <alignment vertical="top" wrapText="1"/>
    </xf>
    <xf numFmtId="0" fontId="1" fillId="0" borderId="21" xfId="0" applyFont="1" applyBorder="1" applyAlignment="1">
      <alignment vertical="top" wrapText="1"/>
    </xf>
    <xf numFmtId="0" fontId="1" fillId="0" borderId="19" xfId="0" applyFont="1" applyBorder="1"/>
    <xf numFmtId="0" fontId="2" fillId="6" borderId="17" xfId="0" applyFont="1" applyFill="1" applyBorder="1" applyAlignment="1">
      <alignment vertical="top" wrapText="1"/>
    </xf>
    <xf numFmtId="0" fontId="1" fillId="0" borderId="20" xfId="0" applyFont="1" applyBorder="1" applyAlignment="1">
      <alignment vertical="top" wrapText="1"/>
    </xf>
    <xf numFmtId="0" fontId="2" fillId="6" borderId="19" xfId="0" applyFont="1" applyFill="1" applyBorder="1" applyAlignment="1">
      <alignment vertical="top" wrapText="1"/>
    </xf>
    <xf numFmtId="0" fontId="21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22" fillId="0" borderId="0" xfId="1" applyFont="1" applyAlignment="1">
      <alignment vertical="top"/>
    </xf>
    <xf numFmtId="0" fontId="2" fillId="5" borderId="9" xfId="0" applyFont="1" applyFill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9" fontId="1" fillId="0" borderId="9" xfId="0" applyNumberFormat="1" applyFont="1" applyBorder="1" applyAlignment="1">
      <alignment horizontal="right" vertical="top"/>
    </xf>
    <xf numFmtId="164" fontId="1" fillId="0" borderId="9" xfId="2" applyNumberFormat="1" applyFont="1" applyFill="1" applyBorder="1" applyAlignment="1">
      <alignment horizontal="right" vertical="top"/>
    </xf>
    <xf numFmtId="164" fontId="1" fillId="0" borderId="9" xfId="0" applyNumberFormat="1" applyFont="1" applyBorder="1" applyAlignment="1">
      <alignment horizontal="right" vertical="top" wrapText="1"/>
    </xf>
    <xf numFmtId="164" fontId="12" fillId="0" borderId="9" xfId="0" applyNumberFormat="1" applyFont="1" applyBorder="1" applyAlignment="1">
      <alignment horizontal="right" vertical="top" wrapText="1"/>
    </xf>
    <xf numFmtId="0" fontId="2" fillId="6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9" fontId="12" fillId="0" borderId="0" xfId="0" applyNumberFormat="1" applyFont="1" applyAlignment="1">
      <alignment horizontal="right" vertical="top" wrapText="1"/>
    </xf>
    <xf numFmtId="164" fontId="1" fillId="0" borderId="0" xfId="0" applyNumberFormat="1" applyFont="1" applyAlignment="1">
      <alignment horizontal="right" vertical="top"/>
    </xf>
    <xf numFmtId="0" fontId="12" fillId="0" borderId="0" xfId="0" applyFont="1" applyAlignment="1">
      <alignment horizontal="right" vertical="top" wrapText="1"/>
    </xf>
    <xf numFmtId="164" fontId="1" fillId="0" borderId="0" xfId="0" applyNumberFormat="1" applyFont="1" applyAlignment="1">
      <alignment horizontal="right" vertical="top" wrapText="1"/>
    </xf>
    <xf numFmtId="9" fontId="1" fillId="0" borderId="0" xfId="0" applyNumberFormat="1" applyFont="1" applyAlignment="1">
      <alignment horizontal="right" vertical="top" wrapText="1"/>
    </xf>
    <xf numFmtId="0" fontId="1" fillId="0" borderId="0" xfId="0" applyFont="1" applyAlignment="1">
      <alignment horizontal="right" vertical="top" wrapText="1"/>
    </xf>
    <xf numFmtId="10" fontId="1" fillId="0" borderId="0" xfId="0" applyNumberFormat="1" applyFont="1" applyAlignment="1">
      <alignment horizontal="right" vertical="top" wrapText="1"/>
    </xf>
    <xf numFmtId="9" fontId="1" fillId="5" borderId="9" xfId="0" applyNumberFormat="1" applyFont="1" applyFill="1" applyBorder="1" applyAlignment="1">
      <alignment horizontal="right" vertical="top" wrapText="1"/>
    </xf>
    <xf numFmtId="164" fontId="1" fillId="5" borderId="0" xfId="0" applyNumberFormat="1" applyFont="1" applyFill="1" applyAlignment="1">
      <alignment horizontal="right" vertical="top" wrapText="1"/>
    </xf>
    <xf numFmtId="164" fontId="1" fillId="5" borderId="0" xfId="2" applyNumberFormat="1" applyFont="1" applyFill="1" applyBorder="1" applyAlignment="1">
      <alignment horizontal="right" vertical="top" wrapText="1"/>
    </xf>
    <xf numFmtId="164" fontId="12" fillId="0" borderId="0" xfId="0" applyNumberFormat="1" applyFont="1" applyAlignment="1">
      <alignment horizontal="right" vertical="top" wrapText="1"/>
    </xf>
    <xf numFmtId="0" fontId="2" fillId="5" borderId="0" xfId="0" applyFont="1" applyFill="1" applyAlignment="1">
      <alignment horizontal="left" vertical="top" wrapText="1"/>
    </xf>
    <xf numFmtId="9" fontId="1" fillId="5" borderId="0" xfId="0" applyNumberFormat="1" applyFont="1" applyFill="1" applyAlignment="1">
      <alignment horizontal="right" vertical="top"/>
    </xf>
    <xf numFmtId="9" fontId="1" fillId="0" borderId="0" xfId="0" applyNumberFormat="1" applyFont="1" applyAlignment="1">
      <alignment horizontal="right" vertical="top"/>
    </xf>
    <xf numFmtId="9" fontId="1" fillId="5" borderId="0" xfId="0" applyNumberFormat="1" applyFont="1" applyFill="1" applyAlignment="1">
      <alignment horizontal="right" vertical="top" wrapText="1"/>
    </xf>
    <xf numFmtId="164" fontId="12" fillId="0" borderId="10" xfId="0" applyNumberFormat="1" applyFont="1" applyBorder="1" applyAlignment="1">
      <alignment horizontal="right" vertical="top" wrapText="1"/>
    </xf>
    <xf numFmtId="164" fontId="1" fillId="0" borderId="0" xfId="2" applyNumberFormat="1" applyFont="1" applyBorder="1" applyAlignment="1">
      <alignment horizontal="right" vertical="top" wrapText="1"/>
    </xf>
    <xf numFmtId="164" fontId="1" fillId="0" borderId="0" xfId="2" applyNumberFormat="1" applyFont="1" applyBorder="1"/>
    <xf numFmtId="10" fontId="2" fillId="0" borderId="0" xfId="0" applyNumberFormat="1" applyFont="1" applyAlignment="1">
      <alignment horizontal="right" vertical="top" wrapText="1"/>
    </xf>
    <xf numFmtId="10" fontId="2" fillId="0" borderId="9" xfId="0" applyNumberFormat="1" applyFont="1" applyBorder="1" applyAlignment="1">
      <alignment horizontal="right" vertical="top" wrapText="1"/>
    </xf>
    <xf numFmtId="164" fontId="2" fillId="0" borderId="0" xfId="0" applyNumberFormat="1" applyFont="1" applyAlignment="1">
      <alignment horizontal="right" vertical="top" wrapText="1"/>
    </xf>
    <xf numFmtId="0" fontId="1" fillId="0" borderId="17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1" fillId="5" borderId="19" xfId="0" applyFont="1" applyFill="1" applyBorder="1" applyAlignment="1">
      <alignment vertical="top" wrapText="1"/>
    </xf>
    <xf numFmtId="0" fontId="1" fillId="7" borderId="19" xfId="0" applyFont="1" applyFill="1" applyBorder="1" applyAlignment="1">
      <alignment vertical="top" wrapText="1"/>
    </xf>
    <xf numFmtId="0" fontId="1" fillId="5" borderId="20" xfId="0" applyFont="1" applyFill="1" applyBorder="1" applyAlignment="1">
      <alignment vertical="top" wrapText="1"/>
    </xf>
    <xf numFmtId="0" fontId="1" fillId="0" borderId="24" xfId="0" applyFont="1" applyBorder="1" applyAlignment="1">
      <alignment vertical="top" wrapText="1"/>
    </xf>
    <xf numFmtId="0" fontId="1" fillId="0" borderId="21" xfId="0" quotePrefix="1" applyFont="1" applyBorder="1" applyAlignment="1">
      <alignment vertical="top" wrapText="1"/>
    </xf>
    <xf numFmtId="0" fontId="1" fillId="0" borderId="23" xfId="0" applyFont="1" applyBorder="1" applyAlignment="1">
      <alignment vertical="top" wrapText="1"/>
    </xf>
    <xf numFmtId="0" fontId="2" fillId="0" borderId="18" xfId="0" applyFont="1" applyBorder="1" applyAlignment="1">
      <alignment vertical="top"/>
    </xf>
    <xf numFmtId="0" fontId="1" fillId="0" borderId="0" xfId="0" applyFont="1" applyAlignment="1">
      <alignment wrapText="1"/>
    </xf>
    <xf numFmtId="0" fontId="2" fillId="0" borderId="1" xfId="0" applyFont="1" applyBorder="1"/>
    <xf numFmtId="0" fontId="1" fillId="6" borderId="18" xfId="0" applyFont="1" applyFill="1" applyBorder="1" applyAlignment="1">
      <alignment vertical="top" wrapText="1"/>
    </xf>
    <xf numFmtId="164" fontId="1" fillId="2" borderId="0" xfId="2" applyNumberFormat="1" applyFont="1" applyFill="1" applyAlignment="1">
      <alignment vertical="top" wrapText="1"/>
    </xf>
    <xf numFmtId="0" fontId="17" fillId="0" borderId="0" xfId="0" applyFont="1" applyAlignment="1">
      <alignment vertical="top"/>
    </xf>
    <xf numFmtId="0" fontId="0" fillId="3" borderId="0" xfId="0" applyFill="1"/>
    <xf numFmtId="0" fontId="18" fillId="0" borderId="1" xfId="0" applyFont="1" applyBorder="1" applyAlignment="1">
      <alignment horizontal="center" vertical="top" wrapText="1"/>
    </xf>
    <xf numFmtId="0" fontId="18" fillId="3" borderId="1" xfId="0" applyFont="1" applyFill="1" applyBorder="1" applyAlignment="1">
      <alignment horizontal="center" vertical="top"/>
    </xf>
    <xf numFmtId="165" fontId="0" fillId="3" borderId="0" xfId="0" applyNumberFormat="1" applyFill="1"/>
    <xf numFmtId="0" fontId="18" fillId="3" borderId="1" xfId="0" applyFont="1" applyFill="1" applyBorder="1" applyAlignment="1">
      <alignment horizontal="center" vertical="top" wrapText="1"/>
    </xf>
    <xf numFmtId="9" fontId="0" fillId="3" borderId="0" xfId="2" applyFont="1" applyFill="1"/>
    <xf numFmtId="0" fontId="1" fillId="12" borderId="11" xfId="0" applyFont="1" applyFill="1" applyBorder="1" applyAlignment="1">
      <alignment vertical="top"/>
    </xf>
    <xf numFmtId="0" fontId="1" fillId="6" borderId="18" xfId="0" applyFont="1" applyFill="1" applyBorder="1" applyAlignment="1">
      <alignment vertical="top"/>
    </xf>
    <xf numFmtId="0" fontId="2" fillId="7" borderId="0" xfId="0" applyFont="1" applyFill="1" applyAlignment="1">
      <alignment vertical="top"/>
    </xf>
    <xf numFmtId="0" fontId="1" fillId="6" borderId="18" xfId="0" quotePrefix="1" applyFont="1" applyFill="1" applyBorder="1" applyAlignment="1">
      <alignment vertical="top" wrapText="1"/>
    </xf>
    <xf numFmtId="0" fontId="2" fillId="6" borderId="20" xfId="0" applyFont="1" applyFill="1" applyBorder="1" applyAlignment="1">
      <alignment vertical="top" wrapText="1"/>
    </xf>
    <xf numFmtId="0" fontId="1" fillId="6" borderId="21" xfId="0" applyFont="1" applyFill="1" applyBorder="1" applyAlignment="1">
      <alignment vertical="top"/>
    </xf>
    <xf numFmtId="0" fontId="1" fillId="6" borderId="21" xfId="0" applyFont="1" applyFill="1" applyBorder="1" applyAlignment="1">
      <alignment vertical="top" wrapText="1"/>
    </xf>
    <xf numFmtId="1" fontId="1" fillId="6" borderId="18" xfId="0" applyNumberFormat="1" applyFont="1" applyFill="1" applyBorder="1" applyAlignment="1">
      <alignment vertical="top" wrapText="1"/>
    </xf>
    <xf numFmtId="1" fontId="1" fillId="0" borderId="0" xfId="0" applyNumberFormat="1" applyFont="1" applyAlignment="1">
      <alignment vertical="top" wrapText="1"/>
    </xf>
    <xf numFmtId="166" fontId="1" fillId="6" borderId="18" xfId="0" applyNumberFormat="1" applyFont="1" applyFill="1" applyBorder="1" applyAlignment="1">
      <alignment vertical="top" wrapText="1"/>
    </xf>
    <xf numFmtId="164" fontId="1" fillId="0" borderId="9" xfId="2" applyNumberFormat="1" applyFont="1" applyBorder="1" applyAlignment="1">
      <alignment vertical="top" wrapText="1"/>
    </xf>
    <xf numFmtId="164" fontId="1" fillId="0" borderId="9" xfId="2" applyNumberFormat="1" applyFont="1" applyBorder="1" applyAlignment="1">
      <alignment vertical="top"/>
    </xf>
    <xf numFmtId="0" fontId="1" fillId="3" borderId="19" xfId="0" applyFont="1" applyFill="1" applyBorder="1" applyAlignment="1">
      <alignment vertical="top" wrapText="1"/>
    </xf>
    <xf numFmtId="166" fontId="2" fillId="6" borderId="18" xfId="0" applyNumberFormat="1" applyFont="1" applyFill="1" applyBorder="1" applyAlignment="1">
      <alignment vertical="top" wrapText="1"/>
    </xf>
    <xf numFmtId="164" fontId="1" fillId="0" borderId="0" xfId="2" applyNumberFormat="1" applyFont="1" applyFill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0" fontId="11" fillId="0" borderId="0" xfId="0" applyFont="1"/>
    <xf numFmtId="0" fontId="27" fillId="0" borderId="0" xfId="0" applyFont="1"/>
    <xf numFmtId="0" fontId="7" fillId="3" borderId="0" xfId="0" applyFont="1" applyFill="1"/>
    <xf numFmtId="0" fontId="6" fillId="3" borderId="0" xfId="1" applyFill="1"/>
    <xf numFmtId="0" fontId="27" fillId="3" borderId="0" xfId="0" applyFont="1" applyFill="1"/>
    <xf numFmtId="166" fontId="1" fillId="0" borderId="0" xfId="0" applyNumberFormat="1" applyFont="1" applyAlignment="1">
      <alignment vertical="top" wrapText="1"/>
    </xf>
    <xf numFmtId="0" fontId="2" fillId="4" borderId="19" xfId="0" applyFont="1" applyFill="1" applyBorder="1"/>
    <xf numFmtId="0" fontId="1" fillId="4" borderId="19" xfId="0" applyFont="1" applyFill="1" applyBorder="1"/>
    <xf numFmtId="0" fontId="21" fillId="0" borderId="0" xfId="0" applyFont="1"/>
    <xf numFmtId="0" fontId="21" fillId="0" borderId="3" xfId="0" applyFont="1" applyBorder="1"/>
    <xf numFmtId="0" fontId="21" fillId="0" borderId="4" xfId="0" applyFont="1" applyBorder="1"/>
    <xf numFmtId="0" fontId="21" fillId="0" borderId="5" xfId="0" applyFont="1" applyBorder="1"/>
    <xf numFmtId="0" fontId="21" fillId="0" borderId="9" xfId="0" applyFont="1" applyBorder="1"/>
    <xf numFmtId="0" fontId="21" fillId="0" borderId="10" xfId="0" applyFont="1" applyBorder="1"/>
    <xf numFmtId="0" fontId="7" fillId="5" borderId="9" xfId="0" applyFont="1" applyFill="1" applyBorder="1"/>
    <xf numFmtId="0" fontId="7" fillId="5" borderId="10" xfId="0" applyFont="1" applyFill="1" applyBorder="1"/>
    <xf numFmtId="0" fontId="29" fillId="0" borderId="0" xfId="0" applyFont="1"/>
    <xf numFmtId="0" fontId="7" fillId="5" borderId="6" xfId="0" applyFont="1" applyFill="1" applyBorder="1"/>
    <xf numFmtId="0" fontId="21" fillId="0" borderId="7" xfId="0" applyFont="1" applyBorder="1"/>
    <xf numFmtId="0" fontId="7" fillId="5" borderId="8" xfId="0" applyFont="1" applyFill="1" applyBorder="1"/>
    <xf numFmtId="0" fontId="7" fillId="0" borderId="3" xfId="0" applyFont="1" applyBorder="1"/>
    <xf numFmtId="0" fontId="7" fillId="0" borderId="5" xfId="0" applyFont="1" applyBorder="1"/>
    <xf numFmtId="166" fontId="21" fillId="0" borderId="0" xfId="0" applyNumberFormat="1" applyFont="1"/>
    <xf numFmtId="0" fontId="21" fillId="0" borderId="6" xfId="0" applyFont="1" applyBorder="1"/>
    <xf numFmtId="166" fontId="21" fillId="0" borderId="7" xfId="0" applyNumberFormat="1" applyFont="1" applyBorder="1"/>
    <xf numFmtId="0" fontId="21" fillId="0" borderId="8" xfId="0" applyFont="1" applyBorder="1"/>
    <xf numFmtId="0" fontId="30" fillId="0" borderId="0" xfId="0" applyFont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5" borderId="9" xfId="0" applyFill="1" applyBorder="1"/>
    <xf numFmtId="0" fontId="0" fillId="5" borderId="0" xfId="0" applyFill="1"/>
    <xf numFmtId="164" fontId="0" fillId="5" borderId="10" xfId="2" applyNumberFormat="1" applyFont="1" applyFill="1" applyBorder="1"/>
    <xf numFmtId="0" fontId="0" fillId="0" borderId="6" xfId="0" applyBorder="1"/>
    <xf numFmtId="9" fontId="0" fillId="0" borderId="8" xfId="2" applyFont="1" applyBorder="1"/>
    <xf numFmtId="164" fontId="0" fillId="0" borderId="10" xfId="2" applyNumberFormat="1" applyFont="1" applyBorder="1"/>
    <xf numFmtId="0" fontId="0" fillId="0" borderId="7" xfId="0" applyBorder="1"/>
    <xf numFmtId="164" fontId="0" fillId="0" borderId="8" xfId="2" applyNumberFormat="1" applyFont="1" applyBorder="1"/>
    <xf numFmtId="0" fontId="0" fillId="0" borderId="4" xfId="0" applyBorder="1" applyAlignment="1">
      <alignment wrapText="1"/>
    </xf>
    <xf numFmtId="0" fontId="31" fillId="0" borderId="4" xfId="0" applyFont="1" applyBorder="1"/>
    <xf numFmtId="167" fontId="0" fillId="0" borderId="0" xfId="0" applyNumberFormat="1"/>
    <xf numFmtId="0" fontId="31" fillId="0" borderId="9" xfId="0" applyFont="1" applyBorder="1"/>
    <xf numFmtId="0" fontId="31" fillId="0" borderId="0" xfId="0" applyFont="1" applyAlignment="1">
      <alignment wrapText="1"/>
    </xf>
    <xf numFmtId="0" fontId="31" fillId="0" borderId="0" xfId="0" applyFont="1"/>
    <xf numFmtId="1" fontId="18" fillId="0" borderId="9" xfId="0" applyNumberFormat="1" applyFont="1" applyBorder="1"/>
    <xf numFmtId="0" fontId="18" fillId="0" borderId="10" xfId="0" applyFont="1" applyBorder="1"/>
    <xf numFmtId="164" fontId="18" fillId="0" borderId="10" xfId="2" applyNumberFormat="1" applyFont="1" applyFill="1" applyBorder="1"/>
    <xf numFmtId="164" fontId="31" fillId="0" borderId="0" xfId="2" applyNumberFormat="1" applyFont="1" applyFill="1" applyBorder="1"/>
    <xf numFmtId="1" fontId="31" fillId="0" borderId="0" xfId="0" applyNumberFormat="1" applyFont="1"/>
    <xf numFmtId="0" fontId="31" fillId="5" borderId="9" xfId="0" applyFont="1" applyFill="1" applyBorder="1"/>
    <xf numFmtId="1" fontId="18" fillId="5" borderId="9" xfId="0" applyNumberFormat="1" applyFont="1" applyFill="1" applyBorder="1"/>
    <xf numFmtId="164" fontId="18" fillId="5" borderId="10" xfId="2" applyNumberFormat="1" applyFont="1" applyFill="1" applyBorder="1"/>
    <xf numFmtId="0" fontId="31" fillId="6" borderId="9" xfId="0" applyFont="1" applyFill="1" applyBorder="1"/>
    <xf numFmtId="0" fontId="31" fillId="6" borderId="0" xfId="0" applyFont="1" applyFill="1" applyAlignment="1">
      <alignment wrapText="1"/>
    </xf>
    <xf numFmtId="1" fontId="18" fillId="6" borderId="9" xfId="0" applyNumberFormat="1" applyFont="1" applyFill="1" applyBorder="1"/>
    <xf numFmtId="164" fontId="18" fillId="6" borderId="10" xfId="2" applyNumberFormat="1" applyFont="1" applyFill="1" applyBorder="1"/>
    <xf numFmtId="0" fontId="0" fillId="6" borderId="6" xfId="0" applyFill="1" applyBorder="1"/>
    <xf numFmtId="0" fontId="0" fillId="6" borderId="7" xfId="0" applyFill="1" applyBorder="1" applyAlignment="1">
      <alignment wrapText="1"/>
    </xf>
    <xf numFmtId="1" fontId="34" fillId="6" borderId="6" xfId="0" applyNumberFormat="1" applyFont="1" applyFill="1" applyBorder="1"/>
    <xf numFmtId="164" fontId="0" fillId="0" borderId="0" xfId="2" applyNumberFormat="1" applyFont="1" applyBorder="1"/>
    <xf numFmtId="9" fontId="0" fillId="0" borderId="7" xfId="2" applyFont="1" applyBorder="1" applyAlignment="1">
      <alignment wrapText="1"/>
    </xf>
    <xf numFmtId="9" fontId="0" fillId="0" borderId="7" xfId="2" applyFont="1" applyBorder="1"/>
    <xf numFmtId="9" fontId="0" fillId="0" borderId="0" xfId="2" applyFont="1" applyBorder="1"/>
    <xf numFmtId="1" fontId="0" fillId="0" borderId="10" xfId="2" applyNumberFormat="1" applyFont="1" applyBorder="1" applyAlignment="1">
      <alignment wrapText="1"/>
    </xf>
    <xf numFmtId="1" fontId="0" fillId="0" borderId="8" xfId="2" applyNumberFormat="1" applyFont="1" applyBorder="1" applyAlignment="1">
      <alignment wrapText="1"/>
    </xf>
    <xf numFmtId="1" fontId="34" fillId="0" borderId="9" xfId="0" applyNumberFormat="1" applyFont="1" applyBorder="1"/>
    <xf numFmtId="0" fontId="31" fillId="3" borderId="9" xfId="0" applyFont="1" applyFill="1" applyBorder="1"/>
    <xf numFmtId="0" fontId="31" fillId="3" borderId="0" xfId="0" applyFont="1" applyFill="1" applyAlignment="1">
      <alignment wrapText="1"/>
    </xf>
    <xf numFmtId="1" fontId="34" fillId="3" borderId="9" xfId="0" applyNumberFormat="1" applyFont="1" applyFill="1" applyBorder="1"/>
    <xf numFmtId="164" fontId="18" fillId="3" borderId="10" xfId="2" applyNumberFormat="1" applyFont="1" applyFill="1" applyBorder="1"/>
    <xf numFmtId="1" fontId="34" fillId="5" borderId="9" xfId="0" applyNumberFormat="1" applyFont="1" applyFill="1" applyBorder="1"/>
    <xf numFmtId="1" fontId="34" fillId="4" borderId="9" xfId="0" applyNumberFormat="1" applyFont="1" applyFill="1" applyBorder="1"/>
    <xf numFmtId="164" fontId="18" fillId="4" borderId="10" xfId="2" applyNumberFormat="1" applyFont="1" applyFill="1" applyBorder="1"/>
    <xf numFmtId="0" fontId="0" fillId="4" borderId="6" xfId="0" applyFill="1" applyBorder="1"/>
    <xf numFmtId="0" fontId="0" fillId="4" borderId="7" xfId="0" applyFill="1" applyBorder="1" applyAlignment="1">
      <alignment wrapText="1"/>
    </xf>
    <xf numFmtId="1" fontId="34" fillId="4" borderId="6" xfId="0" applyNumberFormat="1" applyFont="1" applyFill="1" applyBorder="1"/>
    <xf numFmtId="164" fontId="18" fillId="4" borderId="8" xfId="2" applyNumberFormat="1" applyFont="1" applyFill="1" applyBorder="1"/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 wrapText="1"/>
    </xf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9" fontId="0" fillId="3" borderId="8" xfId="2" applyFont="1" applyFill="1" applyBorder="1" applyAlignment="1">
      <alignment horizontal="right" wrapText="1"/>
    </xf>
    <xf numFmtId="9" fontId="0" fillId="3" borderId="7" xfId="2" applyFont="1" applyFill="1" applyBorder="1" applyAlignment="1">
      <alignment horizontal="right" wrapText="1"/>
    </xf>
    <xf numFmtId="0" fontId="0" fillId="0" borderId="9" xfId="0" applyBorder="1" applyAlignment="1">
      <alignment horizontal="right"/>
    </xf>
    <xf numFmtId="9" fontId="0" fillId="3" borderId="10" xfId="2" applyFont="1" applyFill="1" applyBorder="1" applyAlignment="1">
      <alignment horizontal="right" wrapText="1"/>
    </xf>
    <xf numFmtId="9" fontId="0" fillId="0" borderId="0" xfId="2" applyFont="1" applyBorder="1" applyAlignment="1">
      <alignment horizontal="right"/>
    </xf>
    <xf numFmtId="0" fontId="35" fillId="0" borderId="0" xfId="0" applyFont="1" applyAlignment="1">
      <alignment horizontal="right"/>
    </xf>
    <xf numFmtId="0" fontId="35" fillId="0" borderId="0" xfId="0" applyFont="1"/>
    <xf numFmtId="166" fontId="1" fillId="4" borderId="0" xfId="0" applyNumberFormat="1" applyFont="1" applyFill="1" applyAlignment="1">
      <alignment vertical="top" wrapText="1"/>
    </xf>
    <xf numFmtId="0" fontId="19" fillId="13" borderId="0" xfId="0" applyFont="1" applyFill="1" applyAlignment="1">
      <alignment vertical="top" wrapText="1"/>
    </xf>
    <xf numFmtId="0" fontId="1" fillId="6" borderId="0" xfId="0" applyFont="1" applyFill="1" applyAlignment="1">
      <alignment vertical="top"/>
    </xf>
    <xf numFmtId="1" fontId="1" fillId="6" borderId="0" xfId="0" applyNumberFormat="1" applyFont="1" applyFill="1" applyAlignment="1">
      <alignment vertical="top" wrapText="1"/>
    </xf>
    <xf numFmtId="0" fontId="2" fillId="7" borderId="0" xfId="0" applyFont="1" applyFill="1" applyAlignment="1">
      <alignment vertical="top" wrapText="1"/>
    </xf>
    <xf numFmtId="0" fontId="2" fillId="14" borderId="0" xfId="0" applyFont="1" applyFill="1" applyAlignment="1">
      <alignment vertical="top" wrapText="1"/>
    </xf>
    <xf numFmtId="0" fontId="1" fillId="14" borderId="0" xfId="0" applyFont="1" applyFill="1" applyAlignment="1">
      <alignment vertical="top"/>
    </xf>
    <xf numFmtId="1" fontId="1" fillId="14" borderId="0" xfId="0" applyNumberFormat="1" applyFont="1" applyFill="1" applyAlignment="1">
      <alignment vertical="top" wrapText="1"/>
    </xf>
    <xf numFmtId="0" fontId="1" fillId="14" borderId="0" xfId="0" applyFont="1" applyFill="1" applyAlignment="1">
      <alignment vertical="top" wrapText="1"/>
    </xf>
    <xf numFmtId="0" fontId="2" fillId="14" borderId="19" xfId="0" applyFont="1" applyFill="1" applyBorder="1" applyAlignment="1">
      <alignment vertical="top" wrapText="1"/>
    </xf>
    <xf numFmtId="0" fontId="19" fillId="14" borderId="0" xfId="0" applyFont="1" applyFill="1" applyAlignment="1">
      <alignment vertical="top"/>
    </xf>
    <xf numFmtId="0" fontId="19" fillId="14" borderId="0" xfId="0" applyFont="1" applyFill="1" applyAlignment="1">
      <alignment vertical="top" wrapText="1"/>
    </xf>
    <xf numFmtId="0" fontId="2" fillId="14" borderId="0" xfId="0" applyFont="1" applyFill="1" applyAlignment="1">
      <alignment vertical="top"/>
    </xf>
    <xf numFmtId="0" fontId="19" fillId="15" borderId="0" xfId="0" applyFont="1" applyFill="1" applyAlignment="1">
      <alignment vertical="top" wrapText="1"/>
    </xf>
    <xf numFmtId="1" fontId="1" fillId="14" borderId="0" xfId="0" applyNumberFormat="1" applyFont="1" applyFill="1" applyAlignment="1">
      <alignment vertical="top"/>
    </xf>
    <xf numFmtId="166" fontId="1" fillId="14" borderId="0" xfId="0" applyNumberFormat="1" applyFont="1" applyFill="1" applyAlignment="1">
      <alignment vertical="top" wrapText="1"/>
    </xf>
    <xf numFmtId="164" fontId="12" fillId="0" borderId="0" xfId="2" applyNumberFormat="1" applyFont="1" applyAlignment="1">
      <alignment vertical="top"/>
    </xf>
    <xf numFmtId="0" fontId="12" fillId="0" borderId="0" xfId="0" applyFont="1" applyAlignment="1">
      <alignment vertical="top"/>
    </xf>
    <xf numFmtId="0" fontId="19" fillId="0" borderId="0" xfId="0" quotePrefix="1" applyFont="1" applyAlignment="1">
      <alignment vertical="top" wrapText="1"/>
    </xf>
    <xf numFmtId="166" fontId="1" fillId="6" borderId="21" xfId="0" applyNumberFormat="1" applyFont="1" applyFill="1" applyBorder="1" applyAlignment="1">
      <alignment vertical="top" wrapText="1"/>
    </xf>
    <xf numFmtId="166" fontId="1" fillId="6" borderId="0" xfId="0" applyNumberFormat="1" applyFont="1" applyFill="1" applyAlignment="1">
      <alignment vertical="top" wrapText="1"/>
    </xf>
    <xf numFmtId="166" fontId="2" fillId="6" borderId="0" xfId="0" applyNumberFormat="1" applyFont="1" applyFill="1" applyAlignment="1">
      <alignment vertical="top" wrapText="1"/>
    </xf>
    <xf numFmtId="0" fontId="1" fillId="6" borderId="0" xfId="0" quotePrefix="1" applyFont="1" applyFill="1" applyAlignment="1">
      <alignment vertical="top" wrapText="1"/>
    </xf>
    <xf numFmtId="166" fontId="2" fillId="6" borderId="21" xfId="0" applyNumberFormat="1" applyFont="1" applyFill="1" applyBorder="1" applyAlignment="1">
      <alignment vertical="top" wrapText="1"/>
    </xf>
    <xf numFmtId="1" fontId="2" fillId="0" borderId="0" xfId="0" applyNumberFormat="1" applyFont="1" applyAlignment="1">
      <alignment vertical="top" wrapText="1"/>
    </xf>
    <xf numFmtId="164" fontId="1" fillId="0" borderId="9" xfId="0" applyNumberFormat="1" applyFont="1" applyBorder="1" applyAlignment="1">
      <alignment vertical="top"/>
    </xf>
    <xf numFmtId="164" fontId="1" fillId="7" borderId="9" xfId="0" applyNumberFormat="1" applyFont="1" applyFill="1" applyBorder="1" applyAlignment="1">
      <alignment vertical="top"/>
    </xf>
    <xf numFmtId="164" fontId="1" fillId="7" borderId="9" xfId="0" applyNumberFormat="1" applyFont="1" applyFill="1" applyBorder="1" applyAlignment="1">
      <alignment vertical="top" wrapText="1"/>
    </xf>
    <xf numFmtId="164" fontId="1" fillId="0" borderId="9" xfId="0" applyNumberFormat="1" applyFont="1" applyBorder="1" applyAlignment="1">
      <alignment vertical="top" wrapText="1"/>
    </xf>
    <xf numFmtId="164" fontId="12" fillId="0" borderId="9" xfId="0" applyNumberFormat="1" applyFont="1" applyBorder="1" applyAlignment="1">
      <alignment vertical="top"/>
    </xf>
    <xf numFmtId="1" fontId="12" fillId="0" borderId="0" xfId="0" applyNumberFormat="1" applyFont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1" fillId="0" borderId="8" xfId="0" applyFont="1" applyBorder="1" applyAlignment="1">
      <alignment vertical="top" wrapText="1"/>
    </xf>
    <xf numFmtId="164" fontId="1" fillId="0" borderId="10" xfId="0" applyNumberFormat="1" applyFont="1" applyBorder="1" applyAlignment="1">
      <alignment vertical="top" wrapText="1"/>
    </xf>
    <xf numFmtId="168" fontId="1" fillId="0" borderId="0" xfId="0" applyNumberFormat="1" applyFont="1" applyAlignment="1">
      <alignment vertical="top" wrapText="1"/>
    </xf>
    <xf numFmtId="169" fontId="1" fillId="0" borderId="0" xfId="0" applyNumberFormat="1" applyFont="1" applyAlignment="1">
      <alignment vertical="top" wrapText="1"/>
    </xf>
    <xf numFmtId="166" fontId="1" fillId="7" borderId="0" xfId="0" applyNumberFormat="1" applyFont="1" applyFill="1"/>
    <xf numFmtId="9" fontId="1" fillId="0" borderId="21" xfId="2" applyFont="1" applyBorder="1" applyAlignment="1">
      <alignment vertical="top" wrapText="1"/>
    </xf>
    <xf numFmtId="0" fontId="1" fillId="12" borderId="19" xfId="0" applyFont="1" applyFill="1" applyBorder="1" applyAlignment="1">
      <alignment vertical="top" wrapText="1"/>
    </xf>
    <xf numFmtId="0" fontId="1" fillId="0" borderId="28" xfId="0" applyFont="1" applyBorder="1" applyAlignment="1">
      <alignment vertical="top" wrapText="1"/>
    </xf>
    <xf numFmtId="164" fontId="1" fillId="0" borderId="19" xfId="0" applyNumberFormat="1" applyFont="1" applyBorder="1" applyAlignment="1">
      <alignment vertical="top" wrapText="1"/>
    </xf>
    <xf numFmtId="0" fontId="2" fillId="0" borderId="28" xfId="0" applyFont="1" applyBorder="1" applyAlignment="1">
      <alignment vertical="top" wrapText="1"/>
    </xf>
    <xf numFmtId="164" fontId="1" fillId="7" borderId="19" xfId="0" applyNumberFormat="1" applyFont="1" applyFill="1" applyBorder="1" applyAlignment="1">
      <alignment vertical="top"/>
    </xf>
    <xf numFmtId="1" fontId="1" fillId="0" borderId="28" xfId="0" applyNumberFormat="1" applyFont="1" applyBorder="1" applyAlignment="1">
      <alignment vertical="top" wrapText="1"/>
    </xf>
    <xf numFmtId="164" fontId="1" fillId="7" borderId="19" xfId="0" applyNumberFormat="1" applyFont="1" applyFill="1" applyBorder="1" applyAlignment="1">
      <alignment vertical="top" wrapText="1"/>
    </xf>
    <xf numFmtId="1" fontId="2" fillId="0" borderId="28" xfId="0" applyNumberFormat="1" applyFont="1" applyBorder="1" applyAlignment="1">
      <alignment vertical="top" wrapText="1"/>
    </xf>
    <xf numFmtId="164" fontId="1" fillId="12" borderId="19" xfId="0" applyNumberFormat="1" applyFont="1" applyFill="1" applyBorder="1" applyAlignment="1">
      <alignment vertical="top" wrapText="1"/>
    </xf>
    <xf numFmtId="9" fontId="1" fillId="0" borderId="21" xfId="0" applyNumberFormat="1" applyFont="1" applyBorder="1" applyAlignment="1">
      <alignment vertical="top" wrapText="1"/>
    </xf>
    <xf numFmtId="0" fontId="1" fillId="12" borderId="6" xfId="0" applyFont="1" applyFill="1" applyBorder="1" applyAlignment="1">
      <alignment vertical="top"/>
    </xf>
    <xf numFmtId="0" fontId="2" fillId="0" borderId="7" xfId="0" applyFont="1" applyBorder="1" applyAlignment="1">
      <alignment vertical="top" wrapText="1"/>
    </xf>
    <xf numFmtId="0" fontId="2" fillId="6" borderId="16" xfId="0" applyFont="1" applyFill="1" applyBorder="1" applyAlignment="1">
      <alignment vertical="top"/>
    </xf>
    <xf numFmtId="0" fontId="1" fillId="6" borderId="11" xfId="0" applyFont="1" applyFill="1" applyBorder="1" applyAlignment="1">
      <alignment vertical="top" wrapText="1"/>
    </xf>
    <xf numFmtId="0" fontId="2" fillId="6" borderId="11" xfId="0" applyFont="1" applyFill="1" applyBorder="1" applyAlignment="1">
      <alignment vertical="top" wrapText="1"/>
    </xf>
    <xf numFmtId="0" fontId="2" fillId="3" borderId="18" xfId="0" applyFont="1" applyFill="1" applyBorder="1" applyAlignment="1">
      <alignment vertical="top"/>
    </xf>
    <xf numFmtId="0" fontId="2" fillId="3" borderId="18" xfId="0" applyFont="1" applyFill="1" applyBorder="1" applyAlignment="1">
      <alignment vertical="top" wrapText="1"/>
    </xf>
    <xf numFmtId="0" fontId="2" fillId="2" borderId="25" xfId="0" applyFont="1" applyFill="1" applyBorder="1" applyAlignment="1">
      <alignment vertical="top"/>
    </xf>
    <xf numFmtId="0" fontId="1" fillId="2" borderId="18" xfId="0" applyFont="1" applyFill="1" applyBorder="1" applyAlignment="1">
      <alignment vertical="top" wrapText="1"/>
    </xf>
    <xf numFmtId="0" fontId="2" fillId="2" borderId="18" xfId="0" applyFont="1" applyFill="1" applyBorder="1" applyAlignment="1">
      <alignment vertical="top" wrapText="1"/>
    </xf>
    <xf numFmtId="0" fontId="2" fillId="2" borderId="26" xfId="0" applyFont="1" applyFill="1" applyBorder="1" applyAlignment="1">
      <alignment vertical="top" wrapText="1"/>
    </xf>
    <xf numFmtId="0" fontId="32" fillId="16" borderId="0" xfId="0" applyFont="1" applyFill="1"/>
    <xf numFmtId="0" fontId="0" fillId="16" borderId="0" xfId="0" applyFill="1" applyAlignment="1">
      <alignment wrapText="1"/>
    </xf>
    <xf numFmtId="0" fontId="0" fillId="16" borderId="0" xfId="0" applyFill="1"/>
    <xf numFmtId="168" fontId="0" fillId="0" borderId="5" xfId="2" applyNumberFormat="1" applyFont="1" applyBorder="1" applyAlignment="1">
      <alignment wrapText="1"/>
    </xf>
    <xf numFmtId="0" fontId="2" fillId="6" borderId="31" xfId="0" applyFont="1" applyFill="1" applyBorder="1" applyAlignment="1">
      <alignment vertical="top"/>
    </xf>
    <xf numFmtId="0" fontId="1" fillId="6" borderId="32" xfId="0" applyFont="1" applyFill="1" applyBorder="1" applyAlignment="1">
      <alignment vertical="top" wrapText="1"/>
    </xf>
    <xf numFmtId="0" fontId="2" fillId="6" borderId="32" xfId="0" applyFont="1" applyFill="1" applyBorder="1" applyAlignment="1">
      <alignment vertical="top" wrapText="1"/>
    </xf>
    <xf numFmtId="0" fontId="2" fillId="6" borderId="33" xfId="0" applyFont="1" applyFill="1" applyBorder="1" applyAlignment="1">
      <alignment vertical="top" wrapText="1"/>
    </xf>
    <xf numFmtId="0" fontId="12" fillId="12" borderId="20" xfId="0" applyFont="1" applyFill="1" applyBorder="1" applyAlignment="1">
      <alignment vertical="top" wrapText="1"/>
    </xf>
    <xf numFmtId="9" fontId="0" fillId="0" borderId="0" xfId="2" applyFont="1"/>
    <xf numFmtId="0" fontId="0" fillId="6" borderId="9" xfId="0" applyFill="1" applyBorder="1"/>
    <xf numFmtId="164" fontId="1" fillId="0" borderId="0" xfId="2" applyNumberFormat="1" applyFont="1" applyBorder="1" applyAlignment="1">
      <alignment vertical="top" wrapText="1"/>
    </xf>
    <xf numFmtId="2" fontId="1" fillId="0" borderId="21" xfId="2" applyNumberFormat="1" applyFont="1" applyBorder="1" applyAlignment="1">
      <alignment vertical="top" wrapText="1"/>
    </xf>
    <xf numFmtId="164" fontId="1" fillId="0" borderId="19" xfId="2" applyNumberFormat="1" applyFont="1" applyBorder="1" applyAlignment="1">
      <alignment vertical="top" wrapText="1"/>
    </xf>
    <xf numFmtId="0" fontId="1" fillId="0" borderId="29" xfId="0" applyFont="1" applyBorder="1" applyAlignment="1">
      <alignment vertical="top" wrapText="1"/>
    </xf>
    <xf numFmtId="0" fontId="1" fillId="12" borderId="35" xfId="0" applyFont="1" applyFill="1" applyBorder="1" applyAlignment="1">
      <alignment vertical="top" wrapText="1"/>
    </xf>
    <xf numFmtId="0" fontId="1" fillId="0" borderId="36" xfId="0" applyFont="1" applyBorder="1" applyAlignment="1">
      <alignment vertical="top" wrapText="1"/>
    </xf>
    <xf numFmtId="0" fontId="38" fillId="0" borderId="18" xfId="0" applyFont="1" applyBorder="1"/>
    <xf numFmtId="0" fontId="38" fillId="0" borderId="4" xfId="0" applyFont="1" applyBorder="1"/>
    <xf numFmtId="0" fontId="38" fillId="0" borderId="0" xfId="0" applyFont="1"/>
    <xf numFmtId="0" fontId="38" fillId="0" borderId="21" xfId="0" applyFont="1" applyBorder="1"/>
    <xf numFmtId="0" fontId="38" fillId="6" borderId="18" xfId="0" applyFont="1" applyFill="1" applyBorder="1"/>
    <xf numFmtId="0" fontId="38" fillId="6" borderId="0" xfId="0" applyFont="1" applyFill="1"/>
    <xf numFmtId="0" fontId="38" fillId="6" borderId="21" xfId="0" applyFont="1" applyFill="1" applyBorder="1"/>
    <xf numFmtId="0" fontId="38" fillId="14" borderId="0" xfId="0" applyFont="1" applyFill="1"/>
    <xf numFmtId="166" fontId="38" fillId="0" borderId="0" xfId="0" applyNumberFormat="1" applyFont="1"/>
    <xf numFmtId="166" fontId="39" fillId="2" borderId="0" xfId="0" applyNumberFormat="1" applyFont="1" applyFill="1"/>
    <xf numFmtId="1" fontId="1" fillId="0" borderId="19" xfId="0" applyNumberFormat="1" applyFont="1" applyBorder="1" applyAlignment="1">
      <alignment vertical="top" wrapText="1"/>
    </xf>
    <xf numFmtId="168" fontId="1" fillId="2" borderId="0" xfId="0" applyNumberFormat="1" applyFont="1" applyFill="1" applyAlignment="1">
      <alignment vertical="top" wrapText="1"/>
    </xf>
    <xf numFmtId="0" fontId="40" fillId="0" borderId="0" xfId="0" applyFont="1" applyAlignment="1">
      <alignment vertical="top"/>
    </xf>
    <xf numFmtId="166" fontId="40" fillId="4" borderId="0" xfId="0" applyNumberFormat="1" applyFont="1" applyFill="1" applyAlignment="1">
      <alignment vertical="top" wrapText="1"/>
    </xf>
    <xf numFmtId="1" fontId="12" fillId="0" borderId="28" xfId="0" applyNumberFormat="1" applyFont="1" applyBorder="1" applyAlignment="1">
      <alignment vertical="top" wrapText="1"/>
    </xf>
    <xf numFmtId="0" fontId="1" fillId="0" borderId="32" xfId="0" applyFont="1" applyBorder="1" applyAlignment="1">
      <alignment vertical="top" wrapText="1"/>
    </xf>
    <xf numFmtId="0" fontId="1" fillId="0" borderId="33" xfId="0" applyFont="1" applyBorder="1" applyAlignment="1">
      <alignment vertical="top" wrapText="1"/>
    </xf>
    <xf numFmtId="0" fontId="12" fillId="0" borderId="19" xfId="0" applyFont="1" applyBorder="1" applyAlignment="1">
      <alignment vertical="top" wrapText="1"/>
    </xf>
    <xf numFmtId="0" fontId="41" fillId="0" borderId="28" xfId="0" applyFont="1" applyBorder="1" applyAlignment="1">
      <alignment vertical="top" wrapText="1"/>
    </xf>
    <xf numFmtId="164" fontId="12" fillId="0" borderId="19" xfId="0" applyNumberFormat="1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0" xfId="0" applyFont="1" applyAlignment="1">
      <alignment horizontal="left" vertical="top"/>
    </xf>
    <xf numFmtId="166" fontId="1" fillId="2" borderId="0" xfId="0" applyNumberFormat="1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2" borderId="0" xfId="0" applyFont="1" applyFill="1" applyAlignment="1">
      <alignment vertical="top"/>
    </xf>
    <xf numFmtId="0" fontId="20" fillId="2" borderId="0" xfId="0" quotePrefix="1" applyFont="1" applyFill="1" applyAlignment="1">
      <alignment vertical="top" wrapText="1"/>
    </xf>
    <xf numFmtId="0" fontId="2" fillId="2" borderId="0" xfId="0" quotePrefix="1" applyFont="1" applyFill="1" applyAlignment="1">
      <alignment vertical="top" wrapText="1"/>
    </xf>
    <xf numFmtId="0" fontId="20" fillId="0" borderId="0" xfId="0" quotePrefix="1" applyFont="1" applyAlignment="1">
      <alignment vertical="top" wrapText="1"/>
    </xf>
    <xf numFmtId="0" fontId="19" fillId="2" borderId="0" xfId="0" applyFont="1" applyFill="1" applyAlignment="1">
      <alignment vertical="top" wrapText="1"/>
    </xf>
    <xf numFmtId="44" fontId="1" fillId="2" borderId="0" xfId="0" applyNumberFormat="1" applyFont="1" applyFill="1" applyAlignment="1">
      <alignment vertical="top" wrapText="1"/>
    </xf>
    <xf numFmtId="164" fontId="1" fillId="0" borderId="0" xfId="2" applyNumberFormat="1" applyFont="1" applyFill="1" applyBorder="1" applyAlignment="1">
      <alignment vertical="top" wrapText="1"/>
    </xf>
    <xf numFmtId="1" fontId="1" fillId="0" borderId="21" xfId="0" applyNumberFormat="1" applyFont="1" applyBorder="1" applyAlignment="1">
      <alignment vertical="top" wrapText="1"/>
    </xf>
    <xf numFmtId="1" fontId="2" fillId="0" borderId="29" xfId="0" applyNumberFormat="1" applyFont="1" applyBorder="1" applyAlignment="1">
      <alignment vertical="top" wrapText="1"/>
    </xf>
    <xf numFmtId="164" fontId="1" fillId="0" borderId="20" xfId="2" applyNumberFormat="1" applyFont="1" applyBorder="1" applyAlignment="1">
      <alignment vertical="top" wrapText="1"/>
    </xf>
    <xf numFmtId="0" fontId="7" fillId="0" borderId="4" xfId="0" applyFont="1" applyBorder="1"/>
    <xf numFmtId="166" fontId="1" fillId="0" borderId="3" xfId="0" applyNumberFormat="1" applyFont="1" applyBorder="1" applyAlignment="1">
      <alignment vertical="top" wrapText="1"/>
    </xf>
    <xf numFmtId="166" fontId="1" fillId="0" borderId="4" xfId="0" applyNumberFormat="1" applyFont="1" applyBorder="1" applyAlignment="1">
      <alignment vertical="top" wrapText="1"/>
    </xf>
    <xf numFmtId="166" fontId="1" fillId="0" borderId="5" xfId="0" applyNumberFormat="1" applyFont="1" applyBorder="1" applyAlignment="1">
      <alignment vertical="top" wrapText="1"/>
    </xf>
    <xf numFmtId="166" fontId="1" fillId="0" borderId="9" xfId="0" applyNumberFormat="1" applyFont="1" applyBorder="1" applyAlignment="1">
      <alignment vertical="top" wrapText="1"/>
    </xf>
    <xf numFmtId="166" fontId="1" fillId="0" borderId="10" xfId="0" applyNumberFormat="1" applyFont="1" applyBorder="1" applyAlignment="1">
      <alignment vertical="top" wrapText="1"/>
    </xf>
    <xf numFmtId="166" fontId="1" fillId="0" borderId="6" xfId="0" applyNumberFormat="1" applyFont="1" applyBorder="1" applyAlignment="1">
      <alignment vertical="top" wrapText="1"/>
    </xf>
    <xf numFmtId="166" fontId="1" fillId="0" borderId="7" xfId="0" applyNumberFormat="1" applyFont="1" applyBorder="1" applyAlignment="1">
      <alignment vertical="top" wrapText="1"/>
    </xf>
    <xf numFmtId="166" fontId="1" fillId="0" borderId="8" xfId="0" applyNumberFormat="1" applyFont="1" applyBorder="1" applyAlignment="1">
      <alignment vertical="top" wrapText="1"/>
    </xf>
    <xf numFmtId="0" fontId="7" fillId="0" borderId="12" xfId="0" applyFont="1" applyBorder="1"/>
    <xf numFmtId="168" fontId="0" fillId="0" borderId="13" xfId="0" applyNumberFormat="1" applyBorder="1"/>
    <xf numFmtId="168" fontId="0" fillId="0" borderId="14" xfId="0" applyNumberFormat="1" applyBorder="1"/>
    <xf numFmtId="168" fontId="1" fillId="0" borderId="3" xfId="0" applyNumberFormat="1" applyFont="1" applyBorder="1" applyAlignment="1">
      <alignment vertical="top" wrapText="1"/>
    </xf>
    <xf numFmtId="168" fontId="1" fillId="0" borderId="9" xfId="0" applyNumberFormat="1" applyFont="1" applyBorder="1" applyAlignment="1">
      <alignment vertical="top" wrapText="1"/>
    </xf>
    <xf numFmtId="168" fontId="1" fillId="0" borderId="6" xfId="0" applyNumberFormat="1" applyFont="1" applyBorder="1" applyAlignment="1">
      <alignment vertical="top" wrapText="1"/>
    </xf>
    <xf numFmtId="0" fontId="2" fillId="0" borderId="19" xfId="0" applyFont="1" applyBorder="1" applyAlignment="1">
      <alignment vertical="top"/>
    </xf>
    <xf numFmtId="0" fontId="2" fillId="2" borderId="19" xfId="0" applyFont="1" applyFill="1" applyBorder="1" applyAlignment="1">
      <alignment vertical="top"/>
    </xf>
    <xf numFmtId="0" fontId="2" fillId="17" borderId="0" xfId="0" applyFont="1" applyFill="1" applyAlignment="1">
      <alignment vertical="top" wrapText="1"/>
    </xf>
    <xf numFmtId="0" fontId="1" fillId="17" borderId="0" xfId="0" applyFont="1" applyFill="1" applyAlignment="1">
      <alignment vertical="top"/>
    </xf>
    <xf numFmtId="0" fontId="1" fillId="17" borderId="0" xfId="0" applyFont="1" applyFill="1" applyAlignment="1">
      <alignment vertical="top" wrapText="1"/>
    </xf>
    <xf numFmtId="169" fontId="1" fillId="0" borderId="3" xfId="0" applyNumberFormat="1" applyFont="1" applyBorder="1" applyAlignment="1">
      <alignment vertical="top" wrapText="1"/>
    </xf>
    <xf numFmtId="169" fontId="1" fillId="0" borderId="4" xfId="0" applyNumberFormat="1" applyFont="1" applyBorder="1" applyAlignment="1">
      <alignment vertical="top" wrapText="1"/>
    </xf>
    <xf numFmtId="169" fontId="1" fillId="0" borderId="5" xfId="0" applyNumberFormat="1" applyFont="1" applyBorder="1" applyAlignment="1">
      <alignment vertical="top" wrapText="1"/>
    </xf>
    <xf numFmtId="169" fontId="1" fillId="0" borderId="9" xfId="0" applyNumberFormat="1" applyFont="1" applyBorder="1" applyAlignment="1">
      <alignment vertical="top" wrapText="1"/>
    </xf>
    <xf numFmtId="169" fontId="1" fillId="0" borderId="10" xfId="0" applyNumberFormat="1" applyFont="1" applyBorder="1" applyAlignment="1">
      <alignment vertical="top" wrapText="1"/>
    </xf>
    <xf numFmtId="169" fontId="1" fillId="0" borderId="6" xfId="0" applyNumberFormat="1" applyFont="1" applyBorder="1" applyAlignment="1">
      <alignment vertical="top" wrapText="1"/>
    </xf>
    <xf numFmtId="169" fontId="1" fillId="0" borderId="7" xfId="0" applyNumberFormat="1" applyFont="1" applyBorder="1" applyAlignment="1">
      <alignment vertical="top" wrapText="1"/>
    </xf>
    <xf numFmtId="169" fontId="1" fillId="0" borderId="8" xfId="0" applyNumberFormat="1" applyFont="1" applyBorder="1" applyAlignment="1">
      <alignment vertical="top" wrapText="1"/>
    </xf>
    <xf numFmtId="168" fontId="1" fillId="0" borderId="4" xfId="0" applyNumberFormat="1" applyFont="1" applyBorder="1" applyAlignment="1">
      <alignment vertical="top" wrapText="1"/>
    </xf>
    <xf numFmtId="168" fontId="1" fillId="0" borderId="5" xfId="0" applyNumberFormat="1" applyFont="1" applyBorder="1" applyAlignment="1">
      <alignment vertical="top" wrapText="1"/>
    </xf>
    <xf numFmtId="168" fontId="1" fillId="0" borderId="10" xfId="0" applyNumberFormat="1" applyFont="1" applyBorder="1" applyAlignment="1">
      <alignment vertical="top" wrapText="1"/>
    </xf>
    <xf numFmtId="168" fontId="1" fillId="0" borderId="7" xfId="0" applyNumberFormat="1" applyFont="1" applyBorder="1" applyAlignment="1">
      <alignment vertical="top" wrapText="1"/>
    </xf>
    <xf numFmtId="168" fontId="1" fillId="0" borderId="8" xfId="0" applyNumberFormat="1" applyFont="1" applyBorder="1" applyAlignment="1">
      <alignment vertical="top" wrapText="1"/>
    </xf>
    <xf numFmtId="0" fontId="40" fillId="2" borderId="0" xfId="0" applyFont="1" applyFill="1" applyAlignment="1">
      <alignment vertical="top"/>
    </xf>
    <xf numFmtId="1" fontId="1" fillId="0" borderId="0" xfId="0" applyNumberFormat="1" applyFont="1" applyAlignment="1">
      <alignment vertical="top"/>
    </xf>
    <xf numFmtId="164" fontId="12" fillId="0" borderId="0" xfId="2" applyNumberFormat="1" applyFont="1" applyBorder="1" applyAlignment="1">
      <alignment vertical="top"/>
    </xf>
    <xf numFmtId="164" fontId="1" fillId="0" borderId="9" xfId="2" applyNumberFormat="1" applyFont="1" applyFill="1" applyBorder="1" applyAlignment="1">
      <alignment vertical="top" wrapText="1"/>
    </xf>
    <xf numFmtId="164" fontId="1" fillId="0" borderId="6" xfId="2" applyNumberFormat="1" applyFont="1" applyFill="1" applyBorder="1" applyAlignment="1">
      <alignment vertical="top" wrapText="1"/>
    </xf>
    <xf numFmtId="164" fontId="1" fillId="0" borderId="7" xfId="2" applyNumberFormat="1" applyFont="1" applyFill="1" applyBorder="1" applyAlignment="1">
      <alignment vertical="top" wrapText="1"/>
    </xf>
    <xf numFmtId="164" fontId="1" fillId="7" borderId="0" xfId="2" applyNumberFormat="1" applyFont="1" applyFill="1" applyBorder="1" applyAlignment="1">
      <alignment vertical="top" wrapText="1"/>
    </xf>
    <xf numFmtId="166" fontId="2" fillId="0" borderId="28" xfId="0" applyNumberFormat="1" applyFont="1" applyBorder="1" applyAlignment="1">
      <alignment vertical="top" wrapText="1"/>
    </xf>
    <xf numFmtId="166" fontId="1" fillId="0" borderId="28" xfId="0" applyNumberFormat="1" applyFont="1" applyBorder="1" applyAlignment="1">
      <alignment vertical="top" wrapText="1"/>
    </xf>
    <xf numFmtId="164" fontId="1" fillId="0" borderId="3" xfId="0" applyNumberFormat="1" applyFont="1" applyBorder="1" applyAlignment="1">
      <alignment vertical="top" wrapText="1"/>
    </xf>
    <xf numFmtId="164" fontId="1" fillId="0" borderId="4" xfId="0" applyNumberFormat="1" applyFont="1" applyBorder="1" applyAlignment="1">
      <alignment vertical="top" wrapText="1"/>
    </xf>
    <xf numFmtId="164" fontId="1" fillId="0" borderId="5" xfId="0" applyNumberFormat="1" applyFont="1" applyBorder="1" applyAlignment="1">
      <alignment vertical="top" wrapText="1"/>
    </xf>
    <xf numFmtId="0" fontId="1" fillId="12" borderId="37" xfId="0" applyFont="1" applyFill="1" applyBorder="1" applyAlignment="1">
      <alignment vertical="top" wrapText="1"/>
    </xf>
    <xf numFmtId="0" fontId="1" fillId="0" borderId="39" xfId="0" applyFont="1" applyBorder="1" applyAlignment="1">
      <alignment vertical="top" wrapText="1"/>
    </xf>
    <xf numFmtId="166" fontId="38" fillId="0" borderId="3" xfId="0" applyNumberFormat="1" applyFont="1" applyBorder="1" applyAlignment="1">
      <alignment vertical="top"/>
    </xf>
    <xf numFmtId="166" fontId="38" fillId="0" borderId="9" xfId="0" applyNumberFormat="1" applyFont="1" applyBorder="1" applyAlignment="1">
      <alignment vertical="top"/>
    </xf>
    <xf numFmtId="166" fontId="38" fillId="0" borderId="6" xfId="0" applyNumberFormat="1" applyFont="1" applyBorder="1" applyAlignment="1">
      <alignment vertical="top"/>
    </xf>
    <xf numFmtId="0" fontId="1" fillId="18" borderId="19" xfId="0" applyFont="1" applyFill="1" applyBorder="1" applyAlignment="1">
      <alignment vertical="top" wrapText="1"/>
    </xf>
    <xf numFmtId="0" fontId="42" fillId="20" borderId="0" xfId="0" applyFont="1" applyFill="1" applyAlignment="1">
      <alignment vertical="top" wrapText="1"/>
    </xf>
    <xf numFmtId="0" fontId="43" fillId="20" borderId="0" xfId="0" applyFont="1" applyFill="1" applyAlignment="1">
      <alignment vertical="top"/>
    </xf>
    <xf numFmtId="1" fontId="43" fillId="20" borderId="0" xfId="0" applyNumberFormat="1" applyFont="1" applyFill="1" applyAlignment="1">
      <alignment vertical="top"/>
    </xf>
    <xf numFmtId="1" fontId="43" fillId="20" borderId="0" xfId="0" applyNumberFormat="1" applyFont="1" applyFill="1" applyAlignment="1">
      <alignment vertical="top" wrapText="1"/>
    </xf>
    <xf numFmtId="0" fontId="43" fillId="20" borderId="0" xfId="0" applyFont="1" applyFill="1" applyAlignment="1">
      <alignment vertical="top" wrapText="1"/>
    </xf>
    <xf numFmtId="166" fontId="38" fillId="2" borderId="0" xfId="0" applyNumberFormat="1" applyFont="1" applyFill="1" applyAlignment="1">
      <alignment vertical="top"/>
    </xf>
    <xf numFmtId="0" fontId="38" fillId="0" borderId="0" xfId="0" applyFont="1" applyAlignment="1">
      <alignment vertical="top"/>
    </xf>
    <xf numFmtId="0" fontId="38" fillId="0" borderId="7" xfId="0" applyFont="1" applyBorder="1" applyAlignment="1">
      <alignment vertical="top"/>
    </xf>
    <xf numFmtId="0" fontId="38" fillId="2" borderId="0" xfId="0" applyFont="1" applyFill="1" applyAlignment="1">
      <alignment vertical="top"/>
    </xf>
    <xf numFmtId="166" fontId="1" fillId="0" borderId="4" xfId="0" applyNumberFormat="1" applyFont="1" applyBorder="1" applyAlignment="1">
      <alignment vertical="top"/>
    </xf>
    <xf numFmtId="166" fontId="1" fillId="0" borderId="0" xfId="0" applyNumberFormat="1" applyFont="1" applyAlignment="1">
      <alignment vertical="top"/>
    </xf>
    <xf numFmtId="166" fontId="1" fillId="0" borderId="7" xfId="0" applyNumberFormat="1" applyFont="1" applyBorder="1" applyAlignment="1">
      <alignment vertical="top"/>
    </xf>
    <xf numFmtId="168" fontId="1" fillId="0" borderId="0" xfId="0" applyNumberFormat="1" applyFont="1" applyAlignment="1">
      <alignment vertical="top"/>
    </xf>
    <xf numFmtId="168" fontId="1" fillId="2" borderId="0" xfId="0" applyNumberFormat="1" applyFont="1" applyFill="1" applyAlignment="1">
      <alignment vertical="top"/>
    </xf>
    <xf numFmtId="168" fontId="1" fillId="0" borderId="4" xfId="0" applyNumberFormat="1" applyFont="1" applyBorder="1" applyAlignment="1">
      <alignment vertical="top"/>
    </xf>
    <xf numFmtId="168" fontId="1" fillId="0" borderId="5" xfId="0" applyNumberFormat="1" applyFont="1" applyBorder="1" applyAlignment="1">
      <alignment vertical="top"/>
    </xf>
    <xf numFmtId="168" fontId="1" fillId="0" borderId="10" xfId="0" applyNumberFormat="1" applyFont="1" applyBorder="1" applyAlignment="1">
      <alignment vertical="top"/>
    </xf>
    <xf numFmtId="168" fontId="1" fillId="0" borderId="7" xfId="0" applyNumberFormat="1" applyFont="1" applyBorder="1" applyAlignment="1">
      <alignment vertical="top"/>
    </xf>
    <xf numFmtId="168" fontId="1" fillId="0" borderId="8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0" fontId="38" fillId="14" borderId="0" xfId="0" applyFont="1" applyFill="1" applyAlignment="1">
      <alignment vertical="top"/>
    </xf>
    <xf numFmtId="166" fontId="1" fillId="2" borderId="0" xfId="0" applyNumberFormat="1" applyFont="1" applyFill="1" applyAlignment="1">
      <alignment vertical="top"/>
    </xf>
    <xf numFmtId="0" fontId="42" fillId="0" borderId="0" xfId="0" applyFont="1" applyAlignment="1">
      <alignment vertical="top" wrapText="1"/>
    </xf>
    <xf numFmtId="0" fontId="43" fillId="0" borderId="0" xfId="0" applyFont="1" applyAlignment="1">
      <alignment vertical="top"/>
    </xf>
    <xf numFmtId="1" fontId="43" fillId="0" borderId="0" xfId="0" applyNumberFormat="1" applyFont="1" applyAlignment="1">
      <alignment vertical="top"/>
    </xf>
    <xf numFmtId="1" fontId="43" fillId="0" borderId="0" xfId="0" applyNumberFormat="1" applyFont="1" applyAlignment="1">
      <alignment vertical="top" wrapText="1"/>
    </xf>
    <xf numFmtId="0" fontId="43" fillId="0" borderId="0" xfId="0" applyFont="1" applyAlignment="1">
      <alignment vertical="top" wrapText="1"/>
    </xf>
    <xf numFmtId="166" fontId="40" fillId="2" borderId="0" xfId="0" applyNumberFormat="1" applyFont="1" applyFill="1" applyAlignment="1">
      <alignment vertical="top"/>
    </xf>
    <xf numFmtId="0" fontId="19" fillId="21" borderId="0" xfId="0" applyFont="1" applyFill="1" applyAlignment="1">
      <alignment vertical="top" wrapText="1"/>
    </xf>
    <xf numFmtId="0" fontId="38" fillId="17" borderId="0" xfId="0" applyFont="1" applyFill="1" applyAlignment="1">
      <alignment vertical="top"/>
    </xf>
    <xf numFmtId="166" fontId="1" fillId="4" borderId="0" xfId="0" applyNumberFormat="1" applyFont="1" applyFill="1" applyAlignment="1">
      <alignment vertical="top"/>
    </xf>
    <xf numFmtId="166" fontId="44" fillId="4" borderId="0" xfId="0" applyNumberFormat="1" applyFont="1" applyFill="1" applyAlignment="1">
      <alignment vertical="top" wrapText="1"/>
    </xf>
    <xf numFmtId="168" fontId="44" fillId="4" borderId="0" xfId="0" applyNumberFormat="1" applyFont="1" applyFill="1" applyAlignment="1">
      <alignment vertical="top" wrapText="1"/>
    </xf>
    <xf numFmtId="0" fontId="44" fillId="0" borderId="0" xfId="0" applyFont="1" applyAlignment="1">
      <alignment vertical="top" wrapText="1"/>
    </xf>
    <xf numFmtId="0" fontId="44" fillId="0" borderId="0" xfId="0" applyFont="1" applyAlignment="1">
      <alignment vertical="top"/>
    </xf>
    <xf numFmtId="0" fontId="2" fillId="2" borderId="0" xfId="0" applyFont="1" applyFill="1" applyAlignment="1">
      <alignment vertical="top"/>
    </xf>
    <xf numFmtId="0" fontId="1" fillId="18" borderId="20" xfId="0" applyFont="1" applyFill="1" applyBorder="1" applyAlignment="1">
      <alignment vertical="top" wrapText="1"/>
    </xf>
    <xf numFmtId="0" fontId="38" fillId="0" borderId="21" xfId="0" applyFont="1" applyBorder="1" applyAlignment="1">
      <alignment vertical="top"/>
    </xf>
    <xf numFmtId="0" fontId="2" fillId="22" borderId="0" xfId="0" applyFont="1" applyFill="1" applyAlignment="1">
      <alignment vertical="top" wrapText="1"/>
    </xf>
    <xf numFmtId="0" fontId="38" fillId="22" borderId="0" xfId="0" applyFont="1" applyFill="1" applyAlignment="1">
      <alignment vertical="top"/>
    </xf>
    <xf numFmtId="0" fontId="1" fillId="22" borderId="0" xfId="0" applyFont="1" applyFill="1" applyAlignment="1">
      <alignment vertical="top" wrapText="1"/>
    </xf>
    <xf numFmtId="166" fontId="1" fillId="22" borderId="0" xfId="0" applyNumberFormat="1" applyFont="1" applyFill="1" applyAlignment="1">
      <alignment vertical="top" wrapText="1"/>
    </xf>
    <xf numFmtId="0" fontId="43" fillId="7" borderId="0" xfId="0" applyFont="1" applyFill="1" applyAlignment="1">
      <alignment vertical="top"/>
    </xf>
    <xf numFmtId="6" fontId="1" fillId="7" borderId="0" xfId="0" applyNumberFormat="1" applyFont="1" applyFill="1" applyAlignment="1">
      <alignment vertical="top" wrapText="1"/>
    </xf>
    <xf numFmtId="0" fontId="43" fillId="7" borderId="0" xfId="0" applyFont="1" applyFill="1" applyAlignment="1">
      <alignment vertical="top" wrapText="1"/>
    </xf>
    <xf numFmtId="0" fontId="42" fillId="7" borderId="0" xfId="0" applyFont="1" applyFill="1" applyAlignment="1">
      <alignment vertical="top" wrapText="1"/>
    </xf>
    <xf numFmtId="0" fontId="19" fillId="23" borderId="0" xfId="0" applyFont="1" applyFill="1" applyAlignment="1">
      <alignment vertical="top" wrapText="1"/>
    </xf>
    <xf numFmtId="6" fontId="1" fillId="4" borderId="0" xfId="0" applyNumberFormat="1" applyFont="1" applyFill="1" applyAlignment="1">
      <alignment vertical="top" wrapText="1"/>
    </xf>
    <xf numFmtId="1" fontId="17" fillId="20" borderId="0" xfId="0" applyNumberFormat="1" applyFont="1" applyFill="1" applyAlignment="1">
      <alignment vertical="top" wrapText="1"/>
    </xf>
    <xf numFmtId="166" fontId="44" fillId="0" borderId="0" xfId="0" applyNumberFormat="1" applyFont="1" applyAlignment="1">
      <alignment vertical="top"/>
    </xf>
    <xf numFmtId="0" fontId="1" fillId="0" borderId="6" xfId="0" applyFont="1" applyBorder="1" applyAlignment="1">
      <alignment vertical="top"/>
    </xf>
    <xf numFmtId="0" fontId="2" fillId="0" borderId="38" xfId="0" applyFont="1" applyBorder="1" applyAlignment="1">
      <alignment vertical="top" wrapText="1"/>
    </xf>
    <xf numFmtId="164" fontId="1" fillId="0" borderId="19" xfId="2" applyNumberFormat="1" applyFont="1" applyFill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164" fontId="1" fillId="0" borderId="19" xfId="0" applyNumberFormat="1" applyFont="1" applyBorder="1" applyAlignment="1">
      <alignment vertical="top"/>
    </xf>
    <xf numFmtId="164" fontId="12" fillId="0" borderId="19" xfId="0" applyNumberFormat="1" applyFont="1" applyBorder="1" applyAlignment="1">
      <alignment vertical="top"/>
    </xf>
    <xf numFmtId="1" fontId="12" fillId="0" borderId="28" xfId="2" applyNumberFormat="1" applyFont="1" applyBorder="1" applyAlignment="1">
      <alignment vertical="top" wrapText="1"/>
    </xf>
    <xf numFmtId="1" fontId="1" fillId="0" borderId="20" xfId="0" applyNumberFormat="1" applyFont="1" applyBorder="1" applyAlignment="1">
      <alignment vertical="top" wrapText="1"/>
    </xf>
    <xf numFmtId="164" fontId="1" fillId="19" borderId="17" xfId="2" applyNumberFormat="1" applyFont="1" applyFill="1" applyBorder="1" applyAlignment="1">
      <alignment vertical="top"/>
    </xf>
    <xf numFmtId="169" fontId="1" fillId="19" borderId="18" xfId="0" applyNumberFormat="1" applyFont="1" applyFill="1" applyBorder="1" applyAlignment="1">
      <alignment vertical="top" wrapText="1"/>
    </xf>
    <xf numFmtId="166" fontId="2" fillId="19" borderId="27" xfId="0" applyNumberFormat="1" applyFont="1" applyFill="1" applyBorder="1" applyAlignment="1">
      <alignment vertical="top" wrapText="1"/>
    </xf>
    <xf numFmtId="164" fontId="1" fillId="0" borderId="19" xfId="2" applyNumberFormat="1" applyFont="1" applyFill="1" applyBorder="1" applyAlignment="1">
      <alignment vertical="top"/>
    </xf>
    <xf numFmtId="166" fontId="2" fillId="4" borderId="28" xfId="0" applyNumberFormat="1" applyFont="1" applyFill="1" applyBorder="1" applyAlignment="1">
      <alignment vertical="top" wrapText="1"/>
    </xf>
    <xf numFmtId="0" fontId="2" fillId="19" borderId="17" xfId="0" applyFont="1" applyFill="1" applyBorder="1" applyAlignment="1">
      <alignment vertical="top" wrapText="1"/>
    </xf>
    <xf numFmtId="0" fontId="1" fillId="19" borderId="18" xfId="0" applyFont="1" applyFill="1" applyBorder="1" applyAlignment="1">
      <alignment vertical="top" wrapText="1"/>
    </xf>
    <xf numFmtId="0" fontId="38" fillId="19" borderId="18" xfId="0" applyFont="1" applyFill="1" applyBorder="1" applyAlignment="1">
      <alignment vertical="top"/>
    </xf>
    <xf numFmtId="164" fontId="1" fillId="19" borderId="17" xfId="0" applyNumberFormat="1" applyFont="1" applyFill="1" applyBorder="1" applyAlignment="1">
      <alignment vertical="top" wrapText="1"/>
    </xf>
    <xf numFmtId="164" fontId="1" fillId="19" borderId="17" xfId="2" applyNumberFormat="1" applyFont="1" applyFill="1" applyBorder="1" applyAlignment="1">
      <alignment vertical="top" wrapText="1"/>
    </xf>
    <xf numFmtId="0" fontId="1" fillId="0" borderId="19" xfId="0" quotePrefix="1" applyFont="1" applyBorder="1" applyAlignment="1">
      <alignment vertical="top" wrapText="1"/>
    </xf>
    <xf numFmtId="166" fontId="1" fillId="0" borderId="5" xfId="0" applyNumberFormat="1" applyFont="1" applyBorder="1" applyAlignment="1">
      <alignment vertical="top"/>
    </xf>
    <xf numFmtId="166" fontId="1" fillId="0" borderId="10" xfId="0" applyNumberFormat="1" applyFont="1" applyBorder="1" applyAlignment="1">
      <alignment vertical="top"/>
    </xf>
    <xf numFmtId="166" fontId="1" fillId="0" borderId="8" xfId="0" applyNumberFormat="1" applyFont="1" applyBorder="1" applyAlignment="1">
      <alignment vertical="top"/>
    </xf>
    <xf numFmtId="0" fontId="38" fillId="7" borderId="0" xfId="0" applyFont="1" applyFill="1" applyAlignment="1">
      <alignment vertical="top"/>
    </xf>
    <xf numFmtId="2" fontId="44" fillId="4" borderId="0" xfId="0" applyNumberFormat="1" applyFont="1" applyFill="1" applyAlignment="1">
      <alignment vertical="top" wrapText="1"/>
    </xf>
    <xf numFmtId="0" fontId="45" fillId="0" borderId="0" xfId="0" applyFont="1"/>
    <xf numFmtId="166" fontId="1" fillId="19" borderId="11" xfId="0" applyNumberFormat="1" applyFont="1" applyFill="1" applyBorder="1" applyAlignment="1">
      <alignment vertical="top" wrapText="1"/>
    </xf>
    <xf numFmtId="0" fontId="1" fillId="19" borderId="11" xfId="0" applyFont="1" applyFill="1" applyBorder="1" applyAlignment="1">
      <alignment vertical="top" wrapText="1"/>
    </xf>
    <xf numFmtId="0" fontId="1" fillId="19" borderId="11" xfId="0" quotePrefix="1" applyFont="1" applyFill="1" applyBorder="1" applyAlignment="1">
      <alignment vertical="top" wrapText="1"/>
    </xf>
    <xf numFmtId="0" fontId="38" fillId="19" borderId="11" xfId="0" applyFont="1" applyFill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19" borderId="30" xfId="0" applyFont="1" applyFill="1" applyBorder="1" applyAlignment="1">
      <alignment vertical="top"/>
    </xf>
    <xf numFmtId="0" fontId="2" fillId="2" borderId="28" xfId="0" applyFont="1" applyFill="1" applyBorder="1" applyAlignment="1">
      <alignment vertical="top" wrapText="1"/>
    </xf>
    <xf numFmtId="0" fontId="43" fillId="20" borderId="19" xfId="0" applyFont="1" applyFill="1" applyBorder="1" applyAlignment="1">
      <alignment vertical="top"/>
    </xf>
    <xf numFmtId="1" fontId="43" fillId="20" borderId="28" xfId="0" applyNumberFormat="1" applyFont="1" applyFill="1" applyBorder="1" applyAlignment="1">
      <alignment vertical="top" wrapText="1"/>
    </xf>
    <xf numFmtId="164" fontId="1" fillId="0" borderId="36" xfId="2" applyNumberFormat="1" applyFont="1" applyFill="1" applyBorder="1" applyAlignment="1">
      <alignment vertical="top" wrapText="1"/>
    </xf>
    <xf numFmtId="0" fontId="1" fillId="2" borderId="19" xfId="0" applyFont="1" applyFill="1" applyBorder="1" applyAlignment="1">
      <alignment vertical="top"/>
    </xf>
    <xf numFmtId="0" fontId="1" fillId="2" borderId="28" xfId="0" applyFont="1" applyFill="1" applyBorder="1" applyAlignment="1">
      <alignment vertical="top" wrapText="1"/>
    </xf>
    <xf numFmtId="0" fontId="38" fillId="0" borderId="28" xfId="0" applyFont="1" applyBorder="1" applyAlignment="1">
      <alignment vertical="top"/>
    </xf>
    <xf numFmtId="0" fontId="1" fillId="7" borderId="19" xfId="0" applyFont="1" applyFill="1" applyBorder="1" applyAlignment="1">
      <alignment vertical="top"/>
    </xf>
    <xf numFmtId="170" fontId="2" fillId="7" borderId="0" xfId="0" applyNumberFormat="1" applyFont="1" applyFill="1" applyAlignment="1">
      <alignment vertical="top"/>
    </xf>
    <xf numFmtId="0" fontId="2" fillId="7" borderId="28" xfId="0" applyFont="1" applyFill="1" applyBorder="1" applyAlignment="1">
      <alignment vertical="top"/>
    </xf>
    <xf numFmtId="0" fontId="1" fillId="0" borderId="28" xfId="0" applyFont="1" applyBorder="1" applyAlignment="1">
      <alignment vertical="top"/>
    </xf>
    <xf numFmtId="0" fontId="17" fillId="0" borderId="19" xfId="0" applyFont="1" applyBorder="1" applyAlignment="1">
      <alignment vertical="top"/>
    </xf>
    <xf numFmtId="166" fontId="1" fillId="0" borderId="28" xfId="0" applyNumberFormat="1" applyFont="1" applyBorder="1" applyAlignment="1">
      <alignment vertical="top"/>
    </xf>
    <xf numFmtId="168" fontId="1" fillId="0" borderId="28" xfId="0" applyNumberFormat="1" applyFont="1" applyBorder="1" applyAlignment="1">
      <alignment vertical="top"/>
    </xf>
    <xf numFmtId="168" fontId="1" fillId="2" borderId="28" xfId="0" applyNumberFormat="1" applyFont="1" applyFill="1" applyBorder="1" applyAlignment="1">
      <alignment vertical="top"/>
    </xf>
    <xf numFmtId="0" fontId="19" fillId="0" borderId="19" xfId="0" applyFont="1" applyBorder="1" applyAlignment="1">
      <alignment vertical="top"/>
    </xf>
    <xf numFmtId="0" fontId="19" fillId="2" borderId="19" xfId="0" applyFont="1" applyFill="1" applyBorder="1" applyAlignment="1">
      <alignment vertical="top"/>
    </xf>
    <xf numFmtId="166" fontId="1" fillId="2" borderId="28" xfId="0" applyNumberFormat="1" applyFont="1" applyFill="1" applyBorder="1" applyAlignment="1">
      <alignment vertical="top" wrapText="1"/>
    </xf>
    <xf numFmtId="0" fontId="2" fillId="14" borderId="28" xfId="0" applyFont="1" applyFill="1" applyBorder="1" applyAlignment="1">
      <alignment vertical="top" wrapText="1"/>
    </xf>
    <xf numFmtId="0" fontId="38" fillId="2" borderId="19" xfId="0" applyFont="1" applyFill="1" applyBorder="1" applyAlignment="1">
      <alignment vertical="top"/>
    </xf>
    <xf numFmtId="0" fontId="38" fillId="0" borderId="19" xfId="0" applyFont="1" applyBorder="1" applyAlignment="1">
      <alignment vertical="top"/>
    </xf>
    <xf numFmtId="0" fontId="43" fillId="0" borderId="19" xfId="0" applyFont="1" applyBorder="1" applyAlignment="1">
      <alignment vertical="top"/>
    </xf>
    <xf numFmtId="1" fontId="43" fillId="0" borderId="28" xfId="0" applyNumberFormat="1" applyFont="1" applyBorder="1" applyAlignment="1">
      <alignment vertical="top" wrapText="1"/>
    </xf>
    <xf numFmtId="1" fontId="43" fillId="7" borderId="28" xfId="0" applyNumberFormat="1" applyFont="1" applyFill="1" applyBorder="1" applyAlignment="1">
      <alignment vertical="top" wrapText="1"/>
    </xf>
    <xf numFmtId="0" fontId="2" fillId="17" borderId="19" xfId="0" applyFont="1" applyFill="1" applyBorder="1" applyAlignment="1">
      <alignment vertical="top"/>
    </xf>
    <xf numFmtId="0" fontId="2" fillId="17" borderId="28" xfId="0" applyFont="1" applyFill="1" applyBorder="1" applyAlignment="1">
      <alignment vertical="top" wrapText="1"/>
    </xf>
    <xf numFmtId="0" fontId="38" fillId="22" borderId="19" xfId="0" applyFont="1" applyFill="1" applyBorder="1" applyAlignment="1">
      <alignment vertical="top"/>
    </xf>
    <xf numFmtId="166" fontId="1" fillId="22" borderId="28" xfId="0" applyNumberFormat="1" applyFont="1" applyFill="1" applyBorder="1" applyAlignment="1">
      <alignment vertical="top" wrapText="1"/>
    </xf>
    <xf numFmtId="6" fontId="1" fillId="0" borderId="0" xfId="0" applyNumberFormat="1" applyFont="1"/>
    <xf numFmtId="6" fontId="1" fillId="0" borderId="0" xfId="0" applyNumberFormat="1" applyFont="1" applyAlignment="1">
      <alignment vertical="top"/>
    </xf>
    <xf numFmtId="0" fontId="1" fillId="19" borderId="30" xfId="0" applyFont="1" applyFill="1" applyBorder="1" applyAlignment="1">
      <alignment vertical="top" wrapText="1"/>
    </xf>
    <xf numFmtId="0" fontId="1" fillId="2" borderId="19" xfId="0" applyFont="1" applyFill="1" applyBorder="1" applyAlignment="1">
      <alignment vertical="top" wrapText="1"/>
    </xf>
    <xf numFmtId="0" fontId="43" fillId="20" borderId="19" xfId="0" applyFont="1" applyFill="1" applyBorder="1" applyAlignment="1">
      <alignment vertical="top" wrapText="1"/>
    </xf>
    <xf numFmtId="0" fontId="43" fillId="20" borderId="28" xfId="0" applyFont="1" applyFill="1" applyBorder="1" applyAlignment="1">
      <alignment vertical="top" wrapText="1"/>
    </xf>
    <xf numFmtId="164" fontId="1" fillId="0" borderId="28" xfId="0" applyNumberFormat="1" applyFont="1" applyBorder="1" applyAlignment="1">
      <alignment vertical="top" wrapText="1"/>
    </xf>
    <xf numFmtId="0" fontId="1" fillId="4" borderId="19" xfId="0" applyFont="1" applyFill="1" applyBorder="1" applyAlignment="1">
      <alignment vertical="top" wrapText="1"/>
    </xf>
    <xf numFmtId="170" fontId="1" fillId="7" borderId="0" xfId="0" applyNumberFormat="1" applyFont="1" applyFill="1" applyAlignment="1">
      <alignment vertical="top" wrapText="1"/>
    </xf>
    <xf numFmtId="0" fontId="1" fillId="7" borderId="28" xfId="0" applyFont="1" applyFill="1" applyBorder="1" applyAlignment="1">
      <alignment vertical="top" wrapText="1"/>
    </xf>
    <xf numFmtId="0" fontId="44" fillId="4" borderId="19" xfId="0" applyFont="1" applyFill="1" applyBorder="1" applyAlignment="1">
      <alignment vertical="top" wrapText="1"/>
    </xf>
    <xf numFmtId="0" fontId="44" fillId="0" borderId="19" xfId="0" applyFont="1" applyBorder="1" applyAlignment="1">
      <alignment vertical="top" wrapText="1"/>
    </xf>
    <xf numFmtId="0" fontId="19" fillId="15" borderId="19" xfId="0" applyFont="1" applyFill="1" applyBorder="1" applyAlignment="1">
      <alignment vertical="top" wrapText="1"/>
    </xf>
    <xf numFmtId="0" fontId="1" fillId="14" borderId="28" xfId="0" applyFont="1" applyFill="1" applyBorder="1" applyAlignment="1">
      <alignment vertical="top" wrapText="1"/>
    </xf>
    <xf numFmtId="0" fontId="19" fillId="2" borderId="19" xfId="0" applyFont="1" applyFill="1" applyBorder="1" applyAlignment="1">
      <alignment vertical="top" wrapText="1"/>
    </xf>
    <xf numFmtId="0" fontId="19" fillId="23" borderId="19" xfId="0" applyFont="1" applyFill="1" applyBorder="1" applyAlignment="1">
      <alignment vertical="top" wrapText="1"/>
    </xf>
    <xf numFmtId="0" fontId="43" fillId="0" borderId="19" xfId="0" applyFont="1" applyBorder="1" applyAlignment="1">
      <alignment vertical="top" wrapText="1"/>
    </xf>
    <xf numFmtId="0" fontId="43" fillId="0" borderId="28" xfId="0" applyFont="1" applyBorder="1" applyAlignment="1">
      <alignment vertical="top" wrapText="1"/>
    </xf>
    <xf numFmtId="0" fontId="43" fillId="7" borderId="19" xfId="0" applyFont="1" applyFill="1" applyBorder="1" applyAlignment="1">
      <alignment vertical="top" wrapText="1"/>
    </xf>
    <xf numFmtId="0" fontId="43" fillId="7" borderId="28" xfId="0" applyFont="1" applyFill="1" applyBorder="1" applyAlignment="1">
      <alignment vertical="top" wrapText="1"/>
    </xf>
    <xf numFmtId="0" fontId="19" fillId="21" borderId="19" xfId="0" applyFont="1" applyFill="1" applyBorder="1" applyAlignment="1">
      <alignment vertical="top" wrapText="1"/>
    </xf>
    <xf numFmtId="0" fontId="1" fillId="17" borderId="28" xfId="0" applyFont="1" applyFill="1" applyBorder="1" applyAlignment="1">
      <alignment vertical="top" wrapText="1"/>
    </xf>
    <xf numFmtId="0" fontId="1" fillId="22" borderId="19" xfId="0" applyFont="1" applyFill="1" applyBorder="1" applyAlignment="1">
      <alignment vertical="top" wrapText="1"/>
    </xf>
    <xf numFmtId="0" fontId="1" fillId="22" borderId="28" xfId="0" applyFont="1" applyFill="1" applyBorder="1" applyAlignment="1">
      <alignment vertical="top" wrapText="1"/>
    </xf>
    <xf numFmtId="0" fontId="1" fillId="19" borderId="30" xfId="0" quotePrefix="1" applyFont="1" applyFill="1" applyBorder="1" applyAlignment="1">
      <alignment vertical="top" wrapText="1"/>
    </xf>
    <xf numFmtId="0" fontId="2" fillId="7" borderId="19" xfId="0" applyFont="1" applyFill="1" applyBorder="1" applyAlignment="1">
      <alignment vertical="top"/>
    </xf>
    <xf numFmtId="0" fontId="19" fillId="0" borderId="19" xfId="0" applyFont="1" applyBorder="1" applyAlignment="1">
      <alignment vertical="top" wrapText="1"/>
    </xf>
    <xf numFmtId="0" fontId="44" fillId="2" borderId="19" xfId="0" applyFont="1" applyFill="1" applyBorder="1" applyAlignment="1">
      <alignment vertical="top" wrapText="1"/>
    </xf>
    <xf numFmtId="0" fontId="1" fillId="14" borderId="19" xfId="0" applyFont="1" applyFill="1" applyBorder="1" applyAlignment="1">
      <alignment vertical="top" wrapText="1"/>
    </xf>
    <xf numFmtId="1" fontId="17" fillId="0" borderId="19" xfId="0" applyNumberFormat="1" applyFont="1" applyBorder="1" applyAlignment="1">
      <alignment vertical="top" wrapText="1"/>
    </xf>
    <xf numFmtId="0" fontId="1" fillId="17" borderId="19" xfId="0" applyFont="1" applyFill="1" applyBorder="1" applyAlignment="1">
      <alignment vertical="top" wrapText="1"/>
    </xf>
    <xf numFmtId="0" fontId="38" fillId="2" borderId="28" xfId="0" applyFont="1" applyFill="1" applyBorder="1" applyAlignment="1">
      <alignment vertical="top"/>
    </xf>
    <xf numFmtId="0" fontId="2" fillId="2" borderId="19" xfId="0" applyFont="1" applyFill="1" applyBorder="1" applyAlignment="1">
      <alignment vertical="top" wrapText="1"/>
    </xf>
    <xf numFmtId="1" fontId="43" fillId="20" borderId="19" xfId="0" applyNumberFormat="1" applyFont="1" applyFill="1" applyBorder="1" applyAlignment="1">
      <alignment vertical="top" wrapText="1"/>
    </xf>
    <xf numFmtId="0" fontId="2" fillId="0" borderId="28" xfId="0" applyFont="1" applyBorder="1" applyAlignment="1">
      <alignment vertical="top"/>
    </xf>
    <xf numFmtId="1" fontId="1" fillId="2" borderId="19" xfId="0" applyNumberFormat="1" applyFont="1" applyFill="1" applyBorder="1" applyAlignment="1">
      <alignment vertical="top" wrapText="1"/>
    </xf>
    <xf numFmtId="1" fontId="1" fillId="2" borderId="28" xfId="0" applyNumberFormat="1" applyFont="1" applyFill="1" applyBorder="1" applyAlignment="1">
      <alignment vertical="top" wrapText="1"/>
    </xf>
    <xf numFmtId="1" fontId="43" fillId="0" borderId="19" xfId="0" applyNumberFormat="1" applyFont="1" applyBorder="1" applyAlignment="1">
      <alignment vertical="top" wrapText="1"/>
    </xf>
    <xf numFmtId="1" fontId="43" fillId="7" borderId="19" xfId="0" applyNumberFormat="1" applyFont="1" applyFill="1" applyBorder="1" applyAlignment="1">
      <alignment vertical="top" wrapText="1"/>
    </xf>
    <xf numFmtId="0" fontId="2" fillId="17" borderId="19" xfId="0" applyFont="1" applyFill="1" applyBorder="1" applyAlignment="1">
      <alignment vertical="top" wrapText="1"/>
    </xf>
    <xf numFmtId="0" fontId="38" fillId="22" borderId="28" xfId="0" applyFont="1" applyFill="1" applyBorder="1" applyAlignment="1">
      <alignment vertical="top"/>
    </xf>
    <xf numFmtId="1" fontId="1" fillId="19" borderId="17" xfId="0" applyNumberFormat="1" applyFont="1" applyFill="1" applyBorder="1" applyAlignment="1">
      <alignment vertical="top" wrapText="1"/>
    </xf>
    <xf numFmtId="0" fontId="2" fillId="19" borderId="30" xfId="0" applyFont="1" applyFill="1" applyBorder="1" applyAlignment="1">
      <alignment vertical="top" wrapText="1"/>
    </xf>
    <xf numFmtId="0" fontId="2" fillId="19" borderId="40" xfId="0" applyFont="1" applyFill="1" applyBorder="1" applyAlignment="1">
      <alignment vertical="top" wrapText="1"/>
    </xf>
    <xf numFmtId="0" fontId="1" fillId="19" borderId="40" xfId="0" applyFont="1" applyFill="1" applyBorder="1" applyAlignment="1">
      <alignment vertical="top"/>
    </xf>
    <xf numFmtId="166" fontId="1" fillId="19" borderId="41" xfId="0" applyNumberFormat="1" applyFont="1" applyFill="1" applyBorder="1" applyAlignment="1">
      <alignment vertical="top" wrapText="1"/>
    </xf>
    <xf numFmtId="0" fontId="1" fillId="19" borderId="40" xfId="0" applyFont="1" applyFill="1" applyBorder="1" applyAlignment="1">
      <alignment vertical="top" wrapText="1"/>
    </xf>
    <xf numFmtId="0" fontId="1" fillId="19" borderId="40" xfId="0" quotePrefix="1" applyFont="1" applyFill="1" applyBorder="1" applyAlignment="1">
      <alignment vertical="top" wrapText="1"/>
    </xf>
    <xf numFmtId="0" fontId="1" fillId="19" borderId="41" xfId="0" applyFont="1" applyFill="1" applyBorder="1" applyAlignment="1">
      <alignment vertical="top" wrapText="1"/>
    </xf>
    <xf numFmtId="0" fontId="1" fillId="19" borderId="41" xfId="0" quotePrefix="1" applyFont="1" applyFill="1" applyBorder="1" applyAlignment="1">
      <alignment vertical="top" wrapText="1"/>
    </xf>
    <xf numFmtId="0" fontId="2" fillId="0" borderId="31" xfId="0" applyFont="1" applyBorder="1" applyAlignment="1">
      <alignment vertical="top" wrapText="1"/>
    </xf>
    <xf numFmtId="0" fontId="1" fillId="12" borderId="31" xfId="0" applyFont="1" applyFill="1" applyBorder="1" applyAlignment="1">
      <alignment vertical="top"/>
    </xf>
    <xf numFmtId="0" fontId="38" fillId="0" borderId="32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38" fillId="0" borderId="4" xfId="0" applyFont="1" applyBorder="1" applyAlignment="1">
      <alignment vertical="top"/>
    </xf>
    <xf numFmtId="0" fontId="38" fillId="4" borderId="19" xfId="0" applyFont="1" applyFill="1" applyBorder="1" applyAlignment="1">
      <alignment vertical="top"/>
    </xf>
    <xf numFmtId="0" fontId="7" fillId="0" borderId="0" xfId="0" applyFont="1" applyAlignment="1">
      <alignment vertical="top" wrapText="1"/>
    </xf>
    <xf numFmtId="0" fontId="21" fillId="7" borderId="0" xfId="0" applyFont="1" applyFill="1" applyAlignment="1">
      <alignment vertical="top"/>
    </xf>
    <xf numFmtId="0" fontId="7" fillId="4" borderId="0" xfId="0" applyFont="1" applyFill="1" applyAlignment="1">
      <alignment vertical="top" wrapText="1"/>
    </xf>
    <xf numFmtId="0" fontId="7" fillId="4" borderId="0" xfId="0" applyFont="1" applyFill="1" applyAlignment="1">
      <alignment vertical="top"/>
    </xf>
    <xf numFmtId="0" fontId="47" fillId="0" borderId="0" xfId="0" applyFont="1" applyAlignment="1">
      <alignment vertical="top"/>
    </xf>
    <xf numFmtId="0" fontId="7" fillId="6" borderId="0" xfId="0" applyFont="1" applyFill="1" applyAlignment="1">
      <alignment vertical="top"/>
    </xf>
    <xf numFmtId="0" fontId="7" fillId="6" borderId="0" xfId="0" applyFont="1" applyFill="1" applyAlignment="1">
      <alignment vertical="top" wrapText="1"/>
    </xf>
    <xf numFmtId="0" fontId="21" fillId="2" borderId="0" xfId="0" applyFont="1" applyFill="1" applyAlignment="1">
      <alignment vertical="top"/>
    </xf>
    <xf numFmtId="0" fontId="21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/>
    </xf>
    <xf numFmtId="0" fontId="7" fillId="4" borderId="3" xfId="0" applyFont="1" applyFill="1" applyBorder="1" applyAlignment="1">
      <alignment vertical="top" wrapText="1"/>
    </xf>
    <xf numFmtId="0" fontId="21" fillId="0" borderId="5" xfId="0" applyFont="1" applyBorder="1" applyAlignment="1">
      <alignment vertical="top" wrapText="1"/>
    </xf>
    <xf numFmtId="0" fontId="7" fillId="4" borderId="9" xfId="0" quotePrefix="1" applyFont="1" applyFill="1" applyBorder="1" applyAlignment="1">
      <alignment vertical="top" wrapText="1"/>
    </xf>
    <xf numFmtId="0" fontId="21" fillId="0" borderId="9" xfId="0" quotePrefix="1" applyFont="1" applyBorder="1" applyAlignment="1">
      <alignment vertical="top" wrapText="1"/>
    </xf>
    <xf numFmtId="0" fontId="21" fillId="0" borderId="10" xfId="0" applyFont="1" applyBorder="1" applyAlignment="1">
      <alignment vertical="top" wrapText="1"/>
    </xf>
    <xf numFmtId="0" fontId="46" fillId="4" borderId="6" xfId="0" quotePrefix="1" applyFont="1" applyFill="1" applyBorder="1" applyAlignment="1">
      <alignment vertical="top" wrapText="1"/>
    </xf>
    <xf numFmtId="0" fontId="21" fillId="0" borderId="8" xfId="0" applyFont="1" applyBorder="1" applyAlignment="1">
      <alignment vertical="top" wrapText="1"/>
    </xf>
    <xf numFmtId="0" fontId="49" fillId="0" borderId="0" xfId="0" applyFont="1" applyAlignment="1">
      <alignment wrapText="1"/>
    </xf>
    <xf numFmtId="0" fontId="7" fillId="24" borderId="0" xfId="0" applyFont="1" applyFill="1"/>
    <xf numFmtId="0" fontId="7" fillId="24" borderId="5" xfId="0" applyFont="1" applyFill="1" applyBorder="1"/>
    <xf numFmtId="0" fontId="7" fillId="24" borderId="10" xfId="0" applyFont="1" applyFill="1" applyBorder="1"/>
    <xf numFmtId="0" fontId="0" fillId="24" borderId="8" xfId="0" applyFill="1" applyBorder="1"/>
    <xf numFmtId="0" fontId="0" fillId="0" borderId="13" xfId="0" applyBorder="1"/>
    <xf numFmtId="0" fontId="0" fillId="0" borderId="14" xfId="0" applyBorder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10" xfId="0" applyFont="1" applyFill="1" applyBorder="1"/>
    <xf numFmtId="0" fontId="0" fillId="0" borderId="8" xfId="0" applyBorder="1"/>
    <xf numFmtId="0" fontId="7" fillId="0" borderId="13" xfId="0" applyFont="1" applyBorder="1"/>
    <xf numFmtId="0" fontId="39" fillId="0" borderId="19" xfId="0" applyFont="1" applyBorder="1" applyAlignment="1">
      <alignment vertical="top"/>
    </xf>
    <xf numFmtId="0" fontId="50" fillId="0" borderId="0" xfId="0" applyFont="1"/>
    <xf numFmtId="0" fontId="0" fillId="3" borderId="4" xfId="0" applyFill="1" applyBorder="1"/>
    <xf numFmtId="0" fontId="0" fillId="3" borderId="5" xfId="0" applyFill="1" applyBorder="1"/>
    <xf numFmtId="0" fontId="2" fillId="0" borderId="10" xfId="0" applyFont="1" applyBorder="1" applyAlignment="1">
      <alignment vertical="top" wrapText="1"/>
    </xf>
    <xf numFmtId="1" fontId="1" fillId="0" borderId="9" xfId="0" applyNumberFormat="1" applyFont="1" applyBorder="1" applyAlignment="1">
      <alignment vertical="top" wrapText="1"/>
    </xf>
    <xf numFmtId="164" fontId="2" fillId="0" borderId="19" xfId="2" applyNumberFormat="1" applyFont="1" applyBorder="1" applyAlignment="1">
      <alignment vertical="top"/>
    </xf>
    <xf numFmtId="164" fontId="2" fillId="4" borderId="19" xfId="0" applyNumberFormat="1" applyFont="1" applyFill="1" applyBorder="1" applyAlignment="1">
      <alignment vertical="top" wrapText="1"/>
    </xf>
    <xf numFmtId="164" fontId="2" fillId="0" borderId="19" xfId="2" applyNumberFormat="1" applyFont="1" applyBorder="1" applyAlignment="1">
      <alignment vertical="top" wrapText="1"/>
    </xf>
    <xf numFmtId="0" fontId="7" fillId="0" borderId="1" xfId="0" applyFont="1" applyBorder="1"/>
    <xf numFmtId="0" fontId="0" fillId="6" borderId="1" xfId="0" applyFill="1" applyBorder="1"/>
    <xf numFmtId="0" fontId="51" fillId="0" borderId="0" xfId="0" applyFont="1"/>
    <xf numFmtId="0" fontId="1" fillId="3" borderId="0" xfId="0" applyFont="1" applyFill="1"/>
    <xf numFmtId="0" fontId="2" fillId="3" borderId="0" xfId="0" applyFont="1" applyFill="1"/>
    <xf numFmtId="0" fontId="52" fillId="0" borderId="0" xfId="0" applyFont="1" applyAlignment="1">
      <alignment vertical="top" wrapText="1"/>
    </xf>
    <xf numFmtId="0" fontId="52" fillId="0" borderId="0" xfId="0" applyFont="1" applyAlignment="1">
      <alignment vertical="top"/>
    </xf>
    <xf numFmtId="9" fontId="52" fillId="0" borderId="0" xfId="0" applyNumberFormat="1" applyFont="1" applyAlignment="1">
      <alignment vertical="top"/>
    </xf>
    <xf numFmtId="164" fontId="52" fillId="0" borderId="0" xfId="0" applyNumberFormat="1" applyFont="1" applyAlignment="1">
      <alignment vertical="top"/>
    </xf>
    <xf numFmtId="0" fontId="2" fillId="3" borderId="6" xfId="0" applyFont="1" applyFill="1" applyBorder="1"/>
    <xf numFmtId="1" fontId="2" fillId="0" borderId="21" xfId="0" applyNumberFormat="1" applyFont="1" applyBorder="1" applyAlignment="1">
      <alignment vertical="top" wrapText="1"/>
    </xf>
    <xf numFmtId="0" fontId="1" fillId="12" borderId="32" xfId="0" applyFont="1" applyFill="1" applyBorder="1" applyAlignment="1">
      <alignment vertical="top"/>
    </xf>
    <xf numFmtId="0" fontId="20" fillId="7" borderId="0" xfId="0" quotePrefix="1" applyFont="1" applyFill="1" applyAlignment="1">
      <alignment vertical="top" wrapText="1"/>
    </xf>
    <xf numFmtId="0" fontId="46" fillId="4" borderId="9" xfId="0" quotePrefix="1" applyFont="1" applyFill="1" applyBorder="1" applyAlignment="1">
      <alignment vertical="top" wrapText="1"/>
    </xf>
    <xf numFmtId="0" fontId="31" fillId="5" borderId="0" xfId="0" applyFont="1" applyFill="1" applyAlignment="1">
      <alignment wrapText="1"/>
    </xf>
    <xf numFmtId="0" fontId="36" fillId="0" borderId="0" xfId="0" applyFont="1"/>
    <xf numFmtId="0" fontId="37" fillId="0" borderId="0" xfId="0" applyFont="1"/>
    <xf numFmtId="1" fontId="1" fillId="2" borderId="0" xfId="0" applyNumberFormat="1" applyFont="1" applyFill="1" applyAlignment="1">
      <alignment vertical="top" wrapText="1"/>
    </xf>
    <xf numFmtId="1" fontId="43" fillId="7" borderId="0" xfId="0" applyNumberFormat="1" applyFont="1" applyFill="1" applyAlignment="1">
      <alignment vertical="top" wrapText="1"/>
    </xf>
    <xf numFmtId="166" fontId="2" fillId="19" borderId="18" xfId="0" applyNumberFormat="1" applyFont="1" applyFill="1" applyBorder="1" applyAlignment="1">
      <alignment vertical="top" wrapText="1"/>
    </xf>
    <xf numFmtId="44" fontId="38" fillId="2" borderId="0" xfId="0" applyNumberFormat="1" applyFont="1" applyFill="1" applyAlignment="1">
      <alignment vertical="top"/>
    </xf>
    <xf numFmtId="0" fontId="12" fillId="0" borderId="28" xfId="0" applyFont="1" applyBorder="1" applyAlignment="1">
      <alignment vertical="top" wrapText="1"/>
    </xf>
    <xf numFmtId="0" fontId="6" fillId="0" borderId="0" xfId="1" applyAlignment="1">
      <alignment vertical="top"/>
    </xf>
    <xf numFmtId="0" fontId="21" fillId="6" borderId="0" xfId="0" applyFont="1" applyFill="1" applyAlignment="1">
      <alignment vertical="top" wrapText="1"/>
    </xf>
    <xf numFmtId="0" fontId="54" fillId="0" borderId="0" xfId="0" applyFont="1"/>
    <xf numFmtId="168" fontId="1" fillId="0" borderId="0" xfId="0" applyNumberFormat="1" applyFont="1"/>
    <xf numFmtId="1" fontId="1" fillId="3" borderId="0" xfId="0" applyNumberFormat="1" applyFont="1" applyFill="1"/>
    <xf numFmtId="9" fontId="1" fillId="0" borderId="9" xfId="0" applyNumberFormat="1" applyFont="1" applyBorder="1" applyAlignment="1">
      <alignment vertical="top" wrapText="1"/>
    </xf>
    <xf numFmtId="9" fontId="1" fillId="0" borderId="0" xfId="0" applyNumberFormat="1" applyFont="1" applyAlignment="1">
      <alignment vertical="top" wrapText="1"/>
    </xf>
    <xf numFmtId="164" fontId="1" fillId="0" borderId="1" xfId="2" applyNumberFormat="1" applyFont="1" applyFill="1" applyBorder="1"/>
    <xf numFmtId="164" fontId="1" fillId="0" borderId="1" xfId="0" applyNumberFormat="1" applyFont="1" applyBorder="1" applyAlignment="1">
      <alignment vertical="top" wrapText="1"/>
    </xf>
    <xf numFmtId="0" fontId="57" fillId="0" borderId="0" xfId="0" applyFont="1"/>
    <xf numFmtId="0" fontId="58" fillId="6" borderId="0" xfId="0" applyFont="1" applyFill="1" applyAlignment="1">
      <alignment vertical="top" wrapText="1"/>
    </xf>
    <xf numFmtId="0" fontId="59" fillId="0" borderId="0" xfId="0" applyFont="1"/>
    <xf numFmtId="0" fontId="60" fillId="0" borderId="0" xfId="0" applyFont="1" applyAlignment="1">
      <alignment wrapText="1"/>
    </xf>
    <xf numFmtId="0" fontId="58" fillId="0" borderId="0" xfId="0" applyFont="1" applyAlignment="1">
      <alignment vertical="top" wrapText="1"/>
    </xf>
    <xf numFmtId="0" fontId="39" fillId="0" borderId="0" xfId="0" applyFont="1" applyAlignment="1">
      <alignment vertical="top"/>
    </xf>
    <xf numFmtId="0" fontId="2" fillId="7" borderId="4" xfId="0" applyFont="1" applyFill="1" applyBorder="1" applyAlignment="1">
      <alignment vertical="top"/>
    </xf>
    <xf numFmtId="0" fontId="1" fillId="7" borderId="4" xfId="0" applyFont="1" applyFill="1" applyBorder="1" applyAlignment="1">
      <alignment vertical="top" wrapText="1"/>
    </xf>
    <xf numFmtId="0" fontId="2" fillId="7" borderId="4" xfId="0" applyFont="1" applyFill="1" applyBorder="1" applyAlignment="1">
      <alignment vertical="top" wrapText="1"/>
    </xf>
    <xf numFmtId="0" fontId="2" fillId="7" borderId="5" xfId="0" applyFont="1" applyFill="1" applyBorder="1" applyAlignment="1">
      <alignment vertical="top" wrapText="1"/>
    </xf>
    <xf numFmtId="0" fontId="2" fillId="7" borderId="3" xfId="0" applyFont="1" applyFill="1" applyBorder="1" applyAlignment="1">
      <alignment vertical="top"/>
    </xf>
    <xf numFmtId="0" fontId="52" fillId="0" borderId="0" xfId="0" applyFont="1" applyAlignment="1">
      <alignment wrapText="1"/>
    </xf>
    <xf numFmtId="9" fontId="52" fillId="0" borderId="0" xfId="0" applyNumberFormat="1" applyFont="1"/>
    <xf numFmtId="0" fontId="2" fillId="0" borderId="27" xfId="0" applyFont="1" applyBorder="1" applyAlignment="1">
      <alignment vertical="top" wrapText="1"/>
    </xf>
    <xf numFmtId="0" fontId="1" fillId="12" borderId="17" xfId="0" applyFont="1" applyFill="1" applyBorder="1" applyAlignment="1">
      <alignment vertical="top"/>
    </xf>
    <xf numFmtId="0" fontId="1" fillId="0" borderId="26" xfId="0" applyFont="1" applyBorder="1" applyAlignment="1">
      <alignment vertical="top" wrapText="1"/>
    </xf>
    <xf numFmtId="0" fontId="1" fillId="12" borderId="25" xfId="0" applyFont="1" applyFill="1" applyBorder="1" applyAlignment="1">
      <alignment vertical="top"/>
    </xf>
    <xf numFmtId="0" fontId="12" fillId="0" borderId="0" xfId="0" applyFont="1" applyAlignment="1">
      <alignment vertical="top" wrapText="1"/>
    </xf>
    <xf numFmtId="0" fontId="41" fillId="0" borderId="0" xfId="0" applyFont="1" applyAlignment="1">
      <alignment vertical="top" wrapText="1"/>
    </xf>
    <xf numFmtId="1" fontId="1" fillId="0" borderId="23" xfId="0" applyNumberFormat="1" applyFont="1" applyBorder="1" applyAlignment="1">
      <alignment vertical="top" wrapText="1"/>
    </xf>
    <xf numFmtId="0" fontId="2" fillId="3" borderId="22" xfId="0" applyFont="1" applyFill="1" applyBorder="1" applyAlignment="1">
      <alignment vertical="top"/>
    </xf>
    <xf numFmtId="0" fontId="1" fillId="3" borderId="4" xfId="0" applyFont="1" applyFill="1" applyBorder="1" applyAlignment="1">
      <alignment vertical="top" wrapText="1"/>
    </xf>
    <xf numFmtId="0" fontId="2" fillId="3" borderId="4" xfId="0" applyFont="1" applyFill="1" applyBorder="1" applyAlignment="1">
      <alignment vertical="top" wrapText="1"/>
    </xf>
    <xf numFmtId="0" fontId="2" fillId="3" borderId="38" xfId="0" applyFont="1" applyFill="1" applyBorder="1" applyAlignment="1">
      <alignment vertical="top" wrapText="1"/>
    </xf>
    <xf numFmtId="0" fontId="2" fillId="3" borderId="17" xfId="0" applyFont="1" applyFill="1" applyBorder="1" applyAlignment="1">
      <alignment vertical="top"/>
    </xf>
    <xf numFmtId="0" fontId="1" fillId="3" borderId="18" xfId="0" applyFont="1" applyFill="1" applyBorder="1" applyAlignment="1">
      <alignment vertical="top" wrapText="1"/>
    </xf>
    <xf numFmtId="166" fontId="2" fillId="0" borderId="0" xfId="0" applyNumberFormat="1" applyFont="1" applyAlignment="1">
      <alignment vertical="top" wrapText="1"/>
    </xf>
    <xf numFmtId="166" fontId="2" fillId="4" borderId="0" xfId="0" applyNumberFormat="1" applyFont="1" applyFill="1" applyAlignment="1">
      <alignment vertical="top" wrapText="1"/>
    </xf>
    <xf numFmtId="164" fontId="1" fillId="19" borderId="30" xfId="2" applyNumberFormat="1" applyFont="1" applyFill="1" applyBorder="1" applyAlignment="1">
      <alignment vertical="top"/>
    </xf>
    <xf numFmtId="166" fontId="2" fillId="19" borderId="34" xfId="0" applyNumberFormat="1" applyFont="1" applyFill="1" applyBorder="1" applyAlignment="1">
      <alignment vertical="top" wrapText="1"/>
    </xf>
    <xf numFmtId="164" fontId="1" fillId="19" borderId="30" xfId="0" applyNumberFormat="1" applyFont="1" applyFill="1" applyBorder="1" applyAlignment="1">
      <alignment vertical="top" wrapText="1"/>
    </xf>
    <xf numFmtId="164" fontId="1" fillId="19" borderId="30" xfId="2" applyNumberFormat="1" applyFont="1" applyFill="1" applyBorder="1" applyAlignment="1">
      <alignment vertical="top" wrapText="1"/>
    </xf>
    <xf numFmtId="166" fontId="2" fillId="19" borderId="11" xfId="0" applyNumberFormat="1" applyFont="1" applyFill="1" applyBorder="1" applyAlignment="1">
      <alignment vertical="top" wrapText="1"/>
    </xf>
    <xf numFmtId="1" fontId="1" fillId="19" borderId="30" xfId="0" applyNumberFormat="1" applyFont="1" applyFill="1" applyBorder="1" applyAlignment="1">
      <alignment vertical="top" wrapText="1"/>
    </xf>
    <xf numFmtId="0" fontId="1" fillId="19" borderId="11" xfId="0" applyFont="1" applyFill="1" applyBorder="1" applyAlignment="1">
      <alignment vertical="top"/>
    </xf>
    <xf numFmtId="0" fontId="1" fillId="0" borderId="27" xfId="0" applyFont="1" applyBorder="1" applyAlignment="1">
      <alignment vertical="top" wrapText="1"/>
    </xf>
    <xf numFmtId="1" fontId="2" fillId="0" borderId="10" xfId="0" applyNumberFormat="1" applyFont="1" applyBorder="1" applyAlignment="1">
      <alignment vertical="top" wrapText="1"/>
    </xf>
    <xf numFmtId="1" fontId="12" fillId="0" borderId="10" xfId="2" applyNumberFormat="1" applyFont="1" applyBorder="1" applyAlignment="1">
      <alignment vertical="top" wrapText="1"/>
    </xf>
    <xf numFmtId="1" fontId="2" fillId="0" borderId="24" xfId="0" applyNumberFormat="1" applyFont="1" applyBorder="1" applyAlignment="1">
      <alignment vertical="top" wrapText="1"/>
    </xf>
    <xf numFmtId="1" fontId="1" fillId="0" borderId="10" xfId="0" applyNumberFormat="1" applyFont="1" applyBorder="1" applyAlignment="1">
      <alignment vertical="top" wrapText="1"/>
    </xf>
    <xf numFmtId="1" fontId="1" fillId="19" borderId="25" xfId="0" applyNumberFormat="1" applyFont="1" applyFill="1" applyBorder="1" applyAlignment="1">
      <alignment vertical="top" wrapText="1"/>
    </xf>
    <xf numFmtId="166" fontId="2" fillId="19" borderId="26" xfId="0" applyNumberFormat="1" applyFont="1" applyFill="1" applyBorder="1" applyAlignment="1">
      <alignment vertical="top" wrapText="1"/>
    </xf>
    <xf numFmtId="166" fontId="2" fillId="0" borderId="10" xfId="0" applyNumberFormat="1" applyFont="1" applyBorder="1" applyAlignment="1">
      <alignment vertical="top" wrapText="1"/>
    </xf>
    <xf numFmtId="1" fontId="1" fillId="19" borderId="16" xfId="0" applyNumberFormat="1" applyFont="1" applyFill="1" applyBorder="1" applyAlignment="1">
      <alignment vertical="top" wrapText="1"/>
    </xf>
    <xf numFmtId="166" fontId="2" fillId="19" borderId="2" xfId="0" applyNumberFormat="1" applyFont="1" applyFill="1" applyBorder="1" applyAlignment="1">
      <alignment vertical="top" wrapText="1"/>
    </xf>
    <xf numFmtId="166" fontId="2" fillId="4" borderId="10" xfId="0" applyNumberFormat="1" applyFont="1" applyFill="1" applyBorder="1" applyAlignment="1">
      <alignment vertical="top" wrapText="1"/>
    </xf>
    <xf numFmtId="0" fontId="1" fillId="19" borderId="16" xfId="0" applyFont="1" applyFill="1" applyBorder="1" applyAlignment="1">
      <alignment vertical="top" wrapText="1"/>
    </xf>
    <xf numFmtId="0" fontId="1" fillId="19" borderId="47" xfId="0" applyFont="1" applyFill="1" applyBorder="1" applyAlignment="1">
      <alignment vertical="top" wrapText="1"/>
    </xf>
    <xf numFmtId="164" fontId="2" fillId="0" borderId="9" xfId="2" applyNumberFormat="1" applyFont="1" applyBorder="1" applyAlignment="1">
      <alignment vertical="top" wrapText="1"/>
    </xf>
    <xf numFmtId="0" fontId="0" fillId="25" borderId="0" xfId="0" applyFill="1"/>
    <xf numFmtId="0" fontId="61" fillId="25" borderId="0" xfId="0" applyFont="1" applyFill="1" applyAlignment="1">
      <alignment horizontal="center" vertical="center" wrapText="1"/>
    </xf>
    <xf numFmtId="0" fontId="63" fillId="0" borderId="0" xfId="0" applyFont="1" applyAlignment="1">
      <alignment horizontal="center" vertical="center"/>
    </xf>
    <xf numFmtId="168" fontId="64" fillId="0" borderId="48" xfId="0" applyNumberFormat="1" applyFont="1" applyBorder="1" applyAlignment="1">
      <alignment horizontal="center" vertical="center"/>
    </xf>
    <xf numFmtId="0" fontId="64" fillId="0" borderId="48" xfId="0" applyFont="1" applyBorder="1" applyAlignment="1">
      <alignment horizontal="center" vertical="center"/>
    </xf>
    <xf numFmtId="0" fontId="62" fillId="25" borderId="0" xfId="0" applyFont="1" applyFill="1" applyAlignment="1">
      <alignment horizontal="center" vertical="center" wrapText="1"/>
    </xf>
    <xf numFmtId="0" fontId="65" fillId="0" borderId="0" xfId="0" applyFont="1" applyAlignment="1">
      <alignment horizontal="left" vertical="center" wrapText="1"/>
    </xf>
    <xf numFmtId="168" fontId="0" fillId="0" borderId="0" xfId="0" applyNumberFormat="1"/>
    <xf numFmtId="168" fontId="66" fillId="0" borderId="0" xfId="0" applyNumberFormat="1" applyFont="1"/>
    <xf numFmtId="168" fontId="64" fillId="3" borderId="48" xfId="0" applyNumberFormat="1" applyFont="1" applyFill="1" applyBorder="1" applyAlignment="1">
      <alignment horizontal="center" vertical="center"/>
    </xf>
    <xf numFmtId="0" fontId="65" fillId="3" borderId="0" xfId="0" applyFont="1" applyFill="1" applyAlignment="1">
      <alignment horizontal="left" vertical="center" wrapText="1"/>
    </xf>
    <xf numFmtId="0" fontId="63" fillId="3" borderId="0" xfId="0" applyFont="1" applyFill="1" applyAlignment="1">
      <alignment horizontal="center" vertical="center"/>
    </xf>
    <xf numFmtId="168" fontId="50" fillId="0" borderId="0" xfId="0" applyNumberFormat="1" applyFont="1"/>
    <xf numFmtId="168" fontId="0" fillId="3" borderId="0" xfId="0" applyNumberFormat="1" applyFill="1"/>
    <xf numFmtId="168" fontId="64" fillId="0" borderId="0" xfId="0" applyNumberFormat="1" applyFont="1" applyAlignment="1">
      <alignment horizontal="center" vertical="center"/>
    </xf>
    <xf numFmtId="0" fontId="67" fillId="25" borderId="0" xfId="0" applyFont="1" applyFill="1" applyAlignment="1">
      <alignment horizontal="center" vertical="center" wrapText="1"/>
    </xf>
    <xf numFmtId="0" fontId="65" fillId="5" borderId="0" xfId="0" applyFont="1" applyFill="1" applyAlignment="1">
      <alignment horizontal="left" vertical="center" wrapText="1"/>
    </xf>
    <xf numFmtId="0" fontId="63" fillId="5" borderId="0" xfId="0" applyFont="1" applyFill="1" applyAlignment="1">
      <alignment horizontal="center" vertical="center"/>
    </xf>
    <xf numFmtId="168" fontId="64" fillId="5" borderId="48" xfId="0" applyNumberFormat="1" applyFont="1" applyFill="1" applyBorder="1" applyAlignment="1">
      <alignment horizontal="center" vertical="center"/>
    </xf>
    <xf numFmtId="168" fontId="0" fillId="5" borderId="0" xfId="0" applyNumberFormat="1" applyFill="1" applyAlignment="1">
      <alignment vertical="top"/>
    </xf>
    <xf numFmtId="168" fontId="64" fillId="3" borderId="0" xfId="0" applyNumberFormat="1" applyFont="1" applyFill="1" applyAlignment="1">
      <alignment horizontal="center" vertical="center"/>
    </xf>
    <xf numFmtId="168" fontId="68" fillId="3" borderId="0" xfId="0" applyNumberFormat="1" applyFont="1" applyFill="1" applyAlignment="1">
      <alignment horizontal="center" vertical="center"/>
    </xf>
    <xf numFmtId="0" fontId="65" fillId="6" borderId="0" xfId="0" applyFont="1" applyFill="1" applyAlignment="1">
      <alignment horizontal="left" vertical="center" wrapText="1"/>
    </xf>
    <xf numFmtId="0" fontId="64" fillId="6" borderId="48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168" fontId="0" fillId="6" borderId="0" xfId="0" applyNumberFormat="1" applyFill="1" applyAlignment="1">
      <alignment vertical="top"/>
    </xf>
    <xf numFmtId="168" fontId="0" fillId="7" borderId="0" xfId="0" applyNumberFormat="1" applyFill="1"/>
    <xf numFmtId="0" fontId="0" fillId="7" borderId="0" xfId="0" applyFill="1"/>
    <xf numFmtId="166" fontId="1" fillId="7" borderId="0" xfId="0" applyNumberFormat="1" applyFont="1" applyFill="1" applyAlignment="1">
      <alignment vertical="top" wrapText="1"/>
    </xf>
    <xf numFmtId="164" fontId="2" fillId="0" borderId="0" xfId="2" applyNumberFormat="1" applyFont="1" applyBorder="1" applyAlignment="1">
      <alignment vertical="top"/>
    </xf>
    <xf numFmtId="164" fontId="1" fillId="0" borderId="0" xfId="2" applyNumberFormat="1" applyFont="1" applyFill="1" applyBorder="1" applyAlignment="1">
      <alignment vertical="top"/>
    </xf>
    <xf numFmtId="164" fontId="1" fillId="19" borderId="18" xfId="2" applyNumberFormat="1" applyFont="1" applyFill="1" applyBorder="1" applyAlignment="1">
      <alignment vertical="top"/>
    </xf>
    <xf numFmtId="164" fontId="1" fillId="19" borderId="11" xfId="2" applyNumberFormat="1" applyFont="1" applyFill="1" applyBorder="1" applyAlignment="1">
      <alignment vertical="top"/>
    </xf>
    <xf numFmtId="0" fontId="1" fillId="19" borderId="41" xfId="0" applyFont="1" applyFill="1" applyBorder="1" applyAlignment="1">
      <alignment vertical="top"/>
    </xf>
    <xf numFmtId="0" fontId="1" fillId="7" borderId="0" xfId="0" applyFont="1" applyFill="1" applyAlignment="1">
      <alignment vertical="top"/>
    </xf>
    <xf numFmtId="0" fontId="19" fillId="0" borderId="0" xfId="0" applyFont="1" applyAlignment="1">
      <alignment vertical="top"/>
    </xf>
    <xf numFmtId="0" fontId="19" fillId="2" borderId="0" xfId="0" applyFont="1" applyFill="1" applyAlignment="1">
      <alignment vertical="top"/>
    </xf>
    <xf numFmtId="0" fontId="2" fillId="17" borderId="0" xfId="0" applyFont="1" applyFill="1" applyAlignment="1">
      <alignment vertical="top"/>
    </xf>
    <xf numFmtId="0" fontId="1" fillId="0" borderId="50" xfId="0" applyFont="1" applyBorder="1" applyAlignment="1">
      <alignment vertical="top" wrapText="1"/>
    </xf>
    <xf numFmtId="0" fontId="2" fillId="0" borderId="51" xfId="0" applyFont="1" applyBorder="1" applyAlignment="1">
      <alignment vertical="top" wrapText="1"/>
    </xf>
    <xf numFmtId="0" fontId="12" fillId="0" borderId="50" xfId="0" applyFont="1" applyBorder="1" applyAlignment="1">
      <alignment vertical="top" wrapText="1"/>
    </xf>
    <xf numFmtId="0" fontId="1" fillId="18" borderId="50" xfId="0" applyFont="1" applyFill="1" applyBorder="1" applyAlignment="1">
      <alignment vertical="top" wrapText="1"/>
    </xf>
    <xf numFmtId="0" fontId="1" fillId="5" borderId="50" xfId="0" applyFont="1" applyFill="1" applyBorder="1" applyAlignment="1">
      <alignment vertical="top" wrapText="1"/>
    </xf>
    <xf numFmtId="0" fontId="1" fillId="18" borderId="52" xfId="0" applyFont="1" applyFill="1" applyBorder="1" applyAlignment="1">
      <alignment vertical="top" wrapText="1"/>
    </xf>
    <xf numFmtId="0" fontId="2" fillId="19" borderId="49" xfId="0" applyFont="1" applyFill="1" applyBorder="1" applyAlignment="1">
      <alignment vertical="top" wrapText="1"/>
    </xf>
    <xf numFmtId="0" fontId="1" fillId="0" borderId="50" xfId="0" applyFont="1" applyBorder="1" applyAlignment="1">
      <alignment vertical="top"/>
    </xf>
    <xf numFmtId="0" fontId="2" fillId="19" borderId="53" xfId="0" applyFont="1" applyFill="1" applyBorder="1" applyAlignment="1">
      <alignment vertical="top" wrapText="1"/>
    </xf>
    <xf numFmtId="0" fontId="2" fillId="0" borderId="50" xfId="0" applyFont="1" applyBorder="1" applyAlignment="1">
      <alignment vertical="top" wrapText="1"/>
    </xf>
    <xf numFmtId="0" fontId="2" fillId="19" borderId="54" xfId="0" applyFont="1" applyFill="1" applyBorder="1" applyAlignment="1">
      <alignment vertical="top" wrapText="1"/>
    </xf>
    <xf numFmtId="0" fontId="2" fillId="2" borderId="50" xfId="0" applyFont="1" applyFill="1" applyBorder="1" applyAlignment="1">
      <alignment vertical="top" wrapText="1"/>
    </xf>
    <xf numFmtId="0" fontId="42" fillId="20" borderId="50" xfId="0" applyFont="1" applyFill="1" applyBorder="1" applyAlignment="1">
      <alignment vertical="top" wrapText="1"/>
    </xf>
    <xf numFmtId="0" fontId="1" fillId="0" borderId="55" xfId="0" applyFont="1" applyBorder="1" applyAlignment="1">
      <alignment vertical="top"/>
    </xf>
    <xf numFmtId="0" fontId="1" fillId="0" borderId="56" xfId="0" applyFont="1" applyBorder="1" applyAlignment="1">
      <alignment vertical="top"/>
    </xf>
    <xf numFmtId="0" fontId="2" fillId="2" borderId="50" xfId="0" applyFont="1" applyFill="1" applyBorder="1" applyAlignment="1">
      <alignment vertical="top"/>
    </xf>
    <xf numFmtId="0" fontId="2" fillId="7" borderId="50" xfId="0" applyFont="1" applyFill="1" applyBorder="1" applyAlignment="1">
      <alignment vertical="top"/>
    </xf>
    <xf numFmtId="0" fontId="1" fillId="2" borderId="50" xfId="0" applyFont="1" applyFill="1" applyBorder="1" applyAlignment="1">
      <alignment vertical="top" wrapText="1"/>
    </xf>
    <xf numFmtId="0" fontId="19" fillId="0" borderId="50" xfId="0" quotePrefix="1" applyFont="1" applyBorder="1" applyAlignment="1">
      <alignment vertical="top" wrapText="1"/>
    </xf>
    <xf numFmtId="0" fontId="42" fillId="0" borderId="50" xfId="0" applyFont="1" applyBorder="1" applyAlignment="1">
      <alignment vertical="top" wrapText="1"/>
    </xf>
    <xf numFmtId="0" fontId="2" fillId="7" borderId="50" xfId="0" applyFont="1" applyFill="1" applyBorder="1" applyAlignment="1">
      <alignment vertical="top" wrapText="1"/>
    </xf>
    <xf numFmtId="0" fontId="2" fillId="17" borderId="50" xfId="0" applyFont="1" applyFill="1" applyBorder="1" applyAlignment="1">
      <alignment vertical="top" wrapText="1"/>
    </xf>
    <xf numFmtId="0" fontId="1" fillId="0" borderId="50" xfId="0" quotePrefix="1" applyFont="1" applyBorder="1" applyAlignment="1">
      <alignment vertical="top" wrapText="1"/>
    </xf>
    <xf numFmtId="0" fontId="20" fillId="7" borderId="50" xfId="0" quotePrefix="1" applyFont="1" applyFill="1" applyBorder="1" applyAlignment="1">
      <alignment vertical="top" wrapText="1"/>
    </xf>
    <xf numFmtId="0" fontId="20" fillId="0" borderId="50" xfId="0" quotePrefix="1" applyFont="1" applyBorder="1" applyAlignment="1">
      <alignment vertical="top" wrapText="1"/>
    </xf>
    <xf numFmtId="0" fontId="2" fillId="22" borderId="50" xfId="0" applyFont="1" applyFill="1" applyBorder="1" applyAlignment="1">
      <alignment vertical="top" wrapText="1"/>
    </xf>
    <xf numFmtId="0" fontId="1" fillId="0" borderId="50" xfId="0" applyFont="1" applyBorder="1"/>
    <xf numFmtId="1" fontId="1" fillId="0" borderId="50" xfId="0" applyNumberFormat="1" applyFont="1" applyBorder="1" applyAlignment="1">
      <alignment vertical="top"/>
    </xf>
    <xf numFmtId="1" fontId="1" fillId="0" borderId="28" xfId="0" applyNumberFormat="1" applyFont="1" applyBorder="1" applyAlignment="1">
      <alignment vertical="top"/>
    </xf>
    <xf numFmtId="1" fontId="38" fillId="0" borderId="19" xfId="0" applyNumberFormat="1" applyFont="1" applyBorder="1" applyAlignment="1">
      <alignment vertical="top"/>
    </xf>
    <xf numFmtId="1" fontId="38" fillId="0" borderId="0" xfId="0" applyNumberFormat="1" applyFont="1" applyAlignment="1">
      <alignment vertical="top"/>
    </xf>
    <xf numFmtId="0" fontId="69" fillId="16" borderId="0" xfId="0" applyFont="1" applyFill="1"/>
    <xf numFmtId="10" fontId="1" fillId="0" borderId="3" xfId="0" applyNumberFormat="1" applyFont="1" applyBorder="1" applyAlignment="1">
      <alignment vertical="top" wrapText="1"/>
    </xf>
    <xf numFmtId="168" fontId="0" fillId="5" borderId="0" xfId="0" applyNumberFormat="1" applyFill="1"/>
    <xf numFmtId="6" fontId="1" fillId="0" borderId="0" xfId="0" applyNumberFormat="1" applyFont="1" applyAlignment="1">
      <alignment vertical="top" wrapText="1"/>
    </xf>
    <xf numFmtId="166" fontId="1" fillId="7" borderId="28" xfId="0" applyNumberFormat="1" applyFont="1" applyFill="1" applyBorder="1" applyAlignment="1">
      <alignment vertical="top" wrapText="1"/>
    </xf>
    <xf numFmtId="166" fontId="38" fillId="7" borderId="0" xfId="0" applyNumberFormat="1" applyFont="1" applyFill="1" applyAlignment="1">
      <alignment vertical="top"/>
    </xf>
    <xf numFmtId="0" fontId="38" fillId="7" borderId="19" xfId="0" applyFont="1" applyFill="1" applyBorder="1" applyAlignment="1">
      <alignment vertical="top"/>
    </xf>
    <xf numFmtId="0" fontId="38" fillId="7" borderId="28" xfId="0" applyFont="1" applyFill="1" applyBorder="1" applyAlignment="1">
      <alignment vertical="top"/>
    </xf>
    <xf numFmtId="0" fontId="2" fillId="7" borderId="50" xfId="0" quotePrefix="1" applyFont="1" applyFill="1" applyBorder="1" applyAlignment="1">
      <alignment vertical="top" wrapText="1"/>
    </xf>
    <xf numFmtId="166" fontId="1" fillId="7" borderId="0" xfId="0" applyNumberFormat="1" applyFont="1" applyFill="1" applyAlignment="1">
      <alignment vertical="top"/>
    </xf>
    <xf numFmtId="169" fontId="1" fillId="7" borderId="0" xfId="0" applyNumberFormat="1" applyFont="1" applyFill="1" applyAlignment="1">
      <alignment vertical="top" wrapText="1"/>
    </xf>
    <xf numFmtId="169" fontId="1" fillId="7" borderId="0" xfId="0" applyNumberFormat="1" applyFont="1" applyFill="1" applyAlignment="1">
      <alignment vertical="top"/>
    </xf>
    <xf numFmtId="0" fontId="43" fillId="2" borderId="0" xfId="0" applyFont="1" applyFill="1" applyAlignment="1">
      <alignment vertical="top"/>
    </xf>
    <xf numFmtId="1" fontId="43" fillId="2" borderId="28" xfId="0" applyNumberFormat="1" applyFont="1" applyFill="1" applyBorder="1" applyAlignment="1">
      <alignment vertical="top" wrapText="1"/>
    </xf>
    <xf numFmtId="6" fontId="1" fillId="2" borderId="0" xfId="0" applyNumberFormat="1" applyFont="1" applyFill="1" applyAlignment="1">
      <alignment vertical="top" wrapText="1"/>
    </xf>
    <xf numFmtId="0" fontId="43" fillId="2" borderId="28" xfId="0" applyFont="1" applyFill="1" applyBorder="1" applyAlignment="1">
      <alignment vertical="top" wrapText="1"/>
    </xf>
    <xf numFmtId="0" fontId="43" fillId="2" borderId="19" xfId="0" applyFont="1" applyFill="1" applyBorder="1" applyAlignment="1">
      <alignment vertical="top" wrapText="1"/>
    </xf>
    <xf numFmtId="1" fontId="43" fillId="2" borderId="0" xfId="0" applyNumberFormat="1" applyFont="1" applyFill="1" applyAlignment="1">
      <alignment vertical="top" wrapText="1"/>
    </xf>
    <xf numFmtId="1" fontId="43" fillId="2" borderId="19" xfId="0" applyNumberFormat="1" applyFont="1" applyFill="1" applyBorder="1" applyAlignment="1">
      <alignment vertical="top" wrapText="1"/>
    </xf>
    <xf numFmtId="0" fontId="42" fillId="2" borderId="0" xfId="0" applyFont="1" applyFill="1" applyAlignment="1">
      <alignment vertical="top" wrapText="1"/>
    </xf>
    <xf numFmtId="0" fontId="43" fillId="2" borderId="0" xfId="0" applyFont="1" applyFill="1" applyAlignment="1">
      <alignment vertical="top" wrapText="1"/>
    </xf>
    <xf numFmtId="171" fontId="1" fillId="0" borderId="0" xfId="0" applyNumberFormat="1" applyFont="1" applyAlignment="1">
      <alignment vertical="top" wrapText="1"/>
    </xf>
    <xf numFmtId="166" fontId="38" fillId="4" borderId="0" xfId="0" applyNumberFormat="1" applyFont="1" applyFill="1" applyAlignment="1">
      <alignment vertical="top"/>
    </xf>
    <xf numFmtId="168" fontId="7" fillId="5" borderId="0" xfId="0" applyNumberFormat="1" applyFont="1" applyFill="1" applyAlignment="1">
      <alignment vertical="top"/>
    </xf>
    <xf numFmtId="0" fontId="2" fillId="0" borderId="50" xfId="0" quotePrefix="1" applyFont="1" applyBorder="1" applyAlignment="1">
      <alignment vertical="top" wrapText="1"/>
    </xf>
    <xf numFmtId="0" fontId="19" fillId="0" borderId="0" xfId="0" applyFont="1" applyAlignment="1">
      <alignment vertical="top" wrapText="1"/>
    </xf>
    <xf numFmtId="164" fontId="1" fillId="0" borderId="0" xfId="0" applyNumberFormat="1" applyFont="1" applyAlignment="1">
      <alignment vertical="top"/>
    </xf>
    <xf numFmtId="164" fontId="12" fillId="0" borderId="0" xfId="0" applyNumberFormat="1" applyFont="1" applyAlignment="1">
      <alignment vertical="top"/>
    </xf>
    <xf numFmtId="164" fontId="1" fillId="7" borderId="0" xfId="0" applyNumberFormat="1" applyFont="1" applyFill="1" applyAlignment="1">
      <alignment vertical="top"/>
    </xf>
    <xf numFmtId="0" fontId="1" fillId="0" borderId="52" xfId="0" applyFont="1" applyBorder="1" applyAlignment="1">
      <alignment vertical="top"/>
    </xf>
    <xf numFmtId="0" fontId="1" fillId="0" borderId="49" xfId="0" applyFont="1" applyBorder="1" applyAlignment="1">
      <alignment vertical="top"/>
    </xf>
    <xf numFmtId="1" fontId="1" fillId="0" borderId="18" xfId="0" applyNumberFormat="1" applyFont="1" applyBorder="1" applyAlignment="1">
      <alignment vertical="top" wrapText="1"/>
    </xf>
    <xf numFmtId="1" fontId="2" fillId="0" borderId="27" xfId="0" applyNumberFormat="1" applyFont="1" applyBorder="1" applyAlignment="1">
      <alignment vertical="top" wrapText="1"/>
    </xf>
    <xf numFmtId="1" fontId="1" fillId="0" borderId="17" xfId="0" applyNumberFormat="1" applyFont="1" applyBorder="1" applyAlignment="1">
      <alignment vertical="top" wrapText="1"/>
    </xf>
    <xf numFmtId="164" fontId="1" fillId="0" borderId="17" xfId="2" applyNumberFormat="1" applyFont="1" applyBorder="1" applyAlignment="1">
      <alignment vertical="top" wrapText="1"/>
    </xf>
    <xf numFmtId="1" fontId="1" fillId="0" borderId="25" xfId="0" applyNumberFormat="1" applyFont="1" applyBorder="1" applyAlignment="1">
      <alignment vertical="top" wrapText="1"/>
    </xf>
    <xf numFmtId="0" fontId="38" fillId="0" borderId="18" xfId="0" applyFont="1" applyBorder="1" applyAlignment="1">
      <alignment vertical="top"/>
    </xf>
    <xf numFmtId="0" fontId="2" fillId="8" borderId="50" xfId="0" applyFont="1" applyFill="1" applyBorder="1" applyAlignment="1">
      <alignment vertical="top"/>
    </xf>
    <xf numFmtId="0" fontId="43" fillId="8" borderId="0" xfId="0" applyFont="1" applyFill="1" applyAlignment="1">
      <alignment vertical="top"/>
    </xf>
    <xf numFmtId="1" fontId="43" fillId="8" borderId="0" xfId="0" applyNumberFormat="1" applyFont="1" applyFill="1" applyAlignment="1">
      <alignment vertical="top"/>
    </xf>
    <xf numFmtId="1" fontId="43" fillId="8" borderId="0" xfId="0" applyNumberFormat="1" applyFont="1" applyFill="1" applyAlignment="1">
      <alignment vertical="top" wrapText="1"/>
    </xf>
    <xf numFmtId="1" fontId="43" fillId="8" borderId="28" xfId="0" applyNumberFormat="1" applyFont="1" applyFill="1" applyBorder="1" applyAlignment="1">
      <alignment vertical="top" wrapText="1"/>
    </xf>
    <xf numFmtId="0" fontId="43" fillId="8" borderId="19" xfId="0" applyFont="1" applyFill="1" applyBorder="1" applyAlignment="1">
      <alignment vertical="top" wrapText="1"/>
    </xf>
    <xf numFmtId="0" fontId="43" fillId="8" borderId="0" xfId="0" applyFont="1" applyFill="1" applyAlignment="1">
      <alignment vertical="top" wrapText="1"/>
    </xf>
    <xf numFmtId="0" fontId="43" fillId="8" borderId="28" xfId="0" applyFont="1" applyFill="1" applyBorder="1" applyAlignment="1">
      <alignment vertical="top" wrapText="1"/>
    </xf>
    <xf numFmtId="1" fontId="43" fillId="8" borderId="19" xfId="0" applyNumberFormat="1" applyFont="1" applyFill="1" applyBorder="1" applyAlignment="1">
      <alignment vertical="top" wrapText="1"/>
    </xf>
    <xf numFmtId="0" fontId="42" fillId="8" borderId="0" xfId="0" applyFont="1" applyFill="1" applyAlignment="1">
      <alignment vertical="top" wrapText="1"/>
    </xf>
    <xf numFmtId="9" fontId="1" fillId="0" borderId="18" xfId="2" applyFont="1" applyBorder="1" applyAlignment="1">
      <alignment vertical="top" wrapText="1"/>
    </xf>
    <xf numFmtId="9" fontId="1" fillId="0" borderId="0" xfId="2" applyFont="1" applyBorder="1" applyAlignment="1">
      <alignment vertical="top" wrapText="1"/>
    </xf>
    <xf numFmtId="9" fontId="1" fillId="0" borderId="0" xfId="2" applyFont="1" applyAlignment="1">
      <alignment vertical="top" wrapText="1"/>
    </xf>
    <xf numFmtId="166" fontId="19" fillId="0" borderId="0" xfId="0" applyNumberFormat="1" applyFont="1" applyAlignment="1">
      <alignment horizontal="left" vertical="top" readingOrder="1"/>
    </xf>
    <xf numFmtId="166" fontId="1" fillId="17" borderId="0" xfId="0" applyNumberFormat="1" applyFont="1" applyFill="1" applyAlignment="1">
      <alignment vertical="top"/>
    </xf>
    <xf numFmtId="166" fontId="1" fillId="17" borderId="0" xfId="0" applyNumberFormat="1" applyFont="1" applyFill="1" applyAlignment="1">
      <alignment vertical="top" wrapText="1"/>
    </xf>
    <xf numFmtId="166" fontId="44" fillId="17" borderId="0" xfId="0" applyNumberFormat="1" applyFont="1" applyFill="1" applyAlignment="1">
      <alignment vertical="top" wrapText="1"/>
    </xf>
    <xf numFmtId="9" fontId="38" fillId="0" borderId="0" xfId="2" applyFont="1" applyFill="1" applyAlignment="1">
      <alignment vertical="top"/>
    </xf>
    <xf numFmtId="1" fontId="2" fillId="0" borderId="18" xfId="0" applyNumberFormat="1" applyFont="1" applyBorder="1" applyAlignment="1">
      <alignment vertical="top" wrapText="1"/>
    </xf>
    <xf numFmtId="1" fontId="2" fillId="0" borderId="26" xfId="0" applyNumberFormat="1" applyFont="1" applyBorder="1" applyAlignment="1">
      <alignment vertical="top" wrapText="1"/>
    </xf>
    <xf numFmtId="0" fontId="2" fillId="2" borderId="9" xfId="0" applyFont="1" applyFill="1" applyBorder="1" applyAlignment="1">
      <alignment vertical="top" wrapText="1"/>
    </xf>
    <xf numFmtId="0" fontId="2" fillId="2" borderId="10" xfId="0" applyFont="1" applyFill="1" applyBorder="1" applyAlignment="1">
      <alignment vertical="top" wrapText="1"/>
    </xf>
    <xf numFmtId="1" fontId="43" fillId="20" borderId="9" xfId="0" applyNumberFormat="1" applyFont="1" applyFill="1" applyBorder="1" applyAlignment="1">
      <alignment vertical="top" wrapText="1"/>
    </xf>
    <xf numFmtId="1" fontId="43" fillId="20" borderId="10" xfId="0" applyNumberFormat="1" applyFont="1" applyFill="1" applyBorder="1" applyAlignment="1">
      <alignment vertical="top" wrapText="1"/>
    </xf>
    <xf numFmtId="1" fontId="43" fillId="8" borderId="9" xfId="0" applyNumberFormat="1" applyFont="1" applyFill="1" applyBorder="1" applyAlignment="1">
      <alignment vertical="top" wrapText="1"/>
    </xf>
    <xf numFmtId="1" fontId="43" fillId="8" borderId="10" xfId="0" applyNumberFormat="1" applyFont="1" applyFill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1" fillId="2" borderId="9" xfId="0" applyFont="1" applyFill="1" applyBorder="1" applyAlignment="1">
      <alignment vertical="top" wrapText="1"/>
    </xf>
    <xf numFmtId="0" fontId="1" fillId="2" borderId="10" xfId="0" applyFont="1" applyFill="1" applyBorder="1" applyAlignment="1">
      <alignment vertical="top" wrapText="1"/>
    </xf>
    <xf numFmtId="0" fontId="2" fillId="7" borderId="9" xfId="0" applyFont="1" applyFill="1" applyBorder="1" applyAlignment="1">
      <alignment vertical="top"/>
    </xf>
    <xf numFmtId="0" fontId="2" fillId="7" borderId="10" xfId="0" applyFont="1" applyFill="1" applyBorder="1" applyAlignment="1">
      <alignment vertical="top"/>
    </xf>
    <xf numFmtId="0" fontId="2" fillId="0" borderId="9" xfId="0" applyFont="1" applyBorder="1" applyAlignment="1">
      <alignment vertical="top"/>
    </xf>
    <xf numFmtId="0" fontId="2" fillId="0" borderId="10" xfId="0" applyFont="1" applyBorder="1" applyAlignment="1">
      <alignment vertical="top"/>
    </xf>
    <xf numFmtId="1" fontId="1" fillId="2" borderId="9" xfId="0" applyNumberFormat="1" applyFont="1" applyFill="1" applyBorder="1" applyAlignment="1">
      <alignment vertical="top" wrapText="1"/>
    </xf>
    <xf numFmtId="1" fontId="1" fillId="2" borderId="10" xfId="0" applyNumberFormat="1" applyFont="1" applyFill="1" applyBorder="1" applyAlignment="1">
      <alignment vertical="top" wrapText="1"/>
    </xf>
    <xf numFmtId="0" fontId="19" fillId="0" borderId="9" xfId="0" applyFont="1" applyBorder="1" applyAlignment="1">
      <alignment vertical="top" wrapText="1"/>
    </xf>
    <xf numFmtId="0" fontId="19" fillId="2" borderId="9" xfId="0" applyFont="1" applyFill="1" applyBorder="1" applyAlignment="1">
      <alignment vertical="top" wrapText="1"/>
    </xf>
    <xf numFmtId="0" fontId="44" fillId="2" borderId="9" xfId="0" applyFont="1" applyFill="1" applyBorder="1" applyAlignment="1">
      <alignment vertical="top" wrapText="1"/>
    </xf>
    <xf numFmtId="0" fontId="44" fillId="0" borderId="9" xfId="0" applyFont="1" applyBorder="1" applyAlignment="1">
      <alignment vertical="top" wrapText="1"/>
    </xf>
    <xf numFmtId="0" fontId="2" fillId="17" borderId="9" xfId="0" applyFont="1" applyFill="1" applyBorder="1" applyAlignment="1">
      <alignment vertical="top" wrapText="1"/>
    </xf>
    <xf numFmtId="0" fontId="2" fillId="17" borderId="10" xfId="0" applyFont="1" applyFill="1" applyBorder="1" applyAlignment="1">
      <alignment vertical="top" wrapText="1"/>
    </xf>
    <xf numFmtId="0" fontId="38" fillId="0" borderId="9" xfId="0" applyFont="1" applyBorder="1" applyAlignment="1">
      <alignment vertical="top"/>
    </xf>
    <xf numFmtId="10" fontId="38" fillId="0" borderId="10" xfId="0" applyNumberFormat="1" applyFont="1" applyBorder="1" applyAlignment="1">
      <alignment vertical="top"/>
    </xf>
    <xf numFmtId="1" fontId="43" fillId="0" borderId="9" xfId="0" applyNumberFormat="1" applyFont="1" applyBorder="1" applyAlignment="1">
      <alignment vertical="top" wrapText="1"/>
    </xf>
    <xf numFmtId="1" fontId="43" fillId="0" borderId="10" xfId="0" applyNumberFormat="1" applyFont="1" applyBorder="1" applyAlignment="1">
      <alignment vertical="top" wrapText="1"/>
    </xf>
    <xf numFmtId="1" fontId="43" fillId="2" borderId="9" xfId="0" applyNumberFormat="1" applyFont="1" applyFill="1" applyBorder="1" applyAlignment="1">
      <alignment vertical="top" wrapText="1"/>
    </xf>
    <xf numFmtId="1" fontId="43" fillId="2" borderId="10" xfId="0" applyNumberFormat="1" applyFont="1" applyFill="1" applyBorder="1" applyAlignment="1">
      <alignment vertical="top" wrapText="1"/>
    </xf>
    <xf numFmtId="0" fontId="38" fillId="7" borderId="9" xfId="0" applyFont="1" applyFill="1" applyBorder="1" applyAlignment="1">
      <alignment vertical="top"/>
    </xf>
    <xf numFmtId="0" fontId="38" fillId="7" borderId="10" xfId="0" applyFont="1" applyFill="1" applyBorder="1" applyAlignment="1">
      <alignment vertical="top"/>
    </xf>
    <xf numFmtId="0" fontId="38" fillId="0" borderId="10" xfId="0" applyFont="1" applyBorder="1" applyAlignment="1">
      <alignment vertical="top"/>
    </xf>
    <xf numFmtId="0" fontId="38" fillId="22" borderId="9" xfId="0" applyFont="1" applyFill="1" applyBorder="1" applyAlignment="1">
      <alignment vertical="top"/>
    </xf>
    <xf numFmtId="0" fontId="38" fillId="22" borderId="10" xfId="0" applyFont="1" applyFill="1" applyBorder="1" applyAlignment="1">
      <alignment vertical="top"/>
    </xf>
    <xf numFmtId="0" fontId="2" fillId="3" borderId="27" xfId="0" applyFont="1" applyFill="1" applyBorder="1" applyAlignment="1">
      <alignment vertical="top" wrapText="1"/>
    </xf>
    <xf numFmtId="0" fontId="2" fillId="7" borderId="18" xfId="0" applyFont="1" applyFill="1" applyBorder="1" applyAlignment="1">
      <alignment vertical="top"/>
    </xf>
    <xf numFmtId="0" fontId="1" fillId="7" borderId="18" xfId="0" applyFont="1" applyFill="1" applyBorder="1" applyAlignment="1">
      <alignment vertical="top" wrapText="1"/>
    </xf>
    <xf numFmtId="0" fontId="2" fillId="7" borderId="18" xfId="0" applyFont="1" applyFill="1" applyBorder="1" applyAlignment="1">
      <alignment vertical="top" wrapText="1"/>
    </xf>
    <xf numFmtId="0" fontId="2" fillId="7" borderId="26" xfId="0" applyFont="1" applyFill="1" applyBorder="1" applyAlignment="1">
      <alignment vertical="top" wrapText="1"/>
    </xf>
    <xf numFmtId="0" fontId="2" fillId="7" borderId="25" xfId="0" applyFont="1" applyFill="1" applyBorder="1" applyAlignment="1">
      <alignment vertical="top"/>
    </xf>
    <xf numFmtId="0" fontId="1" fillId="0" borderId="52" xfId="0" applyFont="1" applyBorder="1" applyAlignment="1">
      <alignment vertical="top" wrapText="1"/>
    </xf>
    <xf numFmtId="0" fontId="2" fillId="0" borderId="21" xfId="0" applyFont="1" applyBorder="1" applyAlignment="1">
      <alignment vertical="top"/>
    </xf>
    <xf numFmtId="0" fontId="2" fillId="0" borderId="21" xfId="0" applyFont="1" applyBorder="1" applyAlignment="1">
      <alignment vertical="top" wrapText="1"/>
    </xf>
    <xf numFmtId="0" fontId="2" fillId="0" borderId="29" xfId="0" applyFont="1" applyBorder="1" applyAlignment="1">
      <alignment vertical="top" wrapText="1"/>
    </xf>
    <xf numFmtId="0" fontId="2" fillId="0" borderId="20" xfId="0" applyFont="1" applyBorder="1" applyAlignment="1">
      <alignment vertical="top"/>
    </xf>
    <xf numFmtId="0" fontId="2" fillId="0" borderId="45" xfId="0" applyFont="1" applyBorder="1" applyAlignment="1">
      <alignment vertical="top"/>
    </xf>
    <xf numFmtId="0" fontId="1" fillId="0" borderId="43" xfId="0" applyFont="1" applyBorder="1" applyAlignment="1">
      <alignment vertical="top" wrapText="1"/>
    </xf>
    <xf numFmtId="0" fontId="2" fillId="0" borderId="43" xfId="0" applyFont="1" applyBorder="1" applyAlignment="1">
      <alignment vertical="top" wrapText="1"/>
    </xf>
    <xf numFmtId="0" fontId="2" fillId="0" borderId="44" xfId="0" applyFont="1" applyBorder="1" applyAlignment="1">
      <alignment vertical="top" wrapText="1"/>
    </xf>
    <xf numFmtId="0" fontId="17" fillId="0" borderId="21" xfId="0" applyFont="1" applyBorder="1" applyAlignment="1">
      <alignment vertical="top"/>
    </xf>
    <xf numFmtId="0" fontId="2" fillId="0" borderId="24" xfId="0" applyFont="1" applyBorder="1" applyAlignment="1">
      <alignment vertical="top" wrapText="1"/>
    </xf>
    <xf numFmtId="166" fontId="2" fillId="19" borderId="41" xfId="0" applyNumberFormat="1" applyFont="1" applyFill="1" applyBorder="1" applyAlignment="1">
      <alignment vertical="top" wrapText="1"/>
    </xf>
    <xf numFmtId="166" fontId="2" fillId="19" borderId="46" xfId="0" applyNumberFormat="1" applyFont="1" applyFill="1" applyBorder="1" applyAlignment="1">
      <alignment vertical="top" wrapText="1"/>
    </xf>
    <xf numFmtId="166" fontId="2" fillId="3" borderId="11" xfId="0" applyNumberFormat="1" applyFont="1" applyFill="1" applyBorder="1" applyAlignment="1">
      <alignment vertical="top" wrapText="1"/>
    </xf>
    <xf numFmtId="166" fontId="2" fillId="3" borderId="41" xfId="0" applyNumberFormat="1" applyFont="1" applyFill="1" applyBorder="1" applyAlignment="1">
      <alignment vertical="top" wrapText="1"/>
    </xf>
    <xf numFmtId="166" fontId="2" fillId="3" borderId="34" xfId="0" applyNumberFormat="1" applyFont="1" applyFill="1" applyBorder="1" applyAlignment="1">
      <alignment vertical="top" wrapText="1"/>
    </xf>
    <xf numFmtId="166" fontId="2" fillId="3" borderId="42" xfId="0" applyNumberFormat="1" applyFont="1" applyFill="1" applyBorder="1" applyAlignment="1">
      <alignment vertical="top" wrapText="1"/>
    </xf>
    <xf numFmtId="166" fontId="2" fillId="3" borderId="46" xfId="0" applyNumberFormat="1" applyFont="1" applyFill="1" applyBorder="1" applyAlignment="1">
      <alignment vertical="top" wrapText="1"/>
    </xf>
    <xf numFmtId="10" fontId="21" fillId="0" borderId="0" xfId="0" applyNumberFormat="1" applyFont="1" applyAlignment="1">
      <alignment vertical="top"/>
    </xf>
    <xf numFmtId="0" fontId="1" fillId="3" borderId="50" xfId="0" applyFont="1" applyFill="1" applyBorder="1" applyAlignment="1">
      <alignment vertical="top"/>
    </xf>
    <xf numFmtId="164" fontId="1" fillId="3" borderId="0" xfId="2" applyNumberFormat="1" applyFont="1" applyFill="1" applyBorder="1" applyAlignment="1">
      <alignment vertical="top"/>
    </xf>
    <xf numFmtId="166" fontId="1" fillId="3" borderId="0" xfId="0" applyNumberFormat="1" applyFont="1" applyFill="1" applyAlignment="1">
      <alignment vertical="top" wrapText="1"/>
    </xf>
    <xf numFmtId="166" fontId="2" fillId="3" borderId="28" xfId="0" applyNumberFormat="1" applyFont="1" applyFill="1" applyBorder="1" applyAlignment="1">
      <alignment vertical="top" wrapText="1"/>
    </xf>
    <xf numFmtId="164" fontId="1" fillId="3" borderId="19" xfId="0" applyNumberFormat="1" applyFont="1" applyFill="1" applyBorder="1" applyAlignment="1">
      <alignment vertical="top" wrapText="1"/>
    </xf>
    <xf numFmtId="164" fontId="1" fillId="3" borderId="19" xfId="2" applyNumberFormat="1" applyFont="1" applyFill="1" applyBorder="1" applyAlignment="1">
      <alignment vertical="top" wrapText="1"/>
    </xf>
    <xf numFmtId="166" fontId="2" fillId="3" borderId="0" xfId="0" applyNumberFormat="1" applyFont="1" applyFill="1" applyAlignment="1">
      <alignment vertical="top" wrapText="1"/>
    </xf>
    <xf numFmtId="1" fontId="1" fillId="3" borderId="19" xfId="0" applyNumberFormat="1" applyFont="1" applyFill="1" applyBorder="1" applyAlignment="1">
      <alignment vertical="top" wrapText="1"/>
    </xf>
    <xf numFmtId="1" fontId="1" fillId="3" borderId="9" xfId="0" applyNumberFormat="1" applyFont="1" applyFill="1" applyBorder="1" applyAlignment="1">
      <alignment vertical="top" wrapText="1"/>
    </xf>
    <xf numFmtId="166" fontId="2" fillId="3" borderId="10" xfId="0" applyNumberFormat="1" applyFont="1" applyFill="1" applyBorder="1" applyAlignment="1">
      <alignment vertical="top" wrapText="1"/>
    </xf>
    <xf numFmtId="0" fontId="38" fillId="3" borderId="0" xfId="0" applyFont="1" applyFill="1" applyAlignment="1">
      <alignment vertical="top"/>
    </xf>
    <xf numFmtId="0" fontId="1" fillId="3" borderId="0" xfId="0" applyFont="1" applyFill="1" applyAlignment="1">
      <alignment vertical="top"/>
    </xf>
    <xf numFmtId="166" fontId="1" fillId="3" borderId="9" xfId="0" applyNumberFormat="1" applyFont="1" applyFill="1" applyBorder="1" applyAlignment="1">
      <alignment vertical="top" wrapText="1"/>
    </xf>
    <xf numFmtId="166" fontId="1" fillId="3" borderId="10" xfId="0" applyNumberFormat="1" applyFont="1" applyFill="1" applyBorder="1" applyAlignment="1">
      <alignment vertical="top" wrapText="1"/>
    </xf>
    <xf numFmtId="0" fontId="38" fillId="3" borderId="28" xfId="0" applyFont="1" applyFill="1" applyBorder="1" applyAlignment="1">
      <alignment vertical="top"/>
    </xf>
    <xf numFmtId="0" fontId="38" fillId="3" borderId="19" xfId="0" applyFont="1" applyFill="1" applyBorder="1" applyAlignment="1">
      <alignment vertical="top"/>
    </xf>
    <xf numFmtId="0" fontId="1" fillId="3" borderId="28" xfId="0" applyFont="1" applyFill="1" applyBorder="1" applyAlignment="1">
      <alignment vertical="top" wrapText="1"/>
    </xf>
    <xf numFmtId="166" fontId="38" fillId="3" borderId="9" xfId="0" applyNumberFormat="1" applyFont="1" applyFill="1" applyBorder="1" applyAlignment="1">
      <alignment vertical="top"/>
    </xf>
    <xf numFmtId="1" fontId="1" fillId="3" borderId="0" xfId="0" applyNumberFormat="1" applyFont="1" applyFill="1" applyAlignment="1">
      <alignment vertical="top" wrapText="1"/>
    </xf>
    <xf numFmtId="1" fontId="1" fillId="3" borderId="10" xfId="0" applyNumberFormat="1" applyFont="1" applyFill="1" applyBorder="1" applyAlignment="1">
      <alignment vertical="top" wrapText="1"/>
    </xf>
    <xf numFmtId="1" fontId="1" fillId="3" borderId="28" xfId="0" applyNumberFormat="1" applyFont="1" applyFill="1" applyBorder="1" applyAlignment="1">
      <alignment vertical="top" wrapText="1"/>
    </xf>
    <xf numFmtId="164" fontId="17" fillId="0" borderId="0" xfId="2" applyNumberFormat="1" applyFont="1" applyFill="1" applyBorder="1" applyAlignment="1">
      <alignment vertical="top"/>
    </xf>
    <xf numFmtId="164" fontId="17" fillId="0" borderId="19" xfId="0" applyNumberFormat="1" applyFont="1" applyBorder="1" applyAlignment="1">
      <alignment vertical="top" wrapText="1"/>
    </xf>
    <xf numFmtId="166" fontId="51" fillId="3" borderId="34" xfId="0" applyNumberFormat="1" applyFont="1" applyFill="1" applyBorder="1" applyAlignment="1">
      <alignment vertical="top" wrapText="1"/>
    </xf>
    <xf numFmtId="166" fontId="51" fillId="3" borderId="42" xfId="0" applyNumberFormat="1" applyFont="1" applyFill="1" applyBorder="1" applyAlignment="1">
      <alignment vertical="top" wrapText="1"/>
    </xf>
    <xf numFmtId="9" fontId="21" fillId="0" borderId="0" xfId="0" applyNumberFormat="1" applyFont="1" applyAlignment="1">
      <alignment vertical="top"/>
    </xf>
    <xf numFmtId="0" fontId="7" fillId="0" borderId="9" xfId="0" applyFont="1" applyBorder="1"/>
    <xf numFmtId="0" fontId="70" fillId="0" borderId="9" xfId="0" applyFont="1" applyBorder="1"/>
    <xf numFmtId="2" fontId="2" fillId="0" borderId="28" xfId="2" applyNumberFormat="1" applyFont="1" applyBorder="1" applyAlignment="1">
      <alignment vertical="top" wrapText="1"/>
    </xf>
    <xf numFmtId="1" fontId="1" fillId="0" borderId="19" xfId="2" applyNumberFormat="1" applyFont="1" applyFill="1" applyBorder="1" applyAlignment="1">
      <alignment vertical="top" wrapText="1"/>
    </xf>
    <xf numFmtId="0" fontId="7" fillId="0" borderId="6" xfId="0" applyFont="1" applyBorder="1"/>
    <xf numFmtId="0" fontId="0" fillId="0" borderId="12" xfId="0" applyBorder="1"/>
    <xf numFmtId="0" fontId="21" fillId="0" borderId="13" xfId="0" applyFont="1" applyBorder="1"/>
    <xf numFmtId="0" fontId="21" fillId="0" borderId="12" xfId="0" applyFont="1" applyBorder="1"/>
    <xf numFmtId="0" fontId="70" fillId="0" borderId="13" xfId="0" applyFont="1" applyBorder="1"/>
    <xf numFmtId="0" fontId="71" fillId="0" borderId="0" xfId="0" applyFont="1" applyAlignment="1">
      <alignment vertical="top" wrapText="1"/>
    </xf>
    <xf numFmtId="0" fontId="72" fillId="0" borderId="0" xfId="0" applyFont="1"/>
    <xf numFmtId="0" fontId="73" fillId="0" borderId="0" xfId="0" applyFont="1" applyAlignment="1">
      <alignment horizontal="left" vertical="center" wrapText="1"/>
    </xf>
    <xf numFmtId="0" fontId="71" fillId="0" borderId="0" xfId="0" applyFont="1" applyAlignment="1">
      <alignment horizontal="left" vertical="center"/>
    </xf>
    <xf numFmtId="0" fontId="72" fillId="0" borderId="0" xfId="0" applyFont="1" applyAlignment="1">
      <alignment horizontal="center" vertical="center"/>
    </xf>
    <xf numFmtId="0" fontId="72" fillId="0" borderId="0" xfId="0" applyFont="1" applyAlignment="1">
      <alignment wrapText="1"/>
    </xf>
    <xf numFmtId="0" fontId="73" fillId="0" borderId="0" xfId="0" applyFont="1" applyAlignment="1">
      <alignment horizontal="left" vertical="center"/>
    </xf>
    <xf numFmtId="0" fontId="72" fillId="0" borderId="0" xfId="0" applyFont="1" applyAlignment="1">
      <alignment horizontal="left" vertical="center"/>
    </xf>
    <xf numFmtId="0" fontId="34" fillId="0" borderId="0" xfId="0" applyFont="1"/>
    <xf numFmtId="0" fontId="0" fillId="3" borderId="3" xfId="0" applyFill="1" applyBorder="1"/>
    <xf numFmtId="1" fontId="0" fillId="3" borderId="5" xfId="0" applyNumberFormat="1" applyFill="1" applyBorder="1"/>
    <xf numFmtId="0" fontId="0" fillId="3" borderId="6" xfId="0" applyFill="1" applyBorder="1"/>
    <xf numFmtId="10" fontId="0" fillId="26" borderId="8" xfId="0" applyNumberFormat="1" applyFill="1" applyBorder="1"/>
    <xf numFmtId="0" fontId="0" fillId="16" borderId="9" xfId="0" applyFill="1" applyBorder="1"/>
    <xf numFmtId="9" fontId="0" fillId="16" borderId="10" xfId="0" applyNumberFormat="1" applyFill="1" applyBorder="1"/>
    <xf numFmtId="164" fontId="0" fillId="16" borderId="8" xfId="0" applyNumberFormat="1" applyFill="1" applyBorder="1"/>
    <xf numFmtId="164" fontId="34" fillId="11" borderId="8" xfId="2" applyNumberFormat="1" applyFont="1" applyFill="1" applyBorder="1"/>
    <xf numFmtId="0" fontId="74" fillId="0" borderId="0" xfId="0" applyFont="1"/>
    <xf numFmtId="0" fontId="75" fillId="0" borderId="0" xfId="0" applyFont="1"/>
    <xf numFmtId="9" fontId="7" fillId="11" borderId="12" xfId="0" applyNumberFormat="1" applyFont="1" applyFill="1" applyBorder="1"/>
    <xf numFmtId="164" fontId="7" fillId="11" borderId="14" xfId="0" applyNumberFormat="1" applyFont="1" applyFill="1" applyBorder="1"/>
    <xf numFmtId="164" fontId="2" fillId="0" borderId="19" xfId="0" applyNumberFormat="1" applyFont="1" applyBorder="1" applyAlignment="1">
      <alignment vertical="top" wrapText="1"/>
    </xf>
    <xf numFmtId="164" fontId="2" fillId="0" borderId="19" xfId="2" applyNumberFormat="1" applyFont="1" applyFill="1" applyBorder="1" applyAlignment="1">
      <alignment vertical="top" wrapText="1"/>
    </xf>
    <xf numFmtId="164" fontId="2" fillId="0" borderId="9" xfId="2" applyNumberFormat="1" applyFont="1" applyFill="1" applyBorder="1" applyAlignment="1">
      <alignment vertical="top" wrapText="1"/>
    </xf>
    <xf numFmtId="0" fontId="1" fillId="0" borderId="18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2" fillId="19" borderId="18" xfId="0" applyFont="1" applyFill="1" applyBorder="1" applyAlignment="1">
      <alignment vertical="top" wrapText="1"/>
    </xf>
    <xf numFmtId="0" fontId="2" fillId="19" borderId="11" xfId="0" applyFont="1" applyFill="1" applyBorder="1" applyAlignment="1">
      <alignment vertical="top" wrapText="1"/>
    </xf>
    <xf numFmtId="0" fontId="2" fillId="19" borderId="41" xfId="0" applyFont="1" applyFill="1" applyBorder="1" applyAlignment="1">
      <alignment vertical="top" wrapText="1"/>
    </xf>
    <xf numFmtId="0" fontId="2" fillId="8" borderId="0" xfId="0" applyFont="1" applyFill="1" applyAlignment="1">
      <alignment vertical="top"/>
    </xf>
    <xf numFmtId="0" fontId="2" fillId="0" borderId="0" xfId="0" quotePrefix="1" applyFont="1" applyAlignment="1">
      <alignment vertical="top" wrapText="1"/>
    </xf>
    <xf numFmtId="0" fontId="2" fillId="7" borderId="0" xfId="0" quotePrefix="1" applyFont="1" applyFill="1" applyAlignment="1">
      <alignment vertical="top" wrapText="1"/>
    </xf>
    <xf numFmtId="0" fontId="17" fillId="0" borderId="50" xfId="0" applyFont="1" applyBorder="1" applyAlignment="1">
      <alignment vertical="top" wrapText="1"/>
    </xf>
    <xf numFmtId="10" fontId="1" fillId="0" borderId="0" xfId="0" applyNumberFormat="1" applyFont="1" applyAlignment="1">
      <alignment horizontal="left" vertical="top" wrapText="1" indent="2"/>
    </xf>
    <xf numFmtId="2" fontId="1" fillId="0" borderId="0" xfId="0" applyNumberFormat="1" applyFont="1" applyAlignment="1">
      <alignment vertical="top" wrapText="1"/>
    </xf>
    <xf numFmtId="164" fontId="17" fillId="0" borderId="0" xfId="0" applyNumberFormat="1" applyFont="1" applyAlignment="1">
      <alignment vertical="top" wrapText="1"/>
    </xf>
    <xf numFmtId="2" fontId="12" fillId="0" borderId="0" xfId="0" applyNumberFormat="1" applyFont="1" applyAlignment="1">
      <alignment horizontal="right" vertical="top" wrapText="1"/>
    </xf>
    <xf numFmtId="0" fontId="41" fillId="0" borderId="4" xfId="0" applyFont="1" applyBorder="1" applyAlignment="1">
      <alignment horizontal="center"/>
    </xf>
    <xf numFmtId="2" fontId="12" fillId="0" borderId="0" xfId="0" applyNumberFormat="1" applyFont="1" applyAlignment="1">
      <alignment vertical="top" wrapText="1"/>
    </xf>
    <xf numFmtId="2" fontId="12" fillId="0" borderId="0" xfId="0" applyNumberFormat="1" applyFont="1" applyAlignment="1">
      <alignment vertical="top"/>
    </xf>
    <xf numFmtId="164" fontId="17" fillId="7" borderId="0" xfId="0" applyNumberFormat="1" applyFont="1" applyFill="1" applyAlignment="1">
      <alignment vertical="top" wrapText="1"/>
    </xf>
    <xf numFmtId="0" fontId="55" fillId="0" borderId="50" xfId="0" applyFont="1" applyBorder="1" applyAlignment="1">
      <alignment vertical="top" wrapText="1"/>
    </xf>
    <xf numFmtId="9" fontId="77" fillId="0" borderId="28" xfId="2" applyFont="1" applyBorder="1" applyAlignment="1">
      <alignment vertical="top" wrapText="1"/>
    </xf>
    <xf numFmtId="168" fontId="77" fillId="0" borderId="28" xfId="0" applyNumberFormat="1" applyFont="1" applyBorder="1" applyAlignment="1">
      <alignment vertical="top" wrapText="1"/>
    </xf>
    <xf numFmtId="2" fontId="1" fillId="0" borderId="19" xfId="0" applyNumberFormat="1" applyFont="1" applyBorder="1" applyAlignment="1">
      <alignment vertical="top" wrapText="1"/>
    </xf>
    <xf numFmtId="0" fontId="2" fillId="3" borderId="18" xfId="0" applyFont="1" applyFill="1" applyBorder="1" applyAlignment="1">
      <alignment horizontal="left" vertical="top" wrapText="1"/>
    </xf>
    <xf numFmtId="164" fontId="1" fillId="0" borderId="21" xfId="2" applyNumberFormat="1" applyFont="1" applyBorder="1" applyAlignment="1">
      <alignment vertical="top" wrapText="1"/>
    </xf>
    <xf numFmtId="1" fontId="12" fillId="0" borderId="0" xfId="2" applyNumberFormat="1" applyFont="1" applyBorder="1" applyAlignment="1">
      <alignment vertical="top" wrapText="1"/>
    </xf>
    <xf numFmtId="164" fontId="2" fillId="0" borderId="0" xfId="2" applyNumberFormat="1" applyFont="1" applyBorder="1" applyAlignment="1">
      <alignment vertical="top" wrapText="1"/>
    </xf>
    <xf numFmtId="164" fontId="2" fillId="0" borderId="21" xfId="2" applyNumberFormat="1" applyFont="1" applyBorder="1" applyAlignment="1">
      <alignment vertical="top" wrapText="1"/>
    </xf>
    <xf numFmtId="0" fontId="8" fillId="0" borderId="0" xfId="0" applyFont="1"/>
    <xf numFmtId="18" fontId="6" fillId="0" borderId="0" xfId="1" applyNumberFormat="1"/>
    <xf numFmtId="0" fontId="21" fillId="3" borderId="0" xfId="0" applyFont="1" applyFill="1"/>
    <xf numFmtId="0" fontId="1" fillId="27" borderId="0" xfId="0" applyFont="1" applyFill="1" applyAlignment="1">
      <alignment vertical="top"/>
    </xf>
    <xf numFmtId="1" fontId="1" fillId="27" borderId="0" xfId="0" applyNumberFormat="1" applyFont="1" applyFill="1" applyAlignment="1">
      <alignment vertical="top" wrapText="1"/>
    </xf>
    <xf numFmtId="166" fontId="1" fillId="27" borderId="0" xfId="0" applyNumberFormat="1" applyFont="1" applyFill="1" applyAlignment="1">
      <alignment vertical="top" wrapText="1"/>
    </xf>
    <xf numFmtId="1" fontId="2" fillId="27" borderId="0" xfId="0" applyNumberFormat="1" applyFont="1" applyFill="1" applyAlignment="1">
      <alignment vertical="top" wrapText="1"/>
    </xf>
    <xf numFmtId="1" fontId="1" fillId="27" borderId="19" xfId="0" applyNumberFormat="1" applyFont="1" applyFill="1" applyBorder="1" applyAlignment="1">
      <alignment vertical="top" wrapText="1"/>
    </xf>
    <xf numFmtId="1" fontId="1" fillId="27" borderId="9" xfId="0" applyNumberFormat="1" applyFont="1" applyFill="1" applyBorder="1" applyAlignment="1">
      <alignment vertical="top" wrapText="1"/>
    </xf>
    <xf numFmtId="0" fontId="1" fillId="27" borderId="0" xfId="0" applyFont="1" applyFill="1" applyAlignment="1">
      <alignment vertical="top" wrapText="1"/>
    </xf>
    <xf numFmtId="0" fontId="38" fillId="27" borderId="0" xfId="0" applyFont="1" applyFill="1" applyAlignment="1">
      <alignment vertical="top"/>
    </xf>
    <xf numFmtId="0" fontId="1" fillId="18" borderId="0" xfId="0" applyFont="1" applyFill="1" applyAlignment="1">
      <alignment vertical="top"/>
    </xf>
    <xf numFmtId="1" fontId="1" fillId="18" borderId="0" xfId="0" applyNumberFormat="1" applyFont="1" applyFill="1" applyAlignment="1">
      <alignment vertical="top" wrapText="1"/>
    </xf>
    <xf numFmtId="166" fontId="1" fillId="18" borderId="0" xfId="0" applyNumberFormat="1" applyFont="1" applyFill="1" applyAlignment="1">
      <alignment vertical="top" wrapText="1"/>
    </xf>
    <xf numFmtId="166" fontId="2" fillId="18" borderId="0" xfId="0" applyNumberFormat="1" applyFont="1" applyFill="1" applyAlignment="1">
      <alignment vertical="top" wrapText="1"/>
    </xf>
    <xf numFmtId="1" fontId="2" fillId="18" borderId="0" xfId="0" applyNumberFormat="1" applyFont="1" applyFill="1" applyAlignment="1">
      <alignment vertical="top" wrapText="1"/>
    </xf>
    <xf numFmtId="1" fontId="1" fillId="18" borderId="19" xfId="0" applyNumberFormat="1" applyFont="1" applyFill="1" applyBorder="1" applyAlignment="1">
      <alignment vertical="top" wrapText="1"/>
    </xf>
    <xf numFmtId="1" fontId="1" fillId="18" borderId="9" xfId="0" applyNumberFormat="1" applyFont="1" applyFill="1" applyBorder="1" applyAlignment="1">
      <alignment vertical="top" wrapText="1"/>
    </xf>
    <xf numFmtId="0" fontId="1" fillId="18" borderId="0" xfId="0" applyFont="1" applyFill="1" applyAlignment="1">
      <alignment vertical="top" wrapText="1"/>
    </xf>
    <xf numFmtId="0" fontId="38" fillId="18" borderId="0" xfId="0" applyFont="1" applyFill="1" applyAlignment="1">
      <alignment vertical="top"/>
    </xf>
    <xf numFmtId="0" fontId="79" fillId="0" borderId="32" xfId="0" applyFont="1" applyBorder="1" applyAlignment="1">
      <alignment vertical="top" wrapText="1"/>
    </xf>
    <xf numFmtId="0" fontId="79" fillId="0" borderId="0" xfId="0" applyFont="1" applyAlignment="1">
      <alignment vertical="top" wrapText="1"/>
    </xf>
    <xf numFmtId="9" fontId="79" fillId="0" borderId="0" xfId="0" applyNumberFormat="1" applyFont="1" applyAlignment="1">
      <alignment vertical="top" wrapText="1"/>
    </xf>
    <xf numFmtId="164" fontId="79" fillId="0" borderId="0" xfId="0" applyNumberFormat="1" applyFont="1" applyAlignment="1">
      <alignment vertical="top" wrapText="1"/>
    </xf>
    <xf numFmtId="0" fontId="79" fillId="0" borderId="0" xfId="0" applyFont="1" applyAlignment="1">
      <alignment horizontal="right" vertical="top" wrapText="1"/>
    </xf>
    <xf numFmtId="0" fontId="2" fillId="0" borderId="9" xfId="0" applyFont="1" applyBorder="1"/>
    <xf numFmtId="0" fontId="38" fillId="12" borderId="0" xfId="0" applyFont="1" applyFill="1" applyAlignment="1">
      <alignment vertical="top" wrapText="1"/>
    </xf>
    <xf numFmtId="0" fontId="38" fillId="0" borderId="19" xfId="0" applyFont="1" applyBorder="1" applyAlignment="1">
      <alignment vertical="top" wrapText="1"/>
    </xf>
    <xf numFmtId="0" fontId="78" fillId="0" borderId="43" xfId="0" applyFont="1" applyBorder="1" applyAlignment="1">
      <alignment vertical="top" wrapText="1"/>
    </xf>
    <xf numFmtId="0" fontId="38" fillId="12" borderId="28" xfId="0" applyFont="1" applyFill="1" applyBorder="1" applyAlignment="1">
      <alignment vertical="top" wrapText="1"/>
    </xf>
    <xf numFmtId="0" fontId="1" fillId="7" borderId="0" xfId="0" applyFont="1" applyFill="1"/>
    <xf numFmtId="0" fontId="1" fillId="5" borderId="0" xfId="0" applyFont="1" applyFill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80" fillId="0" borderId="9" xfId="0" applyFont="1" applyBorder="1"/>
    <xf numFmtId="0" fontId="1" fillId="0" borderId="10" xfId="0" applyFont="1" applyBorder="1"/>
    <xf numFmtId="164" fontId="2" fillId="0" borderId="10" xfId="2" applyNumberFormat="1" applyFont="1" applyBorder="1"/>
    <xf numFmtId="0" fontId="80" fillId="5" borderId="9" xfId="0" applyFont="1" applyFill="1" applyBorder="1"/>
    <xf numFmtId="164" fontId="2" fillId="5" borderId="10" xfId="2" applyNumberFormat="1" applyFont="1" applyFill="1" applyBorder="1"/>
    <xf numFmtId="0" fontId="1" fillId="0" borderId="6" xfId="0" applyFont="1" applyBorder="1"/>
    <xf numFmtId="0" fontId="1" fillId="0" borderId="7" xfId="0" applyFont="1" applyBorder="1"/>
    <xf numFmtId="164" fontId="2" fillId="0" borderId="8" xfId="2" applyNumberFormat="1" applyFont="1" applyBorder="1"/>
    <xf numFmtId="0" fontId="1" fillId="0" borderId="3" xfId="0" applyFont="1" applyBorder="1" applyAlignment="1">
      <alignment wrapText="1"/>
    </xf>
    <xf numFmtId="0" fontId="1" fillId="0" borderId="9" xfId="0" applyFont="1" applyBorder="1" applyAlignment="1">
      <alignment wrapText="1"/>
    </xf>
    <xf numFmtId="164" fontId="1" fillId="0" borderId="10" xfId="2" applyNumberFormat="1" applyFont="1" applyBorder="1"/>
    <xf numFmtId="0" fontId="1" fillId="0" borderId="9" xfId="0" applyFont="1" applyBorder="1"/>
    <xf numFmtId="0" fontId="1" fillId="0" borderId="8" xfId="0" applyFont="1" applyBorder="1"/>
    <xf numFmtId="0" fontId="2" fillId="5" borderId="9" xfId="0" applyFont="1" applyFill="1" applyBorder="1"/>
    <xf numFmtId="0" fontId="2" fillId="0" borderId="6" xfId="0" applyFont="1" applyBorder="1"/>
    <xf numFmtId="0" fontId="1" fillId="0" borderId="12" xfId="0" applyFont="1" applyBorder="1"/>
    <xf numFmtId="0" fontId="1" fillId="0" borderId="13" xfId="0" applyFont="1" applyBorder="1"/>
    <xf numFmtId="164" fontId="1" fillId="0" borderId="13" xfId="2" applyNumberFormat="1" applyFont="1" applyBorder="1"/>
    <xf numFmtId="164" fontId="1" fillId="0" borderId="14" xfId="2" applyNumberFormat="1" applyFont="1" applyBorder="1"/>
    <xf numFmtId="164" fontId="1" fillId="5" borderId="0" xfId="2" applyNumberFormat="1" applyFont="1" applyFill="1" applyBorder="1"/>
    <xf numFmtId="164" fontId="1" fillId="5" borderId="13" xfId="2" applyNumberFormat="1" applyFont="1" applyFill="1" applyBorder="1"/>
    <xf numFmtId="164" fontId="1" fillId="0" borderId="7" xfId="2" applyNumberFormat="1" applyFont="1" applyBorder="1"/>
    <xf numFmtId="1" fontId="55" fillId="7" borderId="0" xfId="0" applyNumberFormat="1" applyFont="1" applyFill="1"/>
    <xf numFmtId="0" fontId="52" fillId="3" borderId="0" xfId="0" applyFont="1" applyFill="1"/>
    <xf numFmtId="1" fontId="52" fillId="3" borderId="0" xfId="0" applyNumberFormat="1" applyFont="1" applyFill="1"/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top"/>
    </xf>
    <xf numFmtId="0" fontId="12" fillId="0" borderId="1" xfId="0" applyFont="1" applyBorder="1" applyAlignment="1">
      <alignment vertical="top" wrapText="1"/>
    </xf>
    <xf numFmtId="164" fontId="12" fillId="0" borderId="1" xfId="2" applyNumberFormat="1" applyFont="1" applyBorder="1"/>
    <xf numFmtId="0" fontId="12" fillId="0" borderId="1" xfId="0" applyFont="1" applyBorder="1"/>
    <xf numFmtId="9" fontId="12" fillId="0" borderId="1" xfId="2" applyFont="1" applyBorder="1"/>
    <xf numFmtId="164" fontId="1" fillId="0" borderId="8" xfId="2" applyNumberFormat="1" applyFont="1" applyBorder="1"/>
    <xf numFmtId="1" fontId="1" fillId="0" borderId="0" xfId="0" applyNumberFormat="1" applyFont="1"/>
    <xf numFmtId="1" fontId="1" fillId="0" borderId="7" xfId="0" applyNumberFormat="1" applyFont="1" applyBorder="1" applyAlignment="1">
      <alignment vertical="top" wrapText="1"/>
    </xf>
    <xf numFmtId="1" fontId="1" fillId="0" borderId="7" xfId="0" applyNumberFormat="1" applyFont="1" applyBorder="1"/>
    <xf numFmtId="1" fontId="1" fillId="0" borderId="9" xfId="0" applyNumberFormat="1" applyFont="1" applyBorder="1"/>
    <xf numFmtId="1" fontId="1" fillId="0" borderId="6" xfId="0" applyNumberFormat="1" applyFont="1" applyBorder="1"/>
    <xf numFmtId="0" fontId="1" fillId="0" borderId="5" xfId="0" applyFont="1" applyBorder="1" applyAlignment="1">
      <alignment vertical="top"/>
    </xf>
    <xf numFmtId="9" fontId="1" fillId="0" borderId="10" xfId="2" applyFont="1" applyBorder="1"/>
    <xf numFmtId="9" fontId="1" fillId="0" borderId="8" xfId="2" applyFont="1" applyBorder="1"/>
    <xf numFmtId="0" fontId="12" fillId="0" borderId="32" xfId="0" applyFont="1" applyBorder="1" applyAlignment="1">
      <alignment vertical="top" wrapText="1"/>
    </xf>
    <xf numFmtId="9" fontId="12" fillId="0" borderId="0" xfId="0" applyNumberFormat="1" applyFont="1" applyAlignment="1">
      <alignment vertical="top" wrapText="1"/>
    </xf>
    <xf numFmtId="164" fontId="12" fillId="0" borderId="0" xfId="0" applyNumberFormat="1" applyFont="1" applyAlignment="1">
      <alignment vertical="top" wrapText="1"/>
    </xf>
    <xf numFmtId="164" fontId="12" fillId="0" borderId="0" xfId="2" applyNumberFormat="1" applyFont="1" applyFill="1" applyAlignment="1">
      <alignment vertical="top" wrapText="1"/>
    </xf>
    <xf numFmtId="164" fontId="12" fillId="0" borderId="21" xfId="2" applyNumberFormat="1" applyFont="1" applyFill="1" applyBorder="1" applyAlignment="1">
      <alignment vertical="top" wrapText="1"/>
    </xf>
    <xf numFmtId="0" fontId="2" fillId="3" borderId="0" xfId="0" applyFont="1" applyFill="1" applyAlignment="1">
      <alignment vertical="top"/>
    </xf>
    <xf numFmtId="0" fontId="2" fillId="3" borderId="28" xfId="0" applyFont="1" applyFill="1" applyBorder="1" applyAlignment="1">
      <alignment vertical="top"/>
    </xf>
    <xf numFmtId="164" fontId="1" fillId="7" borderId="0" xfId="0" applyNumberFormat="1" applyFont="1" applyFill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1" fillId="19" borderId="11" xfId="0" applyNumberFormat="1" applyFont="1" applyFill="1" applyBorder="1" applyAlignment="1">
      <alignment vertical="top" wrapText="1"/>
    </xf>
    <xf numFmtId="0" fontId="44" fillId="4" borderId="0" xfId="0" applyFont="1" applyFill="1" applyAlignment="1">
      <alignment vertical="top" wrapText="1"/>
    </xf>
    <xf numFmtId="164" fontId="1" fillId="0" borderId="18" xfId="2" applyNumberFormat="1" applyFont="1" applyBorder="1" applyAlignment="1">
      <alignment vertical="top" wrapText="1"/>
    </xf>
    <xf numFmtId="164" fontId="1" fillId="18" borderId="0" xfId="2" applyNumberFormat="1" applyFont="1" applyFill="1" applyBorder="1" applyAlignment="1">
      <alignment vertical="top" wrapText="1"/>
    </xf>
    <xf numFmtId="164" fontId="1" fillId="27" borderId="0" xfId="2" applyNumberFormat="1" applyFont="1" applyFill="1" applyBorder="1" applyAlignment="1">
      <alignment vertical="top" wrapText="1"/>
    </xf>
    <xf numFmtId="1" fontId="1" fillId="0" borderId="0" xfId="2" applyNumberFormat="1" applyFont="1" applyFill="1" applyBorder="1" applyAlignment="1">
      <alignment vertical="top" wrapText="1"/>
    </xf>
    <xf numFmtId="164" fontId="1" fillId="19" borderId="11" xfId="2" applyNumberFormat="1" applyFont="1" applyFill="1" applyBorder="1" applyAlignment="1">
      <alignment vertical="top" wrapText="1"/>
    </xf>
    <xf numFmtId="0" fontId="44" fillId="2" borderId="0" xfId="0" applyFont="1" applyFill="1" applyAlignment="1">
      <alignment vertical="top" wrapText="1"/>
    </xf>
    <xf numFmtId="164" fontId="12" fillId="0" borderId="0" xfId="2" applyNumberFormat="1" applyFont="1" applyAlignment="1">
      <alignment vertical="top" wrapText="1"/>
    </xf>
    <xf numFmtId="164" fontId="12" fillId="0" borderId="21" xfId="2" applyNumberFormat="1" applyFont="1" applyBorder="1" applyAlignment="1">
      <alignment vertical="top" wrapText="1"/>
    </xf>
    <xf numFmtId="164" fontId="12" fillId="0" borderId="0" xfId="2" applyNumberFormat="1" applyFont="1" applyBorder="1" applyAlignment="1">
      <alignment vertical="top" wrapText="1"/>
    </xf>
    <xf numFmtId="0" fontId="2" fillId="0" borderId="20" xfId="0" applyFont="1" applyBorder="1" applyAlignment="1">
      <alignment vertical="top" wrapText="1"/>
    </xf>
    <xf numFmtId="0" fontId="12" fillId="0" borderId="31" xfId="0" applyFont="1" applyBorder="1" applyAlignment="1">
      <alignment vertical="top" wrapText="1"/>
    </xf>
    <xf numFmtId="0" fontId="41" fillId="0" borderId="19" xfId="0" applyFont="1" applyBorder="1" applyAlignment="1">
      <alignment vertical="top" wrapText="1"/>
    </xf>
    <xf numFmtId="164" fontId="12" fillId="0" borderId="19" xfId="2" applyNumberFormat="1" applyFont="1" applyBorder="1" applyAlignment="1">
      <alignment vertical="top" wrapText="1"/>
    </xf>
    <xf numFmtId="1" fontId="2" fillId="0" borderId="17" xfId="0" applyNumberFormat="1" applyFont="1" applyBorder="1" applyAlignment="1">
      <alignment vertical="top" wrapText="1"/>
    </xf>
    <xf numFmtId="1" fontId="2" fillId="0" borderId="19" xfId="0" applyNumberFormat="1" applyFont="1" applyBorder="1" applyAlignment="1">
      <alignment vertical="top" wrapText="1"/>
    </xf>
    <xf numFmtId="1" fontId="2" fillId="0" borderId="20" xfId="0" applyNumberFormat="1" applyFont="1" applyBorder="1" applyAlignment="1">
      <alignment vertical="top" wrapText="1"/>
    </xf>
    <xf numFmtId="1" fontId="2" fillId="18" borderId="19" xfId="0" applyNumberFormat="1" applyFont="1" applyFill="1" applyBorder="1" applyAlignment="1">
      <alignment vertical="top" wrapText="1"/>
    </xf>
    <xf numFmtId="1" fontId="2" fillId="27" borderId="19" xfId="0" applyNumberFormat="1" applyFont="1" applyFill="1" applyBorder="1" applyAlignment="1">
      <alignment vertical="top" wrapText="1"/>
    </xf>
    <xf numFmtId="166" fontId="2" fillId="0" borderId="19" xfId="0" applyNumberFormat="1" applyFont="1" applyBorder="1" applyAlignment="1">
      <alignment vertical="top" wrapText="1"/>
    </xf>
    <xf numFmtId="166" fontId="2" fillId="19" borderId="30" xfId="0" applyNumberFormat="1" applyFont="1" applyFill="1" applyBorder="1" applyAlignment="1">
      <alignment vertical="top" wrapText="1"/>
    </xf>
    <xf numFmtId="166" fontId="1" fillId="0" borderId="19" xfId="0" applyNumberFormat="1" applyFont="1" applyBorder="1" applyAlignment="1">
      <alignment vertical="top" wrapText="1"/>
    </xf>
    <xf numFmtId="166" fontId="2" fillId="3" borderId="30" xfId="0" applyNumberFormat="1" applyFont="1" applyFill="1" applyBorder="1" applyAlignment="1">
      <alignment vertical="top" wrapText="1"/>
    </xf>
    <xf numFmtId="166" fontId="2" fillId="3" borderId="40" xfId="0" applyNumberFormat="1" applyFont="1" applyFill="1" applyBorder="1" applyAlignment="1">
      <alignment vertical="top" wrapText="1"/>
    </xf>
    <xf numFmtId="164" fontId="1" fillId="7" borderId="19" xfId="2" applyNumberFormat="1" applyFont="1" applyFill="1" applyBorder="1" applyAlignment="1">
      <alignment vertical="top" wrapText="1"/>
    </xf>
    <xf numFmtId="166" fontId="1" fillId="17" borderId="19" xfId="0" applyNumberFormat="1" applyFont="1" applyFill="1" applyBorder="1" applyAlignment="1">
      <alignment vertical="top" wrapText="1"/>
    </xf>
    <xf numFmtId="166" fontId="1" fillId="0" borderId="19" xfId="0" applyNumberFormat="1" applyFont="1" applyBorder="1" applyAlignment="1">
      <alignment vertical="top"/>
    </xf>
    <xf numFmtId="44" fontId="1" fillId="2" borderId="19" xfId="0" applyNumberFormat="1" applyFont="1" applyFill="1" applyBorder="1" applyAlignment="1">
      <alignment vertical="top" wrapText="1"/>
    </xf>
    <xf numFmtId="0" fontId="38" fillId="3" borderId="18" xfId="0" applyFont="1" applyFill="1" applyBorder="1" applyAlignment="1">
      <alignment vertical="top"/>
    </xf>
    <xf numFmtId="0" fontId="17" fillId="0" borderId="19" xfId="0" applyFont="1" applyBorder="1" applyAlignment="1">
      <alignment vertical="top" wrapText="1"/>
    </xf>
    <xf numFmtId="0" fontId="1" fillId="0" borderId="17" xfId="0" applyFont="1" applyBorder="1" applyAlignment="1">
      <alignment vertical="top"/>
    </xf>
    <xf numFmtId="0" fontId="1" fillId="0" borderId="20" xfId="0" applyFont="1" applyBorder="1" applyAlignment="1">
      <alignment vertical="top"/>
    </xf>
    <xf numFmtId="0" fontId="1" fillId="18" borderId="19" xfId="0" applyFont="1" applyFill="1" applyBorder="1" applyAlignment="1">
      <alignment vertical="top"/>
    </xf>
    <xf numFmtId="0" fontId="1" fillId="27" borderId="19" xfId="0" applyFont="1" applyFill="1" applyBorder="1" applyAlignment="1">
      <alignment vertical="top"/>
    </xf>
    <xf numFmtId="0" fontId="42" fillId="20" borderId="19" xfId="0" applyFont="1" applyFill="1" applyBorder="1" applyAlignment="1">
      <alignment vertical="top" wrapText="1"/>
    </xf>
    <xf numFmtId="0" fontId="2" fillId="8" borderId="19" xfId="0" applyFont="1" applyFill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35" xfId="0" applyFont="1" applyBorder="1" applyAlignment="1">
      <alignment vertical="top"/>
    </xf>
    <xf numFmtId="1" fontId="1" fillId="0" borderId="19" xfId="0" applyNumberFormat="1" applyFont="1" applyBorder="1" applyAlignment="1">
      <alignment vertical="top"/>
    </xf>
    <xf numFmtId="0" fontId="2" fillId="0" borderId="19" xfId="0" quotePrefix="1" applyFont="1" applyBorder="1" applyAlignment="1">
      <alignment vertical="top" wrapText="1"/>
    </xf>
    <xf numFmtId="0" fontId="20" fillId="0" borderId="19" xfId="0" quotePrefix="1" applyFont="1" applyBorder="1" applyAlignment="1">
      <alignment vertical="top" wrapText="1"/>
    </xf>
    <xf numFmtId="0" fontId="42" fillId="0" borderId="19" xfId="0" applyFont="1" applyBorder="1" applyAlignment="1">
      <alignment vertical="top" wrapText="1"/>
    </xf>
    <xf numFmtId="0" fontId="2" fillId="7" borderId="19" xfId="0" applyFont="1" applyFill="1" applyBorder="1" applyAlignment="1">
      <alignment vertical="top" wrapText="1"/>
    </xf>
    <xf numFmtId="0" fontId="2" fillId="7" borderId="19" xfId="0" quotePrefix="1" applyFont="1" applyFill="1" applyBorder="1" applyAlignment="1">
      <alignment vertical="top" wrapText="1"/>
    </xf>
    <xf numFmtId="0" fontId="20" fillId="7" borderId="19" xfId="0" quotePrefix="1" applyFont="1" applyFill="1" applyBorder="1" applyAlignment="1">
      <alignment vertical="top" wrapText="1"/>
    </xf>
    <xf numFmtId="0" fontId="19" fillId="0" borderId="19" xfId="0" quotePrefix="1" applyFont="1" applyBorder="1" applyAlignment="1">
      <alignment vertical="top" wrapText="1"/>
    </xf>
    <xf numFmtId="0" fontId="2" fillId="22" borderId="19" xfId="0" applyFont="1" applyFill="1" applyBorder="1" applyAlignment="1">
      <alignment vertical="top" wrapText="1"/>
    </xf>
    <xf numFmtId="0" fontId="2" fillId="0" borderId="57" xfId="0" applyFont="1" applyBorder="1" applyAlignment="1">
      <alignment vertical="top"/>
    </xf>
    <xf numFmtId="0" fontId="1" fillId="0" borderId="58" xfId="0" applyFont="1" applyBorder="1" applyAlignment="1">
      <alignment vertical="top" wrapText="1"/>
    </xf>
    <xf numFmtId="0" fontId="1" fillId="0" borderId="59" xfId="0" applyFont="1" applyBorder="1" applyAlignment="1">
      <alignment vertical="top" wrapText="1"/>
    </xf>
    <xf numFmtId="0" fontId="1" fillId="0" borderId="57" xfId="0" applyFont="1" applyBorder="1" applyAlignment="1">
      <alignment vertical="top" wrapText="1"/>
    </xf>
    <xf numFmtId="0" fontId="12" fillId="0" borderId="57" xfId="0" applyFont="1" applyBorder="1" applyAlignment="1">
      <alignment vertical="top" wrapText="1"/>
    </xf>
    <xf numFmtId="9" fontId="1" fillId="0" borderId="57" xfId="0" applyNumberFormat="1" applyFont="1" applyBorder="1" applyAlignment="1">
      <alignment vertical="top" wrapText="1"/>
    </xf>
    <xf numFmtId="2" fontId="1" fillId="0" borderId="57" xfId="0" applyNumberFormat="1" applyFont="1" applyBorder="1" applyAlignment="1">
      <alignment vertical="top" wrapText="1"/>
    </xf>
    <xf numFmtId="0" fontId="1" fillId="0" borderId="60" xfId="0" applyFont="1" applyBorder="1" applyAlignment="1">
      <alignment vertical="top"/>
    </xf>
    <xf numFmtId="0" fontId="1" fillId="0" borderId="57" xfId="0" applyFont="1" applyBorder="1" applyAlignment="1">
      <alignment vertical="top"/>
    </xf>
    <xf numFmtId="0" fontId="1" fillId="0" borderId="58" xfId="0" applyFont="1" applyBorder="1" applyAlignment="1">
      <alignment vertical="top"/>
    </xf>
    <xf numFmtId="0" fontId="1" fillId="18" borderId="57" xfId="0" applyFont="1" applyFill="1" applyBorder="1" applyAlignment="1">
      <alignment vertical="top"/>
    </xf>
    <xf numFmtId="0" fontId="1" fillId="27" borderId="57" xfId="0" applyFont="1" applyFill="1" applyBorder="1" applyAlignment="1">
      <alignment vertical="top"/>
    </xf>
    <xf numFmtId="0" fontId="2" fillId="19" borderId="61" xfId="0" applyFont="1" applyFill="1" applyBorder="1" applyAlignment="1">
      <alignment vertical="top" wrapText="1"/>
    </xf>
    <xf numFmtId="0" fontId="2" fillId="0" borderId="57" xfId="0" applyFont="1" applyBorder="1" applyAlignment="1">
      <alignment vertical="top" wrapText="1"/>
    </xf>
    <xf numFmtId="0" fontId="2" fillId="19" borderId="62" xfId="0" applyFont="1" applyFill="1" applyBorder="1" applyAlignment="1">
      <alignment vertical="top" wrapText="1"/>
    </xf>
    <xf numFmtId="0" fontId="2" fillId="2" borderId="57" xfId="0" applyFont="1" applyFill="1" applyBorder="1" applyAlignment="1">
      <alignment vertical="top" wrapText="1"/>
    </xf>
    <xf numFmtId="0" fontId="42" fillId="20" borderId="57" xfId="0" applyFont="1" applyFill="1" applyBorder="1" applyAlignment="1">
      <alignment vertical="top" wrapText="1"/>
    </xf>
    <xf numFmtId="0" fontId="2" fillId="8" borderId="57" xfId="0" applyFont="1" applyFill="1" applyBorder="1" applyAlignment="1">
      <alignment vertical="top"/>
    </xf>
    <xf numFmtId="0" fontId="2" fillId="2" borderId="57" xfId="0" applyFont="1" applyFill="1" applyBorder="1" applyAlignment="1">
      <alignment vertical="top"/>
    </xf>
    <xf numFmtId="0" fontId="2" fillId="7" borderId="57" xfId="0" applyFont="1" applyFill="1" applyBorder="1" applyAlignment="1">
      <alignment vertical="top"/>
    </xf>
    <xf numFmtId="1" fontId="1" fillId="0" borderId="57" xfId="0" applyNumberFormat="1" applyFont="1" applyBorder="1" applyAlignment="1">
      <alignment vertical="top"/>
    </xf>
    <xf numFmtId="0" fontId="1" fillId="2" borderId="57" xfId="0" applyFont="1" applyFill="1" applyBorder="1" applyAlignment="1">
      <alignment vertical="top" wrapText="1"/>
    </xf>
    <xf numFmtId="0" fontId="2" fillId="17" borderId="57" xfId="0" applyFont="1" applyFill="1" applyBorder="1" applyAlignment="1">
      <alignment vertical="top" wrapText="1"/>
    </xf>
    <xf numFmtId="0" fontId="2" fillId="0" borderId="57" xfId="0" quotePrefix="1" applyFont="1" applyBorder="1" applyAlignment="1">
      <alignment vertical="top" wrapText="1"/>
    </xf>
    <xf numFmtId="0" fontId="20" fillId="0" borderId="57" xfId="0" quotePrefix="1" applyFont="1" applyBorder="1" applyAlignment="1">
      <alignment vertical="top" wrapText="1"/>
    </xf>
    <xf numFmtId="0" fontId="42" fillId="0" borderId="57" xfId="0" applyFont="1" applyBorder="1" applyAlignment="1">
      <alignment vertical="top" wrapText="1"/>
    </xf>
    <xf numFmtId="0" fontId="2" fillId="7" borderId="57" xfId="0" applyFont="1" applyFill="1" applyBorder="1" applyAlignment="1">
      <alignment vertical="top" wrapText="1"/>
    </xf>
    <xf numFmtId="0" fontId="2" fillId="7" borderId="57" xfId="0" quotePrefix="1" applyFont="1" applyFill="1" applyBorder="1" applyAlignment="1">
      <alignment vertical="top" wrapText="1"/>
    </xf>
    <xf numFmtId="0" fontId="1" fillId="0" borderId="57" xfId="0" quotePrefix="1" applyFont="1" applyBorder="1" applyAlignment="1">
      <alignment vertical="top" wrapText="1"/>
    </xf>
    <xf numFmtId="0" fontId="20" fillId="7" borderId="57" xfId="0" quotePrefix="1" applyFont="1" applyFill="1" applyBorder="1" applyAlignment="1">
      <alignment vertical="top" wrapText="1"/>
    </xf>
    <xf numFmtId="0" fontId="19" fillId="0" borderId="57" xfId="0" quotePrefix="1" applyFont="1" applyBorder="1" applyAlignment="1">
      <alignment vertical="top" wrapText="1"/>
    </xf>
    <xf numFmtId="0" fontId="2" fillId="22" borderId="57" xfId="0" applyFont="1" applyFill="1" applyBorder="1" applyAlignment="1">
      <alignment vertical="top" wrapText="1"/>
    </xf>
    <xf numFmtId="0" fontId="1" fillId="0" borderId="57" xfId="0" applyFont="1" applyBorder="1"/>
    <xf numFmtId="0" fontId="2" fillId="19" borderId="16" xfId="0" applyFont="1" applyFill="1" applyBorder="1" applyAlignment="1">
      <alignment vertical="top" wrapText="1"/>
    </xf>
    <xf numFmtId="169" fontId="1" fillId="19" borderId="11" xfId="0" applyNumberFormat="1" applyFont="1" applyFill="1" applyBorder="1" applyAlignment="1">
      <alignment vertical="top" wrapText="1"/>
    </xf>
    <xf numFmtId="166" fontId="2" fillId="19" borderId="38" xfId="0" applyNumberFormat="1" applyFont="1" applyFill="1" applyBorder="1" applyAlignment="1">
      <alignment vertical="top" wrapText="1"/>
    </xf>
    <xf numFmtId="166" fontId="2" fillId="19" borderId="4" xfId="0" applyNumberFormat="1" applyFont="1" applyFill="1" applyBorder="1" applyAlignment="1">
      <alignment vertical="top" wrapText="1"/>
    </xf>
    <xf numFmtId="0" fontId="17" fillId="0" borderId="9" xfId="0" applyFont="1" applyBorder="1" applyAlignment="1">
      <alignment vertical="top" wrapText="1"/>
    </xf>
    <xf numFmtId="0" fontId="2" fillId="6" borderId="6" xfId="0" applyFont="1" applyFill="1" applyBorder="1" applyAlignment="1">
      <alignment vertical="top" wrapText="1"/>
    </xf>
    <xf numFmtId="0" fontId="2" fillId="6" borderId="7" xfId="0" applyFont="1" applyFill="1" applyBorder="1" applyAlignment="1">
      <alignment vertical="top" wrapText="1"/>
    </xf>
    <xf numFmtId="0" fontId="2" fillId="6" borderId="63" xfId="0" applyFont="1" applyFill="1" applyBorder="1" applyAlignment="1">
      <alignment vertical="top" wrapText="1"/>
    </xf>
    <xf numFmtId="0" fontId="1" fillId="6" borderId="7" xfId="0" applyFont="1" applyFill="1" applyBorder="1" applyAlignment="1">
      <alignment vertical="top"/>
    </xf>
    <xf numFmtId="166" fontId="1" fillId="6" borderId="7" xfId="0" applyNumberFormat="1" applyFont="1" applyFill="1" applyBorder="1" applyAlignment="1">
      <alignment vertical="top" wrapText="1"/>
    </xf>
    <xf numFmtId="166" fontId="2" fillId="6" borderId="36" xfId="0" applyNumberFormat="1" applyFont="1" applyFill="1" applyBorder="1" applyAlignment="1">
      <alignment vertical="top" wrapText="1"/>
    </xf>
    <xf numFmtId="166" fontId="2" fillId="6" borderId="7" xfId="0" applyNumberFormat="1" applyFont="1" applyFill="1" applyBorder="1" applyAlignment="1">
      <alignment vertical="top" wrapText="1"/>
    </xf>
    <xf numFmtId="0" fontId="1" fillId="6" borderId="7" xfId="0" applyFont="1" applyFill="1" applyBorder="1" applyAlignment="1">
      <alignment vertical="top" wrapText="1"/>
    </xf>
    <xf numFmtId="0" fontId="1" fillId="6" borderId="7" xfId="0" quotePrefix="1" applyFont="1" applyFill="1" applyBorder="1" applyAlignment="1">
      <alignment vertical="top" wrapText="1"/>
    </xf>
    <xf numFmtId="166" fontId="1" fillId="6" borderId="35" xfId="0" applyNumberFormat="1" applyFont="1" applyFill="1" applyBorder="1" applyAlignment="1">
      <alignment vertical="top" wrapText="1"/>
    </xf>
    <xf numFmtId="0" fontId="1" fillId="6" borderId="35" xfId="0" applyFont="1" applyFill="1" applyBorder="1" applyAlignment="1">
      <alignment vertical="top" wrapText="1"/>
    </xf>
    <xf numFmtId="0" fontId="1" fillId="6" borderId="6" xfId="0" applyFont="1" applyFill="1" applyBorder="1" applyAlignment="1">
      <alignment vertical="top" wrapText="1"/>
    </xf>
    <xf numFmtId="166" fontId="2" fillId="6" borderId="8" xfId="0" applyNumberFormat="1" applyFont="1" applyFill="1" applyBorder="1" applyAlignment="1">
      <alignment vertical="top" wrapText="1"/>
    </xf>
    <xf numFmtId="166" fontId="2" fillId="0" borderId="36" xfId="0" applyNumberFormat="1" applyFont="1" applyBorder="1" applyAlignment="1">
      <alignment vertical="top" wrapText="1"/>
    </xf>
    <xf numFmtId="0" fontId="38" fillId="6" borderId="7" xfId="0" applyFont="1" applyFill="1" applyBorder="1" applyAlignment="1">
      <alignment vertical="top"/>
    </xf>
    <xf numFmtId="0" fontId="2" fillId="19" borderId="3" xfId="0" applyFont="1" applyFill="1" applyBorder="1" applyAlignment="1">
      <alignment vertical="top" wrapText="1"/>
    </xf>
    <xf numFmtId="0" fontId="2" fillId="19" borderId="4" xfId="0" applyFont="1" applyFill="1" applyBorder="1" applyAlignment="1">
      <alignment vertical="top" wrapText="1"/>
    </xf>
    <xf numFmtId="0" fontId="2" fillId="19" borderId="64" xfId="0" applyFont="1" applyFill="1" applyBorder="1" applyAlignment="1">
      <alignment vertical="top" wrapText="1"/>
    </xf>
    <xf numFmtId="164" fontId="1" fillId="19" borderId="4" xfId="2" applyNumberFormat="1" applyFont="1" applyFill="1" applyBorder="1" applyAlignment="1">
      <alignment vertical="top"/>
    </xf>
    <xf numFmtId="166" fontId="1" fillId="19" borderId="4" xfId="0" applyNumberFormat="1" applyFont="1" applyFill="1" applyBorder="1" applyAlignment="1">
      <alignment vertical="top" wrapText="1"/>
    </xf>
    <xf numFmtId="164" fontId="1" fillId="19" borderId="4" xfId="0" applyNumberFormat="1" applyFont="1" applyFill="1" applyBorder="1" applyAlignment="1">
      <alignment vertical="top" wrapText="1"/>
    </xf>
    <xf numFmtId="164" fontId="1" fillId="19" borderId="4" xfId="2" applyNumberFormat="1" applyFont="1" applyFill="1" applyBorder="1" applyAlignment="1">
      <alignment vertical="top" wrapText="1"/>
    </xf>
    <xf numFmtId="166" fontId="2" fillId="19" borderId="22" xfId="0" applyNumberFormat="1" applyFont="1" applyFill="1" applyBorder="1" applyAlignment="1">
      <alignment vertical="top" wrapText="1"/>
    </xf>
    <xf numFmtId="1" fontId="1" fillId="19" borderId="22" xfId="0" applyNumberFormat="1" applyFont="1" applyFill="1" applyBorder="1" applyAlignment="1">
      <alignment vertical="top" wrapText="1"/>
    </xf>
    <xf numFmtId="1" fontId="1" fillId="19" borderId="3" xfId="0" applyNumberFormat="1" applyFont="1" applyFill="1" applyBorder="1" applyAlignment="1">
      <alignment vertical="top" wrapText="1"/>
    </xf>
    <xf numFmtId="0" fontId="1" fillId="19" borderId="4" xfId="0" applyFont="1" applyFill="1" applyBorder="1" applyAlignment="1">
      <alignment vertical="top" wrapText="1"/>
    </xf>
    <xf numFmtId="0" fontId="38" fillId="19" borderId="4" xfId="0" applyFont="1" applyFill="1" applyBorder="1" applyAlignment="1">
      <alignment vertical="top"/>
    </xf>
    <xf numFmtId="0" fontId="2" fillId="6" borderId="3" xfId="0" applyFont="1" applyFill="1" applyBorder="1" applyAlignment="1">
      <alignment vertical="top" wrapText="1"/>
    </xf>
    <xf numFmtId="0" fontId="2" fillId="6" borderId="4" xfId="0" applyFont="1" applyFill="1" applyBorder="1" applyAlignment="1">
      <alignment vertical="top" wrapText="1"/>
    </xf>
    <xf numFmtId="0" fontId="2" fillId="6" borderId="64" xfId="0" applyFont="1" applyFill="1" applyBorder="1" applyAlignment="1">
      <alignment vertical="top" wrapText="1"/>
    </xf>
    <xf numFmtId="164" fontId="1" fillId="6" borderId="4" xfId="2" applyNumberFormat="1" applyFont="1" applyFill="1" applyBorder="1" applyAlignment="1">
      <alignment vertical="top"/>
    </xf>
    <xf numFmtId="166" fontId="1" fillId="6" borderId="4" xfId="0" applyNumberFormat="1" applyFont="1" applyFill="1" applyBorder="1" applyAlignment="1">
      <alignment vertical="top" wrapText="1"/>
    </xf>
    <xf numFmtId="166" fontId="2" fillId="6" borderId="38" xfId="0" applyNumberFormat="1" applyFont="1" applyFill="1" applyBorder="1" applyAlignment="1">
      <alignment vertical="top" wrapText="1"/>
    </xf>
    <xf numFmtId="166" fontId="2" fillId="6" borderId="4" xfId="0" applyNumberFormat="1" applyFont="1" applyFill="1" applyBorder="1" applyAlignment="1">
      <alignment vertical="top" wrapText="1"/>
    </xf>
    <xf numFmtId="164" fontId="1" fillId="6" borderId="4" xfId="0" applyNumberFormat="1" applyFont="1" applyFill="1" applyBorder="1" applyAlignment="1">
      <alignment vertical="top" wrapText="1"/>
    </xf>
    <xf numFmtId="164" fontId="1" fillId="6" borderId="4" xfId="2" applyNumberFormat="1" applyFont="1" applyFill="1" applyBorder="1" applyAlignment="1">
      <alignment vertical="top" wrapText="1"/>
    </xf>
    <xf numFmtId="166" fontId="2" fillId="6" borderId="22" xfId="0" applyNumberFormat="1" applyFont="1" applyFill="1" applyBorder="1" applyAlignment="1">
      <alignment vertical="top" wrapText="1"/>
    </xf>
    <xf numFmtId="1" fontId="1" fillId="6" borderId="22" xfId="0" applyNumberFormat="1" applyFont="1" applyFill="1" applyBorder="1" applyAlignment="1">
      <alignment vertical="top" wrapText="1"/>
    </xf>
    <xf numFmtId="1" fontId="1" fillId="6" borderId="3" xfId="0" applyNumberFormat="1" applyFont="1" applyFill="1" applyBorder="1" applyAlignment="1">
      <alignment vertical="top" wrapText="1"/>
    </xf>
    <xf numFmtId="166" fontId="2" fillId="0" borderId="38" xfId="0" applyNumberFormat="1" applyFont="1" applyBorder="1" applyAlignment="1">
      <alignment vertical="top" wrapText="1"/>
    </xf>
    <xf numFmtId="0" fontId="1" fillId="6" borderId="4" xfId="0" applyFont="1" applyFill="1" applyBorder="1" applyAlignment="1">
      <alignment vertical="top" wrapText="1"/>
    </xf>
    <xf numFmtId="0" fontId="38" fillId="6" borderId="4" xfId="0" applyFont="1" applyFill="1" applyBorder="1" applyAlignment="1">
      <alignment vertical="top"/>
    </xf>
    <xf numFmtId="0" fontId="2" fillId="0" borderId="6" xfId="0" applyFont="1" applyBorder="1" applyAlignment="1">
      <alignment vertical="top" wrapText="1"/>
    </xf>
    <xf numFmtId="0" fontId="2" fillId="0" borderId="63" xfId="0" applyFont="1" applyBorder="1" applyAlignment="1">
      <alignment vertical="top" wrapText="1"/>
    </xf>
    <xf numFmtId="0" fontId="1" fillId="0" borderId="7" xfId="0" applyFont="1" applyBorder="1" applyAlignment="1">
      <alignment vertical="top"/>
    </xf>
    <xf numFmtId="166" fontId="2" fillId="0" borderId="7" xfId="0" applyNumberFormat="1" applyFont="1" applyBorder="1" applyAlignment="1">
      <alignment vertical="top" wrapText="1"/>
    </xf>
    <xf numFmtId="0" fontId="1" fillId="0" borderId="7" xfId="0" quotePrefix="1" applyFont="1" applyBorder="1" applyAlignment="1">
      <alignment vertical="top" wrapText="1"/>
    </xf>
    <xf numFmtId="166" fontId="2" fillId="0" borderId="35" xfId="0" applyNumberFormat="1" applyFont="1" applyBorder="1" applyAlignment="1">
      <alignment vertical="top" wrapText="1"/>
    </xf>
    <xf numFmtId="0" fontId="1" fillId="0" borderId="35" xfId="0" applyFont="1" applyBorder="1" applyAlignment="1">
      <alignment vertical="top" wrapText="1"/>
    </xf>
    <xf numFmtId="166" fontId="2" fillId="0" borderId="8" xfId="0" applyNumberFormat="1" applyFont="1" applyBorder="1" applyAlignment="1">
      <alignment vertical="top" wrapText="1"/>
    </xf>
    <xf numFmtId="0" fontId="1" fillId="6" borderId="4" xfId="0" applyFont="1" applyFill="1" applyBorder="1" applyAlignment="1">
      <alignment vertical="top"/>
    </xf>
    <xf numFmtId="0" fontId="1" fillId="6" borderId="4" xfId="0" quotePrefix="1" applyFont="1" applyFill="1" applyBorder="1" applyAlignment="1">
      <alignment vertical="top" wrapText="1"/>
    </xf>
    <xf numFmtId="0" fontId="1" fillId="6" borderId="22" xfId="0" applyFont="1" applyFill="1" applyBorder="1" applyAlignment="1">
      <alignment vertical="top" wrapText="1"/>
    </xf>
    <xf numFmtId="0" fontId="1" fillId="6" borderId="3" xfId="0" applyFont="1" applyFill="1" applyBorder="1" applyAlignment="1">
      <alignment vertical="top" wrapText="1"/>
    </xf>
    <xf numFmtId="0" fontId="38" fillId="0" borderId="45" xfId="0" applyFont="1" applyBorder="1" applyAlignment="1">
      <alignment vertical="top"/>
    </xf>
    <xf numFmtId="1" fontId="38" fillId="12" borderId="0" xfId="0" applyNumberFormat="1" applyFont="1" applyFill="1" applyAlignment="1">
      <alignment vertical="top" wrapText="1"/>
    </xf>
    <xf numFmtId="1" fontId="38" fillId="12" borderId="0" xfId="0" applyNumberFormat="1" applyFont="1" applyFill="1" applyAlignment="1">
      <alignment vertical="top"/>
    </xf>
    <xf numFmtId="1" fontId="38" fillId="12" borderId="28" xfId="0" applyNumberFormat="1" applyFont="1" applyFill="1" applyBorder="1" applyAlignment="1">
      <alignment vertical="top"/>
    </xf>
    <xf numFmtId="164" fontId="38" fillId="12" borderId="21" xfId="2" applyNumberFormat="1" applyFont="1" applyFill="1" applyBorder="1" applyAlignment="1">
      <alignment vertical="top" wrapText="1"/>
    </xf>
    <xf numFmtId="164" fontId="38" fillId="12" borderId="21" xfId="2" applyNumberFormat="1" applyFont="1" applyFill="1" applyBorder="1" applyAlignment="1">
      <alignment vertical="top"/>
    </xf>
    <xf numFmtId="164" fontId="38" fillId="12" borderId="29" xfId="2" applyNumberFormat="1" applyFont="1" applyFill="1" applyBorder="1" applyAlignment="1">
      <alignment vertical="top"/>
    </xf>
    <xf numFmtId="166" fontId="38" fillId="12" borderId="0" xfId="0" applyNumberFormat="1" applyFont="1" applyFill="1" applyAlignment="1">
      <alignment vertical="top" wrapText="1"/>
    </xf>
    <xf numFmtId="166" fontId="38" fillId="12" borderId="0" xfId="0" applyNumberFormat="1" applyFont="1" applyFill="1" applyAlignment="1">
      <alignment vertical="top"/>
    </xf>
    <xf numFmtId="166" fontId="38" fillId="12" borderId="28" xfId="0" applyNumberFormat="1" applyFont="1" applyFill="1" applyBorder="1" applyAlignment="1">
      <alignment vertical="top"/>
    </xf>
    <xf numFmtId="166" fontId="38" fillId="0" borderId="0" xfId="0" applyNumberFormat="1" applyFont="1" applyAlignment="1">
      <alignment vertical="top"/>
    </xf>
    <xf numFmtId="166" fontId="38" fillId="0" borderId="28" xfId="0" applyNumberFormat="1" applyFont="1" applyBorder="1" applyAlignment="1">
      <alignment vertical="top"/>
    </xf>
    <xf numFmtId="166" fontId="38" fillId="0" borderId="0" xfId="0" applyNumberFormat="1" applyFont="1" applyAlignment="1">
      <alignment vertical="top" wrapText="1"/>
    </xf>
    <xf numFmtId="166" fontId="38" fillId="0" borderId="21" xfId="0" applyNumberFormat="1" applyFont="1" applyBorder="1" applyAlignment="1">
      <alignment vertical="top" wrapText="1"/>
    </xf>
    <xf numFmtId="166" fontId="38" fillId="0" borderId="21" xfId="0" applyNumberFormat="1" applyFont="1" applyBorder="1" applyAlignment="1">
      <alignment vertical="top"/>
    </xf>
    <xf numFmtId="166" fontId="38" fillId="0" borderId="29" xfId="0" applyNumberFormat="1" applyFont="1" applyBorder="1" applyAlignment="1">
      <alignment vertical="top"/>
    </xf>
    <xf numFmtId="166" fontId="38" fillId="12" borderId="21" xfId="0" applyNumberFormat="1" applyFont="1" applyFill="1" applyBorder="1" applyAlignment="1">
      <alignment vertical="top" wrapText="1"/>
    </xf>
    <xf numFmtId="166" fontId="38" fillId="12" borderId="21" xfId="0" applyNumberFormat="1" applyFont="1" applyFill="1" applyBorder="1" applyAlignment="1">
      <alignment vertical="top"/>
    </xf>
    <xf numFmtId="166" fontId="38" fillId="12" borderId="29" xfId="0" applyNumberFormat="1" applyFont="1" applyFill="1" applyBorder="1" applyAlignment="1">
      <alignment vertical="top"/>
    </xf>
    <xf numFmtId="0" fontId="38" fillId="0" borderId="0" xfId="0" applyFont="1" applyAlignment="1">
      <alignment vertical="top" wrapText="1"/>
    </xf>
    <xf numFmtId="0" fontId="38" fillId="0" borderId="16" xfId="0" applyFont="1" applyBorder="1" applyAlignment="1">
      <alignment vertical="top" wrapText="1"/>
    </xf>
    <xf numFmtId="0" fontId="38" fillId="0" borderId="11" xfId="0" applyFont="1" applyBorder="1" applyAlignment="1">
      <alignment vertical="top" wrapText="1"/>
    </xf>
    <xf numFmtId="0" fontId="38" fillId="0" borderId="2" xfId="0" applyFont="1" applyBorder="1" applyAlignment="1">
      <alignment vertical="top" wrapText="1"/>
    </xf>
    <xf numFmtId="0" fontId="2" fillId="5" borderId="17" xfId="0" applyFont="1" applyFill="1" applyBorder="1" applyAlignment="1">
      <alignment vertical="top"/>
    </xf>
    <xf numFmtId="0" fontId="38" fillId="5" borderId="18" xfId="0" applyFont="1" applyFill="1" applyBorder="1" applyAlignment="1">
      <alignment vertical="top" wrapText="1"/>
    </xf>
    <xf numFmtId="0" fontId="38" fillId="5" borderId="27" xfId="0" applyFont="1" applyFill="1" applyBorder="1" applyAlignment="1">
      <alignment vertical="top" wrapText="1"/>
    </xf>
    <xf numFmtId="164" fontId="38" fillId="5" borderId="18" xfId="2" applyNumberFormat="1" applyFont="1" applyFill="1" applyBorder="1" applyAlignment="1">
      <alignment vertical="top" wrapText="1"/>
    </xf>
    <xf numFmtId="164" fontId="38" fillId="5" borderId="18" xfId="2" applyNumberFormat="1" applyFont="1" applyFill="1" applyBorder="1" applyAlignment="1">
      <alignment vertical="top"/>
    </xf>
    <xf numFmtId="164" fontId="38" fillId="5" borderId="27" xfId="2" applyNumberFormat="1" applyFont="1" applyFill="1" applyBorder="1" applyAlignment="1">
      <alignment vertical="top"/>
    </xf>
    <xf numFmtId="166" fontId="38" fillId="5" borderId="18" xfId="0" applyNumberFormat="1" applyFont="1" applyFill="1" applyBorder="1" applyAlignment="1">
      <alignment vertical="top" wrapText="1"/>
    </xf>
    <xf numFmtId="166" fontId="38" fillId="5" borderId="18" xfId="0" applyNumberFormat="1" applyFont="1" applyFill="1" applyBorder="1" applyAlignment="1">
      <alignment vertical="top"/>
    </xf>
    <xf numFmtId="166" fontId="38" fillId="5" borderId="27" xfId="0" applyNumberFormat="1" applyFont="1" applyFill="1" applyBorder="1" applyAlignment="1">
      <alignment vertical="top"/>
    </xf>
    <xf numFmtId="0" fontId="2" fillId="5" borderId="17" xfId="0" applyFont="1" applyFill="1" applyBorder="1" applyAlignment="1">
      <alignment vertical="top" wrapText="1"/>
    </xf>
    <xf numFmtId="0" fontId="38" fillId="5" borderId="18" xfId="0" applyFont="1" applyFill="1" applyBorder="1" applyAlignment="1">
      <alignment vertical="top"/>
    </xf>
    <xf numFmtId="0" fontId="38" fillId="5" borderId="27" xfId="0" applyFont="1" applyFill="1" applyBorder="1" applyAlignment="1">
      <alignment vertical="top"/>
    </xf>
    <xf numFmtId="0" fontId="38" fillId="12" borderId="19" xfId="0" applyFont="1" applyFill="1" applyBorder="1" applyAlignment="1">
      <alignment vertical="top" wrapText="1"/>
    </xf>
    <xf numFmtId="0" fontId="2" fillId="12" borderId="19" xfId="0" applyFont="1" applyFill="1" applyBorder="1" applyAlignment="1">
      <alignment vertical="top"/>
    </xf>
    <xf numFmtId="0" fontId="2" fillId="12" borderId="20" xfId="0" applyFont="1" applyFill="1" applyBorder="1" applyAlignment="1">
      <alignment vertical="top"/>
    </xf>
    <xf numFmtId="0" fontId="2" fillId="12" borderId="20" xfId="0" applyFont="1" applyFill="1" applyBorder="1" applyAlignment="1">
      <alignment vertical="top" wrapText="1"/>
    </xf>
    <xf numFmtId="0" fontId="83" fillId="0" borderId="43" xfId="0" applyFont="1" applyBorder="1" applyAlignment="1">
      <alignment vertical="top" wrapText="1"/>
    </xf>
    <xf numFmtId="0" fontId="83" fillId="0" borderId="44" xfId="0" applyFont="1" applyBorder="1" applyAlignment="1">
      <alignment vertical="top" wrapText="1"/>
    </xf>
    <xf numFmtId="164" fontId="2" fillId="0" borderId="10" xfId="2" applyNumberFormat="1" applyFont="1" applyFill="1" applyBorder="1"/>
    <xf numFmtId="0" fontId="86" fillId="0" borderId="0" xfId="0" applyFont="1" applyAlignment="1">
      <alignment vertical="top"/>
    </xf>
    <xf numFmtId="0" fontId="87" fillId="0" borderId="0" xfId="0" applyFont="1" applyAlignment="1">
      <alignment vertical="top"/>
    </xf>
    <xf numFmtId="0" fontId="88" fillId="0" borderId="10" xfId="0" applyFont="1" applyBorder="1" applyAlignment="1">
      <alignment wrapText="1"/>
    </xf>
    <xf numFmtId="0" fontId="88" fillId="0" borderId="8" xfId="0" applyFont="1" applyBorder="1" applyAlignment="1">
      <alignment wrapText="1"/>
    </xf>
    <xf numFmtId="0" fontId="21" fillId="0" borderId="3" xfId="0" applyFont="1" applyBorder="1" applyAlignment="1">
      <alignment vertical="top" wrapText="1"/>
    </xf>
    <xf numFmtId="0" fontId="21" fillId="0" borderId="9" xfId="0" applyFont="1" applyBorder="1" applyAlignment="1">
      <alignment vertical="top"/>
    </xf>
    <xf numFmtId="0" fontId="21" fillId="0" borderId="9" xfId="0" applyFont="1" applyBorder="1" applyAlignment="1">
      <alignment vertical="top" wrapText="1"/>
    </xf>
    <xf numFmtId="0" fontId="21" fillId="0" borderId="6" xfId="0" applyFont="1" applyBorder="1" applyAlignment="1">
      <alignment vertical="top" wrapText="1"/>
    </xf>
    <xf numFmtId="0" fontId="21" fillId="0" borderId="4" xfId="0" applyFont="1" applyBorder="1" applyAlignment="1">
      <alignment vertical="top" wrapText="1"/>
    </xf>
    <xf numFmtId="0" fontId="21" fillId="0" borderId="7" xfId="0" applyFont="1" applyBorder="1" applyAlignment="1">
      <alignment vertical="top" wrapText="1"/>
    </xf>
    <xf numFmtId="0" fontId="21" fillId="0" borderId="12" xfId="0" applyFont="1" applyBorder="1" applyAlignment="1">
      <alignment vertical="top"/>
    </xf>
    <xf numFmtId="0" fontId="21" fillId="0" borderId="13" xfId="0" applyFont="1" applyBorder="1" applyAlignment="1">
      <alignment vertical="top"/>
    </xf>
    <xf numFmtId="0" fontId="21" fillId="0" borderId="14" xfId="0" applyFont="1" applyBorder="1" applyAlignment="1">
      <alignment vertical="top"/>
    </xf>
    <xf numFmtId="0" fontId="18" fillId="5" borderId="1" xfId="0" applyFont="1" applyFill="1" applyBorder="1" applyAlignment="1">
      <alignment horizontal="center" vertical="top"/>
    </xf>
    <xf numFmtId="165" fontId="0" fillId="5" borderId="0" xfId="0" applyNumberFormat="1" applyFill="1"/>
    <xf numFmtId="1" fontId="7" fillId="0" borderId="0" xfId="0" applyNumberFormat="1" applyFont="1"/>
    <xf numFmtId="0" fontId="6" fillId="0" borderId="0" xfId="1" applyAlignment="1">
      <alignment vertical="top" wrapText="1"/>
    </xf>
    <xf numFmtId="0" fontId="21" fillId="0" borderId="4" xfId="0" applyFont="1" applyBorder="1" applyAlignment="1">
      <alignment vertical="top"/>
    </xf>
    <xf numFmtId="9" fontId="21" fillId="0" borderId="0" xfId="0" applyNumberFormat="1" applyFont="1" applyAlignment="1">
      <alignment vertical="top" wrapText="1"/>
    </xf>
    <xf numFmtId="9" fontId="38" fillId="0" borderId="0" xfId="0" applyNumberFormat="1" applyFont="1" applyAlignment="1">
      <alignment vertical="top"/>
    </xf>
    <xf numFmtId="2" fontId="1" fillId="0" borderId="0" xfId="2" applyNumberFormat="1" applyFont="1" applyAlignment="1">
      <alignment vertical="top" wrapText="1"/>
    </xf>
    <xf numFmtId="168" fontId="1" fillId="0" borderId="0" xfId="2" applyNumberFormat="1" applyFont="1" applyAlignment="1">
      <alignment vertical="top" wrapText="1"/>
    </xf>
    <xf numFmtId="1" fontId="1" fillId="0" borderId="0" xfId="2" applyNumberFormat="1" applyFont="1" applyAlignment="1">
      <alignment vertical="top" wrapText="1"/>
    </xf>
    <xf numFmtId="2" fontId="1" fillId="0" borderId="0" xfId="2" applyNumberFormat="1" applyFont="1" applyBorder="1" applyAlignment="1">
      <alignment vertical="top" wrapText="1"/>
    </xf>
    <xf numFmtId="9" fontId="1" fillId="0" borderId="10" xfId="2" applyFont="1" applyBorder="1" applyAlignment="1">
      <alignment vertical="top" wrapText="1"/>
    </xf>
    <xf numFmtId="1" fontId="1" fillId="0" borderId="0" xfId="2" applyNumberFormat="1" applyFont="1" applyBorder="1" applyAlignment="1">
      <alignment vertical="top" wrapText="1"/>
    </xf>
    <xf numFmtId="2" fontId="38" fillId="0" borderId="0" xfId="0" applyNumberFormat="1" applyFont="1" applyAlignment="1">
      <alignment vertical="top"/>
    </xf>
    <xf numFmtId="168" fontId="38" fillId="0" borderId="0" xfId="0" applyNumberFormat="1" applyFont="1" applyAlignment="1">
      <alignment vertical="top"/>
    </xf>
    <xf numFmtId="2" fontId="38" fillId="0" borderId="0" xfId="0" applyNumberFormat="1" applyFont="1" applyAlignment="1">
      <alignment vertical="top" wrapText="1"/>
    </xf>
    <xf numFmtId="168" fontId="38" fillId="0" borderId="0" xfId="0" applyNumberFormat="1" applyFont="1" applyAlignment="1">
      <alignment vertical="top" wrapText="1"/>
    </xf>
    <xf numFmtId="1" fontId="38" fillId="0" borderId="0" xfId="0" applyNumberFormat="1" applyFont="1" applyAlignment="1">
      <alignment vertical="top" wrapText="1"/>
    </xf>
    <xf numFmtId="44" fontId="38" fillId="0" borderId="0" xfId="0" applyNumberFormat="1" applyFont="1" applyAlignment="1">
      <alignment vertical="top"/>
    </xf>
    <xf numFmtId="166" fontId="17" fillId="0" borderId="28" xfId="0" applyNumberFormat="1" applyFont="1" applyBorder="1" applyAlignment="1">
      <alignment vertical="top" wrapText="1"/>
    </xf>
    <xf numFmtId="166" fontId="17" fillId="0" borderId="0" xfId="0" applyNumberFormat="1" applyFont="1" applyAlignment="1">
      <alignment vertical="top" wrapText="1"/>
    </xf>
    <xf numFmtId="9" fontId="1" fillId="0" borderId="28" xfId="2" applyFont="1" applyBorder="1" applyAlignment="1">
      <alignment vertical="top" wrapText="1"/>
    </xf>
    <xf numFmtId="166" fontId="89" fillId="0" borderId="28" xfId="0" applyNumberFormat="1" applyFont="1" applyBorder="1" applyAlignment="1">
      <alignment vertical="top" wrapText="1"/>
    </xf>
    <xf numFmtId="0" fontId="89" fillId="0" borderId="19" xfId="0" applyFont="1" applyBorder="1" applyAlignment="1">
      <alignment vertical="top" wrapText="1"/>
    </xf>
    <xf numFmtId="0" fontId="89" fillId="0" borderId="0" xfId="0" applyFont="1" applyAlignment="1">
      <alignment vertical="top" wrapText="1"/>
    </xf>
    <xf numFmtId="166" fontId="89" fillId="0" borderId="0" xfId="0" applyNumberFormat="1" applyFont="1" applyAlignment="1">
      <alignment vertical="top" wrapText="1"/>
    </xf>
    <xf numFmtId="166" fontId="77" fillId="0" borderId="10" xfId="0" applyNumberFormat="1" applyFont="1" applyBorder="1" applyAlignment="1">
      <alignment vertical="top" wrapText="1"/>
    </xf>
    <xf numFmtId="166" fontId="77" fillId="0" borderId="28" xfId="0" applyNumberFormat="1" applyFont="1" applyBorder="1" applyAlignment="1">
      <alignment vertical="top" wrapText="1"/>
    </xf>
    <xf numFmtId="166" fontId="17" fillId="0" borderId="10" xfId="0" applyNumberFormat="1" applyFont="1" applyBorder="1" applyAlignment="1">
      <alignment vertical="top" wrapText="1"/>
    </xf>
    <xf numFmtId="166" fontId="44" fillId="0" borderId="28" xfId="0" applyNumberFormat="1" applyFont="1" applyBorder="1" applyAlignment="1">
      <alignment vertical="top" wrapText="1"/>
    </xf>
    <xf numFmtId="164" fontId="1" fillId="5" borderId="3" xfId="0" applyNumberFormat="1" applyFont="1" applyFill="1" applyBorder="1" applyAlignment="1">
      <alignment vertical="top" wrapText="1"/>
    </xf>
    <xf numFmtId="164" fontId="1" fillId="5" borderId="4" xfId="0" applyNumberFormat="1" applyFont="1" applyFill="1" applyBorder="1" applyAlignment="1">
      <alignment vertical="top" wrapText="1"/>
    </xf>
    <xf numFmtId="164" fontId="1" fillId="5" borderId="5" xfId="0" applyNumberFormat="1" applyFont="1" applyFill="1" applyBorder="1" applyAlignment="1">
      <alignment vertical="top" wrapText="1"/>
    </xf>
    <xf numFmtId="164" fontId="1" fillId="5" borderId="9" xfId="0" applyNumberFormat="1" applyFont="1" applyFill="1" applyBorder="1" applyAlignment="1">
      <alignment vertical="top" wrapText="1"/>
    </xf>
    <xf numFmtId="164" fontId="1" fillId="5" borderId="0" xfId="0" applyNumberFormat="1" applyFont="1" applyFill="1" applyAlignment="1">
      <alignment vertical="top" wrapText="1"/>
    </xf>
    <xf numFmtId="164" fontId="1" fillId="5" borderId="10" xfId="0" applyNumberFormat="1" applyFont="1" applyFill="1" applyBorder="1" applyAlignment="1">
      <alignment vertical="top" wrapText="1"/>
    </xf>
    <xf numFmtId="166" fontId="19" fillId="4" borderId="0" xfId="0" applyNumberFormat="1" applyFont="1" applyFill="1" applyAlignment="1">
      <alignment horizontal="left" vertical="top" readingOrder="1"/>
    </xf>
    <xf numFmtId="0" fontId="41" fillId="0" borderId="9" xfId="0" applyFont="1" applyBorder="1" applyAlignment="1">
      <alignment vertical="top" wrapText="1"/>
    </xf>
    <xf numFmtId="166" fontId="41" fillId="0" borderId="28" xfId="0" applyNumberFormat="1" applyFont="1" applyBorder="1" applyAlignment="1">
      <alignment vertical="top" wrapText="1"/>
    </xf>
    <xf numFmtId="166" fontId="85" fillId="12" borderId="0" xfId="0" applyNumberFormat="1" applyFont="1" applyFill="1" applyAlignment="1">
      <alignment vertical="top"/>
    </xf>
    <xf numFmtId="166" fontId="2" fillId="12" borderId="0" xfId="0" applyNumberFormat="1" applyFont="1" applyFill="1" applyAlignment="1">
      <alignment vertical="top" wrapText="1"/>
    </xf>
    <xf numFmtId="166" fontId="2" fillId="12" borderId="0" xfId="0" applyNumberFormat="1" applyFont="1" applyFill="1" applyAlignment="1">
      <alignment vertical="top"/>
    </xf>
    <xf numFmtId="166" fontId="85" fillId="12" borderId="28" xfId="0" applyNumberFormat="1" applyFont="1" applyFill="1" applyBorder="1" applyAlignment="1">
      <alignment vertical="top"/>
    </xf>
    <xf numFmtId="166" fontId="2" fillId="12" borderId="21" xfId="0" applyNumberFormat="1" applyFont="1" applyFill="1" applyBorder="1" applyAlignment="1">
      <alignment vertical="top" wrapText="1"/>
    </xf>
    <xf numFmtId="166" fontId="85" fillId="12" borderId="21" xfId="0" applyNumberFormat="1" applyFont="1" applyFill="1" applyBorder="1" applyAlignment="1">
      <alignment vertical="top"/>
    </xf>
    <xf numFmtId="166" fontId="2" fillId="12" borderId="21" xfId="0" applyNumberFormat="1" applyFont="1" applyFill="1" applyBorder="1" applyAlignment="1">
      <alignment vertical="top"/>
    </xf>
    <xf numFmtId="166" fontId="85" fillId="12" borderId="29" xfId="0" applyNumberFormat="1" applyFont="1" applyFill="1" applyBorder="1" applyAlignment="1">
      <alignment vertical="top"/>
    </xf>
    <xf numFmtId="166" fontId="2" fillId="0" borderId="0" xfId="0" applyNumberFormat="1" applyFont="1" applyAlignment="1">
      <alignment vertical="top"/>
    </xf>
    <xf numFmtId="0" fontId="1" fillId="0" borderId="5" xfId="0" applyFont="1" applyBorder="1" applyAlignment="1">
      <alignment vertical="top" wrapText="1"/>
    </xf>
    <xf numFmtId="0" fontId="1" fillId="5" borderId="9" xfId="0" applyFont="1" applyFill="1" applyBorder="1"/>
    <xf numFmtId="164" fontId="1" fillId="5" borderId="10" xfId="2" applyNumberFormat="1" applyFont="1" applyFill="1" applyBorder="1"/>
    <xf numFmtId="164" fontId="1" fillId="0" borderId="10" xfId="2" applyNumberFormat="1" applyFont="1" applyFill="1" applyBorder="1"/>
    <xf numFmtId="0" fontId="80" fillId="7" borderId="9" xfId="0" applyFont="1" applyFill="1" applyBorder="1"/>
    <xf numFmtId="0" fontId="1" fillId="7" borderId="9" xfId="0" applyFont="1" applyFill="1" applyBorder="1"/>
    <xf numFmtId="164" fontId="1" fillId="7" borderId="10" xfId="2" applyNumberFormat="1" applyFont="1" applyFill="1" applyBorder="1"/>
    <xf numFmtId="0" fontId="2" fillId="0" borderId="20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 wrapText="1"/>
    </xf>
    <xf numFmtId="0" fontId="2" fillId="0" borderId="21" xfId="0" applyFont="1" applyBorder="1" applyAlignment="1">
      <alignment horizontal="left" vertical="top" wrapText="1"/>
    </xf>
    <xf numFmtId="0" fontId="2" fillId="0" borderId="24" xfId="0" applyFont="1" applyBorder="1" applyAlignment="1">
      <alignment horizontal="left" vertical="top" wrapText="1"/>
    </xf>
    <xf numFmtId="0" fontId="2" fillId="3" borderId="17" xfId="0" applyFont="1" applyFill="1" applyBorder="1" applyAlignment="1">
      <alignment horizontal="left" vertical="top" wrapText="1"/>
    </xf>
    <xf numFmtId="0" fontId="2" fillId="3" borderId="18" xfId="0" applyFont="1" applyFill="1" applyBorder="1" applyAlignment="1">
      <alignment horizontal="left" vertical="top" wrapText="1"/>
    </xf>
    <xf numFmtId="0" fontId="2" fillId="3" borderId="27" xfId="0" applyFont="1" applyFill="1" applyBorder="1" applyAlignment="1">
      <alignment horizontal="left" vertical="top" wrapText="1"/>
    </xf>
    <xf numFmtId="0" fontId="2" fillId="3" borderId="18" xfId="0" applyFont="1" applyFill="1" applyBorder="1" applyAlignment="1">
      <alignment horizontal="left" vertical="top"/>
    </xf>
    <xf numFmtId="0" fontId="2" fillId="3" borderId="27" xfId="0" applyFont="1" applyFill="1" applyBorder="1" applyAlignment="1">
      <alignment horizontal="left" vertical="top"/>
    </xf>
    <xf numFmtId="0" fontId="2" fillId="3" borderId="45" xfId="0" applyFont="1" applyFill="1" applyBorder="1" applyAlignment="1">
      <alignment horizontal="left" vertical="top"/>
    </xf>
    <xf numFmtId="0" fontId="2" fillId="3" borderId="43" xfId="0" applyFont="1" applyFill="1" applyBorder="1" applyAlignment="1">
      <alignment horizontal="left" vertical="top"/>
    </xf>
    <xf numFmtId="0" fontId="2" fillId="3" borderId="44" xfId="0" applyFont="1" applyFill="1" applyBorder="1" applyAlignment="1">
      <alignment horizontal="left" vertical="top"/>
    </xf>
    <xf numFmtId="0" fontId="2" fillId="0" borderId="45" xfId="0" applyFont="1" applyBorder="1" applyAlignment="1">
      <alignment horizontal="left" vertical="top"/>
    </xf>
    <xf numFmtId="0" fontId="2" fillId="0" borderId="43" xfId="0" applyFont="1" applyBorder="1" applyAlignment="1">
      <alignment horizontal="left" vertical="top"/>
    </xf>
    <xf numFmtId="0" fontId="2" fillId="0" borderId="47" xfId="0" applyFont="1" applyBorder="1" applyAlignment="1">
      <alignment horizontal="left" vertical="top" wrapText="1"/>
    </xf>
    <xf numFmtId="0" fontId="2" fillId="0" borderId="41" xfId="0" applyFont="1" applyBorder="1" applyAlignment="1">
      <alignment horizontal="left" vertical="top" wrapText="1"/>
    </xf>
    <xf numFmtId="0" fontId="2" fillId="0" borderId="46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 vertical="top"/>
    </xf>
    <xf numFmtId="0" fontId="7" fillId="0" borderId="14" xfId="0" applyFont="1" applyBorder="1" applyAlignment="1">
      <alignment horizontal="center" vertical="top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3" fillId="0" borderId="0" xfId="0" applyFont="1"/>
    <xf numFmtId="0" fontId="0" fillId="0" borderId="0" xfId="0"/>
    <xf numFmtId="0" fontId="14" fillId="0" borderId="0" xfId="0" applyFont="1" applyAlignment="1">
      <alignment wrapText="1"/>
    </xf>
    <xf numFmtId="0" fontId="2" fillId="0" borderId="17" xfId="0" applyFont="1" applyBorder="1" applyAlignment="1">
      <alignment horizontal="left" vertical="top"/>
    </xf>
    <xf numFmtId="0" fontId="2" fillId="0" borderId="18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</cellXfs>
  <cellStyles count="3">
    <cellStyle name="Гиперссылка" xfId="1" builtinId="8"/>
    <cellStyle name="Обычный" xfId="0" builtinId="0"/>
    <cellStyle name="Процентный" xfId="2" builtinId="5"/>
  </cellStyles>
  <dxfs count="0"/>
  <tableStyles count="0" defaultTableStyle="TableStyleMedium2" defaultPivotStyle="PivotStyleLight16"/>
  <colors>
    <mruColors>
      <color rgb="FFFF835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46185</xdr:colOff>
      <xdr:row>64</xdr:row>
      <xdr:rowOff>55419</xdr:rowOff>
    </xdr:from>
    <xdr:to>
      <xdr:col>3</xdr:col>
      <xdr:colOff>554183</xdr:colOff>
      <xdr:row>73</xdr:row>
      <xdr:rowOff>185867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6BB5E51-FF6F-074B-A136-CDB98DA38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85" y="9707419"/>
          <a:ext cx="6557816" cy="2000811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</xdr:colOff>
      <xdr:row>97</xdr:row>
      <xdr:rowOff>152400</xdr:rowOff>
    </xdr:from>
    <xdr:to>
      <xdr:col>2</xdr:col>
      <xdr:colOff>292100</xdr:colOff>
      <xdr:row>107</xdr:row>
      <xdr:rowOff>88901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257A7BF-4DD1-34F1-5361-16B42823F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8483600"/>
          <a:ext cx="5092700" cy="1968500"/>
        </a:xfrm>
        <a:prstGeom prst="rect">
          <a:avLst/>
        </a:prstGeom>
      </xdr:spPr>
    </xdr:pic>
    <xdr:clientData/>
  </xdr:twoCellAnchor>
  <xdr:twoCellAnchor editAs="oneCell">
    <xdr:from>
      <xdr:col>0</xdr:col>
      <xdr:colOff>23091</xdr:colOff>
      <xdr:row>3</xdr:row>
      <xdr:rowOff>184726</xdr:rowOff>
    </xdr:from>
    <xdr:to>
      <xdr:col>3</xdr:col>
      <xdr:colOff>1131454</xdr:colOff>
      <xdr:row>22</xdr:row>
      <xdr:rowOff>51255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FF0442A8-9C62-C8AB-E7A1-A0A4A9F83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91" y="808181"/>
          <a:ext cx="7158181" cy="38150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jira.tcsbank.ru/browse/ECA-2046" TargetMode="External"/><Relationship Id="rId2" Type="http://schemas.openxmlformats.org/officeDocument/2006/relationships/hyperlink" Target="https://jira.tcsbank.ru/browse/ECA-2046" TargetMode="External"/><Relationship Id="rId1" Type="http://schemas.openxmlformats.org/officeDocument/2006/relationships/hyperlink" Target="https://jira.tcsbank.ru/browse/ECA-2046" TargetMode="External"/><Relationship Id="rId4" Type="http://schemas.openxmlformats.org/officeDocument/2006/relationships/hyperlink" Target="https://time.tbank.ru/tinkoff/pl/exj7twew7pb5b8ykrdr3pyr6wc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unidraw.io/app/board/a099d59523c3e8ff1926?allow_guest=true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mpstats.io/tariffs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proteus.tcsbank.ru/superset/dashboard/50759/?native_filters_key=N1EflRdRl3eeD4pGUhCGkab9qHa_Xovcdedg2EUhsrPb6m9J-vOOQNoVLOXMOQ1R" TargetMode="External"/><Relationship Id="rId2" Type="http://schemas.openxmlformats.org/officeDocument/2006/relationships/hyperlink" Target="https://proteus.tcsbank.ru/superset/dashboard/35207/?native_filters_key=aLN1Xx1yD5vdgsrx8uoA0pvrJEUqFxG78QxXMsGytEGq4tZDfgeCUsezc9HMrNwl" TargetMode="External"/><Relationship Id="rId1" Type="http://schemas.openxmlformats.org/officeDocument/2006/relationships/hyperlink" Target="https://proteus.tcsbank.ru/superset/dashboard/35207/?native_filters_key=6UD6_31FByJJBSkeo1OjteN2ZrhDe0UXwiQb27k-OI1_2btiTS-ROCrKRUs0NQi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7BD67-7487-D143-B3F0-EDE481E96927}">
  <dimension ref="A1:BR193"/>
  <sheetViews>
    <sheetView tabSelected="1" workbookViewId="0">
      <pane xSplit="4" ySplit="3" topLeftCell="K53" activePane="bottomRight" state="frozen"/>
      <selection pane="topRight" activeCell="F1" sqref="F1"/>
      <selection pane="bottomLeft" activeCell="A4" sqref="A4"/>
      <selection pane="bottomRight" activeCell="N35" sqref="N35"/>
    </sheetView>
  </sheetViews>
  <sheetFormatPr baseColWidth="10" defaultRowHeight="19" outlineLevelRow="1" outlineLevelCol="1"/>
  <cols>
    <col min="1" max="1" width="60.5" style="87" customWidth="1"/>
    <col min="2" max="2" width="18.33203125" style="1" hidden="1" customWidth="1" outlineLevel="1"/>
    <col min="3" max="3" width="14.33203125" style="1" hidden="1" customWidth="1" outlineLevel="1"/>
    <col min="4" max="4" width="15.33203125" style="1103" customWidth="1" collapsed="1"/>
    <col min="5" max="5" width="14.33203125" style="1" hidden="1" customWidth="1" outlineLevel="1"/>
    <col min="6" max="6" width="16" style="2" customWidth="1" collapsed="1"/>
    <col min="7" max="10" width="19.33203125" style="1" hidden="1" customWidth="1" outlineLevel="1"/>
    <col min="11" max="11" width="21.5" style="295" customWidth="1" collapsed="1"/>
    <col min="12" max="12" width="10.1640625" style="1" customWidth="1"/>
    <col min="13" max="13" width="17" style="1" customWidth="1"/>
    <col min="14" max="17" width="17" style="1" customWidth="1" outlineLevel="1"/>
    <col min="18" max="18" width="18.1640625" style="295" customWidth="1"/>
    <col min="19" max="19" width="17" style="1" customWidth="1"/>
    <col min="20" max="22" width="17" style="1" hidden="1" customWidth="1" outlineLevel="1"/>
    <col min="23" max="23" width="17.33203125" style="1" hidden="1" customWidth="1" outlineLevel="1"/>
    <col min="24" max="24" width="16.5" style="1" customWidth="1" collapsed="1"/>
    <col min="25" max="25" width="10" style="87" hidden="1" customWidth="1" outlineLevel="1"/>
    <col min="26" max="27" width="10" style="1" hidden="1" customWidth="1" outlineLevel="1"/>
    <col min="28" max="28" width="14.33203125" style="87" customWidth="1" collapsed="1"/>
    <col min="29" max="32" width="14.33203125" style="1" hidden="1" customWidth="1" outlineLevel="1"/>
    <col min="33" max="33" width="14.33203125" style="1" customWidth="1" collapsed="1"/>
    <col min="34" max="34" width="14.33203125" style="28" customWidth="1"/>
    <col min="35" max="38" width="14.33203125" style="1" hidden="1" customWidth="1" outlineLevel="1"/>
    <col min="39" max="39" width="14.33203125" style="24" customWidth="1" collapsed="1"/>
    <col min="40" max="40" width="17" style="295" customWidth="1"/>
    <col min="41" max="45" width="11.83203125" style="1" customWidth="1"/>
    <col min="46" max="46" width="13.83203125" style="1" customWidth="1"/>
    <col min="47" max="47" width="16.33203125" style="1" customWidth="1"/>
    <col min="48" max="52" width="17" style="1" customWidth="1"/>
    <col min="53" max="58" width="10.83203125" style="423"/>
    <col min="59" max="70" width="17" style="1" customWidth="1"/>
    <col min="71" max="16384" width="10.83203125" style="423"/>
  </cols>
  <sheetData>
    <row r="1" spans="1:70" s="805" customFormat="1" ht="81" customHeight="1">
      <c r="A1" s="1082"/>
      <c r="B1" s="1"/>
      <c r="C1" s="1"/>
      <c r="D1" s="1100"/>
      <c r="E1" s="1048"/>
      <c r="F1" s="1048" t="s">
        <v>314</v>
      </c>
      <c r="G1" s="1048"/>
      <c r="H1" s="1048"/>
      <c r="I1" s="1048"/>
      <c r="J1" s="1048"/>
      <c r="K1" s="1049"/>
      <c r="L1" s="1081"/>
      <c r="M1" s="1310" t="s">
        <v>315</v>
      </c>
      <c r="N1" s="1310"/>
      <c r="O1" s="1310"/>
      <c r="P1" s="1310"/>
      <c r="Q1" s="1310"/>
      <c r="R1" s="1311"/>
      <c r="S1" s="309" t="s">
        <v>401</v>
      </c>
      <c r="T1" s="676"/>
      <c r="U1" s="310"/>
      <c r="V1" s="310"/>
      <c r="W1" s="310"/>
      <c r="X1" s="963"/>
      <c r="Z1" s="86"/>
      <c r="AA1" s="86"/>
      <c r="AB1" s="1307" t="s">
        <v>637</v>
      </c>
      <c r="AC1" s="1308"/>
      <c r="AD1" s="1308"/>
      <c r="AE1" s="1308"/>
      <c r="AF1" s="1308"/>
      <c r="AG1" s="1308"/>
      <c r="AH1" s="1308"/>
      <c r="AI1" s="1308"/>
      <c r="AJ1" s="1308"/>
      <c r="AK1" s="1308"/>
      <c r="AL1" s="1308"/>
      <c r="AM1" s="1308"/>
      <c r="AN1" s="1309"/>
      <c r="AO1" s="859" t="s">
        <v>316</v>
      </c>
      <c r="AP1" s="860"/>
      <c r="AQ1" s="861"/>
      <c r="AR1" s="861"/>
      <c r="AS1" s="861"/>
      <c r="AT1" s="862"/>
      <c r="AU1" s="863" t="s">
        <v>317</v>
      </c>
      <c r="AV1" s="860"/>
      <c r="AW1" s="861"/>
      <c r="AX1" s="861"/>
      <c r="AY1" s="861"/>
      <c r="AZ1" s="862"/>
    </row>
    <row r="2" spans="1:70" s="454" customFormat="1" ht="21" customHeight="1" thickBot="1">
      <c r="A2" s="91"/>
      <c r="B2" s="88"/>
      <c r="C2" s="88"/>
      <c r="D2" s="1101"/>
      <c r="E2" s="88"/>
      <c r="F2" s="865"/>
      <c r="G2" s="88"/>
      <c r="H2" s="866"/>
      <c r="I2" s="866"/>
      <c r="J2" s="866"/>
      <c r="K2" s="867"/>
      <c r="L2" s="866"/>
      <c r="M2" s="865"/>
      <c r="N2" s="88"/>
      <c r="O2" s="866"/>
      <c r="P2" s="866"/>
      <c r="Q2" s="866"/>
      <c r="R2" s="867"/>
      <c r="S2" s="865"/>
      <c r="T2" s="88"/>
      <c r="U2" s="866"/>
      <c r="V2" s="866"/>
      <c r="W2" s="866"/>
      <c r="X2" s="866"/>
      <c r="Y2" s="1063"/>
      <c r="Z2" s="866"/>
      <c r="AA2" s="866"/>
      <c r="AB2" s="1302" t="s">
        <v>449</v>
      </c>
      <c r="AC2" s="1303"/>
      <c r="AD2" s="1303"/>
      <c r="AE2" s="1303"/>
      <c r="AF2" s="1303"/>
      <c r="AG2" s="1303"/>
      <c r="AH2" s="1304" t="s">
        <v>448</v>
      </c>
      <c r="AI2" s="1305"/>
      <c r="AJ2" s="1305"/>
      <c r="AK2" s="1305"/>
      <c r="AL2" s="1305"/>
      <c r="AM2" s="1306"/>
      <c r="AN2" s="867"/>
      <c r="AO2" s="873"/>
      <c r="AP2" s="88"/>
      <c r="AQ2" s="866"/>
      <c r="AR2" s="866"/>
      <c r="AS2" s="866"/>
      <c r="AT2" s="874"/>
      <c r="AU2" s="873"/>
      <c r="AV2" s="88"/>
      <c r="AW2" s="866"/>
      <c r="AX2" s="866"/>
      <c r="AY2" s="866"/>
      <c r="AZ2" s="874"/>
    </row>
    <row r="3" spans="1:70" s="578" customFormat="1" ht="114" customHeight="1">
      <c r="A3" s="576" t="s">
        <v>39</v>
      </c>
      <c r="B3" s="988" t="s">
        <v>559</v>
      </c>
      <c r="C3" s="988" t="s">
        <v>559</v>
      </c>
      <c r="D3" s="1102" t="s">
        <v>577</v>
      </c>
      <c r="E3" s="1043" t="s">
        <v>578</v>
      </c>
      <c r="F3" s="631" t="s">
        <v>402</v>
      </c>
      <c r="G3" s="347" t="s">
        <v>37</v>
      </c>
      <c r="H3" s="347" t="s">
        <v>214</v>
      </c>
      <c r="I3" s="347" t="s">
        <v>210</v>
      </c>
      <c r="J3" s="347" t="s">
        <v>209</v>
      </c>
      <c r="K3" s="348" t="s">
        <v>420</v>
      </c>
      <c r="L3" s="347" t="s">
        <v>578</v>
      </c>
      <c r="M3" s="631" t="s">
        <v>402</v>
      </c>
      <c r="N3" s="347" t="s">
        <v>301</v>
      </c>
      <c r="O3" s="347" t="s">
        <v>302</v>
      </c>
      <c r="P3" s="347" t="s">
        <v>303</v>
      </c>
      <c r="Q3" s="347" t="s">
        <v>304</v>
      </c>
      <c r="R3" s="348" t="s">
        <v>420</v>
      </c>
      <c r="S3" s="631" t="s">
        <v>402</v>
      </c>
      <c r="T3" s="347" t="s">
        <v>301</v>
      </c>
      <c r="U3" s="347" t="s">
        <v>302</v>
      </c>
      <c r="V3" s="347" t="s">
        <v>303</v>
      </c>
      <c r="W3" s="347" t="s">
        <v>304</v>
      </c>
      <c r="X3" s="347" t="s">
        <v>420</v>
      </c>
      <c r="Y3" s="1064" t="s">
        <v>580</v>
      </c>
      <c r="Z3" s="1043" t="s">
        <v>579</v>
      </c>
      <c r="AA3" s="1043" t="s">
        <v>578</v>
      </c>
      <c r="AB3" s="665" t="s">
        <v>402</v>
      </c>
      <c r="AC3" s="85" t="s">
        <v>301</v>
      </c>
      <c r="AD3" s="85" t="s">
        <v>302</v>
      </c>
      <c r="AE3" s="85" t="s">
        <v>303</v>
      </c>
      <c r="AF3" s="85" t="s">
        <v>304</v>
      </c>
      <c r="AG3" s="85" t="s">
        <v>445</v>
      </c>
      <c r="AH3" s="667" t="s">
        <v>402</v>
      </c>
      <c r="AI3" s="85" t="s">
        <v>301</v>
      </c>
      <c r="AJ3" s="85" t="s">
        <v>302</v>
      </c>
      <c r="AK3" s="85" t="s">
        <v>303</v>
      </c>
      <c r="AL3" s="85" t="s">
        <v>304</v>
      </c>
      <c r="AM3" s="666" t="s">
        <v>446</v>
      </c>
      <c r="AN3" s="686" t="s">
        <v>447</v>
      </c>
      <c r="AO3" s="631" t="s">
        <v>402</v>
      </c>
      <c r="AP3" s="347" t="s">
        <v>301</v>
      </c>
      <c r="AQ3" s="347" t="s">
        <v>302</v>
      </c>
      <c r="AR3" s="347" t="s">
        <v>303</v>
      </c>
      <c r="AS3" s="347" t="s">
        <v>304</v>
      </c>
      <c r="AT3" s="412" t="s">
        <v>34</v>
      </c>
      <c r="AU3" s="411" t="s">
        <v>127</v>
      </c>
      <c r="AV3" s="347" t="s">
        <v>301</v>
      </c>
      <c r="AW3" s="347" t="s">
        <v>302</v>
      </c>
      <c r="AX3" s="347" t="s">
        <v>303</v>
      </c>
      <c r="AY3" s="347" t="s">
        <v>304</v>
      </c>
      <c r="AZ3" s="412" t="s">
        <v>34</v>
      </c>
    </row>
    <row r="4" spans="1:70" ht="20">
      <c r="A4" s="87" t="s">
        <v>45</v>
      </c>
      <c r="B4" s="989"/>
      <c r="C4" s="989"/>
      <c r="E4" s="668"/>
      <c r="F4" s="795">
        <v>1</v>
      </c>
      <c r="G4" s="1">
        <f>'База селлеров'!B63</f>
        <v>79000</v>
      </c>
      <c r="H4" s="1">
        <f>'База селлеров'!C63</f>
        <v>33000</v>
      </c>
      <c r="I4" s="1">
        <f>'База селлеров'!D65</f>
        <v>1820.0000000000002</v>
      </c>
      <c r="J4" s="1">
        <f>'База селлеров'!E65</f>
        <v>3705</v>
      </c>
      <c r="K4" s="297">
        <f>SUM(G4:J4)</f>
        <v>117525</v>
      </c>
      <c r="L4" s="13"/>
      <c r="M4" s="74">
        <f>F4</f>
        <v>1</v>
      </c>
      <c r="N4" s="1">
        <f>G4</f>
        <v>79000</v>
      </c>
      <c r="O4" s="1">
        <f>H4</f>
        <v>33000</v>
      </c>
      <c r="P4" s="1">
        <f>I4</f>
        <v>1820.0000000000002</v>
      </c>
      <c r="Q4" s="1">
        <f>J4</f>
        <v>3705</v>
      </c>
      <c r="R4" s="297">
        <f>SUM(N4:Q4)</f>
        <v>117525</v>
      </c>
      <c r="S4" s="74">
        <f>M4</f>
        <v>1</v>
      </c>
      <c r="T4" s="1">
        <f>N4</f>
        <v>79000</v>
      </c>
      <c r="U4" s="1">
        <f>O4</f>
        <v>33000</v>
      </c>
      <c r="V4" s="1">
        <f>P4</f>
        <v>1820.0000000000002</v>
      </c>
      <c r="W4" s="1">
        <f>Q4</f>
        <v>3705</v>
      </c>
      <c r="X4" s="13">
        <f>SUM(T4:W4)</f>
        <v>117525</v>
      </c>
      <c r="Y4" s="1065"/>
      <c r="Z4" s="669"/>
      <c r="AA4" s="669"/>
      <c r="AC4" s="154">
        <f>T4*T82</f>
        <v>70079.174723972304</v>
      </c>
      <c r="AD4" s="154">
        <f>U4*U82</f>
        <v>27249.295112781954</v>
      </c>
      <c r="AE4" s="154">
        <f>V4*V82</f>
        <v>1564.9857633945626</v>
      </c>
      <c r="AF4" s="154">
        <f>W4*W82</f>
        <v>3185.8638754817875</v>
      </c>
      <c r="AG4" s="279">
        <f>SUM(AC4:AF4)</f>
        <v>102079.31947563062</v>
      </c>
      <c r="AI4" s="154">
        <f>T4-AC4</f>
        <v>8920.8252760276955</v>
      </c>
      <c r="AJ4" s="154">
        <f>U4-AD4</f>
        <v>5750.7048872180458</v>
      </c>
      <c r="AK4" s="154">
        <f>V4-AE4</f>
        <v>255.01423660543765</v>
      </c>
      <c r="AL4" s="154">
        <f>W4-AF4</f>
        <v>519.13612451821245</v>
      </c>
      <c r="AM4" s="687">
        <f>SUM(AI4:AL4)</f>
        <v>15445.680524369391</v>
      </c>
      <c r="AN4" s="301">
        <f>AG4+AM4</f>
        <v>117525.00000000001</v>
      </c>
      <c r="AT4" s="24"/>
      <c r="AU4" s="28"/>
      <c r="AV4" s="1">
        <f>T4</f>
        <v>79000</v>
      </c>
      <c r="AW4" s="1">
        <f>U4</f>
        <v>33000</v>
      </c>
      <c r="AX4" s="1">
        <f>V4</f>
        <v>1820.0000000000002</v>
      </c>
      <c r="AY4" s="1">
        <f>W4</f>
        <v>3705</v>
      </c>
      <c r="AZ4" s="24">
        <f>X4</f>
        <v>117525</v>
      </c>
      <c r="BG4" s="423"/>
      <c r="BH4" s="423"/>
      <c r="BI4" s="423"/>
      <c r="BJ4" s="423"/>
      <c r="BK4" s="423"/>
      <c r="BL4" s="423"/>
      <c r="BM4" s="423"/>
      <c r="BN4" s="423"/>
      <c r="BO4" s="423"/>
      <c r="BP4" s="423"/>
      <c r="BQ4" s="423"/>
      <c r="BR4" s="423"/>
    </row>
    <row r="5" spans="1:70" s="272" customFormat="1" ht="20" hidden="1" outlineLevel="1">
      <c r="A5" s="349" t="s">
        <v>318</v>
      </c>
      <c r="B5" s="989"/>
      <c r="C5" s="989"/>
      <c r="D5" s="1104"/>
      <c r="E5" s="668"/>
      <c r="F5" s="796"/>
      <c r="G5" s="668"/>
      <c r="H5" s="668"/>
      <c r="I5" s="285">
        <f>'База селлеров'!D67</f>
        <v>127.40000000000003</v>
      </c>
      <c r="J5" s="285">
        <f>'База селлеров'!E67</f>
        <v>1222.6500000000001</v>
      </c>
      <c r="K5" s="350"/>
      <c r="L5" s="669"/>
      <c r="M5" s="1045"/>
      <c r="N5" s="668"/>
      <c r="O5" s="668"/>
      <c r="P5" s="285">
        <f>I5</f>
        <v>127.40000000000003</v>
      </c>
      <c r="Q5" s="285">
        <f>J5</f>
        <v>1222.6500000000001</v>
      </c>
      <c r="R5" s="350"/>
      <c r="S5" s="1045"/>
      <c r="T5" s="668"/>
      <c r="U5" s="668"/>
      <c r="V5" s="285">
        <f>P5</f>
        <v>127.40000000000003</v>
      </c>
      <c r="W5" s="285">
        <f>Q5</f>
        <v>1222.6500000000001</v>
      </c>
      <c r="X5" s="669"/>
      <c r="Y5" s="1065"/>
      <c r="Z5" s="669"/>
      <c r="AA5" s="669"/>
      <c r="AB5" s="351"/>
      <c r="AC5" s="668"/>
      <c r="AD5" s="668"/>
      <c r="AE5" s="285">
        <f>'База селлеров'!D66*Гипотезы_v1!W4</f>
        <v>109.54900343761939</v>
      </c>
      <c r="AF5" s="285">
        <f>'База селлеров'!E66*Гипотезы_v1!X4</f>
        <v>1051.33507890899</v>
      </c>
      <c r="AG5" s="668"/>
      <c r="AH5" s="470"/>
      <c r="AI5" s="669"/>
      <c r="AJ5" s="668"/>
      <c r="AK5" s="285">
        <f>AK4*'База селлеров'!D66</f>
        <v>17.850996562380637</v>
      </c>
      <c r="AL5" s="285">
        <f>AL4*'База селлеров'!E66</f>
        <v>171.31492109101012</v>
      </c>
      <c r="AM5" s="352"/>
      <c r="AN5" s="641"/>
      <c r="AO5" s="668"/>
      <c r="AP5" s="668"/>
      <c r="AQ5" s="668"/>
      <c r="AR5" s="668"/>
      <c r="AS5" s="668"/>
      <c r="AT5" s="352"/>
      <c r="AU5" s="470"/>
      <c r="AV5" s="668"/>
      <c r="AW5" s="668"/>
      <c r="AX5" s="668"/>
      <c r="AY5" s="668"/>
      <c r="AZ5" s="352"/>
    </row>
    <row r="6" spans="1:70" ht="20" collapsed="1">
      <c r="A6" s="416" t="s">
        <v>325</v>
      </c>
      <c r="B6" s="989"/>
      <c r="C6" s="990">
        <v>1</v>
      </c>
      <c r="D6" s="1105" t="s">
        <v>565</v>
      </c>
      <c r="E6" s="1044"/>
      <c r="F6" s="797">
        <v>0.8</v>
      </c>
      <c r="G6" s="1">
        <f>G4*$F$6</f>
        <v>63200</v>
      </c>
      <c r="H6" s="1">
        <f>H4*$F$6</f>
        <v>26400</v>
      </c>
      <c r="I6" s="1">
        <f>I4*$F$6</f>
        <v>1456.0000000000002</v>
      </c>
      <c r="J6" s="1">
        <f>J4*$F$6</f>
        <v>2964</v>
      </c>
      <c r="K6" s="297">
        <f>SUM(G6:J6)</f>
        <v>94020</v>
      </c>
      <c r="L6" s="13"/>
      <c r="M6" s="797">
        <f>F6</f>
        <v>0.8</v>
      </c>
      <c r="N6" s="1">
        <f>G6</f>
        <v>63200</v>
      </c>
      <c r="O6" s="1">
        <f>H6</f>
        <v>26400</v>
      </c>
      <c r="P6" s="1">
        <f>I6</f>
        <v>1456.0000000000002</v>
      </c>
      <c r="Q6" s="1">
        <f>J6</f>
        <v>2964</v>
      </c>
      <c r="R6" s="297">
        <f>SUM(N6:Q6)</f>
        <v>94020</v>
      </c>
      <c r="S6" s="797">
        <f>M6</f>
        <v>0.8</v>
      </c>
      <c r="T6" s="1">
        <f>N6</f>
        <v>63200</v>
      </c>
      <c r="U6" s="1">
        <f>O6</f>
        <v>26400</v>
      </c>
      <c r="V6" s="1">
        <f>P6</f>
        <v>1456.0000000000002</v>
      </c>
      <c r="W6" s="1">
        <f>Q6</f>
        <v>2964</v>
      </c>
      <c r="X6" s="13">
        <f>SUM(T6:W6)</f>
        <v>94020</v>
      </c>
      <c r="Y6" s="1065"/>
      <c r="Z6" s="669"/>
      <c r="AA6" s="669"/>
      <c r="AB6" s="296">
        <f>S6</f>
        <v>0.8</v>
      </c>
      <c r="AC6" s="154">
        <f>$AB$6*AC4</f>
        <v>56063.339779177848</v>
      </c>
      <c r="AD6" s="154">
        <f t="shared" ref="AD6:AF6" si="0">$AB$6*AD4</f>
        <v>21799.436090225565</v>
      </c>
      <c r="AE6" s="154">
        <f t="shared" si="0"/>
        <v>1251.9886107156501</v>
      </c>
      <c r="AF6" s="154">
        <f t="shared" si="0"/>
        <v>2548.6911003854302</v>
      </c>
      <c r="AG6" s="279">
        <f>SUM(AC6:AF6)</f>
        <v>81663.455580504495</v>
      </c>
      <c r="AH6" s="283">
        <f>M6</f>
        <v>0.8</v>
      </c>
      <c r="AI6" s="154">
        <f>$AH$6*AI4</f>
        <v>7136.6602208221566</v>
      </c>
      <c r="AJ6" s="154">
        <f t="shared" ref="AJ6:AL6" si="1">$AH$6*AJ4</f>
        <v>4600.563909774437</v>
      </c>
      <c r="AK6" s="154">
        <f t="shared" si="1"/>
        <v>204.01138928435012</v>
      </c>
      <c r="AL6" s="154">
        <f t="shared" si="1"/>
        <v>415.30889961457001</v>
      </c>
      <c r="AM6" s="687">
        <f>SUM(AI6:AL6)</f>
        <v>12356.544419495516</v>
      </c>
      <c r="AN6" s="301">
        <f>AG6+AM6</f>
        <v>94020.000000000015</v>
      </c>
      <c r="AT6" s="24"/>
      <c r="AU6" s="28"/>
      <c r="AY6" s="1">
        <f>AY4</f>
        <v>3705</v>
      </c>
      <c r="AZ6" s="24">
        <f>AZ4</f>
        <v>117525</v>
      </c>
      <c r="BG6" s="423"/>
      <c r="BH6" s="423"/>
      <c r="BI6" s="423"/>
      <c r="BJ6" s="423"/>
      <c r="BK6" s="423"/>
      <c r="BL6" s="423"/>
      <c r="BM6" s="423"/>
      <c r="BN6" s="423"/>
      <c r="BO6" s="423"/>
      <c r="BP6" s="423"/>
      <c r="BQ6" s="423"/>
      <c r="BR6" s="423"/>
    </row>
    <row r="7" spans="1:70" ht="20" hidden="1" outlineLevel="1">
      <c r="A7" s="87" t="s">
        <v>0</v>
      </c>
      <c r="B7" s="989"/>
      <c r="C7" s="989"/>
      <c r="E7" s="668"/>
      <c r="F7" s="796"/>
      <c r="G7" s="285"/>
      <c r="H7" s="285"/>
      <c r="I7" s="285"/>
      <c r="J7" s="285"/>
      <c r="K7" s="346"/>
      <c r="L7" s="285"/>
      <c r="M7" s="74"/>
      <c r="N7" s="154"/>
      <c r="O7" s="154"/>
      <c r="P7" s="154"/>
      <c r="Q7" s="154"/>
      <c r="R7" s="299"/>
      <c r="Y7" s="349"/>
      <c r="Z7" s="668"/>
      <c r="AA7" s="668"/>
      <c r="AT7" s="24"/>
      <c r="AU7" s="28"/>
      <c r="AZ7" s="24"/>
      <c r="BG7" s="423"/>
      <c r="BH7" s="423"/>
      <c r="BI7" s="423"/>
      <c r="BJ7" s="423"/>
      <c r="BK7" s="423"/>
      <c r="BL7" s="423"/>
      <c r="BM7" s="423"/>
      <c r="BN7" s="423"/>
      <c r="BO7" s="423"/>
      <c r="BP7" s="423"/>
      <c r="BQ7" s="423"/>
      <c r="BR7" s="423"/>
    </row>
    <row r="8" spans="1:70" ht="20" hidden="1" outlineLevel="1">
      <c r="A8" s="87" t="s">
        <v>55</v>
      </c>
      <c r="B8" s="989"/>
      <c r="C8" s="989"/>
      <c r="E8" s="668"/>
      <c r="F8" s="795"/>
      <c r="K8" s="297"/>
      <c r="L8" s="13"/>
      <c r="M8" s="74"/>
      <c r="Y8" s="349"/>
      <c r="Z8" s="668"/>
      <c r="AA8" s="668"/>
      <c r="AT8" s="24"/>
      <c r="AU8" s="28"/>
      <c r="AZ8" s="24"/>
      <c r="BG8" s="423"/>
      <c r="BH8" s="423"/>
      <c r="BI8" s="423"/>
      <c r="BJ8" s="423"/>
      <c r="BK8" s="423"/>
      <c r="BL8" s="423"/>
      <c r="BM8" s="423"/>
      <c r="BN8" s="423"/>
      <c r="BO8" s="423"/>
      <c r="BP8" s="423"/>
      <c r="BQ8" s="423"/>
      <c r="BR8" s="423"/>
    </row>
    <row r="9" spans="1:70" ht="20" hidden="1" outlineLevel="1">
      <c r="A9" s="87" t="s">
        <v>53</v>
      </c>
      <c r="B9" s="989"/>
      <c r="C9" s="989"/>
      <c r="E9" s="668"/>
      <c r="F9" s="795"/>
      <c r="K9" s="297"/>
      <c r="L9" s="13"/>
      <c r="M9" s="74"/>
      <c r="Y9" s="349"/>
      <c r="Z9" s="668"/>
      <c r="AA9" s="668"/>
      <c r="AT9" s="24"/>
      <c r="AU9" s="28"/>
      <c r="AZ9" s="24"/>
      <c r="BG9" s="423"/>
      <c r="BH9" s="423"/>
      <c r="BI9" s="423"/>
      <c r="BJ9" s="423"/>
      <c r="BK9" s="423"/>
      <c r="BL9" s="423"/>
      <c r="BM9" s="423"/>
      <c r="BN9" s="423"/>
      <c r="BO9" s="423"/>
      <c r="BP9" s="423"/>
      <c r="BQ9" s="423"/>
      <c r="BR9" s="423"/>
    </row>
    <row r="10" spans="1:70" ht="20" hidden="1" outlineLevel="1">
      <c r="A10" s="87" t="s">
        <v>38</v>
      </c>
      <c r="B10" s="989"/>
      <c r="C10" s="989"/>
      <c r="E10" s="668"/>
      <c r="F10" s="795"/>
      <c r="K10" s="297"/>
      <c r="L10" s="13"/>
      <c r="M10" s="74"/>
      <c r="Y10" s="349"/>
      <c r="Z10" s="668"/>
      <c r="AA10" s="668"/>
      <c r="AT10" s="24"/>
      <c r="AU10" s="28"/>
      <c r="AZ10" s="24"/>
      <c r="BG10" s="423"/>
      <c r="BH10" s="423"/>
      <c r="BI10" s="423"/>
      <c r="BJ10" s="423"/>
      <c r="BK10" s="423"/>
      <c r="BL10" s="423"/>
      <c r="BM10" s="423"/>
      <c r="BN10" s="423"/>
      <c r="BO10" s="423"/>
      <c r="BP10" s="423"/>
      <c r="BQ10" s="423"/>
      <c r="BR10" s="423"/>
    </row>
    <row r="11" spans="1:70" ht="20" hidden="1" outlineLevel="1">
      <c r="A11" s="87" t="s">
        <v>124</v>
      </c>
      <c r="B11" s="989"/>
      <c r="C11" s="989"/>
      <c r="E11" s="668"/>
      <c r="F11" s="796"/>
      <c r="G11" s="285"/>
      <c r="H11" s="285"/>
      <c r="I11" s="285"/>
      <c r="J11" s="285"/>
      <c r="K11" s="346"/>
      <c r="L11" s="285"/>
      <c r="M11" s="74"/>
      <c r="N11" s="154"/>
      <c r="O11" s="154"/>
      <c r="P11" s="154"/>
      <c r="Q11" s="154"/>
      <c r="R11" s="299"/>
      <c r="Y11" s="349"/>
      <c r="Z11" s="668"/>
      <c r="AA11" s="668"/>
      <c r="AT11" s="24"/>
      <c r="AU11" s="28"/>
      <c r="AZ11" s="24"/>
      <c r="BG11" s="423"/>
      <c r="BH11" s="423"/>
      <c r="BI11" s="423"/>
      <c r="BJ11" s="423"/>
      <c r="BK11" s="423"/>
      <c r="BL11" s="423"/>
      <c r="BM11" s="423"/>
      <c r="BN11" s="423"/>
      <c r="BO11" s="423"/>
      <c r="BP11" s="423"/>
      <c r="BQ11" s="423"/>
      <c r="BR11" s="423"/>
    </row>
    <row r="12" spans="1:70" ht="20" collapsed="1">
      <c r="A12" s="349" t="s">
        <v>561</v>
      </c>
      <c r="B12" s="989"/>
      <c r="C12" s="989"/>
      <c r="D12" s="1105" t="s">
        <v>562</v>
      </c>
      <c r="E12" s="668"/>
      <c r="F12" s="796">
        <f>G12/G6</f>
        <v>0.25</v>
      </c>
      <c r="G12" s="285">
        <f>G6-G13</f>
        <v>15800</v>
      </c>
      <c r="H12" s="285">
        <f t="shared" ref="H12:J12" si="2">H6-H13</f>
        <v>6600</v>
      </c>
      <c r="I12" s="285">
        <f t="shared" si="2"/>
        <v>364</v>
      </c>
      <c r="J12" s="285">
        <f t="shared" si="2"/>
        <v>741</v>
      </c>
      <c r="K12" s="473">
        <f>SUM(G12:J12)</f>
        <v>23505</v>
      </c>
      <c r="L12" s="965"/>
      <c r="M12" s="796">
        <f>N12/N6</f>
        <v>0.25</v>
      </c>
      <c r="N12" s="285">
        <f>N6-N13</f>
        <v>15800</v>
      </c>
      <c r="O12" s="285">
        <f t="shared" ref="O12:Q12" si="3">O6-O13</f>
        <v>6600</v>
      </c>
      <c r="P12" s="285">
        <f t="shared" si="3"/>
        <v>364</v>
      </c>
      <c r="Q12" s="285">
        <f t="shared" si="3"/>
        <v>741</v>
      </c>
      <c r="R12" s="473">
        <f>SUM(N12:Q12)</f>
        <v>23505</v>
      </c>
      <c r="S12" s="1" t="s">
        <v>1</v>
      </c>
      <c r="T12" s="1" t="s">
        <v>1</v>
      </c>
      <c r="U12" s="1" t="s">
        <v>1</v>
      </c>
      <c r="V12" s="1" t="s">
        <v>1</v>
      </c>
      <c r="W12" s="1" t="s">
        <v>1</v>
      </c>
      <c r="X12" s="1" t="s">
        <v>1</v>
      </c>
      <c r="Y12" s="349"/>
      <c r="Z12" s="668"/>
      <c r="AA12" s="668"/>
      <c r="AH12" s="156">
        <f t="shared" ref="AH12:AH19" si="4">M12</f>
        <v>0.25</v>
      </c>
      <c r="AI12" s="285">
        <f>AI6-AI13</f>
        <v>1784.1650552055389</v>
      </c>
      <c r="AJ12" s="285">
        <f t="shared" ref="AJ12:AL12" si="5">AJ6-AJ13</f>
        <v>1150.1409774436092</v>
      </c>
      <c r="AK12" s="285">
        <f t="shared" si="5"/>
        <v>51.002847321087529</v>
      </c>
      <c r="AL12" s="285">
        <f t="shared" si="5"/>
        <v>103.8272249036425</v>
      </c>
      <c r="AM12" s="688">
        <f>SUM(AI12:AL12)</f>
        <v>3089.1361048738781</v>
      </c>
      <c r="AN12" s="346">
        <f>AG12+AM12</f>
        <v>3089.1361048738781</v>
      </c>
      <c r="AT12" s="24"/>
      <c r="AU12" s="28"/>
      <c r="AZ12" s="24"/>
      <c r="BG12" s="423"/>
      <c r="BH12" s="423"/>
      <c r="BI12" s="423"/>
      <c r="BJ12" s="423"/>
      <c r="BK12" s="423"/>
      <c r="BL12" s="423"/>
      <c r="BM12" s="423"/>
      <c r="BN12" s="423"/>
      <c r="BO12" s="423"/>
      <c r="BP12" s="423"/>
      <c r="BQ12" s="423"/>
      <c r="BR12" s="423"/>
    </row>
    <row r="13" spans="1:70" ht="20">
      <c r="A13" s="128" t="s">
        <v>636</v>
      </c>
      <c r="B13" s="989" t="s">
        <v>562</v>
      </c>
      <c r="C13" s="990">
        <v>0.13</v>
      </c>
      <c r="D13" s="1105" t="s">
        <v>562</v>
      </c>
      <c r="E13" s="1044"/>
      <c r="F13" s="1050">
        <v>0.75</v>
      </c>
      <c r="G13" s="154">
        <f>$G$6*F13</f>
        <v>47400</v>
      </c>
      <c r="H13" s="154">
        <f>$H$6*F13</f>
        <v>19800</v>
      </c>
      <c r="I13" s="154">
        <f>$I$6*F13</f>
        <v>1092.0000000000002</v>
      </c>
      <c r="J13" s="154">
        <f>$J$6*F13</f>
        <v>2223</v>
      </c>
      <c r="K13" s="301">
        <f>SUM(G13:J13)</f>
        <v>70515</v>
      </c>
      <c r="L13" s="279"/>
      <c r="M13" s="1050">
        <f>F13</f>
        <v>0.75</v>
      </c>
      <c r="N13" s="154">
        <f>$N$6*M13</f>
        <v>47400</v>
      </c>
      <c r="O13" s="154">
        <f>$O$6*M13</f>
        <v>19800</v>
      </c>
      <c r="P13" s="154">
        <f>$P$6*M13</f>
        <v>1092.0000000000002</v>
      </c>
      <c r="Q13" s="154">
        <f>$Q$6*M13</f>
        <v>2223</v>
      </c>
      <c r="R13" s="301">
        <f>SUM(N13:Q13)</f>
        <v>70515</v>
      </c>
      <c r="S13" s="1" t="s">
        <v>1</v>
      </c>
      <c r="T13" s="1" t="s">
        <v>1</v>
      </c>
      <c r="U13" s="1" t="s">
        <v>1</v>
      </c>
      <c r="V13" s="1" t="s">
        <v>1</v>
      </c>
      <c r="W13" s="1" t="s">
        <v>1</v>
      </c>
      <c r="X13" s="1" t="s">
        <v>1</v>
      </c>
      <c r="Y13" s="349"/>
      <c r="Z13" s="668"/>
      <c r="AA13" s="668"/>
      <c r="AB13" s="342"/>
      <c r="AC13" s="154"/>
      <c r="AD13" s="154"/>
      <c r="AE13" s="154"/>
      <c r="AF13" s="154"/>
      <c r="AG13" s="154"/>
      <c r="AH13" s="156">
        <f t="shared" si="4"/>
        <v>0.75</v>
      </c>
      <c r="AI13" s="154">
        <f>$AI$6*AH13</f>
        <v>5352.4951656166177</v>
      </c>
      <c r="AJ13" s="154">
        <f>$AJ$6*AH13</f>
        <v>3450.4229323308277</v>
      </c>
      <c r="AK13" s="154">
        <f>$AK$6*AH13</f>
        <v>153.00854196326259</v>
      </c>
      <c r="AL13" s="154">
        <f>$AL$6*AH13</f>
        <v>311.48167471092751</v>
      </c>
      <c r="AM13" s="687">
        <f>SUM(AI13:AL13)</f>
        <v>9267.4083146216362</v>
      </c>
      <c r="AN13" s="301">
        <f t="shared" ref="AN13:AN25" si="6">AG13+AM13</f>
        <v>9267.4083146216362</v>
      </c>
      <c r="AT13" s="24"/>
      <c r="AU13" s="28"/>
      <c r="AZ13" s="24"/>
      <c r="BG13" s="423"/>
      <c r="BH13" s="423"/>
      <c r="BI13" s="423"/>
      <c r="BJ13" s="423"/>
      <c r="BK13" s="423"/>
      <c r="BL13" s="423"/>
      <c r="BM13" s="423"/>
      <c r="BN13" s="423"/>
      <c r="BO13" s="423"/>
      <c r="BP13" s="423"/>
      <c r="BQ13" s="423"/>
      <c r="BR13" s="423"/>
    </row>
    <row r="14" spans="1:70" ht="27" customHeight="1">
      <c r="A14" s="128" t="s">
        <v>171</v>
      </c>
      <c r="B14" s="989" t="s">
        <v>563</v>
      </c>
      <c r="C14" s="990">
        <v>1</v>
      </c>
      <c r="D14" s="1105" t="s">
        <v>566</v>
      </c>
      <c r="E14" s="1044"/>
      <c r="F14" s="74">
        <v>1</v>
      </c>
      <c r="G14" s="154">
        <f>$G$13*F14</f>
        <v>47400</v>
      </c>
      <c r="H14" s="154">
        <f>$H$13*F14</f>
        <v>19800</v>
      </c>
      <c r="I14" s="154">
        <f>$I$13*F14</f>
        <v>1092.0000000000002</v>
      </c>
      <c r="J14" s="154">
        <f>$J$13*F14</f>
        <v>2223</v>
      </c>
      <c r="K14" s="301">
        <f t="shared" ref="K14:K47" si="7">SUM(G14:J14)</f>
        <v>70515</v>
      </c>
      <c r="L14" s="279"/>
      <c r="M14" s="74">
        <f t="shared" ref="M14:M17" si="8">F14</f>
        <v>1</v>
      </c>
      <c r="N14" s="154">
        <f t="shared" ref="N14:N17" si="9">$N$6*M14</f>
        <v>63200</v>
      </c>
      <c r="O14" s="154">
        <f t="shared" ref="O14:O17" si="10">$O$6*M14</f>
        <v>26400</v>
      </c>
      <c r="P14" s="154">
        <f t="shared" ref="P14:P17" si="11">$P$6*M14</f>
        <v>1456.0000000000002</v>
      </c>
      <c r="Q14" s="154">
        <f t="shared" ref="Q14:Q17" si="12">$Q$6*M14</f>
        <v>2964</v>
      </c>
      <c r="R14" s="301">
        <f t="shared" ref="R14:R25" si="13">SUM(N14:Q14)</f>
        <v>94020</v>
      </c>
      <c r="S14" s="1" t="s">
        <v>1</v>
      </c>
      <c r="T14" s="1" t="s">
        <v>1</v>
      </c>
      <c r="U14" s="1" t="s">
        <v>1</v>
      </c>
      <c r="V14" s="1" t="s">
        <v>1</v>
      </c>
      <c r="W14" s="1" t="s">
        <v>1</v>
      </c>
      <c r="X14" s="1" t="s">
        <v>1</v>
      </c>
      <c r="Y14" s="349"/>
      <c r="Z14" s="668"/>
      <c r="AA14" s="668"/>
      <c r="AB14" s="342"/>
      <c r="AC14" s="154"/>
      <c r="AD14" s="154"/>
      <c r="AE14" s="154"/>
      <c r="AF14" s="154"/>
      <c r="AG14" s="154"/>
      <c r="AH14" s="156">
        <f t="shared" si="4"/>
        <v>1</v>
      </c>
      <c r="AI14" s="154">
        <f>$AI$6*AH14</f>
        <v>7136.6602208221566</v>
      </c>
      <c r="AJ14" s="154">
        <f>$AJ$6*AH14</f>
        <v>4600.563909774437</v>
      </c>
      <c r="AK14" s="154">
        <f>$AK$6*AH14</f>
        <v>204.01138928435012</v>
      </c>
      <c r="AL14" s="154">
        <f>$AL$6*AH14</f>
        <v>415.30889961457001</v>
      </c>
      <c r="AM14" s="687">
        <f t="shared" ref="AM14:AM25" si="14">SUM(AI14:AL14)</f>
        <v>12356.544419495516</v>
      </c>
      <c r="AN14" s="301">
        <f t="shared" si="6"/>
        <v>12356.544419495516</v>
      </c>
      <c r="AT14" s="24"/>
      <c r="AU14" s="28"/>
      <c r="AZ14" s="24"/>
      <c r="BG14" s="423"/>
      <c r="BH14" s="423"/>
      <c r="BI14" s="423"/>
      <c r="BJ14" s="423"/>
      <c r="BK14" s="423"/>
      <c r="BL14" s="423"/>
      <c r="BM14" s="423"/>
      <c r="BN14" s="423"/>
      <c r="BO14" s="423"/>
      <c r="BP14" s="423"/>
      <c r="BQ14" s="423"/>
      <c r="BR14" s="423"/>
    </row>
    <row r="15" spans="1:70" ht="20">
      <c r="A15" s="128" t="s">
        <v>211</v>
      </c>
      <c r="B15" s="989" t="s">
        <v>563</v>
      </c>
      <c r="C15" s="991">
        <v>0.4</v>
      </c>
      <c r="D15" s="1105" t="s">
        <v>566</v>
      </c>
      <c r="E15" s="1045"/>
      <c r="F15" s="74">
        <f>'Воронка MPS_обработано'!L10</f>
        <v>0.4</v>
      </c>
      <c r="G15" s="154">
        <f t="shared" ref="G15:G17" si="15">$G$13*F15</f>
        <v>18960</v>
      </c>
      <c r="H15" s="154">
        <f t="shared" ref="H15:H17" si="16">$H$13*F15</f>
        <v>7920</v>
      </c>
      <c r="I15" s="154">
        <f t="shared" ref="I15:I17" si="17">$I$13*F15</f>
        <v>436.80000000000013</v>
      </c>
      <c r="J15" s="154">
        <f t="shared" ref="J15:J17" si="18">$J$13*F15</f>
        <v>889.2</v>
      </c>
      <c r="K15" s="301">
        <f t="shared" si="7"/>
        <v>28206</v>
      </c>
      <c r="L15" s="279"/>
      <c r="M15" s="74">
        <f t="shared" si="8"/>
        <v>0.4</v>
      </c>
      <c r="N15" s="154">
        <f t="shared" si="9"/>
        <v>25280</v>
      </c>
      <c r="O15" s="154">
        <f t="shared" si="10"/>
        <v>10560</v>
      </c>
      <c r="P15" s="154">
        <f t="shared" si="11"/>
        <v>582.40000000000009</v>
      </c>
      <c r="Q15" s="154">
        <f t="shared" si="12"/>
        <v>1185.6000000000001</v>
      </c>
      <c r="R15" s="301">
        <f t="shared" si="13"/>
        <v>37608</v>
      </c>
      <c r="S15" s="1" t="s">
        <v>1</v>
      </c>
      <c r="T15" s="1" t="s">
        <v>1</v>
      </c>
      <c r="U15" s="1" t="s">
        <v>1</v>
      </c>
      <c r="V15" s="1" t="s">
        <v>1</v>
      </c>
      <c r="W15" s="1" t="s">
        <v>1</v>
      </c>
      <c r="X15" s="1" t="s">
        <v>1</v>
      </c>
      <c r="Y15" s="349"/>
      <c r="Z15" s="668"/>
      <c r="AA15" s="668"/>
      <c r="AB15" s="342"/>
      <c r="AC15" s="154"/>
      <c r="AD15" s="154"/>
      <c r="AE15" s="154"/>
      <c r="AF15" s="154"/>
      <c r="AG15" s="154"/>
      <c r="AH15" s="156">
        <f t="shared" si="4"/>
        <v>0.4</v>
      </c>
      <c r="AI15" s="154">
        <f>$AI$6*AH15</f>
        <v>2854.6640883288628</v>
      </c>
      <c r="AJ15" s="154">
        <f>$AJ$6*AH15</f>
        <v>1840.2255639097748</v>
      </c>
      <c r="AK15" s="154">
        <f>$AK$6*AH15</f>
        <v>81.604555713740055</v>
      </c>
      <c r="AL15" s="154">
        <f>$AL$6*AH15</f>
        <v>166.12355984582803</v>
      </c>
      <c r="AM15" s="687">
        <f t="shared" si="14"/>
        <v>4942.6177677982059</v>
      </c>
      <c r="AN15" s="301">
        <f t="shared" si="6"/>
        <v>4942.6177677982059</v>
      </c>
      <c r="AT15" s="24"/>
      <c r="AU15" s="28"/>
      <c r="AZ15" s="24"/>
      <c r="BG15" s="423"/>
      <c r="BH15" s="423"/>
      <c r="BI15" s="423"/>
      <c r="BJ15" s="423"/>
      <c r="BK15" s="423"/>
      <c r="BL15" s="423"/>
      <c r="BM15" s="423"/>
      <c r="BN15" s="423"/>
      <c r="BO15" s="423"/>
      <c r="BP15" s="423"/>
      <c r="BQ15" s="423"/>
      <c r="BR15" s="423"/>
    </row>
    <row r="16" spans="1:70" ht="20">
      <c r="A16" s="128" t="s">
        <v>212</v>
      </c>
      <c r="B16" s="989" t="s">
        <v>563</v>
      </c>
      <c r="C16" s="991">
        <v>0.29799999999999999</v>
      </c>
      <c r="D16" s="1105" t="s">
        <v>566</v>
      </c>
      <c r="E16" s="1045"/>
      <c r="F16" s="326">
        <f>'Воронка MPS_обработано'!L11</f>
        <v>0.29799999999999999</v>
      </c>
      <c r="G16" s="154">
        <f t="shared" si="15"/>
        <v>14125.199999999999</v>
      </c>
      <c r="H16" s="154">
        <f t="shared" si="16"/>
        <v>5900.4</v>
      </c>
      <c r="I16" s="154">
        <f t="shared" si="17"/>
        <v>325.41600000000005</v>
      </c>
      <c r="J16" s="154">
        <f t="shared" si="18"/>
        <v>662.45399999999995</v>
      </c>
      <c r="K16" s="301">
        <f t="shared" si="7"/>
        <v>21013.47</v>
      </c>
      <c r="L16" s="279"/>
      <c r="M16" s="74">
        <f t="shared" si="8"/>
        <v>0.29799999999999999</v>
      </c>
      <c r="N16" s="154">
        <f t="shared" si="9"/>
        <v>18833.599999999999</v>
      </c>
      <c r="O16" s="154">
        <f t="shared" si="10"/>
        <v>7867.2</v>
      </c>
      <c r="P16" s="154">
        <f t="shared" si="11"/>
        <v>433.88800000000003</v>
      </c>
      <c r="Q16" s="154">
        <f t="shared" si="12"/>
        <v>883.27199999999993</v>
      </c>
      <c r="R16" s="301">
        <f t="shared" si="13"/>
        <v>28017.96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349"/>
      <c r="Z16" s="668"/>
      <c r="AA16" s="668"/>
      <c r="AB16" s="342"/>
      <c r="AC16" s="154"/>
      <c r="AD16" s="154"/>
      <c r="AE16" s="154"/>
      <c r="AF16" s="154"/>
      <c r="AG16" s="154"/>
      <c r="AH16" s="156">
        <f t="shared" si="4"/>
        <v>0.29799999999999999</v>
      </c>
      <c r="AI16" s="154">
        <f>$AI$6*AH16</f>
        <v>2126.7247458050024</v>
      </c>
      <c r="AJ16" s="154">
        <f>$AJ$6*AH16</f>
        <v>1370.9680451127822</v>
      </c>
      <c r="AK16" s="154">
        <f>$AK$6*AH16</f>
        <v>60.795394006736331</v>
      </c>
      <c r="AL16" s="154">
        <f>$AL$6*AH16</f>
        <v>123.76205208514186</v>
      </c>
      <c r="AM16" s="687">
        <f t="shared" si="14"/>
        <v>3682.2502370096631</v>
      </c>
      <c r="AN16" s="301">
        <f t="shared" si="6"/>
        <v>3682.2502370096631</v>
      </c>
      <c r="AT16" s="24"/>
      <c r="AU16" s="28"/>
      <c r="AZ16" s="24"/>
      <c r="BG16" s="423"/>
      <c r="BH16" s="423"/>
      <c r="BI16" s="423"/>
      <c r="BJ16" s="423"/>
      <c r="BK16" s="423"/>
      <c r="BL16" s="423"/>
      <c r="BM16" s="423"/>
      <c r="BN16" s="423"/>
      <c r="BO16" s="423"/>
      <c r="BP16" s="423"/>
      <c r="BQ16" s="423"/>
      <c r="BR16" s="423"/>
    </row>
    <row r="17" spans="1:70" ht="20">
      <c r="A17" s="128" t="s">
        <v>213</v>
      </c>
      <c r="B17" s="989" t="s">
        <v>563</v>
      </c>
      <c r="C17" s="991">
        <v>0.45500000000000002</v>
      </c>
      <c r="D17" s="1105" t="s">
        <v>566</v>
      </c>
      <c r="E17" s="1045"/>
      <c r="F17" s="326">
        <f>'Воронка MPS_обработано'!L12</f>
        <v>0.45500000000000002</v>
      </c>
      <c r="G17" s="154">
        <f t="shared" si="15"/>
        <v>21567</v>
      </c>
      <c r="H17" s="154">
        <f t="shared" si="16"/>
        <v>9009</v>
      </c>
      <c r="I17" s="154">
        <f t="shared" si="17"/>
        <v>496.86000000000013</v>
      </c>
      <c r="J17" s="154">
        <f t="shared" si="18"/>
        <v>1011.465</v>
      </c>
      <c r="K17" s="301">
        <f t="shared" si="7"/>
        <v>32084.325000000001</v>
      </c>
      <c r="L17" s="279"/>
      <c r="M17" s="74">
        <f t="shared" si="8"/>
        <v>0.45500000000000002</v>
      </c>
      <c r="N17" s="154">
        <f t="shared" si="9"/>
        <v>28756</v>
      </c>
      <c r="O17" s="154">
        <f t="shared" si="10"/>
        <v>12012</v>
      </c>
      <c r="P17" s="154">
        <f t="shared" si="11"/>
        <v>662.48000000000013</v>
      </c>
      <c r="Q17" s="154">
        <f t="shared" si="12"/>
        <v>1348.6200000000001</v>
      </c>
      <c r="R17" s="301">
        <f t="shared" si="13"/>
        <v>42779.100000000006</v>
      </c>
      <c r="S17" s="1" t="s">
        <v>1</v>
      </c>
      <c r="T17" s="1" t="s">
        <v>1</v>
      </c>
      <c r="U17" s="1" t="s">
        <v>1</v>
      </c>
      <c r="V17" s="1" t="s">
        <v>1</v>
      </c>
      <c r="W17" s="1" t="s">
        <v>1</v>
      </c>
      <c r="X17" s="1" t="s">
        <v>1</v>
      </c>
      <c r="Y17" s="349"/>
      <c r="Z17" s="668"/>
      <c r="AA17" s="668"/>
      <c r="AB17" s="342"/>
      <c r="AC17" s="154"/>
      <c r="AD17" s="154"/>
      <c r="AE17" s="154"/>
      <c r="AF17" s="154"/>
      <c r="AG17" s="154"/>
      <c r="AH17" s="156">
        <f t="shared" si="4"/>
        <v>0.45500000000000002</v>
      </c>
      <c r="AI17" s="154">
        <f>$AI$6*AH17</f>
        <v>3247.1804004740816</v>
      </c>
      <c r="AJ17" s="154">
        <f>$AJ$6*AH17</f>
        <v>2093.2565789473688</v>
      </c>
      <c r="AK17" s="154">
        <f>$AK$6*AH17</f>
        <v>92.82518212437931</v>
      </c>
      <c r="AL17" s="154">
        <f>$AL$6*AH17</f>
        <v>188.96554932462936</v>
      </c>
      <c r="AM17" s="687">
        <f t="shared" si="14"/>
        <v>5622.2277108704593</v>
      </c>
      <c r="AN17" s="301">
        <f t="shared" si="6"/>
        <v>5622.2277108704593</v>
      </c>
      <c r="AT17" s="24"/>
      <c r="AU17" s="28"/>
      <c r="AZ17" s="24"/>
      <c r="BG17" s="423"/>
      <c r="BH17" s="423"/>
      <c r="BI17" s="423"/>
      <c r="BJ17" s="423"/>
      <c r="BK17" s="423"/>
      <c r="BL17" s="423"/>
      <c r="BM17" s="423"/>
      <c r="BN17" s="423"/>
      <c r="BO17" s="423"/>
      <c r="BP17" s="423"/>
      <c r="BQ17" s="423"/>
      <c r="BR17" s="423"/>
    </row>
    <row r="18" spans="1:70" ht="40">
      <c r="A18" s="416" t="s">
        <v>337</v>
      </c>
      <c r="B18" s="989" t="s">
        <v>562</v>
      </c>
      <c r="C18" s="992" t="s">
        <v>564</v>
      </c>
      <c r="D18" s="1105" t="s">
        <v>566</v>
      </c>
      <c r="E18" s="1045">
        <f>K18/K6</f>
        <v>6.4038461538461544E-2</v>
      </c>
      <c r="F18" s="729">
        <f>'Воронка MPS_обработано'!L14</f>
        <v>8.5384615384615392E-2</v>
      </c>
      <c r="G18" s="154">
        <f>$G$13*F18</f>
        <v>4047.2307692307695</v>
      </c>
      <c r="H18" s="154">
        <f>$H$13*F18</f>
        <v>1690.6153846153848</v>
      </c>
      <c r="I18" s="154">
        <f>$I$13*F18</f>
        <v>93.240000000000023</v>
      </c>
      <c r="J18" s="154">
        <f>$J$13*F18</f>
        <v>189.81000000000003</v>
      </c>
      <c r="K18" s="301">
        <f t="shared" si="7"/>
        <v>6020.8961538461544</v>
      </c>
      <c r="L18" s="326">
        <f>R18/R6</f>
        <v>9.6057692307692316E-2</v>
      </c>
      <c r="M18" s="1051">
        <f>F18*1.5</f>
        <v>0.12807692307692309</v>
      </c>
      <c r="N18" s="154">
        <f>N13*$M$18</f>
        <v>6070.8461538461543</v>
      </c>
      <c r="O18" s="154">
        <f t="shared" ref="O18:Q18" si="19">O13*$M$18</f>
        <v>2535.9230769230771</v>
      </c>
      <c r="P18" s="154">
        <f t="shared" si="19"/>
        <v>139.86000000000004</v>
      </c>
      <c r="Q18" s="154">
        <f t="shared" si="19"/>
        <v>284.71500000000003</v>
      </c>
      <c r="R18" s="301">
        <f t="shared" si="13"/>
        <v>9031.3442307692312</v>
      </c>
      <c r="S18" s="966">
        <f>'Воронка Селлер as is'!F12</f>
        <v>1.7475398710553106E-2</v>
      </c>
      <c r="T18" s="154">
        <f>$S$18*T6</f>
        <v>1104.4451985069563</v>
      </c>
      <c r="U18" s="154">
        <f t="shared" ref="U18:W18" si="20">$S$18*U6</f>
        <v>461.35052595860196</v>
      </c>
      <c r="V18" s="154">
        <f t="shared" si="20"/>
        <v>25.444180522565325</v>
      </c>
      <c r="W18" s="154">
        <f t="shared" si="20"/>
        <v>51.797081778079402</v>
      </c>
      <c r="X18" s="279">
        <f>SUM(T18:W18)</f>
        <v>1643.0369867662032</v>
      </c>
      <c r="Y18" s="1066">
        <f>AG18/$AG$6</f>
        <v>1.7475398710553109E-2</v>
      </c>
      <c r="Z18" s="1060">
        <f>AM18/$AM$6</f>
        <v>9.6057692307692316E-2</v>
      </c>
      <c r="AA18" s="1062">
        <f>AN18/AN6</f>
        <v>2.7803048161934608E-2</v>
      </c>
      <c r="AB18" s="940">
        <f>S18</f>
        <v>1.7475398710553106E-2</v>
      </c>
      <c r="AC18" s="154">
        <f>$S$18*AC6</f>
        <v>979.72921568634524</v>
      </c>
      <c r="AD18" s="154">
        <f t="shared" ref="AD18:AF18" si="21">$S$18*AD6</f>
        <v>380.95383734191267</v>
      </c>
      <c r="AE18" s="154">
        <f t="shared" si="21"/>
        <v>21.879000153327446</v>
      </c>
      <c r="AF18" s="154">
        <f t="shared" si="21"/>
        <v>44.539393169273723</v>
      </c>
      <c r="AG18" s="279">
        <f>SUM(AC18:AF18)</f>
        <v>1427.1014463508593</v>
      </c>
      <c r="AH18" s="941">
        <f t="shared" si="4"/>
        <v>0.12807692307692309</v>
      </c>
      <c r="AI18" s="154">
        <f>AI13*$AH$18</f>
        <v>685.53111159628224</v>
      </c>
      <c r="AJ18" s="154">
        <f>AJ13*$AH$18</f>
        <v>441.91955248698684</v>
      </c>
      <c r="AK18" s="154">
        <f t="shared" ref="AK18:AL18" si="22">AK13*$AH$18</f>
        <v>19.596863259140942</v>
      </c>
      <c r="AL18" s="154">
        <f t="shared" si="22"/>
        <v>39.893614491822639</v>
      </c>
      <c r="AM18" s="687">
        <f t="shared" si="14"/>
        <v>1186.9411418342329</v>
      </c>
      <c r="AN18" s="301">
        <f t="shared" si="6"/>
        <v>2614.0425881850924</v>
      </c>
      <c r="AT18" s="24"/>
      <c r="AU18" s="28"/>
      <c r="AZ18" s="24"/>
      <c r="BG18" s="423"/>
      <c r="BH18" s="423"/>
      <c r="BI18" s="423"/>
      <c r="BJ18" s="423"/>
      <c r="BK18" s="423"/>
      <c r="BL18" s="423"/>
      <c r="BM18" s="423"/>
      <c r="BN18" s="423"/>
      <c r="BO18" s="423"/>
      <c r="BP18" s="423"/>
      <c r="BQ18" s="423"/>
      <c r="BR18" s="423"/>
    </row>
    <row r="19" spans="1:70" ht="20">
      <c r="A19" s="416" t="s">
        <v>338</v>
      </c>
      <c r="B19" s="951"/>
      <c r="C19" s="952"/>
      <c r="D19" s="1106" t="s">
        <v>562</v>
      </c>
      <c r="E19" s="1046">
        <f>K19/K6</f>
        <v>4.3688496776382773E-3</v>
      </c>
      <c r="F19" s="730">
        <f>S18</f>
        <v>1.7475398710553106E-2</v>
      </c>
      <c r="G19" s="154">
        <f>G12*$F$19</f>
        <v>276.11129962673908</v>
      </c>
      <c r="H19" s="154">
        <f t="shared" ref="H19:J19" si="23">H12*$F$19</f>
        <v>115.33763148965049</v>
      </c>
      <c r="I19" s="154">
        <f t="shared" si="23"/>
        <v>6.3610451306413305</v>
      </c>
      <c r="J19" s="154">
        <f t="shared" si="23"/>
        <v>12.949270444519851</v>
      </c>
      <c r="K19" s="301">
        <f t="shared" si="7"/>
        <v>410.7592466915508</v>
      </c>
      <c r="L19" s="326">
        <f>R19/R6</f>
        <v>4.3688496776382773E-3</v>
      </c>
      <c r="M19" s="730">
        <f>S18</f>
        <v>1.7475398710553106E-2</v>
      </c>
      <c r="N19" s="154">
        <f>N12*$M$19</f>
        <v>276.11129962673908</v>
      </c>
      <c r="O19" s="154">
        <f t="shared" ref="O19:Q19" si="24">O12*$M$19</f>
        <v>115.33763148965049</v>
      </c>
      <c r="P19" s="154">
        <f t="shared" si="24"/>
        <v>6.3610451306413305</v>
      </c>
      <c r="Q19" s="154">
        <f t="shared" si="24"/>
        <v>12.949270444519851</v>
      </c>
      <c r="R19" s="301">
        <f t="shared" si="13"/>
        <v>410.7592466915508</v>
      </c>
      <c r="S19" s="326"/>
      <c r="T19" s="154"/>
      <c r="U19" s="154"/>
      <c r="V19" s="154"/>
      <c r="W19" s="154"/>
      <c r="X19" s="279"/>
      <c r="Y19" s="1066">
        <f t="shared" ref="Y19:Y20" si="25">AG19/$AG$6</f>
        <v>0</v>
      </c>
      <c r="Z19" s="1060">
        <f t="shared" ref="Z19:Z20" si="26">AM19/$AM$6</f>
        <v>4.3688496776382755E-3</v>
      </c>
      <c r="AA19" s="1062">
        <f>AN19/AN6</f>
        <v>5.7417448525671144E-4</v>
      </c>
      <c r="AB19" s="342"/>
      <c r="AC19" s="154"/>
      <c r="AD19" s="154"/>
      <c r="AE19" s="154"/>
      <c r="AF19" s="154"/>
      <c r="AG19" s="154"/>
      <c r="AH19" s="156">
        <f t="shared" si="4"/>
        <v>1.7475398710553106E-2</v>
      </c>
      <c r="AI19" s="154">
        <f>AI12*$AH$19</f>
        <v>31.178995705152786</v>
      </c>
      <c r="AJ19" s="154">
        <f>AJ12*$AH$19</f>
        <v>20.099172154172336</v>
      </c>
      <c r="AK19" s="154">
        <f t="shared" ref="AK19:AL19" si="27">AK12*$AH$19</f>
        <v>0.89129509230946991</v>
      </c>
      <c r="AL19" s="154">
        <f t="shared" si="27"/>
        <v>1.8144221522014214</v>
      </c>
      <c r="AM19" s="687">
        <f t="shared" si="14"/>
        <v>53.983885103836016</v>
      </c>
      <c r="AN19" s="301">
        <f t="shared" si="6"/>
        <v>53.983885103836016</v>
      </c>
      <c r="AP19" s="84"/>
      <c r="AT19" s="24"/>
      <c r="AU19" s="28"/>
      <c r="AZ19" s="24"/>
      <c r="BG19" s="423"/>
      <c r="BH19" s="423"/>
      <c r="BI19" s="423"/>
      <c r="BJ19" s="423"/>
      <c r="BK19" s="423"/>
      <c r="BL19" s="423"/>
      <c r="BM19" s="423"/>
      <c r="BN19" s="423"/>
      <c r="BO19" s="423"/>
      <c r="BP19" s="423"/>
      <c r="BQ19" s="423"/>
      <c r="BR19" s="423"/>
    </row>
    <row r="20" spans="1:70" s="454" customFormat="1" ht="21" thickBot="1">
      <c r="A20" s="453" t="s">
        <v>339</v>
      </c>
      <c r="B20" s="88"/>
      <c r="C20" s="88"/>
      <c r="D20" s="1101"/>
      <c r="E20" s="1047">
        <f>K20/K6</f>
        <v>6.8407311216099817E-2</v>
      </c>
      <c r="F20" s="363"/>
      <c r="G20" s="363">
        <f>SUM(G18:G19)</f>
        <v>4323.3420688575088</v>
      </c>
      <c r="H20" s="363">
        <f t="shared" ref="H20:J20" si="28">SUM(H18:H19)</f>
        <v>1805.9530161050352</v>
      </c>
      <c r="I20" s="363">
        <f t="shared" si="28"/>
        <v>99.601045130641353</v>
      </c>
      <c r="J20" s="363">
        <f t="shared" si="28"/>
        <v>202.75927044451987</v>
      </c>
      <c r="K20" s="364">
        <f t="shared" si="7"/>
        <v>6431.6554005377047</v>
      </c>
      <c r="L20" s="964">
        <f>R20/R6</f>
        <v>0.1004265419853306</v>
      </c>
      <c r="M20" s="363"/>
      <c r="N20" s="363">
        <f>SUM(N18:N19)</f>
        <v>6346.9574534728936</v>
      </c>
      <c r="O20" s="363">
        <f t="shared" ref="O20:Q20" si="29">SUM(O18:O19)</f>
        <v>2651.2607084127276</v>
      </c>
      <c r="P20" s="363">
        <f t="shared" si="29"/>
        <v>146.22104513064139</v>
      </c>
      <c r="Q20" s="363">
        <f t="shared" si="29"/>
        <v>297.6642704445199</v>
      </c>
      <c r="R20" s="364">
        <f t="shared" si="13"/>
        <v>9442.1034774607833</v>
      </c>
      <c r="S20" s="967"/>
      <c r="T20" s="363">
        <f>T18</f>
        <v>1104.4451985069563</v>
      </c>
      <c r="U20" s="363">
        <f t="shared" ref="U20:W20" si="30">U18</f>
        <v>461.35052595860196</v>
      </c>
      <c r="V20" s="363">
        <f t="shared" si="30"/>
        <v>25.444180522565325</v>
      </c>
      <c r="W20" s="363">
        <f t="shared" si="30"/>
        <v>51.797081778079402</v>
      </c>
      <c r="X20" s="630">
        <f>SUM(T20:W20)</f>
        <v>1643.0369867662032</v>
      </c>
      <c r="Y20" s="1066">
        <f t="shared" si="25"/>
        <v>1.7475398710553109E-2</v>
      </c>
      <c r="Z20" s="1060">
        <f t="shared" si="26"/>
        <v>0.10042654198533059</v>
      </c>
      <c r="AA20" s="1061">
        <f>AN20/AN6</f>
        <v>2.8377222647191318E-2</v>
      </c>
      <c r="AB20" s="474"/>
      <c r="AC20" s="363">
        <f>AC18</f>
        <v>979.72921568634524</v>
      </c>
      <c r="AD20" s="363">
        <f t="shared" ref="AD20:AF20" si="31">AD18</f>
        <v>380.95383734191267</v>
      </c>
      <c r="AE20" s="363">
        <f t="shared" si="31"/>
        <v>21.879000153327446</v>
      </c>
      <c r="AF20" s="363">
        <f t="shared" si="31"/>
        <v>44.539393169273723</v>
      </c>
      <c r="AG20" s="630">
        <f>SUM(AC20:AF20)</f>
        <v>1427.1014463508593</v>
      </c>
      <c r="AH20" s="670"/>
      <c r="AI20" s="363">
        <f>SUM(AI18:AI19)</f>
        <v>716.71010730143507</v>
      </c>
      <c r="AJ20" s="363">
        <f t="shared" ref="AJ20:AL20" si="32">SUM(AJ18:AJ19)</f>
        <v>462.01872464115917</v>
      </c>
      <c r="AK20" s="363">
        <f t="shared" si="32"/>
        <v>20.488158351450412</v>
      </c>
      <c r="AL20" s="363">
        <f t="shared" si="32"/>
        <v>41.708036644024062</v>
      </c>
      <c r="AM20" s="689">
        <f t="shared" si="14"/>
        <v>1240.9250269380689</v>
      </c>
      <c r="AN20" s="364">
        <f t="shared" si="6"/>
        <v>2668.0264732889282</v>
      </c>
      <c r="AO20" s="88"/>
      <c r="AP20" s="88"/>
      <c r="AQ20" s="88"/>
      <c r="AR20" s="88"/>
      <c r="AS20" s="88"/>
      <c r="AT20" s="131"/>
      <c r="AU20" s="133"/>
      <c r="AV20" s="88"/>
      <c r="AW20" s="88"/>
      <c r="AX20" s="88"/>
      <c r="AY20" s="88"/>
      <c r="AZ20" s="131"/>
    </row>
    <row r="21" spans="1:70" s="805" customFormat="1" hidden="1" outlineLevel="1">
      <c r="A21" s="1083" t="s">
        <v>327</v>
      </c>
      <c r="B21" s="942"/>
      <c r="C21" s="942"/>
      <c r="D21" s="1107"/>
      <c r="E21" s="942"/>
      <c r="F21" s="816"/>
      <c r="G21" s="800">
        <f t="shared" ref="G21:J25" si="33">G$20*G79</f>
        <v>0.47195113346021089</v>
      </c>
      <c r="H21" s="800">
        <f t="shared" si="33"/>
        <v>3.1117611493037884</v>
      </c>
      <c r="I21" s="800">
        <f t="shared" si="33"/>
        <v>8.213913058969867E-2</v>
      </c>
      <c r="J21" s="800">
        <f t="shared" si="33"/>
        <v>0.16721180155760085</v>
      </c>
      <c r="K21" s="801">
        <f t="shared" si="7"/>
        <v>3.8330632149112986</v>
      </c>
      <c r="L21" s="824"/>
      <c r="M21" s="800"/>
      <c r="N21" s="800">
        <f t="shared" ref="N21:Q25" si="34">N$20*N79</f>
        <v>0.69285606285182233</v>
      </c>
      <c r="O21" s="800">
        <f t="shared" si="34"/>
        <v>4.568275030159775</v>
      </c>
      <c r="P21" s="800">
        <f t="shared" si="34"/>
        <v>0.12058577804273526</v>
      </c>
      <c r="Q21" s="800">
        <f t="shared" si="34"/>
        <v>0.24547819101556817</v>
      </c>
      <c r="R21" s="801">
        <f t="shared" si="13"/>
        <v>5.6271950620699007</v>
      </c>
      <c r="S21" s="1054"/>
      <c r="T21" s="800">
        <f t="shared" ref="T21:W25" si="35">T$20*T79</f>
        <v>0.12056509870795169</v>
      </c>
      <c r="U21" s="800">
        <f t="shared" si="35"/>
        <v>0.79493355036726521</v>
      </c>
      <c r="V21" s="800">
        <f t="shared" si="35"/>
        <v>2.0983342734502117E-2</v>
      </c>
      <c r="W21" s="800">
        <f t="shared" si="35"/>
        <v>4.2716090566665019E-2</v>
      </c>
      <c r="X21" s="824">
        <f t="shared" ref="X21:X25" si="36">SUM(T21:W21)</f>
        <v>0.97919808237638406</v>
      </c>
      <c r="Y21" s="1067"/>
      <c r="Z21" s="824"/>
      <c r="AA21" s="824"/>
      <c r="AB21" s="802"/>
      <c r="AC21" s="800">
        <f t="shared" ref="AC21:AF25" si="37">AC$20*AC79</f>
        <v>0</v>
      </c>
      <c r="AD21" s="800">
        <f t="shared" si="37"/>
        <v>0</v>
      </c>
      <c r="AE21" s="800">
        <f t="shared" si="37"/>
        <v>0</v>
      </c>
      <c r="AF21" s="800">
        <f t="shared" si="37"/>
        <v>0</v>
      </c>
      <c r="AG21" s="824">
        <f t="shared" ref="AG21:AG25" si="38">SUM(AC21:AF21)</f>
        <v>0</v>
      </c>
      <c r="AH21" s="804"/>
      <c r="AI21" s="800">
        <f t="shared" ref="AI21:AL25" si="39">AI$20*AI79</f>
        <v>0.69285606285182244</v>
      </c>
      <c r="AJ21" s="800">
        <f t="shared" si="39"/>
        <v>4.5682750301597759</v>
      </c>
      <c r="AK21" s="800">
        <f t="shared" si="39"/>
        <v>0.12058577804273521</v>
      </c>
      <c r="AL21" s="800">
        <f t="shared" si="39"/>
        <v>0.24547819101556814</v>
      </c>
      <c r="AM21" s="825">
        <f t="shared" si="14"/>
        <v>5.6271950620699016</v>
      </c>
      <c r="AN21" s="801">
        <f t="shared" si="6"/>
        <v>5.6271950620699016</v>
      </c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</row>
    <row r="22" spans="1:70" hidden="1" outlineLevel="1">
      <c r="A22" s="436" t="s">
        <v>429</v>
      </c>
      <c r="B22" s="2"/>
      <c r="C22" s="2"/>
      <c r="D22" s="1108"/>
      <c r="E22" s="2"/>
      <c r="F22" s="154"/>
      <c r="G22" s="154">
        <f t="shared" si="33"/>
        <v>32.429785027765917</v>
      </c>
      <c r="H22" s="154">
        <f t="shared" si="33"/>
        <v>37.058246414436027</v>
      </c>
      <c r="I22" s="154">
        <f t="shared" si="33"/>
        <v>1.3220076912805185</v>
      </c>
      <c r="J22" s="154">
        <f t="shared" si="33"/>
        <v>2.6912299429639126</v>
      </c>
      <c r="K22" s="301">
        <f t="shared" si="7"/>
        <v>73.501269076446377</v>
      </c>
      <c r="L22" s="279"/>
      <c r="M22" s="154"/>
      <c r="N22" s="154">
        <f t="shared" si="34"/>
        <v>47.609109461675224</v>
      </c>
      <c r="O22" s="154">
        <f t="shared" si="34"/>
        <v>54.40400263190277</v>
      </c>
      <c r="P22" s="154">
        <f t="shared" si="34"/>
        <v>1.940796364498339</v>
      </c>
      <c r="Q22" s="154">
        <f t="shared" si="34"/>
        <v>3.950906884871618</v>
      </c>
      <c r="R22" s="301">
        <f t="shared" si="13"/>
        <v>107.90481534294796</v>
      </c>
      <c r="S22" s="326"/>
      <c r="T22" s="154">
        <f t="shared" si="35"/>
        <v>8.284544639789253</v>
      </c>
      <c r="U22" s="154">
        <f t="shared" si="35"/>
        <v>9.466935918010158</v>
      </c>
      <c r="V22" s="154">
        <f t="shared" si="35"/>
        <v>0.33772137937951302</v>
      </c>
      <c r="W22" s="154">
        <f t="shared" si="35"/>
        <v>0.6875042365940085</v>
      </c>
      <c r="X22" s="279">
        <f t="shared" si="36"/>
        <v>18.776706173772933</v>
      </c>
      <c r="Y22" s="1068"/>
      <c r="Z22" s="279"/>
      <c r="AA22" s="279"/>
      <c r="AB22" s="342"/>
      <c r="AC22" s="154">
        <f t="shared" si="37"/>
        <v>0</v>
      </c>
      <c r="AD22" s="154">
        <f t="shared" si="37"/>
        <v>0</v>
      </c>
      <c r="AE22" s="154">
        <f t="shared" si="37"/>
        <v>0</v>
      </c>
      <c r="AF22" s="154">
        <f t="shared" si="37"/>
        <v>0</v>
      </c>
      <c r="AG22" s="279">
        <f t="shared" si="38"/>
        <v>0</v>
      </c>
      <c r="AH22" s="616"/>
      <c r="AI22" s="154">
        <f t="shared" si="39"/>
        <v>47.609109461675224</v>
      </c>
      <c r="AJ22" s="154">
        <f t="shared" si="39"/>
        <v>54.404002631902777</v>
      </c>
      <c r="AK22" s="154">
        <f t="shared" si="39"/>
        <v>1.9407963644983381</v>
      </c>
      <c r="AL22" s="154">
        <f t="shared" si="39"/>
        <v>3.950906884871618</v>
      </c>
      <c r="AM22" s="687">
        <f t="shared" si="14"/>
        <v>107.90481534294796</v>
      </c>
      <c r="AN22" s="301">
        <f t="shared" si="6"/>
        <v>107.90481534294796</v>
      </c>
      <c r="BG22" s="423"/>
      <c r="BH22" s="423"/>
      <c r="BI22" s="423"/>
      <c r="BJ22" s="423"/>
      <c r="BK22" s="423"/>
      <c r="BL22" s="423"/>
      <c r="BM22" s="423"/>
      <c r="BN22" s="423"/>
      <c r="BO22" s="423"/>
      <c r="BP22" s="423"/>
      <c r="BQ22" s="423"/>
      <c r="BR22" s="423"/>
    </row>
    <row r="23" spans="1:70" hidden="1" outlineLevel="1">
      <c r="A23" s="436" t="s">
        <v>65</v>
      </c>
      <c r="B23" s="2"/>
      <c r="C23" s="2"/>
      <c r="D23" s="1108"/>
      <c r="E23" s="2"/>
      <c r="F23" s="154"/>
      <c r="G23" s="154">
        <f t="shared" si="33"/>
        <v>455.29800060811488</v>
      </c>
      <c r="H23" s="154">
        <f t="shared" si="33"/>
        <v>274.54219958175702</v>
      </c>
      <c r="I23" s="154">
        <f t="shared" si="33"/>
        <v>12.551723776533217</v>
      </c>
      <c r="J23" s="154">
        <f t="shared" si="33"/>
        <v>25.551723402228333</v>
      </c>
      <c r="K23" s="301">
        <f t="shared" si="7"/>
        <v>767.94364736863349</v>
      </c>
      <c r="L23" s="279"/>
      <c r="M23" s="154"/>
      <c r="N23" s="154">
        <f t="shared" si="34"/>
        <v>668.408141776908</v>
      </c>
      <c r="O23" s="154">
        <f t="shared" si="34"/>
        <v>403.04644697909652</v>
      </c>
      <c r="P23" s="154">
        <f t="shared" si="34"/>
        <v>18.426776208909345</v>
      </c>
      <c r="Q23" s="154">
        <f t="shared" si="34"/>
        <v>37.511651568136877</v>
      </c>
      <c r="R23" s="301">
        <f t="shared" si="13"/>
        <v>1127.3930165330507</v>
      </c>
      <c r="S23" s="326"/>
      <c r="T23" s="154">
        <f t="shared" si="35"/>
        <v>116.31087308211397</v>
      </c>
      <c r="U23" s="154">
        <f t="shared" si="35"/>
        <v>70.134819148311905</v>
      </c>
      <c r="V23" s="154">
        <f t="shared" si="35"/>
        <v>3.2064756471238658</v>
      </c>
      <c r="W23" s="154">
        <f t="shared" si="35"/>
        <v>6.5274682816450111</v>
      </c>
      <c r="X23" s="279">
        <f t="shared" si="36"/>
        <v>196.17963615919476</v>
      </c>
      <c r="Y23" s="1068"/>
      <c r="Z23" s="279"/>
      <c r="AA23" s="279"/>
      <c r="AB23" s="342"/>
      <c r="AC23" s="154">
        <f t="shared" si="37"/>
        <v>0</v>
      </c>
      <c r="AD23" s="154">
        <f t="shared" si="37"/>
        <v>0</v>
      </c>
      <c r="AE23" s="154">
        <f t="shared" si="37"/>
        <v>0</v>
      </c>
      <c r="AF23" s="154">
        <f t="shared" si="37"/>
        <v>0</v>
      </c>
      <c r="AG23" s="279">
        <f t="shared" si="38"/>
        <v>0</v>
      </c>
      <c r="AH23" s="616"/>
      <c r="AI23" s="154">
        <f t="shared" si="39"/>
        <v>668.40814177690811</v>
      </c>
      <c r="AJ23" s="154">
        <f t="shared" si="39"/>
        <v>403.04644697909657</v>
      </c>
      <c r="AK23" s="154">
        <f t="shared" si="39"/>
        <v>18.426776208909338</v>
      </c>
      <c r="AL23" s="154">
        <f t="shared" si="39"/>
        <v>37.51165156813687</v>
      </c>
      <c r="AM23" s="687">
        <f t="shared" si="14"/>
        <v>1127.393016533051</v>
      </c>
      <c r="AN23" s="301">
        <f t="shared" si="6"/>
        <v>1127.393016533051</v>
      </c>
      <c r="BG23" s="423"/>
      <c r="BH23" s="423"/>
      <c r="BI23" s="423"/>
      <c r="BJ23" s="423"/>
      <c r="BK23" s="423"/>
      <c r="BL23" s="423"/>
      <c r="BM23" s="423"/>
      <c r="BN23" s="423"/>
      <c r="BO23" s="423"/>
      <c r="BP23" s="423"/>
      <c r="BQ23" s="423"/>
      <c r="BR23" s="423"/>
    </row>
    <row r="24" spans="1:70" hidden="1" outlineLevel="1">
      <c r="A24" s="436" t="s">
        <v>66</v>
      </c>
      <c r="B24" s="2"/>
      <c r="C24" s="2"/>
      <c r="D24" s="1108"/>
      <c r="E24" s="2"/>
      <c r="F24" s="817"/>
      <c r="G24" s="154">
        <f t="shared" si="33"/>
        <v>3835.1423320881681</v>
      </c>
      <c r="H24" s="154">
        <f t="shared" si="33"/>
        <v>1491.2408089595383</v>
      </c>
      <c r="I24" s="154">
        <f t="shared" si="33"/>
        <v>85.645174532237917</v>
      </c>
      <c r="J24" s="154">
        <f t="shared" si="33"/>
        <v>174.34910529777002</v>
      </c>
      <c r="K24" s="301">
        <f t="shared" si="7"/>
        <v>5586.3774208777149</v>
      </c>
      <c r="L24" s="279"/>
      <c r="M24" s="154"/>
      <c r="N24" s="154">
        <f t="shared" si="34"/>
        <v>5630.247346171459</v>
      </c>
      <c r="O24" s="154">
        <f t="shared" si="34"/>
        <v>2189.2419837715684</v>
      </c>
      <c r="P24" s="154">
        <f t="shared" si="34"/>
        <v>125.73288677919096</v>
      </c>
      <c r="Q24" s="154">
        <f t="shared" si="34"/>
        <v>255.95623380049585</v>
      </c>
      <c r="R24" s="301">
        <f t="shared" si="13"/>
        <v>8201.1784505227151</v>
      </c>
      <c r="S24" s="326"/>
      <c r="T24" s="154">
        <f t="shared" si="35"/>
        <v>979.72921568634513</v>
      </c>
      <c r="U24" s="154">
        <f t="shared" si="35"/>
        <v>380.95383734191262</v>
      </c>
      <c r="V24" s="154">
        <f t="shared" si="35"/>
        <v>21.879000153327446</v>
      </c>
      <c r="W24" s="154">
        <f t="shared" si="35"/>
        <v>44.539393169273716</v>
      </c>
      <c r="X24" s="279">
        <f t="shared" si="36"/>
        <v>1427.1014463508591</v>
      </c>
      <c r="Y24" s="1068"/>
      <c r="Z24" s="279"/>
      <c r="AA24" s="279"/>
      <c r="AB24" s="342"/>
      <c r="AC24" s="154">
        <f t="shared" si="37"/>
        <v>979.72921568634524</v>
      </c>
      <c r="AD24" s="154">
        <f t="shared" si="37"/>
        <v>380.95383734191267</v>
      </c>
      <c r="AE24" s="154">
        <f t="shared" si="37"/>
        <v>21.879000153327446</v>
      </c>
      <c r="AF24" s="154">
        <f t="shared" si="37"/>
        <v>44.539393169273723</v>
      </c>
      <c r="AG24" s="279">
        <f t="shared" si="38"/>
        <v>1427.1014463508593</v>
      </c>
      <c r="AH24" s="616"/>
      <c r="AI24" s="154">
        <f t="shared" si="39"/>
        <v>0</v>
      </c>
      <c r="AJ24" s="154">
        <f t="shared" si="39"/>
        <v>0</v>
      </c>
      <c r="AK24" s="154">
        <f t="shared" si="39"/>
        <v>0</v>
      </c>
      <c r="AL24" s="154">
        <f t="shared" si="39"/>
        <v>0</v>
      </c>
      <c r="AM24" s="687">
        <f t="shared" si="14"/>
        <v>0</v>
      </c>
      <c r="AN24" s="301">
        <f t="shared" si="6"/>
        <v>1427.1014463508593</v>
      </c>
      <c r="BG24" s="423"/>
      <c r="BH24" s="423"/>
      <c r="BI24" s="423"/>
      <c r="BJ24" s="423"/>
      <c r="BK24" s="423"/>
      <c r="BL24" s="423"/>
      <c r="BM24" s="423"/>
      <c r="BN24" s="423"/>
      <c r="BO24" s="423"/>
      <c r="BP24" s="423"/>
      <c r="BQ24" s="423"/>
      <c r="BR24" s="423"/>
    </row>
    <row r="25" spans="1:70" s="454" customFormat="1" ht="20" hidden="1" outlineLevel="1" thickBot="1">
      <c r="A25" s="1084" t="s">
        <v>328</v>
      </c>
      <c r="B25" s="943"/>
      <c r="C25" s="943"/>
      <c r="D25" s="1109"/>
      <c r="E25" s="943"/>
      <c r="F25" s="363"/>
      <c r="G25" s="363">
        <f t="shared" si="33"/>
        <v>0</v>
      </c>
      <c r="H25" s="363">
        <f t="shared" si="33"/>
        <v>0</v>
      </c>
      <c r="I25" s="363">
        <f t="shared" si="33"/>
        <v>0</v>
      </c>
      <c r="J25" s="363">
        <f t="shared" si="33"/>
        <v>0</v>
      </c>
      <c r="K25" s="364">
        <f t="shared" si="7"/>
        <v>0</v>
      </c>
      <c r="L25" s="630"/>
      <c r="M25" s="363"/>
      <c r="N25" s="363">
        <f t="shared" si="34"/>
        <v>0</v>
      </c>
      <c r="O25" s="363">
        <f t="shared" si="34"/>
        <v>0</v>
      </c>
      <c r="P25" s="363">
        <f t="shared" si="34"/>
        <v>0</v>
      </c>
      <c r="Q25" s="363">
        <f t="shared" si="34"/>
        <v>0</v>
      </c>
      <c r="R25" s="364">
        <f t="shared" si="13"/>
        <v>0</v>
      </c>
      <c r="S25" s="964"/>
      <c r="T25" s="363">
        <f t="shared" si="35"/>
        <v>0</v>
      </c>
      <c r="U25" s="363">
        <f t="shared" si="35"/>
        <v>0</v>
      </c>
      <c r="V25" s="363">
        <f t="shared" si="35"/>
        <v>0</v>
      </c>
      <c r="W25" s="363">
        <f t="shared" si="35"/>
        <v>0</v>
      </c>
      <c r="X25" s="630">
        <f t="shared" si="36"/>
        <v>0</v>
      </c>
      <c r="Y25" s="1069"/>
      <c r="Z25" s="630"/>
      <c r="AA25" s="630"/>
      <c r="AB25" s="474"/>
      <c r="AC25" s="363">
        <f t="shared" si="37"/>
        <v>0</v>
      </c>
      <c r="AD25" s="363">
        <f t="shared" si="37"/>
        <v>0</v>
      </c>
      <c r="AE25" s="363">
        <f t="shared" si="37"/>
        <v>0</v>
      </c>
      <c r="AF25" s="363">
        <f t="shared" si="37"/>
        <v>0</v>
      </c>
      <c r="AG25" s="630">
        <f t="shared" si="38"/>
        <v>0</v>
      </c>
      <c r="AH25" s="670"/>
      <c r="AI25" s="363">
        <f t="shared" si="39"/>
        <v>0</v>
      </c>
      <c r="AJ25" s="363">
        <f t="shared" si="39"/>
        <v>0</v>
      </c>
      <c r="AK25" s="363">
        <f t="shared" si="39"/>
        <v>0</v>
      </c>
      <c r="AL25" s="363">
        <f t="shared" si="39"/>
        <v>0</v>
      </c>
      <c r="AM25" s="689">
        <f t="shared" si="14"/>
        <v>0</v>
      </c>
      <c r="AN25" s="364">
        <f t="shared" si="6"/>
        <v>0</v>
      </c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88"/>
    </row>
    <row r="26" spans="1:70" collapsed="1">
      <c r="A26" s="436"/>
      <c r="B26" s="2"/>
      <c r="C26" s="2"/>
      <c r="D26" s="1108"/>
      <c r="E26" s="2"/>
      <c r="F26" s="154"/>
      <c r="G26" s="154"/>
      <c r="H26" s="154"/>
      <c r="I26" s="154"/>
      <c r="J26" s="154"/>
      <c r="K26" s="301"/>
      <c r="L26" s="279"/>
      <c r="M26" s="154"/>
      <c r="N26" s="154"/>
      <c r="O26" s="154"/>
      <c r="P26" s="154"/>
      <c r="Q26" s="154"/>
      <c r="R26" s="301"/>
      <c r="S26" s="326"/>
      <c r="T26" s="154"/>
      <c r="U26" s="154"/>
      <c r="V26" s="154"/>
      <c r="W26" s="154"/>
      <c r="X26" s="279"/>
      <c r="Y26" s="1068"/>
      <c r="Z26" s="279"/>
      <c r="AA26" s="279"/>
      <c r="AB26" s="342"/>
      <c r="AC26" s="154"/>
      <c r="AD26" s="154"/>
      <c r="AE26" s="154"/>
      <c r="AF26" s="154"/>
      <c r="AG26" s="279"/>
      <c r="AH26" s="616"/>
      <c r="AI26" s="154"/>
      <c r="AJ26" s="154"/>
      <c r="AK26" s="154"/>
      <c r="AL26" s="154"/>
      <c r="AM26" s="687"/>
      <c r="AN26" s="301"/>
      <c r="BG26" s="423"/>
      <c r="BH26" s="423"/>
      <c r="BI26" s="423"/>
      <c r="BJ26" s="423"/>
      <c r="BK26" s="423"/>
      <c r="BL26" s="423"/>
      <c r="BM26" s="423"/>
      <c r="BN26" s="423"/>
      <c r="BO26" s="423"/>
      <c r="BP26" s="423"/>
      <c r="BQ26" s="423"/>
      <c r="BR26" s="423"/>
    </row>
    <row r="27" spans="1:70">
      <c r="A27" s="436"/>
      <c r="B27" s="2"/>
      <c r="C27" s="2"/>
      <c r="D27" s="1108"/>
      <c r="E27" s="2"/>
      <c r="F27" s="154"/>
      <c r="G27" s="154"/>
      <c r="H27" s="154"/>
      <c r="I27" s="154"/>
      <c r="J27" s="154"/>
      <c r="K27" s="301"/>
      <c r="L27" s="279"/>
      <c r="M27" s="154"/>
      <c r="N27" s="154"/>
      <c r="O27" s="154"/>
      <c r="P27" s="154"/>
      <c r="Q27" s="154"/>
      <c r="R27" s="301"/>
      <c r="S27" s="326"/>
      <c r="T27" s="154"/>
      <c r="U27" s="154"/>
      <c r="V27" s="154"/>
      <c r="W27" s="154"/>
      <c r="X27" s="279"/>
      <c r="Y27" s="1068"/>
      <c r="Z27" s="279"/>
      <c r="AA27" s="279"/>
      <c r="AB27" s="342"/>
      <c r="AC27" s="154"/>
      <c r="AD27" s="154"/>
      <c r="AE27" s="154"/>
      <c r="AF27" s="154"/>
      <c r="AG27" s="279"/>
      <c r="AH27" s="616"/>
      <c r="AI27" s="154"/>
      <c r="AJ27" s="154"/>
      <c r="AK27" s="154"/>
      <c r="AL27" s="154"/>
      <c r="AM27" s="687"/>
      <c r="AN27" s="301"/>
      <c r="BG27" s="423"/>
      <c r="BH27" s="423"/>
      <c r="BI27" s="423"/>
      <c r="BJ27" s="423"/>
      <c r="BK27" s="423"/>
      <c r="BL27" s="423"/>
      <c r="BM27" s="423"/>
      <c r="BN27" s="423"/>
      <c r="BO27" s="423"/>
      <c r="BP27" s="423"/>
      <c r="BQ27" s="423"/>
      <c r="BR27" s="423"/>
    </row>
    <row r="28" spans="1:70" s="987" customFormat="1" ht="20">
      <c r="A28" s="416" t="s">
        <v>63</v>
      </c>
      <c r="B28" s="979"/>
      <c r="C28" s="979"/>
      <c r="D28" s="1110"/>
      <c r="E28" s="979"/>
      <c r="F28" s="980"/>
      <c r="G28" s="981">
        <f t="shared" ref="G28:K32" si="40">G40/G20</f>
        <v>20930.298172291186</v>
      </c>
      <c r="H28" s="981">
        <f t="shared" si="40"/>
        <v>21327.658677944863</v>
      </c>
      <c r="I28" s="981">
        <f t="shared" si="40"/>
        <v>21106.467446786348</v>
      </c>
      <c r="J28" s="981">
        <f t="shared" si="40"/>
        <v>21106.467446786348</v>
      </c>
      <c r="K28" s="982">
        <f t="shared" si="40"/>
        <v>21050.155495653511</v>
      </c>
      <c r="L28" s="983"/>
      <c r="M28" s="980"/>
      <c r="N28" s="981">
        <f t="shared" ref="N28:R32" si="41">N40/N20</f>
        <v>23817.575828985242</v>
      </c>
      <c r="O28" s="981">
        <f t="shared" si="41"/>
        <v>24219.664902178411</v>
      </c>
      <c r="P28" s="981">
        <f t="shared" si="41"/>
        <v>23995.8415078814</v>
      </c>
      <c r="Q28" s="981">
        <f t="shared" si="41"/>
        <v>23995.8415078814</v>
      </c>
      <c r="R28" s="982">
        <f t="shared" si="41"/>
        <v>23938.859447715513</v>
      </c>
      <c r="S28" s="1055"/>
      <c r="T28" s="981">
        <f t="shared" ref="T28:X32" si="42">T40/T20</f>
        <v>23817.575828985242</v>
      </c>
      <c r="U28" s="981">
        <f t="shared" si="42"/>
        <v>24219.664902178414</v>
      </c>
      <c r="V28" s="981">
        <f t="shared" si="42"/>
        <v>23995.8415078814</v>
      </c>
      <c r="W28" s="981">
        <f t="shared" si="42"/>
        <v>23995.841507881396</v>
      </c>
      <c r="X28" s="982">
        <f t="shared" si="42"/>
        <v>23938.85944771552</v>
      </c>
      <c r="Y28" s="1070"/>
      <c r="Z28" s="983"/>
      <c r="AA28" s="983"/>
      <c r="AB28" s="984"/>
      <c r="AC28" s="981">
        <f t="shared" ref="AC28:AG32" si="43">AC40/AC20</f>
        <v>23361.308724832215</v>
      </c>
      <c r="AD28" s="981">
        <f t="shared" si="43"/>
        <v>23361.308724832215</v>
      </c>
      <c r="AE28" s="981">
        <f t="shared" si="43"/>
        <v>23361.308724832215</v>
      </c>
      <c r="AF28" s="981">
        <f t="shared" si="43"/>
        <v>23361.308724832215</v>
      </c>
      <c r="AG28" s="982">
        <f t="shared" si="43"/>
        <v>23361.308724832212</v>
      </c>
      <c r="AH28" s="985"/>
      <c r="AI28" s="981">
        <f t="shared" ref="AI28:AN32" si="44">AI40/AI20</f>
        <v>27401.865524543398</v>
      </c>
      <c r="AJ28" s="981">
        <f t="shared" si="44"/>
        <v>28286.922959599062</v>
      </c>
      <c r="AK28" s="981">
        <f t="shared" si="44"/>
        <v>27889.878111867318</v>
      </c>
      <c r="AL28" s="981">
        <f t="shared" si="44"/>
        <v>27889.878111867311</v>
      </c>
      <c r="AM28" s="982">
        <f t="shared" si="44"/>
        <v>27755.847935957816</v>
      </c>
      <c r="AN28" s="982">
        <f t="shared" si="44"/>
        <v>25405.251595542959</v>
      </c>
      <c r="AO28" s="986"/>
      <c r="AP28" s="986"/>
      <c r="AQ28" s="986"/>
      <c r="AR28" s="986"/>
      <c r="AS28" s="986"/>
      <c r="AT28" s="986"/>
      <c r="AU28" s="986"/>
      <c r="AV28" s="986"/>
      <c r="AW28" s="986"/>
      <c r="AX28" s="986"/>
      <c r="AY28" s="986"/>
      <c r="AZ28" s="986"/>
    </row>
    <row r="29" spans="1:70" hidden="1" outlineLevel="1">
      <c r="A29" s="1083" t="s">
        <v>327</v>
      </c>
      <c r="B29" s="2"/>
      <c r="C29" s="2"/>
      <c r="D29" s="1108"/>
      <c r="E29" s="2"/>
      <c r="F29" s="154"/>
      <c r="G29" s="169">
        <f t="shared" si="40"/>
        <v>55362.5</v>
      </c>
      <c r="H29" s="169">
        <f t="shared" si="40"/>
        <v>55362.5</v>
      </c>
      <c r="I29" s="169">
        <f t="shared" si="40"/>
        <v>55362.500000000007</v>
      </c>
      <c r="J29" s="169">
        <f t="shared" si="40"/>
        <v>55362.499999999993</v>
      </c>
      <c r="K29" s="169">
        <f t="shared" si="40"/>
        <v>55362.5</v>
      </c>
      <c r="L29" s="279"/>
      <c r="M29" s="154"/>
      <c r="N29" s="169">
        <f t="shared" si="41"/>
        <v>59174.344262295082</v>
      </c>
      <c r="O29" s="169">
        <f t="shared" si="41"/>
        <v>59174.344262295075</v>
      </c>
      <c r="P29" s="169">
        <f t="shared" si="41"/>
        <v>59174.344262295082</v>
      </c>
      <c r="Q29" s="169">
        <f t="shared" si="41"/>
        <v>59174.344262295082</v>
      </c>
      <c r="R29" s="169">
        <f t="shared" si="41"/>
        <v>59174.344262295082</v>
      </c>
      <c r="S29" s="326"/>
      <c r="T29" s="169">
        <f t="shared" si="42"/>
        <v>59174.344262295082</v>
      </c>
      <c r="U29" s="169">
        <f t="shared" si="42"/>
        <v>59174.344262295082</v>
      </c>
      <c r="V29" s="169">
        <f t="shared" si="42"/>
        <v>59174.34426229509</v>
      </c>
      <c r="W29" s="169">
        <f t="shared" si="42"/>
        <v>59174.344262295082</v>
      </c>
      <c r="X29" s="169">
        <f t="shared" si="42"/>
        <v>59174.344262295082</v>
      </c>
      <c r="Y29" s="1068"/>
      <c r="Z29" s="279"/>
      <c r="AA29" s="279"/>
      <c r="AB29" s="342"/>
      <c r="AC29" s="169" t="e">
        <f t="shared" si="43"/>
        <v>#DIV/0!</v>
      </c>
      <c r="AD29" s="169" t="e">
        <f t="shared" si="43"/>
        <v>#DIV/0!</v>
      </c>
      <c r="AE29" s="169" t="e">
        <f t="shared" si="43"/>
        <v>#DIV/0!</v>
      </c>
      <c r="AF29" s="169" t="e">
        <f t="shared" si="43"/>
        <v>#DIV/0!</v>
      </c>
      <c r="AG29" s="169" t="e">
        <f t="shared" si="43"/>
        <v>#DIV/0!</v>
      </c>
      <c r="AH29" s="616"/>
      <c r="AI29" s="169">
        <f t="shared" si="44"/>
        <v>59174.344262295082</v>
      </c>
      <c r="AJ29" s="169">
        <f t="shared" si="44"/>
        <v>59174.344262295075</v>
      </c>
      <c r="AK29" s="169">
        <f t="shared" si="44"/>
        <v>59174.344262295082</v>
      </c>
      <c r="AL29" s="169">
        <f t="shared" si="44"/>
        <v>59174.344262295082</v>
      </c>
      <c r="AM29" s="169">
        <f t="shared" si="44"/>
        <v>59174.344262295082</v>
      </c>
      <c r="AN29" s="169">
        <f t="shared" si="44"/>
        <v>59174.344262295082</v>
      </c>
      <c r="BG29" s="423"/>
      <c r="BH29" s="423"/>
      <c r="BI29" s="423"/>
      <c r="BJ29" s="423"/>
      <c r="BK29" s="423"/>
      <c r="BL29" s="423"/>
      <c r="BM29" s="423"/>
      <c r="BN29" s="423"/>
      <c r="BO29" s="423"/>
      <c r="BP29" s="423"/>
      <c r="BQ29" s="423"/>
      <c r="BR29" s="423"/>
    </row>
    <row r="30" spans="1:70" hidden="1" outlineLevel="1">
      <c r="A30" s="436" t="s">
        <v>429</v>
      </c>
      <c r="B30" s="2"/>
      <c r="C30" s="2"/>
      <c r="D30" s="1108"/>
      <c r="E30" s="2"/>
      <c r="F30" s="154"/>
      <c r="G30" s="169">
        <f t="shared" si="40"/>
        <v>35026.5</v>
      </c>
      <c r="H30" s="169">
        <f t="shared" si="40"/>
        <v>35026.5</v>
      </c>
      <c r="I30" s="169">
        <f t="shared" si="40"/>
        <v>35026.5</v>
      </c>
      <c r="J30" s="169">
        <f t="shared" si="40"/>
        <v>35026.5</v>
      </c>
      <c r="K30" s="169">
        <f t="shared" si="40"/>
        <v>35026.499999999993</v>
      </c>
      <c r="L30" s="279"/>
      <c r="M30" s="154"/>
      <c r="N30" s="169">
        <f t="shared" si="41"/>
        <v>38183.394849785407</v>
      </c>
      <c r="O30" s="169">
        <f t="shared" si="41"/>
        <v>38183.394849785407</v>
      </c>
      <c r="P30" s="169">
        <f t="shared" si="41"/>
        <v>38183.394849785407</v>
      </c>
      <c r="Q30" s="169">
        <f t="shared" si="41"/>
        <v>38183.394849785407</v>
      </c>
      <c r="R30" s="169">
        <f t="shared" si="41"/>
        <v>38183.3948497854</v>
      </c>
      <c r="S30" s="326"/>
      <c r="T30" s="169">
        <f t="shared" si="42"/>
        <v>38183.394849785407</v>
      </c>
      <c r="U30" s="169">
        <f t="shared" si="42"/>
        <v>38183.394849785407</v>
      </c>
      <c r="V30" s="169">
        <f t="shared" si="42"/>
        <v>38183.394849785407</v>
      </c>
      <c r="W30" s="169">
        <f t="shared" si="42"/>
        <v>38183.394849785407</v>
      </c>
      <c r="X30" s="169">
        <f t="shared" si="42"/>
        <v>38183.394849785414</v>
      </c>
      <c r="Y30" s="1068"/>
      <c r="Z30" s="279"/>
      <c r="AA30" s="279"/>
      <c r="AB30" s="342"/>
      <c r="AC30" s="169" t="e">
        <f t="shared" si="43"/>
        <v>#DIV/0!</v>
      </c>
      <c r="AD30" s="169" t="e">
        <f t="shared" si="43"/>
        <v>#DIV/0!</v>
      </c>
      <c r="AE30" s="169" t="e">
        <f t="shared" si="43"/>
        <v>#DIV/0!</v>
      </c>
      <c r="AF30" s="169" t="e">
        <f t="shared" si="43"/>
        <v>#DIV/0!</v>
      </c>
      <c r="AG30" s="169" t="e">
        <f t="shared" si="43"/>
        <v>#DIV/0!</v>
      </c>
      <c r="AH30" s="616"/>
      <c r="AI30" s="169">
        <f t="shared" si="44"/>
        <v>38183.394849785407</v>
      </c>
      <c r="AJ30" s="169">
        <f t="shared" si="44"/>
        <v>38183.394849785407</v>
      </c>
      <c r="AK30" s="169">
        <f t="shared" si="44"/>
        <v>38183.394849785407</v>
      </c>
      <c r="AL30" s="169">
        <f t="shared" si="44"/>
        <v>38183.394849785407</v>
      </c>
      <c r="AM30" s="169">
        <f t="shared" si="44"/>
        <v>38183.394849785407</v>
      </c>
      <c r="AN30" s="169">
        <f t="shared" si="44"/>
        <v>38183.394849785407</v>
      </c>
      <c r="BG30" s="423"/>
      <c r="BH30" s="423"/>
      <c r="BI30" s="423"/>
      <c r="BJ30" s="423"/>
      <c r="BK30" s="423"/>
      <c r="BL30" s="423"/>
      <c r="BM30" s="423"/>
      <c r="BN30" s="423"/>
      <c r="BO30" s="423"/>
      <c r="BP30" s="423"/>
      <c r="BQ30" s="423"/>
      <c r="BR30" s="423"/>
    </row>
    <row r="31" spans="1:70" hidden="1" outlineLevel="1">
      <c r="A31" s="436" t="s">
        <v>65</v>
      </c>
      <c r="B31" s="2"/>
      <c r="C31" s="2"/>
      <c r="D31" s="1108"/>
      <c r="E31" s="2"/>
      <c r="F31" s="154"/>
      <c r="G31" s="169">
        <f t="shared" si="40"/>
        <v>23721.5</v>
      </c>
      <c r="H31" s="169">
        <f t="shared" si="40"/>
        <v>23721.5</v>
      </c>
      <c r="I31" s="169">
        <f t="shared" si="40"/>
        <v>23721.5</v>
      </c>
      <c r="J31" s="169">
        <f t="shared" si="40"/>
        <v>23721.5</v>
      </c>
      <c r="K31" s="169">
        <f t="shared" si="40"/>
        <v>23721.5</v>
      </c>
      <c r="L31" s="279"/>
      <c r="M31" s="154"/>
      <c r="N31" s="169">
        <f t="shared" si="41"/>
        <v>26600.988439306362</v>
      </c>
      <c r="O31" s="169">
        <f t="shared" si="41"/>
        <v>26600.988439306362</v>
      </c>
      <c r="P31" s="169">
        <f t="shared" si="41"/>
        <v>26600.988439306362</v>
      </c>
      <c r="Q31" s="169">
        <f t="shared" si="41"/>
        <v>26600.988439306362</v>
      </c>
      <c r="R31" s="169">
        <f t="shared" si="41"/>
        <v>26600.988439306362</v>
      </c>
      <c r="S31" s="326"/>
      <c r="T31" s="169">
        <f t="shared" si="42"/>
        <v>26600.988439306362</v>
      </c>
      <c r="U31" s="169">
        <f t="shared" si="42"/>
        <v>26600.988439306362</v>
      </c>
      <c r="V31" s="169">
        <f t="shared" si="42"/>
        <v>26600.988439306362</v>
      </c>
      <c r="W31" s="169">
        <f t="shared" si="42"/>
        <v>26600.988439306362</v>
      </c>
      <c r="X31" s="169">
        <f t="shared" si="42"/>
        <v>26600.988439306366</v>
      </c>
      <c r="Y31" s="1068"/>
      <c r="Z31" s="279"/>
      <c r="AA31" s="279"/>
      <c r="AB31" s="342"/>
      <c r="AC31" s="169" t="e">
        <f t="shared" si="43"/>
        <v>#DIV/0!</v>
      </c>
      <c r="AD31" s="169" t="e">
        <f t="shared" si="43"/>
        <v>#DIV/0!</v>
      </c>
      <c r="AE31" s="169" t="e">
        <f t="shared" si="43"/>
        <v>#DIV/0!</v>
      </c>
      <c r="AF31" s="169" t="e">
        <f t="shared" si="43"/>
        <v>#DIV/0!</v>
      </c>
      <c r="AG31" s="169" t="e">
        <f t="shared" si="43"/>
        <v>#DIV/0!</v>
      </c>
      <c r="AH31" s="616"/>
      <c r="AI31" s="169">
        <f t="shared" si="44"/>
        <v>26600.988439306366</v>
      </c>
      <c r="AJ31" s="169">
        <f t="shared" si="44"/>
        <v>26600.988439306362</v>
      </c>
      <c r="AK31" s="169">
        <f t="shared" si="44"/>
        <v>26600.988439306362</v>
      </c>
      <c r="AL31" s="169">
        <f t="shared" si="44"/>
        <v>26600.988439306362</v>
      </c>
      <c r="AM31" s="169">
        <f t="shared" si="44"/>
        <v>26600.988439306362</v>
      </c>
      <c r="AN31" s="169">
        <f t="shared" si="44"/>
        <v>26600.988439306362</v>
      </c>
      <c r="BG31" s="423"/>
      <c r="BH31" s="423"/>
      <c r="BI31" s="423"/>
      <c r="BJ31" s="423"/>
      <c r="BK31" s="423"/>
      <c r="BL31" s="423"/>
      <c r="BM31" s="423"/>
      <c r="BN31" s="423"/>
      <c r="BO31" s="423"/>
      <c r="BP31" s="423"/>
      <c r="BQ31" s="423"/>
      <c r="BR31" s="423"/>
    </row>
    <row r="32" spans="1:70" hidden="1" outlineLevel="1">
      <c r="A32" s="436" t="s">
        <v>66</v>
      </c>
      <c r="B32" s="2"/>
      <c r="C32" s="2"/>
      <c r="D32" s="1108"/>
      <c r="E32" s="2"/>
      <c r="F32" s="154"/>
      <c r="G32" s="169">
        <f t="shared" si="40"/>
        <v>20475.5</v>
      </c>
      <c r="H32" s="169">
        <f t="shared" si="40"/>
        <v>20475.5</v>
      </c>
      <c r="I32" s="169">
        <f t="shared" si="40"/>
        <v>20475.5</v>
      </c>
      <c r="J32" s="169">
        <f t="shared" si="40"/>
        <v>20475.5</v>
      </c>
      <c r="K32" s="169">
        <f t="shared" si="40"/>
        <v>20475.5</v>
      </c>
      <c r="L32" s="279"/>
      <c r="M32" s="154"/>
      <c r="N32" s="169">
        <f t="shared" si="41"/>
        <v>23361.308724832215</v>
      </c>
      <c r="O32" s="169">
        <f t="shared" si="41"/>
        <v>23361.308724832215</v>
      </c>
      <c r="P32" s="169">
        <f t="shared" si="41"/>
        <v>23361.308724832215</v>
      </c>
      <c r="Q32" s="169">
        <f t="shared" si="41"/>
        <v>23361.308724832215</v>
      </c>
      <c r="R32" s="169">
        <f t="shared" si="41"/>
        <v>23361.308724832215</v>
      </c>
      <c r="S32" s="326"/>
      <c r="T32" s="169">
        <f t="shared" si="42"/>
        <v>23361.308724832215</v>
      </c>
      <c r="U32" s="169">
        <f t="shared" si="42"/>
        <v>23361.308724832215</v>
      </c>
      <c r="V32" s="169">
        <f t="shared" si="42"/>
        <v>23361.308724832215</v>
      </c>
      <c r="W32" s="169">
        <f t="shared" si="42"/>
        <v>23361.308724832215</v>
      </c>
      <c r="X32" s="169">
        <f t="shared" si="42"/>
        <v>23361.308724832212</v>
      </c>
      <c r="Y32" s="1068"/>
      <c r="Z32" s="279"/>
      <c r="AA32" s="279"/>
      <c r="AB32" s="342"/>
      <c r="AC32" s="169">
        <f t="shared" si="43"/>
        <v>23361.308724832215</v>
      </c>
      <c r="AD32" s="169">
        <f t="shared" si="43"/>
        <v>23361.308724832215</v>
      </c>
      <c r="AE32" s="169">
        <f t="shared" si="43"/>
        <v>23361.308724832215</v>
      </c>
      <c r="AF32" s="169">
        <f t="shared" si="43"/>
        <v>23361.308724832215</v>
      </c>
      <c r="AG32" s="169">
        <f t="shared" si="43"/>
        <v>23361.308724832212</v>
      </c>
      <c r="AH32" s="616"/>
      <c r="AI32" s="169" t="e">
        <f t="shared" si="44"/>
        <v>#DIV/0!</v>
      </c>
      <c r="AJ32" s="169" t="e">
        <f t="shared" si="44"/>
        <v>#DIV/0!</v>
      </c>
      <c r="AK32" s="169" t="e">
        <f t="shared" si="44"/>
        <v>#DIV/0!</v>
      </c>
      <c r="AL32" s="169" t="e">
        <f t="shared" si="44"/>
        <v>#DIV/0!</v>
      </c>
      <c r="AM32" s="169" t="e">
        <f t="shared" si="44"/>
        <v>#DIV/0!</v>
      </c>
      <c r="AN32" s="169">
        <f t="shared" si="44"/>
        <v>23361.308724832212</v>
      </c>
      <c r="BG32" s="423"/>
      <c r="BH32" s="423"/>
      <c r="BI32" s="423"/>
      <c r="BJ32" s="423"/>
      <c r="BK32" s="423"/>
      <c r="BL32" s="423"/>
      <c r="BM32" s="423"/>
      <c r="BN32" s="423"/>
      <c r="BO32" s="423"/>
      <c r="BP32" s="423"/>
      <c r="BQ32" s="423"/>
      <c r="BR32" s="423"/>
    </row>
    <row r="33" spans="1:70" ht="20" hidden="1" outlineLevel="1" thickBot="1">
      <c r="A33" s="1084" t="s">
        <v>328</v>
      </c>
      <c r="B33" s="2"/>
      <c r="C33" s="2"/>
      <c r="D33" s="1108"/>
      <c r="E33" s="2"/>
      <c r="F33" s="154"/>
      <c r="G33" s="169"/>
      <c r="H33" s="154"/>
      <c r="I33" s="154"/>
      <c r="J33" s="154"/>
      <c r="K33" s="301"/>
      <c r="L33" s="279"/>
      <c r="M33" s="154"/>
      <c r="N33" s="154"/>
      <c r="O33" s="154"/>
      <c r="P33" s="154"/>
      <c r="Q33" s="154"/>
      <c r="R33" s="301"/>
      <c r="S33" s="326"/>
      <c r="T33" s="154"/>
      <c r="U33" s="154"/>
      <c r="V33" s="154"/>
      <c r="W33" s="154"/>
      <c r="X33" s="279"/>
      <c r="Y33" s="1068"/>
      <c r="Z33" s="279"/>
      <c r="AA33" s="279"/>
      <c r="AB33" s="342"/>
      <c r="AC33" s="154"/>
      <c r="AD33" s="154"/>
      <c r="AE33" s="154"/>
      <c r="AF33" s="154"/>
      <c r="AG33" s="279"/>
      <c r="AH33" s="616"/>
      <c r="AI33" s="154"/>
      <c r="AJ33" s="154"/>
      <c r="AK33" s="154"/>
      <c r="AL33" s="154"/>
      <c r="AM33" s="687"/>
      <c r="AN33" s="301"/>
      <c r="BG33" s="423"/>
      <c r="BH33" s="423"/>
      <c r="BI33" s="423"/>
      <c r="BJ33" s="423"/>
      <c r="BK33" s="423"/>
      <c r="BL33" s="423"/>
      <c r="BM33" s="423"/>
      <c r="BN33" s="423"/>
      <c r="BO33" s="423"/>
      <c r="BP33" s="423"/>
      <c r="BQ33" s="423"/>
      <c r="BR33" s="423"/>
    </row>
    <row r="34" spans="1:70" s="987" customFormat="1" collapsed="1">
      <c r="A34" s="1085" t="s">
        <v>593</v>
      </c>
      <c r="B34" s="979"/>
      <c r="C34" s="979"/>
      <c r="D34" s="1110"/>
      <c r="E34" s="979"/>
      <c r="F34" s="980"/>
      <c r="G34" s="981">
        <f>G46/G20</f>
        <v>16112.474225342201</v>
      </c>
      <c r="H34" s="981">
        <f>H46/H20</f>
        <v>16168.106315557559</v>
      </c>
      <c r="I34" s="981">
        <f>I46/I20</f>
        <v>17221.010402154367</v>
      </c>
      <c r="J34" s="981">
        <f>J46/J20</f>
        <v>16648.215681360187</v>
      </c>
      <c r="K34" s="982">
        <f>K46/K20</f>
        <v>16162.151459236708</v>
      </c>
      <c r="L34" s="983"/>
      <c r="M34" s="980"/>
      <c r="N34" s="981">
        <f>N46/N20</f>
        <v>14706.779538391369</v>
      </c>
      <c r="O34" s="981">
        <f>O46/O20</f>
        <v>14750.884359331754</v>
      </c>
      <c r="P34" s="981">
        <f>P46/P20</f>
        <v>15464.631730406552</v>
      </c>
      <c r="Q34" s="981">
        <f>Q46/Q20</f>
        <v>15074.462498710513</v>
      </c>
      <c r="R34" s="982">
        <f>R46/R20</f>
        <v>14742.491220573736</v>
      </c>
      <c r="S34" s="1055"/>
      <c r="T34" s="981">
        <f>T46/T20</f>
        <v>4368.1180563890457</v>
      </c>
      <c r="U34" s="981">
        <f>U46/U20</f>
        <v>4529.1225641278124</v>
      </c>
      <c r="V34" s="981">
        <f>V46/V20</f>
        <v>8682.3067067687352</v>
      </c>
      <c r="W34" s="981">
        <f>W46/W20</f>
        <v>6440.1062638887506</v>
      </c>
      <c r="X34" s="982">
        <f>X46/X20</f>
        <v>4545.4563963835717</v>
      </c>
      <c r="Y34" s="1070"/>
      <c r="Z34" s="983"/>
      <c r="AA34" s="983"/>
      <c r="AB34" s="984"/>
      <c r="AC34" s="981">
        <f>AC46/AC20</f>
        <v>3639.4694688769719</v>
      </c>
      <c r="AD34" s="981">
        <f>AD46/AD20</f>
        <v>3795.7240606167093</v>
      </c>
      <c r="AE34" s="981">
        <f>AE46/AE20</f>
        <v>7991.6944479226704</v>
      </c>
      <c r="AF34" s="981">
        <f>AF46/AF20</f>
        <v>5726.8262321663187</v>
      </c>
      <c r="AG34" s="982">
        <f>AG46/AG20</f>
        <v>3813.050486195335</v>
      </c>
      <c r="AH34" s="985"/>
      <c r="AI34" s="981">
        <f t="shared" ref="AI34:AN34" si="45">AI46/AI20</f>
        <v>15713.320383630118</v>
      </c>
      <c r="AJ34" s="981">
        <f t="shared" si="45"/>
        <v>15758.274603111709</v>
      </c>
      <c r="AK34" s="981">
        <f t="shared" si="45"/>
        <v>16430.601167861802</v>
      </c>
      <c r="AL34" s="981">
        <f t="shared" si="45"/>
        <v>16064.638514313501</v>
      </c>
      <c r="AM34" s="981">
        <f t="shared" si="45"/>
        <v>15753.708192580854</v>
      </c>
      <c r="AN34" s="982">
        <f t="shared" si="45"/>
        <v>9366.7663635677727</v>
      </c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</row>
    <row r="35" spans="1:70" s="978" customFormat="1">
      <c r="A35" s="1086" t="s">
        <v>587</v>
      </c>
      <c r="B35" s="971"/>
      <c r="C35" s="971"/>
      <c r="D35" s="1111"/>
      <c r="E35" s="971"/>
      <c r="F35" s="972"/>
      <c r="G35" s="973">
        <f>G47/G20</f>
        <v>13270.971671523726</v>
      </c>
      <c r="H35" s="973">
        <f>H47/H20</f>
        <v>13270.971671523726</v>
      </c>
      <c r="I35" s="973">
        <f>I47/I20</f>
        <v>13270.971671523725</v>
      </c>
      <c r="J35" s="973">
        <f>J47/J20</f>
        <v>13270.971671523726</v>
      </c>
      <c r="K35" s="973">
        <f>K47/K20</f>
        <v>13270.971671523728</v>
      </c>
      <c r="L35" s="974"/>
      <c r="M35" s="972"/>
      <c r="N35" s="973">
        <f>N47/N20</f>
        <v>13312.110077203903</v>
      </c>
      <c r="O35" s="973">
        <f>O47/O20</f>
        <v>13312.110077203903</v>
      </c>
      <c r="P35" s="973">
        <f>P47/P20</f>
        <v>13312.110077203903</v>
      </c>
      <c r="Q35" s="973">
        <f>Q47/Q20</f>
        <v>13312.110077203903</v>
      </c>
      <c r="R35" s="973">
        <f>R47/R20</f>
        <v>13312.110077203901</v>
      </c>
      <c r="S35" s="1056"/>
      <c r="T35" s="973">
        <f>T47/T20</f>
        <v>2844.9196199775711</v>
      </c>
      <c r="U35" s="973">
        <f>U47/U20</f>
        <v>2844.9196199775711</v>
      </c>
      <c r="V35" s="973">
        <f>V47/V20</f>
        <v>2844.9196199775711</v>
      </c>
      <c r="W35" s="973">
        <f>W47/W20</f>
        <v>2844.9196199775706</v>
      </c>
      <c r="X35" s="973">
        <f>X47/X20</f>
        <v>2844.9196199775706</v>
      </c>
      <c r="Y35" s="1071"/>
      <c r="Z35" s="974"/>
      <c r="AA35" s="974"/>
      <c r="AB35" s="975"/>
      <c r="AC35" s="973">
        <f>AC47/AC20</f>
        <v>2143.4591676507544</v>
      </c>
      <c r="AD35" s="973">
        <f>AD47/AD20</f>
        <v>2143.4591676507544</v>
      </c>
      <c r="AE35" s="973">
        <f>AE47/AE20</f>
        <v>2143.4591676507544</v>
      </c>
      <c r="AF35" s="973">
        <f>AF47/AF20</f>
        <v>2143.4591676507544</v>
      </c>
      <c r="AG35" s="973">
        <f>AG47/AG20</f>
        <v>2143.4591676507539</v>
      </c>
      <c r="AH35" s="976"/>
      <c r="AI35" s="973">
        <f t="shared" ref="AI35:AN35" si="46">AI47/AI20</f>
        <v>14118.810888568463</v>
      </c>
      <c r="AJ35" s="973">
        <f t="shared" si="46"/>
        <v>14118.810888568461</v>
      </c>
      <c r="AK35" s="973">
        <f t="shared" si="46"/>
        <v>14118.810888568467</v>
      </c>
      <c r="AL35" s="973">
        <f t="shared" si="46"/>
        <v>14118.810888568463</v>
      </c>
      <c r="AM35" s="973">
        <f t="shared" si="46"/>
        <v>14118.810888568461</v>
      </c>
      <c r="AN35" s="973">
        <f t="shared" si="46"/>
        <v>7713.3115681607869</v>
      </c>
      <c r="AO35" s="977"/>
      <c r="AP35" s="977"/>
      <c r="AQ35" s="977"/>
      <c r="AR35" s="977"/>
      <c r="AS35" s="977"/>
      <c r="AT35" s="977"/>
      <c r="AU35" s="977"/>
      <c r="AV35" s="977"/>
      <c r="AW35" s="977"/>
      <c r="AX35" s="977"/>
      <c r="AY35" s="977"/>
      <c r="AZ35" s="977"/>
    </row>
    <row r="36" spans="1:70" s="978" customFormat="1">
      <c r="A36" s="1086" t="s">
        <v>592</v>
      </c>
      <c r="B36" s="971"/>
      <c r="C36" s="971"/>
      <c r="D36" s="1111"/>
      <c r="E36" s="971"/>
      <c r="F36" s="972"/>
      <c r="G36" s="973">
        <f>G51/G20</f>
        <v>1241.5025538184755</v>
      </c>
      <c r="H36" s="973">
        <f>H51/H20</f>
        <v>1297.1346440338323</v>
      </c>
      <c r="I36" s="973">
        <f>I51/I20</f>
        <v>2350.038730630642</v>
      </c>
      <c r="J36" s="973">
        <f>J51/J20</f>
        <v>1777.2440098364623</v>
      </c>
      <c r="K36" s="973">
        <f>K51/K20</f>
        <v>1291.1797877129793</v>
      </c>
      <c r="L36" s="974"/>
      <c r="M36" s="972"/>
      <c r="N36" s="973">
        <f>N51/N20</f>
        <v>1394.669461187467</v>
      </c>
      <c r="O36" s="973">
        <f>O51/O20</f>
        <v>1438.7742821278493</v>
      </c>
      <c r="P36" s="973">
        <f>P51/P20</f>
        <v>2152.5216532026516</v>
      </c>
      <c r="Q36" s="973">
        <f>Q51/Q20</f>
        <v>1762.352421506612</v>
      </c>
      <c r="R36" s="973">
        <f>R51/R20</f>
        <v>1430.3811433698338</v>
      </c>
      <c r="S36" s="1056"/>
      <c r="T36" s="973">
        <f>T51/T20</f>
        <v>1523.1984364114751</v>
      </c>
      <c r="U36" s="973">
        <f>U51/U20</f>
        <v>1684.2029441502416</v>
      </c>
      <c r="V36" s="973">
        <f>V51/V20</f>
        <v>5837.3870867911637</v>
      </c>
      <c r="W36" s="973">
        <f>W51/W20</f>
        <v>3595.1866439111805</v>
      </c>
      <c r="X36" s="973">
        <f>X51/X20</f>
        <v>1700.5367764060015</v>
      </c>
      <c r="Y36" s="1071"/>
      <c r="Z36" s="974"/>
      <c r="AA36" s="974"/>
      <c r="AB36" s="975"/>
      <c r="AC36" s="973">
        <f>AC51/AC20</f>
        <v>1496.0103012262175</v>
      </c>
      <c r="AD36" s="973">
        <f>AD51/AD20</f>
        <v>1652.2648929659549</v>
      </c>
      <c r="AE36" s="973">
        <f>AE51/AE20</f>
        <v>5848.235280271917</v>
      </c>
      <c r="AF36" s="973">
        <f>AF51/AF20</f>
        <v>3583.3670645155648</v>
      </c>
      <c r="AG36" s="973">
        <f>AG51/AG20</f>
        <v>1669.5913185445806</v>
      </c>
      <c r="AH36" s="976"/>
      <c r="AI36" s="973">
        <f t="shared" ref="AI36:AN36" si="47">AI51/AI20</f>
        <v>1594.5094950616535</v>
      </c>
      <c r="AJ36" s="973">
        <f t="shared" si="47"/>
        <v>1639.4637145432471</v>
      </c>
      <c r="AK36" s="973">
        <f t="shared" si="47"/>
        <v>2311.7902792933355</v>
      </c>
      <c r="AL36" s="973">
        <f t="shared" si="47"/>
        <v>1945.8276257450373</v>
      </c>
      <c r="AM36" s="973">
        <f t="shared" si="47"/>
        <v>1634.8973040123947</v>
      </c>
      <c r="AN36" s="973">
        <f t="shared" si="47"/>
        <v>1653.4547954069858</v>
      </c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77"/>
    </row>
    <row r="37" spans="1:70" s="978" customFormat="1">
      <c r="A37" s="1086" t="s">
        <v>503</v>
      </c>
      <c r="B37" s="971"/>
      <c r="C37" s="971"/>
      <c r="D37" s="1111"/>
      <c r="E37" s="971"/>
      <c r="F37" s="972"/>
      <c r="G37" s="973">
        <f>G67/G20</f>
        <v>1600</v>
      </c>
      <c r="H37" s="973">
        <f>H67/H20</f>
        <v>1600</v>
      </c>
      <c r="I37" s="973">
        <f>I67/I20</f>
        <v>1600</v>
      </c>
      <c r="J37" s="973">
        <f>J67/J20</f>
        <v>1600</v>
      </c>
      <c r="K37" s="973">
        <f>K67/K20</f>
        <v>1600.0000000000002</v>
      </c>
      <c r="L37" s="974"/>
      <c r="M37" s="972"/>
      <c r="N37" s="973">
        <f>N67/N20</f>
        <v>0</v>
      </c>
      <c r="O37" s="973">
        <f>O67/O20</f>
        <v>0</v>
      </c>
      <c r="P37" s="973">
        <f>P67/P20</f>
        <v>0</v>
      </c>
      <c r="Q37" s="973">
        <f>Q67/Q20</f>
        <v>0</v>
      </c>
      <c r="R37" s="973">
        <f>R67/R20</f>
        <v>0</v>
      </c>
      <c r="S37" s="1056"/>
      <c r="T37" s="973">
        <f>T67/T20</f>
        <v>0</v>
      </c>
      <c r="U37" s="973">
        <f>U67/U20</f>
        <v>0</v>
      </c>
      <c r="V37" s="973">
        <f>V67/V20</f>
        <v>0</v>
      </c>
      <c r="W37" s="973">
        <f>W67/W20</f>
        <v>0</v>
      </c>
      <c r="X37" s="973">
        <f>X67/X20</f>
        <v>0</v>
      </c>
      <c r="Y37" s="1071"/>
      <c r="Z37" s="974"/>
      <c r="AA37" s="974"/>
      <c r="AB37" s="975"/>
      <c r="AC37" s="973">
        <f>AC67/AC20</f>
        <v>0</v>
      </c>
      <c r="AD37" s="973">
        <f>AD67/AD20</f>
        <v>0</v>
      </c>
      <c r="AE37" s="973">
        <f>AE67/AE20</f>
        <v>0</v>
      </c>
      <c r="AF37" s="973">
        <f>AF67/AF20</f>
        <v>0</v>
      </c>
      <c r="AG37" s="973">
        <f>AG67/AG20</f>
        <v>0</v>
      </c>
      <c r="AH37" s="976"/>
      <c r="AI37" s="973">
        <f t="shared" ref="AI37:AN37" si="48">AI67/AI20</f>
        <v>0</v>
      </c>
      <c r="AJ37" s="973">
        <f t="shared" si="48"/>
        <v>0</v>
      </c>
      <c r="AK37" s="973">
        <f t="shared" si="48"/>
        <v>0</v>
      </c>
      <c r="AL37" s="973">
        <f t="shared" si="48"/>
        <v>0</v>
      </c>
      <c r="AM37" s="973">
        <f t="shared" si="48"/>
        <v>0</v>
      </c>
      <c r="AN37" s="973">
        <f t="shared" si="48"/>
        <v>0</v>
      </c>
      <c r="AO37" s="977"/>
      <c r="AP37" s="977"/>
      <c r="AQ37" s="977"/>
      <c r="AR37" s="977"/>
      <c r="AS37" s="977"/>
      <c r="AT37" s="977"/>
      <c r="AU37" s="977"/>
      <c r="AV37" s="977"/>
      <c r="AW37" s="977"/>
      <c r="AX37" s="977"/>
      <c r="AY37" s="977"/>
      <c r="AZ37" s="977"/>
    </row>
    <row r="38" spans="1:70">
      <c r="A38" s="436"/>
      <c r="B38" s="2"/>
      <c r="C38" s="2"/>
      <c r="D38" s="1108"/>
      <c r="E38" s="2"/>
      <c r="F38" s="154"/>
      <c r="G38" s="169"/>
      <c r="H38" s="154"/>
      <c r="I38" s="154"/>
      <c r="J38" s="154"/>
      <c r="K38" s="301"/>
      <c r="L38" s="279"/>
      <c r="M38" s="154"/>
      <c r="N38" s="154"/>
      <c r="O38" s="154"/>
      <c r="P38" s="154"/>
      <c r="Q38" s="154"/>
      <c r="R38" s="301"/>
      <c r="S38" s="326"/>
      <c r="T38" s="154"/>
      <c r="U38" s="154"/>
      <c r="V38" s="154"/>
      <c r="W38" s="154"/>
      <c r="X38" s="279"/>
      <c r="Y38" s="1068"/>
      <c r="Z38" s="279"/>
      <c r="AA38" s="279"/>
      <c r="AB38" s="342"/>
      <c r="AC38" s="154"/>
      <c r="AD38" s="154"/>
      <c r="AE38" s="154"/>
      <c r="AF38" s="154"/>
      <c r="AG38" s="279"/>
      <c r="AH38" s="616"/>
      <c r="AI38" s="154"/>
      <c r="AJ38" s="154"/>
      <c r="AK38" s="154"/>
      <c r="AL38" s="154"/>
      <c r="AM38" s="687"/>
      <c r="AN38" s="301"/>
      <c r="BG38" s="423"/>
      <c r="BH38" s="423"/>
      <c r="BI38" s="423"/>
      <c r="BJ38" s="423"/>
      <c r="BK38" s="423"/>
      <c r="BL38" s="423"/>
      <c r="BM38" s="423"/>
      <c r="BN38" s="423"/>
      <c r="BO38" s="423"/>
      <c r="BP38" s="423"/>
      <c r="BQ38" s="423"/>
      <c r="BR38" s="423"/>
    </row>
    <row r="39" spans="1:70">
      <c r="F39" s="904"/>
      <c r="G39" s="790"/>
      <c r="H39" s="790"/>
      <c r="I39" s="154"/>
      <c r="J39" s="154"/>
      <c r="K39" s="301"/>
      <c r="L39" s="279"/>
      <c r="M39" s="953"/>
      <c r="N39" s="154"/>
      <c r="O39" s="154"/>
      <c r="P39" s="154"/>
      <c r="Q39" s="154"/>
      <c r="R39" s="911"/>
      <c r="S39" s="1057"/>
      <c r="T39" s="154"/>
      <c r="U39" s="154"/>
      <c r="V39" s="154"/>
      <c r="W39" s="154"/>
      <c r="X39" s="279"/>
      <c r="Y39" s="1068"/>
      <c r="Z39" s="279"/>
      <c r="AA39" s="279"/>
      <c r="AB39" s="555"/>
      <c r="AC39" s="154"/>
      <c r="AD39" s="154"/>
      <c r="AE39" s="154"/>
      <c r="AF39" s="154"/>
      <c r="AG39" s="154"/>
      <c r="AH39" s="616"/>
      <c r="AI39" s="154"/>
      <c r="AJ39" s="154"/>
      <c r="AK39" s="154"/>
      <c r="AL39" s="154"/>
      <c r="AM39" s="690"/>
      <c r="AN39" s="299"/>
      <c r="BG39" s="423"/>
      <c r="BH39" s="423"/>
      <c r="BI39" s="423"/>
      <c r="BJ39" s="423"/>
      <c r="BK39" s="423"/>
      <c r="BL39" s="423"/>
      <c r="BM39" s="423"/>
      <c r="BN39" s="423"/>
      <c r="BO39" s="423"/>
      <c r="BP39" s="423"/>
      <c r="BQ39" s="423"/>
      <c r="BR39" s="423"/>
    </row>
    <row r="40" spans="1:70" s="495" customFormat="1" ht="21" customHeight="1">
      <c r="A40" s="1133" t="s">
        <v>342</v>
      </c>
      <c r="B40" s="945"/>
      <c r="C40" s="945"/>
      <c r="D40" s="1112"/>
      <c r="E40" s="945"/>
      <c r="F40" s="732"/>
      <c r="G40" s="1134">
        <f>SUM(G41:G45)</f>
        <v>90488838.601997912</v>
      </c>
      <c r="H40" s="1134">
        <f t="shared" ref="H40:J40" si="49">SUM(H41:H45)</f>
        <v>38516749.515893251</v>
      </c>
      <c r="I40" s="1134">
        <f t="shared" si="49"/>
        <v>2102226.2167157796</v>
      </c>
      <c r="J40" s="1134">
        <f t="shared" si="49"/>
        <v>4279531.9411714077</v>
      </c>
      <c r="K40" s="680">
        <f t="shared" si="7"/>
        <v>135387346.27577835</v>
      </c>
      <c r="L40" s="683"/>
      <c r="M40" s="1052"/>
      <c r="N40" s="1134">
        <f>SUM(N41:N45)</f>
        <v>151169140.43143371</v>
      </c>
      <c r="O40" s="1134">
        <f t="shared" ref="O40:Q40" si="50">SUM(O41:O45)</f>
        <v>64212645.926068403</v>
      </c>
      <c r="P40" s="1134">
        <f t="shared" si="50"/>
        <v>3508697.0240716441</v>
      </c>
      <c r="Q40" s="1134">
        <f t="shared" si="50"/>
        <v>7142704.6561458455</v>
      </c>
      <c r="R40" s="680">
        <f t="shared" ref="R40:R47" si="51">SUM(N40:Q40)</f>
        <v>226033188.03771958</v>
      </c>
      <c r="S40" s="1058"/>
      <c r="T40" s="1134">
        <f>SUM(T41:T45)</f>
        <v>26305207.264398091</v>
      </c>
      <c r="U40" s="1134">
        <f t="shared" ref="U40:W40" si="52">SUM(U41:U45)</f>
        <v>11173755.141161103</v>
      </c>
      <c r="V40" s="1134">
        <f t="shared" si="52"/>
        <v>610554.52311740047</v>
      </c>
      <c r="W40" s="1134">
        <f t="shared" si="52"/>
        <v>1242914.5649175649</v>
      </c>
      <c r="X40" s="683">
        <f t="shared" ref="X40:X47" si="53">SUM(T40:W40)</f>
        <v>39332431.493594162</v>
      </c>
      <c r="Y40" s="1073"/>
      <c r="Z40" s="683"/>
      <c r="AA40" s="683"/>
      <c r="AB40" s="684"/>
      <c r="AC40" s="1134">
        <f>SUM(AC41:AC45)</f>
        <v>22887756.674386442</v>
      </c>
      <c r="AD40" s="1134">
        <f t="shared" ref="AD40:AF40" si="54">SUM(AD41:AD45)</f>
        <v>8899580.2040539365</v>
      </c>
      <c r="AE40" s="1134">
        <f t="shared" si="54"/>
        <v>511122.07717253384</v>
      </c>
      <c r="AF40" s="1134">
        <f t="shared" si="54"/>
        <v>1040498.5142440866</v>
      </c>
      <c r="AG40" s="683">
        <f t="shared" ref="AG40:AG68" si="55">SUM(AC40:AF40)</f>
        <v>33338957.469857</v>
      </c>
      <c r="AH40" s="694"/>
      <c r="AI40" s="1134">
        <f>SUM(AI41:AI45)</f>
        <v>19639193.980354995</v>
      </c>
      <c r="AJ40" s="1134">
        <f t="shared" ref="AJ40:AL40" si="56">SUM(AJ41:AJ45)</f>
        <v>13069088.069816682</v>
      </c>
      <c r="AK40" s="1134">
        <f t="shared" si="56"/>
        <v>571412.23915858846</v>
      </c>
      <c r="AL40" s="1134">
        <f t="shared" si="56"/>
        <v>1163232.0582871265</v>
      </c>
      <c r="AM40" s="695">
        <f t="shared" ref="AM40:AM47" si="57">SUM(AI40:AL40)</f>
        <v>34442926.347617395</v>
      </c>
      <c r="AN40" s="680">
        <f>AM40+AG40</f>
        <v>67781883.817474395</v>
      </c>
      <c r="AO40" s="493"/>
      <c r="AP40" s="493"/>
      <c r="AQ40" s="493"/>
      <c r="AR40" s="493"/>
      <c r="AS40" s="493"/>
      <c r="AT40" s="493"/>
      <c r="AU40" s="493"/>
      <c r="AV40" s="493"/>
      <c r="AW40" s="493"/>
      <c r="AX40" s="493"/>
      <c r="AY40" s="493"/>
      <c r="AZ40" s="493"/>
    </row>
    <row r="41" spans="1:70" outlineLevel="1">
      <c r="A41" s="436" t="s">
        <v>327</v>
      </c>
      <c r="B41" s="2"/>
      <c r="C41" s="2"/>
      <c r="D41" s="1108"/>
      <c r="E41" s="2"/>
      <c r="F41" s="730"/>
      <c r="G41" s="169">
        <f t="shared" ref="G41:J45" si="58">G$20*G79*G89</f>
        <v>26128.394626190926</v>
      </c>
      <c r="H41" s="169">
        <f t="shared" si="58"/>
        <v>172274.876628331</v>
      </c>
      <c r="I41" s="169">
        <f t="shared" si="58"/>
        <v>4547.4276172721929</v>
      </c>
      <c r="J41" s="169">
        <f t="shared" si="58"/>
        <v>9257.2633637326762</v>
      </c>
      <c r="K41" s="406">
        <f t="shared" si="7"/>
        <v>212207.96223552676</v>
      </c>
      <c r="L41" s="677"/>
      <c r="M41" s="74"/>
      <c r="N41" s="169">
        <f t="shared" ref="N41:Q45" si="59">N$20*N79*N89</f>
        <v>40999.303187412093</v>
      </c>
      <c r="O41" s="169">
        <f t="shared" si="59"/>
        <v>270324.67931952095</v>
      </c>
      <c r="P41" s="169">
        <f t="shared" si="59"/>
        <v>7135.5843430375198</v>
      </c>
      <c r="Q41" s="169">
        <f t="shared" si="59"/>
        <v>14526.010984040662</v>
      </c>
      <c r="R41" s="406">
        <f t="shared" si="51"/>
        <v>332985.57783401123</v>
      </c>
      <c r="S41" s="362"/>
      <c r="T41" s="169">
        <f t="shared" ref="T41:W45" si="60">T$20*T79*T89</f>
        <v>7134.3606569619214</v>
      </c>
      <c r="U41" s="169">
        <f t="shared" si="60"/>
        <v>47039.67157508104</v>
      </c>
      <c r="V41" s="169">
        <f t="shared" si="60"/>
        <v>1241.6755467451567</v>
      </c>
      <c r="W41" s="169">
        <f t="shared" si="60"/>
        <v>2527.6966487312111</v>
      </c>
      <c r="X41" s="677">
        <f t="shared" si="53"/>
        <v>57943.40442751933</v>
      </c>
      <c r="Y41" s="1072"/>
      <c r="Z41" s="677"/>
      <c r="AA41" s="677"/>
      <c r="AB41" s="342"/>
      <c r="AC41" s="169">
        <f t="shared" ref="AC41:AF45" si="61">AC$20*AC79*AC89</f>
        <v>0</v>
      </c>
      <c r="AD41" s="169">
        <f t="shared" si="61"/>
        <v>0</v>
      </c>
      <c r="AE41" s="169">
        <f t="shared" si="61"/>
        <v>0</v>
      </c>
      <c r="AF41" s="169">
        <f t="shared" si="61"/>
        <v>0</v>
      </c>
      <c r="AG41" s="677">
        <f t="shared" si="55"/>
        <v>0</v>
      </c>
      <c r="AH41" s="616"/>
      <c r="AI41" s="169">
        <f t="shared" ref="AI41:AL45" si="62">AI$20*AI79*AI89</f>
        <v>40999.303187412101</v>
      </c>
      <c r="AJ41" s="169">
        <f t="shared" si="62"/>
        <v>270324.679319521</v>
      </c>
      <c r="AK41" s="169">
        <f t="shared" si="62"/>
        <v>7135.5843430375162</v>
      </c>
      <c r="AL41" s="169">
        <f t="shared" si="62"/>
        <v>14526.01098404066</v>
      </c>
      <c r="AM41" s="693">
        <f t="shared" si="57"/>
        <v>332985.57783401129</v>
      </c>
      <c r="AN41" s="406">
        <f>AM41+AG41</f>
        <v>332985.57783401129</v>
      </c>
      <c r="BG41" s="423"/>
      <c r="BH41" s="423"/>
      <c r="BI41" s="423"/>
      <c r="BJ41" s="423"/>
      <c r="BK41" s="423"/>
      <c r="BL41" s="423"/>
      <c r="BM41" s="423"/>
      <c r="BN41" s="423"/>
      <c r="BO41" s="423"/>
      <c r="BP41" s="423"/>
      <c r="BQ41" s="423"/>
      <c r="BR41" s="423"/>
    </row>
    <row r="42" spans="1:70" outlineLevel="1">
      <c r="A42" s="436" t="s">
        <v>429</v>
      </c>
      <c r="B42" s="2"/>
      <c r="C42" s="2"/>
      <c r="D42" s="1108"/>
      <c r="E42" s="2"/>
      <c r="F42" s="730"/>
      <c r="G42" s="169">
        <f t="shared" si="58"/>
        <v>1135901.8652750428</v>
      </c>
      <c r="H42" s="169">
        <f t="shared" si="58"/>
        <v>1298020.6680352434</v>
      </c>
      <c r="I42" s="169">
        <f t="shared" si="58"/>
        <v>46305.302398637083</v>
      </c>
      <c r="J42" s="169">
        <f t="shared" si="58"/>
        <v>94264.365597225478</v>
      </c>
      <c r="K42" s="406">
        <f t="shared" si="7"/>
        <v>2574492.2013061484</v>
      </c>
      <c r="L42" s="677"/>
      <c r="M42" s="74"/>
      <c r="N42" s="169">
        <f t="shared" si="59"/>
        <v>1817877.4250217995</v>
      </c>
      <c r="O42" s="169">
        <f t="shared" si="59"/>
        <v>2077329.513902708</v>
      </c>
      <c r="P42" s="169">
        <f t="shared" si="59"/>
        <v>74106.193908668123</v>
      </c>
      <c r="Q42" s="169">
        <f t="shared" si="59"/>
        <v>150859.03759978866</v>
      </c>
      <c r="R42" s="406">
        <f t="shared" si="51"/>
        <v>4120172.1704329639</v>
      </c>
      <c r="S42" s="362"/>
      <c r="T42" s="169">
        <f t="shared" si="60"/>
        <v>316332.03913174628</v>
      </c>
      <c r="U42" s="169">
        <f t="shared" si="60"/>
        <v>361479.75217499753</v>
      </c>
      <c r="V42" s="169">
        <f t="shared" si="60"/>
        <v>12895.348778062122</v>
      </c>
      <c r="W42" s="169">
        <f t="shared" si="60"/>
        <v>26251.245726769313</v>
      </c>
      <c r="X42" s="677">
        <f t="shared" si="53"/>
        <v>716958.38581157534</v>
      </c>
      <c r="Y42" s="1072"/>
      <c r="Z42" s="677"/>
      <c r="AA42" s="677"/>
      <c r="AB42" s="342"/>
      <c r="AC42" s="169">
        <f t="shared" si="61"/>
        <v>0</v>
      </c>
      <c r="AD42" s="169">
        <f t="shared" si="61"/>
        <v>0</v>
      </c>
      <c r="AE42" s="169">
        <f t="shared" si="61"/>
        <v>0</v>
      </c>
      <c r="AF42" s="169">
        <f t="shared" si="61"/>
        <v>0</v>
      </c>
      <c r="AG42" s="677">
        <f t="shared" si="55"/>
        <v>0</v>
      </c>
      <c r="AH42" s="616"/>
      <c r="AI42" s="169">
        <f t="shared" si="62"/>
        <v>1817877.4250217995</v>
      </c>
      <c r="AJ42" s="169">
        <f t="shared" si="62"/>
        <v>2077329.5139027082</v>
      </c>
      <c r="AK42" s="169">
        <f t="shared" si="62"/>
        <v>74106.19390866808</v>
      </c>
      <c r="AL42" s="169">
        <f t="shared" si="62"/>
        <v>150859.03759978866</v>
      </c>
      <c r="AM42" s="693">
        <f t="shared" si="57"/>
        <v>4120172.1704329643</v>
      </c>
      <c r="AN42" s="406">
        <f t="shared" ref="AN42:AN67" si="63">AM42+AG42</f>
        <v>4120172.1704329643</v>
      </c>
      <c r="BG42" s="423"/>
      <c r="BH42" s="423"/>
      <c r="BI42" s="423"/>
      <c r="BJ42" s="423"/>
      <c r="BK42" s="423"/>
      <c r="BL42" s="423"/>
      <c r="BM42" s="423"/>
      <c r="BN42" s="423"/>
      <c r="BO42" s="423"/>
      <c r="BP42" s="423"/>
      <c r="BQ42" s="423"/>
      <c r="BR42" s="423"/>
    </row>
    <row r="43" spans="1:70" outlineLevel="1">
      <c r="A43" s="436" t="s">
        <v>65</v>
      </c>
      <c r="B43" s="2"/>
      <c r="C43" s="2"/>
      <c r="D43" s="1108"/>
      <c r="E43" s="2"/>
      <c r="F43" s="730"/>
      <c r="G43" s="169">
        <f t="shared" si="58"/>
        <v>10800351.521425396</v>
      </c>
      <c r="H43" s="169">
        <f t="shared" si="58"/>
        <v>6512552.7873786492</v>
      </c>
      <c r="I43" s="169">
        <f t="shared" si="58"/>
        <v>297745.71556503273</v>
      </c>
      <c r="J43" s="169">
        <f t="shared" si="58"/>
        <v>606125.20668595936</v>
      </c>
      <c r="K43" s="406">
        <f t="shared" si="7"/>
        <v>18216775.23105504</v>
      </c>
      <c r="L43" s="677"/>
      <c r="M43" s="74"/>
      <c r="N43" s="169">
        <f t="shared" si="59"/>
        <v>17780317.252145778</v>
      </c>
      <c r="O43" s="169">
        <f t="shared" si="59"/>
        <v>10721433.87659445</v>
      </c>
      <c r="P43" s="169">
        <f t="shared" si="59"/>
        <v>490170.460906883</v>
      </c>
      <c r="Q43" s="169">
        <f t="shared" si="59"/>
        <v>997847.0097032974</v>
      </c>
      <c r="R43" s="406">
        <f t="shared" si="51"/>
        <v>29989768.599350408</v>
      </c>
      <c r="S43" s="362"/>
      <c r="T43" s="169">
        <f t="shared" si="60"/>
        <v>3093984.1902229432</v>
      </c>
      <c r="U43" s="169">
        <f t="shared" si="60"/>
        <v>1865655.5133570875</v>
      </c>
      <c r="V43" s="169">
        <f t="shared" si="60"/>
        <v>85295.421620059336</v>
      </c>
      <c r="W43" s="169">
        <f t="shared" si="60"/>
        <v>173637.10829797792</v>
      </c>
      <c r="X43" s="677">
        <f t="shared" si="53"/>
        <v>5218572.2334980685</v>
      </c>
      <c r="Y43" s="1072"/>
      <c r="Z43" s="677"/>
      <c r="AA43" s="677"/>
      <c r="AB43" s="342"/>
      <c r="AC43" s="169">
        <f t="shared" si="61"/>
        <v>0</v>
      </c>
      <c r="AD43" s="169">
        <f t="shared" si="61"/>
        <v>0</v>
      </c>
      <c r="AE43" s="169">
        <f t="shared" si="61"/>
        <v>0</v>
      </c>
      <c r="AF43" s="169">
        <f t="shared" si="61"/>
        <v>0</v>
      </c>
      <c r="AG43" s="677">
        <f t="shared" si="55"/>
        <v>0</v>
      </c>
      <c r="AH43" s="616"/>
      <c r="AI43" s="169">
        <f t="shared" si="62"/>
        <v>17780317.252145782</v>
      </c>
      <c r="AJ43" s="169">
        <f t="shared" si="62"/>
        <v>10721433.876594452</v>
      </c>
      <c r="AK43" s="169">
        <f t="shared" si="62"/>
        <v>490170.46090688283</v>
      </c>
      <c r="AL43" s="169">
        <f t="shared" si="62"/>
        <v>997847.00970329728</v>
      </c>
      <c r="AM43" s="693">
        <f t="shared" si="57"/>
        <v>29989768.599350415</v>
      </c>
      <c r="AN43" s="406">
        <f t="shared" si="63"/>
        <v>29989768.599350415</v>
      </c>
      <c r="BG43" s="423"/>
      <c r="BH43" s="423"/>
      <c r="BI43" s="423"/>
      <c r="BJ43" s="423"/>
      <c r="BK43" s="423"/>
      <c r="BL43" s="423"/>
      <c r="BM43" s="423"/>
      <c r="BN43" s="423"/>
      <c r="BO43" s="423"/>
      <c r="BP43" s="423"/>
      <c r="BQ43" s="423"/>
      <c r="BR43" s="423"/>
    </row>
    <row r="44" spans="1:70" outlineLevel="1">
      <c r="A44" s="436" t="s">
        <v>66</v>
      </c>
      <c r="B44" s="2"/>
      <c r="C44" s="2"/>
      <c r="D44" s="1108"/>
      <c r="E44" s="2"/>
      <c r="F44" s="730"/>
      <c r="G44" s="169">
        <f t="shared" si="58"/>
        <v>78526456.82067129</v>
      </c>
      <c r="H44" s="169">
        <f t="shared" si="58"/>
        <v>30533901.183851026</v>
      </c>
      <c r="I44" s="169">
        <f t="shared" si="58"/>
        <v>1753627.7711348375</v>
      </c>
      <c r="J44" s="169">
        <f t="shared" si="58"/>
        <v>3569885.1055244901</v>
      </c>
      <c r="K44" s="406">
        <f t="shared" si="7"/>
        <v>114383870.88118166</v>
      </c>
      <c r="L44" s="677"/>
      <c r="M44" s="74"/>
      <c r="N44" s="169">
        <f t="shared" si="59"/>
        <v>131529946.45107873</v>
      </c>
      <c r="O44" s="169">
        <f t="shared" si="59"/>
        <v>51143557.856251724</v>
      </c>
      <c r="P44" s="169">
        <f t="shared" si="59"/>
        <v>2937284.7849130551</v>
      </c>
      <c r="Q44" s="169">
        <f t="shared" si="59"/>
        <v>5979472.5978587186</v>
      </c>
      <c r="R44" s="406">
        <f t="shared" si="51"/>
        <v>191590261.69010225</v>
      </c>
      <c r="S44" s="362"/>
      <c r="T44" s="169">
        <f t="shared" si="60"/>
        <v>22887756.674386438</v>
      </c>
      <c r="U44" s="169">
        <f t="shared" si="60"/>
        <v>8899580.2040539365</v>
      </c>
      <c r="V44" s="169">
        <f t="shared" si="60"/>
        <v>511122.07717253384</v>
      </c>
      <c r="W44" s="169">
        <f t="shared" si="60"/>
        <v>1040498.5142440865</v>
      </c>
      <c r="X44" s="677">
        <f t="shared" si="53"/>
        <v>33338957.469856992</v>
      </c>
      <c r="Y44" s="1072"/>
      <c r="Z44" s="677"/>
      <c r="AA44" s="677"/>
      <c r="AB44" s="342"/>
      <c r="AC44" s="169">
        <f t="shared" si="61"/>
        <v>22887756.674386442</v>
      </c>
      <c r="AD44" s="169">
        <f t="shared" si="61"/>
        <v>8899580.2040539365</v>
      </c>
      <c r="AE44" s="169">
        <f t="shared" si="61"/>
        <v>511122.07717253384</v>
      </c>
      <c r="AF44" s="169">
        <f t="shared" si="61"/>
        <v>1040498.5142440866</v>
      </c>
      <c r="AG44" s="677">
        <f t="shared" si="55"/>
        <v>33338957.469857</v>
      </c>
      <c r="AH44" s="616"/>
      <c r="AI44" s="169">
        <f t="shared" si="62"/>
        <v>0</v>
      </c>
      <c r="AJ44" s="169">
        <f t="shared" si="62"/>
        <v>0</v>
      </c>
      <c r="AK44" s="169">
        <f t="shared" si="62"/>
        <v>0</v>
      </c>
      <c r="AL44" s="169">
        <f t="shared" si="62"/>
        <v>0</v>
      </c>
      <c r="AM44" s="693">
        <f t="shared" si="57"/>
        <v>0</v>
      </c>
      <c r="AN44" s="406">
        <f t="shared" si="63"/>
        <v>33338957.469857</v>
      </c>
      <c r="BG44" s="423"/>
      <c r="BH44" s="423"/>
      <c r="BI44" s="423"/>
      <c r="BJ44" s="423"/>
      <c r="BK44" s="423"/>
      <c r="BL44" s="423"/>
      <c r="BM44" s="423"/>
      <c r="BN44" s="423"/>
      <c r="BO44" s="423"/>
      <c r="BP44" s="423"/>
      <c r="BQ44" s="423"/>
      <c r="BR44" s="423"/>
    </row>
    <row r="45" spans="1:70" outlineLevel="1">
      <c r="A45" s="436" t="s">
        <v>328</v>
      </c>
      <c r="B45" s="2"/>
      <c r="C45" s="2"/>
      <c r="D45" s="1108"/>
      <c r="E45" s="2"/>
      <c r="F45" s="730"/>
      <c r="G45" s="169">
        <f t="shared" si="58"/>
        <v>0</v>
      </c>
      <c r="H45" s="169">
        <f t="shared" si="58"/>
        <v>0</v>
      </c>
      <c r="I45" s="169">
        <f t="shared" si="58"/>
        <v>0</v>
      </c>
      <c r="J45" s="169">
        <f t="shared" si="58"/>
        <v>0</v>
      </c>
      <c r="K45" s="406">
        <f t="shared" si="7"/>
        <v>0</v>
      </c>
      <c r="L45" s="677"/>
      <c r="M45" s="74"/>
      <c r="N45" s="169">
        <f t="shared" si="59"/>
        <v>0</v>
      </c>
      <c r="O45" s="169">
        <f t="shared" si="59"/>
        <v>0</v>
      </c>
      <c r="P45" s="169">
        <f t="shared" si="59"/>
        <v>0</v>
      </c>
      <c r="Q45" s="169">
        <f t="shared" si="59"/>
        <v>0</v>
      </c>
      <c r="R45" s="406">
        <f t="shared" si="51"/>
        <v>0</v>
      </c>
      <c r="S45" s="362"/>
      <c r="T45" s="169">
        <f t="shared" si="60"/>
        <v>0</v>
      </c>
      <c r="U45" s="169">
        <f t="shared" si="60"/>
        <v>0</v>
      </c>
      <c r="V45" s="169">
        <f t="shared" si="60"/>
        <v>0</v>
      </c>
      <c r="W45" s="169">
        <f t="shared" si="60"/>
        <v>0</v>
      </c>
      <c r="X45" s="677">
        <f t="shared" si="53"/>
        <v>0</v>
      </c>
      <c r="Y45" s="1072"/>
      <c r="Z45" s="677"/>
      <c r="AA45" s="677"/>
      <c r="AB45" s="342"/>
      <c r="AC45" s="169">
        <f t="shared" si="61"/>
        <v>0</v>
      </c>
      <c r="AD45" s="169">
        <f t="shared" si="61"/>
        <v>0</v>
      </c>
      <c r="AE45" s="169">
        <f t="shared" si="61"/>
        <v>0</v>
      </c>
      <c r="AF45" s="169">
        <f t="shared" si="61"/>
        <v>0</v>
      </c>
      <c r="AG45" s="677">
        <f t="shared" si="55"/>
        <v>0</v>
      </c>
      <c r="AH45" s="616"/>
      <c r="AI45" s="169">
        <f t="shared" si="62"/>
        <v>0</v>
      </c>
      <c r="AJ45" s="169">
        <f t="shared" si="62"/>
        <v>0</v>
      </c>
      <c r="AK45" s="169">
        <f t="shared" si="62"/>
        <v>0</v>
      </c>
      <c r="AL45" s="169">
        <f t="shared" si="62"/>
        <v>0</v>
      </c>
      <c r="AM45" s="693">
        <f t="shared" si="57"/>
        <v>0</v>
      </c>
      <c r="AN45" s="406">
        <f t="shared" si="63"/>
        <v>0</v>
      </c>
      <c r="BG45" s="423"/>
      <c r="BH45" s="423"/>
      <c r="BI45" s="423"/>
      <c r="BJ45" s="423"/>
      <c r="BK45" s="423"/>
      <c r="BL45" s="423"/>
      <c r="BM45" s="423"/>
      <c r="BN45" s="423"/>
      <c r="BO45" s="423"/>
      <c r="BP45" s="423"/>
      <c r="BQ45" s="423"/>
      <c r="BR45" s="423"/>
    </row>
    <row r="46" spans="1:70" s="1164" customFormat="1" ht="20">
      <c r="A46" s="1153" t="s">
        <v>343</v>
      </c>
      <c r="B46" s="1154"/>
      <c r="C46" s="1154"/>
      <c r="D46" s="1155"/>
      <c r="E46" s="1154"/>
      <c r="F46" s="1156"/>
      <c r="G46" s="1157">
        <f>G47+G51+G67</f>
        <v>69659737.651804239</v>
      </c>
      <c r="H46" s="1157">
        <f t="shared" ref="H46:J46" si="64">H47+H51+H67</f>
        <v>29198840.365288042</v>
      </c>
      <c r="I46" s="1157">
        <f t="shared" si="64"/>
        <v>1715230.6342602214</v>
      </c>
      <c r="J46" s="1157">
        <f t="shared" si="64"/>
        <v>3375580.0657556071</v>
      </c>
      <c r="K46" s="1135">
        <f t="shared" si="7"/>
        <v>103949388.71710812</v>
      </c>
      <c r="L46" s="1136"/>
      <c r="M46" s="1158"/>
      <c r="N46" s="1157">
        <f>N47+N51+N67</f>
        <v>93343304.007775739</v>
      </c>
      <c r="O46" s="1157">
        <f t="shared" ref="O46" si="65">O47+O51+O67</f>
        <v>39108440.116236128</v>
      </c>
      <c r="P46" s="1157">
        <f t="shared" ref="P46" si="66">P47+P51+P67</f>
        <v>2261254.6141805253</v>
      </c>
      <c r="Q46" s="1157">
        <f t="shared" ref="Q46" si="67">Q47+Q51+Q67</f>
        <v>4487128.8820219394</v>
      </c>
      <c r="R46" s="1135">
        <f t="shared" si="51"/>
        <v>139200127.62021434</v>
      </c>
      <c r="S46" s="1159"/>
      <c r="T46" s="1157">
        <f>T47+T51+T67</f>
        <v>4824347.0138904201</v>
      </c>
      <c r="U46" s="1157">
        <f t="shared" ref="U46" si="68">U47+U51+U67</f>
        <v>2089513.0770913383</v>
      </c>
      <c r="V46" s="1157">
        <f t="shared" ref="V46" si="69">V47+V51+V67</f>
        <v>220914.17919930333</v>
      </c>
      <c r="W46" s="1157">
        <f t="shared" ref="W46" si="70">W47+W51+W67</f>
        <v>333578.71081016702</v>
      </c>
      <c r="X46" s="1136">
        <f t="shared" si="53"/>
        <v>7468352.9809912285</v>
      </c>
      <c r="Y46" s="1160"/>
      <c r="Z46" s="1136"/>
      <c r="AA46" s="1136"/>
      <c r="AB46" s="1161"/>
      <c r="AC46" s="1157">
        <f>AC47+AC51+AC67</f>
        <v>3565694.568257235</v>
      </c>
      <c r="AD46" s="1157">
        <f t="shared" ref="AD46" si="71">AD47+AD51+AD67</f>
        <v>1445995.6463829621</v>
      </c>
      <c r="AE46" s="1157">
        <f t="shared" ref="AE46" si="72">AE47+AE51+AE67</f>
        <v>174850.28405144622</v>
      </c>
      <c r="AF46" s="1157">
        <f t="shared" ref="AF46" si="73">AF47+AF51+AF67</f>
        <v>255069.3651665661</v>
      </c>
      <c r="AG46" s="1135">
        <f t="shared" si="55"/>
        <v>5441609.8638582099</v>
      </c>
      <c r="AH46" s="1162"/>
      <c r="AI46" s="1157">
        <f>AI47+AI51+AI67</f>
        <v>11261895.538213369</v>
      </c>
      <c r="AJ46" s="1157">
        <f t="shared" ref="AJ46" si="74">AJ47+AJ51+AJ67</f>
        <v>7280617.9346748404</v>
      </c>
      <c r="AK46" s="1157">
        <f t="shared" ref="AK46" si="75">AK47+AK51+AK67</f>
        <v>336632.75853667868</v>
      </c>
      <c r="AL46" s="1157">
        <f t="shared" ref="AL46" si="76">AL47+AL51+AL67</f>
        <v>670024.53182798775</v>
      </c>
      <c r="AM46" s="1135">
        <f t="shared" si="57"/>
        <v>19549170.763252873</v>
      </c>
      <c r="AN46" s="1135">
        <f>AM46+AG46</f>
        <v>24990780.627111085</v>
      </c>
      <c r="AO46" s="1163"/>
      <c r="AP46" s="1163"/>
      <c r="AQ46" s="1163"/>
      <c r="AR46" s="1163"/>
      <c r="AS46" s="1163"/>
      <c r="AT46" s="1163"/>
      <c r="AU46" s="1163"/>
      <c r="AV46" s="1163"/>
      <c r="AW46" s="1163"/>
      <c r="AX46" s="1163"/>
      <c r="AY46" s="1163"/>
      <c r="AZ46" s="1163"/>
    </row>
    <row r="47" spans="1:70" s="1179" customFormat="1" ht="20">
      <c r="A47" s="1165" t="s">
        <v>590</v>
      </c>
      <c r="B47" s="1166"/>
      <c r="C47" s="1166"/>
      <c r="D47" s="1167"/>
      <c r="E47" s="1166"/>
      <c r="F47" s="1168"/>
      <c r="G47" s="1169">
        <f>G48+G49+G50</f>
        <v>57374950.122114778</v>
      </c>
      <c r="H47" s="1169">
        <f t="shared" ref="H47:J47" si="77">H48+H49+H50</f>
        <v>23966751.316832755</v>
      </c>
      <c r="I47" s="1169">
        <f t="shared" si="77"/>
        <v>1321802.6483828975</v>
      </c>
      <c r="J47" s="1169">
        <f t="shared" si="77"/>
        <v>2690812.5342080412</v>
      </c>
      <c r="K47" s="1170">
        <f t="shared" si="7"/>
        <v>85354316.621538475</v>
      </c>
      <c r="L47" s="1171"/>
      <c r="M47" s="1172"/>
      <c r="N47" s="1169">
        <f>N48+N49+N50</f>
        <v>84491396.275960922</v>
      </c>
      <c r="O47" s="1169">
        <f t="shared" ref="O47" si="78">O48+O49+O50</f>
        <v>35293874.393755831</v>
      </c>
      <c r="P47" s="1169">
        <f t="shared" ref="P47" si="79">P48+P49+P50</f>
        <v>1946510.6483828977</v>
      </c>
      <c r="Q47" s="1169">
        <f t="shared" ref="Q47" si="80">Q48+Q49+Q50</f>
        <v>3962539.5342080412</v>
      </c>
      <c r="R47" s="1170">
        <f t="shared" si="51"/>
        <v>125694320.85230769</v>
      </c>
      <c r="S47" s="1173"/>
      <c r="T47" s="1169">
        <f>T48+T49+T50</f>
        <v>3142057.8144224631</v>
      </c>
      <c r="U47" s="1169">
        <f t="shared" ref="U47" si="81">U48+U49+U50</f>
        <v>1312505.1629865984</v>
      </c>
      <c r="V47" s="1169">
        <f t="shared" ref="V47" si="82">V48+V49+V50</f>
        <v>72386.648382897256</v>
      </c>
      <c r="W47" s="1169">
        <f t="shared" ref="W47" si="83">W48+W49+W50</f>
        <v>147358.5342080408</v>
      </c>
      <c r="X47" s="1171">
        <f t="shared" si="53"/>
        <v>4674308.1599999992</v>
      </c>
      <c r="Y47" s="1174"/>
      <c r="Z47" s="1171"/>
      <c r="AA47" s="1171"/>
      <c r="AB47" s="1175"/>
      <c r="AC47" s="1169">
        <f>AC48+AC49+AC50</f>
        <v>2100009.5691781798</v>
      </c>
      <c r="AD47" s="1169">
        <f t="shared" ref="AD47" si="84">AD48+AD49+AD50</f>
        <v>816558.995102257</v>
      </c>
      <c r="AE47" s="1169">
        <f t="shared" ref="AE47" si="85">AE48+AE49+AE50</f>
        <v>46896.743457681972</v>
      </c>
      <c r="AF47" s="1169">
        <f t="shared" ref="AF47" si="86">AF48+AF49+AF50</f>
        <v>95468.370610281141</v>
      </c>
      <c r="AG47" s="1170">
        <f t="shared" si="55"/>
        <v>3058933.6783484002</v>
      </c>
      <c r="AH47" s="1176"/>
      <c r="AI47" s="1169">
        <f>AI48+AI49+AI50</f>
        <v>10119094.466914574</v>
      </c>
      <c r="AJ47" s="1169">
        <f t="shared" ref="AJ47" si="87">AJ48+AJ49+AJ50</f>
        <v>6523155.0001861118</v>
      </c>
      <c r="AK47" s="1169">
        <f t="shared" ref="AK47" si="88">AK48+AK49+AK50</f>
        <v>289268.43321917305</v>
      </c>
      <c r="AL47" s="1169">
        <f t="shared" ref="AL47" si="89">AL48+AL49+AL50</f>
        <v>588867.88191045937</v>
      </c>
      <c r="AM47" s="1170">
        <f t="shared" si="57"/>
        <v>17520385.782230318</v>
      </c>
      <c r="AN47" s="1177">
        <f t="shared" si="63"/>
        <v>20579319.460578717</v>
      </c>
      <c r="AO47" s="1178"/>
      <c r="AP47" s="1178"/>
      <c r="AQ47" s="1178"/>
      <c r="AR47" s="1178"/>
      <c r="AS47" s="1178"/>
      <c r="AT47" s="1178"/>
      <c r="AU47" s="1178"/>
      <c r="AV47" s="1178"/>
      <c r="AW47" s="1178"/>
      <c r="AX47" s="1178"/>
      <c r="AY47" s="1178"/>
      <c r="AZ47" s="1178"/>
    </row>
    <row r="48" spans="1:70" ht="20" customHeight="1">
      <c r="A48" s="832" t="s">
        <v>501</v>
      </c>
      <c r="B48" s="13"/>
      <c r="C48" s="13"/>
      <c r="D48" s="1113"/>
      <c r="E48" s="13"/>
      <c r="G48" s="169">
        <f>G18*G140</f>
        <v>54232892.307692312</v>
      </c>
      <c r="H48" s="169">
        <f>H18*H140</f>
        <v>22654246.153846156</v>
      </c>
      <c r="I48" s="169">
        <f>I18*I140</f>
        <v>1249416.0000000002</v>
      </c>
      <c r="J48" s="169">
        <f>J18*J140</f>
        <v>2543454.0000000005</v>
      </c>
      <c r="K48" s="406">
        <f t="shared" ref="K48:K68" si="90">SUM(G48:J48)</f>
        <v>80680008.461538464</v>
      </c>
      <c r="L48" s="677"/>
      <c r="N48" s="169">
        <f>N18*N140</f>
        <v>81349338.461538464</v>
      </c>
      <c r="O48" s="169">
        <f>O18*O140</f>
        <v>33981369.230769232</v>
      </c>
      <c r="P48" s="169">
        <f>P18*P140</f>
        <v>1874124.0000000005</v>
      </c>
      <c r="Q48" s="169">
        <f>Q18*Q140</f>
        <v>3815181.0000000005</v>
      </c>
      <c r="R48" s="406">
        <f t="shared" ref="R48" si="91">SUM(N48:Q48)</f>
        <v>121020012.6923077</v>
      </c>
      <c r="S48" s="80"/>
      <c r="T48" s="169">
        <f>T18*T140</f>
        <v>0</v>
      </c>
      <c r="U48" s="169">
        <f>U18*U140</f>
        <v>0</v>
      </c>
      <c r="V48" s="169">
        <f>V18*V140</f>
        <v>0</v>
      </c>
      <c r="W48" s="169">
        <f>W18*W140</f>
        <v>0</v>
      </c>
      <c r="X48" s="677">
        <f t="shared" ref="X48" si="92">SUM(T48:W48)</f>
        <v>0</v>
      </c>
      <c r="Y48" s="1072"/>
      <c r="Z48" s="677"/>
      <c r="AA48" s="677"/>
      <c r="AC48" s="169">
        <f>AC18*AC140</f>
        <v>0</v>
      </c>
      <c r="AD48" s="169">
        <f>AD18*AD140</f>
        <v>0</v>
      </c>
      <c r="AE48" s="169">
        <f>AE18*AE140</f>
        <v>0</v>
      </c>
      <c r="AF48" s="169">
        <f>AF18*AF140</f>
        <v>0</v>
      </c>
      <c r="AG48" s="406">
        <f t="shared" ref="AG48" si="93">SUM(AC48:AF48)</f>
        <v>0</v>
      </c>
      <c r="AI48" s="169">
        <f>AI18*AI140</f>
        <v>9186116.8953901827</v>
      </c>
      <c r="AJ48" s="169">
        <f>AJ18*AJ140</f>
        <v>5921722.0033256235</v>
      </c>
      <c r="AK48" s="169">
        <f>AK18*AK140</f>
        <v>262597.96767248865</v>
      </c>
      <c r="AL48" s="169">
        <f>AL18*AL140</f>
        <v>534574.43419042334</v>
      </c>
      <c r="AM48" s="406">
        <f t="shared" ref="AM48" si="94">SUM(AI48:AL48)</f>
        <v>15905011.300578719</v>
      </c>
      <c r="AN48" s="406">
        <f t="shared" si="63"/>
        <v>15905011.300578719</v>
      </c>
      <c r="AU48" s="80"/>
    </row>
    <row r="49" spans="1:70" ht="20" customHeight="1">
      <c r="A49" s="832" t="s">
        <v>502</v>
      </c>
      <c r="B49" s="13"/>
      <c r="C49" s="13"/>
      <c r="D49" s="1113"/>
      <c r="E49" s="13"/>
      <c r="G49" s="169">
        <f>G6*G150*G142</f>
        <v>1125465.5999999999</v>
      </c>
      <c r="H49" s="169">
        <f>H6*H150*H142</f>
        <v>470131.20000000001</v>
      </c>
      <c r="I49" s="169">
        <f>I6*I150*I142</f>
        <v>25928.448000000004</v>
      </c>
      <c r="J49" s="169">
        <f>J6*J150*J142</f>
        <v>52782.911999999997</v>
      </c>
      <c r="K49" s="406">
        <f>SUM(G49:J49)</f>
        <v>1674308.16</v>
      </c>
      <c r="L49" s="677"/>
      <c r="N49" s="169">
        <f>N6*N150*N142</f>
        <v>1125465.5999999999</v>
      </c>
      <c r="O49" s="169">
        <f>O6*O150*O142</f>
        <v>470131.20000000001</v>
      </c>
      <c r="P49" s="169">
        <f>P6*P150*P142</f>
        <v>25928.448000000004</v>
      </c>
      <c r="Q49" s="169">
        <f>Q6*Q150*Q142</f>
        <v>52782.911999999997</v>
      </c>
      <c r="R49" s="406">
        <f>SUM(N49:Q49)</f>
        <v>1674308.16</v>
      </c>
      <c r="S49" s="80"/>
      <c r="T49" s="169">
        <f>T6*T150*T142</f>
        <v>1125465.5999999999</v>
      </c>
      <c r="U49" s="169">
        <f>U6*U150*U142</f>
        <v>470131.20000000001</v>
      </c>
      <c r="V49" s="169">
        <f>V6*V150*V142</f>
        <v>25928.448000000004</v>
      </c>
      <c r="W49" s="169">
        <f>W6*W150*W142</f>
        <v>52782.911999999997</v>
      </c>
      <c r="X49" s="677">
        <f>SUM(T49:W49)</f>
        <v>1674308.16</v>
      </c>
      <c r="Y49" s="1072"/>
      <c r="Z49" s="677"/>
      <c r="AA49" s="677"/>
      <c r="AC49" s="169">
        <f>AC6*AC150*AC142</f>
        <v>998375.95478759916</v>
      </c>
      <c r="AD49" s="169">
        <f>AD6*AD150*AD142</f>
        <v>388204.35789473681</v>
      </c>
      <c r="AE49" s="169">
        <f>AE6*AE150*AE142</f>
        <v>22295.413179624295</v>
      </c>
      <c r="AF49" s="169">
        <f>AF6*AF150*AF142</f>
        <v>45387.091115663738</v>
      </c>
      <c r="AG49" s="406">
        <f>SUM(AC49:AF49)</f>
        <v>1454262.8169776241</v>
      </c>
      <c r="AI49" s="169">
        <f>AI6*AI150*AI142</f>
        <v>127089.64521240095</v>
      </c>
      <c r="AJ49" s="169">
        <f>AJ6*AJ150*AJ142</f>
        <v>81926.84210526316</v>
      </c>
      <c r="AK49" s="169">
        <f>AK6*AK150*AK142</f>
        <v>3633.0348203757067</v>
      </c>
      <c r="AL49" s="169">
        <f>AL6*AL150*AL142</f>
        <v>7395.8208843362618</v>
      </c>
      <c r="AM49" s="406">
        <f>SUM(AI49:AL49)</f>
        <v>220045.34302237607</v>
      </c>
      <c r="AN49" s="406">
        <f t="shared" si="63"/>
        <v>1674308.1600000001</v>
      </c>
      <c r="AU49" s="80"/>
    </row>
    <row r="50" spans="1:70" s="424" customFormat="1" ht="20" customHeight="1">
      <c r="A50" s="1180" t="s">
        <v>498</v>
      </c>
      <c r="B50" s="305"/>
      <c r="C50" s="305"/>
      <c r="D50" s="1181"/>
      <c r="E50" s="305"/>
      <c r="F50" s="1182"/>
      <c r="G50" s="373">
        <f>G141*G20</f>
        <v>2016592.2144224637</v>
      </c>
      <c r="H50" s="373">
        <f>H141*H20</f>
        <v>842373.96298659861</v>
      </c>
      <c r="I50" s="373">
        <f>I141*I20</f>
        <v>46458.200382897267</v>
      </c>
      <c r="J50" s="373">
        <f>J141*J20</f>
        <v>94575.622208040848</v>
      </c>
      <c r="K50" s="1151">
        <f>SUM(G50:J50)</f>
        <v>3000000</v>
      </c>
      <c r="L50" s="1183"/>
      <c r="M50" s="287"/>
      <c r="N50" s="373">
        <f>N141*N20</f>
        <v>2016592.214422463</v>
      </c>
      <c r="O50" s="373">
        <f>O141*O20</f>
        <v>842373.96298659837</v>
      </c>
      <c r="P50" s="373">
        <f>P141*P20</f>
        <v>46458.200382897259</v>
      </c>
      <c r="Q50" s="373">
        <f>Q141*Q20</f>
        <v>94575.622208040833</v>
      </c>
      <c r="R50" s="1151">
        <f>SUM(N50:Q50)</f>
        <v>2999999.9999999991</v>
      </c>
      <c r="S50" s="1184"/>
      <c r="T50" s="373">
        <f>T141*T20</f>
        <v>2016592.2144224632</v>
      </c>
      <c r="U50" s="373">
        <f>U141*U20</f>
        <v>842373.96298659849</v>
      </c>
      <c r="V50" s="373">
        <f>V141*V20</f>
        <v>46458.200382897259</v>
      </c>
      <c r="W50" s="373">
        <f>W141*W20</f>
        <v>94575.622208040819</v>
      </c>
      <c r="X50" s="1183">
        <f>SUM(T50:W50)</f>
        <v>2999999.9999999995</v>
      </c>
      <c r="Y50" s="1185"/>
      <c r="Z50" s="1183"/>
      <c r="AA50" s="1183"/>
      <c r="AB50" s="1186"/>
      <c r="AC50" s="373">
        <f>AC141*AC20</f>
        <v>1101633.6143905807</v>
      </c>
      <c r="AD50" s="373">
        <f>AD141*AD20</f>
        <v>428354.63720752014</v>
      </c>
      <c r="AE50" s="373">
        <f>AE141*AE20</f>
        <v>24601.330278057678</v>
      </c>
      <c r="AF50" s="373">
        <f>AF141*AF20</f>
        <v>50081.279494617404</v>
      </c>
      <c r="AG50" s="1183">
        <f>SUM(AC50:AF50)</f>
        <v>1604670.8613707758</v>
      </c>
      <c r="AH50" s="286"/>
      <c r="AI50" s="373">
        <f>AI141*AI20</f>
        <v>805887.92631198955</v>
      </c>
      <c r="AJ50" s="373">
        <f>AJ141*AJ20</f>
        <v>519506.15475522587</v>
      </c>
      <c r="AK50" s="373">
        <f>AK141*AK20</f>
        <v>23037.430726308641</v>
      </c>
      <c r="AL50" s="373">
        <f>AL141*AL20</f>
        <v>46897.626835699746</v>
      </c>
      <c r="AM50" s="1187">
        <f>SUM(AI50:AL50)</f>
        <v>1395329.1386292237</v>
      </c>
      <c r="AN50" s="1151">
        <f t="shared" si="63"/>
        <v>2999999.9999999995</v>
      </c>
      <c r="AO50" s="287"/>
      <c r="AP50" s="287"/>
      <c r="AQ50" s="287"/>
      <c r="AR50" s="287"/>
      <c r="AS50" s="287"/>
      <c r="AT50" s="287"/>
      <c r="AU50" s="1184"/>
      <c r="AV50" s="287"/>
      <c r="AW50" s="287"/>
      <c r="AX50" s="287"/>
      <c r="AY50" s="287"/>
      <c r="AZ50" s="287"/>
      <c r="BG50" s="287"/>
      <c r="BH50" s="287"/>
      <c r="BI50" s="287"/>
      <c r="BJ50" s="287"/>
      <c r="BK50" s="287"/>
      <c r="BL50" s="287"/>
      <c r="BM50" s="287"/>
      <c r="BN50" s="287"/>
      <c r="BO50" s="287"/>
      <c r="BP50" s="287"/>
      <c r="BQ50" s="287"/>
      <c r="BR50" s="287"/>
    </row>
    <row r="51" spans="1:70" s="1179" customFormat="1" ht="20" customHeight="1">
      <c r="A51" s="1165" t="s">
        <v>119</v>
      </c>
      <c r="B51" s="1166"/>
      <c r="C51" s="1166"/>
      <c r="D51" s="1167"/>
      <c r="E51" s="1166"/>
      <c r="F51" s="1188"/>
      <c r="G51" s="1169">
        <f>G52+G61</f>
        <v>5367440.219517448</v>
      </c>
      <c r="H51" s="1169">
        <f t="shared" ref="H51:J51" si="95">H52+H61</f>
        <v>2342564.2226872304</v>
      </c>
      <c r="I51" s="1169">
        <f t="shared" si="95"/>
        <v>234066.31366829769</v>
      </c>
      <c r="J51" s="1169">
        <f t="shared" si="95"/>
        <v>360352.69883633417</v>
      </c>
      <c r="K51" s="1170">
        <f t="shared" ref="K51" si="96">SUM(G51:J51)</f>
        <v>8304423.4547093101</v>
      </c>
      <c r="L51" s="1171"/>
      <c r="M51" s="1178"/>
      <c r="N51" s="1169">
        <f>N52+N61</f>
        <v>8851907.7318148185</v>
      </c>
      <c r="O51" s="1169">
        <f t="shared" ref="O51" si="97">O52+O61</f>
        <v>3814565.7224802952</v>
      </c>
      <c r="P51" s="1169">
        <f t="shared" ref="P51" si="98">P52+P61</f>
        <v>314743.96579762769</v>
      </c>
      <c r="Q51" s="1169">
        <f t="shared" ref="Q51" si="99">Q52+Q61</f>
        <v>524589.3478138987</v>
      </c>
      <c r="R51" s="1170">
        <f t="shared" ref="R51" si="100">SUM(N51:Q51)</f>
        <v>13505806.76790664</v>
      </c>
      <c r="S51" s="1189"/>
      <c r="T51" s="1169">
        <f>T52+T61</f>
        <v>1682289.199467957</v>
      </c>
      <c r="U51" s="1169">
        <f t="shared" ref="U51:W51" si="101">U52+U61</f>
        <v>777007.9141047399</v>
      </c>
      <c r="V51" s="1169">
        <f t="shared" si="101"/>
        <v>148527.53081640607</v>
      </c>
      <c r="W51" s="1169">
        <f t="shared" si="101"/>
        <v>186220.17660212624</v>
      </c>
      <c r="X51" s="1170">
        <f t="shared" ref="X51" si="102">SUM(T51:W51)</f>
        <v>2794044.8209912293</v>
      </c>
      <c r="Y51" s="1174"/>
      <c r="Z51" s="1171"/>
      <c r="AA51" s="1171"/>
      <c r="AB51" s="1190"/>
      <c r="AC51" s="1169">
        <f>AC52+AC61</f>
        <v>1465684.9990790552</v>
      </c>
      <c r="AD51" s="1169">
        <f t="shared" ref="AD51:AF51" si="103">AD52+AD61</f>
        <v>629436.65128070512</v>
      </c>
      <c r="AE51" s="1169">
        <f t="shared" si="103"/>
        <v>127953.54059376425</v>
      </c>
      <c r="AF51" s="1169">
        <f t="shared" si="103"/>
        <v>159600.99455628498</v>
      </c>
      <c r="AG51" s="1170">
        <f t="shared" ref="AG51" si="104">SUM(AC51:AF51)</f>
        <v>2382676.1855098093</v>
      </c>
      <c r="AH51" s="1191"/>
      <c r="AI51" s="1169">
        <f>AI52+AI61</f>
        <v>1142801.0712987948</v>
      </c>
      <c r="AJ51" s="1169">
        <f t="shared" ref="AJ51:AL51" si="105">AJ52+AJ61</f>
        <v>757462.93448872841</v>
      </c>
      <c r="AK51" s="1169">
        <f t="shared" si="105"/>
        <v>47364.325317505631</v>
      </c>
      <c r="AL51" s="1169">
        <f t="shared" si="105"/>
        <v>81156.649917528353</v>
      </c>
      <c r="AM51" s="1170">
        <f t="shared" ref="AM51" si="106">SUM(AI51:AL51)</f>
        <v>2028784.981022557</v>
      </c>
      <c r="AN51" s="1170">
        <f t="shared" si="63"/>
        <v>4411461.1665323665</v>
      </c>
      <c r="AO51" s="1178"/>
      <c r="AP51" s="1178"/>
      <c r="AQ51" s="1178"/>
      <c r="AR51" s="1178"/>
      <c r="AS51" s="1178"/>
      <c r="AT51" s="1178"/>
      <c r="AU51" s="1189"/>
      <c r="AV51" s="1178"/>
      <c r="AW51" s="1178"/>
      <c r="AX51" s="1178"/>
      <c r="AY51" s="1178"/>
      <c r="AZ51" s="1178"/>
      <c r="BG51" s="1178"/>
      <c r="BH51" s="1178"/>
      <c r="BI51" s="1178"/>
      <c r="BJ51" s="1178"/>
      <c r="BK51" s="1178"/>
      <c r="BL51" s="1178"/>
      <c r="BM51" s="1178"/>
      <c r="BN51" s="1178"/>
      <c r="BO51" s="1178"/>
      <c r="BP51" s="1178"/>
      <c r="BQ51" s="1178"/>
      <c r="BR51" s="1178"/>
    </row>
    <row r="52" spans="1:70" ht="20">
      <c r="A52" s="832" t="s">
        <v>508</v>
      </c>
      <c r="B52" s="13"/>
      <c r="C52" s="13"/>
      <c r="D52" s="1113"/>
      <c r="E52" s="13"/>
      <c r="G52" s="169">
        <f>G53+G60+G59</f>
        <v>718260.10358993686</v>
      </c>
      <c r="H52" s="169">
        <f t="shared" ref="H52:J52" si="107">H53+H60+H59</f>
        <v>369025.55598470115</v>
      </c>
      <c r="I52" s="169">
        <f t="shared" si="107"/>
        <v>126188.98691980149</v>
      </c>
      <c r="J52" s="169">
        <f t="shared" si="107"/>
        <v>140745.28366975265</v>
      </c>
      <c r="K52" s="406">
        <f>SUM(G52:J52)</f>
        <v>1354219.9301641923</v>
      </c>
      <c r="L52" s="677"/>
      <c r="N52" s="169">
        <f>N53+N60+N59</f>
        <v>1084709.5849638791</v>
      </c>
      <c r="O52" s="169">
        <f t="shared" ref="O52:Q52" si="108">O53+O60+O59</f>
        <v>523830.89834393829</v>
      </c>
      <c r="P52" s="169">
        <f t="shared" si="108"/>
        <v>134673.57851863894</v>
      </c>
      <c r="Q52" s="169">
        <f t="shared" si="108"/>
        <v>158017.48799595749</v>
      </c>
      <c r="R52" s="406">
        <f>SUM(N52:Q52)</f>
        <v>1901231.5498224138</v>
      </c>
      <c r="S52" s="80"/>
      <c r="T52" s="169">
        <f>T53+T60+T59</f>
        <v>330705.42692387884</v>
      </c>
      <c r="U52" s="169">
        <f t="shared" ref="U52:W52" si="109">U53+U60+U59</f>
        <v>204381.37568539658</v>
      </c>
      <c r="V52" s="169">
        <f t="shared" si="109"/>
        <v>117193.16689771519</v>
      </c>
      <c r="W52" s="169">
        <f t="shared" si="109"/>
        <v>122432.36433907696</v>
      </c>
      <c r="X52" s="406">
        <f>SUM(T52:W52)</f>
        <v>774712.33384606754</v>
      </c>
      <c r="Y52" s="1072"/>
      <c r="Z52" s="677"/>
      <c r="AA52" s="677"/>
      <c r="AC52" s="169">
        <f>AC53+AC60+AC59</f>
        <v>288703.63463452563</v>
      </c>
      <c r="AD52" s="169">
        <f t="shared" ref="AD52:AF52" si="110">AD53+AD60+AD59</f>
        <v>171784.1080206206</v>
      </c>
      <c r="AE52" s="169">
        <f t="shared" si="110"/>
        <v>101669.56840956688</v>
      </c>
      <c r="AF52" s="169">
        <f t="shared" si="110"/>
        <v>106094.33689559746</v>
      </c>
      <c r="AG52" s="406">
        <f>SUM(AC52:AF52)</f>
        <v>668251.64796031057</v>
      </c>
      <c r="AI52" s="169">
        <f>AI53+AI60+AI59</f>
        <v>139406.73631516894</v>
      </c>
      <c r="AJ52" s="169">
        <f t="shared" ref="AJ52:AL52" si="111">AJ53+AJ60+AJ59</f>
        <v>96737.480189948823</v>
      </c>
      <c r="AK52" s="169">
        <f t="shared" si="111"/>
        <v>18341.046022584989</v>
      </c>
      <c r="AL52" s="169">
        <f t="shared" si="111"/>
        <v>22073.545638582764</v>
      </c>
      <c r="AM52" s="406">
        <f>SUM(AI52:AL52)</f>
        <v>276558.80816628551</v>
      </c>
      <c r="AN52" s="406">
        <f t="shared" si="63"/>
        <v>944810.45612659608</v>
      </c>
      <c r="AU52" s="80"/>
    </row>
    <row r="53" spans="1:70" ht="40" outlineLevel="1">
      <c r="A53" s="1284" t="s">
        <v>512</v>
      </c>
      <c r="G53" s="169">
        <f>SUM(G54:G58)</f>
        <v>546401.47215284687</v>
      </c>
      <c r="H53" s="169">
        <f t="shared" ref="H53:J53" si="112">SUM(H54:H58)</f>
        <v>231942.9245476111</v>
      </c>
      <c r="I53" s="169">
        <f t="shared" si="112"/>
        <v>12678.435482711475</v>
      </c>
      <c r="J53" s="169">
        <f t="shared" si="112"/>
        <v>25809.67223266264</v>
      </c>
      <c r="K53" s="407">
        <f>SUM(G53:J53)</f>
        <v>816832.50441583211</v>
      </c>
      <c r="L53" s="169"/>
      <c r="N53" s="169">
        <f>SUM(N54:N58)</f>
        <v>912850.95352678909</v>
      </c>
      <c r="O53" s="169">
        <f t="shared" ref="O53:Q53" si="113">SUM(O54:O58)</f>
        <v>386748.26690684824</v>
      </c>
      <c r="P53" s="169">
        <f t="shared" si="113"/>
        <v>21163.027081548928</v>
      </c>
      <c r="Q53" s="169">
        <f t="shared" si="113"/>
        <v>43081.876558867451</v>
      </c>
      <c r="R53" s="407">
        <f>SUM(N53:Q53)</f>
        <v>1363844.1240740537</v>
      </c>
      <c r="S53" s="80"/>
      <c r="T53" s="169">
        <f>SUM(T54:T58)</f>
        <v>158846.79548678885</v>
      </c>
      <c r="U53" s="169">
        <f t="shared" ref="U53:W53" si="114">SUM(U54:U58)</f>
        <v>67298.744248306553</v>
      </c>
      <c r="V53" s="169">
        <f t="shared" si="114"/>
        <v>3682.6154606251635</v>
      </c>
      <c r="W53" s="169">
        <f t="shared" si="114"/>
        <v>7496.752901986938</v>
      </c>
      <c r="X53" s="407">
        <f>SUM(T53:W53)</f>
        <v>237324.90809770749</v>
      </c>
      <c r="Y53" s="1074"/>
      <c r="Z53" s="169"/>
      <c r="AA53" s="169"/>
      <c r="AC53" s="169">
        <f>SUM(AC54:AC58)</f>
        <v>138326.40039601002</v>
      </c>
      <c r="AD53" s="169">
        <f t="shared" ref="AD53:AF53" si="115">SUM(AD54:AD58)</f>
        <v>53786.262768164917</v>
      </c>
      <c r="AE53" s="169">
        <f t="shared" si="115"/>
        <v>3089.0610252480574</v>
      </c>
      <c r="AF53" s="169">
        <f t="shared" si="115"/>
        <v>6288.445658540687</v>
      </c>
      <c r="AG53" s="407">
        <f>SUM(AC53:AF53)</f>
        <v>201490.16984796367</v>
      </c>
      <c r="AI53" s="169">
        <f>SUM(AI54:AI58)</f>
        <v>117925.33911659451</v>
      </c>
      <c r="AJ53" s="169">
        <f t="shared" ref="AJ53:AL53" si="116">SUM(AJ54:AJ58)</f>
        <v>77652.694005314508</v>
      </c>
      <c r="AK53" s="169">
        <f t="shared" si="116"/>
        <v>3411.0019698137967</v>
      </c>
      <c r="AL53" s="169">
        <f t="shared" si="116"/>
        <v>6943.8254385495147</v>
      </c>
      <c r="AM53" s="407">
        <f>SUM(AI53:AL53)</f>
        <v>205932.86053027233</v>
      </c>
      <c r="AN53" s="1285">
        <f t="shared" si="63"/>
        <v>407423.03037823597</v>
      </c>
      <c r="AU53" s="80"/>
    </row>
    <row r="54" spans="1:70" outlineLevel="1">
      <c r="A54" s="39" t="s">
        <v>327</v>
      </c>
      <c r="B54" s="2"/>
      <c r="C54" s="2"/>
      <c r="D54" s="1108"/>
      <c r="E54" s="2"/>
      <c r="G54" s="169">
        <f t="shared" ref="G54:J58" si="117">(G21*G$146*G114)</f>
        <v>119.54928088521919</v>
      </c>
      <c r="H54" s="169">
        <f t="shared" si="117"/>
        <v>788.23586026453381</v>
      </c>
      <c r="I54" s="169">
        <f t="shared" si="117"/>
        <v>20.806548174893749</v>
      </c>
      <c r="J54" s="169">
        <f t="shared" si="117"/>
        <v>42.356187356033693</v>
      </c>
      <c r="K54" s="407">
        <f>SUM(G54:J54)</f>
        <v>970.94787668068045</v>
      </c>
      <c r="L54" s="169"/>
      <c r="N54" s="169">
        <f t="shared" ref="N54:Q54" si="118">(N21*N$146*N114)</f>
        <v>187.59044644622074</v>
      </c>
      <c r="O54" s="169">
        <f t="shared" si="118"/>
        <v>1236.8582716437447</v>
      </c>
      <c r="P54" s="169">
        <f t="shared" si="118"/>
        <v>32.648541523897116</v>
      </c>
      <c r="Q54" s="169">
        <f t="shared" si="118"/>
        <v>66.463102387933404</v>
      </c>
      <c r="R54" s="407">
        <f>SUM(N54:Q54)</f>
        <v>1523.560362001796</v>
      </c>
      <c r="S54" s="80"/>
      <c r="T54" s="169">
        <f t="shared" ref="T54:W54" si="119">(T21*T$146*T114)</f>
        <v>32.642942603930543</v>
      </c>
      <c r="U54" s="169">
        <f t="shared" si="119"/>
        <v>215.22787719383288</v>
      </c>
      <c r="V54" s="169">
        <f t="shared" si="119"/>
        <v>5.6812299733619369</v>
      </c>
      <c r="W54" s="169">
        <f t="shared" si="119"/>
        <v>11.565361017201083</v>
      </c>
      <c r="X54" s="407">
        <f>SUM(T54:W54)</f>
        <v>265.11741078832648</v>
      </c>
      <c r="Y54" s="1074"/>
      <c r="Z54" s="169"/>
      <c r="AA54" s="169"/>
      <c r="AC54" s="169">
        <f t="shared" ref="AC54:AF54" si="120">(AC21*AC$146*AC114)</f>
        <v>0</v>
      </c>
      <c r="AD54" s="169">
        <f t="shared" si="120"/>
        <v>0</v>
      </c>
      <c r="AE54" s="169">
        <f t="shared" si="120"/>
        <v>0</v>
      </c>
      <c r="AF54" s="169">
        <f t="shared" si="120"/>
        <v>0</v>
      </c>
      <c r="AG54" s="407">
        <f>SUM(AC54:AF54)</f>
        <v>0</v>
      </c>
      <c r="AI54" s="169">
        <f t="shared" ref="AI54:AL54" si="121">(AI21*AI$146*AI114)</f>
        <v>187.5904464462208</v>
      </c>
      <c r="AJ54" s="169">
        <f t="shared" si="121"/>
        <v>1236.858271643745</v>
      </c>
      <c r="AK54" s="169">
        <f t="shared" si="121"/>
        <v>32.648541523897102</v>
      </c>
      <c r="AL54" s="169">
        <f t="shared" si="121"/>
        <v>66.46310238793339</v>
      </c>
      <c r="AM54" s="407">
        <f>SUM(AI54:AL54)</f>
        <v>1523.5603620017962</v>
      </c>
      <c r="AN54" s="407">
        <f t="shared" si="63"/>
        <v>1523.5603620017962</v>
      </c>
      <c r="AU54" s="80"/>
    </row>
    <row r="55" spans="1:70" outlineLevel="1">
      <c r="A55" s="39" t="s">
        <v>429</v>
      </c>
      <c r="B55" s="2"/>
      <c r="C55" s="2"/>
      <c r="D55" s="1108"/>
      <c r="E55" s="2"/>
      <c r="G55" s="169">
        <f t="shared" si="117"/>
        <v>6275.5253192736154</v>
      </c>
      <c r="H55" s="169">
        <f t="shared" si="117"/>
        <v>7171.184251223357</v>
      </c>
      <c r="I55" s="169">
        <f t="shared" si="117"/>
        <v>255.82324186861507</v>
      </c>
      <c r="J55" s="169">
        <f t="shared" si="117"/>
        <v>520.78302808968067</v>
      </c>
      <c r="K55" s="407">
        <f t="shared" ref="K55:K60" si="122">SUM(G55:J55)</f>
        <v>14223.315840455269</v>
      </c>
      <c r="L55" s="169"/>
      <c r="N55" s="169">
        <f t="shared" ref="N55:Q55" si="123">(N22*N$146*N115)</f>
        <v>10043.240667888071</v>
      </c>
      <c r="O55" s="169">
        <f t="shared" si="123"/>
        <v>11476.637515525365</v>
      </c>
      <c r="P55" s="169">
        <f t="shared" si="123"/>
        <v>409.41502994736288</v>
      </c>
      <c r="Q55" s="169">
        <f t="shared" si="123"/>
        <v>833.45202524998842</v>
      </c>
      <c r="R55" s="407">
        <f t="shared" ref="R55:R60" si="124">SUM(N55:Q55)</f>
        <v>22762.745238610787</v>
      </c>
      <c r="S55" s="80"/>
      <c r="T55" s="169">
        <f t="shared" ref="T55:W55" si="125">(T22*T$146*T115)</f>
        <v>1747.641923616394</v>
      </c>
      <c r="U55" s="169">
        <f t="shared" si="125"/>
        <v>1997.0698231309527</v>
      </c>
      <c r="V55" s="169">
        <f t="shared" si="125"/>
        <v>71.243027440577393</v>
      </c>
      <c r="W55" s="169">
        <f t="shared" si="125"/>
        <v>145.03044871831824</v>
      </c>
      <c r="X55" s="407">
        <f t="shared" ref="X55:X61" si="126">SUM(T55:W55)</f>
        <v>3960.9852229062426</v>
      </c>
      <c r="Y55" s="1074"/>
      <c r="Z55" s="169"/>
      <c r="AA55" s="169"/>
      <c r="AC55" s="169">
        <f t="shared" ref="AC55:AF55" si="127">(AC22*AC$146*AC115)</f>
        <v>0</v>
      </c>
      <c r="AD55" s="169">
        <f t="shared" si="127"/>
        <v>0</v>
      </c>
      <c r="AE55" s="169">
        <f t="shared" si="127"/>
        <v>0</v>
      </c>
      <c r="AF55" s="169">
        <f t="shared" si="127"/>
        <v>0</v>
      </c>
      <c r="AG55" s="407">
        <f t="shared" ref="AG55:AG61" si="128">SUM(AC55:AF55)</f>
        <v>0</v>
      </c>
      <c r="AI55" s="169">
        <f t="shared" ref="AI55:AL55" si="129">(AI22*AI$146*AI115)</f>
        <v>10043.240667888071</v>
      </c>
      <c r="AJ55" s="169">
        <f t="shared" si="129"/>
        <v>11476.637515525368</v>
      </c>
      <c r="AK55" s="169">
        <f t="shared" si="129"/>
        <v>409.41502994736265</v>
      </c>
      <c r="AL55" s="169">
        <f t="shared" si="129"/>
        <v>833.45202524998842</v>
      </c>
      <c r="AM55" s="407">
        <f t="shared" ref="AM55:AM61" si="130">SUM(AI55:AL55)</f>
        <v>22762.745238610791</v>
      </c>
      <c r="AN55" s="407">
        <f>AM55+AG55</f>
        <v>22762.745238610791</v>
      </c>
      <c r="AU55" s="80"/>
    </row>
    <row r="56" spans="1:70" outlineLevel="1">
      <c r="A56" s="39" t="s">
        <v>65</v>
      </c>
      <c r="B56" s="2"/>
      <c r="C56" s="2"/>
      <c r="D56" s="1108"/>
      <c r="E56" s="2"/>
      <c r="G56" s="169">
        <f t="shared" si="117"/>
        <v>65417.198515453936</v>
      </c>
      <c r="H56" s="169">
        <f t="shared" si="117"/>
        <v>39446.212254218874</v>
      </c>
      <c r="I56" s="169">
        <f t="shared" si="117"/>
        <v>1803.4311701433419</v>
      </c>
      <c r="J56" s="169">
        <f t="shared" si="117"/>
        <v>3671.2705963632316</v>
      </c>
      <c r="K56" s="407">
        <f t="shared" si="122"/>
        <v>110338.11253617938</v>
      </c>
      <c r="L56" s="169"/>
      <c r="N56" s="169">
        <f t="shared" ref="N56:Q56" si="131">(N23*N$146*N116)</f>
        <v>107694.50800226019</v>
      </c>
      <c r="O56" s="169">
        <f t="shared" si="131"/>
        <v>64939.198218145386</v>
      </c>
      <c r="P56" s="169">
        <f t="shared" si="131"/>
        <v>2968.9383983425382</v>
      </c>
      <c r="Q56" s="169">
        <f t="shared" si="131"/>
        <v>6043.9103109115949</v>
      </c>
      <c r="R56" s="407">
        <f t="shared" si="124"/>
        <v>181646.55492965973</v>
      </c>
      <c r="S56" s="80"/>
      <c r="T56" s="169">
        <f t="shared" ref="T56:W56" si="132">(T23*T$146*T116)</f>
        <v>18740.110224558521</v>
      </c>
      <c r="U56" s="169">
        <f t="shared" si="132"/>
        <v>11300.183779816867</v>
      </c>
      <c r="V56" s="169">
        <f t="shared" si="132"/>
        <v>516.63017796316683</v>
      </c>
      <c r="W56" s="169">
        <f t="shared" si="132"/>
        <v>1051.7114337107321</v>
      </c>
      <c r="X56" s="407">
        <f t="shared" si="126"/>
        <v>31608.635616049287</v>
      </c>
      <c r="Y56" s="1074"/>
      <c r="Z56" s="169"/>
      <c r="AA56" s="169"/>
      <c r="AC56" s="169">
        <f t="shared" ref="AC56:AF56" si="133">(AC23*AC$146*AC116)</f>
        <v>0</v>
      </c>
      <c r="AD56" s="169">
        <f t="shared" si="133"/>
        <v>0</v>
      </c>
      <c r="AE56" s="169">
        <f t="shared" si="133"/>
        <v>0</v>
      </c>
      <c r="AF56" s="169">
        <f t="shared" si="133"/>
        <v>0</v>
      </c>
      <c r="AG56" s="407">
        <f t="shared" si="128"/>
        <v>0</v>
      </c>
      <c r="AI56" s="169">
        <f t="shared" ref="AI56:AL56" si="134">(AI23*AI$146*AI116)</f>
        <v>107694.50800226022</v>
      </c>
      <c r="AJ56" s="169">
        <f t="shared" si="134"/>
        <v>64939.198218145393</v>
      </c>
      <c r="AK56" s="169">
        <f t="shared" si="134"/>
        <v>2968.9383983425369</v>
      </c>
      <c r="AL56" s="169">
        <f t="shared" si="134"/>
        <v>6043.9103109115931</v>
      </c>
      <c r="AM56" s="407">
        <f t="shared" si="130"/>
        <v>181646.55492965976</v>
      </c>
      <c r="AN56" s="407">
        <f t="shared" si="63"/>
        <v>181646.55492965976</v>
      </c>
      <c r="AU56" s="80"/>
    </row>
    <row r="57" spans="1:70" outlineLevel="1">
      <c r="A57" s="39" t="s">
        <v>66</v>
      </c>
      <c r="B57" s="2"/>
      <c r="C57" s="2"/>
      <c r="D57" s="1108"/>
      <c r="E57" s="2"/>
      <c r="G57" s="169">
        <f t="shared" si="117"/>
        <v>474589.19903723407</v>
      </c>
      <c r="H57" s="169">
        <f t="shared" si="117"/>
        <v>184537.29218190434</v>
      </c>
      <c r="I57" s="169">
        <f t="shared" si="117"/>
        <v>10598.374522524624</v>
      </c>
      <c r="J57" s="169">
        <f t="shared" si="117"/>
        <v>21575.262420853694</v>
      </c>
      <c r="K57" s="407">
        <f t="shared" si="122"/>
        <v>691300.12816251675</v>
      </c>
      <c r="L57" s="169"/>
      <c r="N57" s="169">
        <f t="shared" ref="N57:Q57" si="135">(N24*N$146*N117)</f>
        <v>794925.61441019457</v>
      </c>
      <c r="O57" s="169">
        <f t="shared" si="135"/>
        <v>309095.57290153374</v>
      </c>
      <c r="P57" s="169">
        <f t="shared" si="135"/>
        <v>17752.025111735129</v>
      </c>
      <c r="Q57" s="169">
        <f t="shared" si="135"/>
        <v>36138.051120317934</v>
      </c>
      <c r="R57" s="407">
        <f t="shared" si="124"/>
        <v>1157911.2635437814</v>
      </c>
      <c r="S57" s="80"/>
      <c r="T57" s="169">
        <f t="shared" ref="T57:W57" si="136">(T24*T$146*T117)</f>
        <v>138326.40039600999</v>
      </c>
      <c r="U57" s="169">
        <f t="shared" si="136"/>
        <v>53786.262768164903</v>
      </c>
      <c r="V57" s="169">
        <f t="shared" si="136"/>
        <v>3089.0610252480574</v>
      </c>
      <c r="W57" s="169">
        <f t="shared" si="136"/>
        <v>6288.445658540687</v>
      </c>
      <c r="X57" s="407">
        <f t="shared" si="126"/>
        <v>201490.16984796361</v>
      </c>
      <c r="Y57" s="1074"/>
      <c r="Z57" s="169"/>
      <c r="AA57" s="169"/>
      <c r="AC57" s="169">
        <f t="shared" ref="AC57:AF57" si="137">(AC24*AC$146*AC117)</f>
        <v>138326.40039601002</v>
      </c>
      <c r="AD57" s="169">
        <f t="shared" si="137"/>
        <v>53786.262768164917</v>
      </c>
      <c r="AE57" s="169">
        <f t="shared" si="137"/>
        <v>3089.0610252480574</v>
      </c>
      <c r="AF57" s="169">
        <f t="shared" si="137"/>
        <v>6288.445658540687</v>
      </c>
      <c r="AG57" s="407">
        <f t="shared" si="128"/>
        <v>201490.16984796367</v>
      </c>
      <c r="AI57" s="169">
        <f t="shared" ref="AI57:AL57" si="138">(AI24*AI$146*AI117)</f>
        <v>0</v>
      </c>
      <c r="AJ57" s="169">
        <f t="shared" si="138"/>
        <v>0</v>
      </c>
      <c r="AK57" s="169">
        <f t="shared" si="138"/>
        <v>0</v>
      </c>
      <c r="AL57" s="169">
        <f t="shared" si="138"/>
        <v>0</v>
      </c>
      <c r="AM57" s="407">
        <f t="shared" si="130"/>
        <v>0</v>
      </c>
      <c r="AN57" s="407">
        <f t="shared" si="63"/>
        <v>201490.16984796367</v>
      </c>
      <c r="AU57" s="80"/>
    </row>
    <row r="58" spans="1:70" outlineLevel="1">
      <c r="A58" s="39" t="s">
        <v>328</v>
      </c>
      <c r="B58" s="2"/>
      <c r="C58" s="2"/>
      <c r="D58" s="1108"/>
      <c r="E58" s="2"/>
      <c r="G58" s="169">
        <f t="shared" si="117"/>
        <v>0</v>
      </c>
      <c r="H58" s="169">
        <f t="shared" si="117"/>
        <v>0</v>
      </c>
      <c r="I58" s="169">
        <f t="shared" si="117"/>
        <v>0</v>
      </c>
      <c r="J58" s="169">
        <f t="shared" si="117"/>
        <v>0</v>
      </c>
      <c r="K58" s="407">
        <f t="shared" si="122"/>
        <v>0</v>
      </c>
      <c r="L58" s="169"/>
      <c r="N58" s="169">
        <f t="shared" ref="N58:Q58" si="139">(N25*N$146*N118)</f>
        <v>0</v>
      </c>
      <c r="O58" s="169">
        <f t="shared" si="139"/>
        <v>0</v>
      </c>
      <c r="P58" s="169">
        <f t="shared" si="139"/>
        <v>0</v>
      </c>
      <c r="Q58" s="169">
        <f t="shared" si="139"/>
        <v>0</v>
      </c>
      <c r="R58" s="407">
        <f t="shared" si="124"/>
        <v>0</v>
      </c>
      <c r="S58" s="80"/>
      <c r="T58" s="169">
        <f t="shared" ref="T58:W58" si="140">(T25*T$146*T118)</f>
        <v>0</v>
      </c>
      <c r="U58" s="169">
        <f t="shared" si="140"/>
        <v>0</v>
      </c>
      <c r="V58" s="169">
        <f t="shared" si="140"/>
        <v>0</v>
      </c>
      <c r="W58" s="169">
        <f t="shared" si="140"/>
        <v>0</v>
      </c>
      <c r="X58" s="407">
        <f t="shared" si="126"/>
        <v>0</v>
      </c>
      <c r="Y58" s="1074"/>
      <c r="Z58" s="169"/>
      <c r="AA58" s="169"/>
      <c r="AC58" s="169">
        <f t="shared" ref="AC58:AF58" si="141">(AC25*AC$146*AC118)</f>
        <v>0</v>
      </c>
      <c r="AD58" s="169">
        <f t="shared" si="141"/>
        <v>0</v>
      </c>
      <c r="AE58" s="169">
        <f t="shared" si="141"/>
        <v>0</v>
      </c>
      <c r="AF58" s="169">
        <f t="shared" si="141"/>
        <v>0</v>
      </c>
      <c r="AG58" s="407">
        <f t="shared" si="128"/>
        <v>0</v>
      </c>
      <c r="AI58" s="169">
        <f t="shared" ref="AI58:AL58" si="142">(AI25*AI$146*AI118)</f>
        <v>0</v>
      </c>
      <c r="AJ58" s="169">
        <f t="shared" si="142"/>
        <v>0</v>
      </c>
      <c r="AK58" s="169">
        <f t="shared" si="142"/>
        <v>0</v>
      </c>
      <c r="AL58" s="169">
        <f t="shared" si="142"/>
        <v>0</v>
      </c>
      <c r="AM58" s="407">
        <f t="shared" si="130"/>
        <v>0</v>
      </c>
      <c r="AN58" s="407">
        <f t="shared" si="63"/>
        <v>0</v>
      </c>
      <c r="AU58" s="80"/>
    </row>
    <row r="59" spans="1:70" ht="40" outlineLevel="1">
      <c r="A59" s="1284" t="s">
        <v>594</v>
      </c>
      <c r="B59" s="2"/>
      <c r="C59" s="2"/>
      <c r="D59" s="1108"/>
      <c r="E59" s="2"/>
      <c r="G59" s="169">
        <f>G157*G151*G147*G155</f>
        <v>112134.63143709002</v>
      </c>
      <c r="H59" s="169">
        <f t="shared" ref="H59:J59" si="143">H157*H151*H147*H155</f>
        <v>112134.63143709002</v>
      </c>
      <c r="I59" s="169">
        <f t="shared" si="143"/>
        <v>112134.63143709002</v>
      </c>
      <c r="J59" s="169">
        <f t="shared" si="143"/>
        <v>112134.63143709002</v>
      </c>
      <c r="K59" s="407">
        <f t="shared" si="122"/>
        <v>448538.52574836009</v>
      </c>
      <c r="L59" s="169"/>
      <c r="N59" s="169">
        <f>N157*N151*N147*N155</f>
        <v>112134.63143709002</v>
      </c>
      <c r="O59" s="169">
        <f t="shared" ref="O59:Q59" si="144">O157*O151*O147*O155</f>
        <v>112134.63143709002</v>
      </c>
      <c r="P59" s="169">
        <f t="shared" si="144"/>
        <v>112134.63143709002</v>
      </c>
      <c r="Q59" s="169">
        <f t="shared" si="144"/>
        <v>112134.63143709002</v>
      </c>
      <c r="R59" s="407">
        <f t="shared" si="124"/>
        <v>448538.52574836009</v>
      </c>
      <c r="S59" s="80"/>
      <c r="T59" s="169">
        <f>T157*T151*T147*T155</f>
        <v>112134.63143709002</v>
      </c>
      <c r="U59" s="169">
        <f t="shared" ref="U59:W59" si="145">U157*U151*U147*U155</f>
        <v>112134.63143709002</v>
      </c>
      <c r="V59" s="169">
        <f t="shared" si="145"/>
        <v>112134.63143709002</v>
      </c>
      <c r="W59" s="169">
        <f t="shared" si="145"/>
        <v>112134.63143709002</v>
      </c>
      <c r="X59" s="407">
        <f t="shared" si="126"/>
        <v>448538.52574836009</v>
      </c>
      <c r="Y59" s="1074"/>
      <c r="Z59" s="169"/>
      <c r="AA59" s="169"/>
      <c r="AC59" s="169">
        <f>AC157*AC151*AC147*AC155</f>
        <v>97397.378147192532</v>
      </c>
      <c r="AD59" s="169">
        <f t="shared" ref="AD59:AF59" si="146">AD157*AD151*AD147*AD155</f>
        <v>97397.378147192532</v>
      </c>
      <c r="AE59" s="169">
        <f t="shared" si="146"/>
        <v>97397.378147192532</v>
      </c>
      <c r="AF59" s="169">
        <f t="shared" si="146"/>
        <v>97397.378147192532</v>
      </c>
      <c r="AG59" s="407">
        <f t="shared" si="128"/>
        <v>389589.51258877013</v>
      </c>
      <c r="AI59" s="169">
        <f>AI157*AI151*AI147*AI155</f>
        <v>14737.25328989748</v>
      </c>
      <c r="AJ59" s="169">
        <f t="shared" ref="AJ59:AL59" si="147">AJ157*AJ151*AJ147*AJ155</f>
        <v>14737.25328989748</v>
      </c>
      <c r="AK59" s="169">
        <f t="shared" si="147"/>
        <v>14737.25328989748</v>
      </c>
      <c r="AL59" s="169">
        <f t="shared" si="147"/>
        <v>14737.25328989748</v>
      </c>
      <c r="AM59" s="407">
        <f t="shared" si="130"/>
        <v>58949.013159589922</v>
      </c>
      <c r="AN59" s="1285">
        <f t="shared" si="63"/>
        <v>448538.52574836003</v>
      </c>
      <c r="AU59" s="80"/>
    </row>
    <row r="60" spans="1:70" ht="20" outlineLevel="1">
      <c r="A60" s="1284" t="s">
        <v>513</v>
      </c>
      <c r="G60" s="169">
        <f>G6*G149*G148</f>
        <v>59724.000000000007</v>
      </c>
      <c r="H60" s="169">
        <f>H6*H149*H148</f>
        <v>24948</v>
      </c>
      <c r="I60" s="169">
        <f>I6*I149*I148</f>
        <v>1375.92</v>
      </c>
      <c r="J60" s="169">
        <f>J6*J149*J148</f>
        <v>2800.98</v>
      </c>
      <c r="K60" s="407">
        <f t="shared" si="122"/>
        <v>88848.9</v>
      </c>
      <c r="L60" s="169"/>
      <c r="N60" s="169">
        <f>N6*N149*N148</f>
        <v>59724.000000000007</v>
      </c>
      <c r="O60" s="169">
        <f>O6*O149*O148</f>
        <v>24948</v>
      </c>
      <c r="P60" s="169">
        <f>P6*P149*P148</f>
        <v>1375.92</v>
      </c>
      <c r="Q60" s="169">
        <f>Q6*Q149*Q148</f>
        <v>2800.98</v>
      </c>
      <c r="R60" s="407">
        <f t="shared" si="124"/>
        <v>88848.9</v>
      </c>
      <c r="S60" s="80"/>
      <c r="T60" s="169">
        <f>T6*T149*T148</f>
        <v>59724.000000000007</v>
      </c>
      <c r="U60" s="169">
        <f>U6*U149*U148</f>
        <v>24948</v>
      </c>
      <c r="V60" s="169">
        <f>V6*V149*V148</f>
        <v>1375.92</v>
      </c>
      <c r="W60" s="169">
        <f>W6*W149*W148</f>
        <v>2800.98</v>
      </c>
      <c r="X60" s="407">
        <f t="shared" si="126"/>
        <v>88848.9</v>
      </c>
      <c r="Y60" s="1074"/>
      <c r="Z60" s="169"/>
      <c r="AA60" s="169"/>
      <c r="AC60" s="169">
        <f>AC6*AC149*AC148</f>
        <v>52979.856091323061</v>
      </c>
      <c r="AD60" s="169">
        <f>AD6*AD149*AD148</f>
        <v>20600.46710526316</v>
      </c>
      <c r="AE60" s="169">
        <f>AE6*AE149*AE148</f>
        <v>1183.1292371262894</v>
      </c>
      <c r="AF60" s="169">
        <f>AF6*AF149*AF148</f>
        <v>2408.5130898642315</v>
      </c>
      <c r="AG60" s="407">
        <f t="shared" si="128"/>
        <v>77171.965523576742</v>
      </c>
      <c r="AI60" s="169">
        <f>AI6*AI149*AI148</f>
        <v>6744.1439086769387</v>
      </c>
      <c r="AJ60" s="169">
        <f>AJ6*AJ149*AJ148</f>
        <v>4347.5328947368434</v>
      </c>
      <c r="AK60" s="169">
        <f>AK6*AK149*AK148</f>
        <v>192.79076287371086</v>
      </c>
      <c r="AL60" s="169">
        <f>AL6*AL149*AL148</f>
        <v>392.46691013576861</v>
      </c>
      <c r="AM60" s="407">
        <f t="shared" si="130"/>
        <v>11676.934476423261</v>
      </c>
      <c r="AN60" s="1285">
        <f t="shared" si="63"/>
        <v>88848.900000000009</v>
      </c>
      <c r="AU60" s="80"/>
    </row>
    <row r="61" spans="1:70" s="424" customFormat="1" ht="20">
      <c r="A61" s="1180" t="s">
        <v>510</v>
      </c>
      <c r="B61" s="305"/>
      <c r="C61" s="305"/>
      <c r="D61" s="1181"/>
      <c r="E61" s="305"/>
      <c r="F61" s="1182"/>
      <c r="G61" s="373">
        <f>SUM(G62:G66)</f>
        <v>4649180.1159275109</v>
      </c>
      <c r="H61" s="373">
        <f t="shared" ref="H61:J61" si="148">SUM(H62:H66)</f>
        <v>1973538.6667025294</v>
      </c>
      <c r="I61" s="373">
        <f t="shared" si="148"/>
        <v>107877.3267484962</v>
      </c>
      <c r="J61" s="373">
        <f t="shared" si="148"/>
        <v>219607.41516658154</v>
      </c>
      <c r="K61" s="1151">
        <f t="shared" si="90"/>
        <v>6950203.5245451182</v>
      </c>
      <c r="L61" s="1183"/>
      <c r="M61" s="287"/>
      <c r="N61" s="373">
        <f>SUM(N62:N66)</f>
        <v>7767198.1468509389</v>
      </c>
      <c r="O61" s="373">
        <f t="shared" ref="O61" si="149">SUM(O62:O66)</f>
        <v>3290734.8241363568</v>
      </c>
      <c r="P61" s="373">
        <f t="shared" ref="P61" si="150">SUM(P62:P66)</f>
        <v>180070.38727898872</v>
      </c>
      <c r="Q61" s="373">
        <f t="shared" ref="Q61" si="151">SUM(Q62:Q66)</f>
        <v>366571.85981794127</v>
      </c>
      <c r="R61" s="1151">
        <f t="shared" ref="R61" si="152">SUM(N61:Q61)</f>
        <v>11604575.218084225</v>
      </c>
      <c r="S61" s="1184"/>
      <c r="T61" s="373">
        <f>SUM(T62:T66)</f>
        <v>1351583.7725440781</v>
      </c>
      <c r="U61" s="373">
        <f t="shared" ref="U61:W61" si="153">SUM(U62:U66)</f>
        <v>572626.5384193433</v>
      </c>
      <c r="V61" s="373">
        <f t="shared" si="153"/>
        <v>31334.363918690884</v>
      </c>
      <c r="W61" s="373">
        <f t="shared" si="153"/>
        <v>63787.81226304928</v>
      </c>
      <c r="X61" s="1151">
        <f t="shared" si="126"/>
        <v>2019332.4871451615</v>
      </c>
      <c r="Y61" s="1185"/>
      <c r="Z61" s="1183"/>
      <c r="AA61" s="1183"/>
      <c r="AB61" s="1186"/>
      <c r="AC61" s="373">
        <f>SUM(AC62:AC66)</f>
        <v>1176981.3644445294</v>
      </c>
      <c r="AD61" s="373">
        <f t="shared" ref="AD61:AF61" si="154">SUM(AD62:AD66)</f>
        <v>457652.54326008447</v>
      </c>
      <c r="AE61" s="373">
        <f t="shared" si="154"/>
        <v>26283.972184197373</v>
      </c>
      <c r="AF61" s="373">
        <f t="shared" si="154"/>
        <v>53506.657660687502</v>
      </c>
      <c r="AG61" s="1151">
        <f t="shared" si="128"/>
        <v>1714424.5375494987</v>
      </c>
      <c r="AH61" s="286"/>
      <c r="AI61" s="373">
        <f>SUM(AI62:AI66)</f>
        <v>1003394.3349836259</v>
      </c>
      <c r="AJ61" s="373">
        <f t="shared" ref="AJ61:AL61" si="155">SUM(AJ62:AJ66)</f>
        <v>660725.4542987796</v>
      </c>
      <c r="AK61" s="373">
        <f t="shared" si="155"/>
        <v>29023.279294920641</v>
      </c>
      <c r="AL61" s="373">
        <f t="shared" si="155"/>
        <v>59083.104278945597</v>
      </c>
      <c r="AM61" s="1151">
        <f t="shared" si="130"/>
        <v>1752226.1728562717</v>
      </c>
      <c r="AN61" s="1151">
        <f>AM61+AG61</f>
        <v>3466650.7104057707</v>
      </c>
      <c r="AO61" s="287"/>
      <c r="AP61" s="287"/>
      <c r="AQ61" s="287"/>
      <c r="AR61" s="287"/>
      <c r="AS61" s="287"/>
      <c r="AT61" s="287"/>
      <c r="AU61" s="1184"/>
      <c r="AV61" s="287"/>
      <c r="AW61" s="287"/>
      <c r="AX61" s="287"/>
      <c r="AY61" s="287"/>
      <c r="AZ61" s="287"/>
      <c r="BG61" s="287"/>
      <c r="BH61" s="287"/>
      <c r="BI61" s="287"/>
      <c r="BJ61" s="287"/>
      <c r="BK61" s="287"/>
      <c r="BL61" s="287"/>
      <c r="BM61" s="287"/>
      <c r="BN61" s="287"/>
      <c r="BO61" s="287"/>
      <c r="BP61" s="287"/>
      <c r="BQ61" s="287"/>
      <c r="BR61" s="287"/>
    </row>
    <row r="62" spans="1:70" outlineLevel="1">
      <c r="A62" s="39" t="s">
        <v>327</v>
      </c>
      <c r="B62" s="2"/>
      <c r="C62" s="2"/>
      <c r="D62" s="1108"/>
      <c r="E62" s="2"/>
      <c r="G62" s="169">
        <f t="shared" ref="G62:J66" si="156">G21*G114*G$145</f>
        <v>1017.2120096512411</v>
      </c>
      <c r="H62" s="169">
        <f t="shared" si="156"/>
        <v>6706.8825304660986</v>
      </c>
      <c r="I62" s="169">
        <f t="shared" si="156"/>
        <v>177.03720613099719</v>
      </c>
      <c r="J62" s="169">
        <f t="shared" si="156"/>
        <v>360.39716962381567</v>
      </c>
      <c r="K62" s="407">
        <f>SUM(G62:J62)</f>
        <v>8261.5289158721516</v>
      </c>
      <c r="L62" s="169"/>
      <c r="N62" s="169">
        <f t="shared" ref="N62:Q66" si="157">N21*N114*N$145</f>
        <v>1596.155607193838</v>
      </c>
      <c r="O62" s="169">
        <f t="shared" si="157"/>
        <v>10524.087462813412</v>
      </c>
      <c r="P62" s="169">
        <f t="shared" si="157"/>
        <v>277.79747640298393</v>
      </c>
      <c r="Q62" s="169">
        <f t="shared" si="157"/>
        <v>565.51629124893157</v>
      </c>
      <c r="R62" s="407">
        <f>SUM(N62:Q62)</f>
        <v>12963.556837659165</v>
      </c>
      <c r="S62" s="80"/>
      <c r="T62" s="169">
        <f t="shared" ref="T62:W66" si="158">T21*T114*T$145</f>
        <v>277.74983673013185</v>
      </c>
      <c r="U62" s="169">
        <f t="shared" si="158"/>
        <v>1831.3149177660807</v>
      </c>
      <c r="V62" s="169">
        <f t="shared" si="158"/>
        <v>48.34002610223034</v>
      </c>
      <c r="W62" s="169">
        <f t="shared" si="158"/>
        <v>98.406481708111755</v>
      </c>
      <c r="X62" s="169">
        <f>SUM(T62:W62)</f>
        <v>2255.8112623065545</v>
      </c>
      <c r="Y62" s="1074"/>
      <c r="Z62" s="169"/>
      <c r="AA62" s="169"/>
      <c r="AC62" s="169">
        <f t="shared" ref="AC62:AF66" si="159">AC21*AC114*AC$145</f>
        <v>0</v>
      </c>
      <c r="AD62" s="169">
        <f t="shared" si="159"/>
        <v>0</v>
      </c>
      <c r="AE62" s="169">
        <f t="shared" si="159"/>
        <v>0</v>
      </c>
      <c r="AF62" s="169">
        <f t="shared" si="159"/>
        <v>0</v>
      </c>
      <c r="AG62" s="169">
        <f>SUM(AC62:AF62)</f>
        <v>0</v>
      </c>
      <c r="AI62" s="169">
        <f t="shared" ref="AI62:AL66" si="160">AI21*AI114*AI$145</f>
        <v>1596.155607193838</v>
      </c>
      <c r="AJ62" s="169">
        <f t="shared" si="160"/>
        <v>10524.087462813413</v>
      </c>
      <c r="AK62" s="169">
        <f t="shared" si="160"/>
        <v>277.79747640298382</v>
      </c>
      <c r="AL62" s="169">
        <f t="shared" si="160"/>
        <v>565.51629124893145</v>
      </c>
      <c r="AM62" s="371">
        <f>SUM(AI62:AL62)</f>
        <v>12963.556837659167</v>
      </c>
      <c r="AN62" s="406">
        <f t="shared" si="63"/>
        <v>12963.556837659167</v>
      </c>
      <c r="AU62" s="80"/>
    </row>
    <row r="63" spans="1:70" outlineLevel="1">
      <c r="A63" s="39" t="s">
        <v>429</v>
      </c>
      <c r="B63" s="2"/>
      <c r="C63" s="2"/>
      <c r="D63" s="1108"/>
      <c r="E63" s="2"/>
      <c r="G63" s="169">
        <f t="shared" si="156"/>
        <v>53396.722041050838</v>
      </c>
      <c r="H63" s="169">
        <f t="shared" si="156"/>
        <v>61017.637996249403</v>
      </c>
      <c r="I63" s="169">
        <f t="shared" si="156"/>
        <v>2176.7297306164164</v>
      </c>
      <c r="J63" s="169">
        <f t="shared" si="156"/>
        <v>4431.1998087548473</v>
      </c>
      <c r="K63" s="407">
        <f t="shared" ref="K63:K66" si="161">SUM(G63:J63)</f>
        <v>121022.28957667149</v>
      </c>
      <c r="L63" s="169"/>
      <c r="N63" s="169">
        <f t="shared" si="157"/>
        <v>85455.17754307625</v>
      </c>
      <c r="O63" s="169">
        <f t="shared" si="157"/>
        <v>97651.557790756691</v>
      </c>
      <c r="P63" s="169">
        <f t="shared" si="157"/>
        <v>3483.6000878502186</v>
      </c>
      <c r="Q63" s="169">
        <f t="shared" si="157"/>
        <v>7091.6144645522299</v>
      </c>
      <c r="R63" s="407">
        <f t="shared" ref="R63:R66" si="162">SUM(N63:Q63)</f>
        <v>193681.94988623538</v>
      </c>
      <c r="S63" s="80"/>
      <c r="T63" s="169">
        <f t="shared" si="158"/>
        <v>14870.205325445724</v>
      </c>
      <c r="U63" s="169">
        <f t="shared" si="158"/>
        <v>16992.518843767033</v>
      </c>
      <c r="V63" s="169">
        <f t="shared" si="158"/>
        <v>606.1873612276006</v>
      </c>
      <c r="W63" s="169">
        <f t="shared" si="158"/>
        <v>1234.0242710704722</v>
      </c>
      <c r="X63" s="169">
        <f t="shared" ref="X63:X66" si="163">SUM(T63:W63)</f>
        <v>33702.93580151083</v>
      </c>
      <c r="Y63" s="1074"/>
      <c r="Z63" s="169"/>
      <c r="AA63" s="169"/>
      <c r="AC63" s="169">
        <f t="shared" si="159"/>
        <v>0</v>
      </c>
      <c r="AD63" s="169">
        <f t="shared" si="159"/>
        <v>0</v>
      </c>
      <c r="AE63" s="169">
        <f t="shared" si="159"/>
        <v>0</v>
      </c>
      <c r="AF63" s="169">
        <f t="shared" si="159"/>
        <v>0</v>
      </c>
      <c r="AG63" s="169">
        <f t="shared" ref="AG63:AG66" si="164">SUM(AC63:AF63)</f>
        <v>0</v>
      </c>
      <c r="AI63" s="169">
        <f t="shared" si="160"/>
        <v>85455.17754307625</v>
      </c>
      <c r="AJ63" s="169">
        <f t="shared" si="160"/>
        <v>97651.557790756691</v>
      </c>
      <c r="AK63" s="169">
        <f t="shared" si="160"/>
        <v>3483.6000878502168</v>
      </c>
      <c r="AL63" s="169">
        <f t="shared" si="160"/>
        <v>7091.6144645522299</v>
      </c>
      <c r="AM63" s="371">
        <f t="shared" ref="AM63:AM66" si="165">SUM(AI63:AL63)</f>
        <v>193681.94988623538</v>
      </c>
      <c r="AN63" s="406">
        <f t="shared" si="63"/>
        <v>193681.94988623538</v>
      </c>
      <c r="AU63" s="80"/>
    </row>
    <row r="64" spans="1:70" outlineLevel="1">
      <c r="A64" s="39" t="s">
        <v>65</v>
      </c>
      <c r="B64" s="2"/>
      <c r="C64" s="2"/>
      <c r="D64" s="1108"/>
      <c r="E64" s="2"/>
      <c r="G64" s="169">
        <f t="shared" si="156"/>
        <v>556616.98234344064</v>
      </c>
      <c r="H64" s="169">
        <f t="shared" si="156"/>
        <v>335636.99039535067</v>
      </c>
      <c r="I64" s="169">
        <f t="shared" si="156"/>
        <v>15344.900707604409</v>
      </c>
      <c r="J64" s="169">
        <f t="shared" si="156"/>
        <v>31237.833583337542</v>
      </c>
      <c r="K64" s="407">
        <f t="shared" si="161"/>
        <v>938836.70702973311</v>
      </c>
      <c r="L64" s="169"/>
      <c r="N64" s="169">
        <f t="shared" si="157"/>
        <v>916343.00183335575</v>
      </c>
      <c r="O64" s="169">
        <f t="shared" si="157"/>
        <v>552549.80904520932</v>
      </c>
      <c r="P64" s="169">
        <f t="shared" si="157"/>
        <v>25261.881730667454</v>
      </c>
      <c r="Q64" s="169">
        <f t="shared" si="157"/>
        <v>51425.97352314445</v>
      </c>
      <c r="R64" s="407">
        <f t="shared" si="162"/>
        <v>1545580.666132377</v>
      </c>
      <c r="S64" s="80"/>
      <c r="T64" s="169">
        <f t="shared" si="158"/>
        <v>159454.45293737279</v>
      </c>
      <c r="U64" s="169">
        <f t="shared" si="158"/>
        <v>96150.161397725737</v>
      </c>
      <c r="V64" s="169">
        <f t="shared" si="158"/>
        <v>4395.8643471636788</v>
      </c>
      <c r="W64" s="169">
        <f t="shared" si="158"/>
        <v>8948.7238495832007</v>
      </c>
      <c r="X64" s="169">
        <f t="shared" si="163"/>
        <v>268949.20253184543</v>
      </c>
      <c r="Y64" s="1074"/>
      <c r="Z64" s="169"/>
      <c r="AA64" s="169"/>
      <c r="AC64" s="169">
        <f t="shared" si="159"/>
        <v>0</v>
      </c>
      <c r="AD64" s="169">
        <f t="shared" si="159"/>
        <v>0</v>
      </c>
      <c r="AE64" s="169">
        <f t="shared" si="159"/>
        <v>0</v>
      </c>
      <c r="AF64" s="169">
        <f t="shared" si="159"/>
        <v>0</v>
      </c>
      <c r="AG64" s="169">
        <f t="shared" si="164"/>
        <v>0</v>
      </c>
      <c r="AI64" s="169">
        <f t="shared" si="160"/>
        <v>916343.00183335587</v>
      </c>
      <c r="AJ64" s="169">
        <f t="shared" si="160"/>
        <v>552549.80904520943</v>
      </c>
      <c r="AK64" s="169">
        <f t="shared" si="160"/>
        <v>25261.881730667443</v>
      </c>
      <c r="AL64" s="169">
        <f t="shared" si="160"/>
        <v>51425.973523144436</v>
      </c>
      <c r="AM64" s="371">
        <f t="shared" si="165"/>
        <v>1545580.6661323772</v>
      </c>
      <c r="AN64" s="406">
        <f t="shared" si="63"/>
        <v>1545580.6661323772</v>
      </c>
      <c r="AU64" s="80"/>
    </row>
    <row r="65" spans="1:70" outlineLevel="1">
      <c r="A65" s="39" t="s">
        <v>66</v>
      </c>
      <c r="B65" s="2"/>
      <c r="C65" s="2"/>
      <c r="D65" s="1108"/>
      <c r="E65" s="2"/>
      <c r="G65" s="169">
        <f t="shared" si="156"/>
        <v>4038149.1995333685</v>
      </c>
      <c r="H65" s="169">
        <f t="shared" si="156"/>
        <v>1570177.1557804632</v>
      </c>
      <c r="I65" s="169">
        <f t="shared" si="156"/>
        <v>90178.659104144375</v>
      </c>
      <c r="J65" s="169">
        <f t="shared" si="156"/>
        <v>183577.98460486534</v>
      </c>
      <c r="K65" s="407">
        <f t="shared" si="161"/>
        <v>5882082.9990228415</v>
      </c>
      <c r="L65" s="169"/>
      <c r="N65" s="169">
        <f t="shared" si="157"/>
        <v>6763803.8118673135</v>
      </c>
      <c r="O65" s="169">
        <f t="shared" si="157"/>
        <v>2630009.3698375775</v>
      </c>
      <c r="P65" s="169">
        <f t="shared" si="157"/>
        <v>151047.10798406808</v>
      </c>
      <c r="Q65" s="169">
        <f t="shared" si="157"/>
        <v>307488.75553899567</v>
      </c>
      <c r="R65" s="407">
        <f t="shared" si="162"/>
        <v>9852349.0452279542</v>
      </c>
      <c r="S65" s="80"/>
      <c r="T65" s="169">
        <f t="shared" si="158"/>
        <v>1176981.3644445294</v>
      </c>
      <c r="U65" s="169">
        <f t="shared" si="158"/>
        <v>457652.54326008441</v>
      </c>
      <c r="V65" s="169">
        <f t="shared" si="158"/>
        <v>26283.972184197373</v>
      </c>
      <c r="W65" s="169">
        <f t="shared" si="158"/>
        <v>53506.657660687495</v>
      </c>
      <c r="X65" s="169">
        <f t="shared" si="163"/>
        <v>1714424.5375494987</v>
      </c>
      <c r="Y65" s="1074"/>
      <c r="Z65" s="169"/>
      <c r="AA65" s="169"/>
      <c r="AC65" s="169">
        <f t="shared" si="159"/>
        <v>1176981.3644445294</v>
      </c>
      <c r="AD65" s="169">
        <f t="shared" si="159"/>
        <v>457652.54326008447</v>
      </c>
      <c r="AE65" s="169">
        <f t="shared" si="159"/>
        <v>26283.972184197373</v>
      </c>
      <c r="AF65" s="169">
        <f t="shared" si="159"/>
        <v>53506.657660687502</v>
      </c>
      <c r="AG65" s="169">
        <f t="shared" si="164"/>
        <v>1714424.5375494987</v>
      </c>
      <c r="AI65" s="169">
        <f t="shared" si="160"/>
        <v>0</v>
      </c>
      <c r="AJ65" s="169">
        <f t="shared" si="160"/>
        <v>0</v>
      </c>
      <c r="AK65" s="169">
        <f t="shared" si="160"/>
        <v>0</v>
      </c>
      <c r="AL65" s="169">
        <f t="shared" si="160"/>
        <v>0</v>
      </c>
      <c r="AM65" s="371">
        <f t="shared" si="165"/>
        <v>0</v>
      </c>
      <c r="AN65" s="406">
        <f t="shared" si="63"/>
        <v>1714424.5375494987</v>
      </c>
      <c r="AU65" s="80"/>
    </row>
    <row r="66" spans="1:70" outlineLevel="1">
      <c r="A66" s="39" t="s">
        <v>328</v>
      </c>
      <c r="B66" s="2"/>
      <c r="C66" s="2"/>
      <c r="D66" s="1108"/>
      <c r="E66" s="2"/>
      <c r="G66" s="169">
        <f t="shared" si="156"/>
        <v>0</v>
      </c>
      <c r="H66" s="169">
        <f t="shared" si="156"/>
        <v>0</v>
      </c>
      <c r="I66" s="169">
        <f t="shared" si="156"/>
        <v>0</v>
      </c>
      <c r="J66" s="169">
        <f t="shared" si="156"/>
        <v>0</v>
      </c>
      <c r="K66" s="407">
        <f t="shared" si="161"/>
        <v>0</v>
      </c>
      <c r="L66" s="169"/>
      <c r="N66" s="169">
        <f t="shared" si="157"/>
        <v>0</v>
      </c>
      <c r="O66" s="169">
        <f t="shared" si="157"/>
        <v>0</v>
      </c>
      <c r="P66" s="169">
        <f t="shared" si="157"/>
        <v>0</v>
      </c>
      <c r="Q66" s="169">
        <f t="shared" si="157"/>
        <v>0</v>
      </c>
      <c r="R66" s="407">
        <f t="shared" si="162"/>
        <v>0</v>
      </c>
      <c r="S66" s="80"/>
      <c r="T66" s="169">
        <f t="shared" si="158"/>
        <v>0</v>
      </c>
      <c r="U66" s="169">
        <f t="shared" si="158"/>
        <v>0</v>
      </c>
      <c r="V66" s="169">
        <f t="shared" si="158"/>
        <v>0</v>
      </c>
      <c r="W66" s="169">
        <f t="shared" si="158"/>
        <v>0</v>
      </c>
      <c r="X66" s="169">
        <f t="shared" si="163"/>
        <v>0</v>
      </c>
      <c r="Y66" s="1074"/>
      <c r="Z66" s="169"/>
      <c r="AA66" s="169"/>
      <c r="AC66" s="169">
        <f t="shared" si="159"/>
        <v>0</v>
      </c>
      <c r="AD66" s="169">
        <f t="shared" si="159"/>
        <v>0</v>
      </c>
      <c r="AE66" s="169">
        <f t="shared" si="159"/>
        <v>0</v>
      </c>
      <c r="AF66" s="169">
        <f t="shared" si="159"/>
        <v>0</v>
      </c>
      <c r="AG66" s="169">
        <f t="shared" si="164"/>
        <v>0</v>
      </c>
      <c r="AI66" s="169">
        <f t="shared" si="160"/>
        <v>0</v>
      </c>
      <c r="AJ66" s="169">
        <f t="shared" si="160"/>
        <v>0</v>
      </c>
      <c r="AK66" s="169">
        <f t="shared" si="160"/>
        <v>0</v>
      </c>
      <c r="AL66" s="169">
        <f t="shared" si="160"/>
        <v>0</v>
      </c>
      <c r="AM66" s="371">
        <f t="shared" si="165"/>
        <v>0</v>
      </c>
      <c r="AN66" s="406">
        <f t="shared" si="63"/>
        <v>0</v>
      </c>
      <c r="AU66" s="80"/>
    </row>
    <row r="67" spans="1:70" s="1152" customFormat="1" ht="20">
      <c r="A67" s="1138" t="s">
        <v>503</v>
      </c>
      <c r="B67" s="1139"/>
      <c r="C67" s="1139"/>
      <c r="D67" s="1140"/>
      <c r="E67" s="1139"/>
      <c r="F67" s="1141"/>
      <c r="G67" s="1142">
        <f>G20*G160</f>
        <v>6917347.3101720139</v>
      </c>
      <c r="H67" s="1142">
        <f>H20*H160</f>
        <v>2889524.8257680563</v>
      </c>
      <c r="I67" s="1142">
        <f>I20*I160</f>
        <v>159361.67220902618</v>
      </c>
      <c r="J67" s="1142">
        <f>J20*J160</f>
        <v>324414.83271123178</v>
      </c>
      <c r="K67" s="1143">
        <f>SUM(G67:J67)</f>
        <v>10290648.640860328</v>
      </c>
      <c r="L67" s="1144"/>
      <c r="M67" s="1145"/>
      <c r="N67" s="1142">
        <f>N20*N160</f>
        <v>0</v>
      </c>
      <c r="O67" s="1142">
        <f>O20*O160</f>
        <v>0</v>
      </c>
      <c r="P67" s="1142">
        <f>P20*P160</f>
        <v>0</v>
      </c>
      <c r="Q67" s="1142">
        <f>Q20*Q160</f>
        <v>0</v>
      </c>
      <c r="R67" s="1143">
        <f>SUM(N67:Q67)</f>
        <v>0</v>
      </c>
      <c r="S67" s="1146"/>
      <c r="T67" s="1142">
        <f>T18*T160</f>
        <v>0</v>
      </c>
      <c r="U67" s="1142">
        <f>U18*U160</f>
        <v>0</v>
      </c>
      <c r="V67" s="1142">
        <f>V18*V160</f>
        <v>0</v>
      </c>
      <c r="W67" s="1142">
        <f>W18*W160</f>
        <v>0</v>
      </c>
      <c r="X67" s="1142">
        <f>SUM(T67:W67)</f>
        <v>0</v>
      </c>
      <c r="Y67" s="1147"/>
      <c r="Z67" s="1142"/>
      <c r="AA67" s="1142"/>
      <c r="AB67" s="1148"/>
      <c r="AC67" s="1142">
        <f>AC18*AC160</f>
        <v>0</v>
      </c>
      <c r="AD67" s="1142">
        <f>AD18*AD160</f>
        <v>0</v>
      </c>
      <c r="AE67" s="1142">
        <f>AE18*AE160</f>
        <v>0</v>
      </c>
      <c r="AF67" s="1142">
        <f>AF18*AF160</f>
        <v>0</v>
      </c>
      <c r="AG67" s="1142">
        <f>SUM(AC67:AF67)</f>
        <v>0</v>
      </c>
      <c r="AH67" s="1149"/>
      <c r="AI67" s="1142">
        <f>AI20*AI160</f>
        <v>0</v>
      </c>
      <c r="AJ67" s="1142">
        <f>AJ20*AJ160</f>
        <v>0</v>
      </c>
      <c r="AK67" s="1142">
        <f>AK20*AK160</f>
        <v>0</v>
      </c>
      <c r="AL67" s="1142">
        <f>AL20*AL160</f>
        <v>0</v>
      </c>
      <c r="AM67" s="1150">
        <f>SUM(AI67:AL67)</f>
        <v>0</v>
      </c>
      <c r="AN67" s="1151">
        <f t="shared" si="63"/>
        <v>0</v>
      </c>
      <c r="AO67" s="1145"/>
      <c r="AP67" s="1145"/>
      <c r="AQ67" s="1145"/>
      <c r="AR67" s="1145"/>
      <c r="AS67" s="1145"/>
      <c r="AT67" s="1145"/>
      <c r="AU67" s="1146"/>
      <c r="AV67" s="1145"/>
      <c r="AW67" s="1145"/>
      <c r="AX67" s="1145"/>
      <c r="AY67" s="1145"/>
      <c r="AZ67" s="1145"/>
      <c r="BG67" s="1145"/>
      <c r="BH67" s="1145"/>
      <c r="BI67" s="1145"/>
      <c r="BJ67" s="1145"/>
      <c r="BK67" s="1145"/>
      <c r="BL67" s="1145"/>
      <c r="BM67" s="1145"/>
      <c r="BN67" s="1145"/>
      <c r="BO67" s="1145"/>
      <c r="BP67" s="1145"/>
      <c r="BQ67" s="1145"/>
      <c r="BR67" s="1145"/>
    </row>
    <row r="68" spans="1:70" s="685" customFormat="1" ht="60">
      <c r="A68" s="568" t="s">
        <v>591</v>
      </c>
      <c r="B68" s="945"/>
      <c r="C68" s="945"/>
      <c r="D68" s="1112"/>
      <c r="E68" s="945"/>
      <c r="G68" s="492">
        <f>G40-G46</f>
        <v>20829100.950193673</v>
      </c>
      <c r="H68" s="492">
        <f>H40-H46</f>
        <v>9317909.1506052092</v>
      </c>
      <c r="I68" s="492">
        <f>I40-I46</f>
        <v>386995.58245555824</v>
      </c>
      <c r="J68" s="492">
        <f>J40-J46</f>
        <v>903951.8754158006</v>
      </c>
      <c r="K68" s="879">
        <f t="shared" si="90"/>
        <v>31437957.558670241</v>
      </c>
      <c r="L68" s="877"/>
      <c r="M68" s="493"/>
      <c r="N68" s="492">
        <f>N40-N46</f>
        <v>57825836.423657969</v>
      </c>
      <c r="O68" s="492">
        <f>O40-O46</f>
        <v>25104205.809832275</v>
      </c>
      <c r="P68" s="492">
        <f>P40-P46</f>
        <v>1247442.4098911188</v>
      </c>
      <c r="Q68" s="492">
        <f>Q40-Q46</f>
        <v>2655575.7741239062</v>
      </c>
      <c r="R68" s="879">
        <f t="shared" ref="R68" si="166">SUM(N68:Q68)</f>
        <v>86833060.417505264</v>
      </c>
      <c r="S68" s="493"/>
      <c r="T68" s="492">
        <f>T40-T46</f>
        <v>21480860.250507671</v>
      </c>
      <c r="U68" s="492">
        <f>U40-U46</f>
        <v>9084242.0640697647</v>
      </c>
      <c r="V68" s="492">
        <f>V40-V46</f>
        <v>389640.34391809715</v>
      </c>
      <c r="W68" s="492">
        <f>W40-W46</f>
        <v>909335.85410739784</v>
      </c>
      <c r="X68" s="877">
        <f t="shared" ref="X68" si="167">SUM(T68:W68)</f>
        <v>31864078.512602933</v>
      </c>
      <c r="Y68" s="1075"/>
      <c r="Z68" s="877"/>
      <c r="AA68" s="877"/>
      <c r="AB68" s="528"/>
      <c r="AC68" s="492">
        <f>AC40-AC46</f>
        <v>19322062.106129207</v>
      </c>
      <c r="AD68" s="492">
        <f>AD40-AD46</f>
        <v>7453584.5576709742</v>
      </c>
      <c r="AE68" s="492">
        <f>AE40-AE46</f>
        <v>336271.7931210876</v>
      </c>
      <c r="AF68" s="492">
        <f>AF40-AF46</f>
        <v>785429.14907752047</v>
      </c>
      <c r="AG68" s="683">
        <f t="shared" si="55"/>
        <v>27897347.605998788</v>
      </c>
      <c r="AH68" s="697"/>
      <c r="AI68" s="492">
        <f>AI40-AI46</f>
        <v>8377298.442141626</v>
      </c>
      <c r="AJ68" s="492">
        <f>AJ40-AJ46</f>
        <v>5788470.1351418421</v>
      </c>
      <c r="AK68" s="492">
        <f>AK40-AK46</f>
        <v>234779.48062190978</v>
      </c>
      <c r="AL68" s="492">
        <f>AL40-AL46</f>
        <v>493207.52645913872</v>
      </c>
      <c r="AM68" s="695">
        <f t="shared" ref="AM68" si="168">SUM(AI68:AL68)</f>
        <v>14893755.584364517</v>
      </c>
      <c r="AN68" s="879">
        <f>AM68+AG68</f>
        <v>42791103.190363303</v>
      </c>
      <c r="AO68" s="493"/>
      <c r="AP68" s="493"/>
      <c r="AQ68" s="493"/>
      <c r="AR68" s="493"/>
      <c r="AS68" s="493"/>
      <c r="AT68" s="493"/>
      <c r="AU68" s="493"/>
      <c r="AV68" s="493"/>
      <c r="AW68" s="493"/>
      <c r="AX68" s="493"/>
      <c r="AY68" s="493"/>
      <c r="AZ68" s="493"/>
      <c r="BG68" s="493"/>
      <c r="BH68" s="493"/>
      <c r="BI68" s="493"/>
      <c r="BJ68" s="493"/>
      <c r="BK68" s="493"/>
      <c r="BL68" s="493"/>
      <c r="BM68" s="493"/>
      <c r="BN68" s="493"/>
      <c r="BO68" s="493"/>
      <c r="BP68" s="493"/>
      <c r="BQ68" s="493"/>
      <c r="BR68" s="493"/>
    </row>
    <row r="69" spans="1:70">
      <c r="G69" s="139"/>
      <c r="AN69" s="406"/>
    </row>
    <row r="70" spans="1:70" s="685" customFormat="1" ht="40">
      <c r="A70" s="568" t="s">
        <v>589</v>
      </c>
      <c r="B70" s="945"/>
      <c r="C70" s="945"/>
      <c r="D70" s="1112"/>
      <c r="E70" s="945"/>
      <c r="G70" s="492">
        <f>G18*G133</f>
        <v>0</v>
      </c>
      <c r="H70" s="492">
        <f>H18*H133</f>
        <v>0</v>
      </c>
      <c r="I70" s="492">
        <f>I5*I133</f>
        <v>5096000.0000000009</v>
      </c>
      <c r="J70" s="492">
        <f>J5*J133</f>
        <v>48906000</v>
      </c>
      <c r="K70" s="680">
        <f>SUM(G70:J70)</f>
        <v>54002000</v>
      </c>
      <c r="L70" s="683"/>
      <c r="M70" s="493"/>
      <c r="N70" s="492">
        <f>N20*N134</f>
        <v>50775659.627783149</v>
      </c>
      <c r="O70" s="492">
        <f>O20*O134</f>
        <v>21210085.667301822</v>
      </c>
      <c r="P70" s="492">
        <f>P5*P133</f>
        <v>6115200.0000000019</v>
      </c>
      <c r="Q70" s="492">
        <f>Q5*Q133</f>
        <v>58687200.000000007</v>
      </c>
      <c r="R70" s="680">
        <f>SUM(N70:Q70)</f>
        <v>136788145.29508498</v>
      </c>
      <c r="S70" s="494"/>
      <c r="T70" s="492">
        <f>T20*T134</f>
        <v>8835561.5880556498</v>
      </c>
      <c r="U70" s="492">
        <f>U20*U134</f>
        <v>3690804.2076688157</v>
      </c>
      <c r="V70" s="492">
        <f>V5*V133</f>
        <v>6115200.0000000019</v>
      </c>
      <c r="W70" s="492">
        <f>W5*W133</f>
        <v>58687200.000000007</v>
      </c>
      <c r="X70" s="683">
        <f>SUM(T70:W70)</f>
        <v>77328765.795724481</v>
      </c>
      <c r="Y70" s="1073"/>
      <c r="Z70" s="683"/>
      <c r="AA70" s="683"/>
      <c r="AB70" s="528"/>
      <c r="AC70" s="492">
        <f>AC20*AC134</f>
        <v>7837833.7254907619</v>
      </c>
      <c r="AD70" s="492">
        <f>AD20*AD134</f>
        <v>3047630.6987353014</v>
      </c>
      <c r="AE70" s="492">
        <f>AE5*AE133</f>
        <v>5258352.1650057305</v>
      </c>
      <c r="AF70" s="492">
        <f>AF5*AF133</f>
        <v>50464083.787631519</v>
      </c>
      <c r="AG70" s="683">
        <f>SUM(AC70:AF70)</f>
        <v>66607900.376863316</v>
      </c>
      <c r="AH70" s="697"/>
      <c r="AI70" s="492">
        <f>AI20*AI134</f>
        <v>5733680.8584114807</v>
      </c>
      <c r="AJ70" s="492">
        <f>AJ20*AJ134</f>
        <v>3696149.7971292734</v>
      </c>
      <c r="AK70" s="492">
        <f>AK5*AK133</f>
        <v>856847.83499427058</v>
      </c>
      <c r="AL70" s="492">
        <f>AL5*AL133</f>
        <v>8223116.2123684855</v>
      </c>
      <c r="AM70" s="695">
        <f>SUM(AI70:AL70)</f>
        <v>18509794.702903509</v>
      </c>
      <c r="AN70" s="680">
        <f>AM70+AG70</f>
        <v>85117695.079766825</v>
      </c>
      <c r="AO70" s="493"/>
      <c r="AP70" s="493"/>
      <c r="AQ70" s="493"/>
      <c r="AR70" s="493"/>
      <c r="AS70" s="493"/>
      <c r="AT70" s="493"/>
      <c r="AU70" s="494"/>
      <c r="AV70" s="493"/>
      <c r="AW70" s="493"/>
      <c r="AX70" s="493"/>
      <c r="AY70" s="493"/>
      <c r="AZ70" s="493"/>
      <c r="BG70" s="493"/>
      <c r="BH70" s="493"/>
      <c r="BI70" s="493"/>
      <c r="BJ70" s="493"/>
      <c r="BK70" s="493"/>
      <c r="BL70" s="493"/>
      <c r="BM70" s="493"/>
      <c r="BN70" s="493"/>
      <c r="BO70" s="493"/>
      <c r="BP70" s="493"/>
      <c r="BQ70" s="493"/>
      <c r="BR70" s="493"/>
    </row>
    <row r="71" spans="1:70">
      <c r="G71" s="139"/>
      <c r="AN71" s="406"/>
    </row>
    <row r="72" spans="1:70" s="733" customFormat="1" ht="21" thickBot="1">
      <c r="A72" s="569" t="s">
        <v>588</v>
      </c>
      <c r="B72" s="946"/>
      <c r="C72" s="946"/>
      <c r="D72" s="1114"/>
      <c r="E72" s="946"/>
      <c r="G72" s="571">
        <f>G68+G70</f>
        <v>20829100.950193673</v>
      </c>
      <c r="H72" s="571">
        <f t="shared" ref="H72:J72" si="169">H68+H70</f>
        <v>9317909.1506052092</v>
      </c>
      <c r="I72" s="571">
        <f t="shared" si="169"/>
        <v>5482995.5824555587</v>
      </c>
      <c r="J72" s="571">
        <f t="shared" si="169"/>
        <v>49809951.875415802</v>
      </c>
      <c r="K72" s="880">
        <f>SUM(G72:J72)</f>
        <v>85439957.558670253</v>
      </c>
      <c r="L72" s="878"/>
      <c r="M72" s="574"/>
      <c r="N72" s="571">
        <f>N68+N70</f>
        <v>108601496.05144112</v>
      </c>
      <c r="O72" s="571">
        <f t="shared" ref="O72:Q72" si="170">O68+O70</f>
        <v>46314291.477134094</v>
      </c>
      <c r="P72" s="571">
        <f t="shared" si="170"/>
        <v>7362642.4098911211</v>
      </c>
      <c r="Q72" s="571">
        <f t="shared" si="170"/>
        <v>61342775.774123915</v>
      </c>
      <c r="R72" s="880">
        <f>SUM(N72:Q72)</f>
        <v>223621205.71259025</v>
      </c>
      <c r="S72" s="575"/>
      <c r="T72" s="571">
        <f>T68+T70</f>
        <v>30316421.838563323</v>
      </c>
      <c r="U72" s="571">
        <f t="shared" ref="U72:W72" si="171">U68+U70</f>
        <v>12775046.271738581</v>
      </c>
      <c r="V72" s="571">
        <f t="shared" si="171"/>
        <v>6504840.3439180991</v>
      </c>
      <c r="W72" s="571">
        <f t="shared" si="171"/>
        <v>59596535.854107402</v>
      </c>
      <c r="X72" s="878">
        <f>SUM(T72:W72)</f>
        <v>109192844.30832741</v>
      </c>
      <c r="Y72" s="1076"/>
      <c r="Z72" s="878"/>
      <c r="AA72" s="878"/>
      <c r="AB72" s="572"/>
      <c r="AC72" s="571">
        <f>AC68+AC70</f>
        <v>27159895.831619971</v>
      </c>
      <c r="AD72" s="571">
        <f t="shared" ref="AD72:AF72" si="172">AD68+AD70</f>
        <v>10501215.256406276</v>
      </c>
      <c r="AE72" s="571">
        <f t="shared" si="172"/>
        <v>5594623.9581268178</v>
      </c>
      <c r="AF72" s="571">
        <f t="shared" si="172"/>
        <v>51249512.936709039</v>
      </c>
      <c r="AG72" s="875">
        <f>SUM(AC72:AF72)</f>
        <v>94505247.982862115</v>
      </c>
      <c r="AH72" s="698"/>
      <c r="AI72" s="571">
        <f>AI68+AI70</f>
        <v>14110979.300553106</v>
      </c>
      <c r="AJ72" s="571">
        <f t="shared" ref="AJ72:AL72" si="173">AJ68+AJ70</f>
        <v>9484619.9322711155</v>
      </c>
      <c r="AK72" s="571">
        <f t="shared" si="173"/>
        <v>1091627.3156161804</v>
      </c>
      <c r="AL72" s="571">
        <f t="shared" si="173"/>
        <v>8716323.7388276234</v>
      </c>
      <c r="AM72" s="876">
        <f>SUM(AI72:AL72)</f>
        <v>33403550.287268024</v>
      </c>
      <c r="AN72" s="881">
        <f>AM72+AG72</f>
        <v>127908798.27013014</v>
      </c>
      <c r="AO72" s="574"/>
      <c r="AP72" s="574"/>
      <c r="AQ72" s="574"/>
      <c r="AR72" s="574"/>
      <c r="AS72" s="574"/>
      <c r="AT72" s="574"/>
      <c r="AU72" s="575"/>
      <c r="AV72" s="574"/>
      <c r="AW72" s="574"/>
      <c r="AX72" s="574"/>
      <c r="AY72" s="574"/>
      <c r="AZ72" s="574"/>
      <c r="BG72" s="574"/>
      <c r="BH72" s="574"/>
      <c r="BI72" s="574"/>
      <c r="BJ72" s="574"/>
      <c r="BK72" s="574"/>
      <c r="BL72" s="574"/>
      <c r="BM72" s="574"/>
      <c r="BN72" s="574"/>
      <c r="BO72" s="574"/>
      <c r="BP72" s="574"/>
      <c r="BQ72" s="574"/>
      <c r="BR72" s="574"/>
    </row>
    <row r="73" spans="1:70">
      <c r="R73" s="960">
        <f>(R72-K72)/K72</f>
        <v>1.6172906928123547</v>
      </c>
    </row>
    <row r="74" spans="1:70">
      <c r="K74" s="407"/>
      <c r="L74" s="169"/>
      <c r="R74" s="961">
        <f>(100%+R73)/100%</f>
        <v>2.6172906928123547</v>
      </c>
      <c r="S74" s="952"/>
    </row>
    <row r="75" spans="1:70" s="425" customFormat="1" ht="20">
      <c r="A75" s="558" t="s">
        <v>295</v>
      </c>
      <c r="B75" s="355"/>
      <c r="C75" s="355"/>
      <c r="D75" s="1115"/>
      <c r="E75" s="355"/>
      <c r="F75" s="452"/>
      <c r="G75" s="355"/>
      <c r="H75" s="355"/>
      <c r="I75" s="355"/>
      <c r="J75" s="355"/>
      <c r="K75" s="498"/>
      <c r="L75" s="355"/>
      <c r="M75" s="43"/>
      <c r="N75" s="43"/>
      <c r="O75" s="43"/>
      <c r="P75" s="43"/>
      <c r="Q75" s="43"/>
      <c r="R75" s="503"/>
      <c r="S75" s="43"/>
      <c r="T75" s="43"/>
      <c r="U75" s="43"/>
      <c r="V75" s="43"/>
      <c r="W75" s="43"/>
      <c r="X75" s="43"/>
      <c r="Y75" s="529"/>
      <c r="Z75" s="43"/>
      <c r="AA75" s="43"/>
      <c r="AB75" s="558"/>
      <c r="AC75" s="355"/>
      <c r="AD75" s="355"/>
      <c r="AE75" s="355"/>
      <c r="AF75" s="355"/>
      <c r="AG75" s="355"/>
      <c r="AH75" s="826"/>
      <c r="AI75" s="355"/>
      <c r="AJ75" s="355"/>
      <c r="AK75" s="355"/>
      <c r="AL75" s="355"/>
      <c r="AM75" s="827"/>
      <c r="AN75" s="498"/>
      <c r="AO75" s="355"/>
      <c r="AP75" s="355"/>
      <c r="AQ75" s="355"/>
      <c r="AR75" s="355"/>
      <c r="AS75" s="355"/>
      <c r="AT75" s="355"/>
      <c r="AU75" s="43"/>
      <c r="AV75" s="43"/>
      <c r="AW75" s="43"/>
      <c r="AX75" s="43"/>
      <c r="AY75" s="43"/>
      <c r="AZ75" s="43"/>
      <c r="BG75" s="43"/>
      <c r="BH75" s="43"/>
      <c r="BI75" s="43"/>
      <c r="BJ75" s="43"/>
      <c r="BK75" s="43"/>
      <c r="BL75" s="43"/>
      <c r="BM75" s="43"/>
      <c r="BN75" s="43"/>
      <c r="BO75" s="43"/>
      <c r="BP75" s="43"/>
      <c r="BQ75" s="43"/>
      <c r="BR75" s="43"/>
    </row>
    <row r="76" spans="1:70" s="418" customFormat="1" ht="20" outlineLevel="1">
      <c r="A76" s="1087" t="s">
        <v>332</v>
      </c>
      <c r="B76" s="417"/>
      <c r="C76" s="417"/>
      <c r="D76" s="1116"/>
      <c r="E76" s="417"/>
      <c r="G76" s="419"/>
      <c r="H76" s="420"/>
      <c r="I76" s="420"/>
      <c r="J76" s="420"/>
      <c r="K76" s="500"/>
      <c r="L76" s="420"/>
      <c r="M76" s="421"/>
      <c r="N76" s="421"/>
      <c r="O76" s="421"/>
      <c r="P76" s="421"/>
      <c r="Q76" s="421"/>
      <c r="R76" s="531"/>
      <c r="S76" s="421"/>
      <c r="T76" s="420"/>
      <c r="U76" s="420"/>
      <c r="V76" s="420"/>
      <c r="W76" s="420"/>
      <c r="X76" s="420"/>
      <c r="Y76" s="559"/>
      <c r="Z76" s="420"/>
      <c r="AA76" s="420"/>
      <c r="AB76" s="559"/>
      <c r="AC76" s="420"/>
      <c r="AD76" s="420"/>
      <c r="AE76" s="420"/>
      <c r="AF76" s="420"/>
      <c r="AG76" s="420"/>
      <c r="AH76" s="828"/>
      <c r="AI76" s="420"/>
      <c r="AJ76" s="420"/>
      <c r="AK76" s="420"/>
      <c r="AL76" s="420"/>
      <c r="AM76" s="829"/>
      <c r="AN76" s="500"/>
      <c r="AO76" s="417"/>
      <c r="AP76" s="417"/>
      <c r="AQ76" s="417"/>
      <c r="AR76" s="417"/>
      <c r="AS76" s="417"/>
      <c r="AT76" s="417"/>
      <c r="AU76" s="421"/>
      <c r="AV76" s="421"/>
      <c r="AW76" s="421"/>
      <c r="AX76" s="421"/>
      <c r="AY76" s="421"/>
      <c r="AZ76" s="421"/>
      <c r="BG76" s="421"/>
      <c r="BH76" s="421"/>
      <c r="BI76" s="421"/>
      <c r="BJ76" s="421"/>
      <c r="BK76" s="421"/>
      <c r="BL76" s="421"/>
      <c r="BM76" s="421"/>
      <c r="BN76" s="421"/>
      <c r="BO76" s="421"/>
      <c r="BP76" s="421"/>
      <c r="BQ76" s="421"/>
      <c r="BR76" s="421"/>
    </row>
    <row r="77" spans="1:70" s="807" customFormat="1" outlineLevel="1">
      <c r="A77" s="1088" t="s">
        <v>509</v>
      </c>
      <c r="B77" s="947"/>
      <c r="C77" s="947"/>
      <c r="D77" s="1117"/>
      <c r="E77" s="947"/>
      <c r="G77" s="808"/>
      <c r="H77" s="809"/>
      <c r="I77" s="809"/>
      <c r="J77" s="809"/>
      <c r="K77" s="810"/>
      <c r="L77" s="809"/>
      <c r="M77" s="812"/>
      <c r="N77" s="812"/>
      <c r="O77" s="812"/>
      <c r="P77" s="812"/>
      <c r="Q77" s="812"/>
      <c r="R77" s="813"/>
      <c r="S77" s="812"/>
      <c r="T77" s="809"/>
      <c r="U77" s="809"/>
      <c r="V77" s="809"/>
      <c r="W77" s="809"/>
      <c r="X77" s="809"/>
      <c r="Y77" s="814"/>
      <c r="Z77" s="809"/>
      <c r="AA77" s="809"/>
      <c r="AB77" s="814"/>
      <c r="AC77" s="809"/>
      <c r="AD77" s="809"/>
      <c r="AE77" s="809"/>
      <c r="AF77" s="809"/>
      <c r="AG77" s="809"/>
      <c r="AH77" s="830"/>
      <c r="AI77" s="809"/>
      <c r="AJ77" s="809"/>
      <c r="AK77" s="809"/>
      <c r="AL77" s="809"/>
      <c r="AM77" s="831"/>
      <c r="AN77" s="810"/>
      <c r="AO77" s="815"/>
      <c r="AP77" s="815"/>
      <c r="AQ77" s="815"/>
      <c r="AR77" s="815"/>
      <c r="AS77" s="815"/>
      <c r="AT77" s="815"/>
      <c r="AU77" s="812"/>
      <c r="AV77" s="812"/>
      <c r="AW77" s="812"/>
      <c r="AX77" s="812"/>
      <c r="AY77" s="812"/>
      <c r="AZ77" s="812"/>
      <c r="BG77" s="812"/>
      <c r="BH77" s="812"/>
      <c r="BI77" s="812"/>
      <c r="BJ77" s="812"/>
      <c r="BK77" s="812"/>
      <c r="BL77" s="812"/>
      <c r="BM77" s="812"/>
      <c r="BN77" s="812"/>
      <c r="BO77" s="812"/>
      <c r="BP77" s="812"/>
      <c r="BQ77" s="812"/>
      <c r="BR77" s="812"/>
    </row>
    <row r="78" spans="1:70" ht="40" outlineLevel="1">
      <c r="A78" s="161" t="s">
        <v>422</v>
      </c>
      <c r="B78" s="13"/>
      <c r="C78" s="13"/>
      <c r="D78" s="1113"/>
      <c r="E78" s="13"/>
      <c r="F78" s="61"/>
      <c r="G78" s="344" t="s">
        <v>403</v>
      </c>
      <c r="H78" s="13"/>
      <c r="I78" s="13"/>
      <c r="J78" s="13"/>
      <c r="K78" s="297"/>
      <c r="L78" s="13"/>
      <c r="N78" s="344" t="s">
        <v>403</v>
      </c>
      <c r="T78" s="344" t="s">
        <v>403</v>
      </c>
      <c r="AB78" s="161"/>
      <c r="AC78" s="13"/>
      <c r="AD78" s="13"/>
      <c r="AE78" s="13"/>
      <c r="AF78" s="13"/>
      <c r="AG78" s="13"/>
      <c r="AH78" s="832"/>
      <c r="AI78" s="13"/>
      <c r="AJ78" s="13"/>
      <c r="AK78" s="13"/>
      <c r="AL78" s="13"/>
      <c r="AM78" s="615"/>
      <c r="AN78" s="297"/>
      <c r="AO78" s="13"/>
      <c r="AP78" s="13"/>
      <c r="AQ78" s="13"/>
      <c r="AR78" s="13"/>
      <c r="AS78" s="13"/>
      <c r="AT78" s="13"/>
    </row>
    <row r="79" spans="1:70" outlineLevel="1">
      <c r="A79" s="1089" t="s">
        <v>327</v>
      </c>
      <c r="B79" s="2"/>
      <c r="C79" s="2"/>
      <c r="D79" s="1108"/>
      <c r="E79" s="2"/>
      <c r="F79" s="61"/>
      <c r="G79" s="770">
        <f>'База селлеров'!B38</f>
        <v>1.0916349572702888E-4</v>
      </c>
      <c r="H79" s="408">
        <f>'База селлеров'!C38</f>
        <v>1.7230576441102756E-3</v>
      </c>
      <c r="I79" s="408">
        <f>'База селлеров'!D38</f>
        <v>8.2468141254904686E-4</v>
      </c>
      <c r="J79" s="408">
        <f>'База селлеров'!E38</f>
        <v>8.2468141254904686E-4</v>
      </c>
      <c r="K79" s="468"/>
      <c r="L79" s="13"/>
      <c r="N79" s="408">
        <f t="shared" ref="N79:Q80" si="174">G79</f>
        <v>1.0916349572702888E-4</v>
      </c>
      <c r="O79" s="409">
        <f t="shared" si="174"/>
        <v>1.7230576441102756E-3</v>
      </c>
      <c r="P79" s="409">
        <f t="shared" si="174"/>
        <v>8.2468141254904686E-4</v>
      </c>
      <c r="Q79" s="410">
        <f t="shared" si="174"/>
        <v>8.2468141254904686E-4</v>
      </c>
      <c r="T79" s="408">
        <f t="shared" ref="T79:W83" si="175">N79</f>
        <v>1.0916349572702888E-4</v>
      </c>
      <c r="U79" s="409">
        <f t="shared" si="175"/>
        <v>1.7230576441102756E-3</v>
      </c>
      <c r="V79" s="409">
        <f t="shared" si="175"/>
        <v>8.2468141254904686E-4</v>
      </c>
      <c r="W79" s="410">
        <f t="shared" si="175"/>
        <v>8.2468141254904686E-4</v>
      </c>
      <c r="AB79" s="161"/>
      <c r="AC79" s="408">
        <v>0</v>
      </c>
      <c r="AD79" s="409">
        <v>0</v>
      </c>
      <c r="AE79" s="409">
        <v>0</v>
      </c>
      <c r="AF79" s="410">
        <v>0</v>
      </c>
      <c r="AG79" s="13"/>
      <c r="AH79" s="832"/>
      <c r="AI79" s="1277">
        <f>T79/(T79+T80+T81)</f>
        <v>9.6671730423974599E-4</v>
      </c>
      <c r="AJ79" s="1278">
        <f>U79/(U79+U80+U81)</f>
        <v>9.8876404494382016E-3</v>
      </c>
      <c r="AK79" s="1278">
        <f>V79/(V79+V80+V81)</f>
        <v>5.8856328604175697E-3</v>
      </c>
      <c r="AL79" s="1279">
        <f>W79/(W79+W80+W81)</f>
        <v>5.8856328604175697E-3</v>
      </c>
      <c r="AM79" s="615"/>
      <c r="AN79" s="297"/>
      <c r="AO79" s="13"/>
      <c r="AP79" s="13"/>
      <c r="AQ79" s="13"/>
      <c r="AR79" s="13"/>
      <c r="AS79" s="13"/>
      <c r="AT79" s="13"/>
    </row>
    <row r="80" spans="1:70" outlineLevel="1">
      <c r="A80" s="436" t="s">
        <v>429</v>
      </c>
      <c r="B80" s="2"/>
      <c r="C80" s="2"/>
      <c r="D80" s="1108"/>
      <c r="E80" s="2"/>
      <c r="G80" s="402">
        <f>'База селлеров'!B39</f>
        <v>7.5010916349572705E-3</v>
      </c>
      <c r="H80" s="362">
        <f>'База селлеров'!C39</f>
        <v>2.0520050125313282E-2</v>
      </c>
      <c r="I80" s="362">
        <f>'База селлеров'!D39</f>
        <v>1.3273030313552554E-2</v>
      </c>
      <c r="J80" s="362">
        <f>I80</f>
        <v>1.3273030313552554E-2</v>
      </c>
      <c r="K80" s="297"/>
      <c r="L80" s="13"/>
      <c r="N80" s="283">
        <f t="shared" si="174"/>
        <v>7.5010916349572705E-3</v>
      </c>
      <c r="O80" s="74">
        <f t="shared" si="174"/>
        <v>2.0520050125313282E-2</v>
      </c>
      <c r="P80" s="74">
        <f t="shared" si="174"/>
        <v>1.3273030313552554E-2</v>
      </c>
      <c r="Q80" s="289">
        <f t="shared" si="174"/>
        <v>1.3273030313552554E-2</v>
      </c>
      <c r="R80" s="532"/>
      <c r="S80" s="2"/>
      <c r="T80" s="283">
        <f t="shared" si="175"/>
        <v>7.5010916349572705E-3</v>
      </c>
      <c r="U80" s="74">
        <f t="shared" si="175"/>
        <v>2.0520050125313282E-2</v>
      </c>
      <c r="V80" s="74">
        <f t="shared" si="175"/>
        <v>1.3273030313552554E-2</v>
      </c>
      <c r="W80" s="289">
        <f t="shared" si="175"/>
        <v>1.3273030313552554E-2</v>
      </c>
      <c r="AC80" s="283">
        <v>0</v>
      </c>
      <c r="AD80" s="74">
        <v>0</v>
      </c>
      <c r="AE80" s="74">
        <v>0</v>
      </c>
      <c r="AF80" s="289">
        <v>0</v>
      </c>
      <c r="AI80" s="1280">
        <f>T80/(T79+T80+T81)</f>
        <v>6.6427289048473975E-2</v>
      </c>
      <c r="AJ80" s="1281">
        <f>U80/(U79+U80+U81)</f>
        <v>0.11775280898876403</v>
      </c>
      <c r="AK80" s="1281">
        <f>V80/(V79+V80+V81)</f>
        <v>9.4727712037668041E-2</v>
      </c>
      <c r="AL80" s="1282">
        <f>W80/(W79+W80+W81)</f>
        <v>9.4727712037668041E-2</v>
      </c>
      <c r="AO80" s="2"/>
      <c r="AP80" s="2"/>
      <c r="AQ80" s="2"/>
      <c r="AR80" s="2"/>
      <c r="AS80" s="2"/>
      <c r="AT80" s="2"/>
    </row>
    <row r="81" spans="1:70" outlineLevel="1">
      <c r="A81" s="436" t="s">
        <v>65</v>
      </c>
      <c r="B81" s="2"/>
      <c r="C81" s="2"/>
      <c r="D81" s="1108"/>
      <c r="E81" s="2"/>
      <c r="G81" s="402">
        <f>'База селлеров'!B40</f>
        <v>0.10531158380637515</v>
      </c>
      <c r="H81" s="362">
        <f>'База селлеров'!C40</f>
        <v>0.15202067669172933</v>
      </c>
      <c r="I81" s="362">
        <f>'База селлеров'!D40</f>
        <v>0.12602000069446856</v>
      </c>
      <c r="J81" s="362">
        <f>'База селлеров'!E40</f>
        <v>0.12602000069446856</v>
      </c>
      <c r="K81" s="297"/>
      <c r="L81" s="13"/>
      <c r="N81" s="283">
        <f t="shared" ref="N81:N83" si="176">G81</f>
        <v>0.10531158380637515</v>
      </c>
      <c r="O81" s="74">
        <f t="shared" ref="O81:Q83" si="177">H81</f>
        <v>0.15202067669172933</v>
      </c>
      <c r="P81" s="74">
        <f t="shared" si="177"/>
        <v>0.12602000069446856</v>
      </c>
      <c r="Q81" s="289">
        <f t="shared" si="177"/>
        <v>0.12602000069446856</v>
      </c>
      <c r="R81" s="532"/>
      <c r="S81" s="2"/>
      <c r="T81" s="283">
        <f t="shared" si="175"/>
        <v>0.10531158380637515</v>
      </c>
      <c r="U81" s="74">
        <f t="shared" si="175"/>
        <v>0.15202067669172933</v>
      </c>
      <c r="V81" s="74">
        <f t="shared" si="175"/>
        <v>0.12602000069446856</v>
      </c>
      <c r="W81" s="289">
        <f t="shared" si="175"/>
        <v>0.12602000069446856</v>
      </c>
      <c r="AC81" s="283">
        <v>0</v>
      </c>
      <c r="AD81" s="74">
        <v>0</v>
      </c>
      <c r="AE81" s="74">
        <v>0</v>
      </c>
      <c r="AF81" s="289">
        <v>0</v>
      </c>
      <c r="AI81" s="1280">
        <f>T81/(T79+T80+T81)</f>
        <v>0.93260599364728636</v>
      </c>
      <c r="AJ81" s="1281">
        <f>U81/(U79+U80+U81)</f>
        <v>0.8723595505617977</v>
      </c>
      <c r="AK81" s="1281">
        <f>V81/(V79+V80+V81)</f>
        <v>0.89938665510191429</v>
      </c>
      <c r="AL81" s="1282">
        <f>W81/(W79+W80+W81)</f>
        <v>0.89938665510191429</v>
      </c>
      <c r="AO81" s="2"/>
      <c r="AP81" s="2"/>
      <c r="AQ81" s="2"/>
      <c r="AR81" s="2"/>
      <c r="AS81" s="2"/>
      <c r="AT81" s="2"/>
    </row>
    <row r="82" spans="1:70" outlineLevel="1">
      <c r="A82" s="436" t="s">
        <v>66</v>
      </c>
      <c r="B82" s="2"/>
      <c r="C82" s="2"/>
      <c r="D82" s="1108"/>
      <c r="E82" s="2"/>
      <c r="G82" s="402">
        <f>'База селлеров'!B41</f>
        <v>0.88707816106294057</v>
      </c>
      <c r="H82" s="362">
        <f>'База селлеров'!C41</f>
        <v>0.82573621553884713</v>
      </c>
      <c r="I82" s="362">
        <f>'База селлеров'!D41</f>
        <v>0.85988228757942986</v>
      </c>
      <c r="J82" s="362">
        <f>'База селлеров'!E41</f>
        <v>0.85988228757942986</v>
      </c>
      <c r="K82" s="297"/>
      <c r="L82" s="13"/>
      <c r="N82" s="283">
        <f t="shared" si="176"/>
        <v>0.88707816106294057</v>
      </c>
      <c r="O82" s="74">
        <f t="shared" si="177"/>
        <v>0.82573621553884713</v>
      </c>
      <c r="P82" s="74">
        <f t="shared" si="177"/>
        <v>0.85988228757942986</v>
      </c>
      <c r="Q82" s="289">
        <f t="shared" si="177"/>
        <v>0.85988228757942986</v>
      </c>
      <c r="R82" s="532"/>
      <c r="S82" s="2"/>
      <c r="T82" s="283">
        <f t="shared" si="175"/>
        <v>0.88707816106294057</v>
      </c>
      <c r="U82" s="74">
        <f t="shared" si="175"/>
        <v>0.82573621553884713</v>
      </c>
      <c r="V82" s="74">
        <f t="shared" si="175"/>
        <v>0.85988228757942986</v>
      </c>
      <c r="W82" s="289">
        <f t="shared" si="175"/>
        <v>0.85988228757942986</v>
      </c>
      <c r="AC82" s="283">
        <v>1</v>
      </c>
      <c r="AD82" s="74">
        <v>1</v>
      </c>
      <c r="AE82" s="74">
        <v>1</v>
      </c>
      <c r="AF82" s="289">
        <v>1</v>
      </c>
      <c r="AI82" s="283">
        <v>0</v>
      </c>
      <c r="AJ82" s="74">
        <v>0</v>
      </c>
      <c r="AK82" s="74">
        <v>0</v>
      </c>
      <c r="AL82" s="289">
        <v>0</v>
      </c>
      <c r="AO82" s="2"/>
      <c r="AP82" s="2"/>
      <c r="AQ82" s="2"/>
      <c r="AR82" s="2"/>
      <c r="AS82" s="2"/>
      <c r="AT82" s="2"/>
    </row>
    <row r="83" spans="1:70" outlineLevel="1">
      <c r="A83" s="436" t="s">
        <v>328</v>
      </c>
      <c r="B83" s="2"/>
      <c r="C83" s="2"/>
      <c r="D83" s="1108"/>
      <c r="E83" s="2"/>
      <c r="G83" s="647">
        <v>0</v>
      </c>
      <c r="H83" s="648">
        <v>0</v>
      </c>
      <c r="I83" s="648">
        <v>0</v>
      </c>
      <c r="J83" s="648">
        <v>0</v>
      </c>
      <c r="K83" s="297"/>
      <c r="L83" s="13"/>
      <c r="N83" s="283">
        <f t="shared" si="176"/>
        <v>0</v>
      </c>
      <c r="O83" s="74">
        <f t="shared" si="177"/>
        <v>0</v>
      </c>
      <c r="P83" s="74">
        <f t="shared" si="177"/>
        <v>0</v>
      </c>
      <c r="Q83" s="289">
        <f t="shared" si="177"/>
        <v>0</v>
      </c>
      <c r="R83" s="532"/>
      <c r="S83" s="2"/>
      <c r="T83" s="283">
        <f t="shared" si="175"/>
        <v>0</v>
      </c>
      <c r="U83" s="74">
        <f t="shared" si="175"/>
        <v>0</v>
      </c>
      <c r="V83" s="74">
        <f t="shared" si="175"/>
        <v>0</v>
      </c>
      <c r="W83" s="289">
        <f t="shared" si="175"/>
        <v>0</v>
      </c>
      <c r="AC83" s="283">
        <v>0</v>
      </c>
      <c r="AD83" s="74">
        <v>0</v>
      </c>
      <c r="AE83" s="74">
        <v>0</v>
      </c>
      <c r="AF83" s="289">
        <v>0</v>
      </c>
      <c r="AI83" s="283">
        <f t="shared" ref="AI83" si="178">AC83</f>
        <v>0</v>
      </c>
      <c r="AJ83" s="74">
        <f>AD83</f>
        <v>0</v>
      </c>
      <c r="AK83" s="74">
        <f t="shared" ref="AK83:AL83" si="179">AE83</f>
        <v>0</v>
      </c>
      <c r="AL83" s="289">
        <f t="shared" si="179"/>
        <v>0</v>
      </c>
      <c r="AO83" s="2"/>
      <c r="AP83" s="2"/>
      <c r="AQ83" s="2"/>
      <c r="AR83" s="2"/>
      <c r="AS83" s="2"/>
      <c r="AT83" s="2"/>
    </row>
    <row r="84" spans="1:70" outlineLevel="1">
      <c r="A84" s="1090"/>
      <c r="B84" s="2"/>
      <c r="C84" s="2"/>
      <c r="D84" s="1108"/>
      <c r="E84" s="2"/>
      <c r="G84" s="403"/>
      <c r="H84" s="404"/>
      <c r="I84" s="424"/>
      <c r="J84" s="404"/>
      <c r="K84" s="501"/>
      <c r="L84" s="362"/>
      <c r="N84" s="286"/>
      <c r="O84" s="287"/>
      <c r="P84" s="287"/>
      <c r="Q84" s="288"/>
      <c r="S84" s="2"/>
      <c r="T84" s="286"/>
      <c r="U84" s="287"/>
      <c r="V84" s="287"/>
      <c r="W84" s="288"/>
      <c r="AC84" s="286"/>
      <c r="AD84" s="287"/>
      <c r="AE84" s="287"/>
      <c r="AF84" s="288"/>
      <c r="AI84" s="286"/>
      <c r="AJ84" s="287"/>
      <c r="AK84" s="287"/>
      <c r="AL84" s="288"/>
      <c r="AO84" s="2"/>
      <c r="AP84" s="2"/>
      <c r="AQ84" s="2"/>
      <c r="AR84" s="2"/>
      <c r="AS84" s="2"/>
      <c r="AT84" s="2"/>
    </row>
    <row r="85" spans="1:70" outlineLevel="1">
      <c r="A85" s="161"/>
      <c r="B85" s="13"/>
      <c r="C85" s="13"/>
      <c r="D85" s="1113"/>
      <c r="E85" s="13"/>
      <c r="G85" s="400"/>
      <c r="H85" s="154"/>
      <c r="I85" s="401"/>
      <c r="J85" s="154"/>
      <c r="K85" s="299"/>
      <c r="L85" s="154"/>
      <c r="T85" s="154"/>
      <c r="U85" s="154"/>
      <c r="V85" s="154"/>
      <c r="W85" s="154"/>
      <c r="X85" s="154"/>
      <c r="Y85" s="342"/>
      <c r="Z85" s="154"/>
      <c r="AA85" s="154"/>
      <c r="AB85" s="342"/>
      <c r="AC85" s="154"/>
      <c r="AD85" s="154"/>
      <c r="AE85" s="154"/>
      <c r="AF85" s="154"/>
      <c r="AG85" s="154"/>
      <c r="AH85" s="616"/>
      <c r="AI85" s="154"/>
      <c r="AJ85" s="154"/>
      <c r="AK85" s="154"/>
      <c r="AL85" s="154"/>
      <c r="AM85" s="690"/>
      <c r="AN85" s="299"/>
      <c r="AO85" s="13"/>
      <c r="AP85" s="13"/>
      <c r="AQ85" s="13"/>
      <c r="AR85" s="13"/>
      <c r="AS85" s="13"/>
      <c r="AT85" s="13"/>
    </row>
    <row r="86" spans="1:70" outlineLevel="1">
      <c r="A86" s="161"/>
      <c r="B86" s="13"/>
      <c r="C86" s="13"/>
      <c r="D86" s="1113"/>
      <c r="E86" s="13"/>
      <c r="G86" s="400"/>
      <c r="H86" s="154"/>
      <c r="I86" s="154"/>
      <c r="J86" s="154"/>
      <c r="K86" s="299"/>
      <c r="L86" s="154"/>
      <c r="T86" s="154"/>
      <c r="U86" s="154"/>
      <c r="V86" s="154"/>
      <c r="W86" s="154"/>
      <c r="X86" s="154"/>
      <c r="Y86" s="342"/>
      <c r="Z86" s="154"/>
      <c r="AA86" s="154"/>
      <c r="AB86" s="342"/>
      <c r="AC86" s="154"/>
      <c r="AD86" s="154"/>
      <c r="AE86" s="154"/>
      <c r="AF86" s="154"/>
      <c r="AG86" s="154"/>
      <c r="AH86" s="616"/>
      <c r="AI86" s="154"/>
      <c r="AJ86" s="154"/>
      <c r="AK86" s="154"/>
      <c r="AL86" s="154"/>
      <c r="AM86" s="690"/>
      <c r="AN86" s="299"/>
      <c r="AO86" s="13"/>
      <c r="AP86" s="13"/>
      <c r="AQ86" s="13"/>
      <c r="AR86" s="13"/>
      <c r="AS86" s="13"/>
      <c r="AT86" s="13"/>
    </row>
    <row r="87" spans="1:70" s="425" customFormat="1" ht="80" outlineLevel="1">
      <c r="A87" s="382" t="s">
        <v>348</v>
      </c>
      <c r="B87" s="452"/>
      <c r="C87" s="452"/>
      <c r="D87" s="1118"/>
      <c r="E87" s="452"/>
      <c r="F87" s="356"/>
      <c r="G87" s="399" t="s">
        <v>404</v>
      </c>
      <c r="H87" s="43"/>
      <c r="I87" s="43"/>
      <c r="J87" s="43"/>
      <c r="K87" s="503"/>
      <c r="L87" s="43"/>
      <c r="M87" s="71" t="s">
        <v>363</v>
      </c>
      <c r="N87" s="399" t="s">
        <v>334</v>
      </c>
      <c r="O87" s="43"/>
      <c r="P87" s="43"/>
      <c r="Q87" s="43"/>
      <c r="R87" s="503"/>
      <c r="S87" s="43"/>
      <c r="T87" s="399" t="s">
        <v>334</v>
      </c>
      <c r="U87" s="43"/>
      <c r="V87" s="43"/>
      <c r="W87" s="43"/>
      <c r="X87" s="43"/>
      <c r="Y87" s="529"/>
      <c r="Z87" s="43"/>
      <c r="AA87" s="43"/>
      <c r="AB87" s="529"/>
      <c r="AC87" s="43"/>
      <c r="AD87" s="43"/>
      <c r="AE87" s="43"/>
      <c r="AF87" s="43"/>
      <c r="AG87" s="43"/>
      <c r="AH87" s="833"/>
      <c r="AI87" s="43"/>
      <c r="AJ87" s="43"/>
      <c r="AK87" s="43"/>
      <c r="AL87" s="43"/>
      <c r="AM87" s="834"/>
      <c r="AN87" s="503"/>
      <c r="AO87" s="43"/>
      <c r="AP87" s="43"/>
      <c r="AQ87" s="43"/>
      <c r="AR87" s="43"/>
      <c r="AS87" s="43"/>
      <c r="AT87" s="43"/>
      <c r="AU87" s="43"/>
      <c r="AV87" s="43"/>
      <c r="AW87" s="43"/>
      <c r="AX87" s="43"/>
      <c r="AY87" s="43"/>
      <c r="AZ87" s="43"/>
      <c r="BG87" s="43"/>
      <c r="BH87" s="43"/>
      <c r="BI87" s="43"/>
      <c r="BJ87" s="43"/>
      <c r="BK87" s="43"/>
      <c r="BL87" s="43"/>
      <c r="BM87" s="43"/>
      <c r="BN87" s="43"/>
      <c r="BO87" s="43"/>
      <c r="BP87" s="43"/>
      <c r="BQ87" s="43"/>
      <c r="BR87" s="43"/>
    </row>
    <row r="88" spans="1:70" outlineLevel="1">
      <c r="A88" s="436" t="s">
        <v>64</v>
      </c>
      <c r="B88" s="2"/>
      <c r="C88" s="2"/>
      <c r="D88" s="1108"/>
      <c r="E88" s="2"/>
      <c r="G88" s="423"/>
      <c r="K88" s="504"/>
      <c r="L88" s="423"/>
      <c r="T88" s="423"/>
    </row>
    <row r="89" spans="1:70" outlineLevel="1">
      <c r="A89" s="1089" t="s">
        <v>327</v>
      </c>
      <c r="B89" s="2"/>
      <c r="C89" s="2"/>
      <c r="D89" s="1108"/>
      <c r="E89" s="2"/>
      <c r="G89" s="367">
        <f t="shared" ref="G89:J94" si="180">G98/2</f>
        <v>55362.5</v>
      </c>
      <c r="H89" s="368">
        <f t="shared" si="180"/>
        <v>55362.5</v>
      </c>
      <c r="I89" s="368">
        <f t="shared" si="180"/>
        <v>55362.5</v>
      </c>
      <c r="J89" s="369">
        <f t="shared" si="180"/>
        <v>55362.5</v>
      </c>
      <c r="K89" s="504"/>
      <c r="L89" s="423"/>
      <c r="M89" s="423"/>
      <c r="N89" s="367">
        <f>N106/2*N114</f>
        <v>59174.344262295082</v>
      </c>
      <c r="O89" s="368">
        <f>N89</f>
        <v>59174.344262295082</v>
      </c>
      <c r="P89" s="368">
        <f>O89</f>
        <v>59174.344262295082</v>
      </c>
      <c r="Q89" s="369">
        <f>P89</f>
        <v>59174.344262295082</v>
      </c>
      <c r="T89" s="413">
        <f t="shared" ref="T89:T94" si="181">N89</f>
        <v>59174.344262295082</v>
      </c>
      <c r="U89" s="368">
        <f>T89</f>
        <v>59174.344262295082</v>
      </c>
      <c r="V89" s="368">
        <f t="shared" ref="V89:W89" si="182">U89</f>
        <v>59174.344262295082</v>
      </c>
      <c r="W89" s="369">
        <f t="shared" si="182"/>
        <v>59174.344262295082</v>
      </c>
      <c r="AC89" s="413">
        <f>T89</f>
        <v>59174.344262295082</v>
      </c>
      <c r="AD89" s="368">
        <f>AC89</f>
        <v>59174.344262295082</v>
      </c>
      <c r="AE89" s="368">
        <f t="shared" ref="AE89:AF94" si="183">AD89</f>
        <v>59174.344262295082</v>
      </c>
      <c r="AF89" s="369">
        <f t="shared" si="183"/>
        <v>59174.344262295082</v>
      </c>
      <c r="AI89" s="413">
        <f>AC89</f>
        <v>59174.344262295082</v>
      </c>
      <c r="AJ89" s="368">
        <f>AI89</f>
        <v>59174.344262295082</v>
      </c>
      <c r="AK89" s="368">
        <f t="shared" ref="AK89:AL94" si="184">AJ89</f>
        <v>59174.344262295082</v>
      </c>
      <c r="AL89" s="369">
        <f t="shared" si="184"/>
        <v>59174.344262295082</v>
      </c>
    </row>
    <row r="90" spans="1:70" outlineLevel="1">
      <c r="A90" s="436" t="s">
        <v>62</v>
      </c>
      <c r="B90" s="2"/>
      <c r="C90" s="2"/>
      <c r="D90" s="1108"/>
      <c r="E90" s="2"/>
      <c r="G90" s="370">
        <f t="shared" si="180"/>
        <v>35026.5</v>
      </c>
      <c r="H90" s="169">
        <f t="shared" si="180"/>
        <v>35026.5</v>
      </c>
      <c r="I90" s="169">
        <f t="shared" si="180"/>
        <v>35026.5</v>
      </c>
      <c r="J90" s="371">
        <f t="shared" si="180"/>
        <v>35026.5</v>
      </c>
      <c r="K90" s="504"/>
      <c r="L90" s="423"/>
      <c r="M90" s="423"/>
      <c r="N90" s="370">
        <f t="shared" ref="N90:N94" si="185">N107/2*N115</f>
        <v>38183.394849785407</v>
      </c>
      <c r="O90" s="169">
        <f t="shared" ref="O90:Q94" si="186">N90</f>
        <v>38183.394849785407</v>
      </c>
      <c r="P90" s="169">
        <f t="shared" si="186"/>
        <v>38183.394849785407</v>
      </c>
      <c r="Q90" s="371">
        <f t="shared" si="186"/>
        <v>38183.394849785407</v>
      </c>
      <c r="T90" s="414">
        <f t="shared" si="181"/>
        <v>38183.394849785407</v>
      </c>
      <c r="U90" s="169">
        <f t="shared" ref="U90:W94" si="187">T90</f>
        <v>38183.394849785407</v>
      </c>
      <c r="V90" s="169">
        <f t="shared" si="187"/>
        <v>38183.394849785407</v>
      </c>
      <c r="W90" s="371">
        <f t="shared" si="187"/>
        <v>38183.394849785407</v>
      </c>
      <c r="AB90" s="342"/>
      <c r="AC90" s="414">
        <f t="shared" ref="AC90:AC94" si="188">T90</f>
        <v>38183.394849785407</v>
      </c>
      <c r="AD90" s="169">
        <f t="shared" ref="AD90:AD94" si="189">AC90</f>
        <v>38183.394849785407</v>
      </c>
      <c r="AE90" s="169">
        <f t="shared" si="183"/>
        <v>38183.394849785407</v>
      </c>
      <c r="AF90" s="371">
        <f t="shared" si="183"/>
        <v>38183.394849785407</v>
      </c>
      <c r="AG90" s="154"/>
      <c r="AH90" s="616"/>
      <c r="AI90" s="414">
        <f t="shared" ref="AI90:AI94" si="190">AC90</f>
        <v>38183.394849785407</v>
      </c>
      <c r="AJ90" s="169">
        <f t="shared" ref="AJ90:AJ94" si="191">AI90</f>
        <v>38183.394849785407</v>
      </c>
      <c r="AK90" s="169">
        <f t="shared" si="184"/>
        <v>38183.394849785407</v>
      </c>
      <c r="AL90" s="371">
        <f t="shared" si="184"/>
        <v>38183.394849785407</v>
      </c>
      <c r="AM90" s="690"/>
      <c r="AN90" s="299"/>
      <c r="AO90" s="2"/>
      <c r="AP90" s="2"/>
      <c r="AQ90" s="2"/>
      <c r="AR90" s="2"/>
      <c r="AS90" s="2"/>
      <c r="AT90" s="2"/>
    </row>
    <row r="91" spans="1:70" outlineLevel="1">
      <c r="A91" s="436" t="s">
        <v>65</v>
      </c>
      <c r="B91" s="2"/>
      <c r="C91" s="2"/>
      <c r="D91" s="1108"/>
      <c r="E91" s="2"/>
      <c r="G91" s="370">
        <f t="shared" si="180"/>
        <v>23721.5</v>
      </c>
      <c r="H91" s="169">
        <f t="shared" si="180"/>
        <v>23721.5</v>
      </c>
      <c r="I91" s="169">
        <f t="shared" si="180"/>
        <v>23721.5</v>
      </c>
      <c r="J91" s="371">
        <f t="shared" si="180"/>
        <v>23721.5</v>
      </c>
      <c r="K91" s="504"/>
      <c r="L91" s="423"/>
      <c r="M91" s="423"/>
      <c r="N91" s="370">
        <f t="shared" si="185"/>
        <v>26600.988439306362</v>
      </c>
      <c r="O91" s="169">
        <f t="shared" si="186"/>
        <v>26600.988439306362</v>
      </c>
      <c r="P91" s="169">
        <f t="shared" si="186"/>
        <v>26600.988439306362</v>
      </c>
      <c r="Q91" s="371">
        <f t="shared" si="186"/>
        <v>26600.988439306362</v>
      </c>
      <c r="T91" s="414">
        <f t="shared" si="181"/>
        <v>26600.988439306362</v>
      </c>
      <c r="U91" s="169">
        <f t="shared" si="187"/>
        <v>26600.988439306362</v>
      </c>
      <c r="V91" s="169">
        <f t="shared" si="187"/>
        <v>26600.988439306362</v>
      </c>
      <c r="W91" s="371">
        <f t="shared" si="187"/>
        <v>26600.988439306362</v>
      </c>
      <c r="AB91" s="342"/>
      <c r="AC91" s="414">
        <f t="shared" si="188"/>
        <v>26600.988439306362</v>
      </c>
      <c r="AD91" s="169">
        <f t="shared" si="189"/>
        <v>26600.988439306362</v>
      </c>
      <c r="AE91" s="169">
        <f t="shared" si="183"/>
        <v>26600.988439306362</v>
      </c>
      <c r="AF91" s="371">
        <f t="shared" si="183"/>
        <v>26600.988439306362</v>
      </c>
      <c r="AG91" s="154"/>
      <c r="AH91" s="616"/>
      <c r="AI91" s="414">
        <f t="shared" si="190"/>
        <v>26600.988439306362</v>
      </c>
      <c r="AJ91" s="169">
        <f t="shared" si="191"/>
        <v>26600.988439306362</v>
      </c>
      <c r="AK91" s="169">
        <f t="shared" si="184"/>
        <v>26600.988439306362</v>
      </c>
      <c r="AL91" s="371">
        <f t="shared" si="184"/>
        <v>26600.988439306362</v>
      </c>
      <c r="AM91" s="690"/>
      <c r="AN91" s="299"/>
      <c r="AO91" s="2"/>
      <c r="AP91" s="2"/>
      <c r="AQ91" s="2"/>
      <c r="AR91" s="2"/>
      <c r="AS91" s="2"/>
      <c r="AT91" s="2"/>
    </row>
    <row r="92" spans="1:70" outlineLevel="1">
      <c r="A92" s="436" t="s">
        <v>66</v>
      </c>
      <c r="B92" s="2"/>
      <c r="C92" s="2"/>
      <c r="D92" s="1108"/>
      <c r="E92" s="2"/>
      <c r="G92" s="370">
        <f t="shared" si="180"/>
        <v>20475.5</v>
      </c>
      <c r="H92" s="169">
        <f t="shared" si="180"/>
        <v>20475.5</v>
      </c>
      <c r="I92" s="169">
        <f t="shared" si="180"/>
        <v>20475.5</v>
      </c>
      <c r="J92" s="371">
        <f t="shared" si="180"/>
        <v>20475.5</v>
      </c>
      <c r="K92" s="504"/>
      <c r="L92" s="423"/>
      <c r="M92" s="423"/>
      <c r="N92" s="370">
        <f t="shared" si="185"/>
        <v>23361.308724832215</v>
      </c>
      <c r="O92" s="169">
        <f t="shared" si="186"/>
        <v>23361.308724832215</v>
      </c>
      <c r="P92" s="169">
        <f t="shared" si="186"/>
        <v>23361.308724832215</v>
      </c>
      <c r="Q92" s="371">
        <f t="shared" si="186"/>
        <v>23361.308724832215</v>
      </c>
      <c r="T92" s="414">
        <f t="shared" si="181"/>
        <v>23361.308724832215</v>
      </c>
      <c r="U92" s="169">
        <f t="shared" si="187"/>
        <v>23361.308724832215</v>
      </c>
      <c r="V92" s="169">
        <f t="shared" si="187"/>
        <v>23361.308724832215</v>
      </c>
      <c r="W92" s="371">
        <f t="shared" si="187"/>
        <v>23361.308724832215</v>
      </c>
      <c r="AB92" s="342"/>
      <c r="AC92" s="414">
        <f t="shared" si="188"/>
        <v>23361.308724832215</v>
      </c>
      <c r="AD92" s="169">
        <f t="shared" si="189"/>
        <v>23361.308724832215</v>
      </c>
      <c r="AE92" s="169">
        <f t="shared" si="183"/>
        <v>23361.308724832215</v>
      </c>
      <c r="AF92" s="371">
        <f t="shared" si="183"/>
        <v>23361.308724832215</v>
      </c>
      <c r="AG92" s="154"/>
      <c r="AH92" s="616"/>
      <c r="AI92" s="414">
        <f t="shared" si="190"/>
        <v>23361.308724832215</v>
      </c>
      <c r="AJ92" s="169">
        <f t="shared" si="191"/>
        <v>23361.308724832215</v>
      </c>
      <c r="AK92" s="169">
        <f t="shared" si="184"/>
        <v>23361.308724832215</v>
      </c>
      <c r="AL92" s="371">
        <f t="shared" si="184"/>
        <v>23361.308724832215</v>
      </c>
      <c r="AM92" s="690"/>
      <c r="AN92" s="299"/>
      <c r="AO92" s="2"/>
      <c r="AP92" s="2"/>
      <c r="AQ92" s="2"/>
      <c r="AR92" s="2"/>
      <c r="AS92" s="2"/>
      <c r="AT92" s="2"/>
    </row>
    <row r="93" spans="1:70" outlineLevel="1">
      <c r="A93" s="436" t="s">
        <v>328</v>
      </c>
      <c r="B93" s="2"/>
      <c r="C93" s="2"/>
      <c r="D93" s="1108"/>
      <c r="E93" s="2"/>
      <c r="G93" s="370">
        <f t="shared" si="180"/>
        <v>16914</v>
      </c>
      <c r="H93" s="169">
        <f t="shared" si="180"/>
        <v>16914</v>
      </c>
      <c r="I93" s="169">
        <f t="shared" si="180"/>
        <v>16914</v>
      </c>
      <c r="J93" s="371">
        <f t="shared" si="180"/>
        <v>16914</v>
      </c>
      <c r="K93" s="504"/>
      <c r="L93" s="423"/>
      <c r="M93" s="423"/>
      <c r="N93" s="370">
        <f t="shared" si="185"/>
        <v>19667.441860465118</v>
      </c>
      <c r="O93" s="169">
        <f t="shared" si="186"/>
        <v>19667.441860465118</v>
      </c>
      <c r="P93" s="169">
        <f t="shared" si="186"/>
        <v>19667.441860465118</v>
      </c>
      <c r="Q93" s="371">
        <f t="shared" si="186"/>
        <v>19667.441860465118</v>
      </c>
      <c r="T93" s="414">
        <f t="shared" si="181"/>
        <v>19667.441860465118</v>
      </c>
      <c r="U93" s="169">
        <f t="shared" si="187"/>
        <v>19667.441860465118</v>
      </c>
      <c r="V93" s="169">
        <f t="shared" si="187"/>
        <v>19667.441860465118</v>
      </c>
      <c r="W93" s="371">
        <f t="shared" si="187"/>
        <v>19667.441860465118</v>
      </c>
      <c r="AB93" s="342"/>
      <c r="AC93" s="414">
        <f t="shared" si="188"/>
        <v>19667.441860465118</v>
      </c>
      <c r="AD93" s="169">
        <f t="shared" si="189"/>
        <v>19667.441860465118</v>
      </c>
      <c r="AE93" s="169">
        <f t="shared" si="183"/>
        <v>19667.441860465118</v>
      </c>
      <c r="AF93" s="371">
        <f t="shared" si="183"/>
        <v>19667.441860465118</v>
      </c>
      <c r="AG93" s="154"/>
      <c r="AH93" s="616"/>
      <c r="AI93" s="414">
        <f t="shared" si="190"/>
        <v>19667.441860465118</v>
      </c>
      <c r="AJ93" s="169">
        <f t="shared" si="191"/>
        <v>19667.441860465118</v>
      </c>
      <c r="AK93" s="169">
        <f t="shared" si="184"/>
        <v>19667.441860465118</v>
      </c>
      <c r="AL93" s="371">
        <f t="shared" si="184"/>
        <v>19667.441860465118</v>
      </c>
      <c r="AM93" s="690"/>
      <c r="AN93" s="299"/>
      <c r="AO93" s="2"/>
      <c r="AP93" s="2"/>
      <c r="AQ93" s="2"/>
      <c r="AR93" s="2"/>
      <c r="AS93" s="2"/>
      <c r="AT93" s="2"/>
    </row>
    <row r="94" spans="1:70" outlineLevel="1">
      <c r="A94" s="1090" t="s">
        <v>329</v>
      </c>
      <c r="B94" s="2"/>
      <c r="C94" s="2"/>
      <c r="D94" s="1108"/>
      <c r="E94" s="2"/>
      <c r="G94" s="372">
        <f t="shared" si="180"/>
        <v>10790.5</v>
      </c>
      <c r="H94" s="373">
        <f t="shared" si="180"/>
        <v>10790.5</v>
      </c>
      <c r="I94" s="373">
        <f t="shared" si="180"/>
        <v>10790.5</v>
      </c>
      <c r="J94" s="374">
        <f t="shared" si="180"/>
        <v>10790.5</v>
      </c>
      <c r="K94" s="504"/>
      <c r="L94" s="423"/>
      <c r="M94" s="423"/>
      <c r="N94" s="372">
        <f t="shared" si="185"/>
        <v>13126.58762886598</v>
      </c>
      <c r="O94" s="373">
        <f t="shared" si="186"/>
        <v>13126.58762886598</v>
      </c>
      <c r="P94" s="373">
        <f t="shared" si="186"/>
        <v>13126.58762886598</v>
      </c>
      <c r="Q94" s="374">
        <f t="shared" si="186"/>
        <v>13126.58762886598</v>
      </c>
      <c r="T94" s="415">
        <f t="shared" si="181"/>
        <v>13126.58762886598</v>
      </c>
      <c r="U94" s="373">
        <f t="shared" si="187"/>
        <v>13126.58762886598</v>
      </c>
      <c r="V94" s="373">
        <f t="shared" si="187"/>
        <v>13126.58762886598</v>
      </c>
      <c r="W94" s="374">
        <f t="shared" si="187"/>
        <v>13126.58762886598</v>
      </c>
      <c r="AB94" s="342"/>
      <c r="AC94" s="415">
        <f t="shared" si="188"/>
        <v>13126.58762886598</v>
      </c>
      <c r="AD94" s="373">
        <f t="shared" si="189"/>
        <v>13126.58762886598</v>
      </c>
      <c r="AE94" s="373">
        <f t="shared" si="183"/>
        <v>13126.58762886598</v>
      </c>
      <c r="AF94" s="374">
        <f t="shared" si="183"/>
        <v>13126.58762886598</v>
      </c>
      <c r="AG94" s="154"/>
      <c r="AH94" s="616"/>
      <c r="AI94" s="415">
        <f t="shared" si="190"/>
        <v>13126.58762886598</v>
      </c>
      <c r="AJ94" s="373">
        <f t="shared" si="191"/>
        <v>13126.58762886598</v>
      </c>
      <c r="AK94" s="373">
        <f t="shared" si="184"/>
        <v>13126.58762886598</v>
      </c>
      <c r="AL94" s="374">
        <f t="shared" si="184"/>
        <v>13126.58762886598</v>
      </c>
      <c r="AM94" s="690"/>
      <c r="AN94" s="299"/>
      <c r="AO94" s="2"/>
      <c r="AP94" s="2"/>
      <c r="AQ94" s="2"/>
      <c r="AR94" s="2"/>
      <c r="AS94" s="2"/>
      <c r="AT94" s="2"/>
    </row>
    <row r="95" spans="1:70" outlineLevel="1">
      <c r="A95" s="436"/>
      <c r="B95" s="2"/>
      <c r="C95" s="2"/>
      <c r="D95" s="1108"/>
      <c r="E95" s="2"/>
      <c r="G95" s="169"/>
      <c r="H95" s="169"/>
      <c r="I95" s="169"/>
      <c r="J95" s="169"/>
      <c r="K95" s="407"/>
      <c r="L95" s="169"/>
      <c r="M95" s="423"/>
      <c r="N95" s="169"/>
      <c r="O95" s="169"/>
      <c r="P95" s="169"/>
      <c r="Q95" s="169"/>
      <c r="T95" s="169"/>
      <c r="U95" s="169"/>
      <c r="V95" s="169"/>
      <c r="W95" s="169"/>
      <c r="AB95" s="342"/>
      <c r="AC95" s="154"/>
      <c r="AD95" s="154"/>
      <c r="AE95" s="154"/>
      <c r="AF95" s="154"/>
      <c r="AG95" s="154"/>
      <c r="AH95" s="616"/>
      <c r="AI95" s="154"/>
      <c r="AJ95" s="154"/>
      <c r="AK95" s="154"/>
      <c r="AL95" s="154"/>
      <c r="AM95" s="690"/>
      <c r="AN95" s="299"/>
      <c r="AO95" s="2"/>
      <c r="AP95" s="2"/>
      <c r="AQ95" s="2"/>
      <c r="AR95" s="2"/>
      <c r="AS95" s="2"/>
      <c r="AT95" s="2"/>
    </row>
    <row r="96" spans="1:70" s="489" customFormat="1" outlineLevel="1">
      <c r="A96" s="551" t="s">
        <v>347</v>
      </c>
      <c r="B96" s="148"/>
      <c r="C96" s="148"/>
      <c r="D96" s="1119"/>
      <c r="E96" s="148"/>
      <c r="F96" s="734"/>
      <c r="G96" s="506"/>
      <c r="H96" s="148"/>
      <c r="I96" s="148"/>
      <c r="J96" s="148"/>
      <c r="K96" s="507"/>
      <c r="L96" s="148"/>
      <c r="M96" s="21"/>
      <c r="N96" s="534"/>
      <c r="O96" s="21"/>
      <c r="P96" s="21"/>
      <c r="Q96" s="21"/>
      <c r="R96" s="535"/>
      <c r="S96" s="148"/>
      <c r="T96" s="405"/>
      <c r="U96" s="405"/>
      <c r="V96" s="405"/>
      <c r="W96" s="405"/>
      <c r="X96" s="405"/>
      <c r="Y96" s="1077"/>
      <c r="Z96" s="405"/>
      <c r="AA96" s="405"/>
      <c r="AB96" s="551"/>
      <c r="AC96" s="148"/>
      <c r="AD96" s="148"/>
      <c r="AE96" s="148"/>
      <c r="AF96" s="148"/>
      <c r="AG96" s="148"/>
      <c r="AH96" s="835"/>
      <c r="AI96" s="148"/>
      <c r="AJ96" s="148"/>
      <c r="AK96" s="148"/>
      <c r="AL96" s="148"/>
      <c r="AM96" s="836"/>
      <c r="AN96" s="507"/>
      <c r="AO96" s="148"/>
      <c r="AP96" s="148"/>
      <c r="AQ96" s="148"/>
      <c r="AR96" s="148"/>
      <c r="AS96" s="148"/>
      <c r="AT96" s="148"/>
      <c r="AU96" s="21"/>
      <c r="AV96" s="21"/>
      <c r="AW96" s="21"/>
      <c r="AX96" s="21"/>
      <c r="AY96" s="21"/>
      <c r="AZ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</row>
    <row r="97" spans="1:70" outlineLevel="1">
      <c r="A97" s="436" t="s">
        <v>64</v>
      </c>
      <c r="B97" s="2"/>
      <c r="C97" s="2"/>
      <c r="D97" s="1108"/>
      <c r="E97" s="2"/>
      <c r="H97" s="2"/>
      <c r="I97" s="2"/>
      <c r="J97" s="2"/>
      <c r="K97" s="508"/>
      <c r="L97" s="2"/>
      <c r="S97" s="61"/>
      <c r="T97" s="326"/>
      <c r="U97" s="326"/>
      <c r="V97" s="326"/>
      <c r="W97" s="326"/>
      <c r="X97" s="326"/>
      <c r="Y97" s="328"/>
      <c r="Z97" s="326"/>
      <c r="AA97" s="326"/>
      <c r="AB97" s="381"/>
      <c r="AC97" s="61"/>
      <c r="AD97" s="61"/>
      <c r="AE97" s="61"/>
      <c r="AF97" s="61"/>
      <c r="AG97" s="61"/>
      <c r="AH97" s="837"/>
      <c r="AI97" s="61"/>
      <c r="AJ97" s="61"/>
      <c r="AK97" s="61"/>
      <c r="AL97" s="61"/>
      <c r="AM97" s="838"/>
      <c r="AN97" s="560"/>
      <c r="AO97" s="2"/>
      <c r="AP97" s="2"/>
      <c r="AQ97" s="2"/>
      <c r="AR97" s="2"/>
      <c r="AS97" s="2"/>
      <c r="AT97" s="2"/>
    </row>
    <row r="98" spans="1:70" outlineLevel="1">
      <c r="A98" s="1089" t="s">
        <v>327</v>
      </c>
      <c r="B98" s="2"/>
      <c r="C98" s="2"/>
      <c r="D98" s="1108"/>
      <c r="E98" s="2"/>
      <c r="G98" s="386">
        <f>'MPS др метрики'!C110</f>
        <v>110725</v>
      </c>
      <c r="H98" s="426">
        <f t="shared" ref="H98:J103" si="192">G98</f>
        <v>110725</v>
      </c>
      <c r="I98" s="426">
        <f t="shared" si="192"/>
        <v>110725</v>
      </c>
      <c r="J98" s="486">
        <f t="shared" si="192"/>
        <v>110725</v>
      </c>
      <c r="K98" s="508"/>
      <c r="L98" s="2"/>
      <c r="N98" s="386">
        <f t="shared" ref="N98:N103" si="193">G98</f>
        <v>110725</v>
      </c>
      <c r="O98" s="387">
        <f>N98</f>
        <v>110725</v>
      </c>
      <c r="P98" s="387">
        <f t="shared" ref="P98:Q98" si="194">O98</f>
        <v>110725</v>
      </c>
      <c r="Q98" s="388">
        <f t="shared" si="194"/>
        <v>110725</v>
      </c>
      <c r="S98" s="61"/>
      <c r="T98" s="386">
        <f t="shared" ref="T98:W103" si="195">N98</f>
        <v>110725</v>
      </c>
      <c r="U98" s="387">
        <f t="shared" si="195"/>
        <v>110725</v>
      </c>
      <c r="V98" s="387">
        <f t="shared" si="195"/>
        <v>110725</v>
      </c>
      <c r="W98" s="388">
        <f t="shared" si="195"/>
        <v>110725</v>
      </c>
      <c r="X98" s="326"/>
      <c r="Y98" s="328"/>
      <c r="Z98" s="326"/>
      <c r="AA98" s="326"/>
      <c r="AB98" s="381"/>
      <c r="AC98" s="386">
        <f t="shared" ref="AC98:AF103" si="196">T98</f>
        <v>110725</v>
      </c>
      <c r="AD98" s="387">
        <f t="shared" si="196"/>
        <v>110725</v>
      </c>
      <c r="AE98" s="387">
        <f t="shared" si="196"/>
        <v>110725</v>
      </c>
      <c r="AF98" s="388">
        <f t="shared" si="196"/>
        <v>110725</v>
      </c>
      <c r="AG98" s="61"/>
      <c r="AH98" s="837"/>
      <c r="AI98" s="386">
        <f t="shared" ref="AI98:AL103" si="197">AC98</f>
        <v>110725</v>
      </c>
      <c r="AJ98" s="387">
        <f t="shared" si="197"/>
        <v>110725</v>
      </c>
      <c r="AK98" s="387">
        <f t="shared" si="197"/>
        <v>110725</v>
      </c>
      <c r="AL98" s="388">
        <f t="shared" si="197"/>
        <v>110725</v>
      </c>
      <c r="AM98" s="838"/>
      <c r="AN98" s="560"/>
      <c r="AO98" s="2"/>
      <c r="AP98" s="2"/>
      <c r="AQ98" s="2"/>
      <c r="AR98" s="2"/>
      <c r="AS98" s="2"/>
      <c r="AT98" s="2"/>
    </row>
    <row r="99" spans="1:70" s="2" customFormat="1" outlineLevel="1">
      <c r="A99" s="436" t="s">
        <v>62</v>
      </c>
      <c r="D99" s="1108"/>
      <c r="G99" s="389">
        <f>'MPS др метрики'!C111</f>
        <v>70053</v>
      </c>
      <c r="H99" s="427">
        <f t="shared" si="192"/>
        <v>70053</v>
      </c>
      <c r="I99" s="427">
        <f t="shared" si="192"/>
        <v>70053</v>
      </c>
      <c r="J99" s="487">
        <f t="shared" si="192"/>
        <v>70053</v>
      </c>
      <c r="K99" s="508"/>
      <c r="M99" s="1"/>
      <c r="N99" s="389">
        <f t="shared" si="193"/>
        <v>70053</v>
      </c>
      <c r="O99" s="291">
        <f t="shared" ref="O99:Q103" si="198">N99</f>
        <v>70053</v>
      </c>
      <c r="P99" s="291">
        <f t="shared" si="198"/>
        <v>70053</v>
      </c>
      <c r="Q99" s="390">
        <f t="shared" si="198"/>
        <v>70053</v>
      </c>
      <c r="R99" s="295"/>
      <c r="S99" s="61"/>
      <c r="T99" s="389">
        <f t="shared" si="195"/>
        <v>70053</v>
      </c>
      <c r="U99" s="291">
        <f t="shared" si="195"/>
        <v>70053</v>
      </c>
      <c r="V99" s="291">
        <f t="shared" si="195"/>
        <v>70053</v>
      </c>
      <c r="W99" s="390">
        <f t="shared" si="195"/>
        <v>70053</v>
      </c>
      <c r="X99" s="326"/>
      <c r="Y99" s="328"/>
      <c r="Z99" s="326"/>
      <c r="AA99" s="326"/>
      <c r="AB99" s="381"/>
      <c r="AC99" s="389">
        <f t="shared" si="196"/>
        <v>70053</v>
      </c>
      <c r="AD99" s="291">
        <f t="shared" si="196"/>
        <v>70053</v>
      </c>
      <c r="AE99" s="291">
        <f t="shared" si="196"/>
        <v>70053</v>
      </c>
      <c r="AF99" s="390">
        <f t="shared" si="196"/>
        <v>70053</v>
      </c>
      <c r="AG99" s="61"/>
      <c r="AH99" s="837"/>
      <c r="AI99" s="389">
        <f t="shared" si="197"/>
        <v>70053</v>
      </c>
      <c r="AJ99" s="291">
        <f t="shared" si="197"/>
        <v>70053</v>
      </c>
      <c r="AK99" s="291">
        <f t="shared" si="197"/>
        <v>70053</v>
      </c>
      <c r="AL99" s="390">
        <f t="shared" si="197"/>
        <v>70053</v>
      </c>
      <c r="AM99" s="838"/>
      <c r="AN99" s="560"/>
      <c r="AU99" s="1"/>
      <c r="AV99" s="1"/>
      <c r="AW99" s="1"/>
      <c r="AX99" s="1"/>
      <c r="AY99" s="1"/>
      <c r="AZ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</row>
    <row r="100" spans="1:70" s="2" customFormat="1" outlineLevel="1">
      <c r="A100" s="436" t="s">
        <v>65</v>
      </c>
      <c r="D100" s="1108"/>
      <c r="G100" s="389">
        <f>'MPS др метрики'!C112</f>
        <v>47443</v>
      </c>
      <c r="H100" s="427">
        <f t="shared" si="192"/>
        <v>47443</v>
      </c>
      <c r="I100" s="427">
        <f t="shared" si="192"/>
        <v>47443</v>
      </c>
      <c r="J100" s="487">
        <f t="shared" si="192"/>
        <v>47443</v>
      </c>
      <c r="K100" s="508"/>
      <c r="M100" s="1"/>
      <c r="N100" s="389">
        <f t="shared" si="193"/>
        <v>47443</v>
      </c>
      <c r="O100" s="291">
        <f t="shared" si="198"/>
        <v>47443</v>
      </c>
      <c r="P100" s="291">
        <f t="shared" si="198"/>
        <v>47443</v>
      </c>
      <c r="Q100" s="390">
        <f t="shared" si="198"/>
        <v>47443</v>
      </c>
      <c r="R100" s="295"/>
      <c r="S100" s="61"/>
      <c r="T100" s="389">
        <f t="shared" si="195"/>
        <v>47443</v>
      </c>
      <c r="U100" s="291">
        <f t="shared" si="195"/>
        <v>47443</v>
      </c>
      <c r="V100" s="291">
        <f t="shared" si="195"/>
        <v>47443</v>
      </c>
      <c r="W100" s="390">
        <f t="shared" si="195"/>
        <v>47443</v>
      </c>
      <c r="X100" s="326"/>
      <c r="Y100" s="328"/>
      <c r="Z100" s="326"/>
      <c r="AA100" s="326"/>
      <c r="AB100" s="381"/>
      <c r="AC100" s="389">
        <f t="shared" si="196"/>
        <v>47443</v>
      </c>
      <c r="AD100" s="291">
        <f t="shared" si="196"/>
        <v>47443</v>
      </c>
      <c r="AE100" s="291">
        <f t="shared" si="196"/>
        <v>47443</v>
      </c>
      <c r="AF100" s="390">
        <f t="shared" si="196"/>
        <v>47443</v>
      </c>
      <c r="AG100" s="61"/>
      <c r="AH100" s="837"/>
      <c r="AI100" s="389">
        <f t="shared" si="197"/>
        <v>47443</v>
      </c>
      <c r="AJ100" s="291">
        <f t="shared" si="197"/>
        <v>47443</v>
      </c>
      <c r="AK100" s="291">
        <f t="shared" si="197"/>
        <v>47443</v>
      </c>
      <c r="AL100" s="390">
        <f t="shared" si="197"/>
        <v>47443</v>
      </c>
      <c r="AM100" s="838"/>
      <c r="AN100" s="560"/>
      <c r="AU100" s="1"/>
      <c r="AV100" s="1"/>
      <c r="AW100" s="1"/>
      <c r="AX100" s="1"/>
      <c r="AY100" s="1"/>
      <c r="AZ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</row>
    <row r="101" spans="1:70" s="2" customFormat="1" outlineLevel="1">
      <c r="A101" s="436" t="s">
        <v>66</v>
      </c>
      <c r="D101" s="1108"/>
      <c r="G101" s="389">
        <f>'MPS др метрики'!C113</f>
        <v>40951</v>
      </c>
      <c r="H101" s="427">
        <f t="shared" si="192"/>
        <v>40951</v>
      </c>
      <c r="I101" s="427">
        <f t="shared" si="192"/>
        <v>40951</v>
      </c>
      <c r="J101" s="487">
        <f t="shared" si="192"/>
        <v>40951</v>
      </c>
      <c r="K101" s="508"/>
      <c r="M101" s="1"/>
      <c r="N101" s="389">
        <f t="shared" si="193"/>
        <v>40951</v>
      </c>
      <c r="O101" s="291">
        <f t="shared" si="198"/>
        <v>40951</v>
      </c>
      <c r="P101" s="291">
        <f t="shared" si="198"/>
        <v>40951</v>
      </c>
      <c r="Q101" s="390">
        <f t="shared" si="198"/>
        <v>40951</v>
      </c>
      <c r="R101" s="295"/>
      <c r="S101" s="61"/>
      <c r="T101" s="389">
        <f t="shared" si="195"/>
        <v>40951</v>
      </c>
      <c r="U101" s="291">
        <f t="shared" si="195"/>
        <v>40951</v>
      </c>
      <c r="V101" s="291">
        <f t="shared" si="195"/>
        <v>40951</v>
      </c>
      <c r="W101" s="390">
        <f t="shared" si="195"/>
        <v>40951</v>
      </c>
      <c r="X101" s="326"/>
      <c r="Y101" s="328"/>
      <c r="Z101" s="326"/>
      <c r="AA101" s="326"/>
      <c r="AB101" s="381"/>
      <c r="AC101" s="389">
        <f t="shared" si="196"/>
        <v>40951</v>
      </c>
      <c r="AD101" s="291">
        <f t="shared" si="196"/>
        <v>40951</v>
      </c>
      <c r="AE101" s="291">
        <f t="shared" si="196"/>
        <v>40951</v>
      </c>
      <c r="AF101" s="390">
        <f t="shared" si="196"/>
        <v>40951</v>
      </c>
      <c r="AG101" s="61"/>
      <c r="AH101" s="837"/>
      <c r="AI101" s="389">
        <f t="shared" si="197"/>
        <v>40951</v>
      </c>
      <c r="AJ101" s="291">
        <f t="shared" si="197"/>
        <v>40951</v>
      </c>
      <c r="AK101" s="291">
        <f t="shared" si="197"/>
        <v>40951</v>
      </c>
      <c r="AL101" s="390">
        <f t="shared" si="197"/>
        <v>40951</v>
      </c>
      <c r="AM101" s="838"/>
      <c r="AN101" s="560"/>
      <c r="AU101" s="1"/>
      <c r="AV101" s="1"/>
      <c r="AW101" s="1"/>
      <c r="AX101" s="1"/>
      <c r="AY101" s="1"/>
      <c r="AZ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</row>
    <row r="102" spans="1:70" s="2" customFormat="1" outlineLevel="1">
      <c r="A102" s="436" t="s">
        <v>328</v>
      </c>
      <c r="D102" s="1108"/>
      <c r="G102" s="389">
        <f>'MPS др метрики'!C114</f>
        <v>33828</v>
      </c>
      <c r="H102" s="427">
        <f t="shared" si="192"/>
        <v>33828</v>
      </c>
      <c r="I102" s="427">
        <f t="shared" si="192"/>
        <v>33828</v>
      </c>
      <c r="J102" s="487">
        <f t="shared" si="192"/>
        <v>33828</v>
      </c>
      <c r="K102" s="508"/>
      <c r="M102" s="1"/>
      <c r="N102" s="389">
        <f t="shared" si="193"/>
        <v>33828</v>
      </c>
      <c r="O102" s="291">
        <f t="shared" si="198"/>
        <v>33828</v>
      </c>
      <c r="P102" s="291">
        <f t="shared" si="198"/>
        <v>33828</v>
      </c>
      <c r="Q102" s="390">
        <f t="shared" si="198"/>
        <v>33828</v>
      </c>
      <c r="R102" s="295"/>
      <c r="S102" s="61"/>
      <c r="T102" s="389">
        <f t="shared" si="195"/>
        <v>33828</v>
      </c>
      <c r="U102" s="291">
        <f t="shared" si="195"/>
        <v>33828</v>
      </c>
      <c r="V102" s="291">
        <f t="shared" si="195"/>
        <v>33828</v>
      </c>
      <c r="W102" s="390">
        <f t="shared" si="195"/>
        <v>33828</v>
      </c>
      <c r="X102" s="326"/>
      <c r="Y102" s="328"/>
      <c r="Z102" s="326"/>
      <c r="AA102" s="326"/>
      <c r="AB102" s="381"/>
      <c r="AC102" s="389">
        <f t="shared" si="196"/>
        <v>33828</v>
      </c>
      <c r="AD102" s="291">
        <f t="shared" si="196"/>
        <v>33828</v>
      </c>
      <c r="AE102" s="291">
        <f t="shared" si="196"/>
        <v>33828</v>
      </c>
      <c r="AF102" s="390">
        <f t="shared" si="196"/>
        <v>33828</v>
      </c>
      <c r="AG102" s="61"/>
      <c r="AH102" s="837"/>
      <c r="AI102" s="389">
        <f t="shared" si="197"/>
        <v>33828</v>
      </c>
      <c r="AJ102" s="291">
        <f t="shared" si="197"/>
        <v>33828</v>
      </c>
      <c r="AK102" s="291">
        <f t="shared" si="197"/>
        <v>33828</v>
      </c>
      <c r="AL102" s="390">
        <f t="shared" si="197"/>
        <v>33828</v>
      </c>
      <c r="AM102" s="838"/>
      <c r="AN102" s="560"/>
      <c r="AU102" s="1"/>
      <c r="AV102" s="1"/>
      <c r="AW102" s="1"/>
      <c r="AX102" s="1"/>
      <c r="AY102" s="1"/>
      <c r="AZ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</row>
    <row r="103" spans="1:70" s="2" customFormat="1" outlineLevel="1">
      <c r="A103" s="1090" t="s">
        <v>329</v>
      </c>
      <c r="D103" s="1108"/>
      <c r="F103" s="139"/>
      <c r="G103" s="391">
        <f>'MPS др метрики'!C115</f>
        <v>21581</v>
      </c>
      <c r="H103" s="428">
        <f t="shared" si="192"/>
        <v>21581</v>
      </c>
      <c r="I103" s="428">
        <f t="shared" si="192"/>
        <v>21581</v>
      </c>
      <c r="J103" s="488">
        <f t="shared" si="192"/>
        <v>21581</v>
      </c>
      <c r="K103" s="508"/>
      <c r="M103" s="1"/>
      <c r="N103" s="391">
        <f t="shared" si="193"/>
        <v>21581</v>
      </c>
      <c r="O103" s="392">
        <f t="shared" si="198"/>
        <v>21581</v>
      </c>
      <c r="P103" s="392">
        <f t="shared" si="198"/>
        <v>21581</v>
      </c>
      <c r="Q103" s="393">
        <f t="shared" si="198"/>
        <v>21581</v>
      </c>
      <c r="R103" s="295"/>
      <c r="S103" s="1"/>
      <c r="T103" s="391">
        <f t="shared" si="195"/>
        <v>21581</v>
      </c>
      <c r="U103" s="392">
        <f t="shared" si="195"/>
        <v>21581</v>
      </c>
      <c r="V103" s="392">
        <f t="shared" si="195"/>
        <v>21581</v>
      </c>
      <c r="W103" s="393">
        <f t="shared" si="195"/>
        <v>21581</v>
      </c>
      <c r="X103" s="326"/>
      <c r="Y103" s="328"/>
      <c r="Z103" s="326"/>
      <c r="AA103" s="326"/>
      <c r="AB103" s="381"/>
      <c r="AC103" s="391">
        <f t="shared" si="196"/>
        <v>21581</v>
      </c>
      <c r="AD103" s="392">
        <f t="shared" si="196"/>
        <v>21581</v>
      </c>
      <c r="AE103" s="392">
        <f t="shared" si="196"/>
        <v>21581</v>
      </c>
      <c r="AF103" s="393">
        <f t="shared" si="196"/>
        <v>21581</v>
      </c>
      <c r="AG103" s="61"/>
      <c r="AH103" s="837"/>
      <c r="AI103" s="391">
        <f t="shared" si="197"/>
        <v>21581</v>
      </c>
      <c r="AJ103" s="392">
        <f t="shared" si="197"/>
        <v>21581</v>
      </c>
      <c r="AK103" s="392">
        <f t="shared" si="197"/>
        <v>21581</v>
      </c>
      <c r="AL103" s="393">
        <f t="shared" si="197"/>
        <v>21581</v>
      </c>
      <c r="AM103" s="838"/>
      <c r="AN103" s="560"/>
      <c r="AO103" s="84"/>
      <c r="AP103" s="84"/>
      <c r="AQ103" s="84"/>
      <c r="AR103" s="84"/>
      <c r="AS103" s="84"/>
      <c r="AT103" s="84"/>
      <c r="AU103" s="1"/>
      <c r="AV103" s="1"/>
      <c r="AW103" s="1"/>
      <c r="AX103" s="1"/>
      <c r="AY103" s="1"/>
      <c r="AZ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</row>
    <row r="104" spans="1:70" s="2" customFormat="1" outlineLevel="1">
      <c r="A104" s="436"/>
      <c r="D104" s="1108"/>
      <c r="F104" s="139"/>
      <c r="G104" s="1"/>
      <c r="H104" s="427"/>
      <c r="I104" s="427"/>
      <c r="J104" s="427"/>
      <c r="K104" s="510"/>
      <c r="L104" s="427"/>
      <c r="M104" s="1"/>
      <c r="N104" s="291"/>
      <c r="O104" s="291"/>
      <c r="P104" s="291"/>
      <c r="Q104" s="291"/>
      <c r="R104" s="295"/>
      <c r="S104" s="1"/>
      <c r="T104" s="291"/>
      <c r="U104" s="291"/>
      <c r="V104" s="291"/>
      <c r="W104" s="291"/>
      <c r="X104" s="326"/>
      <c r="Y104" s="328"/>
      <c r="Z104" s="326"/>
      <c r="AA104" s="326"/>
      <c r="AB104" s="381"/>
      <c r="AC104" s="61"/>
      <c r="AD104" s="61"/>
      <c r="AE104" s="61"/>
      <c r="AF104" s="61"/>
      <c r="AG104" s="61"/>
      <c r="AH104" s="837"/>
      <c r="AI104" s="61"/>
      <c r="AJ104" s="61"/>
      <c r="AK104" s="61"/>
      <c r="AL104" s="61"/>
      <c r="AM104" s="838"/>
      <c r="AN104" s="560"/>
      <c r="AO104" s="84"/>
      <c r="AP104" s="84"/>
      <c r="AQ104" s="84"/>
      <c r="AR104" s="84"/>
      <c r="AS104" s="84"/>
      <c r="AT104" s="84"/>
      <c r="AU104" s="1"/>
      <c r="AV104" s="1"/>
      <c r="AW104" s="1"/>
      <c r="AX104" s="1"/>
      <c r="AY104" s="1"/>
      <c r="AZ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</row>
    <row r="105" spans="1:70" s="2" customFormat="1" outlineLevel="1">
      <c r="A105" s="436" t="s">
        <v>333</v>
      </c>
      <c r="D105" s="1108"/>
      <c r="F105" s="139"/>
      <c r="G105" s="1"/>
      <c r="H105" s="427"/>
      <c r="I105" s="427"/>
      <c r="J105" s="427"/>
      <c r="K105" s="510"/>
      <c r="L105" s="427"/>
      <c r="M105" s="1"/>
      <c r="N105" s="291"/>
      <c r="O105" s="291"/>
      <c r="P105" s="291"/>
      <c r="Q105" s="291"/>
      <c r="R105" s="295"/>
      <c r="S105" s="1"/>
      <c r="T105" s="291"/>
      <c r="U105" s="291"/>
      <c r="V105" s="291"/>
      <c r="W105" s="291"/>
      <c r="X105" s="326"/>
      <c r="Y105" s="328"/>
      <c r="Z105" s="326"/>
      <c r="AA105" s="326"/>
      <c r="AB105" s="381"/>
      <c r="AC105" s="61"/>
      <c r="AD105" s="61"/>
      <c r="AE105" s="61"/>
      <c r="AF105" s="61"/>
      <c r="AG105" s="61"/>
      <c r="AH105" s="837"/>
      <c r="AI105" s="61"/>
      <c r="AJ105" s="61"/>
      <c r="AK105" s="61"/>
      <c r="AL105" s="61"/>
      <c r="AM105" s="838"/>
      <c r="AN105" s="560"/>
      <c r="AO105" s="84"/>
      <c r="AP105" s="84"/>
      <c r="AQ105" s="84"/>
      <c r="AR105" s="84"/>
      <c r="AS105" s="84"/>
      <c r="AT105" s="84"/>
      <c r="AU105" s="1"/>
      <c r="AV105" s="1"/>
      <c r="AW105" s="1"/>
      <c r="AX105" s="1"/>
      <c r="AY105" s="1"/>
      <c r="AZ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</row>
    <row r="106" spans="1:70" s="2" customFormat="1" outlineLevel="1">
      <c r="A106" s="1089" t="s">
        <v>327</v>
      </c>
      <c r="D106" s="1108"/>
      <c r="F106" s="139"/>
      <c r="G106" s="367">
        <f t="shared" ref="G106:J111" si="199">G98/G122</f>
        <v>10890.983606557378</v>
      </c>
      <c r="H106" s="368">
        <f t="shared" si="199"/>
        <v>10890.983606557378</v>
      </c>
      <c r="I106" s="368">
        <f t="shared" si="199"/>
        <v>10890.983606557378</v>
      </c>
      <c r="J106" s="369">
        <f t="shared" si="199"/>
        <v>10890.983606557378</v>
      </c>
      <c r="K106" s="407"/>
      <c r="L106" s="169"/>
      <c r="M106" s="1"/>
      <c r="N106" s="389">
        <f t="shared" ref="N106:N111" si="200">G106</f>
        <v>10890.983606557378</v>
      </c>
      <c r="O106" s="387">
        <f>N106</f>
        <v>10890.983606557378</v>
      </c>
      <c r="P106" s="387">
        <f t="shared" ref="P106:Q106" si="201">O106</f>
        <v>10890.983606557378</v>
      </c>
      <c r="Q106" s="388">
        <f t="shared" si="201"/>
        <v>10890.983606557378</v>
      </c>
      <c r="R106" s="295"/>
      <c r="S106" s="1"/>
      <c r="T106" s="386">
        <f t="shared" ref="T106:T111" si="202">N106</f>
        <v>10890.983606557378</v>
      </c>
      <c r="U106" s="387">
        <f>T106</f>
        <v>10890.983606557378</v>
      </c>
      <c r="V106" s="387">
        <f t="shared" ref="V106:W106" si="203">U106</f>
        <v>10890.983606557378</v>
      </c>
      <c r="W106" s="388">
        <f t="shared" si="203"/>
        <v>10890.983606557378</v>
      </c>
      <c r="X106" s="326"/>
      <c r="Y106" s="328"/>
      <c r="Z106" s="326"/>
      <c r="AA106" s="326"/>
      <c r="AB106" s="381"/>
      <c r="AC106" s="386">
        <f t="shared" ref="AC106:AC111" si="204">T106</f>
        <v>10890.983606557378</v>
      </c>
      <c r="AD106" s="387">
        <f>AC106</f>
        <v>10890.983606557378</v>
      </c>
      <c r="AE106" s="387">
        <f t="shared" ref="AE106:AF111" si="205">AD106</f>
        <v>10890.983606557378</v>
      </c>
      <c r="AF106" s="388">
        <f t="shared" si="205"/>
        <v>10890.983606557378</v>
      </c>
      <c r="AG106" s="61"/>
      <c r="AH106" s="837"/>
      <c r="AI106" s="386">
        <f t="shared" ref="AI106:AI111" si="206">AC106</f>
        <v>10890.983606557378</v>
      </c>
      <c r="AJ106" s="387">
        <f>AI106</f>
        <v>10890.983606557378</v>
      </c>
      <c r="AK106" s="387">
        <f t="shared" ref="AK106:AL111" si="207">AJ106</f>
        <v>10890.983606557378</v>
      </c>
      <c r="AL106" s="388">
        <f t="shared" si="207"/>
        <v>10890.983606557378</v>
      </c>
      <c r="AM106" s="838"/>
      <c r="AN106" s="560"/>
      <c r="AO106" s="84"/>
      <c r="AP106" s="84"/>
      <c r="AQ106" s="84"/>
      <c r="AR106" s="84"/>
      <c r="AS106" s="84"/>
      <c r="AT106" s="84"/>
      <c r="AU106" s="1"/>
      <c r="AV106" s="1"/>
      <c r="AW106" s="1"/>
      <c r="AX106" s="1"/>
      <c r="AY106" s="1"/>
      <c r="AZ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</row>
    <row r="107" spans="1:70" s="2" customFormat="1" outlineLevel="1">
      <c r="A107" s="436" t="s">
        <v>62</v>
      </c>
      <c r="D107" s="1108"/>
      <c r="F107" s="139"/>
      <c r="G107" s="370">
        <f t="shared" si="199"/>
        <v>9019.69957081545</v>
      </c>
      <c r="H107" s="169">
        <f t="shared" si="199"/>
        <v>9019.69957081545</v>
      </c>
      <c r="I107" s="169">
        <f t="shared" si="199"/>
        <v>9019.69957081545</v>
      </c>
      <c r="J107" s="371">
        <f t="shared" si="199"/>
        <v>9019.69957081545</v>
      </c>
      <c r="K107" s="407"/>
      <c r="L107" s="169"/>
      <c r="M107" s="1"/>
      <c r="N107" s="389">
        <f t="shared" si="200"/>
        <v>9019.69957081545</v>
      </c>
      <c r="O107" s="291">
        <f t="shared" ref="O107:Q111" si="208">N107</f>
        <v>9019.69957081545</v>
      </c>
      <c r="P107" s="291">
        <f t="shared" si="208"/>
        <v>9019.69957081545</v>
      </c>
      <c r="Q107" s="390">
        <f t="shared" si="208"/>
        <v>9019.69957081545</v>
      </c>
      <c r="R107" s="295"/>
      <c r="S107" s="1"/>
      <c r="T107" s="389">
        <f t="shared" si="202"/>
        <v>9019.69957081545</v>
      </c>
      <c r="U107" s="291">
        <f t="shared" ref="U107:W111" si="209">T107</f>
        <v>9019.69957081545</v>
      </c>
      <c r="V107" s="291">
        <f t="shared" si="209"/>
        <v>9019.69957081545</v>
      </c>
      <c r="W107" s="390">
        <f t="shared" si="209"/>
        <v>9019.69957081545</v>
      </c>
      <c r="X107" s="326"/>
      <c r="Y107" s="328"/>
      <c r="Z107" s="326"/>
      <c r="AA107" s="326"/>
      <c r="AB107" s="381"/>
      <c r="AC107" s="389">
        <f t="shared" si="204"/>
        <v>9019.69957081545</v>
      </c>
      <c r="AD107" s="291">
        <f t="shared" ref="AD107:AD111" si="210">AC107</f>
        <v>9019.69957081545</v>
      </c>
      <c r="AE107" s="291">
        <f t="shared" si="205"/>
        <v>9019.69957081545</v>
      </c>
      <c r="AF107" s="390">
        <f t="shared" si="205"/>
        <v>9019.69957081545</v>
      </c>
      <c r="AG107" s="61"/>
      <c r="AH107" s="837"/>
      <c r="AI107" s="389">
        <f t="shared" si="206"/>
        <v>9019.69957081545</v>
      </c>
      <c r="AJ107" s="291">
        <f t="shared" ref="AJ107:AJ111" si="211">AI107</f>
        <v>9019.69957081545</v>
      </c>
      <c r="AK107" s="291">
        <f t="shared" si="207"/>
        <v>9019.69957081545</v>
      </c>
      <c r="AL107" s="390">
        <f t="shared" si="207"/>
        <v>9019.69957081545</v>
      </c>
      <c r="AM107" s="838"/>
      <c r="AN107" s="560"/>
      <c r="AO107" s="84"/>
      <c r="AP107" s="84"/>
      <c r="AQ107" s="84"/>
      <c r="AR107" s="84"/>
      <c r="AS107" s="84"/>
      <c r="AT107" s="84"/>
      <c r="AU107" s="1"/>
      <c r="AV107" s="1"/>
      <c r="AW107" s="1"/>
      <c r="AX107" s="1"/>
      <c r="AY107" s="1"/>
      <c r="AZ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</row>
    <row r="108" spans="1:70" s="2" customFormat="1" outlineLevel="1">
      <c r="A108" s="436" t="s">
        <v>65</v>
      </c>
      <c r="D108" s="1108"/>
      <c r="F108" s="139"/>
      <c r="G108" s="370">
        <f t="shared" si="199"/>
        <v>8227.1098265895962</v>
      </c>
      <c r="H108" s="169">
        <f t="shared" si="199"/>
        <v>8227.1098265895962</v>
      </c>
      <c r="I108" s="169">
        <f t="shared" si="199"/>
        <v>8227.1098265895962</v>
      </c>
      <c r="J108" s="371">
        <f t="shared" si="199"/>
        <v>8227.1098265895962</v>
      </c>
      <c r="K108" s="407"/>
      <c r="L108" s="169"/>
      <c r="M108" s="1"/>
      <c r="N108" s="389">
        <f t="shared" si="200"/>
        <v>8227.1098265895962</v>
      </c>
      <c r="O108" s="291">
        <f t="shared" si="208"/>
        <v>8227.1098265895962</v>
      </c>
      <c r="P108" s="291">
        <f t="shared" si="208"/>
        <v>8227.1098265895962</v>
      </c>
      <c r="Q108" s="390">
        <f t="shared" si="208"/>
        <v>8227.1098265895962</v>
      </c>
      <c r="R108" s="295"/>
      <c r="S108" s="1"/>
      <c r="T108" s="389">
        <f t="shared" si="202"/>
        <v>8227.1098265895962</v>
      </c>
      <c r="U108" s="291">
        <f t="shared" si="209"/>
        <v>8227.1098265895962</v>
      </c>
      <c r="V108" s="291">
        <f t="shared" si="209"/>
        <v>8227.1098265895962</v>
      </c>
      <c r="W108" s="390">
        <f t="shared" si="209"/>
        <v>8227.1098265895962</v>
      </c>
      <c r="X108" s="326"/>
      <c r="Y108" s="328"/>
      <c r="Z108" s="326"/>
      <c r="AA108" s="326"/>
      <c r="AB108" s="381"/>
      <c r="AC108" s="389">
        <f t="shared" si="204"/>
        <v>8227.1098265895962</v>
      </c>
      <c r="AD108" s="291">
        <f t="shared" si="210"/>
        <v>8227.1098265895962</v>
      </c>
      <c r="AE108" s="291">
        <f t="shared" si="205"/>
        <v>8227.1098265895962</v>
      </c>
      <c r="AF108" s="390">
        <f t="shared" si="205"/>
        <v>8227.1098265895962</v>
      </c>
      <c r="AG108" s="61"/>
      <c r="AH108" s="837"/>
      <c r="AI108" s="389">
        <f t="shared" si="206"/>
        <v>8227.1098265895962</v>
      </c>
      <c r="AJ108" s="291">
        <f t="shared" si="211"/>
        <v>8227.1098265895962</v>
      </c>
      <c r="AK108" s="291">
        <f t="shared" si="207"/>
        <v>8227.1098265895962</v>
      </c>
      <c r="AL108" s="390">
        <f t="shared" si="207"/>
        <v>8227.1098265895962</v>
      </c>
      <c r="AM108" s="838"/>
      <c r="AN108" s="560"/>
      <c r="AO108" s="84"/>
      <c r="AP108" s="84"/>
      <c r="AQ108" s="84"/>
      <c r="AR108" s="84"/>
      <c r="AS108" s="84"/>
      <c r="AT108" s="84"/>
      <c r="AU108" s="1"/>
      <c r="AV108" s="1"/>
      <c r="AW108" s="1"/>
      <c r="AX108" s="1"/>
      <c r="AY108" s="1"/>
      <c r="AZ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</row>
    <row r="109" spans="1:70" s="2" customFormat="1" outlineLevel="1">
      <c r="A109" s="436" t="s">
        <v>66</v>
      </c>
      <c r="D109" s="1108"/>
      <c r="F109" s="139"/>
      <c r="G109" s="370">
        <f t="shared" si="199"/>
        <v>8245.1677852348985</v>
      </c>
      <c r="H109" s="169">
        <f t="shared" si="199"/>
        <v>8245.1677852348985</v>
      </c>
      <c r="I109" s="169">
        <f t="shared" si="199"/>
        <v>8245.1677852348985</v>
      </c>
      <c r="J109" s="371">
        <f t="shared" si="199"/>
        <v>8245.1677852348985</v>
      </c>
      <c r="K109" s="407"/>
      <c r="L109" s="169"/>
      <c r="M109" s="1"/>
      <c r="N109" s="389">
        <f t="shared" si="200"/>
        <v>8245.1677852348985</v>
      </c>
      <c r="O109" s="291">
        <f t="shared" si="208"/>
        <v>8245.1677852348985</v>
      </c>
      <c r="P109" s="291">
        <f t="shared" si="208"/>
        <v>8245.1677852348985</v>
      </c>
      <c r="Q109" s="390">
        <f t="shared" si="208"/>
        <v>8245.1677852348985</v>
      </c>
      <c r="R109" s="295"/>
      <c r="S109" s="1"/>
      <c r="T109" s="389">
        <f t="shared" si="202"/>
        <v>8245.1677852348985</v>
      </c>
      <c r="U109" s="291">
        <f t="shared" si="209"/>
        <v>8245.1677852348985</v>
      </c>
      <c r="V109" s="291">
        <f t="shared" si="209"/>
        <v>8245.1677852348985</v>
      </c>
      <c r="W109" s="390">
        <f t="shared" si="209"/>
        <v>8245.1677852348985</v>
      </c>
      <c r="X109" s="326"/>
      <c r="Y109" s="328"/>
      <c r="Z109" s="326"/>
      <c r="AA109" s="326"/>
      <c r="AB109" s="381"/>
      <c r="AC109" s="389">
        <f t="shared" si="204"/>
        <v>8245.1677852348985</v>
      </c>
      <c r="AD109" s="291">
        <f t="shared" si="210"/>
        <v>8245.1677852348985</v>
      </c>
      <c r="AE109" s="291">
        <f t="shared" si="205"/>
        <v>8245.1677852348985</v>
      </c>
      <c r="AF109" s="390">
        <f t="shared" si="205"/>
        <v>8245.1677852348985</v>
      </c>
      <c r="AG109" s="61"/>
      <c r="AH109" s="837"/>
      <c r="AI109" s="389">
        <f t="shared" si="206"/>
        <v>8245.1677852348985</v>
      </c>
      <c r="AJ109" s="291">
        <f t="shared" si="211"/>
        <v>8245.1677852348985</v>
      </c>
      <c r="AK109" s="291">
        <f t="shared" si="207"/>
        <v>8245.1677852348985</v>
      </c>
      <c r="AL109" s="390">
        <f t="shared" si="207"/>
        <v>8245.1677852348985</v>
      </c>
      <c r="AM109" s="838"/>
      <c r="AN109" s="560"/>
      <c r="AO109" s="84"/>
      <c r="AP109" s="84"/>
      <c r="AQ109" s="84"/>
      <c r="AR109" s="84"/>
      <c r="AS109" s="84"/>
      <c r="AT109" s="84"/>
      <c r="AU109" s="1"/>
      <c r="AV109" s="1"/>
      <c r="AW109" s="1"/>
      <c r="AX109" s="1"/>
      <c r="AY109" s="1"/>
      <c r="AZ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</row>
    <row r="110" spans="1:70" s="2" customFormat="1" outlineLevel="1">
      <c r="A110" s="436" t="s">
        <v>328</v>
      </c>
      <c r="D110" s="1108"/>
      <c r="F110" s="139"/>
      <c r="G110" s="370">
        <f t="shared" si="199"/>
        <v>7866.9767441860467</v>
      </c>
      <c r="H110" s="169">
        <f t="shared" si="199"/>
        <v>7866.9767441860467</v>
      </c>
      <c r="I110" s="169">
        <f t="shared" si="199"/>
        <v>7866.9767441860467</v>
      </c>
      <c r="J110" s="371">
        <f t="shared" si="199"/>
        <v>7866.9767441860467</v>
      </c>
      <c r="K110" s="407"/>
      <c r="L110" s="169"/>
      <c r="M110" s="1"/>
      <c r="N110" s="389">
        <f t="shared" si="200"/>
        <v>7866.9767441860467</v>
      </c>
      <c r="O110" s="291">
        <f t="shared" si="208"/>
        <v>7866.9767441860467</v>
      </c>
      <c r="P110" s="291">
        <f t="shared" si="208"/>
        <v>7866.9767441860467</v>
      </c>
      <c r="Q110" s="390">
        <f t="shared" si="208"/>
        <v>7866.9767441860467</v>
      </c>
      <c r="R110" s="295"/>
      <c r="S110" s="1"/>
      <c r="T110" s="389">
        <f t="shared" si="202"/>
        <v>7866.9767441860467</v>
      </c>
      <c r="U110" s="291">
        <f t="shared" si="209"/>
        <v>7866.9767441860467</v>
      </c>
      <c r="V110" s="291">
        <f t="shared" si="209"/>
        <v>7866.9767441860467</v>
      </c>
      <c r="W110" s="390">
        <f t="shared" si="209"/>
        <v>7866.9767441860467</v>
      </c>
      <c r="X110" s="326"/>
      <c r="Y110" s="328"/>
      <c r="Z110" s="326"/>
      <c r="AA110" s="326"/>
      <c r="AB110" s="381"/>
      <c r="AC110" s="389">
        <f t="shared" si="204"/>
        <v>7866.9767441860467</v>
      </c>
      <c r="AD110" s="291">
        <f t="shared" si="210"/>
        <v>7866.9767441860467</v>
      </c>
      <c r="AE110" s="291">
        <f t="shared" si="205"/>
        <v>7866.9767441860467</v>
      </c>
      <c r="AF110" s="390">
        <f t="shared" si="205"/>
        <v>7866.9767441860467</v>
      </c>
      <c r="AG110" s="61"/>
      <c r="AH110" s="837"/>
      <c r="AI110" s="389">
        <f t="shared" si="206"/>
        <v>7866.9767441860467</v>
      </c>
      <c r="AJ110" s="291">
        <f t="shared" si="211"/>
        <v>7866.9767441860467</v>
      </c>
      <c r="AK110" s="291">
        <f t="shared" si="207"/>
        <v>7866.9767441860467</v>
      </c>
      <c r="AL110" s="390">
        <f t="shared" si="207"/>
        <v>7866.9767441860467</v>
      </c>
      <c r="AM110" s="838"/>
      <c r="AN110" s="560"/>
      <c r="AO110" s="84"/>
      <c r="AP110" s="84"/>
      <c r="AQ110" s="84"/>
      <c r="AR110" s="84"/>
      <c r="AS110" s="84"/>
      <c r="AT110" s="84"/>
      <c r="AU110" s="1"/>
      <c r="AV110" s="1"/>
      <c r="AW110" s="1"/>
      <c r="AX110" s="1"/>
      <c r="AY110" s="1"/>
      <c r="AZ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</row>
    <row r="111" spans="1:70" s="2" customFormat="1" outlineLevel="1">
      <c r="A111" s="1090" t="s">
        <v>329</v>
      </c>
      <c r="D111" s="1108"/>
      <c r="F111" s="139"/>
      <c r="G111" s="372">
        <f t="shared" si="199"/>
        <v>6674.5360824742265</v>
      </c>
      <c r="H111" s="373">
        <f t="shared" si="199"/>
        <v>6674.5360824742265</v>
      </c>
      <c r="I111" s="373">
        <f t="shared" si="199"/>
        <v>6674.5360824742265</v>
      </c>
      <c r="J111" s="374">
        <f t="shared" si="199"/>
        <v>6674.5360824742265</v>
      </c>
      <c r="K111" s="407"/>
      <c r="L111" s="169"/>
      <c r="M111" s="1"/>
      <c r="N111" s="391">
        <f t="shared" si="200"/>
        <v>6674.5360824742265</v>
      </c>
      <c r="O111" s="392">
        <f t="shared" si="208"/>
        <v>6674.5360824742265</v>
      </c>
      <c r="P111" s="392">
        <f t="shared" si="208"/>
        <v>6674.5360824742265</v>
      </c>
      <c r="Q111" s="393">
        <f t="shared" si="208"/>
        <v>6674.5360824742265</v>
      </c>
      <c r="R111" s="295"/>
      <c r="S111" s="1"/>
      <c r="T111" s="391">
        <f t="shared" si="202"/>
        <v>6674.5360824742265</v>
      </c>
      <c r="U111" s="392">
        <f t="shared" si="209"/>
        <v>6674.5360824742265</v>
      </c>
      <c r="V111" s="392">
        <f t="shared" si="209"/>
        <v>6674.5360824742265</v>
      </c>
      <c r="W111" s="393">
        <f t="shared" si="209"/>
        <v>6674.5360824742265</v>
      </c>
      <c r="X111" s="326"/>
      <c r="Y111" s="328"/>
      <c r="Z111" s="326"/>
      <c r="AA111" s="326"/>
      <c r="AB111" s="381"/>
      <c r="AC111" s="391">
        <f t="shared" si="204"/>
        <v>6674.5360824742265</v>
      </c>
      <c r="AD111" s="392">
        <f t="shared" si="210"/>
        <v>6674.5360824742265</v>
      </c>
      <c r="AE111" s="392">
        <f t="shared" si="205"/>
        <v>6674.5360824742265</v>
      </c>
      <c r="AF111" s="393">
        <f t="shared" si="205"/>
        <v>6674.5360824742265</v>
      </c>
      <c r="AG111" s="61"/>
      <c r="AH111" s="837"/>
      <c r="AI111" s="391">
        <f t="shared" si="206"/>
        <v>6674.5360824742265</v>
      </c>
      <c r="AJ111" s="392">
        <f t="shared" si="211"/>
        <v>6674.5360824742265</v>
      </c>
      <c r="AK111" s="392">
        <f t="shared" si="207"/>
        <v>6674.5360824742265</v>
      </c>
      <c r="AL111" s="393">
        <f t="shared" si="207"/>
        <v>6674.5360824742265</v>
      </c>
      <c r="AM111" s="838"/>
      <c r="AN111" s="560"/>
      <c r="AO111" s="84"/>
      <c r="AP111" s="84"/>
      <c r="AQ111" s="84"/>
      <c r="AR111" s="84"/>
      <c r="AS111" s="84"/>
      <c r="AT111" s="84"/>
      <c r="AU111" s="1"/>
      <c r="AV111" s="1"/>
      <c r="AW111" s="1"/>
      <c r="AX111" s="1"/>
      <c r="AY111" s="1"/>
      <c r="AZ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</row>
    <row r="112" spans="1:70" outlineLevel="1">
      <c r="A112" s="436"/>
      <c r="B112" s="2"/>
      <c r="C112" s="2"/>
      <c r="D112" s="1108"/>
      <c r="E112" s="2"/>
      <c r="G112" s="290"/>
      <c r="H112" s="429"/>
      <c r="I112" s="429"/>
      <c r="J112" s="429"/>
      <c r="K112" s="511"/>
      <c r="L112" s="429"/>
      <c r="M112" s="423"/>
      <c r="N112" s="169"/>
      <c r="O112" s="169"/>
      <c r="P112" s="169"/>
      <c r="Q112" s="169"/>
      <c r="T112" s="169"/>
      <c r="U112" s="169"/>
      <c r="V112" s="169"/>
      <c r="W112" s="169"/>
      <c r="AB112" s="342"/>
      <c r="AC112" s="154"/>
      <c r="AD112" s="154"/>
      <c r="AE112" s="154"/>
      <c r="AF112" s="154"/>
      <c r="AG112" s="154"/>
      <c r="AH112" s="616"/>
      <c r="AI112" s="154"/>
      <c r="AJ112" s="154"/>
      <c r="AK112" s="154"/>
      <c r="AL112" s="154"/>
      <c r="AM112" s="690"/>
      <c r="AN112" s="299"/>
      <c r="AO112" s="2"/>
      <c r="AP112" s="2"/>
      <c r="AQ112" s="2"/>
      <c r="AR112" s="2"/>
      <c r="AS112" s="2"/>
      <c r="AT112" s="2"/>
    </row>
    <row r="113" spans="1:70" s="425" customFormat="1" outlineLevel="1">
      <c r="A113" s="382" t="s">
        <v>345</v>
      </c>
      <c r="B113" s="452"/>
      <c r="C113" s="452"/>
      <c r="D113" s="1118"/>
      <c r="E113" s="452"/>
      <c r="F113" s="356"/>
      <c r="G113" s="343"/>
      <c r="H113" s="430"/>
      <c r="I113" s="430"/>
      <c r="J113" s="430"/>
      <c r="K113" s="512"/>
      <c r="L113" s="430"/>
      <c r="N113" s="399" t="s">
        <v>334</v>
      </c>
      <c r="O113" s="354"/>
      <c r="P113" s="354"/>
      <c r="Q113" s="354"/>
      <c r="R113" s="503"/>
      <c r="S113" s="43"/>
      <c r="T113" s="399" t="s">
        <v>334</v>
      </c>
      <c r="U113" s="354"/>
      <c r="V113" s="354"/>
      <c r="W113" s="354"/>
      <c r="X113" s="43"/>
      <c r="Y113" s="529"/>
      <c r="Z113" s="43"/>
      <c r="AA113" s="43"/>
      <c r="AB113" s="561"/>
      <c r="AC113" s="637"/>
      <c r="AD113" s="637"/>
      <c r="AE113" s="637"/>
      <c r="AF113" s="637"/>
      <c r="AG113" s="637"/>
      <c r="AH113" s="839"/>
      <c r="AI113" s="637"/>
      <c r="AJ113" s="637"/>
      <c r="AK113" s="637"/>
      <c r="AL113" s="637"/>
      <c r="AM113" s="840"/>
      <c r="AN113" s="562"/>
      <c r="AO113" s="356"/>
      <c r="AP113" s="356"/>
      <c r="AQ113" s="356"/>
      <c r="AR113" s="356"/>
      <c r="AS113" s="356"/>
      <c r="AT113" s="356"/>
      <c r="AU113" s="43"/>
      <c r="AV113" s="43"/>
      <c r="AW113" s="43"/>
      <c r="AX113" s="43"/>
      <c r="AY113" s="43"/>
      <c r="AZ113" s="43"/>
      <c r="BG113" s="43"/>
      <c r="BH113" s="43"/>
      <c r="BI113" s="43"/>
      <c r="BJ113" s="43"/>
      <c r="BK113" s="43"/>
      <c r="BL113" s="43"/>
      <c r="BM113" s="43"/>
      <c r="BN113" s="43"/>
      <c r="BO113" s="43"/>
      <c r="BP113" s="43"/>
      <c r="BQ113" s="43"/>
      <c r="BR113" s="43"/>
    </row>
    <row r="114" spans="1:70" outlineLevel="1">
      <c r="A114" s="1089" t="s">
        <v>327</v>
      </c>
      <c r="B114" s="2"/>
      <c r="C114" s="2"/>
      <c r="D114" s="1108"/>
      <c r="E114" s="2"/>
      <c r="G114" s="378">
        <f t="shared" ref="G114:G119" si="212">G122</f>
        <v>10.166666666666666</v>
      </c>
      <c r="H114" s="431">
        <f t="shared" ref="H114:J120" si="213">G114</f>
        <v>10.166666666666666</v>
      </c>
      <c r="I114" s="431">
        <f t="shared" si="213"/>
        <v>10.166666666666666</v>
      </c>
      <c r="J114" s="432">
        <f t="shared" si="213"/>
        <v>10.166666666666666</v>
      </c>
      <c r="K114" s="511"/>
      <c r="L114" s="429"/>
      <c r="M114" s="423"/>
      <c r="N114" s="378">
        <f>G114+0.7</f>
        <v>10.866666666666665</v>
      </c>
      <c r="O114" s="394">
        <f>N114</f>
        <v>10.866666666666665</v>
      </c>
      <c r="P114" s="394">
        <f t="shared" ref="P114:Q114" si="214">O114</f>
        <v>10.866666666666665</v>
      </c>
      <c r="Q114" s="395">
        <f t="shared" si="214"/>
        <v>10.866666666666665</v>
      </c>
      <c r="T114" s="378">
        <f t="shared" ref="T114:T120" si="215">N114</f>
        <v>10.866666666666665</v>
      </c>
      <c r="U114" s="394">
        <f>T114</f>
        <v>10.866666666666665</v>
      </c>
      <c r="V114" s="394">
        <f t="shared" ref="V114:W114" si="216">U114</f>
        <v>10.866666666666665</v>
      </c>
      <c r="W114" s="395">
        <f t="shared" si="216"/>
        <v>10.866666666666665</v>
      </c>
      <c r="AB114" s="342"/>
      <c r="AC114" s="378">
        <f>T114</f>
        <v>10.866666666666665</v>
      </c>
      <c r="AD114" s="394">
        <f>AC114</f>
        <v>10.866666666666665</v>
      </c>
      <c r="AE114" s="394">
        <f t="shared" ref="AE114:AF120" si="217">AD114</f>
        <v>10.866666666666665</v>
      </c>
      <c r="AF114" s="395">
        <f t="shared" si="217"/>
        <v>10.866666666666665</v>
      </c>
      <c r="AG114" s="154"/>
      <c r="AH114" s="616"/>
      <c r="AI114" s="378">
        <f>AC114</f>
        <v>10.866666666666665</v>
      </c>
      <c r="AJ114" s="394">
        <f>AI114</f>
        <v>10.866666666666665</v>
      </c>
      <c r="AK114" s="394">
        <f t="shared" ref="AK114:AL120" si="218">AJ114</f>
        <v>10.866666666666665</v>
      </c>
      <c r="AL114" s="395">
        <f t="shared" si="218"/>
        <v>10.866666666666665</v>
      </c>
      <c r="AM114" s="690"/>
      <c r="AN114" s="299"/>
      <c r="AO114" s="2"/>
      <c r="AP114" s="2"/>
      <c r="AQ114" s="2"/>
      <c r="AR114" s="2"/>
      <c r="AS114" s="2"/>
      <c r="AT114" s="2"/>
    </row>
    <row r="115" spans="1:70" outlineLevel="1">
      <c r="A115" s="436" t="s">
        <v>62</v>
      </c>
      <c r="B115" s="2"/>
      <c r="C115" s="2"/>
      <c r="D115" s="1108"/>
      <c r="E115" s="2"/>
      <c r="G115" s="379">
        <f t="shared" si="212"/>
        <v>7.7666666666666666</v>
      </c>
      <c r="H115" s="429">
        <f t="shared" si="213"/>
        <v>7.7666666666666666</v>
      </c>
      <c r="I115" s="429">
        <f t="shared" si="213"/>
        <v>7.7666666666666666</v>
      </c>
      <c r="J115" s="433">
        <f t="shared" si="213"/>
        <v>7.7666666666666666</v>
      </c>
      <c r="K115" s="511"/>
      <c r="L115" s="429"/>
      <c r="M115" s="423"/>
      <c r="N115" s="379">
        <f t="shared" ref="N115:N119" si="219">G115+0.7</f>
        <v>8.4666666666666668</v>
      </c>
      <c r="O115" s="290">
        <f t="shared" ref="O115:Q120" si="220">N115</f>
        <v>8.4666666666666668</v>
      </c>
      <c r="P115" s="290">
        <f t="shared" si="220"/>
        <v>8.4666666666666668</v>
      </c>
      <c r="Q115" s="396">
        <f t="shared" si="220"/>
        <v>8.4666666666666668</v>
      </c>
      <c r="T115" s="379">
        <f t="shared" si="215"/>
        <v>8.4666666666666668</v>
      </c>
      <c r="U115" s="290">
        <f t="shared" ref="U115:W120" si="221">T115</f>
        <v>8.4666666666666668</v>
      </c>
      <c r="V115" s="290">
        <f t="shared" si="221"/>
        <v>8.4666666666666668</v>
      </c>
      <c r="W115" s="396">
        <f t="shared" si="221"/>
        <v>8.4666666666666668</v>
      </c>
      <c r="AB115" s="342"/>
      <c r="AC115" s="379">
        <f t="shared" ref="AC115:AC120" si="222">T115</f>
        <v>8.4666666666666668</v>
      </c>
      <c r="AD115" s="290">
        <f t="shared" ref="AD115:AD120" si="223">AC115</f>
        <v>8.4666666666666668</v>
      </c>
      <c r="AE115" s="290">
        <f t="shared" si="217"/>
        <v>8.4666666666666668</v>
      </c>
      <c r="AF115" s="396">
        <f t="shared" si="217"/>
        <v>8.4666666666666668</v>
      </c>
      <c r="AG115" s="154"/>
      <c r="AH115" s="616"/>
      <c r="AI115" s="379">
        <f t="shared" ref="AI115:AI120" si="224">AC115</f>
        <v>8.4666666666666668</v>
      </c>
      <c r="AJ115" s="290">
        <f t="shared" ref="AJ115:AJ120" si="225">AI115</f>
        <v>8.4666666666666668</v>
      </c>
      <c r="AK115" s="290">
        <f t="shared" si="218"/>
        <v>8.4666666666666668</v>
      </c>
      <c r="AL115" s="396">
        <f t="shared" si="218"/>
        <v>8.4666666666666668</v>
      </c>
      <c r="AM115" s="690"/>
      <c r="AN115" s="299"/>
      <c r="AO115" s="2"/>
      <c r="AP115" s="2"/>
      <c r="AQ115" s="2"/>
      <c r="AR115" s="2"/>
      <c r="AS115" s="2"/>
      <c r="AT115" s="2"/>
    </row>
    <row r="116" spans="1:70" outlineLevel="1">
      <c r="A116" s="436" t="s">
        <v>65</v>
      </c>
      <c r="B116" s="2"/>
      <c r="C116" s="2"/>
      <c r="D116" s="1108"/>
      <c r="E116" s="2"/>
      <c r="G116" s="379">
        <f t="shared" si="212"/>
        <v>5.7666666666666666</v>
      </c>
      <c r="H116" s="429">
        <f t="shared" si="213"/>
        <v>5.7666666666666666</v>
      </c>
      <c r="I116" s="429">
        <f t="shared" si="213"/>
        <v>5.7666666666666666</v>
      </c>
      <c r="J116" s="433">
        <f t="shared" si="213"/>
        <v>5.7666666666666666</v>
      </c>
      <c r="K116" s="511"/>
      <c r="L116" s="429"/>
      <c r="M116" s="423"/>
      <c r="N116" s="379">
        <f t="shared" si="219"/>
        <v>6.4666666666666668</v>
      </c>
      <c r="O116" s="290">
        <f t="shared" si="220"/>
        <v>6.4666666666666668</v>
      </c>
      <c r="P116" s="290">
        <f t="shared" si="220"/>
        <v>6.4666666666666668</v>
      </c>
      <c r="Q116" s="396">
        <f t="shared" si="220"/>
        <v>6.4666666666666668</v>
      </c>
      <c r="T116" s="379">
        <f t="shared" si="215"/>
        <v>6.4666666666666668</v>
      </c>
      <c r="U116" s="290">
        <f t="shared" si="221"/>
        <v>6.4666666666666668</v>
      </c>
      <c r="V116" s="290">
        <f t="shared" si="221"/>
        <v>6.4666666666666668</v>
      </c>
      <c r="W116" s="396">
        <f t="shared" si="221"/>
        <v>6.4666666666666668</v>
      </c>
      <c r="AB116" s="342"/>
      <c r="AC116" s="379">
        <f t="shared" si="222"/>
        <v>6.4666666666666668</v>
      </c>
      <c r="AD116" s="290">
        <f t="shared" si="223"/>
        <v>6.4666666666666668</v>
      </c>
      <c r="AE116" s="290">
        <f t="shared" si="217"/>
        <v>6.4666666666666668</v>
      </c>
      <c r="AF116" s="396">
        <f t="shared" si="217"/>
        <v>6.4666666666666668</v>
      </c>
      <c r="AG116" s="154"/>
      <c r="AH116" s="616"/>
      <c r="AI116" s="379">
        <f t="shared" si="224"/>
        <v>6.4666666666666668</v>
      </c>
      <c r="AJ116" s="290">
        <f t="shared" si="225"/>
        <v>6.4666666666666668</v>
      </c>
      <c r="AK116" s="290">
        <f t="shared" si="218"/>
        <v>6.4666666666666668</v>
      </c>
      <c r="AL116" s="396">
        <f t="shared" si="218"/>
        <v>6.4666666666666668</v>
      </c>
      <c r="AM116" s="690"/>
      <c r="AN116" s="299"/>
      <c r="AO116" s="2"/>
      <c r="AP116" s="2"/>
      <c r="AQ116" s="2"/>
      <c r="AR116" s="2"/>
      <c r="AS116" s="2"/>
      <c r="AT116" s="2"/>
    </row>
    <row r="117" spans="1:70" outlineLevel="1">
      <c r="A117" s="436" t="s">
        <v>66</v>
      </c>
      <c r="B117" s="2"/>
      <c r="C117" s="2"/>
      <c r="D117" s="1108"/>
      <c r="E117" s="2"/>
      <c r="G117" s="379">
        <f t="shared" si="212"/>
        <v>4.9666666666666668</v>
      </c>
      <c r="H117" s="429">
        <f t="shared" si="213"/>
        <v>4.9666666666666668</v>
      </c>
      <c r="I117" s="429">
        <f t="shared" si="213"/>
        <v>4.9666666666666668</v>
      </c>
      <c r="J117" s="433">
        <f t="shared" si="213"/>
        <v>4.9666666666666668</v>
      </c>
      <c r="K117" s="511"/>
      <c r="L117" s="429"/>
      <c r="M117" s="423"/>
      <c r="N117" s="379">
        <f t="shared" si="219"/>
        <v>5.666666666666667</v>
      </c>
      <c r="O117" s="290">
        <f t="shared" si="220"/>
        <v>5.666666666666667</v>
      </c>
      <c r="P117" s="290">
        <f t="shared" si="220"/>
        <v>5.666666666666667</v>
      </c>
      <c r="Q117" s="396">
        <f t="shared" si="220"/>
        <v>5.666666666666667</v>
      </c>
      <c r="T117" s="379">
        <f t="shared" si="215"/>
        <v>5.666666666666667</v>
      </c>
      <c r="U117" s="290">
        <f t="shared" si="221"/>
        <v>5.666666666666667</v>
      </c>
      <c r="V117" s="290">
        <f t="shared" si="221"/>
        <v>5.666666666666667</v>
      </c>
      <c r="W117" s="396">
        <f t="shared" si="221"/>
        <v>5.666666666666667</v>
      </c>
      <c r="AB117" s="342"/>
      <c r="AC117" s="379">
        <f t="shared" si="222"/>
        <v>5.666666666666667</v>
      </c>
      <c r="AD117" s="290">
        <f t="shared" si="223"/>
        <v>5.666666666666667</v>
      </c>
      <c r="AE117" s="290">
        <f t="shared" si="217"/>
        <v>5.666666666666667</v>
      </c>
      <c r="AF117" s="396">
        <f t="shared" si="217"/>
        <v>5.666666666666667</v>
      </c>
      <c r="AG117" s="154"/>
      <c r="AH117" s="616"/>
      <c r="AI117" s="379">
        <f t="shared" si="224"/>
        <v>5.666666666666667</v>
      </c>
      <c r="AJ117" s="290">
        <f t="shared" si="225"/>
        <v>5.666666666666667</v>
      </c>
      <c r="AK117" s="290">
        <f t="shared" si="218"/>
        <v>5.666666666666667</v>
      </c>
      <c r="AL117" s="396">
        <f t="shared" si="218"/>
        <v>5.666666666666667</v>
      </c>
      <c r="AM117" s="690"/>
      <c r="AN117" s="299"/>
      <c r="AO117" s="2"/>
      <c r="AP117" s="2"/>
      <c r="AQ117" s="2"/>
      <c r="AR117" s="2"/>
      <c r="AS117" s="2"/>
      <c r="AT117" s="2"/>
    </row>
    <row r="118" spans="1:70" outlineLevel="1">
      <c r="A118" s="436" t="s">
        <v>328</v>
      </c>
      <c r="B118" s="2"/>
      <c r="C118" s="2"/>
      <c r="D118" s="1108"/>
      <c r="E118" s="2"/>
      <c r="G118" s="379">
        <f t="shared" si="212"/>
        <v>4.3</v>
      </c>
      <c r="H118" s="429">
        <f t="shared" si="213"/>
        <v>4.3</v>
      </c>
      <c r="I118" s="429">
        <f t="shared" si="213"/>
        <v>4.3</v>
      </c>
      <c r="J118" s="433">
        <f t="shared" si="213"/>
        <v>4.3</v>
      </c>
      <c r="K118" s="511"/>
      <c r="L118" s="429"/>
      <c r="M118" s="423"/>
      <c r="N118" s="379">
        <f t="shared" si="219"/>
        <v>5</v>
      </c>
      <c r="O118" s="290">
        <f t="shared" si="220"/>
        <v>5</v>
      </c>
      <c r="P118" s="290">
        <f t="shared" si="220"/>
        <v>5</v>
      </c>
      <c r="Q118" s="396">
        <f t="shared" si="220"/>
        <v>5</v>
      </c>
      <c r="T118" s="379">
        <f t="shared" si="215"/>
        <v>5</v>
      </c>
      <c r="U118" s="290">
        <f t="shared" si="221"/>
        <v>5</v>
      </c>
      <c r="V118" s="290">
        <f t="shared" si="221"/>
        <v>5</v>
      </c>
      <c r="W118" s="396">
        <f t="shared" si="221"/>
        <v>5</v>
      </c>
      <c r="AB118" s="342"/>
      <c r="AC118" s="379">
        <f t="shared" si="222"/>
        <v>5</v>
      </c>
      <c r="AD118" s="290">
        <f t="shared" si="223"/>
        <v>5</v>
      </c>
      <c r="AE118" s="290">
        <f t="shared" si="217"/>
        <v>5</v>
      </c>
      <c r="AF118" s="396">
        <f t="shared" si="217"/>
        <v>5</v>
      </c>
      <c r="AG118" s="154"/>
      <c r="AH118" s="616"/>
      <c r="AI118" s="379">
        <f t="shared" si="224"/>
        <v>5</v>
      </c>
      <c r="AJ118" s="290">
        <f t="shared" si="225"/>
        <v>5</v>
      </c>
      <c r="AK118" s="290">
        <f t="shared" si="218"/>
        <v>5</v>
      </c>
      <c r="AL118" s="396">
        <f t="shared" si="218"/>
        <v>5</v>
      </c>
      <c r="AM118" s="690"/>
      <c r="AN118" s="299"/>
      <c r="AO118" s="2"/>
      <c r="AP118" s="2"/>
      <c r="AQ118" s="2"/>
      <c r="AR118" s="2"/>
      <c r="AS118" s="2"/>
      <c r="AT118" s="2"/>
    </row>
    <row r="119" spans="1:70" outlineLevel="1">
      <c r="A119" s="1090" t="s">
        <v>329</v>
      </c>
      <c r="B119" s="2"/>
      <c r="C119" s="2"/>
      <c r="D119" s="1108"/>
      <c r="E119" s="2"/>
      <c r="G119" s="380">
        <f t="shared" si="212"/>
        <v>3.2333333333333334</v>
      </c>
      <c r="H119" s="434">
        <f t="shared" si="213"/>
        <v>3.2333333333333334</v>
      </c>
      <c r="I119" s="434">
        <f t="shared" si="213"/>
        <v>3.2333333333333334</v>
      </c>
      <c r="J119" s="435">
        <f t="shared" si="213"/>
        <v>3.2333333333333334</v>
      </c>
      <c r="K119" s="511"/>
      <c r="L119" s="429"/>
      <c r="M119" s="423"/>
      <c r="N119" s="380">
        <f t="shared" si="219"/>
        <v>3.9333333333333336</v>
      </c>
      <c r="O119" s="397">
        <f t="shared" si="220"/>
        <v>3.9333333333333336</v>
      </c>
      <c r="P119" s="397">
        <f t="shared" si="220"/>
        <v>3.9333333333333336</v>
      </c>
      <c r="Q119" s="398">
        <f t="shared" si="220"/>
        <v>3.9333333333333336</v>
      </c>
      <c r="T119" s="380">
        <f t="shared" si="215"/>
        <v>3.9333333333333336</v>
      </c>
      <c r="U119" s="397">
        <f t="shared" si="221"/>
        <v>3.9333333333333336</v>
      </c>
      <c r="V119" s="397">
        <f t="shared" si="221"/>
        <v>3.9333333333333336</v>
      </c>
      <c r="W119" s="398">
        <f t="shared" si="221"/>
        <v>3.9333333333333336</v>
      </c>
      <c r="AB119" s="342"/>
      <c r="AC119" s="380">
        <f t="shared" si="222"/>
        <v>3.9333333333333336</v>
      </c>
      <c r="AD119" s="397">
        <f t="shared" si="223"/>
        <v>3.9333333333333336</v>
      </c>
      <c r="AE119" s="397">
        <f t="shared" si="217"/>
        <v>3.9333333333333336</v>
      </c>
      <c r="AF119" s="398">
        <f t="shared" si="217"/>
        <v>3.9333333333333336</v>
      </c>
      <c r="AG119" s="154"/>
      <c r="AH119" s="616"/>
      <c r="AI119" s="380">
        <f t="shared" si="224"/>
        <v>3.9333333333333336</v>
      </c>
      <c r="AJ119" s="397">
        <f t="shared" si="225"/>
        <v>3.9333333333333336</v>
      </c>
      <c r="AK119" s="397">
        <f t="shared" si="218"/>
        <v>3.9333333333333336</v>
      </c>
      <c r="AL119" s="398">
        <f t="shared" si="218"/>
        <v>3.9333333333333336</v>
      </c>
      <c r="AM119" s="690"/>
      <c r="AN119" s="299"/>
      <c r="AO119" s="2"/>
      <c r="AP119" s="2"/>
      <c r="AQ119" s="2"/>
      <c r="AR119" s="2"/>
      <c r="AS119" s="2"/>
      <c r="AT119" s="2"/>
    </row>
    <row r="120" spans="1:70" s="768" customFormat="1" outlineLevel="1">
      <c r="A120" s="1091"/>
      <c r="B120" s="400"/>
      <c r="C120" s="400"/>
      <c r="D120" s="1120"/>
      <c r="E120" s="400"/>
      <c r="F120" s="400"/>
      <c r="G120" s="154">
        <f>AVERAGE(G114:G119)</f>
        <v>6.0333333333333323</v>
      </c>
      <c r="H120" s="400">
        <f t="shared" si="213"/>
        <v>6.0333333333333323</v>
      </c>
      <c r="I120" s="400">
        <f t="shared" si="213"/>
        <v>6.0333333333333323</v>
      </c>
      <c r="J120" s="400">
        <f t="shared" si="213"/>
        <v>6.0333333333333323</v>
      </c>
      <c r="K120" s="766"/>
      <c r="L120" s="400"/>
      <c r="N120" s="154">
        <f t="shared" ref="N120" si="226">G120+1</f>
        <v>7.0333333333333323</v>
      </c>
      <c r="O120" s="154">
        <f t="shared" si="220"/>
        <v>7.0333333333333323</v>
      </c>
      <c r="P120" s="154">
        <f t="shared" si="220"/>
        <v>7.0333333333333323</v>
      </c>
      <c r="Q120" s="154">
        <f t="shared" si="220"/>
        <v>7.0333333333333323</v>
      </c>
      <c r="R120" s="299"/>
      <c r="S120" s="154"/>
      <c r="T120" s="154">
        <f t="shared" si="215"/>
        <v>7.0333333333333323</v>
      </c>
      <c r="U120" s="154">
        <f t="shared" si="221"/>
        <v>7.0333333333333323</v>
      </c>
      <c r="V120" s="154">
        <f t="shared" si="221"/>
        <v>7.0333333333333323</v>
      </c>
      <c r="W120" s="154">
        <f t="shared" si="221"/>
        <v>7.0333333333333323</v>
      </c>
      <c r="X120" s="154"/>
      <c r="Y120" s="342"/>
      <c r="Z120" s="154"/>
      <c r="AA120" s="154"/>
      <c r="AB120" s="342"/>
      <c r="AC120" s="154">
        <f t="shared" si="222"/>
        <v>7.0333333333333323</v>
      </c>
      <c r="AD120" s="154">
        <f t="shared" si="223"/>
        <v>7.0333333333333323</v>
      </c>
      <c r="AE120" s="154">
        <f t="shared" si="217"/>
        <v>7.0333333333333323</v>
      </c>
      <c r="AF120" s="154">
        <f t="shared" si="217"/>
        <v>7.0333333333333323</v>
      </c>
      <c r="AG120" s="154"/>
      <c r="AH120" s="616"/>
      <c r="AI120" s="154">
        <f t="shared" si="224"/>
        <v>7.0333333333333323</v>
      </c>
      <c r="AJ120" s="154">
        <f t="shared" si="225"/>
        <v>7.0333333333333323</v>
      </c>
      <c r="AK120" s="154">
        <f t="shared" si="218"/>
        <v>7.0333333333333323</v>
      </c>
      <c r="AL120" s="154">
        <f t="shared" si="218"/>
        <v>7.0333333333333323</v>
      </c>
      <c r="AM120" s="690"/>
      <c r="AN120" s="299"/>
      <c r="AO120" s="400"/>
      <c r="AP120" s="400"/>
      <c r="AQ120" s="400"/>
      <c r="AR120" s="400"/>
      <c r="AS120" s="400"/>
      <c r="AT120" s="400"/>
      <c r="AU120" s="154"/>
      <c r="AV120" s="154"/>
      <c r="AW120" s="154"/>
      <c r="AX120" s="154"/>
      <c r="AY120" s="154"/>
      <c r="AZ120" s="154"/>
      <c r="BG120" s="154"/>
      <c r="BH120" s="154"/>
      <c r="BI120" s="154"/>
      <c r="BJ120" s="154"/>
      <c r="BK120" s="154"/>
      <c r="BL120" s="154"/>
      <c r="BM120" s="154"/>
      <c r="BN120" s="154"/>
      <c r="BO120" s="154"/>
      <c r="BP120" s="154"/>
      <c r="BQ120" s="154"/>
      <c r="BR120" s="154"/>
    </row>
    <row r="121" spans="1:70" s="425" customFormat="1" outlineLevel="1">
      <c r="A121" s="382" t="s">
        <v>346</v>
      </c>
      <c r="B121" s="452"/>
      <c r="C121" s="452"/>
      <c r="D121" s="1118"/>
      <c r="E121" s="452"/>
      <c r="F121" s="356"/>
      <c r="G121" s="354"/>
      <c r="H121" s="354"/>
      <c r="I121" s="354"/>
      <c r="J121" s="354"/>
      <c r="K121" s="512"/>
      <c r="L121" s="430"/>
      <c r="N121" s="354"/>
      <c r="O121" s="354"/>
      <c r="P121" s="354"/>
      <c r="Q121" s="354"/>
      <c r="R121" s="503"/>
      <c r="S121" s="43"/>
      <c r="T121" s="354"/>
      <c r="U121" s="354"/>
      <c r="V121" s="354"/>
      <c r="W121" s="354"/>
      <c r="X121" s="43"/>
      <c r="Y121" s="529"/>
      <c r="Z121" s="43"/>
      <c r="AA121" s="43"/>
      <c r="AB121" s="561"/>
      <c r="AC121" s="637"/>
      <c r="AD121" s="637"/>
      <c r="AE121" s="637"/>
      <c r="AF121" s="637"/>
      <c r="AG121" s="637"/>
      <c r="AH121" s="839"/>
      <c r="AI121" s="637"/>
      <c r="AJ121" s="637"/>
      <c r="AK121" s="637"/>
      <c r="AL121" s="637"/>
      <c r="AM121" s="840"/>
      <c r="AN121" s="562"/>
      <c r="AO121" s="356"/>
      <c r="AP121" s="356"/>
      <c r="AQ121" s="356"/>
      <c r="AR121" s="356"/>
      <c r="AS121" s="356"/>
      <c r="AT121" s="356"/>
      <c r="AU121" s="43"/>
      <c r="AV121" s="43"/>
      <c r="AW121" s="43"/>
      <c r="AX121" s="43"/>
      <c r="AY121" s="43"/>
      <c r="AZ121" s="43"/>
      <c r="BG121" s="43"/>
      <c r="BH121" s="43"/>
      <c r="BI121" s="43"/>
      <c r="BJ121" s="43"/>
      <c r="BK121" s="43"/>
      <c r="BL121" s="43"/>
      <c r="BM121" s="43"/>
      <c r="BN121" s="43"/>
      <c r="BO121" s="43"/>
      <c r="BP121" s="43"/>
      <c r="BQ121" s="43"/>
      <c r="BR121" s="43"/>
    </row>
    <row r="122" spans="1:70" outlineLevel="1">
      <c r="A122" s="1089" t="s">
        <v>327</v>
      </c>
      <c r="B122" s="2"/>
      <c r="C122" s="2"/>
      <c r="D122" s="1108"/>
      <c r="E122" s="2"/>
      <c r="G122" s="378">
        <f>'MPS др метрики'!E110</f>
        <v>10.166666666666666</v>
      </c>
      <c r="H122" s="431">
        <f t="shared" ref="H122:J127" si="227">G122</f>
        <v>10.166666666666666</v>
      </c>
      <c r="I122" s="431">
        <f t="shared" si="227"/>
        <v>10.166666666666666</v>
      </c>
      <c r="J122" s="431">
        <f t="shared" si="227"/>
        <v>10.166666666666666</v>
      </c>
      <c r="K122" s="511"/>
      <c r="L122" s="429"/>
      <c r="M122" s="423"/>
      <c r="N122" s="378">
        <f t="shared" ref="N122:Q127" si="228">G122</f>
        <v>10.166666666666666</v>
      </c>
      <c r="O122" s="394">
        <f t="shared" si="228"/>
        <v>10.166666666666666</v>
      </c>
      <c r="P122" s="394">
        <f t="shared" si="228"/>
        <v>10.166666666666666</v>
      </c>
      <c r="Q122" s="395">
        <f t="shared" si="228"/>
        <v>10.166666666666666</v>
      </c>
      <c r="T122" s="378">
        <f t="shared" ref="T122:W127" si="229">N122</f>
        <v>10.166666666666666</v>
      </c>
      <c r="U122" s="394">
        <f t="shared" si="229"/>
        <v>10.166666666666666</v>
      </c>
      <c r="V122" s="394">
        <f t="shared" si="229"/>
        <v>10.166666666666666</v>
      </c>
      <c r="W122" s="395">
        <f t="shared" si="229"/>
        <v>10.166666666666666</v>
      </c>
      <c r="AB122" s="342"/>
      <c r="AC122" s="378">
        <f t="shared" ref="AC122:AF127" si="230">T122</f>
        <v>10.166666666666666</v>
      </c>
      <c r="AD122" s="394">
        <f t="shared" si="230"/>
        <v>10.166666666666666</v>
      </c>
      <c r="AE122" s="394">
        <f t="shared" si="230"/>
        <v>10.166666666666666</v>
      </c>
      <c r="AF122" s="395">
        <f t="shared" si="230"/>
        <v>10.166666666666666</v>
      </c>
      <c r="AG122" s="154"/>
      <c r="AH122" s="616"/>
      <c r="AI122" s="378">
        <f t="shared" ref="AI122:AL127" si="231">AC122</f>
        <v>10.166666666666666</v>
      </c>
      <c r="AJ122" s="394">
        <f t="shared" si="231"/>
        <v>10.166666666666666</v>
      </c>
      <c r="AK122" s="394">
        <f t="shared" si="231"/>
        <v>10.166666666666666</v>
      </c>
      <c r="AL122" s="395">
        <f t="shared" si="231"/>
        <v>10.166666666666666</v>
      </c>
      <c r="AM122" s="690"/>
      <c r="AN122" s="299"/>
      <c r="AO122" s="2"/>
      <c r="AP122" s="2"/>
      <c r="AQ122" s="2"/>
      <c r="AR122" s="2"/>
      <c r="AS122" s="2"/>
      <c r="AT122" s="2"/>
    </row>
    <row r="123" spans="1:70" outlineLevel="1">
      <c r="A123" s="436" t="s">
        <v>62</v>
      </c>
      <c r="B123" s="2"/>
      <c r="C123" s="2"/>
      <c r="D123" s="1108"/>
      <c r="E123" s="2"/>
      <c r="G123" s="379">
        <f>'MPS др метрики'!E111</f>
        <v>7.7666666666666666</v>
      </c>
      <c r="H123" s="429">
        <f t="shared" si="227"/>
        <v>7.7666666666666666</v>
      </c>
      <c r="I123" s="429">
        <f t="shared" si="227"/>
        <v>7.7666666666666666</v>
      </c>
      <c r="J123" s="429">
        <f t="shared" si="227"/>
        <v>7.7666666666666666</v>
      </c>
      <c r="K123" s="511"/>
      <c r="L123" s="429"/>
      <c r="M123" s="423"/>
      <c r="N123" s="379">
        <f t="shared" si="228"/>
        <v>7.7666666666666666</v>
      </c>
      <c r="O123" s="290">
        <f t="shared" si="228"/>
        <v>7.7666666666666666</v>
      </c>
      <c r="P123" s="290">
        <f t="shared" si="228"/>
        <v>7.7666666666666666</v>
      </c>
      <c r="Q123" s="396">
        <f t="shared" si="228"/>
        <v>7.7666666666666666</v>
      </c>
      <c r="T123" s="379">
        <f t="shared" si="229"/>
        <v>7.7666666666666666</v>
      </c>
      <c r="U123" s="290">
        <f t="shared" si="229"/>
        <v>7.7666666666666666</v>
      </c>
      <c r="V123" s="290">
        <f t="shared" si="229"/>
        <v>7.7666666666666666</v>
      </c>
      <c r="W123" s="396">
        <f t="shared" si="229"/>
        <v>7.7666666666666666</v>
      </c>
      <c r="AB123" s="342"/>
      <c r="AC123" s="379">
        <f t="shared" si="230"/>
        <v>7.7666666666666666</v>
      </c>
      <c r="AD123" s="290">
        <f t="shared" si="230"/>
        <v>7.7666666666666666</v>
      </c>
      <c r="AE123" s="290">
        <f t="shared" si="230"/>
        <v>7.7666666666666666</v>
      </c>
      <c r="AF123" s="396">
        <f t="shared" si="230"/>
        <v>7.7666666666666666</v>
      </c>
      <c r="AG123" s="154"/>
      <c r="AH123" s="616"/>
      <c r="AI123" s="379">
        <f t="shared" si="231"/>
        <v>7.7666666666666666</v>
      </c>
      <c r="AJ123" s="290">
        <f t="shared" si="231"/>
        <v>7.7666666666666666</v>
      </c>
      <c r="AK123" s="290">
        <f t="shared" si="231"/>
        <v>7.7666666666666666</v>
      </c>
      <c r="AL123" s="396">
        <f t="shared" si="231"/>
        <v>7.7666666666666666</v>
      </c>
      <c r="AM123" s="690"/>
      <c r="AN123" s="299"/>
      <c r="AO123" s="2"/>
      <c r="AP123" s="2"/>
      <c r="AQ123" s="2"/>
      <c r="AR123" s="2"/>
      <c r="AS123" s="2"/>
      <c r="AT123" s="2"/>
    </row>
    <row r="124" spans="1:70" outlineLevel="1">
      <c r="A124" s="436" t="s">
        <v>65</v>
      </c>
      <c r="B124" s="2"/>
      <c r="C124" s="2"/>
      <c r="D124" s="1108"/>
      <c r="E124" s="2"/>
      <c r="G124" s="379">
        <f>'MPS др метрики'!E112</f>
        <v>5.7666666666666666</v>
      </c>
      <c r="H124" s="429">
        <f t="shared" si="227"/>
        <v>5.7666666666666666</v>
      </c>
      <c r="I124" s="429">
        <f t="shared" si="227"/>
        <v>5.7666666666666666</v>
      </c>
      <c r="J124" s="429">
        <f t="shared" si="227"/>
        <v>5.7666666666666666</v>
      </c>
      <c r="K124" s="511"/>
      <c r="L124" s="429"/>
      <c r="M124" s="423"/>
      <c r="N124" s="379">
        <f t="shared" si="228"/>
        <v>5.7666666666666666</v>
      </c>
      <c r="O124" s="290">
        <f t="shared" si="228"/>
        <v>5.7666666666666666</v>
      </c>
      <c r="P124" s="290">
        <f t="shared" si="228"/>
        <v>5.7666666666666666</v>
      </c>
      <c r="Q124" s="396">
        <f t="shared" si="228"/>
        <v>5.7666666666666666</v>
      </c>
      <c r="T124" s="379">
        <f t="shared" si="229"/>
        <v>5.7666666666666666</v>
      </c>
      <c r="U124" s="290">
        <f t="shared" si="229"/>
        <v>5.7666666666666666</v>
      </c>
      <c r="V124" s="290">
        <f t="shared" si="229"/>
        <v>5.7666666666666666</v>
      </c>
      <c r="W124" s="396">
        <f t="shared" si="229"/>
        <v>5.7666666666666666</v>
      </c>
      <c r="AB124" s="342"/>
      <c r="AC124" s="379">
        <f t="shared" si="230"/>
        <v>5.7666666666666666</v>
      </c>
      <c r="AD124" s="290">
        <f t="shared" si="230"/>
        <v>5.7666666666666666</v>
      </c>
      <c r="AE124" s="290">
        <f t="shared" si="230"/>
        <v>5.7666666666666666</v>
      </c>
      <c r="AF124" s="396">
        <f t="shared" si="230"/>
        <v>5.7666666666666666</v>
      </c>
      <c r="AG124" s="154"/>
      <c r="AH124" s="616"/>
      <c r="AI124" s="379">
        <f t="shared" si="231"/>
        <v>5.7666666666666666</v>
      </c>
      <c r="AJ124" s="290">
        <f t="shared" si="231"/>
        <v>5.7666666666666666</v>
      </c>
      <c r="AK124" s="290">
        <f t="shared" si="231"/>
        <v>5.7666666666666666</v>
      </c>
      <c r="AL124" s="396">
        <f t="shared" si="231"/>
        <v>5.7666666666666666</v>
      </c>
      <c r="AM124" s="690"/>
      <c r="AN124" s="299"/>
      <c r="AO124" s="2"/>
      <c r="AP124" s="2"/>
      <c r="AQ124" s="2"/>
      <c r="AR124" s="2"/>
      <c r="AS124" s="2"/>
      <c r="AT124" s="2"/>
    </row>
    <row r="125" spans="1:70" outlineLevel="1">
      <c r="A125" s="436" t="s">
        <v>66</v>
      </c>
      <c r="B125" s="2"/>
      <c r="C125" s="2"/>
      <c r="D125" s="1108"/>
      <c r="E125" s="2"/>
      <c r="G125" s="379">
        <f>'MPS др метрики'!E113</f>
        <v>4.9666666666666668</v>
      </c>
      <c r="H125" s="429">
        <f t="shared" si="227"/>
        <v>4.9666666666666668</v>
      </c>
      <c r="I125" s="429">
        <f t="shared" si="227"/>
        <v>4.9666666666666668</v>
      </c>
      <c r="J125" s="429">
        <f t="shared" si="227"/>
        <v>4.9666666666666668</v>
      </c>
      <c r="K125" s="511"/>
      <c r="L125" s="429"/>
      <c r="M125" s="423"/>
      <c r="N125" s="379">
        <f t="shared" si="228"/>
        <v>4.9666666666666668</v>
      </c>
      <c r="O125" s="290">
        <f t="shared" si="228"/>
        <v>4.9666666666666668</v>
      </c>
      <c r="P125" s="290">
        <f t="shared" si="228"/>
        <v>4.9666666666666668</v>
      </c>
      <c r="Q125" s="396">
        <f t="shared" si="228"/>
        <v>4.9666666666666668</v>
      </c>
      <c r="T125" s="379">
        <f t="shared" si="229"/>
        <v>4.9666666666666668</v>
      </c>
      <c r="U125" s="290">
        <f t="shared" si="229"/>
        <v>4.9666666666666668</v>
      </c>
      <c r="V125" s="290">
        <f t="shared" si="229"/>
        <v>4.9666666666666668</v>
      </c>
      <c r="W125" s="396">
        <f t="shared" si="229"/>
        <v>4.9666666666666668</v>
      </c>
      <c r="AB125" s="342"/>
      <c r="AC125" s="379">
        <f t="shared" si="230"/>
        <v>4.9666666666666668</v>
      </c>
      <c r="AD125" s="290">
        <f t="shared" si="230"/>
        <v>4.9666666666666668</v>
      </c>
      <c r="AE125" s="290">
        <f t="shared" si="230"/>
        <v>4.9666666666666668</v>
      </c>
      <c r="AF125" s="396">
        <f t="shared" si="230"/>
        <v>4.9666666666666668</v>
      </c>
      <c r="AG125" s="154"/>
      <c r="AH125" s="616"/>
      <c r="AI125" s="379">
        <f t="shared" si="231"/>
        <v>4.9666666666666668</v>
      </c>
      <c r="AJ125" s="290">
        <f t="shared" si="231"/>
        <v>4.9666666666666668</v>
      </c>
      <c r="AK125" s="290">
        <f t="shared" si="231"/>
        <v>4.9666666666666668</v>
      </c>
      <c r="AL125" s="396">
        <f t="shared" si="231"/>
        <v>4.9666666666666668</v>
      </c>
      <c r="AM125" s="690"/>
      <c r="AN125" s="299"/>
      <c r="AO125" s="2"/>
      <c r="AP125" s="2"/>
      <c r="AQ125" s="2"/>
      <c r="AR125" s="2"/>
      <c r="AS125" s="2"/>
      <c r="AT125" s="2"/>
    </row>
    <row r="126" spans="1:70" outlineLevel="1">
      <c r="A126" s="436" t="s">
        <v>328</v>
      </c>
      <c r="B126" s="2"/>
      <c r="C126" s="2"/>
      <c r="D126" s="1108"/>
      <c r="E126" s="2"/>
      <c r="G126" s="379">
        <f>'MPS др метрики'!E114</f>
        <v>4.3</v>
      </c>
      <c r="H126" s="429">
        <f t="shared" si="227"/>
        <v>4.3</v>
      </c>
      <c r="I126" s="429">
        <f t="shared" si="227"/>
        <v>4.3</v>
      </c>
      <c r="J126" s="429">
        <f t="shared" si="227"/>
        <v>4.3</v>
      </c>
      <c r="K126" s="511"/>
      <c r="L126" s="429"/>
      <c r="M126" s="423"/>
      <c r="N126" s="379">
        <f t="shared" si="228"/>
        <v>4.3</v>
      </c>
      <c r="O126" s="290">
        <f t="shared" si="228"/>
        <v>4.3</v>
      </c>
      <c r="P126" s="290">
        <f t="shared" si="228"/>
        <v>4.3</v>
      </c>
      <c r="Q126" s="396">
        <f t="shared" si="228"/>
        <v>4.3</v>
      </c>
      <c r="T126" s="379">
        <f t="shared" si="229"/>
        <v>4.3</v>
      </c>
      <c r="U126" s="290">
        <f t="shared" si="229"/>
        <v>4.3</v>
      </c>
      <c r="V126" s="290">
        <f t="shared" si="229"/>
        <v>4.3</v>
      </c>
      <c r="W126" s="396">
        <f t="shared" si="229"/>
        <v>4.3</v>
      </c>
      <c r="AB126" s="342"/>
      <c r="AC126" s="379">
        <f t="shared" si="230"/>
        <v>4.3</v>
      </c>
      <c r="AD126" s="290">
        <f t="shared" si="230"/>
        <v>4.3</v>
      </c>
      <c r="AE126" s="290">
        <f t="shared" si="230"/>
        <v>4.3</v>
      </c>
      <c r="AF126" s="396">
        <f t="shared" si="230"/>
        <v>4.3</v>
      </c>
      <c r="AG126" s="154"/>
      <c r="AH126" s="616"/>
      <c r="AI126" s="379">
        <f t="shared" si="231"/>
        <v>4.3</v>
      </c>
      <c r="AJ126" s="290">
        <f t="shared" si="231"/>
        <v>4.3</v>
      </c>
      <c r="AK126" s="290">
        <f t="shared" si="231"/>
        <v>4.3</v>
      </c>
      <c r="AL126" s="396">
        <f t="shared" si="231"/>
        <v>4.3</v>
      </c>
      <c r="AM126" s="690"/>
      <c r="AN126" s="299"/>
      <c r="AO126" s="2"/>
      <c r="AP126" s="2"/>
      <c r="AQ126" s="2"/>
      <c r="AR126" s="2"/>
      <c r="AS126" s="2"/>
      <c r="AT126" s="2"/>
    </row>
    <row r="127" spans="1:70" outlineLevel="1">
      <c r="A127" s="1090" t="s">
        <v>329</v>
      </c>
      <c r="B127" s="2"/>
      <c r="C127" s="2"/>
      <c r="D127" s="1108"/>
      <c r="E127" s="2"/>
      <c r="G127" s="380">
        <f>'MPS др метрики'!E115</f>
        <v>3.2333333333333334</v>
      </c>
      <c r="H127" s="434">
        <f t="shared" si="227"/>
        <v>3.2333333333333334</v>
      </c>
      <c r="I127" s="434">
        <f t="shared" si="227"/>
        <v>3.2333333333333334</v>
      </c>
      <c r="J127" s="434">
        <f t="shared" si="227"/>
        <v>3.2333333333333334</v>
      </c>
      <c r="K127" s="511"/>
      <c r="L127" s="429"/>
      <c r="M127" s="423"/>
      <c r="N127" s="380">
        <f t="shared" si="228"/>
        <v>3.2333333333333334</v>
      </c>
      <c r="O127" s="397">
        <f t="shared" si="228"/>
        <v>3.2333333333333334</v>
      </c>
      <c r="P127" s="397">
        <f t="shared" si="228"/>
        <v>3.2333333333333334</v>
      </c>
      <c r="Q127" s="398">
        <f t="shared" si="228"/>
        <v>3.2333333333333334</v>
      </c>
      <c r="T127" s="380">
        <f t="shared" si="229"/>
        <v>3.2333333333333334</v>
      </c>
      <c r="U127" s="397">
        <f t="shared" si="229"/>
        <v>3.2333333333333334</v>
      </c>
      <c r="V127" s="397">
        <f t="shared" si="229"/>
        <v>3.2333333333333334</v>
      </c>
      <c r="W127" s="398">
        <f t="shared" si="229"/>
        <v>3.2333333333333334</v>
      </c>
      <c r="AB127" s="342"/>
      <c r="AC127" s="380">
        <f t="shared" si="230"/>
        <v>3.2333333333333334</v>
      </c>
      <c r="AD127" s="397">
        <f t="shared" si="230"/>
        <v>3.2333333333333334</v>
      </c>
      <c r="AE127" s="397">
        <f t="shared" si="230"/>
        <v>3.2333333333333334</v>
      </c>
      <c r="AF127" s="398">
        <f t="shared" si="230"/>
        <v>3.2333333333333334</v>
      </c>
      <c r="AG127" s="154"/>
      <c r="AH127" s="616"/>
      <c r="AI127" s="380">
        <f t="shared" si="231"/>
        <v>3.2333333333333334</v>
      </c>
      <c r="AJ127" s="397">
        <f t="shared" si="231"/>
        <v>3.2333333333333334</v>
      </c>
      <c r="AK127" s="397">
        <f t="shared" si="231"/>
        <v>3.2333333333333334</v>
      </c>
      <c r="AL127" s="398">
        <f t="shared" si="231"/>
        <v>3.2333333333333334</v>
      </c>
      <c r="AM127" s="690"/>
      <c r="AN127" s="299"/>
      <c r="AO127" s="2"/>
      <c r="AP127" s="2"/>
      <c r="AQ127" s="2"/>
      <c r="AR127" s="2"/>
      <c r="AS127" s="2"/>
      <c r="AT127" s="2"/>
    </row>
    <row r="128" spans="1:70" outlineLevel="1">
      <c r="A128" s="436"/>
      <c r="B128" s="2"/>
      <c r="C128" s="2"/>
      <c r="D128" s="1108"/>
      <c r="E128" s="2"/>
      <c r="G128" s="169"/>
      <c r="H128" s="169"/>
      <c r="I128" s="169"/>
      <c r="J128" s="169"/>
      <c r="K128" s="407"/>
      <c r="L128" s="169"/>
      <c r="M128" s="423"/>
      <c r="N128" s="169"/>
      <c r="O128" s="169"/>
      <c r="P128" s="169"/>
      <c r="Q128" s="169"/>
      <c r="T128" s="169"/>
      <c r="U128" s="169"/>
      <c r="V128" s="169"/>
      <c r="W128" s="169"/>
      <c r="AB128" s="342"/>
      <c r="AC128" s="154"/>
      <c r="AD128" s="154"/>
      <c r="AE128" s="154"/>
      <c r="AF128" s="154"/>
      <c r="AG128" s="154"/>
      <c r="AH128" s="616"/>
      <c r="AI128" s="154"/>
      <c r="AJ128" s="154"/>
      <c r="AK128" s="154"/>
      <c r="AL128" s="154"/>
      <c r="AM128" s="690"/>
      <c r="AN128" s="299"/>
      <c r="AO128" s="2"/>
      <c r="AP128" s="2"/>
      <c r="AQ128" s="2"/>
      <c r="AR128" s="2"/>
      <c r="AS128" s="2"/>
      <c r="AT128" s="2"/>
    </row>
    <row r="129" spans="1:70" outlineLevel="1">
      <c r="A129" s="436"/>
      <c r="B129" s="2"/>
      <c r="C129" s="2"/>
      <c r="D129" s="1108"/>
      <c r="E129" s="2"/>
      <c r="G129" s="169"/>
      <c r="AO129" s="2"/>
      <c r="AP129" s="2"/>
      <c r="AQ129" s="2"/>
      <c r="AR129" s="2"/>
      <c r="AS129" s="2"/>
      <c r="AT129" s="2"/>
    </row>
    <row r="130" spans="1:70" s="418" customFormat="1" ht="20" outlineLevel="1">
      <c r="A130" s="1087" t="s">
        <v>349</v>
      </c>
      <c r="B130" s="417"/>
      <c r="C130" s="417"/>
      <c r="D130" s="1116"/>
      <c r="E130" s="417"/>
      <c r="G130" s="419"/>
      <c r="H130" s="420"/>
      <c r="I130" s="420"/>
      <c r="J130" s="420"/>
      <c r="K130" s="500"/>
      <c r="L130" s="420"/>
      <c r="N130" s="421"/>
      <c r="O130" s="421"/>
      <c r="P130" s="421"/>
      <c r="Q130" s="421"/>
      <c r="R130" s="531"/>
      <c r="S130" s="421"/>
      <c r="T130" s="420"/>
      <c r="U130" s="420"/>
      <c r="V130" s="420"/>
      <c r="W130" s="420"/>
      <c r="X130" s="420"/>
      <c r="Y130" s="559"/>
      <c r="Z130" s="420"/>
      <c r="AA130" s="420"/>
      <c r="AB130" s="559"/>
      <c r="AC130" s="420"/>
      <c r="AD130" s="420"/>
      <c r="AE130" s="420"/>
      <c r="AF130" s="420"/>
      <c r="AG130" s="420"/>
      <c r="AH130" s="828"/>
      <c r="AI130" s="420"/>
      <c r="AJ130" s="420"/>
      <c r="AK130" s="420"/>
      <c r="AL130" s="420"/>
      <c r="AM130" s="829"/>
      <c r="AN130" s="500"/>
      <c r="AO130" s="417"/>
      <c r="AP130" s="417"/>
      <c r="AQ130" s="417"/>
      <c r="AR130" s="417"/>
      <c r="AS130" s="417"/>
      <c r="AT130" s="417"/>
      <c r="AU130" s="421"/>
      <c r="AV130" s="421"/>
      <c r="AW130" s="421"/>
      <c r="AX130" s="421"/>
      <c r="AY130" s="421"/>
      <c r="AZ130" s="421"/>
      <c r="BG130" s="421"/>
      <c r="BH130" s="421"/>
      <c r="BI130" s="421"/>
      <c r="BJ130" s="421"/>
      <c r="BK130" s="421"/>
      <c r="BL130" s="421"/>
      <c r="BM130" s="421"/>
      <c r="BN130" s="421"/>
      <c r="BO130" s="421"/>
      <c r="BP130" s="421"/>
      <c r="BQ130" s="421"/>
      <c r="BR130" s="421"/>
    </row>
    <row r="131" spans="1:70" ht="20" outlineLevel="1">
      <c r="A131" s="87" t="s">
        <v>350</v>
      </c>
      <c r="F131" s="735"/>
      <c r="G131" s="169">
        <v>60000</v>
      </c>
      <c r="H131" s="169">
        <f>G131</f>
        <v>60000</v>
      </c>
      <c r="I131" s="169">
        <f t="shared" ref="I131:J133" si="232">H131</f>
        <v>60000</v>
      </c>
      <c r="J131" s="169">
        <f t="shared" si="232"/>
        <v>60000</v>
      </c>
      <c r="K131" s="407"/>
      <c r="L131" s="169"/>
      <c r="N131" s="169">
        <f t="shared" ref="N131:Q132" si="233">G131</f>
        <v>60000</v>
      </c>
      <c r="O131" s="169">
        <f t="shared" si="233"/>
        <v>60000</v>
      </c>
      <c r="P131" s="169">
        <f t="shared" si="233"/>
        <v>60000</v>
      </c>
      <c r="Q131" s="169">
        <f t="shared" si="233"/>
        <v>60000</v>
      </c>
      <c r="R131" s="407"/>
      <c r="S131" s="794"/>
      <c r="T131" s="169">
        <f t="shared" ref="T131:W132" si="234">N131</f>
        <v>60000</v>
      </c>
      <c r="U131" s="169">
        <f t="shared" si="234"/>
        <v>60000</v>
      </c>
      <c r="V131" s="169">
        <f t="shared" si="234"/>
        <v>60000</v>
      </c>
      <c r="W131" s="169">
        <f t="shared" si="234"/>
        <v>60000</v>
      </c>
      <c r="AB131" s="552"/>
      <c r="AC131" s="169">
        <f t="shared" ref="AC131:AF132" si="235">T131</f>
        <v>60000</v>
      </c>
      <c r="AD131" s="169">
        <f t="shared" si="235"/>
        <v>60000</v>
      </c>
      <c r="AE131" s="169">
        <f t="shared" si="235"/>
        <v>60000</v>
      </c>
      <c r="AF131" s="169">
        <f t="shared" si="235"/>
        <v>60000</v>
      </c>
      <c r="AH131" s="841"/>
      <c r="AI131" s="169">
        <f>AC131</f>
        <v>60000</v>
      </c>
      <c r="AJ131" s="169">
        <f t="shared" ref="AJ131:AL132" si="236">AD131</f>
        <v>60000</v>
      </c>
      <c r="AK131" s="169">
        <f t="shared" si="236"/>
        <v>60000</v>
      </c>
      <c r="AL131" s="169">
        <f t="shared" si="236"/>
        <v>60000</v>
      </c>
      <c r="AO131" s="13"/>
      <c r="AP131" s="13"/>
      <c r="AQ131" s="13"/>
      <c r="AR131" s="13"/>
      <c r="AS131" s="13"/>
      <c r="AT131" s="13"/>
    </row>
    <row r="132" spans="1:70" ht="20" outlineLevel="1">
      <c r="A132" s="87" t="s">
        <v>351</v>
      </c>
      <c r="F132" s="735"/>
      <c r="G132" s="169">
        <v>40000</v>
      </c>
      <c r="H132" s="169">
        <f>G132</f>
        <v>40000</v>
      </c>
      <c r="I132" s="169">
        <f t="shared" si="232"/>
        <v>40000</v>
      </c>
      <c r="J132" s="169">
        <f t="shared" si="232"/>
        <v>40000</v>
      </c>
      <c r="K132" s="407"/>
      <c r="L132" s="169"/>
      <c r="N132" s="169">
        <f t="shared" si="233"/>
        <v>40000</v>
      </c>
      <c r="O132" s="169">
        <f t="shared" si="233"/>
        <v>40000</v>
      </c>
      <c r="P132" s="169">
        <f t="shared" si="233"/>
        <v>40000</v>
      </c>
      <c r="Q132" s="169">
        <f t="shared" si="233"/>
        <v>40000</v>
      </c>
      <c r="R132" s="407"/>
      <c r="S132" s="794"/>
      <c r="T132" s="169">
        <f t="shared" si="234"/>
        <v>40000</v>
      </c>
      <c r="U132" s="169">
        <f t="shared" si="234"/>
        <v>40000</v>
      </c>
      <c r="V132" s="169">
        <f t="shared" si="234"/>
        <v>40000</v>
      </c>
      <c r="W132" s="169">
        <f t="shared" si="234"/>
        <v>40000</v>
      </c>
      <c r="AB132" s="552"/>
      <c r="AC132" s="169">
        <f t="shared" si="235"/>
        <v>40000</v>
      </c>
      <c r="AD132" s="169">
        <f t="shared" si="235"/>
        <v>40000</v>
      </c>
      <c r="AE132" s="169">
        <f t="shared" si="235"/>
        <v>40000</v>
      </c>
      <c r="AF132" s="169">
        <f t="shared" si="235"/>
        <v>40000</v>
      </c>
      <c r="AH132" s="841"/>
      <c r="AI132" s="169">
        <f>AC132</f>
        <v>40000</v>
      </c>
      <c r="AJ132" s="169">
        <f t="shared" si="236"/>
        <v>40000</v>
      </c>
      <c r="AK132" s="169">
        <f t="shared" si="236"/>
        <v>40000</v>
      </c>
      <c r="AL132" s="169">
        <f t="shared" si="236"/>
        <v>40000</v>
      </c>
      <c r="AO132" s="13"/>
      <c r="AP132" s="13"/>
      <c r="AQ132" s="13"/>
      <c r="AR132" s="13"/>
      <c r="AS132" s="13"/>
      <c r="AT132" s="13"/>
    </row>
    <row r="133" spans="1:70" s="425" customFormat="1" ht="40" outlineLevel="1">
      <c r="A133" s="529" t="s">
        <v>352</v>
      </c>
      <c r="B133" s="43"/>
      <c r="C133" s="43"/>
      <c r="D133" s="1121"/>
      <c r="E133" s="43"/>
      <c r="F133" s="736"/>
      <c r="G133" s="354">
        <v>0</v>
      </c>
      <c r="H133" s="354">
        <f>G133</f>
        <v>0</v>
      </c>
      <c r="I133" s="354">
        <f>I132</f>
        <v>40000</v>
      </c>
      <c r="J133" s="354">
        <f t="shared" si="232"/>
        <v>40000</v>
      </c>
      <c r="K133" s="515"/>
      <c r="L133" s="354"/>
      <c r="N133" s="422">
        <f>N132+N134</f>
        <v>48000</v>
      </c>
      <c r="O133" s="422">
        <f t="shared" ref="O133:Q133" si="237">O132+O134</f>
        <v>48000</v>
      </c>
      <c r="P133" s="422">
        <f t="shared" si="237"/>
        <v>48000</v>
      </c>
      <c r="Q133" s="422">
        <f t="shared" si="237"/>
        <v>48000</v>
      </c>
      <c r="R133" s="515"/>
      <c r="S133" s="360"/>
      <c r="T133" s="354">
        <f>N133</f>
        <v>48000</v>
      </c>
      <c r="U133" s="354">
        <f>T133</f>
        <v>48000</v>
      </c>
      <c r="V133" s="354">
        <f t="shared" ref="V133:W134" si="238">U133</f>
        <v>48000</v>
      </c>
      <c r="W133" s="354">
        <f t="shared" si="238"/>
        <v>48000</v>
      </c>
      <c r="X133" s="43"/>
      <c r="Y133" s="529"/>
      <c r="Z133" s="43"/>
      <c r="AA133" s="43"/>
      <c r="AB133" s="540"/>
      <c r="AC133" s="354">
        <f>T133</f>
        <v>48000</v>
      </c>
      <c r="AD133" s="354">
        <f>AC133</f>
        <v>48000</v>
      </c>
      <c r="AE133" s="354">
        <f t="shared" ref="AE133:AF134" si="239">AD133</f>
        <v>48000</v>
      </c>
      <c r="AF133" s="354">
        <f t="shared" si="239"/>
        <v>48000</v>
      </c>
      <c r="AG133" s="43"/>
      <c r="AH133" s="842"/>
      <c r="AI133" s="354">
        <f>AC133</f>
        <v>48000</v>
      </c>
      <c r="AJ133" s="354">
        <f>AI133</f>
        <v>48000</v>
      </c>
      <c r="AK133" s="354">
        <f t="shared" ref="AK133:AL134" si="240">AJ133</f>
        <v>48000</v>
      </c>
      <c r="AL133" s="354">
        <f t="shared" si="240"/>
        <v>48000</v>
      </c>
      <c r="AM133" s="834"/>
      <c r="AN133" s="503"/>
      <c r="AO133" s="355"/>
      <c r="AP133" s="355"/>
      <c r="AQ133" s="355"/>
      <c r="AR133" s="355"/>
      <c r="AS133" s="355"/>
      <c r="AT133" s="355"/>
      <c r="AU133" s="43"/>
      <c r="AV133" s="43"/>
      <c r="AW133" s="43"/>
      <c r="AX133" s="43"/>
      <c r="AY133" s="43"/>
      <c r="AZ133" s="43"/>
      <c r="BG133" s="43"/>
      <c r="BH133" s="43"/>
      <c r="BI133" s="43"/>
      <c r="BJ133" s="43"/>
      <c r="BK133" s="43"/>
      <c r="BL133" s="43"/>
      <c r="BM133" s="43"/>
      <c r="BN133" s="43"/>
      <c r="BO133" s="43"/>
      <c r="BP133" s="43"/>
      <c r="BQ133" s="43"/>
      <c r="BR133" s="43"/>
    </row>
    <row r="134" spans="1:70" ht="40" outlineLevel="1">
      <c r="F134" s="735"/>
      <c r="G134" s="169"/>
      <c r="H134" s="169"/>
      <c r="I134" s="169"/>
      <c r="J134" s="169"/>
      <c r="K134" s="407"/>
      <c r="L134" s="169"/>
      <c r="M134" s="1053" t="s">
        <v>366</v>
      </c>
      <c r="N134" s="345">
        <f>N132*N135-N132</f>
        <v>8000</v>
      </c>
      <c r="O134" s="345">
        <f>N134</f>
        <v>8000</v>
      </c>
      <c r="P134" s="345">
        <f t="shared" ref="P134:Q135" si="241">O134</f>
        <v>8000</v>
      </c>
      <c r="Q134" s="345">
        <f t="shared" si="241"/>
        <v>8000</v>
      </c>
      <c r="R134" s="407"/>
      <c r="S134" s="1059" t="s">
        <v>353</v>
      </c>
      <c r="T134" s="345">
        <f>N134</f>
        <v>8000</v>
      </c>
      <c r="U134" s="345">
        <f>T134</f>
        <v>8000</v>
      </c>
      <c r="V134" s="345">
        <f t="shared" si="238"/>
        <v>8000</v>
      </c>
      <c r="W134" s="345">
        <f t="shared" si="238"/>
        <v>8000</v>
      </c>
      <c r="AB134" s="553" t="s">
        <v>353</v>
      </c>
      <c r="AC134" s="345">
        <f>T134</f>
        <v>8000</v>
      </c>
      <c r="AD134" s="345">
        <f>AC134</f>
        <v>8000</v>
      </c>
      <c r="AE134" s="345">
        <f t="shared" si="239"/>
        <v>8000</v>
      </c>
      <c r="AF134" s="345">
        <f t="shared" si="239"/>
        <v>8000</v>
      </c>
      <c r="AH134" s="843" t="s">
        <v>353</v>
      </c>
      <c r="AI134" s="345">
        <f>AC134</f>
        <v>8000</v>
      </c>
      <c r="AJ134" s="345">
        <f>AI134</f>
        <v>8000</v>
      </c>
      <c r="AK134" s="345">
        <f t="shared" si="240"/>
        <v>8000</v>
      </c>
      <c r="AL134" s="345">
        <f t="shared" si="240"/>
        <v>8000</v>
      </c>
      <c r="AO134" s="13"/>
      <c r="AP134" s="13"/>
      <c r="AQ134" s="13"/>
      <c r="AR134" s="13"/>
      <c r="AS134" s="13"/>
      <c r="AT134" s="13"/>
    </row>
    <row r="135" spans="1:70" outlineLevel="1">
      <c r="G135" s="2"/>
      <c r="H135" s="2"/>
      <c r="I135" s="2"/>
      <c r="J135" s="2"/>
      <c r="M135" s="450"/>
      <c r="N135" s="490">
        <v>1.2</v>
      </c>
      <c r="O135" s="490">
        <f>N135</f>
        <v>1.2</v>
      </c>
      <c r="P135" s="490">
        <f t="shared" si="241"/>
        <v>1.2</v>
      </c>
      <c r="Q135" s="490">
        <f t="shared" si="241"/>
        <v>1.2</v>
      </c>
      <c r="S135" s="450"/>
      <c r="T135" s="490">
        <f>N135</f>
        <v>1.2</v>
      </c>
      <c r="U135" s="490">
        <f>O135</f>
        <v>1.2</v>
      </c>
      <c r="V135" s="490">
        <f>P135</f>
        <v>1.2</v>
      </c>
      <c r="W135" s="449">
        <f>Q135</f>
        <v>1.2</v>
      </c>
      <c r="AB135" s="537"/>
      <c r="AC135" s="490">
        <f>T135</f>
        <v>1.2</v>
      </c>
      <c r="AD135" s="490">
        <f>U135</f>
        <v>1.2</v>
      </c>
      <c r="AE135" s="490">
        <f>V135</f>
        <v>1.2</v>
      </c>
      <c r="AF135" s="449">
        <f>W135</f>
        <v>1.2</v>
      </c>
      <c r="AH135" s="844"/>
      <c r="AI135" s="490">
        <f>AC135</f>
        <v>1.2</v>
      </c>
      <c r="AJ135" s="490">
        <f t="shared" ref="AJ135:AL135" si="242">AD135</f>
        <v>1.2</v>
      </c>
      <c r="AK135" s="490">
        <f t="shared" si="242"/>
        <v>1.2</v>
      </c>
      <c r="AL135" s="449">
        <f t="shared" si="242"/>
        <v>1.2</v>
      </c>
    </row>
    <row r="136" spans="1:70" outlineLevel="1">
      <c r="G136" s="2"/>
      <c r="N136" s="344" t="s">
        <v>365</v>
      </c>
      <c r="S136" s="450"/>
      <c r="T136" s="451" t="s">
        <v>354</v>
      </c>
      <c r="U136" s="450"/>
      <c r="V136" s="450"/>
      <c r="W136" s="450"/>
      <c r="AB136" s="537"/>
      <c r="AC136" s="451" t="s">
        <v>354</v>
      </c>
      <c r="AD136" s="450"/>
      <c r="AE136" s="450"/>
      <c r="AF136" s="450"/>
      <c r="AH136" s="844"/>
      <c r="AI136" s="451" t="s">
        <v>354</v>
      </c>
      <c r="AJ136" s="450"/>
      <c r="AK136" s="450"/>
      <c r="AL136" s="450"/>
    </row>
    <row r="137" spans="1:70" outlineLevel="1">
      <c r="G137" s="2"/>
      <c r="N137" s="423"/>
      <c r="Q137" s="139"/>
    </row>
    <row r="138" spans="1:70" s="418" customFormat="1" ht="20" outlineLevel="1">
      <c r="A138" s="1087" t="s">
        <v>335</v>
      </c>
      <c r="B138" s="417"/>
      <c r="C138" s="417"/>
      <c r="D138" s="1116"/>
      <c r="E138" s="417"/>
      <c r="G138" s="419"/>
      <c r="H138" s="420"/>
      <c r="I138" s="420"/>
      <c r="J138" s="420"/>
      <c r="K138" s="500"/>
      <c r="L138" s="420"/>
      <c r="M138" s="421"/>
      <c r="N138" s="421"/>
      <c r="O138" s="421"/>
      <c r="P138" s="421"/>
      <c r="Q138" s="421"/>
      <c r="R138" s="531"/>
      <c r="S138" s="421"/>
      <c r="T138" s="465"/>
      <c r="U138" s="420"/>
      <c r="V138" s="420"/>
      <c r="W138" s="420"/>
      <c r="X138" s="420"/>
      <c r="Y138" s="559"/>
      <c r="Z138" s="420"/>
      <c r="AA138" s="420"/>
      <c r="AB138" s="559"/>
      <c r="AC138" s="420"/>
      <c r="AD138" s="420"/>
      <c r="AE138" s="420"/>
      <c r="AF138" s="420"/>
      <c r="AG138" s="420"/>
      <c r="AH138" s="828"/>
      <c r="AI138" s="420"/>
      <c r="AJ138" s="420"/>
      <c r="AK138" s="420"/>
      <c r="AL138" s="420"/>
      <c r="AM138" s="829"/>
      <c r="AN138" s="500"/>
      <c r="AO138" s="417"/>
      <c r="AP138" s="417"/>
      <c r="AQ138" s="417"/>
      <c r="AR138" s="417"/>
      <c r="AS138" s="417"/>
      <c r="AT138" s="417"/>
      <c r="AU138" s="421"/>
      <c r="AV138" s="421"/>
      <c r="AW138" s="421"/>
      <c r="AX138" s="421"/>
      <c r="AY138" s="421"/>
      <c r="AZ138" s="421"/>
      <c r="BG138" s="421"/>
      <c r="BH138" s="421"/>
      <c r="BI138" s="421"/>
      <c r="BJ138" s="421"/>
      <c r="BK138" s="421"/>
      <c r="BL138" s="421"/>
      <c r="BM138" s="421"/>
      <c r="BN138" s="421"/>
      <c r="BO138" s="421"/>
      <c r="BP138" s="421"/>
      <c r="BQ138" s="421"/>
      <c r="BR138" s="421"/>
    </row>
    <row r="139" spans="1:70" s="446" customFormat="1" ht="20" outlineLevel="1">
      <c r="A139" s="565" t="s">
        <v>358</v>
      </c>
      <c r="B139" s="383"/>
      <c r="C139" s="383"/>
      <c r="D139" s="1122"/>
      <c r="E139" s="383"/>
      <c r="G139" s="820"/>
      <c r="H139" s="820"/>
      <c r="I139" s="820"/>
      <c r="J139" s="820"/>
      <c r="K139" s="523"/>
      <c r="L139" s="383"/>
      <c r="M139" s="445"/>
      <c r="N139" s="821">
        <f>G139</f>
        <v>0</v>
      </c>
      <c r="O139" s="821">
        <f>N139</f>
        <v>0</v>
      </c>
      <c r="P139" s="821">
        <f t="shared" ref="P139:Q139" si="243">O139</f>
        <v>0</v>
      </c>
      <c r="Q139" s="821">
        <f t="shared" si="243"/>
        <v>0</v>
      </c>
      <c r="R139" s="547"/>
      <c r="S139" s="385"/>
      <c r="T139" s="822">
        <f>T140+T141</f>
        <v>1825.8870762882507</v>
      </c>
      <c r="U139" s="822">
        <f>U140+U141</f>
        <v>1825.8870762882507</v>
      </c>
      <c r="V139" s="822">
        <f>V140+V141</f>
        <v>1825.8870762882507</v>
      </c>
      <c r="W139" s="822">
        <f>W140+W141</f>
        <v>1825.8870762882507</v>
      </c>
      <c r="X139" s="821"/>
      <c r="Y139" s="1078"/>
      <c r="Z139" s="821"/>
      <c r="AA139" s="821"/>
      <c r="AB139" s="565"/>
      <c r="AC139" s="822"/>
      <c r="AD139" s="822"/>
      <c r="AE139" s="822"/>
      <c r="AF139" s="822"/>
      <c r="AG139" s="821"/>
      <c r="AH139" s="845"/>
      <c r="AI139" s="821"/>
      <c r="AJ139" s="821"/>
      <c r="AK139" s="821"/>
      <c r="AL139" s="821"/>
      <c r="AM139" s="846"/>
      <c r="AN139" s="523"/>
      <c r="AO139" s="383"/>
      <c r="AP139" s="383"/>
      <c r="AQ139" s="383"/>
      <c r="AR139" s="383"/>
      <c r="AS139" s="383"/>
      <c r="AT139" s="383"/>
      <c r="AU139" s="385"/>
      <c r="AV139" s="385"/>
      <c r="AW139" s="385"/>
      <c r="AX139" s="385"/>
      <c r="AY139" s="385"/>
      <c r="AZ139" s="385"/>
      <c r="BG139" s="445" t="s">
        <v>141</v>
      </c>
      <c r="BH139" s="385"/>
      <c r="BI139" s="385"/>
      <c r="BJ139" s="385"/>
      <c r="BK139" s="385"/>
      <c r="BL139" s="385"/>
      <c r="BM139" s="385" t="s">
        <v>33</v>
      </c>
      <c r="BN139" s="385"/>
      <c r="BO139" s="385"/>
      <c r="BP139" s="385"/>
      <c r="BQ139" s="385"/>
      <c r="BR139" s="385"/>
    </row>
    <row r="140" spans="1:70" ht="20" outlineLevel="1">
      <c r="A140" s="1092" t="s">
        <v>481</v>
      </c>
      <c r="B140" s="948"/>
      <c r="C140" s="948"/>
      <c r="D140" s="1123"/>
      <c r="E140" s="948"/>
      <c r="F140" s="423"/>
      <c r="G140" s="169">
        <f>G165</f>
        <v>13400</v>
      </c>
      <c r="H140" s="169">
        <f>G140</f>
        <v>13400</v>
      </c>
      <c r="I140" s="169">
        <f t="shared" ref="I140:J140" si="244">H140</f>
        <v>13400</v>
      </c>
      <c r="J140" s="169">
        <f t="shared" si="244"/>
        <v>13400</v>
      </c>
      <c r="K140" s="297"/>
      <c r="L140" s="13"/>
      <c r="M140" s="794"/>
      <c r="N140" s="169">
        <f>G140</f>
        <v>13400</v>
      </c>
      <c r="O140" s="169">
        <f>H140</f>
        <v>13400</v>
      </c>
      <c r="P140" s="169">
        <f>I140</f>
        <v>13400</v>
      </c>
      <c r="Q140" s="169">
        <f>J140</f>
        <v>13400</v>
      </c>
      <c r="T140" s="169">
        <v>0</v>
      </c>
      <c r="U140" s="169">
        <v>0</v>
      </c>
      <c r="V140" s="169">
        <v>0</v>
      </c>
      <c r="W140" s="169">
        <v>0</v>
      </c>
      <c r="X140" s="169">
        <v>0</v>
      </c>
      <c r="Y140" s="1074"/>
      <c r="Z140" s="169"/>
      <c r="AA140" s="169"/>
      <c r="AB140" s="161"/>
      <c r="AC140" s="169">
        <f>T140</f>
        <v>0</v>
      </c>
      <c r="AD140" s="169">
        <f>U140</f>
        <v>0</v>
      </c>
      <c r="AE140" s="169">
        <f>V140</f>
        <v>0</v>
      </c>
      <c r="AF140" s="169">
        <f>W140</f>
        <v>0</v>
      </c>
      <c r="AG140" s="169"/>
      <c r="AH140" s="832"/>
      <c r="AI140" s="169">
        <f>N140</f>
        <v>13400</v>
      </c>
      <c r="AJ140" s="169">
        <f>O140</f>
        <v>13400</v>
      </c>
      <c r="AK140" s="169">
        <f>P140</f>
        <v>13400</v>
      </c>
      <c r="AL140" s="169">
        <f>Q140</f>
        <v>13400</v>
      </c>
      <c r="AM140" s="615"/>
      <c r="AN140" s="297"/>
      <c r="AO140" s="13"/>
      <c r="AP140" s="13"/>
      <c r="AQ140" s="13"/>
      <c r="AR140" s="13"/>
      <c r="AS140" s="13"/>
      <c r="AT140" s="13"/>
      <c r="BG140" s="794"/>
    </row>
    <row r="141" spans="1:70" ht="20" outlineLevel="1">
      <c r="A141" s="1093" t="s">
        <v>507</v>
      </c>
      <c r="B141" s="359"/>
      <c r="C141" s="359"/>
      <c r="D141" s="1124"/>
      <c r="E141" s="359"/>
      <c r="F141" s="423"/>
      <c r="G141" s="427">
        <f>K141</f>
        <v>466.44290049326827</v>
      </c>
      <c r="H141" s="427">
        <f>K141</f>
        <v>466.44290049326827</v>
      </c>
      <c r="I141" s="427">
        <f>K141</f>
        <v>466.44290049326827</v>
      </c>
      <c r="J141" s="427">
        <f>K141</f>
        <v>466.44290049326827</v>
      </c>
      <c r="K141" s="427">
        <f>3000000/K20</f>
        <v>466.44290049326827</v>
      </c>
      <c r="L141" s="427"/>
      <c r="N141" s="427">
        <f>R141</f>
        <v>317.72581259687428</v>
      </c>
      <c r="O141" s="427">
        <f>R141</f>
        <v>317.72581259687428</v>
      </c>
      <c r="P141" s="427">
        <f>R141</f>
        <v>317.72581259687428</v>
      </c>
      <c r="Q141" s="427">
        <f>R141</f>
        <v>317.72581259687428</v>
      </c>
      <c r="R141" s="427">
        <f>3000000/R20</f>
        <v>317.72581259687428</v>
      </c>
      <c r="T141" s="427">
        <f>X141</f>
        <v>1825.8870762882507</v>
      </c>
      <c r="U141" s="427">
        <f>X141</f>
        <v>1825.8870762882507</v>
      </c>
      <c r="V141" s="427">
        <f>X141</f>
        <v>1825.8870762882507</v>
      </c>
      <c r="W141" s="427">
        <f>X141</f>
        <v>1825.8870762882507</v>
      </c>
      <c r="X141" s="427">
        <f>3000000/X20</f>
        <v>1825.8870762882507</v>
      </c>
      <c r="Y141" s="1079"/>
      <c r="Z141" s="427"/>
      <c r="AA141" s="427"/>
      <c r="AB141" s="518"/>
      <c r="AC141" s="427">
        <f>AG141</f>
        <v>1124.426623961434</v>
      </c>
      <c r="AD141" s="427">
        <f>AG141</f>
        <v>1124.426623961434</v>
      </c>
      <c r="AE141" s="427">
        <f>AG141</f>
        <v>1124.426623961434</v>
      </c>
      <c r="AF141" s="427">
        <f>AG141</f>
        <v>1124.426623961434</v>
      </c>
      <c r="AG141" s="427">
        <f>3000000*AG142/AG20</f>
        <v>1124.426623961434</v>
      </c>
      <c r="AH141" s="847"/>
      <c r="AI141" s="427">
        <f>AM141</f>
        <v>1124.4266239614337</v>
      </c>
      <c r="AJ141" s="427">
        <f>AM141</f>
        <v>1124.4266239614337</v>
      </c>
      <c r="AK141" s="427">
        <f>AM141</f>
        <v>1124.4266239614337</v>
      </c>
      <c r="AL141" s="427">
        <f>AM141</f>
        <v>1124.4266239614337</v>
      </c>
      <c r="AM141" s="487">
        <f>3000000*AM142/AM20</f>
        <v>1124.4266239614337</v>
      </c>
      <c r="AN141" s="504"/>
      <c r="AO141" s="423"/>
      <c r="AP141" s="423"/>
      <c r="AQ141" s="423"/>
      <c r="AR141" s="423"/>
      <c r="AS141" s="423"/>
      <c r="AT141" s="423"/>
      <c r="AU141" s="423"/>
      <c r="AV141" s="423"/>
      <c r="AW141" s="423"/>
      <c r="AX141" s="423"/>
      <c r="AY141" s="423"/>
      <c r="AZ141" s="423"/>
      <c r="BG141" s="423"/>
    </row>
    <row r="142" spans="1:70" ht="40" outlineLevel="1">
      <c r="A142" s="161" t="s">
        <v>506</v>
      </c>
      <c r="B142" s="13"/>
      <c r="C142" s="13"/>
      <c r="D142" s="1113"/>
      <c r="E142" s="13"/>
      <c r="F142" s="423"/>
      <c r="G142" s="255">
        <f>G174*4</f>
        <v>84.8</v>
      </c>
      <c r="H142" s="255">
        <f>G142</f>
        <v>84.8</v>
      </c>
      <c r="I142" s="255">
        <f>H142</f>
        <v>84.8</v>
      </c>
      <c r="J142" s="255">
        <f>I142</f>
        <v>84.8</v>
      </c>
      <c r="K142" s="407"/>
      <c r="L142" s="169"/>
      <c r="N142" s="255">
        <f>G142</f>
        <v>84.8</v>
      </c>
      <c r="O142" s="1283">
        <f>N142</f>
        <v>84.8</v>
      </c>
      <c r="P142" s="1283">
        <f t="shared" ref="P142:Q142" si="245">O142</f>
        <v>84.8</v>
      </c>
      <c r="Q142" s="1283">
        <f t="shared" si="245"/>
        <v>84.8</v>
      </c>
      <c r="T142" s="255">
        <f>N142</f>
        <v>84.8</v>
      </c>
      <c r="U142" s="1283">
        <f>T142</f>
        <v>84.8</v>
      </c>
      <c r="V142" s="1283">
        <f t="shared" ref="V142:W142" si="246">U142</f>
        <v>84.8</v>
      </c>
      <c r="W142" s="1283">
        <f t="shared" si="246"/>
        <v>84.8</v>
      </c>
      <c r="AB142" s="518"/>
      <c r="AC142" s="255">
        <f>T142</f>
        <v>84.8</v>
      </c>
      <c r="AD142" s="1283">
        <f>AC142</f>
        <v>84.8</v>
      </c>
      <c r="AE142" s="1283">
        <f t="shared" ref="AE142:AF142" si="247">AD142</f>
        <v>84.8</v>
      </c>
      <c r="AF142" s="1283">
        <f t="shared" si="247"/>
        <v>84.8</v>
      </c>
      <c r="AG142" s="823">
        <f>AG20/AN20</f>
        <v>0.53489028712359199</v>
      </c>
      <c r="AH142" s="847"/>
      <c r="AI142" s="255">
        <f>AC142</f>
        <v>84.8</v>
      </c>
      <c r="AJ142" s="1283">
        <f>AI142</f>
        <v>84.8</v>
      </c>
      <c r="AK142" s="1283">
        <f t="shared" ref="AK142:AL142" si="248">AJ142</f>
        <v>84.8</v>
      </c>
      <c r="AL142" s="1283">
        <f t="shared" si="248"/>
        <v>84.8</v>
      </c>
      <c r="AM142" s="848">
        <f>100%-AG142</f>
        <v>0.46510971287640801</v>
      </c>
      <c r="AN142" s="504"/>
      <c r="AO142" s="423"/>
      <c r="AP142" s="423"/>
      <c r="AQ142" s="423"/>
      <c r="AR142" s="423"/>
      <c r="AS142" s="423"/>
      <c r="AT142" s="423"/>
      <c r="AU142" s="423"/>
      <c r="AV142" s="423"/>
      <c r="AW142" s="423"/>
      <c r="AX142" s="423"/>
      <c r="AY142" s="423"/>
      <c r="AZ142" s="423"/>
      <c r="BG142" s="423"/>
    </row>
    <row r="143" spans="1:70" s="440" customFormat="1" outlineLevel="1">
      <c r="A143" s="1094"/>
      <c r="B143" s="439"/>
      <c r="C143" s="439"/>
      <c r="D143" s="1125"/>
      <c r="E143" s="439"/>
      <c r="G143" s="441"/>
      <c r="H143" s="442"/>
      <c r="I143" s="442"/>
      <c r="J143" s="442"/>
      <c r="K143" s="520"/>
      <c r="L143" s="442"/>
      <c r="M143" s="443"/>
      <c r="N143" s="443"/>
      <c r="O143" s="443"/>
      <c r="P143" s="443"/>
      <c r="Q143" s="443"/>
      <c r="R143" s="543"/>
      <c r="S143" s="443"/>
      <c r="T143" s="442"/>
      <c r="U143" s="442"/>
      <c r="V143" s="442"/>
      <c r="W143" s="442"/>
      <c r="X143" s="442"/>
      <c r="Y143" s="563"/>
      <c r="Z143" s="442"/>
      <c r="AA143" s="442"/>
      <c r="AB143" s="563"/>
      <c r="AC143" s="442"/>
      <c r="AD143" s="442"/>
      <c r="AE143" s="442"/>
      <c r="AF143" s="442"/>
      <c r="AG143" s="442"/>
      <c r="AH143" s="849"/>
      <c r="AI143" s="442"/>
      <c r="AJ143" s="442"/>
      <c r="AK143" s="442"/>
      <c r="AL143" s="442"/>
      <c r="AM143" s="850"/>
      <c r="AN143" s="520"/>
      <c r="AO143" s="439"/>
      <c r="AP143" s="439"/>
      <c r="AQ143" s="439"/>
      <c r="AR143" s="439"/>
      <c r="AS143" s="439"/>
      <c r="AT143" s="439"/>
      <c r="AU143" s="443"/>
      <c r="AV143" s="443"/>
      <c r="AW143" s="443"/>
      <c r="AX143" s="443"/>
      <c r="AY143" s="443"/>
      <c r="AZ143" s="443"/>
      <c r="BG143" s="443"/>
      <c r="BH143" s="443"/>
      <c r="BI143" s="443"/>
      <c r="BJ143" s="443"/>
      <c r="BK143" s="443"/>
      <c r="BL143" s="443"/>
      <c r="BM143" s="443"/>
      <c r="BN143" s="443"/>
      <c r="BO143" s="443"/>
      <c r="BP143" s="443"/>
      <c r="BQ143" s="443"/>
      <c r="BR143" s="443"/>
    </row>
    <row r="144" spans="1:70" s="781" customFormat="1" ht="20" outlineLevel="1">
      <c r="A144" s="558" t="s">
        <v>361</v>
      </c>
      <c r="B144" s="355"/>
      <c r="C144" s="355"/>
      <c r="D144" s="1115"/>
      <c r="E144" s="355"/>
      <c r="G144" s="354">
        <f>G145</f>
        <v>212</v>
      </c>
      <c r="H144" s="354">
        <f t="shared" ref="H144:H149" si="249">G144</f>
        <v>212</v>
      </c>
      <c r="I144" s="354">
        <f t="shared" ref="I144:J145" si="250">H144</f>
        <v>212</v>
      </c>
      <c r="J144" s="354">
        <f t="shared" si="250"/>
        <v>212</v>
      </c>
      <c r="K144" s="782"/>
      <c r="L144" s="786"/>
      <c r="M144" s="43"/>
      <c r="N144" s="783">
        <f>G144</f>
        <v>212</v>
      </c>
      <c r="O144" s="783">
        <f>H144</f>
        <v>212</v>
      </c>
      <c r="P144" s="783">
        <f>I144</f>
        <v>212</v>
      </c>
      <c r="Q144" s="783">
        <f>J144</f>
        <v>212</v>
      </c>
      <c r="R144" s="784"/>
      <c r="S144" s="789"/>
      <c r="T144" s="783">
        <f>N144</f>
        <v>212</v>
      </c>
      <c r="U144" s="783">
        <f>O144</f>
        <v>212</v>
      </c>
      <c r="V144" s="783">
        <f>P144</f>
        <v>212</v>
      </c>
      <c r="W144" s="783">
        <f>Q144</f>
        <v>212</v>
      </c>
      <c r="X144" s="786"/>
      <c r="Y144" s="787"/>
      <c r="Z144" s="786"/>
      <c r="AA144" s="786"/>
      <c r="AB144" s="787"/>
      <c r="AC144" s="783">
        <f t="shared" ref="AC144:AF145" si="251">T144</f>
        <v>212</v>
      </c>
      <c r="AD144" s="783">
        <f t="shared" si="251"/>
        <v>212</v>
      </c>
      <c r="AE144" s="783">
        <f t="shared" si="251"/>
        <v>212</v>
      </c>
      <c r="AF144" s="783">
        <f t="shared" si="251"/>
        <v>212</v>
      </c>
      <c r="AG144" s="786"/>
      <c r="AH144" s="851"/>
      <c r="AI144" s="354">
        <f>N144</f>
        <v>212</v>
      </c>
      <c r="AJ144" s="354">
        <f>O144</f>
        <v>212</v>
      </c>
      <c r="AK144" s="354">
        <f>P144</f>
        <v>212</v>
      </c>
      <c r="AL144" s="354">
        <f>Q144</f>
        <v>212</v>
      </c>
      <c r="AM144" s="852"/>
      <c r="AN144" s="782"/>
      <c r="AO144" s="788"/>
      <c r="AP144" s="788"/>
      <c r="AQ144" s="788"/>
      <c r="AR144" s="788"/>
      <c r="AS144" s="788"/>
      <c r="AT144" s="788"/>
      <c r="AU144" s="789"/>
      <c r="AV144" s="789"/>
      <c r="AW144" s="789"/>
      <c r="AX144" s="789"/>
      <c r="AY144" s="789"/>
      <c r="AZ144" s="789"/>
      <c r="BG144" s="789"/>
      <c r="BH144" s="789"/>
      <c r="BI144" s="789"/>
      <c r="BJ144" s="789"/>
      <c r="BK144" s="789"/>
      <c r="BL144" s="789"/>
      <c r="BM144" s="789"/>
      <c r="BN144" s="789"/>
      <c r="BO144" s="789"/>
      <c r="BP144" s="789"/>
      <c r="BQ144" s="789"/>
      <c r="BR144" s="789"/>
    </row>
    <row r="145" spans="1:70" s="440" customFormat="1" ht="20" outlineLevel="1">
      <c r="A145" s="161" t="s">
        <v>504</v>
      </c>
      <c r="B145" s="13"/>
      <c r="C145" s="13"/>
      <c r="D145" s="1113"/>
      <c r="E145" s="13"/>
      <c r="G145" s="169">
        <f>G175</f>
        <v>212</v>
      </c>
      <c r="H145" s="169">
        <f t="shared" si="249"/>
        <v>212</v>
      </c>
      <c r="I145" s="169">
        <f t="shared" si="250"/>
        <v>212</v>
      </c>
      <c r="J145" s="169">
        <f t="shared" si="250"/>
        <v>212</v>
      </c>
      <c r="K145" s="520"/>
      <c r="L145" s="442"/>
      <c r="M145" s="443"/>
      <c r="N145" s="169">
        <f>N175</f>
        <v>212</v>
      </c>
      <c r="O145" s="169">
        <f>O175</f>
        <v>212</v>
      </c>
      <c r="P145" s="169">
        <f>P175</f>
        <v>212</v>
      </c>
      <c r="Q145" s="169">
        <f>Q175</f>
        <v>212</v>
      </c>
      <c r="R145" s="543"/>
      <c r="S145" s="443"/>
      <c r="T145" s="169">
        <f>T175</f>
        <v>212</v>
      </c>
      <c r="U145" s="169">
        <f>U175</f>
        <v>212</v>
      </c>
      <c r="V145" s="169">
        <f>V175</f>
        <v>212</v>
      </c>
      <c r="W145" s="169">
        <f>W175</f>
        <v>212</v>
      </c>
      <c r="X145" s="442"/>
      <c r="Y145" s="563"/>
      <c r="Z145" s="442"/>
      <c r="AA145" s="442"/>
      <c r="AB145" s="563"/>
      <c r="AC145" s="169">
        <f t="shared" si="251"/>
        <v>212</v>
      </c>
      <c r="AD145" s="169">
        <f t="shared" si="251"/>
        <v>212</v>
      </c>
      <c r="AE145" s="169">
        <f t="shared" si="251"/>
        <v>212</v>
      </c>
      <c r="AF145" s="169">
        <f t="shared" si="251"/>
        <v>212</v>
      </c>
      <c r="AG145" s="442"/>
      <c r="AH145" s="849"/>
      <c r="AI145" s="169">
        <f>AC145</f>
        <v>212</v>
      </c>
      <c r="AJ145" s="169">
        <f t="shared" ref="AJ145:AL145" si="252">AD145</f>
        <v>212</v>
      </c>
      <c r="AK145" s="169">
        <f t="shared" si="252"/>
        <v>212</v>
      </c>
      <c r="AL145" s="169">
        <f t="shared" si="252"/>
        <v>212</v>
      </c>
      <c r="AM145" s="850"/>
      <c r="AN145" s="520"/>
      <c r="AO145" s="439"/>
      <c r="AP145" s="439"/>
      <c r="AQ145" s="439"/>
      <c r="AR145" s="439"/>
      <c r="AS145" s="439"/>
      <c r="AT145" s="439"/>
      <c r="AU145" s="443"/>
      <c r="AV145" s="443"/>
      <c r="AW145" s="443"/>
      <c r="AX145" s="443"/>
      <c r="AY145" s="443"/>
      <c r="AZ145" s="443"/>
      <c r="BG145" s="443"/>
      <c r="BH145" s="443"/>
      <c r="BI145" s="443"/>
      <c r="BJ145" s="443"/>
      <c r="BK145" s="443"/>
      <c r="BL145" s="443"/>
      <c r="BM145" s="443"/>
      <c r="BN145" s="443"/>
      <c r="BO145" s="443"/>
      <c r="BP145" s="443"/>
      <c r="BQ145" s="443"/>
      <c r="BR145" s="443"/>
    </row>
    <row r="146" spans="1:70" s="440" customFormat="1" ht="40" outlineLevel="1">
      <c r="A146" s="161" t="s">
        <v>618</v>
      </c>
      <c r="B146" s="13"/>
      <c r="C146" s="13"/>
      <c r="D146" s="1113"/>
      <c r="E146" s="13"/>
      <c r="G146" s="169">
        <f>2.7*G156</f>
        <v>24.915600000000005</v>
      </c>
      <c r="H146" s="169">
        <f t="shared" si="249"/>
        <v>24.915600000000005</v>
      </c>
      <c r="I146" s="169">
        <f t="shared" ref="I146:J147" si="253">H146</f>
        <v>24.915600000000005</v>
      </c>
      <c r="J146" s="169">
        <f t="shared" si="253"/>
        <v>24.915600000000005</v>
      </c>
      <c r="K146" s="520"/>
      <c r="L146" s="442"/>
      <c r="M146" s="443"/>
      <c r="N146" s="169">
        <f t="shared" ref="N146:N151" si="254">G146</f>
        <v>24.915600000000005</v>
      </c>
      <c r="O146" s="169">
        <f>N146</f>
        <v>24.915600000000005</v>
      </c>
      <c r="P146" s="169">
        <f t="shared" ref="P146:Q146" si="255">O146</f>
        <v>24.915600000000005</v>
      </c>
      <c r="Q146" s="169">
        <f t="shared" si="255"/>
        <v>24.915600000000005</v>
      </c>
      <c r="R146" s="543"/>
      <c r="S146" s="443"/>
      <c r="T146" s="169">
        <f t="shared" ref="T146:T151" si="256">N146</f>
        <v>24.915600000000005</v>
      </c>
      <c r="U146" s="169">
        <f>T146</f>
        <v>24.915600000000005</v>
      </c>
      <c r="V146" s="169">
        <f t="shared" ref="V146:W148" si="257">U146</f>
        <v>24.915600000000005</v>
      </c>
      <c r="W146" s="169">
        <f t="shared" si="257"/>
        <v>24.915600000000005</v>
      </c>
      <c r="X146" s="442"/>
      <c r="Y146" s="563"/>
      <c r="Z146" s="442"/>
      <c r="AA146" s="442"/>
      <c r="AB146" s="563"/>
      <c r="AC146" s="169">
        <f t="shared" ref="AC146:AC151" si="258">T146</f>
        <v>24.915600000000005</v>
      </c>
      <c r="AD146" s="169">
        <f>AC146</f>
        <v>24.915600000000005</v>
      </c>
      <c r="AE146" s="169">
        <f t="shared" ref="AE146:AF146" si="259">AD146</f>
        <v>24.915600000000005</v>
      </c>
      <c r="AF146" s="169">
        <f t="shared" si="259"/>
        <v>24.915600000000005</v>
      </c>
      <c r="AG146" s="442"/>
      <c r="AH146" s="849"/>
      <c r="AI146" s="169">
        <f>AC146</f>
        <v>24.915600000000005</v>
      </c>
      <c r="AJ146" s="169">
        <f>AI146</f>
        <v>24.915600000000005</v>
      </c>
      <c r="AK146" s="169">
        <f t="shared" ref="AK146:AL146" si="260">AJ146</f>
        <v>24.915600000000005</v>
      </c>
      <c r="AL146" s="169">
        <f t="shared" si="260"/>
        <v>24.915600000000005</v>
      </c>
      <c r="AM146" s="850"/>
      <c r="AN146" s="520"/>
      <c r="AO146" s="439"/>
      <c r="AP146" s="439"/>
      <c r="AQ146" s="439"/>
      <c r="AR146" s="439"/>
      <c r="AS146" s="439"/>
      <c r="AT146" s="439"/>
      <c r="AU146" s="443"/>
      <c r="AV146" s="443"/>
      <c r="AW146" s="443"/>
      <c r="AX146" s="443"/>
      <c r="AY146" s="443"/>
      <c r="AZ146" s="443"/>
      <c r="BG146" s="443"/>
      <c r="BH146" s="443"/>
      <c r="BI146" s="443"/>
      <c r="BJ146" s="443"/>
      <c r="BK146" s="443"/>
      <c r="BL146" s="443"/>
      <c r="BM146" s="443"/>
      <c r="BN146" s="443"/>
      <c r="BO146" s="443"/>
      <c r="BP146" s="443"/>
      <c r="BQ146" s="443"/>
      <c r="BR146" s="443"/>
    </row>
    <row r="147" spans="1:70" s="440" customFormat="1" ht="40" outlineLevel="1">
      <c r="A147" s="161" t="s">
        <v>619</v>
      </c>
      <c r="B147" s="13"/>
      <c r="C147" s="13"/>
      <c r="D147" s="1113"/>
      <c r="E147" s="13"/>
      <c r="G147" s="169">
        <f>2.7*G155</f>
        <v>5.6052000000000008</v>
      </c>
      <c r="H147" s="169">
        <f t="shared" si="249"/>
        <v>5.6052000000000008</v>
      </c>
      <c r="I147" s="169">
        <f t="shared" si="253"/>
        <v>5.6052000000000008</v>
      </c>
      <c r="J147" s="169">
        <f t="shared" si="253"/>
        <v>5.6052000000000008</v>
      </c>
      <c r="K147" s="520"/>
      <c r="L147" s="442"/>
      <c r="M147" s="443"/>
      <c r="N147" s="169">
        <f t="shared" si="254"/>
        <v>5.6052000000000008</v>
      </c>
      <c r="O147" s="169">
        <f>N147</f>
        <v>5.6052000000000008</v>
      </c>
      <c r="P147" s="169">
        <f t="shared" ref="P147:Q147" si="261">O147</f>
        <v>5.6052000000000008</v>
      </c>
      <c r="Q147" s="169">
        <f t="shared" si="261"/>
        <v>5.6052000000000008</v>
      </c>
      <c r="R147" s="543"/>
      <c r="S147" s="443"/>
      <c r="T147" s="169">
        <f t="shared" si="256"/>
        <v>5.6052000000000008</v>
      </c>
      <c r="U147" s="169">
        <f>T147</f>
        <v>5.6052000000000008</v>
      </c>
      <c r="V147" s="169">
        <f t="shared" si="257"/>
        <v>5.6052000000000008</v>
      </c>
      <c r="W147" s="169">
        <f t="shared" si="257"/>
        <v>5.6052000000000008</v>
      </c>
      <c r="X147" s="442"/>
      <c r="Y147" s="563"/>
      <c r="Z147" s="442"/>
      <c r="AA147" s="442"/>
      <c r="AB147" s="563"/>
      <c r="AC147" s="169">
        <f t="shared" si="258"/>
        <v>5.6052000000000008</v>
      </c>
      <c r="AD147" s="169">
        <f t="shared" ref="AD147:AF147" si="262">AC147</f>
        <v>5.6052000000000008</v>
      </c>
      <c r="AE147" s="169">
        <f t="shared" si="262"/>
        <v>5.6052000000000008</v>
      </c>
      <c r="AF147" s="169">
        <f t="shared" si="262"/>
        <v>5.6052000000000008</v>
      </c>
      <c r="AG147" s="442"/>
      <c r="AH147" s="849"/>
      <c r="AI147" s="169">
        <f t="shared" ref="AI147:AI148" si="263">AC147</f>
        <v>5.6052000000000008</v>
      </c>
      <c r="AJ147" s="169">
        <f t="shared" ref="AJ147:AL148" si="264">AI147</f>
        <v>5.6052000000000008</v>
      </c>
      <c r="AK147" s="169">
        <f t="shared" si="264"/>
        <v>5.6052000000000008</v>
      </c>
      <c r="AL147" s="169">
        <f t="shared" si="264"/>
        <v>5.6052000000000008</v>
      </c>
      <c r="AM147" s="850"/>
      <c r="AN147" s="520"/>
      <c r="AO147" s="439"/>
      <c r="AP147" s="439"/>
      <c r="AQ147" s="439"/>
      <c r="AR147" s="439"/>
      <c r="AS147" s="439"/>
      <c r="AT147" s="439"/>
      <c r="AU147" s="443"/>
      <c r="AV147" s="443"/>
      <c r="AW147" s="443"/>
      <c r="AX147" s="443"/>
      <c r="AY147" s="443"/>
      <c r="AZ147" s="443"/>
      <c r="BG147" s="443"/>
      <c r="BH147" s="443"/>
      <c r="BI147" s="443"/>
      <c r="BJ147" s="443"/>
      <c r="BK147" s="443"/>
      <c r="BL147" s="443"/>
      <c r="BM147" s="443"/>
      <c r="BN147" s="443"/>
      <c r="BO147" s="443"/>
      <c r="BP147" s="443"/>
      <c r="BQ147" s="443"/>
      <c r="BR147" s="443"/>
    </row>
    <row r="148" spans="1:70" s="440" customFormat="1" ht="40" outlineLevel="1">
      <c r="A148" s="161" t="s">
        <v>617</v>
      </c>
      <c r="B148" s="13"/>
      <c r="C148" s="13"/>
      <c r="D148" s="1113"/>
      <c r="E148" s="13"/>
      <c r="G148" s="169">
        <f>2.7*1</f>
        <v>2.7</v>
      </c>
      <c r="H148" s="169">
        <f t="shared" si="249"/>
        <v>2.7</v>
      </c>
      <c r="I148" s="169">
        <f t="shared" ref="I148:J148" si="265">H148</f>
        <v>2.7</v>
      </c>
      <c r="J148" s="169">
        <f t="shared" si="265"/>
        <v>2.7</v>
      </c>
      <c r="K148" s="520"/>
      <c r="L148" s="442"/>
      <c r="M148" s="443"/>
      <c r="N148" s="169">
        <f t="shared" si="254"/>
        <v>2.7</v>
      </c>
      <c r="O148" s="169">
        <f>N148</f>
        <v>2.7</v>
      </c>
      <c r="P148" s="169">
        <f t="shared" ref="P148:Q148" si="266">O148</f>
        <v>2.7</v>
      </c>
      <c r="Q148" s="169">
        <f t="shared" si="266"/>
        <v>2.7</v>
      </c>
      <c r="R148" s="543"/>
      <c r="S148" s="443"/>
      <c r="T148" s="169">
        <f t="shared" si="256"/>
        <v>2.7</v>
      </c>
      <c r="U148" s="169">
        <f>T148</f>
        <v>2.7</v>
      </c>
      <c r="V148" s="169">
        <f t="shared" si="257"/>
        <v>2.7</v>
      </c>
      <c r="W148" s="169">
        <f t="shared" si="257"/>
        <v>2.7</v>
      </c>
      <c r="X148" s="442"/>
      <c r="Y148" s="563"/>
      <c r="Z148" s="442"/>
      <c r="AA148" s="442"/>
      <c r="AB148" s="563"/>
      <c r="AC148" s="169">
        <f t="shared" si="258"/>
        <v>2.7</v>
      </c>
      <c r="AD148" s="169">
        <f t="shared" ref="AD148:AF148" si="267">AC148</f>
        <v>2.7</v>
      </c>
      <c r="AE148" s="169">
        <f t="shared" si="267"/>
        <v>2.7</v>
      </c>
      <c r="AF148" s="169">
        <f t="shared" si="267"/>
        <v>2.7</v>
      </c>
      <c r="AG148" s="442"/>
      <c r="AH148" s="849"/>
      <c r="AI148" s="169">
        <f t="shared" si="263"/>
        <v>2.7</v>
      </c>
      <c r="AJ148" s="169">
        <f t="shared" si="264"/>
        <v>2.7</v>
      </c>
      <c r="AK148" s="169">
        <f t="shared" si="264"/>
        <v>2.7</v>
      </c>
      <c r="AL148" s="169">
        <f t="shared" si="264"/>
        <v>2.7</v>
      </c>
      <c r="AM148" s="850"/>
      <c r="AN148" s="520"/>
      <c r="AO148" s="439"/>
      <c r="AP148" s="439"/>
      <c r="AQ148" s="439"/>
      <c r="AR148" s="439"/>
      <c r="AS148" s="439"/>
      <c r="AT148" s="439"/>
      <c r="AU148" s="443"/>
      <c r="AV148" s="443"/>
      <c r="AW148" s="443"/>
      <c r="AX148" s="443"/>
      <c r="AY148" s="443"/>
      <c r="AZ148" s="443"/>
      <c r="BG148" s="443"/>
      <c r="BH148" s="443"/>
      <c r="BI148" s="443"/>
      <c r="BJ148" s="443"/>
      <c r="BK148" s="443"/>
      <c r="BL148" s="443"/>
      <c r="BM148" s="443"/>
      <c r="BN148" s="443"/>
      <c r="BO148" s="443"/>
      <c r="BP148" s="443"/>
      <c r="BQ148" s="443"/>
      <c r="BR148" s="443"/>
    </row>
    <row r="149" spans="1:70" s="440" customFormat="1" ht="20" outlineLevel="1">
      <c r="A149" s="161" t="s">
        <v>514</v>
      </c>
      <c r="B149" s="13"/>
      <c r="C149" s="13"/>
      <c r="D149" s="1113"/>
      <c r="E149" s="13"/>
      <c r="G149" s="818">
        <v>0.35</v>
      </c>
      <c r="H149" s="818">
        <f t="shared" si="249"/>
        <v>0.35</v>
      </c>
      <c r="I149" s="818">
        <f t="shared" ref="I149:J149" si="268">H149</f>
        <v>0.35</v>
      </c>
      <c r="J149" s="818">
        <f t="shared" si="268"/>
        <v>0.35</v>
      </c>
      <c r="K149" s="520"/>
      <c r="L149" s="442"/>
      <c r="M149" s="443"/>
      <c r="N149" s="818">
        <f t="shared" si="254"/>
        <v>0.35</v>
      </c>
      <c r="O149" s="648">
        <f>H149</f>
        <v>0.35</v>
      </c>
      <c r="P149" s="648">
        <f>I149</f>
        <v>0.35</v>
      </c>
      <c r="Q149" s="648">
        <f>J149</f>
        <v>0.35</v>
      </c>
      <c r="R149" s="543"/>
      <c r="S149" s="443"/>
      <c r="T149" s="818">
        <f t="shared" si="256"/>
        <v>0.35</v>
      </c>
      <c r="U149" s="648">
        <f>O149</f>
        <v>0.35</v>
      </c>
      <c r="V149" s="648">
        <f>P149</f>
        <v>0.35</v>
      </c>
      <c r="W149" s="648">
        <f>Q149</f>
        <v>0.35</v>
      </c>
      <c r="X149" s="442"/>
      <c r="Y149" s="563"/>
      <c r="Z149" s="442"/>
      <c r="AA149" s="442"/>
      <c r="AB149" s="563"/>
      <c r="AC149" s="818">
        <f t="shared" si="258"/>
        <v>0.35</v>
      </c>
      <c r="AD149" s="648">
        <f>U149</f>
        <v>0.35</v>
      </c>
      <c r="AE149" s="648">
        <f t="shared" ref="AE149" si="269">V149</f>
        <v>0.35</v>
      </c>
      <c r="AF149" s="648">
        <f t="shared" ref="AF149" si="270">W149</f>
        <v>0.35</v>
      </c>
      <c r="AG149" s="442"/>
      <c r="AH149" s="849"/>
      <c r="AI149" s="817">
        <f>AC149</f>
        <v>0.35</v>
      </c>
      <c r="AJ149" s="648">
        <f>AD149</f>
        <v>0.35</v>
      </c>
      <c r="AK149" s="648">
        <f t="shared" ref="AK149" si="271">AE149</f>
        <v>0.35</v>
      </c>
      <c r="AL149" s="648">
        <f t="shared" ref="AL149" si="272">AF149</f>
        <v>0.35</v>
      </c>
      <c r="AM149" s="850"/>
      <c r="AN149" s="520"/>
      <c r="AO149" s="439"/>
      <c r="AP149" s="439"/>
      <c r="AQ149" s="439"/>
      <c r="AR149" s="439"/>
      <c r="AS149" s="439"/>
      <c r="AT149" s="439"/>
      <c r="AU149" s="443"/>
      <c r="AV149" s="443"/>
      <c r="AW149" s="443"/>
      <c r="AX149" s="443"/>
      <c r="AY149" s="443"/>
      <c r="AZ149" s="443"/>
      <c r="BG149" s="443"/>
      <c r="BH149" s="443"/>
      <c r="BI149" s="443"/>
      <c r="BJ149" s="443"/>
      <c r="BK149" s="443"/>
      <c r="BL149" s="443"/>
      <c r="BM149" s="443"/>
      <c r="BN149" s="443"/>
      <c r="BO149" s="443"/>
      <c r="BP149" s="443"/>
      <c r="BQ149" s="443"/>
      <c r="BR149" s="443"/>
    </row>
    <row r="150" spans="1:70" s="440" customFormat="1" ht="20" outlineLevel="1">
      <c r="A150" s="161" t="s">
        <v>639</v>
      </c>
      <c r="B150" s="13"/>
      <c r="C150" s="13"/>
      <c r="D150" s="1113"/>
      <c r="E150" s="13"/>
      <c r="G150" s="818">
        <f>60%*G149</f>
        <v>0.21</v>
      </c>
      <c r="H150" s="818">
        <f t="shared" ref="H150:J150" si="273">60%*H149</f>
        <v>0.21</v>
      </c>
      <c r="I150" s="818">
        <f t="shared" si="273"/>
        <v>0.21</v>
      </c>
      <c r="J150" s="818">
        <f t="shared" si="273"/>
        <v>0.21</v>
      </c>
      <c r="K150" s="520"/>
      <c r="L150" s="442"/>
      <c r="M150" s="443"/>
      <c r="N150" s="818">
        <f t="shared" si="254"/>
        <v>0.21</v>
      </c>
      <c r="O150" s="818">
        <f t="shared" ref="O150:Q151" si="274">N150</f>
        <v>0.21</v>
      </c>
      <c r="P150" s="818">
        <f t="shared" si="274"/>
        <v>0.21</v>
      </c>
      <c r="Q150" s="818">
        <f t="shared" si="274"/>
        <v>0.21</v>
      </c>
      <c r="R150" s="543"/>
      <c r="S150" s="443"/>
      <c r="T150" s="818">
        <f t="shared" si="256"/>
        <v>0.21</v>
      </c>
      <c r="U150" s="818">
        <f t="shared" ref="U150:W151" si="275">T150</f>
        <v>0.21</v>
      </c>
      <c r="V150" s="818">
        <f t="shared" si="275"/>
        <v>0.21</v>
      </c>
      <c r="W150" s="818">
        <f t="shared" si="275"/>
        <v>0.21</v>
      </c>
      <c r="X150" s="442"/>
      <c r="Y150" s="563"/>
      <c r="Z150" s="442"/>
      <c r="AA150" s="442"/>
      <c r="AB150" s="563"/>
      <c r="AC150" s="818">
        <f t="shared" si="258"/>
        <v>0.21</v>
      </c>
      <c r="AD150" s="818">
        <f t="shared" ref="AD150:AF151" si="276">AC150</f>
        <v>0.21</v>
      </c>
      <c r="AE150" s="818">
        <f t="shared" si="276"/>
        <v>0.21</v>
      </c>
      <c r="AF150" s="818">
        <f t="shared" si="276"/>
        <v>0.21</v>
      </c>
      <c r="AG150" s="442"/>
      <c r="AH150" s="849"/>
      <c r="AI150" s="817">
        <f>AC150</f>
        <v>0.21</v>
      </c>
      <c r="AJ150" s="817">
        <f t="shared" ref="AJ150:AL151" si="277">AI150</f>
        <v>0.21</v>
      </c>
      <c r="AK150" s="817">
        <f t="shared" si="277"/>
        <v>0.21</v>
      </c>
      <c r="AL150" s="817">
        <f t="shared" si="277"/>
        <v>0.21</v>
      </c>
      <c r="AM150" s="850"/>
      <c r="AN150" s="520"/>
      <c r="AO150" s="439"/>
      <c r="AP150" s="439"/>
      <c r="AQ150" s="439"/>
      <c r="AR150" s="439"/>
      <c r="AS150" s="439"/>
      <c r="AT150" s="439"/>
      <c r="AU150" s="443"/>
      <c r="AV150" s="443"/>
      <c r="AW150" s="443"/>
      <c r="AX150" s="443"/>
      <c r="AY150" s="443"/>
      <c r="AZ150" s="443"/>
      <c r="BG150" s="443"/>
      <c r="BH150" s="443"/>
      <c r="BI150" s="443"/>
      <c r="BJ150" s="443"/>
      <c r="BK150" s="443"/>
      <c r="BL150" s="443"/>
      <c r="BM150" s="443"/>
      <c r="BN150" s="443"/>
      <c r="BO150" s="443"/>
      <c r="BP150" s="443"/>
      <c r="BQ150" s="443"/>
      <c r="BR150" s="443"/>
    </row>
    <row r="151" spans="1:70" s="440" customFormat="1" ht="20" outlineLevel="1">
      <c r="A151" s="161" t="s">
        <v>633</v>
      </c>
      <c r="B151" s="13"/>
      <c r="C151" s="13"/>
      <c r="D151" s="1113"/>
      <c r="E151" s="13"/>
      <c r="G151" s="818">
        <f>G191</f>
        <v>0.62</v>
      </c>
      <c r="H151" s="818">
        <f>G151</f>
        <v>0.62</v>
      </c>
      <c r="I151" s="818">
        <f t="shared" ref="I151:J151" si="278">H151</f>
        <v>0.62</v>
      </c>
      <c r="J151" s="818">
        <f t="shared" si="278"/>
        <v>0.62</v>
      </c>
      <c r="K151" s="520"/>
      <c r="L151" s="442"/>
      <c r="M151" s="443"/>
      <c r="N151" s="818">
        <f t="shared" si="254"/>
        <v>0.62</v>
      </c>
      <c r="O151" s="818">
        <f t="shared" si="274"/>
        <v>0.62</v>
      </c>
      <c r="P151" s="818">
        <f t="shared" si="274"/>
        <v>0.62</v>
      </c>
      <c r="Q151" s="818">
        <f t="shared" si="274"/>
        <v>0.62</v>
      </c>
      <c r="R151" s="543"/>
      <c r="S151" s="443"/>
      <c r="T151" s="818">
        <f t="shared" si="256"/>
        <v>0.62</v>
      </c>
      <c r="U151" s="818">
        <f t="shared" si="275"/>
        <v>0.62</v>
      </c>
      <c r="V151" s="818">
        <f t="shared" si="275"/>
        <v>0.62</v>
      </c>
      <c r="W151" s="818">
        <f t="shared" si="275"/>
        <v>0.62</v>
      </c>
      <c r="X151" s="442"/>
      <c r="Y151" s="563"/>
      <c r="Z151" s="442"/>
      <c r="AA151" s="442"/>
      <c r="AB151" s="563"/>
      <c r="AC151" s="818">
        <f t="shared" si="258"/>
        <v>0.62</v>
      </c>
      <c r="AD151" s="818">
        <f t="shared" si="276"/>
        <v>0.62</v>
      </c>
      <c r="AE151" s="818">
        <f t="shared" si="276"/>
        <v>0.62</v>
      </c>
      <c r="AF151" s="818">
        <f t="shared" si="276"/>
        <v>0.62</v>
      </c>
      <c r="AG151" s="442"/>
      <c r="AH151" s="849"/>
      <c r="AI151" s="817">
        <f>AC151</f>
        <v>0.62</v>
      </c>
      <c r="AJ151" s="817">
        <f t="shared" si="277"/>
        <v>0.62</v>
      </c>
      <c r="AK151" s="817">
        <f t="shared" si="277"/>
        <v>0.62</v>
      </c>
      <c r="AL151" s="817">
        <f t="shared" si="277"/>
        <v>0.62</v>
      </c>
      <c r="AM151" s="850"/>
      <c r="AN151" s="520"/>
      <c r="AO151" s="439"/>
      <c r="AP151" s="439"/>
      <c r="AQ151" s="439"/>
      <c r="AR151" s="439"/>
      <c r="AS151" s="439"/>
      <c r="AT151" s="439"/>
      <c r="AU151" s="443"/>
      <c r="AV151" s="443"/>
      <c r="AW151" s="443"/>
      <c r="AX151" s="443"/>
      <c r="AY151" s="443"/>
      <c r="AZ151" s="443"/>
      <c r="BG151" s="443"/>
      <c r="BH151" s="443"/>
      <c r="BI151" s="443"/>
      <c r="BJ151" s="443"/>
      <c r="BK151" s="443"/>
      <c r="BL151" s="443"/>
      <c r="BM151" s="443"/>
      <c r="BN151" s="443"/>
      <c r="BO151" s="443"/>
      <c r="BP151" s="443"/>
      <c r="BQ151" s="443"/>
      <c r="BR151" s="443"/>
    </row>
    <row r="152" spans="1:70" s="440" customFormat="1" outlineLevel="1">
      <c r="A152" s="13"/>
      <c r="B152" s="13"/>
      <c r="C152" s="13"/>
      <c r="D152" s="1113"/>
      <c r="E152" s="13"/>
      <c r="G152" s="818"/>
      <c r="H152" s="818"/>
      <c r="I152" s="818"/>
      <c r="J152" s="818"/>
      <c r="K152" s="520"/>
      <c r="L152" s="442"/>
      <c r="M152" s="443"/>
      <c r="N152" s="818"/>
      <c r="O152" s="818"/>
      <c r="P152" s="818"/>
      <c r="Q152" s="818"/>
      <c r="R152" s="543"/>
      <c r="S152" s="443"/>
      <c r="T152" s="818"/>
      <c r="U152" s="818"/>
      <c r="V152" s="818"/>
      <c r="W152" s="818"/>
      <c r="X152" s="442"/>
      <c r="Y152" s="563"/>
      <c r="Z152" s="442"/>
      <c r="AA152" s="442"/>
      <c r="AB152" s="563"/>
      <c r="AC152" s="818"/>
      <c r="AD152" s="818"/>
      <c r="AE152" s="818"/>
      <c r="AF152" s="818"/>
      <c r="AG152" s="442"/>
      <c r="AH152" s="849"/>
      <c r="AI152" s="817"/>
      <c r="AJ152" s="817"/>
      <c r="AK152" s="817"/>
      <c r="AL152" s="817"/>
      <c r="AM152" s="850"/>
      <c r="AN152" s="520"/>
      <c r="AO152" s="439"/>
      <c r="AP152" s="439"/>
      <c r="AQ152" s="439"/>
      <c r="AR152" s="439"/>
      <c r="AS152" s="439"/>
      <c r="AT152" s="439"/>
      <c r="AU152" s="443"/>
      <c r="AV152" s="443"/>
      <c r="AW152" s="443"/>
      <c r="AX152" s="443"/>
      <c r="AY152" s="443"/>
      <c r="AZ152" s="443"/>
      <c r="BG152" s="443"/>
      <c r="BH152" s="443"/>
      <c r="BI152" s="443"/>
      <c r="BJ152" s="443"/>
      <c r="BK152" s="443"/>
      <c r="BL152" s="443"/>
      <c r="BM152" s="443"/>
      <c r="BN152" s="443"/>
      <c r="BO152" s="443"/>
      <c r="BP152" s="443"/>
      <c r="BQ152" s="443"/>
      <c r="BR152" s="443"/>
    </row>
    <row r="153" spans="1:70" s="440" customFormat="1" ht="20" outlineLevel="1">
      <c r="A153" s="1" t="s">
        <v>620</v>
      </c>
      <c r="B153" s="13"/>
      <c r="C153" s="13"/>
      <c r="D153" s="1113"/>
      <c r="E153" s="13"/>
      <c r="G153" s="818"/>
      <c r="H153" s="818"/>
      <c r="I153" s="818"/>
      <c r="J153" s="818"/>
      <c r="K153" s="520"/>
      <c r="L153" s="442"/>
      <c r="M153" s="443"/>
      <c r="N153" s="818"/>
      <c r="O153" s="818"/>
      <c r="P153" s="818"/>
      <c r="Q153" s="818"/>
      <c r="R153" s="543"/>
      <c r="S153" s="443"/>
      <c r="T153" s="818"/>
      <c r="U153" s="818"/>
      <c r="V153" s="818"/>
      <c r="W153" s="818"/>
      <c r="X153" s="442"/>
      <c r="Y153" s="563"/>
      <c r="Z153" s="442"/>
      <c r="AA153" s="442"/>
      <c r="AB153" s="563"/>
      <c r="AC153" s="818"/>
      <c r="AD153" s="818"/>
      <c r="AE153" s="818"/>
      <c r="AF153" s="818"/>
      <c r="AG153" s="442"/>
      <c r="AH153" s="849"/>
      <c r="AI153" s="817"/>
      <c r="AJ153" s="817"/>
      <c r="AK153" s="817"/>
      <c r="AL153" s="817"/>
      <c r="AM153" s="850"/>
      <c r="AN153" s="520"/>
      <c r="AO153" s="439"/>
      <c r="AP153" s="439"/>
      <c r="AQ153" s="439"/>
      <c r="AR153" s="439"/>
      <c r="AS153" s="439"/>
      <c r="AT153" s="439"/>
      <c r="AU153" s="443"/>
      <c r="AV153" s="443"/>
      <c r="AW153" s="443"/>
      <c r="AX153" s="443"/>
      <c r="AY153" s="443"/>
      <c r="AZ153" s="443"/>
      <c r="BG153" s="443"/>
      <c r="BH153" s="443"/>
      <c r="BI153" s="443"/>
      <c r="BJ153" s="443"/>
      <c r="BK153" s="443"/>
      <c r="BL153" s="443"/>
      <c r="BM153" s="443"/>
      <c r="BN153" s="443"/>
      <c r="BO153" s="443"/>
      <c r="BP153" s="443"/>
      <c r="BQ153" s="443"/>
      <c r="BR153" s="443"/>
    </row>
    <row r="154" spans="1:70" s="440" customFormat="1" outlineLevel="1">
      <c r="A154" s="2" t="s">
        <v>613</v>
      </c>
      <c r="B154" s="13"/>
      <c r="C154" s="13"/>
      <c r="D154" s="1113"/>
      <c r="E154" s="13"/>
      <c r="G154" s="952">
        <f>G187+(G187/100*20)</f>
        <v>1.8</v>
      </c>
      <c r="H154" s="1254">
        <f>G154</f>
        <v>1.8</v>
      </c>
      <c r="I154" s="1254">
        <f t="shared" ref="I154:J154" si="279">H154</f>
        <v>1.8</v>
      </c>
      <c r="J154" s="1254">
        <f t="shared" si="279"/>
        <v>1.8</v>
      </c>
      <c r="K154" s="520"/>
      <c r="L154" s="442"/>
      <c r="M154" s="443"/>
      <c r="N154" s="1254">
        <f>G154</f>
        <v>1.8</v>
      </c>
      <c r="O154" s="1254">
        <f>N154</f>
        <v>1.8</v>
      </c>
      <c r="P154" s="1254">
        <f t="shared" ref="P154:Q154" si="280">O154</f>
        <v>1.8</v>
      </c>
      <c r="Q154" s="1254">
        <f t="shared" si="280"/>
        <v>1.8</v>
      </c>
      <c r="R154" s="543"/>
      <c r="S154" s="443"/>
      <c r="T154" s="1255">
        <f>N154</f>
        <v>1.8</v>
      </c>
      <c r="U154" s="1255">
        <f>O154</f>
        <v>1.8</v>
      </c>
      <c r="V154" s="1255">
        <f t="shared" ref="V154:W157" si="281">P154</f>
        <v>1.8</v>
      </c>
      <c r="W154" s="1255">
        <f t="shared" si="281"/>
        <v>1.8</v>
      </c>
      <c r="X154" s="442"/>
      <c r="Y154" s="563"/>
      <c r="Z154" s="442"/>
      <c r="AA154" s="442"/>
      <c r="AB154" s="563"/>
      <c r="AC154" s="1254">
        <f>T154</f>
        <v>1.8</v>
      </c>
      <c r="AD154" s="1254">
        <f t="shared" ref="AD154:AF156" si="282">U154</f>
        <v>1.8</v>
      </c>
      <c r="AE154" s="1254">
        <f t="shared" si="282"/>
        <v>1.8</v>
      </c>
      <c r="AF154" s="1254">
        <f t="shared" si="282"/>
        <v>1.8</v>
      </c>
      <c r="AG154" s="442"/>
      <c r="AH154" s="849"/>
      <c r="AI154" s="1257">
        <f>AC154</f>
        <v>1.8</v>
      </c>
      <c r="AJ154" s="1257">
        <f>AI154</f>
        <v>1.8</v>
      </c>
      <c r="AK154" s="1257">
        <f t="shared" ref="AK154:AL154" si="283">AJ154</f>
        <v>1.8</v>
      </c>
      <c r="AL154" s="1257">
        <f t="shared" si="283"/>
        <v>1.8</v>
      </c>
      <c r="AM154" s="850"/>
      <c r="AN154" s="520"/>
      <c r="AO154" s="439"/>
      <c r="AP154" s="439"/>
      <c r="AQ154" s="439"/>
      <c r="AR154" s="439"/>
      <c r="AS154" s="439"/>
      <c r="AT154" s="439"/>
      <c r="AU154" s="443"/>
      <c r="AV154" s="443"/>
      <c r="AW154" s="443"/>
      <c r="AX154" s="443"/>
      <c r="AY154" s="443"/>
      <c r="AZ154" s="443"/>
      <c r="BG154" s="443"/>
      <c r="BH154" s="443"/>
      <c r="BI154" s="443"/>
      <c r="BJ154" s="443"/>
      <c r="BK154" s="443"/>
      <c r="BL154" s="443"/>
      <c r="BM154" s="443"/>
      <c r="BN154" s="443"/>
      <c r="BO154" s="443"/>
      <c r="BP154" s="443"/>
      <c r="BQ154" s="443"/>
      <c r="BR154" s="443"/>
    </row>
    <row r="155" spans="1:70" s="440" customFormat="1" outlineLevel="1">
      <c r="A155" s="2" t="s">
        <v>614</v>
      </c>
      <c r="B155" s="13"/>
      <c r="C155" s="13"/>
      <c r="D155" s="1113"/>
      <c r="E155" s="13"/>
      <c r="G155" s="952">
        <f>G188+(G188/100*20)</f>
        <v>2.0760000000000001</v>
      </c>
      <c r="H155" s="1254">
        <f t="shared" ref="H155:J157" si="284">G155</f>
        <v>2.0760000000000001</v>
      </c>
      <c r="I155" s="1254">
        <f t="shared" si="284"/>
        <v>2.0760000000000001</v>
      </c>
      <c r="J155" s="1254">
        <f t="shared" si="284"/>
        <v>2.0760000000000001</v>
      </c>
      <c r="K155" s="520"/>
      <c r="L155" s="442"/>
      <c r="M155" s="443"/>
      <c r="N155" s="1254">
        <f t="shared" ref="N155:N157" si="285">G155</f>
        <v>2.0760000000000001</v>
      </c>
      <c r="O155" s="1254">
        <f t="shared" ref="O155:Q157" si="286">N155</f>
        <v>2.0760000000000001</v>
      </c>
      <c r="P155" s="1254">
        <f t="shared" si="286"/>
        <v>2.0760000000000001</v>
      </c>
      <c r="Q155" s="1254">
        <f t="shared" si="286"/>
        <v>2.0760000000000001</v>
      </c>
      <c r="R155" s="543"/>
      <c r="S155" s="443"/>
      <c r="T155" s="1255">
        <f t="shared" ref="T155:T157" si="287">N155</f>
        <v>2.0760000000000001</v>
      </c>
      <c r="U155" s="1255">
        <f t="shared" ref="U155:U157" si="288">O155</f>
        <v>2.0760000000000001</v>
      </c>
      <c r="V155" s="1255">
        <f t="shared" si="281"/>
        <v>2.0760000000000001</v>
      </c>
      <c r="W155" s="1255">
        <f t="shared" si="281"/>
        <v>2.0760000000000001</v>
      </c>
      <c r="X155" s="442"/>
      <c r="Y155" s="563"/>
      <c r="Z155" s="442"/>
      <c r="AA155" s="442"/>
      <c r="AB155" s="563"/>
      <c r="AC155" s="1254">
        <f t="shared" ref="AC155:AC156" si="289">T155</f>
        <v>2.0760000000000001</v>
      </c>
      <c r="AD155" s="1254">
        <f t="shared" si="282"/>
        <v>2.0760000000000001</v>
      </c>
      <c r="AE155" s="1254">
        <f t="shared" si="282"/>
        <v>2.0760000000000001</v>
      </c>
      <c r="AF155" s="1254">
        <f t="shared" si="282"/>
        <v>2.0760000000000001</v>
      </c>
      <c r="AG155" s="442"/>
      <c r="AH155" s="849"/>
      <c r="AI155" s="1257">
        <f t="shared" ref="AI155:AI156" si="290">AC155</f>
        <v>2.0760000000000001</v>
      </c>
      <c r="AJ155" s="1257">
        <f t="shared" ref="AJ155:AL156" si="291">AI155</f>
        <v>2.0760000000000001</v>
      </c>
      <c r="AK155" s="1257">
        <f t="shared" si="291"/>
        <v>2.0760000000000001</v>
      </c>
      <c r="AL155" s="1257">
        <f t="shared" si="291"/>
        <v>2.0760000000000001</v>
      </c>
      <c r="AM155" s="850"/>
      <c r="AN155" s="520"/>
      <c r="AO155" s="439"/>
      <c r="AP155" s="439"/>
      <c r="AQ155" s="439"/>
      <c r="AR155" s="439"/>
      <c r="AS155" s="439"/>
      <c r="AT155" s="439"/>
      <c r="AU155" s="443"/>
      <c r="AV155" s="443"/>
      <c r="AW155" s="443"/>
      <c r="AX155" s="443"/>
      <c r="AY155" s="443"/>
      <c r="AZ155" s="443"/>
      <c r="BG155" s="443"/>
      <c r="BH155" s="443"/>
      <c r="BI155" s="443"/>
      <c r="BJ155" s="443"/>
      <c r="BK155" s="443"/>
      <c r="BL155" s="443"/>
      <c r="BM155" s="443"/>
      <c r="BN155" s="443"/>
      <c r="BO155" s="443"/>
      <c r="BP155" s="443"/>
      <c r="BQ155" s="443"/>
      <c r="BR155" s="443"/>
    </row>
    <row r="156" spans="1:70" s="440" customFormat="1" outlineLevel="1">
      <c r="A156" s="2" t="s">
        <v>615</v>
      </c>
      <c r="B156" s="13"/>
      <c r="C156" s="13"/>
      <c r="D156" s="1113"/>
      <c r="E156" s="13"/>
      <c r="G156" s="952">
        <f>G189+(G189/100*20)</f>
        <v>9.2280000000000015</v>
      </c>
      <c r="H156" s="1254">
        <f t="shared" si="284"/>
        <v>9.2280000000000015</v>
      </c>
      <c r="I156" s="1254">
        <f t="shared" si="284"/>
        <v>9.2280000000000015</v>
      </c>
      <c r="J156" s="1254">
        <f t="shared" si="284"/>
        <v>9.2280000000000015</v>
      </c>
      <c r="K156" s="520"/>
      <c r="L156" s="442"/>
      <c r="M156" s="443"/>
      <c r="N156" s="1254">
        <f t="shared" si="285"/>
        <v>9.2280000000000015</v>
      </c>
      <c r="O156" s="1254">
        <f t="shared" si="286"/>
        <v>9.2280000000000015</v>
      </c>
      <c r="P156" s="1254">
        <f t="shared" si="286"/>
        <v>9.2280000000000015</v>
      </c>
      <c r="Q156" s="1254">
        <f t="shared" si="286"/>
        <v>9.2280000000000015</v>
      </c>
      <c r="R156" s="543"/>
      <c r="S156" s="443"/>
      <c r="T156" s="1255">
        <f t="shared" si="287"/>
        <v>9.2280000000000015</v>
      </c>
      <c r="U156" s="1255">
        <f t="shared" si="288"/>
        <v>9.2280000000000015</v>
      </c>
      <c r="V156" s="1255">
        <f t="shared" si="281"/>
        <v>9.2280000000000015</v>
      </c>
      <c r="W156" s="1255">
        <f t="shared" si="281"/>
        <v>9.2280000000000015</v>
      </c>
      <c r="X156" s="442"/>
      <c r="Y156" s="563"/>
      <c r="Z156" s="442"/>
      <c r="AA156" s="442"/>
      <c r="AB156" s="563"/>
      <c r="AC156" s="1254">
        <f t="shared" si="289"/>
        <v>9.2280000000000015</v>
      </c>
      <c r="AD156" s="1254">
        <f t="shared" si="282"/>
        <v>9.2280000000000015</v>
      </c>
      <c r="AE156" s="1254">
        <f t="shared" si="282"/>
        <v>9.2280000000000015</v>
      </c>
      <c r="AF156" s="1254">
        <f t="shared" si="282"/>
        <v>9.2280000000000015</v>
      </c>
      <c r="AG156" s="442"/>
      <c r="AH156" s="849"/>
      <c r="AI156" s="1257">
        <f t="shared" si="290"/>
        <v>9.2280000000000015</v>
      </c>
      <c r="AJ156" s="1257">
        <f t="shared" si="291"/>
        <v>9.2280000000000015</v>
      </c>
      <c r="AK156" s="1257">
        <f t="shared" si="291"/>
        <v>9.2280000000000015</v>
      </c>
      <c r="AL156" s="1257">
        <f t="shared" si="291"/>
        <v>9.2280000000000015</v>
      </c>
      <c r="AM156" s="850"/>
      <c r="AN156" s="520"/>
      <c r="AO156" s="439"/>
      <c r="AP156" s="439"/>
      <c r="AQ156" s="439"/>
      <c r="AR156" s="439"/>
      <c r="AS156" s="439"/>
      <c r="AT156" s="439"/>
      <c r="AU156" s="443"/>
      <c r="AV156" s="443"/>
      <c r="AW156" s="443"/>
      <c r="AX156" s="443"/>
      <c r="AY156" s="443"/>
      <c r="AZ156" s="443"/>
      <c r="BG156" s="443"/>
      <c r="BH156" s="443"/>
      <c r="BI156" s="443"/>
      <c r="BJ156" s="443"/>
      <c r="BK156" s="443"/>
      <c r="BL156" s="443"/>
      <c r="BM156" s="443"/>
      <c r="BN156" s="443"/>
      <c r="BO156" s="443"/>
      <c r="BP156" s="443"/>
      <c r="BQ156" s="443"/>
      <c r="BR156" s="443"/>
    </row>
    <row r="157" spans="1:70" s="440" customFormat="1" ht="20" outlineLevel="1">
      <c r="A157" s="87" t="s">
        <v>641</v>
      </c>
      <c r="B157" s="423"/>
      <c r="C157" s="1"/>
      <c r="D157" s="1103"/>
      <c r="E157" s="1"/>
      <c r="F157" s="2"/>
      <c r="G157" s="154">
        <v>15542.8125</v>
      </c>
      <c r="H157" s="1256">
        <f t="shared" si="284"/>
        <v>15542.8125</v>
      </c>
      <c r="I157" s="1256">
        <f t="shared" si="284"/>
        <v>15542.8125</v>
      </c>
      <c r="J157" s="1256">
        <f t="shared" si="284"/>
        <v>15542.8125</v>
      </c>
      <c r="K157" s="520"/>
      <c r="L157" s="442"/>
      <c r="M157" s="443"/>
      <c r="N157" s="1256">
        <f t="shared" si="285"/>
        <v>15542.8125</v>
      </c>
      <c r="O157" s="1256">
        <f t="shared" si="286"/>
        <v>15542.8125</v>
      </c>
      <c r="P157" s="1256">
        <f t="shared" si="286"/>
        <v>15542.8125</v>
      </c>
      <c r="Q157" s="1256">
        <f t="shared" si="286"/>
        <v>15542.8125</v>
      </c>
      <c r="R157" s="543"/>
      <c r="S157" s="443"/>
      <c r="T157" s="1255">
        <f t="shared" si="287"/>
        <v>15542.8125</v>
      </c>
      <c r="U157" s="1255">
        <f t="shared" si="288"/>
        <v>15542.8125</v>
      </c>
      <c r="V157" s="1255">
        <f t="shared" si="281"/>
        <v>15542.8125</v>
      </c>
      <c r="W157" s="1255">
        <f t="shared" si="281"/>
        <v>15542.8125</v>
      </c>
      <c r="X157" s="442"/>
      <c r="Y157" s="563"/>
      <c r="Z157" s="442"/>
      <c r="AA157" s="442"/>
      <c r="AB157" s="563"/>
      <c r="AC157" s="1256">
        <f>AG157*T157</f>
        <v>13500.104001168473</v>
      </c>
      <c r="AD157" s="1256">
        <f>AC157</f>
        <v>13500.104001168473</v>
      </c>
      <c r="AE157" s="1256">
        <f t="shared" ref="AE157:AF157" si="292">AD157</f>
        <v>13500.104001168473</v>
      </c>
      <c r="AF157" s="1256">
        <f t="shared" si="292"/>
        <v>13500.104001168473</v>
      </c>
      <c r="AG157" s="818">
        <f>AG6/AN6</f>
        <v>0.86857536248143463</v>
      </c>
      <c r="AH157" s="849"/>
      <c r="AI157" s="1259">
        <f>AM157*T157</f>
        <v>2042.7084988315269</v>
      </c>
      <c r="AJ157" s="1259">
        <f>AI157</f>
        <v>2042.7084988315269</v>
      </c>
      <c r="AK157" s="1259">
        <f t="shared" ref="AK157:AL157" si="293">AJ157</f>
        <v>2042.7084988315269</v>
      </c>
      <c r="AL157" s="1259">
        <f t="shared" si="293"/>
        <v>2042.7084988315269</v>
      </c>
      <c r="AM157" s="1258">
        <f>100%-AG157</f>
        <v>0.13142463751856537</v>
      </c>
      <c r="AN157" s="520"/>
      <c r="AO157" s="439"/>
      <c r="AP157" s="439"/>
      <c r="AQ157" s="439"/>
      <c r="AR157" s="439"/>
      <c r="AS157" s="439"/>
      <c r="AT157" s="439"/>
      <c r="AU157" s="443"/>
      <c r="AV157" s="443"/>
      <c r="AW157" s="443"/>
      <c r="AX157" s="443"/>
      <c r="AY157" s="443"/>
      <c r="AZ157" s="443"/>
      <c r="BG157" s="443"/>
      <c r="BH157" s="443"/>
      <c r="BI157" s="443"/>
      <c r="BJ157" s="443"/>
      <c r="BK157" s="443"/>
      <c r="BL157" s="443"/>
      <c r="BM157" s="443"/>
      <c r="BN157" s="443"/>
      <c r="BO157" s="443"/>
      <c r="BP157" s="443"/>
      <c r="BQ157" s="443"/>
      <c r="BR157" s="443"/>
    </row>
    <row r="158" spans="1:70" s="440" customFormat="1" outlineLevel="1">
      <c r="A158" s="161"/>
      <c r="B158" s="13"/>
      <c r="C158" s="13"/>
      <c r="D158" s="1113"/>
      <c r="E158" s="13"/>
      <c r="G158" s="818"/>
      <c r="H158" s="818"/>
      <c r="I158" s="818"/>
      <c r="J158" s="818"/>
      <c r="K158" s="520"/>
      <c r="L158" s="442"/>
      <c r="M158" s="443"/>
      <c r="N158" s="1254"/>
      <c r="O158" s="1254"/>
      <c r="P158" s="1254"/>
      <c r="Q158" s="1254"/>
      <c r="R158" s="543"/>
      <c r="S158" s="443"/>
      <c r="T158" s="818"/>
      <c r="U158" s="818"/>
      <c r="V158" s="818"/>
      <c r="W158" s="818"/>
      <c r="X158" s="442"/>
      <c r="Y158" s="563"/>
      <c r="Z158" s="442"/>
      <c r="AA158" s="442"/>
      <c r="AB158" s="563"/>
      <c r="AC158" s="818"/>
      <c r="AD158" s="818"/>
      <c r="AE158" s="818"/>
      <c r="AF158" s="818"/>
      <c r="AG158" s="442"/>
      <c r="AH158" s="849"/>
      <c r="AI158" s="817"/>
      <c r="AJ158" s="817"/>
      <c r="AK158" s="817"/>
      <c r="AL158" s="817"/>
      <c r="AM158" s="850"/>
      <c r="AN158" s="520"/>
      <c r="AO158" s="439"/>
      <c r="AP158" s="439"/>
      <c r="AQ158" s="439"/>
      <c r="AR158" s="439"/>
      <c r="AS158" s="439"/>
      <c r="AT158" s="439"/>
      <c r="AU158" s="443"/>
      <c r="AV158" s="443"/>
      <c r="AW158" s="443"/>
      <c r="AX158" s="443"/>
      <c r="AY158" s="443"/>
      <c r="AZ158" s="443"/>
      <c r="BG158" s="443"/>
      <c r="BH158" s="443"/>
      <c r="BI158" s="443"/>
      <c r="BJ158" s="443"/>
      <c r="BK158" s="443"/>
      <c r="BL158" s="443"/>
      <c r="BM158" s="443"/>
      <c r="BN158" s="443"/>
      <c r="BO158" s="443"/>
      <c r="BP158" s="443"/>
      <c r="BQ158" s="443"/>
      <c r="BR158" s="443"/>
    </row>
    <row r="159" spans="1:70" s="440" customFormat="1" outlineLevel="1">
      <c r="A159" s="161"/>
      <c r="B159" s="13"/>
      <c r="C159" s="13"/>
      <c r="D159" s="1113"/>
      <c r="E159" s="13"/>
      <c r="G159" s="818"/>
      <c r="H159" s="818"/>
      <c r="I159" s="818"/>
      <c r="J159" s="818"/>
      <c r="K159" s="520"/>
      <c r="L159" s="442"/>
      <c r="M159" s="443"/>
      <c r="N159" s="443"/>
      <c r="O159" s="443"/>
      <c r="P159" s="443"/>
      <c r="Q159" s="443"/>
      <c r="R159" s="543"/>
      <c r="S159" s="443"/>
      <c r="T159" s="442"/>
      <c r="U159" s="442"/>
      <c r="V159" s="442"/>
      <c r="W159" s="442"/>
      <c r="X159" s="442"/>
      <c r="Y159" s="563"/>
      <c r="Z159" s="442"/>
      <c r="AA159" s="442"/>
      <c r="AB159" s="563"/>
      <c r="AC159" s="442"/>
      <c r="AD159" s="442"/>
      <c r="AE159" s="442"/>
      <c r="AF159" s="442"/>
      <c r="AG159" s="442"/>
      <c r="AH159" s="849"/>
      <c r="AI159" s="442"/>
      <c r="AJ159" s="442"/>
      <c r="AK159" s="442"/>
      <c r="AL159" s="442"/>
      <c r="AM159" s="850"/>
      <c r="AN159" s="520"/>
      <c r="AO159" s="439"/>
      <c r="AP159" s="439"/>
      <c r="AQ159" s="439"/>
      <c r="AR159" s="439"/>
      <c r="AS159" s="439"/>
      <c r="AT159" s="439"/>
      <c r="AU159" s="443"/>
      <c r="AV159" s="443"/>
      <c r="AW159" s="443"/>
      <c r="AX159" s="443"/>
      <c r="AY159" s="443"/>
      <c r="AZ159" s="443"/>
      <c r="BG159" s="443"/>
      <c r="BH159" s="443"/>
      <c r="BI159" s="443"/>
      <c r="BJ159" s="443"/>
      <c r="BK159" s="443"/>
      <c r="BL159" s="443"/>
      <c r="BM159" s="443"/>
      <c r="BN159" s="443"/>
      <c r="BO159" s="443"/>
      <c r="BP159" s="443"/>
      <c r="BQ159" s="443"/>
      <c r="BR159" s="443"/>
    </row>
    <row r="160" spans="1:70" s="425" customFormat="1" ht="40" outlineLevel="1">
      <c r="A160" s="558" t="s">
        <v>356</v>
      </c>
      <c r="B160" s="355"/>
      <c r="C160" s="355"/>
      <c r="D160" s="1115"/>
      <c r="E160" s="355"/>
      <c r="F160" s="452"/>
      <c r="G160" s="438">
        <f>G171</f>
        <v>1600</v>
      </c>
      <c r="H160" s="354">
        <f>G160</f>
        <v>1600</v>
      </c>
      <c r="I160" s="354">
        <f t="shared" ref="I160:J160" si="294">H160</f>
        <v>1600</v>
      </c>
      <c r="J160" s="354">
        <f t="shared" si="294"/>
        <v>1600</v>
      </c>
      <c r="K160" s="498"/>
      <c r="L160" s="355"/>
      <c r="M160" s="463"/>
      <c r="N160" s="361">
        <v>0</v>
      </c>
      <c r="O160" s="361">
        <f>N160</f>
        <v>0</v>
      </c>
      <c r="P160" s="361">
        <f t="shared" ref="P160:Q160" si="295">O160</f>
        <v>0</v>
      </c>
      <c r="Q160" s="361">
        <f t="shared" si="295"/>
        <v>0</v>
      </c>
      <c r="R160" s="503"/>
      <c r="S160" s="43"/>
      <c r="T160" s="361">
        <v>0</v>
      </c>
      <c r="U160" s="361">
        <f>T160</f>
        <v>0</v>
      </c>
      <c r="V160" s="361">
        <f t="shared" ref="V160:W160" si="296">U160</f>
        <v>0</v>
      </c>
      <c r="W160" s="361">
        <f t="shared" si="296"/>
        <v>0</v>
      </c>
      <c r="X160" s="361"/>
      <c r="Y160" s="1080"/>
      <c r="Z160" s="361"/>
      <c r="AA160" s="361"/>
      <c r="AB160" s="558"/>
      <c r="AC160" s="361">
        <v>0</v>
      </c>
      <c r="AD160" s="361">
        <f>AC160</f>
        <v>0</v>
      </c>
      <c r="AE160" s="361">
        <f t="shared" ref="AE160:AG160" si="297">AD160</f>
        <v>0</v>
      </c>
      <c r="AF160" s="361">
        <f t="shared" si="297"/>
        <v>0</v>
      </c>
      <c r="AG160" s="361">
        <f t="shared" si="297"/>
        <v>0</v>
      </c>
      <c r="AH160" s="826"/>
      <c r="AI160" s="361">
        <f>N160</f>
        <v>0</v>
      </c>
      <c r="AJ160" s="361">
        <f>O160</f>
        <v>0</v>
      </c>
      <c r="AK160" s="361">
        <f>P160</f>
        <v>0</v>
      </c>
      <c r="AL160" s="361">
        <f>Q160</f>
        <v>0</v>
      </c>
      <c r="AM160" s="827"/>
      <c r="AN160" s="498"/>
      <c r="AO160" s="355"/>
      <c r="AP160" s="355"/>
      <c r="AQ160" s="355"/>
      <c r="AR160" s="355"/>
      <c r="AS160" s="355"/>
      <c r="AT160" s="355"/>
      <c r="AU160" s="43"/>
      <c r="AV160" s="43"/>
      <c r="AW160" s="43"/>
      <c r="AX160" s="43"/>
      <c r="AY160" s="43"/>
      <c r="AZ160" s="43"/>
      <c r="BG160" s="463" t="s">
        <v>141</v>
      </c>
      <c r="BH160" s="43"/>
      <c r="BI160" s="43"/>
      <c r="BJ160" s="43"/>
      <c r="BK160" s="43"/>
      <c r="BL160" s="43"/>
      <c r="BM160" s="43" t="s">
        <v>33</v>
      </c>
      <c r="BN160" s="43"/>
      <c r="BO160" s="43"/>
      <c r="BP160" s="43"/>
      <c r="BQ160" s="43"/>
      <c r="BR160" s="43"/>
    </row>
    <row r="161" spans="1:70" s="440" customFormat="1" outlineLevel="1">
      <c r="A161" s="161"/>
      <c r="B161" s="13"/>
      <c r="C161" s="13"/>
      <c r="D161" s="1113"/>
      <c r="E161" s="13"/>
      <c r="G161" s="818"/>
      <c r="H161" s="442"/>
      <c r="I161" s="442"/>
      <c r="J161" s="442"/>
      <c r="K161" s="520"/>
      <c r="L161" s="442"/>
      <c r="M161" s="443"/>
      <c r="N161" s="443"/>
      <c r="O161" s="443"/>
      <c r="P161" s="443"/>
      <c r="Q161" s="443"/>
      <c r="R161" s="543"/>
      <c r="S161" s="443"/>
      <c r="T161" s="442"/>
      <c r="U161" s="442"/>
      <c r="V161" s="442"/>
      <c r="W161" s="442"/>
      <c r="X161" s="442"/>
      <c r="Y161" s="563"/>
      <c r="Z161" s="442"/>
      <c r="AA161" s="442"/>
      <c r="AB161" s="563"/>
      <c r="AC161" s="442"/>
      <c r="AD161" s="442"/>
      <c r="AE161" s="442"/>
      <c r="AF161" s="442"/>
      <c r="AG161" s="442"/>
      <c r="AH161" s="849"/>
      <c r="AI161" s="442"/>
      <c r="AJ161" s="442"/>
      <c r="AK161" s="442"/>
      <c r="AL161" s="442"/>
      <c r="AM161" s="850"/>
      <c r="AN161" s="520"/>
      <c r="AO161" s="439"/>
      <c r="AP161" s="439"/>
      <c r="AQ161" s="439"/>
      <c r="AR161" s="439"/>
      <c r="AS161" s="439"/>
      <c r="AT161" s="439"/>
      <c r="AU161" s="443"/>
      <c r="AV161" s="443"/>
      <c r="AW161" s="443"/>
      <c r="AX161" s="443"/>
      <c r="AY161" s="443"/>
      <c r="AZ161" s="443"/>
      <c r="BG161" s="443"/>
      <c r="BH161" s="443"/>
      <c r="BI161" s="443"/>
      <c r="BJ161" s="443"/>
      <c r="BK161" s="443"/>
      <c r="BL161" s="443"/>
      <c r="BM161" s="443"/>
      <c r="BN161" s="443"/>
      <c r="BO161" s="443"/>
      <c r="BP161" s="443"/>
      <c r="BQ161" s="443"/>
      <c r="BR161" s="443"/>
    </row>
    <row r="162" spans="1:70" s="440" customFormat="1" outlineLevel="1">
      <c r="A162" s="161"/>
      <c r="B162" s="13"/>
      <c r="C162" s="13"/>
      <c r="D162" s="1113"/>
      <c r="E162" s="13"/>
      <c r="G162" s="818"/>
      <c r="H162" s="442"/>
      <c r="I162" s="442"/>
      <c r="J162" s="442"/>
      <c r="K162" s="520"/>
      <c r="L162" s="442"/>
      <c r="M162" s="443"/>
      <c r="N162" s="443"/>
      <c r="O162" s="443"/>
      <c r="P162" s="443"/>
      <c r="Q162" s="443"/>
      <c r="R162" s="543"/>
      <c r="S162" s="443"/>
      <c r="T162" s="442"/>
      <c r="U162" s="442"/>
      <c r="V162" s="442"/>
      <c r="W162" s="442"/>
      <c r="X162" s="442"/>
      <c r="Y162" s="563"/>
      <c r="Z162" s="442"/>
      <c r="AA162" s="442"/>
      <c r="AB162" s="563"/>
      <c r="AC162" s="442"/>
      <c r="AD162" s="442"/>
      <c r="AE162" s="442"/>
      <c r="AF162" s="442"/>
      <c r="AG162" s="442"/>
      <c r="AH162" s="849"/>
      <c r="AI162" s="442"/>
      <c r="AJ162" s="442"/>
      <c r="AK162" s="442"/>
      <c r="AL162" s="442"/>
      <c r="AM162" s="850"/>
      <c r="AN162" s="520"/>
      <c r="AO162" s="439"/>
      <c r="AP162" s="439"/>
      <c r="AQ162" s="439"/>
      <c r="AR162" s="439"/>
      <c r="AS162" s="439"/>
      <c r="AT162" s="439"/>
      <c r="AU162" s="443"/>
      <c r="AV162" s="443"/>
      <c r="AW162" s="443"/>
      <c r="AX162" s="443"/>
      <c r="AY162" s="443"/>
      <c r="AZ162" s="443"/>
      <c r="BG162" s="443"/>
      <c r="BH162" s="443"/>
      <c r="BI162" s="443"/>
      <c r="BJ162" s="443"/>
      <c r="BK162" s="443"/>
      <c r="BL162" s="443"/>
      <c r="BM162" s="443"/>
      <c r="BN162" s="443"/>
      <c r="BO162" s="443"/>
      <c r="BP162" s="443"/>
      <c r="BQ162" s="443"/>
      <c r="BR162" s="443"/>
    </row>
    <row r="163" spans="1:70" s="446" customFormat="1" ht="20" outlineLevel="1">
      <c r="A163" s="565" t="s">
        <v>362</v>
      </c>
      <c r="B163" s="383"/>
      <c r="C163" s="383"/>
      <c r="D163" s="1122"/>
      <c r="E163" s="383"/>
      <c r="F163" s="737"/>
      <c r="G163" s="384"/>
      <c r="H163" s="383"/>
      <c r="I163" s="383"/>
      <c r="J163" s="383"/>
      <c r="K163" s="523"/>
      <c r="L163" s="383"/>
      <c r="M163" s="445"/>
      <c r="N163" s="385"/>
      <c r="O163" s="385"/>
      <c r="P163" s="385"/>
      <c r="Q163" s="385"/>
      <c r="R163" s="547"/>
      <c r="S163" s="385"/>
      <c r="T163" s="385"/>
      <c r="U163" s="385"/>
      <c r="V163" s="385"/>
      <c r="W163" s="385"/>
      <c r="X163" s="385"/>
      <c r="Y163" s="556"/>
      <c r="Z163" s="385"/>
      <c r="AA163" s="385"/>
      <c r="AB163" s="565"/>
      <c r="AC163" s="383"/>
      <c r="AD163" s="383"/>
      <c r="AE163" s="383"/>
      <c r="AF163" s="383"/>
      <c r="AG163" s="383"/>
      <c r="AH163" s="845"/>
      <c r="AI163" s="383"/>
      <c r="AJ163" s="383"/>
      <c r="AK163" s="383"/>
      <c r="AL163" s="383"/>
      <c r="AM163" s="846"/>
      <c r="AN163" s="523"/>
      <c r="AO163" s="383"/>
      <c r="AP163" s="383"/>
      <c r="AQ163" s="383"/>
      <c r="AR163" s="383"/>
      <c r="AS163" s="383"/>
      <c r="AT163" s="383"/>
      <c r="AU163" s="385"/>
      <c r="AV163" s="385"/>
      <c r="AW163" s="385"/>
      <c r="AX163" s="385"/>
      <c r="AY163" s="385"/>
      <c r="AZ163" s="385"/>
      <c r="BG163" s="445" t="s">
        <v>141</v>
      </c>
      <c r="BH163" s="385"/>
      <c r="BI163" s="385"/>
      <c r="BJ163" s="385"/>
      <c r="BK163" s="385"/>
      <c r="BL163" s="385"/>
      <c r="BM163" s="385" t="s">
        <v>33</v>
      </c>
      <c r="BN163" s="385"/>
      <c r="BO163" s="385"/>
      <c r="BP163" s="385"/>
      <c r="BQ163" s="385"/>
      <c r="BR163" s="385"/>
    </row>
    <row r="164" spans="1:70" s="489" customFormat="1" ht="20" outlineLevel="1">
      <c r="A164" s="1095" t="s">
        <v>357</v>
      </c>
      <c r="B164" s="259"/>
      <c r="C164" s="259"/>
      <c r="D164" s="1126"/>
      <c r="E164" s="259"/>
      <c r="F164" s="734"/>
      <c r="G164" s="779">
        <v>37600</v>
      </c>
      <c r="H164" s="779">
        <f>G164</f>
        <v>37600</v>
      </c>
      <c r="I164" s="779">
        <f t="shared" ref="I164:J167" si="298">H164</f>
        <v>37600</v>
      </c>
      <c r="J164" s="779">
        <f t="shared" si="298"/>
        <v>37600</v>
      </c>
      <c r="K164" s="773"/>
      <c r="L164" s="728"/>
      <c r="M164" s="21"/>
      <c r="N164" s="774">
        <f t="shared" ref="N164:N169" si="299">G164</f>
        <v>37600</v>
      </c>
      <c r="O164" s="774">
        <f t="shared" ref="O164:Q167" si="300">H164</f>
        <v>37600</v>
      </c>
      <c r="P164" s="774">
        <f t="shared" si="300"/>
        <v>37600</v>
      </c>
      <c r="Q164" s="774">
        <f t="shared" si="300"/>
        <v>37600</v>
      </c>
      <c r="R164" s="773"/>
      <c r="S164" s="21"/>
      <c r="T164" s="774">
        <f>N164</f>
        <v>37600</v>
      </c>
      <c r="U164" s="728">
        <f>O164</f>
        <v>37600</v>
      </c>
      <c r="V164" s="728">
        <f>P164</f>
        <v>37600</v>
      </c>
      <c r="W164" s="728">
        <f>Q164</f>
        <v>37600</v>
      </c>
      <c r="Y164" s="775"/>
      <c r="AB164" s="775"/>
      <c r="AH164" s="853"/>
      <c r="AM164" s="854"/>
      <c r="AN164" s="776"/>
      <c r="BH164" s="21"/>
      <c r="BI164" s="21"/>
      <c r="BJ164" s="21"/>
      <c r="BK164" s="21"/>
      <c r="BL164" s="21"/>
      <c r="BM164" s="21" t="s">
        <v>33</v>
      </c>
      <c r="BN164" s="21"/>
      <c r="BO164" s="21"/>
      <c r="BP164" s="21"/>
      <c r="BQ164" s="21"/>
      <c r="BR164" s="21"/>
    </row>
    <row r="165" spans="1:70" s="489" customFormat="1" ht="20" outlineLevel="1">
      <c r="A165" s="1096" t="s">
        <v>323</v>
      </c>
      <c r="B165" s="949"/>
      <c r="C165" s="949"/>
      <c r="D165" s="1127"/>
      <c r="E165" s="949"/>
      <c r="F165" s="734"/>
      <c r="G165" s="780">
        <v>13400</v>
      </c>
      <c r="H165" s="779">
        <f>G165</f>
        <v>13400</v>
      </c>
      <c r="I165" s="779">
        <f t="shared" si="298"/>
        <v>13400</v>
      </c>
      <c r="J165" s="779">
        <f t="shared" si="298"/>
        <v>13400</v>
      </c>
      <c r="K165" s="773"/>
      <c r="L165" s="728"/>
      <c r="M165" s="734"/>
      <c r="N165" s="728">
        <f t="shared" si="299"/>
        <v>13400</v>
      </c>
      <c r="O165" s="728">
        <f t="shared" si="300"/>
        <v>13400</v>
      </c>
      <c r="P165" s="728">
        <f t="shared" si="300"/>
        <v>13400</v>
      </c>
      <c r="Q165" s="728">
        <f t="shared" si="300"/>
        <v>13400</v>
      </c>
      <c r="R165" s="773"/>
      <c r="S165" s="734"/>
      <c r="T165" s="728">
        <v>13100</v>
      </c>
      <c r="U165" s="728">
        <f>T165</f>
        <v>13100</v>
      </c>
      <c r="V165" s="728">
        <f t="shared" ref="V165" si="301">U165</f>
        <v>13100</v>
      </c>
      <c r="W165" s="728">
        <f t="shared" ref="W165" si="302">V165</f>
        <v>13100</v>
      </c>
      <c r="Y165" s="775"/>
      <c r="AB165" s="775"/>
      <c r="AH165" s="853"/>
      <c r="AM165" s="854"/>
      <c r="AN165" s="776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</row>
    <row r="166" spans="1:70" ht="20" outlineLevel="1">
      <c r="A166" s="485" t="s">
        <v>284</v>
      </c>
      <c r="B166" s="80"/>
      <c r="C166" s="80"/>
      <c r="D166" s="1128"/>
      <c r="E166" s="80"/>
      <c r="F166" s="423"/>
      <c r="G166" s="1">
        <v>5700</v>
      </c>
      <c r="H166" s="169">
        <f>G166</f>
        <v>5700</v>
      </c>
      <c r="I166" s="169">
        <f t="shared" si="298"/>
        <v>5700</v>
      </c>
      <c r="J166" s="169">
        <f t="shared" si="298"/>
        <v>5700</v>
      </c>
      <c r="K166" s="407"/>
      <c r="L166" s="169"/>
      <c r="M166" s="423"/>
      <c r="N166" s="1">
        <f t="shared" si="299"/>
        <v>5700</v>
      </c>
      <c r="O166" s="1">
        <f t="shared" si="300"/>
        <v>5700</v>
      </c>
      <c r="P166" s="1">
        <f t="shared" si="300"/>
        <v>5700</v>
      </c>
      <c r="Q166" s="1">
        <f t="shared" si="300"/>
        <v>5700</v>
      </c>
      <c r="S166" s="423"/>
      <c r="T166" s="1">
        <f t="shared" ref="T166:W167" si="303">N166</f>
        <v>5700</v>
      </c>
      <c r="U166" s="1">
        <f t="shared" si="303"/>
        <v>5700</v>
      </c>
      <c r="V166" s="1">
        <f t="shared" si="303"/>
        <v>5700</v>
      </c>
      <c r="W166" s="1">
        <f t="shared" si="303"/>
        <v>5700</v>
      </c>
      <c r="X166" s="423"/>
      <c r="Y166" s="518"/>
      <c r="Z166" s="423"/>
      <c r="AA166" s="423"/>
      <c r="AB166" s="518"/>
      <c r="AC166" s="423"/>
      <c r="AD166" s="423"/>
      <c r="AE166" s="423"/>
      <c r="AF166" s="423"/>
      <c r="AG166" s="423"/>
      <c r="AH166" s="847"/>
      <c r="AI166" s="423"/>
      <c r="AJ166" s="423"/>
      <c r="AK166" s="423"/>
      <c r="AL166" s="423"/>
      <c r="AM166" s="855"/>
      <c r="AN166" s="504"/>
      <c r="AO166" s="423"/>
      <c r="AP166" s="423"/>
      <c r="AQ166" s="423"/>
      <c r="AR166" s="423"/>
      <c r="AS166" s="423"/>
      <c r="AT166" s="423"/>
      <c r="AU166" s="423"/>
      <c r="AV166" s="423"/>
      <c r="AW166" s="423"/>
      <c r="AX166" s="423"/>
      <c r="AY166" s="423"/>
      <c r="AZ166" s="423"/>
      <c r="BG166" s="423"/>
      <c r="BM166" s="14"/>
    </row>
    <row r="167" spans="1:70" ht="20" outlineLevel="1">
      <c r="A167" s="485" t="s">
        <v>500</v>
      </c>
      <c r="B167" s="80"/>
      <c r="C167" s="80"/>
      <c r="D167" s="1128"/>
      <c r="E167" s="80"/>
      <c r="F167" s="423"/>
      <c r="G167" s="1">
        <v>7800</v>
      </c>
      <c r="H167" s="169">
        <f>G167</f>
        <v>7800</v>
      </c>
      <c r="I167" s="169">
        <f t="shared" si="298"/>
        <v>7800</v>
      </c>
      <c r="J167" s="169">
        <f t="shared" si="298"/>
        <v>7800</v>
      </c>
      <c r="K167" s="407"/>
      <c r="L167" s="169"/>
      <c r="M167" s="423"/>
      <c r="N167" s="1">
        <f t="shared" si="299"/>
        <v>7800</v>
      </c>
      <c r="O167" s="1">
        <f t="shared" si="300"/>
        <v>7800</v>
      </c>
      <c r="P167" s="1">
        <f t="shared" si="300"/>
        <v>7800</v>
      </c>
      <c r="Q167" s="1">
        <f t="shared" si="300"/>
        <v>7800</v>
      </c>
      <c r="S167" s="423"/>
      <c r="T167" s="1">
        <f t="shared" si="303"/>
        <v>7800</v>
      </c>
      <c r="U167" s="1">
        <f t="shared" si="303"/>
        <v>7800</v>
      </c>
      <c r="V167" s="1">
        <f t="shared" si="303"/>
        <v>7800</v>
      </c>
      <c r="W167" s="1">
        <f t="shared" si="303"/>
        <v>7800</v>
      </c>
      <c r="X167" s="423"/>
      <c r="Y167" s="518"/>
      <c r="Z167" s="423"/>
      <c r="AA167" s="423"/>
      <c r="AB167" s="518"/>
      <c r="AC167" s="423"/>
      <c r="AD167" s="423"/>
      <c r="AE167" s="423"/>
      <c r="AF167" s="423"/>
      <c r="AG167" s="423"/>
      <c r="AH167" s="847"/>
      <c r="AI167" s="423"/>
      <c r="AJ167" s="423"/>
      <c r="AK167" s="423"/>
      <c r="AL167" s="423"/>
      <c r="AM167" s="855"/>
      <c r="AN167" s="504"/>
      <c r="AO167" s="423"/>
      <c r="AP167" s="423"/>
      <c r="AQ167" s="423"/>
      <c r="AR167" s="423"/>
      <c r="AS167" s="423"/>
      <c r="AT167" s="423"/>
      <c r="AU167" s="423"/>
      <c r="AV167" s="423"/>
      <c r="AW167" s="423"/>
      <c r="AX167" s="423"/>
      <c r="AY167" s="423"/>
      <c r="AZ167" s="423"/>
      <c r="BG167" s="423"/>
      <c r="BM167" s="14"/>
    </row>
    <row r="168" spans="1:70" s="489" customFormat="1" ht="20" outlineLevel="1">
      <c r="A168" s="1097" t="s">
        <v>321</v>
      </c>
      <c r="B168" s="632"/>
      <c r="C168" s="632"/>
      <c r="D168" s="1129"/>
      <c r="E168" s="632"/>
      <c r="G168" s="728">
        <v>20900</v>
      </c>
      <c r="H168" s="728">
        <f>G168</f>
        <v>20900</v>
      </c>
      <c r="I168" s="728">
        <f t="shared" ref="I168:J168" si="304">H168</f>
        <v>20900</v>
      </c>
      <c r="J168" s="728">
        <f t="shared" si="304"/>
        <v>20900</v>
      </c>
      <c r="K168" s="773"/>
      <c r="L168" s="728"/>
      <c r="N168" s="728">
        <f t="shared" si="299"/>
        <v>20900</v>
      </c>
      <c r="O168" s="728">
        <f>N168</f>
        <v>20900</v>
      </c>
      <c r="P168" s="728">
        <f t="shared" ref="P168:Q168" si="305">O168</f>
        <v>20900</v>
      </c>
      <c r="Q168" s="728">
        <f t="shared" si="305"/>
        <v>20900</v>
      </c>
      <c r="R168" s="535"/>
      <c r="S168" s="21"/>
      <c r="T168" s="728">
        <f>N168</f>
        <v>20900</v>
      </c>
      <c r="U168" s="728">
        <f>T168</f>
        <v>20900</v>
      </c>
      <c r="V168" s="728">
        <f t="shared" ref="V168:W168" si="306">U168</f>
        <v>20900</v>
      </c>
      <c r="W168" s="728">
        <f t="shared" si="306"/>
        <v>20900</v>
      </c>
      <c r="X168" s="21"/>
      <c r="Y168" s="129"/>
      <c r="Z168" s="21"/>
      <c r="AA168" s="21"/>
      <c r="AB168" s="775"/>
      <c r="AH168" s="853"/>
      <c r="AM168" s="854"/>
      <c r="AN168" s="776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</row>
    <row r="169" spans="1:70" s="489" customFormat="1" ht="20" outlineLevel="1">
      <c r="A169" s="1097" t="s">
        <v>493</v>
      </c>
      <c r="B169" s="632"/>
      <c r="C169" s="632"/>
      <c r="D169" s="1129"/>
      <c r="E169" s="632"/>
      <c r="G169" s="728"/>
      <c r="H169" s="728"/>
      <c r="I169" s="728"/>
      <c r="J169" s="728"/>
      <c r="K169" s="773"/>
      <c r="L169" s="728"/>
      <c r="N169" s="728">
        <f t="shared" si="299"/>
        <v>0</v>
      </c>
      <c r="O169" s="728">
        <f>H169</f>
        <v>0</v>
      </c>
      <c r="P169" s="728">
        <f>I169</f>
        <v>0</v>
      </c>
      <c r="Q169" s="728">
        <f>J169</f>
        <v>0</v>
      </c>
      <c r="R169" s="535"/>
      <c r="T169" s="728">
        <f>N169</f>
        <v>0</v>
      </c>
      <c r="U169" s="728">
        <f>O169</f>
        <v>0</v>
      </c>
      <c r="V169" s="728">
        <f>P169</f>
        <v>0</v>
      </c>
      <c r="W169" s="728">
        <f>Q169</f>
        <v>0</v>
      </c>
      <c r="X169" s="21"/>
      <c r="Y169" s="129"/>
      <c r="Z169" s="21"/>
      <c r="AA169" s="21"/>
      <c r="AB169" s="775"/>
      <c r="AH169" s="853"/>
      <c r="AM169" s="854"/>
      <c r="AN169" s="776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</row>
    <row r="170" spans="1:70" outlineLevel="1">
      <c r="A170" s="1098"/>
      <c r="B170" s="273"/>
      <c r="C170" s="273"/>
      <c r="D170" s="1130"/>
      <c r="E170" s="273"/>
      <c r="F170" s="423"/>
      <c r="G170" s="169"/>
      <c r="H170" s="169"/>
      <c r="I170" s="169"/>
      <c r="J170" s="169"/>
      <c r="K170" s="407"/>
      <c r="L170" s="169"/>
      <c r="M170" s="423"/>
      <c r="S170" s="423"/>
      <c r="AB170" s="518"/>
      <c r="AC170" s="423"/>
      <c r="AD170" s="423"/>
      <c r="AE170" s="423"/>
      <c r="AF170" s="423"/>
      <c r="AG170" s="423"/>
      <c r="AH170" s="847"/>
      <c r="AI170" s="423"/>
      <c r="AJ170" s="423"/>
      <c r="AK170" s="423"/>
      <c r="AL170" s="423"/>
      <c r="AM170" s="855"/>
      <c r="AN170" s="504"/>
      <c r="AO170" s="423"/>
      <c r="AP170" s="423"/>
      <c r="AQ170" s="423"/>
      <c r="AR170" s="423"/>
      <c r="AS170" s="423"/>
      <c r="AT170" s="423"/>
      <c r="AU170" s="423"/>
      <c r="AV170" s="423"/>
      <c r="AW170" s="423"/>
      <c r="AX170" s="423"/>
      <c r="AY170" s="423"/>
      <c r="AZ170" s="423"/>
      <c r="BG170" s="423"/>
      <c r="BM170" s="14"/>
    </row>
    <row r="171" spans="1:70" s="489" customFormat="1" ht="27" customHeight="1" outlineLevel="1">
      <c r="A171" s="1095" t="s">
        <v>355</v>
      </c>
      <c r="B171" s="259"/>
      <c r="C171" s="259"/>
      <c r="D171" s="1126"/>
      <c r="E171" s="259"/>
      <c r="F171" s="734"/>
      <c r="G171" s="728">
        <v>1600</v>
      </c>
      <c r="H171" s="728">
        <f>G171</f>
        <v>1600</v>
      </c>
      <c r="I171" s="728">
        <f t="shared" ref="I171:J171" si="307">H171</f>
        <v>1600</v>
      </c>
      <c r="J171" s="728">
        <f t="shared" si="307"/>
        <v>1600</v>
      </c>
      <c r="K171" s="773"/>
      <c r="L171" s="728"/>
      <c r="M171" s="21"/>
      <c r="N171" s="778">
        <f>G171</f>
        <v>1600</v>
      </c>
      <c r="O171" s="728">
        <f>H171</f>
        <v>1600</v>
      </c>
      <c r="P171" s="728">
        <f>I171</f>
        <v>1600</v>
      </c>
      <c r="Q171" s="728">
        <f>J171</f>
        <v>1600</v>
      </c>
      <c r="R171" s="773"/>
      <c r="S171" s="21"/>
      <c r="T171" s="778">
        <f>N171</f>
        <v>1600</v>
      </c>
      <c r="U171" s="728">
        <f>O171</f>
        <v>1600</v>
      </c>
      <c r="V171" s="728">
        <f>P171</f>
        <v>1600</v>
      </c>
      <c r="W171" s="728">
        <f>Q171</f>
        <v>1600</v>
      </c>
      <c r="X171" s="21"/>
      <c r="Y171" s="129"/>
      <c r="Z171" s="21"/>
      <c r="AA171" s="21"/>
      <c r="AB171" s="775"/>
      <c r="AH171" s="853"/>
      <c r="AM171" s="854"/>
      <c r="AN171" s="776"/>
      <c r="BH171" s="21"/>
      <c r="BI171" s="21"/>
      <c r="BJ171" s="21"/>
      <c r="BK171" s="21"/>
      <c r="BL171" s="21"/>
      <c r="BM171" s="21" t="s">
        <v>33</v>
      </c>
      <c r="BN171" s="21"/>
      <c r="BO171" s="21"/>
      <c r="BP171" s="21"/>
      <c r="BQ171" s="21"/>
      <c r="BR171" s="21"/>
    </row>
    <row r="172" spans="1:70" outlineLevel="1">
      <c r="A172" s="1093"/>
      <c r="B172" s="359"/>
      <c r="C172" s="359"/>
      <c r="D172" s="1124"/>
      <c r="E172" s="359"/>
      <c r="F172" s="423"/>
      <c r="H172" s="169"/>
      <c r="I172" s="169"/>
      <c r="J172" s="169"/>
      <c r="K172" s="407"/>
      <c r="L172" s="169"/>
      <c r="T172" s="423"/>
      <c r="AB172" s="518"/>
      <c r="AC172" s="423"/>
      <c r="AD172" s="423"/>
      <c r="AE172" s="423"/>
      <c r="AF172" s="423"/>
      <c r="AG172" s="423"/>
      <c r="AH172" s="847"/>
      <c r="AI172" s="423"/>
      <c r="AJ172" s="423"/>
      <c r="AK172" s="423"/>
      <c r="AL172" s="423"/>
      <c r="AM172" s="855"/>
      <c r="AN172" s="504"/>
      <c r="AO172" s="423"/>
      <c r="AP172" s="423"/>
      <c r="AQ172" s="423"/>
      <c r="AR172" s="423"/>
      <c r="AS172" s="423"/>
      <c r="AT172" s="423"/>
      <c r="AU172" s="423"/>
      <c r="AV172" s="423"/>
      <c r="AW172" s="423"/>
      <c r="AX172" s="423"/>
      <c r="AY172" s="423"/>
      <c r="AZ172" s="423"/>
      <c r="BG172" s="423"/>
    </row>
    <row r="173" spans="1:70" outlineLevel="1"/>
    <row r="174" spans="1:70" ht="20" outlineLevel="1">
      <c r="A174" s="558" t="s">
        <v>616</v>
      </c>
      <c r="B174" s="355"/>
      <c r="C174" s="355"/>
      <c r="D174" s="1115"/>
      <c r="E174" s="355"/>
      <c r="F174" s="423"/>
      <c r="G174" s="791">
        <f>G175/10</f>
        <v>21.2</v>
      </c>
      <c r="H174" s="791">
        <f>G174</f>
        <v>21.2</v>
      </c>
      <c r="I174" s="791">
        <f t="shared" ref="I174:J175" si="308">H174</f>
        <v>21.2</v>
      </c>
      <c r="J174" s="791">
        <f t="shared" si="308"/>
        <v>21.2</v>
      </c>
      <c r="K174" s="407"/>
      <c r="L174" s="169"/>
      <c r="N174" s="791">
        <f>J174</f>
        <v>21.2</v>
      </c>
      <c r="O174" s="791">
        <f>N174</f>
        <v>21.2</v>
      </c>
      <c r="P174" s="791">
        <f t="shared" ref="P174:Q175" si="309">O174</f>
        <v>21.2</v>
      </c>
      <c r="Q174" s="791">
        <f t="shared" si="309"/>
        <v>21.2</v>
      </c>
      <c r="T174" s="791">
        <f>G174</f>
        <v>21.2</v>
      </c>
      <c r="U174" s="791">
        <f>O174</f>
        <v>21.2</v>
      </c>
      <c r="V174" s="791">
        <f>P174</f>
        <v>21.2</v>
      </c>
      <c r="W174" s="791">
        <f>Q174</f>
        <v>21.2</v>
      </c>
      <c r="AB174" s="518"/>
      <c r="AC174" s="423"/>
      <c r="AD174" s="423"/>
      <c r="AE174" s="423"/>
      <c r="AF174" s="423"/>
      <c r="AG174" s="423"/>
      <c r="AH174" s="847"/>
      <c r="AI174" s="423"/>
      <c r="AJ174" s="423"/>
      <c r="AK174" s="423"/>
      <c r="AL174" s="423"/>
      <c r="AM174" s="855"/>
      <c r="AN174" s="504"/>
      <c r="AO174" s="423"/>
      <c r="AP174" s="423"/>
      <c r="AQ174" s="423"/>
      <c r="AR174" s="423"/>
      <c r="AS174" s="423"/>
      <c r="AT174" s="423"/>
      <c r="AU174" s="423"/>
      <c r="AV174" s="423"/>
      <c r="AW174" s="423"/>
      <c r="AX174" s="423"/>
      <c r="AY174" s="423"/>
      <c r="AZ174" s="423"/>
      <c r="BG174" s="423"/>
    </row>
    <row r="175" spans="1:70" s="489" customFormat="1" ht="20" outlineLevel="1">
      <c r="A175" s="1095" t="s">
        <v>497</v>
      </c>
      <c r="B175" s="259"/>
      <c r="C175" s="259"/>
      <c r="D175" s="1126"/>
      <c r="E175" s="259"/>
      <c r="G175" s="728">
        <f>'MPS др метрики'!H58</f>
        <v>212</v>
      </c>
      <c r="H175" s="728">
        <f>G175</f>
        <v>212</v>
      </c>
      <c r="I175" s="728">
        <f t="shared" si="308"/>
        <v>212</v>
      </c>
      <c r="J175" s="728">
        <f t="shared" si="308"/>
        <v>212</v>
      </c>
      <c r="K175" s="773"/>
      <c r="L175" s="728"/>
      <c r="M175" s="21"/>
      <c r="N175" s="728">
        <f>G175</f>
        <v>212</v>
      </c>
      <c r="O175" s="728">
        <f>N175</f>
        <v>212</v>
      </c>
      <c r="P175" s="728">
        <f t="shared" si="309"/>
        <v>212</v>
      </c>
      <c r="Q175" s="728">
        <f t="shared" si="309"/>
        <v>212</v>
      </c>
      <c r="R175" s="535"/>
      <c r="S175" s="1"/>
      <c r="T175" s="728">
        <f>N175</f>
        <v>212</v>
      </c>
      <c r="U175" s="728">
        <f>T175</f>
        <v>212</v>
      </c>
      <c r="V175" s="728">
        <f t="shared" ref="V175" si="310">U175</f>
        <v>212</v>
      </c>
      <c r="W175" s="728">
        <f t="shared" ref="W175" si="311">V175</f>
        <v>212</v>
      </c>
      <c r="X175" s="21"/>
      <c r="Y175" s="129"/>
      <c r="Z175" s="21"/>
      <c r="AA175" s="21"/>
      <c r="AB175" s="518"/>
      <c r="AC175" s="728"/>
      <c r="AD175" s="728"/>
      <c r="AE175" s="728"/>
      <c r="AF175" s="728"/>
      <c r="AH175" s="853"/>
      <c r="AI175" s="728"/>
      <c r="AJ175" s="728"/>
      <c r="AK175" s="728"/>
      <c r="AL175" s="728"/>
      <c r="AM175" s="854"/>
      <c r="AN175" s="776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</row>
    <row r="176" spans="1:70" outlineLevel="1">
      <c r="A176" s="1093"/>
      <c r="B176" s="359"/>
      <c r="C176" s="359"/>
      <c r="D176" s="1124"/>
      <c r="E176" s="359"/>
      <c r="F176" s="423"/>
      <c r="G176" s="656"/>
      <c r="H176" s="169"/>
      <c r="I176" s="169"/>
      <c r="J176" s="169"/>
      <c r="K176" s="407"/>
      <c r="L176" s="169"/>
      <c r="T176" s="423"/>
      <c r="AB176" s="518"/>
      <c r="AC176" s="423"/>
      <c r="AD176" s="423"/>
      <c r="AE176" s="423"/>
      <c r="AF176" s="423"/>
      <c r="AG176" s="423"/>
      <c r="AH176" s="847"/>
      <c r="AI176" s="423"/>
      <c r="AJ176" s="423"/>
      <c r="AK176" s="423"/>
      <c r="AL176" s="423"/>
      <c r="AM176" s="855"/>
      <c r="AN176" s="504"/>
      <c r="AO176" s="423"/>
      <c r="AP176" s="423"/>
      <c r="AQ176" s="423"/>
      <c r="AR176" s="423"/>
      <c r="AS176" s="423"/>
      <c r="AT176" s="423"/>
      <c r="AU176" s="423"/>
      <c r="AV176" s="423"/>
      <c r="AW176" s="423"/>
      <c r="AX176" s="423"/>
      <c r="AY176" s="423"/>
      <c r="AZ176" s="423"/>
      <c r="BG176" s="423"/>
    </row>
    <row r="177" spans="1:70" s="456" customFormat="1" ht="20" outlineLevel="1">
      <c r="A177" s="1099" t="s">
        <v>360</v>
      </c>
      <c r="B177" s="455"/>
      <c r="C177" s="455"/>
      <c r="D177" s="1131"/>
      <c r="E177" s="455"/>
      <c r="G177" s="457"/>
      <c r="H177" s="458"/>
      <c r="I177" s="458"/>
      <c r="J177" s="458"/>
      <c r="K177" s="525"/>
      <c r="L177" s="458"/>
      <c r="M177" s="457"/>
      <c r="N177" s="457"/>
      <c r="O177" s="457"/>
      <c r="P177" s="457"/>
      <c r="Q177" s="457"/>
      <c r="R177" s="549"/>
      <c r="S177" s="457"/>
      <c r="U177" s="457"/>
      <c r="V177" s="457"/>
      <c r="W177" s="457"/>
      <c r="X177" s="457"/>
      <c r="Y177" s="548"/>
      <c r="Z177" s="457"/>
      <c r="AA177" s="457"/>
      <c r="AB177" s="524"/>
      <c r="AH177" s="856"/>
      <c r="AM177" s="857"/>
      <c r="AN177" s="566"/>
      <c r="BH177" s="457"/>
      <c r="BI177" s="457"/>
      <c r="BJ177" s="457"/>
      <c r="BK177" s="457"/>
      <c r="BL177" s="457"/>
      <c r="BM177" s="457"/>
      <c r="BN177" s="457"/>
      <c r="BO177" s="457"/>
      <c r="BP177" s="457"/>
      <c r="BQ177" s="457"/>
      <c r="BR177" s="457"/>
    </row>
    <row r="178" spans="1:70" s="2" customFormat="1" outlineLevel="1">
      <c r="A178" s="89" t="s">
        <v>359</v>
      </c>
      <c r="B178" s="15"/>
      <c r="C178" s="15"/>
      <c r="D178" s="1132"/>
      <c r="E178" s="15"/>
      <c r="F178" s="526"/>
      <c r="G178" s="526">
        <v>400000</v>
      </c>
      <c r="H178" s="526">
        <v>400000</v>
      </c>
      <c r="I178" s="526">
        <v>400000</v>
      </c>
      <c r="J178" s="526">
        <v>400000</v>
      </c>
      <c r="K178" s="295"/>
      <c r="L178" s="1"/>
      <c r="M178" s="1"/>
      <c r="N178" s="1"/>
      <c r="O178" s="1"/>
      <c r="P178" s="1"/>
      <c r="Q178" s="1"/>
      <c r="R178" s="295"/>
      <c r="S178" s="1"/>
      <c r="T178" s="1"/>
      <c r="U178" s="1"/>
      <c r="V178" s="1"/>
      <c r="W178" s="1"/>
      <c r="X178" s="1"/>
      <c r="Y178" s="87"/>
      <c r="Z178" s="1"/>
      <c r="AA178" s="1"/>
      <c r="AB178" s="87"/>
      <c r="AC178" s="1"/>
      <c r="AD178" s="1"/>
      <c r="AE178" s="1"/>
      <c r="AF178" s="1"/>
      <c r="AG178" s="1"/>
      <c r="AH178" s="28"/>
      <c r="AI178" s="1"/>
      <c r="AJ178" s="1"/>
      <c r="AK178" s="1"/>
      <c r="AL178" s="1"/>
      <c r="AM178" s="24"/>
      <c r="AN178" s="295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</row>
    <row r="179" spans="1:70" s="2" customFormat="1" outlineLevel="1">
      <c r="A179" s="89" t="s">
        <v>371</v>
      </c>
      <c r="B179" s="15"/>
      <c r="C179" s="15"/>
      <c r="D179" s="1132"/>
      <c r="E179" s="15"/>
      <c r="F179" s="15"/>
      <c r="G179" s="15">
        <v>547</v>
      </c>
      <c r="H179" s="15">
        <v>547</v>
      </c>
      <c r="I179" s="15">
        <v>547</v>
      </c>
      <c r="J179" s="15">
        <v>547</v>
      </c>
      <c r="K179" s="295"/>
      <c r="L179" s="1"/>
      <c r="M179" s="1"/>
      <c r="N179" s="1"/>
      <c r="O179" s="1"/>
      <c r="P179" s="1"/>
      <c r="Q179" s="1"/>
      <c r="R179" s="295"/>
      <c r="S179" s="1"/>
      <c r="T179" s="1"/>
      <c r="U179" s="1"/>
      <c r="V179" s="1"/>
      <c r="W179" s="1"/>
      <c r="X179" s="1"/>
      <c r="Y179" s="87"/>
      <c r="Z179" s="1"/>
      <c r="AA179" s="1"/>
      <c r="AB179" s="87"/>
      <c r="AC179" s="1"/>
      <c r="AD179" s="1"/>
      <c r="AE179" s="1"/>
      <c r="AF179" s="1"/>
      <c r="AG179" s="1"/>
      <c r="AH179" s="28"/>
      <c r="AI179" s="1"/>
      <c r="AJ179" s="1"/>
      <c r="AK179" s="1"/>
      <c r="AL179" s="1"/>
      <c r="AM179" s="24"/>
      <c r="AN179" s="295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</row>
    <row r="180" spans="1:70" ht="20" outlineLevel="1">
      <c r="A180" s="87" t="s">
        <v>372</v>
      </c>
      <c r="F180" s="527"/>
      <c r="G180" s="527">
        <f>G178/G179</f>
        <v>731.26142595978058</v>
      </c>
      <c r="H180" s="527">
        <f t="shared" ref="H180:J180" si="312">H178/H179</f>
        <v>731.26142595978058</v>
      </c>
      <c r="I180" s="527">
        <f t="shared" si="312"/>
        <v>731.26142595978058</v>
      </c>
      <c r="J180" s="527">
        <f t="shared" si="312"/>
        <v>731.26142595978058</v>
      </c>
    </row>
    <row r="181" spans="1:70" outlineLevel="1"/>
    <row r="182" spans="1:70" outlineLevel="1">
      <c r="A182" s="89" t="s">
        <v>494</v>
      </c>
      <c r="B182" s="15"/>
      <c r="C182" s="15"/>
      <c r="D182" s="1132"/>
      <c r="E182" s="15"/>
      <c r="F182" s="527"/>
      <c r="G182" s="15">
        <v>3697</v>
      </c>
      <c r="H182" s="15">
        <v>3697</v>
      </c>
      <c r="I182" s="15">
        <v>3697</v>
      </c>
      <c r="J182" s="15">
        <v>3697</v>
      </c>
    </row>
    <row r="183" spans="1:70" ht="20" outlineLevel="1">
      <c r="A183" s="87" t="s">
        <v>491</v>
      </c>
      <c r="F183" s="527"/>
      <c r="G183" s="772">
        <f>G178/G182</f>
        <v>108.19583446037328</v>
      </c>
      <c r="H183" s="772">
        <f>H178/H182</f>
        <v>108.19583446037328</v>
      </c>
      <c r="I183" s="772">
        <f>I178/I182</f>
        <v>108.19583446037328</v>
      </c>
      <c r="J183" s="772">
        <f>J178/J182</f>
        <v>108.19583446037328</v>
      </c>
    </row>
    <row r="184" spans="1:70" outlineLevel="1">
      <c r="F184" s="527"/>
      <c r="G184" s="772"/>
      <c r="H184" s="772"/>
      <c r="I184" s="772"/>
      <c r="J184" s="772"/>
    </row>
    <row r="185" spans="1:70" ht="40" outlineLevel="1">
      <c r="A185" s="87" t="s">
        <v>496</v>
      </c>
      <c r="F185" s="527"/>
      <c r="G185" s="423"/>
      <c r="H185" s="772">
        <v>81</v>
      </c>
      <c r="I185" s="772">
        <v>81</v>
      </c>
      <c r="J185" s="772">
        <v>81</v>
      </c>
      <c r="N185" s="772">
        <v>81</v>
      </c>
      <c r="O185" s="772">
        <v>81</v>
      </c>
      <c r="P185" s="772">
        <v>81</v>
      </c>
      <c r="Q185" s="772">
        <v>81</v>
      </c>
      <c r="T185" s="772">
        <v>81</v>
      </c>
      <c r="U185" s="772">
        <v>81</v>
      </c>
      <c r="V185" s="772">
        <v>81</v>
      </c>
      <c r="W185" s="772">
        <v>81</v>
      </c>
      <c r="AC185" s="772"/>
      <c r="AD185" s="772"/>
      <c r="AE185" s="772"/>
      <c r="AF185" s="772"/>
    </row>
    <row r="186" spans="1:70" outlineLevel="1">
      <c r="G186" s="423"/>
    </row>
    <row r="187" spans="1:70" outlineLevel="1">
      <c r="A187" s="1244" t="s">
        <v>613</v>
      </c>
      <c r="B187" s="423"/>
      <c r="G187" s="1238">
        <v>1.5</v>
      </c>
      <c r="H187" s="1242">
        <f>G187</f>
        <v>1.5</v>
      </c>
      <c r="I187" s="1242">
        <f t="shared" ref="I187:J187" si="313">H187</f>
        <v>1.5</v>
      </c>
      <c r="J187" s="593">
        <f t="shared" si="313"/>
        <v>1.5</v>
      </c>
    </row>
    <row r="188" spans="1:70" outlineLevel="1">
      <c r="A188" s="1245" t="s">
        <v>614</v>
      </c>
      <c r="B188" s="423"/>
      <c r="G188" s="1240">
        <v>1.73</v>
      </c>
      <c r="H188" s="93">
        <f t="shared" ref="H188:J188" si="314">G188</f>
        <v>1.73</v>
      </c>
      <c r="I188" s="93">
        <f t="shared" si="314"/>
        <v>1.73</v>
      </c>
      <c r="J188" s="596">
        <f t="shared" si="314"/>
        <v>1.73</v>
      </c>
    </row>
    <row r="189" spans="1:70" outlineLevel="1">
      <c r="A189" s="1246" t="s">
        <v>615</v>
      </c>
      <c r="B189" s="423"/>
      <c r="G189" s="1241">
        <v>7.69</v>
      </c>
      <c r="H189" s="1243">
        <f t="shared" ref="H189:J189" si="315">G189</f>
        <v>7.69</v>
      </c>
      <c r="I189" s="1243">
        <f t="shared" si="315"/>
        <v>7.69</v>
      </c>
      <c r="J189" s="598">
        <f t="shared" si="315"/>
        <v>7.69</v>
      </c>
    </row>
    <row r="190" spans="1:70" outlineLevel="1">
      <c r="G190" s="423"/>
    </row>
    <row r="191" spans="1:70" ht="20" outlineLevel="1">
      <c r="A191" s="87" t="s">
        <v>634</v>
      </c>
      <c r="G191" s="1253">
        <v>0.62</v>
      </c>
    </row>
    <row r="192" spans="1:70" ht="20" outlineLevel="1">
      <c r="A192" s="87" t="s">
        <v>635</v>
      </c>
      <c r="B192" s="423"/>
      <c r="G192" s="154">
        <v>15542.8125</v>
      </c>
    </row>
    <row r="193" spans="1:2" outlineLevel="1">
      <c r="A193" s="423"/>
      <c r="B193" s="423"/>
    </row>
  </sheetData>
  <mergeCells count="4">
    <mergeCell ref="AB2:AG2"/>
    <mergeCell ref="AH2:AM2"/>
    <mergeCell ref="AB1:AN1"/>
    <mergeCell ref="M1:R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47295-F922-7342-BA6F-5C2C99FE6BA2}">
  <dimension ref="A1:K65"/>
  <sheetViews>
    <sheetView workbookViewId="0">
      <selection activeCell="H12" sqref="H12"/>
    </sheetView>
  </sheetViews>
  <sheetFormatPr baseColWidth="10" defaultRowHeight="19" outlineLevelRow="1"/>
  <cols>
    <col min="1" max="1" width="49" style="423" customWidth="1"/>
    <col min="2" max="2" width="17.5" style="1211" customWidth="1"/>
    <col min="3" max="4" width="17.5" style="423" customWidth="1"/>
    <col min="5" max="5" width="18.83203125" style="423" customWidth="1"/>
    <col min="6" max="6" width="10.83203125" style="423"/>
    <col min="7" max="7" width="22" style="423" customWidth="1"/>
    <col min="8" max="8" width="14.83203125" style="423" bestFit="1" customWidth="1"/>
    <col min="9" max="9" width="16.33203125" style="423" customWidth="1"/>
    <col min="10" max="10" width="17.83203125" style="423" customWidth="1"/>
    <col min="11" max="11" width="11" style="423" bestFit="1" customWidth="1"/>
    <col min="12" max="16384" width="10.83203125" style="423"/>
  </cols>
  <sheetData>
    <row r="1" spans="1:7" ht="61" thickBot="1">
      <c r="A1" s="1192"/>
      <c r="B1" s="996" t="s">
        <v>572</v>
      </c>
      <c r="C1" s="1231" t="s">
        <v>573</v>
      </c>
      <c r="D1" s="996" t="s">
        <v>574</v>
      </c>
      <c r="E1" s="1232" t="s">
        <v>611</v>
      </c>
    </row>
    <row r="2" spans="1:7">
      <c r="A2" s="1215" t="s">
        <v>39</v>
      </c>
      <c r="B2" s="1216"/>
      <c r="C2" s="1216"/>
      <c r="D2" s="1216"/>
      <c r="E2" s="1217"/>
    </row>
    <row r="3" spans="1:7">
      <c r="A3" s="1228" t="s">
        <v>576</v>
      </c>
      <c r="B3" s="994">
        <f>Гипотезы_v3!K6</f>
        <v>94020</v>
      </c>
      <c r="C3" s="994">
        <f>B3</f>
        <v>94020</v>
      </c>
      <c r="D3" s="994">
        <f>C3</f>
        <v>94020</v>
      </c>
      <c r="E3" s="997">
        <f>D3</f>
        <v>94020</v>
      </c>
    </row>
    <row r="4" spans="1:7">
      <c r="A4" s="1228" t="s">
        <v>575</v>
      </c>
      <c r="B4" s="1193">
        <f>Гипотезы_v3!K20</f>
        <v>6431.6554005377047</v>
      </c>
      <c r="C4" s="1194">
        <f>Гипотезы_v3!R20</f>
        <v>9442.1034774607833</v>
      </c>
      <c r="D4" s="1194">
        <f>Гипотезы_v3!X20</f>
        <v>1643.0369867662032</v>
      </c>
      <c r="E4" s="1195">
        <f>Гипотезы_v3!AN20</f>
        <v>2668.0264732889282</v>
      </c>
      <c r="G4" s="1235"/>
    </row>
    <row r="5" spans="1:7" ht="20" thickBot="1">
      <c r="A5" s="1229" t="s">
        <v>581</v>
      </c>
      <c r="B5" s="1196">
        <f>Гипотезы_v3!E20</f>
        <v>6.8407311216099817E-2</v>
      </c>
      <c r="C5" s="1197">
        <f>Гипотезы_v3!L20</f>
        <v>0.1004265419853306</v>
      </c>
      <c r="D5" s="1197">
        <f>Гипотезы_v3!S18</f>
        <v>1.7475398710553106E-2</v>
      </c>
      <c r="E5" s="1198">
        <f>Гипотезы_v3!AA20</f>
        <v>2.8377222647191318E-2</v>
      </c>
      <c r="G5" s="1235"/>
    </row>
    <row r="6" spans="1:7">
      <c r="A6" s="1215" t="s">
        <v>597</v>
      </c>
      <c r="B6" s="1218"/>
      <c r="C6" s="1219"/>
      <c r="D6" s="1219"/>
      <c r="E6" s="1220"/>
    </row>
    <row r="7" spans="1:7">
      <c r="A7" s="1228" t="s">
        <v>63</v>
      </c>
      <c r="B7" s="1199">
        <f>Гипотезы_v3!K28</f>
        <v>21050.155495653511</v>
      </c>
      <c r="C7" s="1200">
        <f>Гипотезы_v3!R28</f>
        <v>23938.859447715513</v>
      </c>
      <c r="D7" s="1200">
        <f>Гипотезы_v3!X28</f>
        <v>23938.85944771552</v>
      </c>
      <c r="E7" s="1201">
        <f>Гипотезы_v3!AN28</f>
        <v>25405.251595542959</v>
      </c>
      <c r="G7" s="1234"/>
    </row>
    <row r="8" spans="1:7">
      <c r="A8" s="1228" t="s">
        <v>595</v>
      </c>
      <c r="B8" s="1199">
        <f>Гипотезы_v3!K34</f>
        <v>16162.151459236708</v>
      </c>
      <c r="C8" s="1200">
        <f>Гипотезы_v3!R34</f>
        <v>14742.491220573736</v>
      </c>
      <c r="D8" s="1200">
        <f>Гипотезы_v3!X34</f>
        <v>4545.4563963835717</v>
      </c>
      <c r="E8" s="1201">
        <f>Гипотезы_v3!AN34</f>
        <v>9366.7663635677727</v>
      </c>
      <c r="G8" s="1234"/>
    </row>
    <row r="9" spans="1:7">
      <c r="A9" s="518" t="s">
        <v>640</v>
      </c>
      <c r="B9" s="1202">
        <f>Гипотезы_v3!K35</f>
        <v>13270.971671523728</v>
      </c>
      <c r="C9" s="1202">
        <f>Гипотезы_v3!R35</f>
        <v>13312.110077203901</v>
      </c>
      <c r="D9" s="1202">
        <f>Гипотезы_v3!X35</f>
        <v>2844.9196199775706</v>
      </c>
      <c r="E9" s="1203">
        <f>Гипотезы_v3!AN35</f>
        <v>7713.3115681607869</v>
      </c>
      <c r="G9" s="1234"/>
    </row>
    <row r="10" spans="1:7">
      <c r="A10" s="518" t="s">
        <v>612</v>
      </c>
      <c r="B10" s="1204">
        <f>Гипотезы_v3!K36</f>
        <v>1291.1797877129793</v>
      </c>
      <c r="C10" s="1202">
        <f>Гипотезы_v3!R36</f>
        <v>1430.3811433698338</v>
      </c>
      <c r="D10" s="1202">
        <f>Гипотезы_v3!X36</f>
        <v>1700.5367764060015</v>
      </c>
      <c r="E10" s="1203">
        <f>Гипотезы_v3!AN36</f>
        <v>1653.4547954069858</v>
      </c>
    </row>
    <row r="11" spans="1:7" ht="21" thickBot="1">
      <c r="A11" s="91" t="s">
        <v>596</v>
      </c>
      <c r="B11" s="1205">
        <f>Гипотезы_v3!K37</f>
        <v>1600.0000000000002</v>
      </c>
      <c r="C11" s="1206">
        <f>Гипотезы_v3!R37</f>
        <v>0</v>
      </c>
      <c r="D11" s="1206">
        <f>Гипотезы_v3!X37</f>
        <v>0</v>
      </c>
      <c r="E11" s="1207">
        <f>Гипотезы_v3!AN37</f>
        <v>0</v>
      </c>
    </row>
    <row r="12" spans="1:7">
      <c r="A12" s="1215" t="s">
        <v>607</v>
      </c>
      <c r="B12" s="1221"/>
      <c r="C12" s="1222"/>
      <c r="D12" s="1222"/>
      <c r="E12" s="1223"/>
    </row>
    <row r="13" spans="1:7">
      <c r="A13" s="1228" t="s">
        <v>608</v>
      </c>
      <c r="B13" s="1199">
        <f>Гипотезы_v3!K40</f>
        <v>135387346.27577835</v>
      </c>
      <c r="C13" s="1200">
        <f>Гипотезы_v3!R40</f>
        <v>226033188.03771958</v>
      </c>
      <c r="D13" s="1200">
        <f>Гипотезы_v3!X40</f>
        <v>39332431.493594162</v>
      </c>
      <c r="E13" s="1201">
        <f>Гипотезы_v3!AN40</f>
        <v>67781883.817474395</v>
      </c>
    </row>
    <row r="14" spans="1:7" ht="21" thickBot="1">
      <c r="A14" s="1230" t="s">
        <v>335</v>
      </c>
      <c r="B14" s="1208">
        <f>Гипотезы_v3!K46</f>
        <v>103949388.71710812</v>
      </c>
      <c r="C14" s="1209">
        <f>Гипотезы_v3!R46</f>
        <v>139200127.62021434</v>
      </c>
      <c r="D14" s="1209">
        <f>Гипотезы_v3!X46</f>
        <v>7468352.9809912285</v>
      </c>
      <c r="E14" s="1210">
        <f>Гипотезы_v3!AN46</f>
        <v>24990780.627111085</v>
      </c>
    </row>
    <row r="15" spans="1:7" ht="20">
      <c r="A15" s="1224" t="s">
        <v>598</v>
      </c>
      <c r="B15" s="1216"/>
      <c r="C15" s="1225"/>
      <c r="D15" s="1225"/>
      <c r="E15" s="1226"/>
    </row>
    <row r="16" spans="1:7" ht="60">
      <c r="A16" s="1227" t="s">
        <v>609</v>
      </c>
      <c r="B16" s="1287">
        <f>Гипотезы_v3!K68</f>
        <v>31437957.558670241</v>
      </c>
      <c r="C16" s="1286">
        <f>Гипотезы_v3!R68</f>
        <v>86833060.417505264</v>
      </c>
      <c r="D16" s="1288">
        <f>Гипотезы_v3!X68</f>
        <v>31864078.512602933</v>
      </c>
      <c r="E16" s="1289">
        <f>Гипотезы_v3!AN68</f>
        <v>42791103.190363303</v>
      </c>
    </row>
    <row r="17" spans="1:11" ht="40">
      <c r="A17" s="995" t="s">
        <v>610</v>
      </c>
      <c r="B17" s="1204">
        <f>Гипотезы_v3!K70</f>
        <v>54002000</v>
      </c>
      <c r="C17" s="1202">
        <f>Гипотезы_v3!R70</f>
        <v>136788145.29508498</v>
      </c>
      <c r="D17" s="1202">
        <f>Гипотезы_v3!X70</f>
        <v>77328765.795724481</v>
      </c>
      <c r="E17" s="1203">
        <f>Гипотезы_v3!AN70</f>
        <v>85117695.079766825</v>
      </c>
    </row>
    <row r="18" spans="1:11" ht="21" thickBot="1">
      <c r="A18" s="1230" t="s">
        <v>126</v>
      </c>
      <c r="B18" s="1290">
        <f>Гипотезы_v3!K72</f>
        <v>85439957.558670253</v>
      </c>
      <c r="C18" s="1291">
        <f>Гипотезы_v3!R72</f>
        <v>223621205.71259025</v>
      </c>
      <c r="D18" s="1292">
        <f>Гипотезы_v3!X72</f>
        <v>109192844.30832741</v>
      </c>
      <c r="E18" s="1293">
        <f>Гипотезы_v3!AN72</f>
        <v>127908798.27013014</v>
      </c>
    </row>
    <row r="22" spans="1:11" hidden="1" outlineLevel="1">
      <c r="A22" s="656" t="s">
        <v>606</v>
      </c>
    </row>
    <row r="23" spans="1:11" ht="60" hidden="1" outlineLevel="1">
      <c r="B23" s="1212" t="s">
        <v>572</v>
      </c>
      <c r="C23" s="1213" t="s">
        <v>573</v>
      </c>
      <c r="D23" s="1213" t="s">
        <v>574</v>
      </c>
      <c r="E23" s="1214" t="s">
        <v>603</v>
      </c>
      <c r="G23" s="1212" t="s">
        <v>572</v>
      </c>
      <c r="H23" s="1213" t="s">
        <v>573</v>
      </c>
      <c r="I23" s="1213" t="s">
        <v>574</v>
      </c>
      <c r="J23" s="1213" t="s">
        <v>603</v>
      </c>
      <c r="K23" s="1214"/>
    </row>
    <row r="24" spans="1:11" hidden="1" outlineLevel="1">
      <c r="A24" s="423" t="s">
        <v>39</v>
      </c>
    </row>
    <row r="25" spans="1:11" hidden="1" outlineLevel="1">
      <c r="A25" s="423" t="s">
        <v>576</v>
      </c>
      <c r="B25" s="1211">
        <v>94020</v>
      </c>
      <c r="C25" s="423">
        <v>94020</v>
      </c>
      <c r="D25" s="423">
        <v>94020</v>
      </c>
      <c r="E25" s="423">
        <v>94020</v>
      </c>
      <c r="G25" s="1261">
        <f>B25-B3</f>
        <v>0</v>
      </c>
      <c r="H25" s="1261">
        <f t="shared" ref="H25:K25" si="0">C25-C3</f>
        <v>0</v>
      </c>
      <c r="I25" s="1261">
        <f t="shared" si="0"/>
        <v>0</v>
      </c>
      <c r="J25" s="1261">
        <f t="shared" si="0"/>
        <v>0</v>
      </c>
      <c r="K25" s="1261">
        <f t="shared" si="0"/>
        <v>0</v>
      </c>
    </row>
    <row r="26" spans="1:11" hidden="1" outlineLevel="1">
      <c r="A26" s="423" t="s">
        <v>575</v>
      </c>
      <c r="B26" s="1264">
        <v>6750.8966281224721</v>
      </c>
      <c r="C26" s="768">
        <v>9962.0412435070884</v>
      </c>
      <c r="D26" s="768">
        <v>1643.0369867662032</v>
      </c>
      <c r="E26" s="768">
        <v>2736.3591057237763</v>
      </c>
      <c r="G26" s="1261">
        <f t="shared" ref="G26:G36" si="1">B26-B4</f>
        <v>319.24122758476733</v>
      </c>
      <c r="H26" s="1261">
        <f t="shared" ref="H26:H37" si="2">C26-C4</f>
        <v>519.93776604630511</v>
      </c>
      <c r="I26" s="1261">
        <f t="shared" ref="I26:I37" si="3">D26-D4</f>
        <v>0</v>
      </c>
      <c r="J26" s="1261">
        <f t="shared" ref="J26:J37" si="4">E26-E4</f>
        <v>68.332632434848165</v>
      </c>
      <c r="K26" s="1261">
        <f t="shared" ref="K26:K37" si="5">F26-F4</f>
        <v>0</v>
      </c>
    </row>
    <row r="27" spans="1:11" hidden="1" outlineLevel="1">
      <c r="A27" s="423" t="s">
        <v>581</v>
      </c>
      <c r="B27" s="1262">
        <v>7.180277204980294E-2</v>
      </c>
      <c r="C27" s="1260">
        <v>0.1059566182036491</v>
      </c>
      <c r="D27" s="1260">
        <v>1.7475398710553109E-2</v>
      </c>
      <c r="E27" s="1260">
        <v>2.9104010909633864E-2</v>
      </c>
      <c r="G27" s="1261">
        <f t="shared" si="1"/>
        <v>3.3954608337031233E-3</v>
      </c>
      <c r="H27" s="1261">
        <f t="shared" si="2"/>
        <v>5.530076218318497E-3</v>
      </c>
      <c r="I27" s="1261">
        <f t="shared" si="3"/>
        <v>0</v>
      </c>
      <c r="J27" s="1261">
        <f t="shared" si="4"/>
        <v>7.2678826244254591E-4</v>
      </c>
      <c r="K27" s="1261">
        <f t="shared" si="5"/>
        <v>0</v>
      </c>
    </row>
    <row r="28" spans="1:11" hidden="1" outlineLevel="1">
      <c r="A28" s="423" t="s">
        <v>597</v>
      </c>
      <c r="G28" s="1261">
        <f t="shared" si="1"/>
        <v>0</v>
      </c>
      <c r="H28" s="1261">
        <f t="shared" si="2"/>
        <v>0</v>
      </c>
      <c r="I28" s="1261">
        <f t="shared" si="3"/>
        <v>0</v>
      </c>
      <c r="J28" s="1261">
        <f t="shared" si="4"/>
        <v>0</v>
      </c>
      <c r="K28" s="1261">
        <f t="shared" si="5"/>
        <v>0</v>
      </c>
    </row>
    <row r="29" spans="1:11" hidden="1" outlineLevel="1">
      <c r="A29" s="423" t="s">
        <v>63</v>
      </c>
      <c r="B29" s="1263">
        <v>21050.155495653511</v>
      </c>
      <c r="C29" s="1261">
        <v>23938.859447715513</v>
      </c>
      <c r="D29" s="1261">
        <v>23938.85944771552</v>
      </c>
      <c r="E29" s="1261">
        <v>25463.950921737494</v>
      </c>
      <c r="G29" s="1261">
        <f t="shared" si="1"/>
        <v>0</v>
      </c>
      <c r="H29" s="1261">
        <f t="shared" si="2"/>
        <v>0</v>
      </c>
      <c r="I29" s="1261">
        <f t="shared" si="3"/>
        <v>0</v>
      </c>
      <c r="J29" s="1261">
        <f t="shared" si="4"/>
        <v>58.699326194535388</v>
      </c>
      <c r="K29" s="1261">
        <f t="shared" si="5"/>
        <v>0</v>
      </c>
    </row>
    <row r="30" spans="1:11" hidden="1" outlineLevel="1">
      <c r="A30" s="423" t="s">
        <v>595</v>
      </c>
      <c r="B30" s="1263">
        <v>16936.971278936664</v>
      </c>
      <c r="C30" s="1261">
        <v>15272.600426356943</v>
      </c>
      <c r="D30" s="1261">
        <v>4338.6227103074261</v>
      </c>
      <c r="E30" s="1261">
        <v>9652.604837228193</v>
      </c>
      <c r="G30" s="1261">
        <f t="shared" si="1"/>
        <v>774.8198196999565</v>
      </c>
      <c r="H30" s="1261">
        <f t="shared" si="2"/>
        <v>530.10920578320656</v>
      </c>
      <c r="I30" s="1261">
        <f t="shared" si="3"/>
        <v>-206.83368607614557</v>
      </c>
      <c r="J30" s="1261">
        <f t="shared" si="4"/>
        <v>285.83847366042028</v>
      </c>
      <c r="K30" s="1261">
        <f t="shared" si="5"/>
        <v>0</v>
      </c>
    </row>
    <row r="31" spans="1:11" hidden="1" outlineLevel="1">
      <c r="A31" s="423" t="s">
        <v>587</v>
      </c>
      <c r="B31" s="1263">
        <v>14092.398123906689</v>
      </c>
      <c r="C31" s="1261">
        <v>13869.211885972316</v>
      </c>
      <c r="D31" s="1261">
        <v>2844.9196199775706</v>
      </c>
      <c r="E31" s="1261">
        <v>8119.6801798133329</v>
      </c>
      <c r="G31" s="1261">
        <f t="shared" si="1"/>
        <v>821.42645238296063</v>
      </c>
      <c r="H31" s="1261">
        <f t="shared" si="2"/>
        <v>557.10180876841514</v>
      </c>
      <c r="I31" s="1261">
        <f t="shared" si="3"/>
        <v>0</v>
      </c>
      <c r="J31" s="1261">
        <f t="shared" si="4"/>
        <v>406.36861165254595</v>
      </c>
      <c r="K31" s="1261">
        <f t="shared" si="5"/>
        <v>0</v>
      </c>
    </row>
    <row r="32" spans="1:11" hidden="1" outlineLevel="1">
      <c r="A32" s="423" t="s">
        <v>119</v>
      </c>
      <c r="B32" s="1263">
        <v>1244.5731550299754</v>
      </c>
      <c r="C32" s="1261">
        <v>1403.3885403846252</v>
      </c>
      <c r="D32" s="1261">
        <v>1493.7030903298555</v>
      </c>
      <c r="E32" s="1261">
        <v>1532.9246574148597</v>
      </c>
      <c r="G32" s="1261">
        <f t="shared" si="1"/>
        <v>-46.606632683003909</v>
      </c>
      <c r="H32" s="1261">
        <f t="shared" si="2"/>
        <v>-26.992602985208578</v>
      </c>
      <c r="I32" s="1261">
        <f t="shared" si="3"/>
        <v>-206.83368607614602</v>
      </c>
      <c r="J32" s="1261">
        <f t="shared" si="4"/>
        <v>-120.53013799212613</v>
      </c>
      <c r="K32" s="1261">
        <f t="shared" si="5"/>
        <v>0</v>
      </c>
    </row>
    <row r="33" spans="1:11" hidden="1" outlineLevel="1">
      <c r="A33" s="423" t="s">
        <v>596</v>
      </c>
      <c r="B33" s="1211">
        <v>1600</v>
      </c>
      <c r="C33" s="423">
        <v>0</v>
      </c>
      <c r="D33" s="423">
        <v>0</v>
      </c>
      <c r="E33" s="423">
        <v>0</v>
      </c>
      <c r="G33" s="1261">
        <f t="shared" si="1"/>
        <v>0</v>
      </c>
      <c r="H33" s="1261">
        <f t="shared" si="2"/>
        <v>0</v>
      </c>
      <c r="I33" s="1261">
        <f t="shared" si="3"/>
        <v>0</v>
      </c>
      <c r="J33" s="1261">
        <f t="shared" si="4"/>
        <v>0</v>
      </c>
      <c r="K33" s="1261">
        <f t="shared" si="5"/>
        <v>0</v>
      </c>
    </row>
    <row r="34" spans="1:11" hidden="1" outlineLevel="1">
      <c r="A34" s="423" t="s">
        <v>599</v>
      </c>
      <c r="G34" s="1261">
        <f t="shared" si="1"/>
        <v>0</v>
      </c>
      <c r="H34" s="1261">
        <f t="shared" si="2"/>
        <v>0</v>
      </c>
      <c r="I34" s="1261">
        <f t="shared" si="3"/>
        <v>0</v>
      </c>
      <c r="J34" s="1261">
        <f t="shared" si="4"/>
        <v>0</v>
      </c>
      <c r="K34" s="1261">
        <f t="shared" si="5"/>
        <v>0</v>
      </c>
    </row>
    <row r="35" spans="1:11" hidden="1" outlineLevel="1">
      <c r="A35" s="423" t="s">
        <v>342</v>
      </c>
      <c r="B35" s="1264">
        <v>142107423.757061</v>
      </c>
      <c r="C35" s="768">
        <v>238479905.14066127</v>
      </c>
      <c r="D35" s="768">
        <v>39332431.493594162</v>
      </c>
      <c r="E35" s="768">
        <v>69678513.972399741</v>
      </c>
      <c r="G35" s="1261">
        <f t="shared" si="1"/>
        <v>6720077.4812826514</v>
      </c>
      <c r="H35" s="1261">
        <f t="shared" si="2"/>
        <v>12446717.102941692</v>
      </c>
      <c r="I35" s="1261">
        <f t="shared" si="3"/>
        <v>0</v>
      </c>
      <c r="J35" s="1261">
        <f t="shared" si="4"/>
        <v>1896630.1549253464</v>
      </c>
      <c r="K35" s="1261">
        <f t="shared" si="5"/>
        <v>0</v>
      </c>
    </row>
    <row r="36" spans="1:11" hidden="1" outlineLevel="1">
      <c r="A36" s="423" t="s">
        <v>343</v>
      </c>
      <c r="B36" s="1264">
        <v>114339742.29758067</v>
      </c>
      <c r="C36" s="768">
        <v>152146275.3429718</v>
      </c>
      <c r="D36" s="768">
        <v>7128517.584658931</v>
      </c>
      <c r="E36" s="768">
        <v>26412993.140302736</v>
      </c>
      <c r="G36" s="1265">
        <f t="shared" si="1"/>
        <v>10390353.580472559</v>
      </c>
      <c r="H36" s="1265">
        <f t="shared" si="2"/>
        <v>12946147.722757459</v>
      </c>
      <c r="I36" s="1265">
        <f t="shared" si="3"/>
        <v>-339835.39633229747</v>
      </c>
      <c r="J36" s="1265">
        <f t="shared" si="4"/>
        <v>1422212.5131916516</v>
      </c>
      <c r="K36" s="1261">
        <f t="shared" si="5"/>
        <v>0</v>
      </c>
    </row>
    <row r="37" spans="1:11" hidden="1" outlineLevel="1">
      <c r="A37" s="423" t="s">
        <v>598</v>
      </c>
      <c r="G37" s="1265">
        <f>B37-B15</f>
        <v>0</v>
      </c>
      <c r="H37" s="1265">
        <f t="shared" si="2"/>
        <v>0</v>
      </c>
      <c r="I37" s="1265">
        <f t="shared" si="3"/>
        <v>0</v>
      </c>
      <c r="J37" s="1265">
        <f t="shared" si="4"/>
        <v>0</v>
      </c>
      <c r="K37" s="1261">
        <f t="shared" si="5"/>
        <v>0</v>
      </c>
    </row>
    <row r="38" spans="1:11" hidden="1" outlineLevel="1">
      <c r="A38" s="423" t="s">
        <v>604</v>
      </c>
      <c r="B38" s="1263">
        <v>27767681.459480319</v>
      </c>
      <c r="C38" s="1261">
        <v>86333629.797689438</v>
      </c>
      <c r="D38" s="1261">
        <v>32203913.90893523</v>
      </c>
      <c r="E38" s="1261">
        <v>43265520.832096994</v>
      </c>
      <c r="G38" s="1265">
        <f t="shared" ref="G38:G40" si="6">B38-B16</f>
        <v>-3670276.0991899222</v>
      </c>
      <c r="H38" s="1265">
        <f t="shared" ref="H38:H40" si="7">C38-C16</f>
        <v>-499430.61981582642</v>
      </c>
      <c r="I38" s="1265">
        <f t="shared" ref="I38:I40" si="8">D38-D16</f>
        <v>339835.39633229747</v>
      </c>
      <c r="J38" s="1265">
        <f t="shared" ref="J38:J40" si="9">E38-E16</f>
        <v>474417.6417336911</v>
      </c>
      <c r="K38" s="1261">
        <f t="shared" ref="K38:K40" si="10">F38-F16</f>
        <v>0</v>
      </c>
    </row>
    <row r="39" spans="1:11" hidden="1" outlineLevel="1">
      <c r="A39" s="423" t="s">
        <v>605</v>
      </c>
      <c r="B39" s="1263">
        <v>54002000</v>
      </c>
      <c r="C39" s="1261">
        <v>140752103.92837566</v>
      </c>
      <c r="D39" s="1261">
        <v>77328765.795724481</v>
      </c>
      <c r="E39" s="1261">
        <v>85636957.032036319</v>
      </c>
      <c r="G39" s="1265">
        <f t="shared" si="6"/>
        <v>0</v>
      </c>
      <c r="H39" s="1265">
        <f t="shared" si="7"/>
        <v>3963958.6332906783</v>
      </c>
      <c r="I39" s="1265">
        <f t="shared" si="8"/>
        <v>0</v>
      </c>
      <c r="J39" s="1265">
        <f t="shared" si="9"/>
        <v>519261.95226949453</v>
      </c>
      <c r="K39" s="1261">
        <f t="shared" si="10"/>
        <v>0</v>
      </c>
    </row>
    <row r="40" spans="1:11" hidden="1" outlineLevel="1">
      <c r="A40" s="423" t="s">
        <v>126</v>
      </c>
      <c r="B40" s="1263">
        <v>81769681.459480315</v>
      </c>
      <c r="C40" s="1261">
        <v>227085733.72606513</v>
      </c>
      <c r="D40" s="1261">
        <v>109532679.7046597</v>
      </c>
      <c r="E40" s="1261">
        <v>128902477.86413331</v>
      </c>
      <c r="G40" s="1265">
        <f t="shared" si="6"/>
        <v>-3670276.0991899371</v>
      </c>
      <c r="H40" s="1265">
        <f t="shared" si="7"/>
        <v>3464528.0134748816</v>
      </c>
      <c r="I40" s="1265">
        <f t="shared" si="8"/>
        <v>339835.39633229375</v>
      </c>
      <c r="J40" s="1265">
        <f t="shared" si="9"/>
        <v>993679.59400317073</v>
      </c>
      <c r="K40" s="1261">
        <f t="shared" si="10"/>
        <v>0</v>
      </c>
    </row>
    <row r="41" spans="1:11" hidden="1" outlineLevel="1"/>
    <row r="42" spans="1:11" hidden="1" outlineLevel="1">
      <c r="A42" s="423" t="s">
        <v>643</v>
      </c>
    </row>
    <row r="43" spans="1:11" ht="40" hidden="1" outlineLevel="1">
      <c r="B43" s="1211" t="s">
        <v>572</v>
      </c>
      <c r="C43" s="423" t="s">
        <v>573</v>
      </c>
      <c r="D43" s="423" t="s">
        <v>574</v>
      </c>
      <c r="E43" s="423" t="s">
        <v>603</v>
      </c>
    </row>
    <row r="44" spans="1:11" hidden="1" outlineLevel="1">
      <c r="A44" s="423" t="s">
        <v>39</v>
      </c>
    </row>
    <row r="45" spans="1:11" hidden="1" outlineLevel="1">
      <c r="A45" s="423" t="s">
        <v>576</v>
      </c>
      <c r="B45" s="1211">
        <v>94020</v>
      </c>
      <c r="C45" s="423">
        <v>94020</v>
      </c>
      <c r="D45" s="423">
        <v>94020</v>
      </c>
      <c r="E45" s="423">
        <v>94020</v>
      </c>
    </row>
    <row r="46" spans="1:11" hidden="1" outlineLevel="1">
      <c r="A46" s="423" t="s">
        <v>575</v>
      </c>
      <c r="B46" s="1211">
        <v>6750.8966281224721</v>
      </c>
      <c r="C46" s="423">
        <v>9962.0412435070884</v>
      </c>
      <c r="D46" s="423">
        <v>1643.0369867662032</v>
      </c>
      <c r="E46" s="423">
        <v>2736.3591057237763</v>
      </c>
    </row>
    <row r="47" spans="1:11" hidden="1" outlineLevel="1">
      <c r="A47" s="423" t="s">
        <v>581</v>
      </c>
      <c r="B47" s="1211">
        <v>7.180277204980294E-2</v>
      </c>
      <c r="C47" s="423">
        <v>0.1059566182036491</v>
      </c>
      <c r="D47" s="423">
        <v>1.7475398710553106E-2</v>
      </c>
      <c r="E47" s="423">
        <v>2.9104010909633864E-2</v>
      </c>
    </row>
    <row r="48" spans="1:11" hidden="1" outlineLevel="1">
      <c r="A48" s="423" t="s">
        <v>597</v>
      </c>
    </row>
    <row r="49" spans="1:5" hidden="1" outlineLevel="1">
      <c r="A49" s="423" t="s">
        <v>63</v>
      </c>
      <c r="B49" s="1211">
        <v>21050.155495653511</v>
      </c>
      <c r="C49" s="423">
        <v>23938.859447715513</v>
      </c>
      <c r="D49" s="423">
        <v>23938.85944771552</v>
      </c>
      <c r="E49" s="423">
        <v>25463.950921737494</v>
      </c>
    </row>
    <row r="50" spans="1:5" hidden="1" outlineLevel="1">
      <c r="A50" s="423" t="s">
        <v>595</v>
      </c>
      <c r="B50" s="1211">
        <v>16327.366878367957</v>
      </c>
      <c r="C50" s="423">
        <v>14854.610848549295</v>
      </c>
      <c r="D50" s="423">
        <v>4545.4563963835717</v>
      </c>
      <c r="E50" s="423">
        <v>9559.762245922986</v>
      </c>
    </row>
    <row r="51" spans="1:5" hidden="1" outlineLevel="1">
      <c r="A51" s="423" t="s">
        <v>640</v>
      </c>
      <c r="B51" s="1211">
        <v>13440.138229096528</v>
      </c>
      <c r="C51" s="423">
        <v>13427.200151941064</v>
      </c>
      <c r="D51" s="423">
        <v>2844.9196199775706</v>
      </c>
      <c r="E51" s="423">
        <v>7908.1921309302006</v>
      </c>
    </row>
    <row r="52" spans="1:5" hidden="1" outlineLevel="1">
      <c r="A52" s="423" t="s">
        <v>612</v>
      </c>
      <c r="B52" s="1211">
        <v>1287.2286492714295</v>
      </c>
      <c r="C52" s="423">
        <v>1427.4106966082263</v>
      </c>
      <c r="D52" s="423">
        <v>1700.5367764060015</v>
      </c>
      <c r="E52" s="423">
        <v>1651.5701149927866</v>
      </c>
    </row>
    <row r="53" spans="1:5" hidden="1" outlineLevel="1">
      <c r="A53" s="423" t="s">
        <v>596</v>
      </c>
      <c r="B53" s="1211">
        <v>1600</v>
      </c>
      <c r="C53" s="423">
        <v>0</v>
      </c>
      <c r="D53" s="423">
        <v>0</v>
      </c>
      <c r="E53" s="423">
        <v>0</v>
      </c>
    </row>
    <row r="54" spans="1:5" hidden="1" outlineLevel="1">
      <c r="A54" s="423" t="s">
        <v>607</v>
      </c>
    </row>
    <row r="55" spans="1:5" hidden="1" outlineLevel="1">
      <c r="A55" s="423" t="s">
        <v>608</v>
      </c>
      <c r="B55" s="1204">
        <v>142107423.757061</v>
      </c>
      <c r="C55" s="1202">
        <v>238479905.14066127</v>
      </c>
      <c r="D55" s="1202">
        <v>39332431.493594162</v>
      </c>
      <c r="E55" s="1202">
        <v>69678513.972399741</v>
      </c>
    </row>
    <row r="56" spans="1:5" hidden="1" outlineLevel="1">
      <c r="A56" s="423" t="s">
        <v>335</v>
      </c>
      <c r="B56" s="1204">
        <v>110224366.00529277</v>
      </c>
      <c r="C56" s="1202">
        <v>147982245.9294959</v>
      </c>
      <c r="D56" s="1202">
        <v>7468352.9809912285</v>
      </c>
      <c r="E56" s="1202">
        <v>26158942.470185742</v>
      </c>
    </row>
    <row r="57" spans="1:5" hidden="1" outlineLevel="1">
      <c r="A57" s="423" t="s">
        <v>598</v>
      </c>
      <c r="B57" s="1204"/>
      <c r="C57" s="1202"/>
      <c r="D57" s="1202"/>
      <c r="E57" s="1202"/>
    </row>
    <row r="58" spans="1:5" hidden="1" outlineLevel="1">
      <c r="A58" s="423" t="s">
        <v>604</v>
      </c>
      <c r="B58" s="1204">
        <v>31883057.751768213</v>
      </c>
      <c r="C58" s="1202">
        <v>90497659.211165398</v>
      </c>
      <c r="D58" s="1202">
        <v>31864078.512602933</v>
      </c>
      <c r="E58" s="1202">
        <v>43519571.502213985</v>
      </c>
    </row>
    <row r="59" spans="1:5" hidden="1" outlineLevel="1">
      <c r="A59" s="423" t="s">
        <v>605</v>
      </c>
      <c r="B59" s="1204">
        <v>54002000</v>
      </c>
      <c r="C59" s="1202">
        <v>140752103.92837566</v>
      </c>
      <c r="D59" s="1202">
        <v>77328765.795724481</v>
      </c>
      <c r="E59" s="1202">
        <v>85636957.032036319</v>
      </c>
    </row>
    <row r="60" spans="1:5" hidden="1" outlineLevel="1">
      <c r="A60" s="423" t="s">
        <v>126</v>
      </c>
      <c r="B60" s="677">
        <v>85885057.751768202</v>
      </c>
      <c r="C60" s="1294">
        <v>231249763.13954106</v>
      </c>
      <c r="D60" s="1294">
        <v>109192844.30832741</v>
      </c>
      <c r="E60" s="1294">
        <v>129156528.5342503</v>
      </c>
    </row>
    <row r="61" spans="1:5" hidden="1" outlineLevel="1"/>
    <row r="62" spans="1:5" hidden="1" outlineLevel="1">
      <c r="B62" s="1204">
        <f>B58-B16</f>
        <v>445100.19309797138</v>
      </c>
      <c r="C62" s="1204">
        <f t="shared" ref="C62:E62" si="11">C58-C16</f>
        <v>3664598.7936601341</v>
      </c>
      <c r="D62" s="1204">
        <f t="shared" si="11"/>
        <v>0</v>
      </c>
      <c r="E62" s="1204">
        <f t="shared" si="11"/>
        <v>728468.3118506819</v>
      </c>
    </row>
    <row r="63" spans="1:5" hidden="1" outlineLevel="1">
      <c r="B63" s="1204">
        <f>B60-B18</f>
        <v>445100.19309794903</v>
      </c>
      <c r="C63" s="1204">
        <f t="shared" ref="C63:E63" si="12">C60-C18</f>
        <v>7628557.4269508123</v>
      </c>
      <c r="D63" s="1204">
        <f t="shared" si="12"/>
        <v>0</v>
      </c>
      <c r="E63" s="1204">
        <f t="shared" si="12"/>
        <v>1247730.2641201615</v>
      </c>
    </row>
    <row r="64" spans="1:5" hidden="1" outlineLevel="1"/>
    <row r="65" collapsed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860D-0E76-644F-A1B2-233A30180411}">
  <dimension ref="A1:BM177"/>
  <sheetViews>
    <sheetView topLeftCell="J15" workbookViewId="0">
      <selection activeCell="AB177" sqref="AB177"/>
    </sheetView>
  </sheetViews>
  <sheetFormatPr baseColWidth="10" defaultRowHeight="19" outlineLevelRow="1" outlineLevelCol="1"/>
  <cols>
    <col min="1" max="1" width="58.83203125" style="738" customWidth="1"/>
    <col min="2" max="2" width="18.33203125" style="1" hidden="1" customWidth="1" outlineLevel="1"/>
    <col min="3" max="3" width="14.33203125" style="1" hidden="1" customWidth="1" outlineLevel="1"/>
    <col min="4" max="4" width="15.33203125" style="1" customWidth="1" collapsed="1"/>
    <col min="5" max="5" width="16" style="2" customWidth="1"/>
    <col min="6" max="9" width="19.33203125" style="1" hidden="1" customWidth="1" outlineLevel="1"/>
    <col min="10" max="10" width="20.5" style="295" customWidth="1" collapsed="1"/>
    <col min="11" max="11" width="17" style="87" customWidth="1"/>
    <col min="12" max="15" width="17" style="1" hidden="1" customWidth="1" outlineLevel="1"/>
    <col min="16" max="16" width="18.1640625" style="295" customWidth="1" collapsed="1"/>
    <col min="17" max="17" width="17" style="87" customWidth="1"/>
    <col min="18" max="20" width="17" style="1" hidden="1" customWidth="1" outlineLevel="1"/>
    <col min="21" max="21" width="17.33203125" style="1" hidden="1" customWidth="1" outlineLevel="1"/>
    <col min="22" max="22" width="16.5" style="1" customWidth="1" collapsed="1"/>
    <col min="23" max="23" width="14.33203125" style="87" customWidth="1"/>
    <col min="24" max="27" width="14.33203125" style="1" hidden="1" customWidth="1" outlineLevel="1"/>
    <col min="28" max="28" width="14.33203125" style="1" customWidth="1" collapsed="1"/>
    <col min="29" max="29" width="14.33203125" style="28" customWidth="1"/>
    <col min="30" max="33" width="14.33203125" style="1" hidden="1" customWidth="1" outlineLevel="1"/>
    <col min="34" max="34" width="14.33203125" style="24" customWidth="1" collapsed="1"/>
    <col min="35" max="35" width="17" style="295" customWidth="1"/>
    <col min="36" max="40" width="11.83203125" style="1" customWidth="1"/>
    <col min="41" max="41" width="13.83203125" style="1" customWidth="1"/>
    <col min="42" max="42" width="16.33203125" style="1" customWidth="1"/>
    <col min="43" max="47" width="17" style="1" customWidth="1"/>
    <col min="48" max="53" width="10.83203125" style="423"/>
    <col min="54" max="65" width="17" style="1" customWidth="1"/>
    <col min="66" max="16384" width="10.83203125" style="423"/>
  </cols>
  <sheetData>
    <row r="1" spans="1:65" s="805" customFormat="1" ht="41" thickBot="1">
      <c r="A1" s="950" t="s">
        <v>558</v>
      </c>
      <c r="B1" s="1"/>
      <c r="C1" s="1"/>
      <c r="D1" s="1"/>
      <c r="E1" s="309" t="s">
        <v>314</v>
      </c>
      <c r="F1" s="676"/>
      <c r="G1" s="310"/>
      <c r="H1" s="310"/>
      <c r="I1" s="310"/>
      <c r="J1" s="858"/>
      <c r="K1" s="675" t="s">
        <v>315</v>
      </c>
      <c r="L1" s="676"/>
      <c r="M1" s="310"/>
      <c r="N1" s="310"/>
      <c r="O1" s="310"/>
      <c r="P1" s="858"/>
      <c r="Q1" s="675" t="s">
        <v>401</v>
      </c>
      <c r="R1" s="676"/>
      <c r="S1" s="310"/>
      <c r="T1" s="310"/>
      <c r="U1" s="310"/>
      <c r="V1" s="310"/>
      <c r="W1" s="1312" t="s">
        <v>450</v>
      </c>
      <c r="X1" s="1313"/>
      <c r="Y1" s="1313"/>
      <c r="Z1" s="1313"/>
      <c r="AA1" s="1313"/>
      <c r="AB1" s="1313"/>
      <c r="AC1" s="1310"/>
      <c r="AD1" s="1310"/>
      <c r="AE1" s="1310"/>
      <c r="AF1" s="1310"/>
      <c r="AG1" s="1310"/>
      <c r="AH1" s="1310"/>
      <c r="AI1" s="1314"/>
      <c r="AJ1" s="859" t="s">
        <v>316</v>
      </c>
      <c r="AK1" s="860"/>
      <c r="AL1" s="861"/>
      <c r="AM1" s="861"/>
      <c r="AN1" s="861"/>
      <c r="AO1" s="862"/>
      <c r="AP1" s="863" t="s">
        <v>317</v>
      </c>
      <c r="AQ1" s="860"/>
      <c r="AR1" s="861"/>
      <c r="AS1" s="861"/>
      <c r="AT1" s="861"/>
      <c r="AU1" s="862"/>
    </row>
    <row r="2" spans="1:65" s="454" customFormat="1" ht="21" customHeight="1" thickBot="1">
      <c r="A2" s="864"/>
      <c r="B2" s="88"/>
      <c r="C2" s="88"/>
      <c r="D2" s="88"/>
      <c r="E2" s="865"/>
      <c r="F2" s="88"/>
      <c r="G2" s="866"/>
      <c r="H2" s="866"/>
      <c r="I2" s="866"/>
      <c r="J2" s="867"/>
      <c r="K2" s="868"/>
      <c r="L2" s="88"/>
      <c r="M2" s="866"/>
      <c r="N2" s="866"/>
      <c r="O2" s="866"/>
      <c r="P2" s="867"/>
      <c r="Q2" s="869"/>
      <c r="R2" s="870"/>
      <c r="S2" s="871"/>
      <c r="T2" s="871"/>
      <c r="U2" s="871"/>
      <c r="V2" s="871"/>
      <c r="W2" s="1315" t="s">
        <v>449</v>
      </c>
      <c r="X2" s="1316"/>
      <c r="Y2" s="1316"/>
      <c r="Z2" s="1316"/>
      <c r="AA2" s="1316"/>
      <c r="AB2" s="1316"/>
      <c r="AC2" s="1317" t="s">
        <v>448</v>
      </c>
      <c r="AD2" s="1318"/>
      <c r="AE2" s="1318"/>
      <c r="AF2" s="1318"/>
      <c r="AG2" s="1318"/>
      <c r="AH2" s="1319"/>
      <c r="AI2" s="872"/>
      <c r="AJ2" s="873"/>
      <c r="AK2" s="88"/>
      <c r="AL2" s="866"/>
      <c r="AM2" s="866"/>
      <c r="AN2" s="866"/>
      <c r="AO2" s="874"/>
      <c r="AP2" s="873"/>
      <c r="AQ2" s="88"/>
      <c r="AR2" s="866"/>
      <c r="AS2" s="866"/>
      <c r="AT2" s="866"/>
      <c r="AU2" s="874"/>
    </row>
    <row r="3" spans="1:65" s="578" customFormat="1" ht="114" customHeight="1">
      <c r="A3" s="739" t="s">
        <v>39</v>
      </c>
      <c r="B3" s="347" t="s">
        <v>559</v>
      </c>
      <c r="C3" s="347" t="s">
        <v>559</v>
      </c>
      <c r="D3" s="347"/>
      <c r="E3" s="631" t="s">
        <v>402</v>
      </c>
      <c r="F3" s="347" t="s">
        <v>37</v>
      </c>
      <c r="G3" s="347" t="s">
        <v>214</v>
      </c>
      <c r="H3" s="347" t="s">
        <v>210</v>
      </c>
      <c r="I3" s="347" t="s">
        <v>209</v>
      </c>
      <c r="J3" s="348" t="s">
        <v>420</v>
      </c>
      <c r="K3" s="577" t="s">
        <v>402</v>
      </c>
      <c r="L3" s="347" t="s">
        <v>301</v>
      </c>
      <c r="M3" s="347" t="s">
        <v>302</v>
      </c>
      <c r="N3" s="347" t="s">
        <v>303</v>
      </c>
      <c r="O3" s="347" t="s">
        <v>304</v>
      </c>
      <c r="P3" s="348" t="s">
        <v>420</v>
      </c>
      <c r="Q3" s="577" t="s">
        <v>402</v>
      </c>
      <c r="R3" s="347" t="s">
        <v>301</v>
      </c>
      <c r="S3" s="347" t="s">
        <v>302</v>
      </c>
      <c r="T3" s="347" t="s">
        <v>303</v>
      </c>
      <c r="U3" s="347" t="s">
        <v>304</v>
      </c>
      <c r="V3" s="347" t="s">
        <v>420</v>
      </c>
      <c r="W3" s="665" t="s">
        <v>402</v>
      </c>
      <c r="X3" s="85" t="s">
        <v>301</v>
      </c>
      <c r="Y3" s="85" t="s">
        <v>302</v>
      </c>
      <c r="Z3" s="85" t="s">
        <v>303</v>
      </c>
      <c r="AA3" s="85" t="s">
        <v>304</v>
      </c>
      <c r="AB3" s="85" t="s">
        <v>445</v>
      </c>
      <c r="AC3" s="667" t="s">
        <v>402</v>
      </c>
      <c r="AD3" s="85" t="s">
        <v>301</v>
      </c>
      <c r="AE3" s="85" t="s">
        <v>302</v>
      </c>
      <c r="AF3" s="85" t="s">
        <v>303</v>
      </c>
      <c r="AG3" s="85" t="s">
        <v>304</v>
      </c>
      <c r="AH3" s="666" t="s">
        <v>446</v>
      </c>
      <c r="AI3" s="686" t="s">
        <v>447</v>
      </c>
      <c r="AJ3" s="631" t="s">
        <v>402</v>
      </c>
      <c r="AK3" s="347" t="s">
        <v>301</v>
      </c>
      <c r="AL3" s="347" t="s">
        <v>302</v>
      </c>
      <c r="AM3" s="347" t="s">
        <v>303</v>
      </c>
      <c r="AN3" s="347" t="s">
        <v>304</v>
      </c>
      <c r="AO3" s="412" t="s">
        <v>34</v>
      </c>
      <c r="AP3" s="411" t="s">
        <v>127</v>
      </c>
      <c r="AQ3" s="347" t="s">
        <v>301</v>
      </c>
      <c r="AR3" s="347" t="s">
        <v>302</v>
      </c>
      <c r="AS3" s="347" t="s">
        <v>303</v>
      </c>
      <c r="AT3" s="347" t="s">
        <v>304</v>
      </c>
      <c r="AU3" s="412" t="s">
        <v>34</v>
      </c>
    </row>
    <row r="4" spans="1:65" ht="20">
      <c r="A4" s="738" t="s">
        <v>45</v>
      </c>
      <c r="E4" s="795">
        <v>1</v>
      </c>
      <c r="F4" s="1">
        <f>'База селлеров'!B63</f>
        <v>79000</v>
      </c>
      <c r="G4" s="1">
        <f>'База селлеров'!C63</f>
        <v>33000</v>
      </c>
      <c r="H4" s="1">
        <f>'База селлеров'!D65</f>
        <v>1820.0000000000002</v>
      </c>
      <c r="I4" s="1">
        <f>'База селлеров'!E65</f>
        <v>3705</v>
      </c>
      <c r="J4" s="297">
        <f>SUM(F4:I4)</f>
        <v>117525</v>
      </c>
      <c r="K4" s="296">
        <f>E4</f>
        <v>1</v>
      </c>
      <c r="L4" s="1">
        <f>F4</f>
        <v>79000</v>
      </c>
      <c r="M4" s="1">
        <f t="shared" ref="M4:O4" si="0">G4</f>
        <v>33000</v>
      </c>
      <c r="N4" s="1">
        <f t="shared" si="0"/>
        <v>1820.0000000000002</v>
      </c>
      <c r="O4" s="1">
        <f t="shared" si="0"/>
        <v>3705</v>
      </c>
      <c r="P4" s="297">
        <f>SUM(L4:O4)</f>
        <v>117525</v>
      </c>
      <c r="Q4" s="296">
        <f>K4</f>
        <v>1</v>
      </c>
      <c r="R4" s="1">
        <f>L4</f>
        <v>79000</v>
      </c>
      <c r="S4" s="1">
        <f>M4</f>
        <v>33000</v>
      </c>
      <c r="T4" s="1">
        <f>N4</f>
        <v>1820.0000000000002</v>
      </c>
      <c r="U4" s="1">
        <f>O4</f>
        <v>3705</v>
      </c>
      <c r="V4" s="13">
        <f>SUM(R4:U4)</f>
        <v>117525</v>
      </c>
      <c r="X4" s="154">
        <f>R4*R67</f>
        <v>70079.174723972304</v>
      </c>
      <c r="Y4" s="154">
        <f>S4*S67</f>
        <v>27249.295112781954</v>
      </c>
      <c r="Z4" s="154">
        <f>T4*T67</f>
        <v>1564.9857633945626</v>
      </c>
      <c r="AA4" s="154">
        <f>U4*U67</f>
        <v>3185.8638754817875</v>
      </c>
      <c r="AB4" s="279">
        <f>SUM(X4:AA4)</f>
        <v>102079.31947563062</v>
      </c>
      <c r="AD4" s="154">
        <f>R4-X4</f>
        <v>8920.8252760276955</v>
      </c>
      <c r="AE4" s="154">
        <f t="shared" ref="AE4:AG4" si="1">S4-Y4</f>
        <v>5750.7048872180458</v>
      </c>
      <c r="AF4" s="154">
        <f t="shared" si="1"/>
        <v>255.01423660543765</v>
      </c>
      <c r="AG4" s="154">
        <f t="shared" si="1"/>
        <v>519.13612451821245</v>
      </c>
      <c r="AH4" s="687">
        <f>SUM(AD4:AG4)</f>
        <v>15445.680524369391</v>
      </c>
      <c r="AI4" s="301">
        <f>AB4+AH4</f>
        <v>117525.00000000001</v>
      </c>
      <c r="AO4" s="24"/>
      <c r="AP4" s="28"/>
      <c r="AQ4" s="1">
        <f>R4</f>
        <v>79000</v>
      </c>
      <c r="AR4" s="1">
        <f>S4</f>
        <v>33000</v>
      </c>
      <c r="AS4" s="1">
        <f>T4</f>
        <v>1820.0000000000002</v>
      </c>
      <c r="AT4" s="1">
        <f>U4</f>
        <v>3705</v>
      </c>
      <c r="AU4" s="24">
        <f>V4</f>
        <v>117525</v>
      </c>
      <c r="BB4" s="423"/>
      <c r="BC4" s="423"/>
      <c r="BD4" s="423"/>
      <c r="BE4" s="423"/>
      <c r="BF4" s="423"/>
      <c r="BG4" s="423"/>
      <c r="BH4" s="423"/>
      <c r="BI4" s="423"/>
      <c r="BJ4" s="423"/>
      <c r="BK4" s="423"/>
      <c r="BL4" s="423"/>
      <c r="BM4" s="423"/>
    </row>
    <row r="5" spans="1:65" s="272" customFormat="1" ht="20" hidden="1" outlineLevel="1">
      <c r="A5" s="740" t="s">
        <v>318</v>
      </c>
      <c r="B5" s="1"/>
      <c r="C5" s="1"/>
      <c r="D5" s="668"/>
      <c r="E5" s="796"/>
      <c r="F5" s="668"/>
      <c r="G5" s="668"/>
      <c r="H5" s="285">
        <f>'База селлеров'!D67</f>
        <v>127.40000000000003</v>
      </c>
      <c r="I5" s="285">
        <f>'База селлеров'!E67</f>
        <v>1222.6500000000001</v>
      </c>
      <c r="J5" s="350"/>
      <c r="K5" s="351"/>
      <c r="L5" s="668"/>
      <c r="M5" s="668"/>
      <c r="N5" s="285">
        <f>H5</f>
        <v>127.40000000000003</v>
      </c>
      <c r="O5" s="285">
        <f>I5</f>
        <v>1222.6500000000001</v>
      </c>
      <c r="P5" s="350"/>
      <c r="Q5" s="351"/>
      <c r="R5" s="668"/>
      <c r="S5" s="668"/>
      <c r="T5" s="285">
        <f>N5</f>
        <v>127.40000000000003</v>
      </c>
      <c r="U5" s="285">
        <f>O5</f>
        <v>1222.6500000000001</v>
      </c>
      <c r="V5" s="669"/>
      <c r="W5" s="351"/>
      <c r="X5" s="668"/>
      <c r="Y5" s="668"/>
      <c r="Z5" s="285">
        <f>'База селлеров'!D66*Гипотезы_v1!W4</f>
        <v>109.54900343761939</v>
      </c>
      <c r="AA5" s="285">
        <f>'База селлеров'!E66*Гипотезы_v1!X4</f>
        <v>1051.33507890899</v>
      </c>
      <c r="AB5" s="668"/>
      <c r="AC5" s="470"/>
      <c r="AD5" s="669"/>
      <c r="AE5" s="668"/>
      <c r="AF5" s="285">
        <f>AF4*'База селлеров'!D66</f>
        <v>17.850996562380637</v>
      </c>
      <c r="AG5" s="285">
        <f>AG4*'База селлеров'!E66</f>
        <v>171.31492109101012</v>
      </c>
      <c r="AH5" s="352"/>
      <c r="AI5" s="641"/>
      <c r="AJ5" s="668"/>
      <c r="AK5" s="668"/>
      <c r="AL5" s="668"/>
      <c r="AM5" s="668"/>
      <c r="AN5" s="668"/>
      <c r="AO5" s="352"/>
      <c r="AP5" s="470"/>
      <c r="AQ5" s="668"/>
      <c r="AR5" s="668"/>
      <c r="AS5" s="668"/>
      <c r="AT5" s="668"/>
      <c r="AU5" s="352"/>
    </row>
    <row r="6" spans="1:65" ht="20" collapsed="1">
      <c r="A6" s="741" t="s">
        <v>325</v>
      </c>
      <c r="C6" s="648">
        <v>1</v>
      </c>
      <c r="D6" s="648" t="s">
        <v>565</v>
      </c>
      <c r="E6" s="797">
        <v>0.8</v>
      </c>
      <c r="F6" s="1">
        <f>F4*$E$6</f>
        <v>63200</v>
      </c>
      <c r="G6" s="1">
        <f>G4*$E$6</f>
        <v>26400</v>
      </c>
      <c r="H6" s="1">
        <f>H4*$E$6</f>
        <v>1456.0000000000002</v>
      </c>
      <c r="I6" s="1">
        <f>I4*$E$6</f>
        <v>2964</v>
      </c>
      <c r="J6" s="297">
        <f>SUM(F6:I6)</f>
        <v>94020</v>
      </c>
      <c r="K6" s="298">
        <f>E6</f>
        <v>0.8</v>
      </c>
      <c r="L6" s="1">
        <f>F6</f>
        <v>63200</v>
      </c>
      <c r="M6" s="1">
        <f t="shared" ref="M6:O6" si="2">G6</f>
        <v>26400</v>
      </c>
      <c r="N6" s="1">
        <f t="shared" si="2"/>
        <v>1456.0000000000002</v>
      </c>
      <c r="O6" s="1">
        <f t="shared" si="2"/>
        <v>2964</v>
      </c>
      <c r="P6" s="297">
        <f>SUM(L6:O6)</f>
        <v>94020</v>
      </c>
      <c r="Q6" s="298">
        <f>K6</f>
        <v>0.8</v>
      </c>
      <c r="R6" s="1">
        <f>L6</f>
        <v>63200</v>
      </c>
      <c r="S6" s="1">
        <f t="shared" ref="S6:U6" si="3">M6</f>
        <v>26400</v>
      </c>
      <c r="T6" s="1">
        <f t="shared" si="3"/>
        <v>1456.0000000000002</v>
      </c>
      <c r="U6" s="1">
        <f t="shared" si="3"/>
        <v>2964</v>
      </c>
      <c r="V6" s="13">
        <f>SUM(R6:U6)</f>
        <v>94020</v>
      </c>
      <c r="W6" s="296">
        <f>Q6</f>
        <v>0.8</v>
      </c>
      <c r="X6" s="154">
        <f>$W$6*X4</f>
        <v>56063.339779177848</v>
      </c>
      <c r="Y6" s="154">
        <f t="shared" ref="Y6:AA6" si="4">$W$6*Y4</f>
        <v>21799.436090225565</v>
      </c>
      <c r="Z6" s="154">
        <f t="shared" si="4"/>
        <v>1251.9886107156501</v>
      </c>
      <c r="AA6" s="154">
        <f t="shared" si="4"/>
        <v>2548.6911003854302</v>
      </c>
      <c r="AB6" s="279">
        <f>SUM(X6:AA6)</f>
        <v>81663.455580504495</v>
      </c>
      <c r="AC6" s="283">
        <f>K6</f>
        <v>0.8</v>
      </c>
      <c r="AD6" s="154">
        <f>$AC$6*AD4</f>
        <v>7136.6602208221566</v>
      </c>
      <c r="AE6" s="154">
        <f t="shared" ref="AE6:AG6" si="5">$AC$6*AE4</f>
        <v>4600.563909774437</v>
      </c>
      <c r="AF6" s="154">
        <f t="shared" si="5"/>
        <v>204.01138928435012</v>
      </c>
      <c r="AG6" s="154">
        <f t="shared" si="5"/>
        <v>415.30889961457001</v>
      </c>
      <c r="AH6" s="687">
        <f>SUM(AD6:AG6)</f>
        <v>12356.544419495516</v>
      </c>
      <c r="AI6" s="301">
        <f>AB6+AH6</f>
        <v>94020.000000000015</v>
      </c>
      <c r="AO6" s="24"/>
      <c r="AP6" s="28"/>
      <c r="AT6" s="1">
        <f>AT4</f>
        <v>3705</v>
      </c>
      <c r="AU6" s="24">
        <f>AU4</f>
        <v>117525</v>
      </c>
      <c r="BB6" s="423"/>
      <c r="BC6" s="423"/>
      <c r="BD6" s="423"/>
      <c r="BE6" s="423"/>
      <c r="BF6" s="423"/>
      <c r="BG6" s="423"/>
      <c r="BH6" s="423"/>
      <c r="BI6" s="423"/>
      <c r="BJ6" s="423"/>
      <c r="BK6" s="423"/>
      <c r="BL6" s="423"/>
      <c r="BM6" s="423"/>
    </row>
    <row r="7" spans="1:65" ht="20" hidden="1" outlineLevel="1">
      <c r="A7" s="738" t="s">
        <v>0</v>
      </c>
      <c r="E7" s="796"/>
      <c r="F7" s="285"/>
      <c r="G7" s="285"/>
      <c r="H7" s="285"/>
      <c r="I7" s="285"/>
      <c r="J7" s="346"/>
      <c r="K7" s="296"/>
      <c r="L7" s="154"/>
      <c r="M7" s="154"/>
      <c r="N7" s="154"/>
      <c r="O7" s="154"/>
      <c r="P7" s="299"/>
      <c r="AO7" s="24"/>
      <c r="AP7" s="28"/>
      <c r="AU7" s="24"/>
      <c r="BB7" s="423"/>
      <c r="BC7" s="423"/>
      <c r="BD7" s="423"/>
      <c r="BE7" s="423"/>
      <c r="BF7" s="423"/>
      <c r="BG7" s="423"/>
      <c r="BH7" s="423"/>
      <c r="BI7" s="423"/>
      <c r="BJ7" s="423"/>
      <c r="BK7" s="423"/>
      <c r="BL7" s="423"/>
      <c r="BM7" s="423"/>
    </row>
    <row r="8" spans="1:65" ht="20" hidden="1" outlineLevel="1">
      <c r="A8" s="738" t="s">
        <v>55</v>
      </c>
      <c r="E8" s="795"/>
      <c r="J8" s="297"/>
      <c r="K8" s="296"/>
      <c r="AO8" s="24"/>
      <c r="AP8" s="28"/>
      <c r="AU8" s="24"/>
      <c r="BB8" s="423"/>
      <c r="BC8" s="423"/>
      <c r="BD8" s="423"/>
      <c r="BE8" s="423"/>
      <c r="BF8" s="423"/>
      <c r="BG8" s="423"/>
      <c r="BH8" s="423"/>
      <c r="BI8" s="423"/>
      <c r="BJ8" s="423"/>
      <c r="BK8" s="423"/>
      <c r="BL8" s="423"/>
      <c r="BM8" s="423"/>
    </row>
    <row r="9" spans="1:65" ht="20" hidden="1" outlineLevel="1">
      <c r="A9" s="738" t="s">
        <v>53</v>
      </c>
      <c r="E9" s="795"/>
      <c r="J9" s="297"/>
      <c r="K9" s="296"/>
      <c r="AO9" s="24"/>
      <c r="AP9" s="28"/>
      <c r="AU9" s="24"/>
      <c r="BB9" s="423"/>
      <c r="BC9" s="423"/>
      <c r="BD9" s="423"/>
      <c r="BE9" s="423"/>
      <c r="BF9" s="423"/>
      <c r="BG9" s="423"/>
      <c r="BH9" s="423"/>
      <c r="BI9" s="423"/>
      <c r="BJ9" s="423"/>
      <c r="BK9" s="423"/>
      <c r="BL9" s="423"/>
      <c r="BM9" s="423"/>
    </row>
    <row r="10" spans="1:65" ht="20" hidden="1" outlineLevel="1">
      <c r="A10" s="738" t="s">
        <v>38</v>
      </c>
      <c r="E10" s="795"/>
      <c r="J10" s="297"/>
      <c r="K10" s="296"/>
      <c r="AO10" s="24"/>
      <c r="AP10" s="28"/>
      <c r="AU10" s="24"/>
      <c r="BB10" s="423"/>
      <c r="BC10" s="423"/>
      <c r="BD10" s="423"/>
      <c r="BE10" s="423"/>
      <c r="BF10" s="423"/>
      <c r="BG10" s="423"/>
      <c r="BH10" s="423"/>
      <c r="BI10" s="423"/>
      <c r="BJ10" s="423"/>
      <c r="BK10" s="423"/>
      <c r="BL10" s="423"/>
      <c r="BM10" s="423"/>
    </row>
    <row r="11" spans="1:65" ht="20" hidden="1" outlineLevel="1">
      <c r="A11" s="738" t="s">
        <v>124</v>
      </c>
      <c r="E11" s="796"/>
      <c r="F11" s="285"/>
      <c r="G11" s="285"/>
      <c r="H11" s="285"/>
      <c r="I11" s="285"/>
      <c r="J11" s="346"/>
      <c r="K11" s="296"/>
      <c r="L11" s="154"/>
      <c r="M11" s="154"/>
      <c r="N11" s="154"/>
      <c r="O11" s="154"/>
      <c r="P11" s="299"/>
      <c r="AO11" s="24"/>
      <c r="AP11" s="28"/>
      <c r="AU11" s="24"/>
      <c r="BB11" s="423"/>
      <c r="BC11" s="423"/>
      <c r="BD11" s="423"/>
      <c r="BE11" s="423"/>
      <c r="BF11" s="423"/>
      <c r="BG11" s="423"/>
      <c r="BH11" s="423"/>
      <c r="BI11" s="423"/>
      <c r="BJ11" s="423"/>
      <c r="BK11" s="423"/>
      <c r="BL11" s="423"/>
      <c r="BM11" s="423"/>
    </row>
    <row r="12" spans="1:65" ht="20" collapsed="1">
      <c r="A12" s="740" t="s">
        <v>561</v>
      </c>
      <c r="D12" s="648" t="s">
        <v>562</v>
      </c>
      <c r="E12" s="796">
        <f>F12/F6</f>
        <v>0.2</v>
      </c>
      <c r="F12" s="285">
        <f>F6-F13</f>
        <v>12640</v>
      </c>
      <c r="G12" s="285">
        <f t="shared" ref="G12:I12" si="6">G6-G13</f>
        <v>5280</v>
      </c>
      <c r="H12" s="285">
        <f t="shared" si="6"/>
        <v>291.20000000000005</v>
      </c>
      <c r="I12" s="285">
        <f t="shared" si="6"/>
        <v>592.79999999999973</v>
      </c>
      <c r="J12" s="473">
        <f>SUM(F12:I12)</f>
        <v>18804</v>
      </c>
      <c r="K12" s="472">
        <f>L12/L6</f>
        <v>0.2</v>
      </c>
      <c r="L12" s="285">
        <f>L6-L13</f>
        <v>12640</v>
      </c>
      <c r="M12" s="285">
        <f t="shared" ref="M12:O12" si="7">M6-M13</f>
        <v>5280</v>
      </c>
      <c r="N12" s="285">
        <f t="shared" si="7"/>
        <v>291.20000000000005</v>
      </c>
      <c r="O12" s="285">
        <f t="shared" si="7"/>
        <v>592.79999999999973</v>
      </c>
      <c r="P12" s="473">
        <f>SUM(L12:O12)</f>
        <v>18804</v>
      </c>
      <c r="Q12" s="1" t="s">
        <v>1</v>
      </c>
      <c r="R12" s="1" t="s">
        <v>1</v>
      </c>
      <c r="S12" s="1" t="s">
        <v>1</v>
      </c>
      <c r="T12" s="1" t="s">
        <v>1</v>
      </c>
      <c r="U12" s="1" t="s">
        <v>1</v>
      </c>
      <c r="V12" s="1" t="s">
        <v>1</v>
      </c>
      <c r="AC12" s="156">
        <f>K12</f>
        <v>0.2</v>
      </c>
      <c r="AD12" s="285">
        <f>AD6-AD13</f>
        <v>1427.332044164431</v>
      </c>
      <c r="AE12" s="285">
        <f t="shared" ref="AE12:AG12" si="8">AE6-AE13</f>
        <v>920.1127819548874</v>
      </c>
      <c r="AF12" s="285">
        <f t="shared" si="8"/>
        <v>40.802277856870006</v>
      </c>
      <c r="AG12" s="285">
        <f t="shared" si="8"/>
        <v>83.061779922913956</v>
      </c>
      <c r="AH12" s="688">
        <f>SUM(AD12:AG12)</f>
        <v>2471.3088838991025</v>
      </c>
      <c r="AI12" s="346">
        <f>AB12+AH12</f>
        <v>2471.3088838991025</v>
      </c>
      <c r="AO12" s="24"/>
      <c r="AP12" s="28"/>
      <c r="AU12" s="24"/>
      <c r="BB12" s="423"/>
      <c r="BC12" s="423"/>
      <c r="BD12" s="423"/>
      <c r="BE12" s="423"/>
      <c r="BF12" s="423"/>
      <c r="BG12" s="423"/>
      <c r="BH12" s="423"/>
      <c r="BI12" s="423"/>
      <c r="BJ12" s="423"/>
      <c r="BK12" s="423"/>
      <c r="BL12" s="423"/>
      <c r="BM12" s="423"/>
    </row>
    <row r="13" spans="1:65" ht="20">
      <c r="A13" s="742" t="s">
        <v>560</v>
      </c>
      <c r="B13" s="1" t="s">
        <v>562</v>
      </c>
      <c r="C13" s="648">
        <v>0.13</v>
      </c>
      <c r="D13" s="648" t="s">
        <v>562</v>
      </c>
      <c r="E13" s="958">
        <v>0.8</v>
      </c>
      <c r="F13" s="154">
        <f>$F$6*E13</f>
        <v>50560</v>
      </c>
      <c r="G13" s="154">
        <f>$G$6*E13</f>
        <v>21120</v>
      </c>
      <c r="H13" s="154">
        <f>$H$6*E13</f>
        <v>1164.8000000000002</v>
      </c>
      <c r="I13" s="154">
        <f>$I$6*E13</f>
        <v>2371.2000000000003</v>
      </c>
      <c r="J13" s="301">
        <f>SUM(F13:I13)</f>
        <v>75216</v>
      </c>
      <c r="K13" s="300">
        <f>E13</f>
        <v>0.8</v>
      </c>
      <c r="L13" s="154">
        <f>$L$6*K13</f>
        <v>50560</v>
      </c>
      <c r="M13" s="154">
        <f>$M$6*K13</f>
        <v>21120</v>
      </c>
      <c r="N13" s="154">
        <f>$N$6*K13</f>
        <v>1164.8000000000002</v>
      </c>
      <c r="O13" s="154">
        <f>$O$6*K13</f>
        <v>2371.2000000000003</v>
      </c>
      <c r="P13" s="301">
        <f>SUM(L13:O13)</f>
        <v>75216</v>
      </c>
      <c r="Q13" s="87" t="s">
        <v>1</v>
      </c>
      <c r="R13" s="1" t="s">
        <v>1</v>
      </c>
      <c r="S13" s="1" t="s">
        <v>1</v>
      </c>
      <c r="T13" s="1" t="s">
        <v>1</v>
      </c>
      <c r="U13" s="1" t="s">
        <v>1</v>
      </c>
      <c r="V13" s="1" t="s">
        <v>1</v>
      </c>
      <c r="W13" s="342"/>
      <c r="X13" s="154"/>
      <c r="Y13" s="154"/>
      <c r="Z13" s="154"/>
      <c r="AA13" s="154"/>
      <c r="AB13" s="154"/>
      <c r="AC13" s="156">
        <f t="shared" ref="AC13:AC17" si="9">K13</f>
        <v>0.8</v>
      </c>
      <c r="AD13" s="154">
        <f>$AD$6*AC13</f>
        <v>5709.3281766577256</v>
      </c>
      <c r="AE13" s="154">
        <f>$AE$6*AC13</f>
        <v>3680.4511278195496</v>
      </c>
      <c r="AF13" s="154">
        <f>$AF$6*AC13</f>
        <v>163.20911142748011</v>
      </c>
      <c r="AG13" s="154">
        <f>$AG$6*AC13</f>
        <v>332.24711969165605</v>
      </c>
      <c r="AH13" s="687">
        <f>SUM(AD13:AG13)</f>
        <v>9885.2355355964119</v>
      </c>
      <c r="AI13" s="301">
        <f t="shared" ref="AI13:AI25" si="10">AB13+AH13</f>
        <v>9885.2355355964119</v>
      </c>
      <c r="AO13" s="24"/>
      <c r="AP13" s="28"/>
      <c r="AU13" s="24"/>
      <c r="BB13" s="423"/>
      <c r="BC13" s="423"/>
      <c r="BD13" s="423"/>
      <c r="BE13" s="423"/>
      <c r="BF13" s="423"/>
      <c r="BG13" s="423"/>
      <c r="BH13" s="423"/>
      <c r="BI13" s="423"/>
      <c r="BJ13" s="423"/>
      <c r="BK13" s="423"/>
      <c r="BL13" s="423"/>
      <c r="BM13" s="423"/>
    </row>
    <row r="14" spans="1:65" ht="27" customHeight="1">
      <c r="A14" s="742" t="s">
        <v>171</v>
      </c>
      <c r="B14" s="1" t="s">
        <v>563</v>
      </c>
      <c r="C14" s="648">
        <v>1</v>
      </c>
      <c r="D14" s="648" t="s">
        <v>566</v>
      </c>
      <c r="E14" s="953">
        <f>E13</f>
        <v>0.8</v>
      </c>
      <c r="F14" s="154">
        <f>$F$13*E14</f>
        <v>40448</v>
      </c>
      <c r="G14" s="154">
        <f>$G$13*E14</f>
        <v>16896</v>
      </c>
      <c r="H14" s="154">
        <f>$H$13*E14</f>
        <v>931.84000000000015</v>
      </c>
      <c r="I14" s="154">
        <f>$I$13*E14</f>
        <v>1896.9600000000003</v>
      </c>
      <c r="J14" s="301">
        <f t="shared" ref="J14:J33" si="11">SUM(F14:I14)</f>
        <v>60172.799999999996</v>
      </c>
      <c r="K14" s="296">
        <f t="shared" ref="K14:K17" si="12">E14</f>
        <v>0.8</v>
      </c>
      <c r="L14" s="154">
        <f t="shared" ref="L14:L17" si="13">$L$6*K14</f>
        <v>50560</v>
      </c>
      <c r="M14" s="154">
        <f t="shared" ref="M14:M17" si="14">$M$6*K14</f>
        <v>21120</v>
      </c>
      <c r="N14" s="154">
        <f t="shared" ref="N14:N17" si="15">$N$6*K14</f>
        <v>1164.8000000000002</v>
      </c>
      <c r="O14" s="154">
        <f t="shared" ref="O14:O17" si="16">$O$6*K14</f>
        <v>2371.2000000000003</v>
      </c>
      <c r="P14" s="301">
        <f t="shared" ref="P14:P25" si="17">SUM(L14:O14)</f>
        <v>75216</v>
      </c>
      <c r="Q14" s="87" t="s">
        <v>1</v>
      </c>
      <c r="R14" s="1" t="s">
        <v>1</v>
      </c>
      <c r="S14" s="1" t="s">
        <v>1</v>
      </c>
      <c r="T14" s="1" t="s">
        <v>1</v>
      </c>
      <c r="U14" s="1" t="s">
        <v>1</v>
      </c>
      <c r="V14" s="1" t="s">
        <v>1</v>
      </c>
      <c r="W14" s="342"/>
      <c r="X14" s="154"/>
      <c r="Y14" s="154"/>
      <c r="Z14" s="154"/>
      <c r="AA14" s="154"/>
      <c r="AB14" s="154"/>
      <c r="AC14" s="156">
        <f t="shared" si="9"/>
        <v>0.8</v>
      </c>
      <c r="AD14" s="154">
        <f>$AD$6*AC14</f>
        <v>5709.3281766577256</v>
      </c>
      <c r="AE14" s="154">
        <f>$AE$6*AC14</f>
        <v>3680.4511278195496</v>
      </c>
      <c r="AF14" s="154">
        <f>$AF$6*AC14</f>
        <v>163.20911142748011</v>
      </c>
      <c r="AG14" s="154">
        <f>$AG$6*AC14</f>
        <v>332.24711969165605</v>
      </c>
      <c r="AH14" s="687">
        <f t="shared" ref="AH14:AH25" si="18">SUM(AD14:AG14)</f>
        <v>9885.2355355964119</v>
      </c>
      <c r="AI14" s="301">
        <f t="shared" si="10"/>
        <v>9885.2355355964119</v>
      </c>
      <c r="AO14" s="24"/>
      <c r="AP14" s="28"/>
      <c r="AU14" s="24"/>
      <c r="BB14" s="423"/>
      <c r="BC14" s="423"/>
      <c r="BD14" s="423"/>
      <c r="BE14" s="423"/>
      <c r="BF14" s="423"/>
      <c r="BG14" s="423"/>
      <c r="BH14" s="423"/>
      <c r="BI14" s="423"/>
      <c r="BJ14" s="423"/>
      <c r="BK14" s="423"/>
      <c r="BL14" s="423"/>
      <c r="BM14" s="423"/>
    </row>
    <row r="15" spans="1:65" ht="20">
      <c r="A15" s="742" t="s">
        <v>211</v>
      </c>
      <c r="B15" s="1" t="s">
        <v>563</v>
      </c>
      <c r="C15" s="74">
        <v>0.4</v>
      </c>
      <c r="D15" s="648" t="s">
        <v>566</v>
      </c>
      <c r="E15" s="74">
        <f>'Воронка MPS_обработано'!L10</f>
        <v>0.4</v>
      </c>
      <c r="F15" s="154">
        <f t="shared" ref="F15:F17" si="19">$F$13*E15</f>
        <v>20224</v>
      </c>
      <c r="G15" s="154">
        <f t="shared" ref="G15:G17" si="20">$G$13*E15</f>
        <v>8448</v>
      </c>
      <c r="H15" s="154">
        <f t="shared" ref="H15:H17" si="21">$H$13*E15</f>
        <v>465.92000000000007</v>
      </c>
      <c r="I15" s="154">
        <f t="shared" ref="I15:I17" si="22">$I$13*E15</f>
        <v>948.48000000000013</v>
      </c>
      <c r="J15" s="301">
        <f t="shared" si="11"/>
        <v>30086.399999999998</v>
      </c>
      <c r="K15" s="296">
        <f t="shared" si="12"/>
        <v>0.4</v>
      </c>
      <c r="L15" s="154">
        <f t="shared" si="13"/>
        <v>25280</v>
      </c>
      <c r="M15" s="154">
        <f t="shared" si="14"/>
        <v>10560</v>
      </c>
      <c r="N15" s="154">
        <f t="shared" si="15"/>
        <v>582.40000000000009</v>
      </c>
      <c r="O15" s="154">
        <f t="shared" si="16"/>
        <v>1185.6000000000001</v>
      </c>
      <c r="P15" s="301">
        <f t="shared" si="17"/>
        <v>37608</v>
      </c>
      <c r="Q15" s="87" t="s">
        <v>1</v>
      </c>
      <c r="R15" s="1" t="s">
        <v>1</v>
      </c>
      <c r="S15" s="1" t="s">
        <v>1</v>
      </c>
      <c r="T15" s="1" t="s">
        <v>1</v>
      </c>
      <c r="U15" s="1" t="s">
        <v>1</v>
      </c>
      <c r="V15" s="1" t="s">
        <v>1</v>
      </c>
      <c r="W15" s="342"/>
      <c r="X15" s="154"/>
      <c r="Y15" s="154"/>
      <c r="Z15" s="154"/>
      <c r="AA15" s="154"/>
      <c r="AB15" s="154"/>
      <c r="AC15" s="156">
        <f t="shared" si="9"/>
        <v>0.4</v>
      </c>
      <c r="AD15" s="154">
        <f>$AD$6*AC15</f>
        <v>2854.6640883288628</v>
      </c>
      <c r="AE15" s="154">
        <f>$AE$6*AC15</f>
        <v>1840.2255639097748</v>
      </c>
      <c r="AF15" s="154">
        <f>$AF$6*AC15</f>
        <v>81.604555713740055</v>
      </c>
      <c r="AG15" s="154">
        <f>$AG$6*AC15</f>
        <v>166.12355984582803</v>
      </c>
      <c r="AH15" s="687">
        <f t="shared" si="18"/>
        <v>4942.6177677982059</v>
      </c>
      <c r="AI15" s="301">
        <f t="shared" si="10"/>
        <v>4942.6177677982059</v>
      </c>
      <c r="AO15" s="24"/>
      <c r="AP15" s="28"/>
      <c r="AU15" s="24"/>
      <c r="BB15" s="423"/>
      <c r="BC15" s="423"/>
      <c r="BD15" s="423"/>
      <c r="BE15" s="423"/>
      <c r="BF15" s="423"/>
      <c r="BG15" s="423"/>
      <c r="BH15" s="423"/>
      <c r="BI15" s="423"/>
      <c r="BJ15" s="423"/>
      <c r="BK15" s="423"/>
      <c r="BL15" s="423"/>
      <c r="BM15" s="423"/>
    </row>
    <row r="16" spans="1:65" ht="20">
      <c r="A16" s="742" t="s">
        <v>212</v>
      </c>
      <c r="B16" s="1" t="s">
        <v>563</v>
      </c>
      <c r="C16" s="74">
        <v>0.29799999999999999</v>
      </c>
      <c r="D16" s="648" t="s">
        <v>566</v>
      </c>
      <c r="E16" s="326">
        <f>'Воронка MPS_обработано'!L11</f>
        <v>0.29799999999999999</v>
      </c>
      <c r="F16" s="154">
        <f t="shared" si="19"/>
        <v>15066.88</v>
      </c>
      <c r="G16" s="154">
        <f t="shared" si="20"/>
        <v>6293.7599999999993</v>
      </c>
      <c r="H16" s="154">
        <f t="shared" si="21"/>
        <v>347.11040000000003</v>
      </c>
      <c r="I16" s="154">
        <f t="shared" si="22"/>
        <v>706.61760000000004</v>
      </c>
      <c r="J16" s="301">
        <f t="shared" si="11"/>
        <v>22414.368000000002</v>
      </c>
      <c r="K16" s="296">
        <f t="shared" si="12"/>
        <v>0.29799999999999999</v>
      </c>
      <c r="L16" s="154">
        <f t="shared" si="13"/>
        <v>18833.599999999999</v>
      </c>
      <c r="M16" s="154">
        <f t="shared" si="14"/>
        <v>7867.2</v>
      </c>
      <c r="N16" s="154">
        <f t="shared" si="15"/>
        <v>433.88800000000003</v>
      </c>
      <c r="O16" s="154">
        <f t="shared" si="16"/>
        <v>883.27199999999993</v>
      </c>
      <c r="P16" s="301">
        <f t="shared" si="17"/>
        <v>28017.96</v>
      </c>
      <c r="Q16" s="87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342"/>
      <c r="X16" s="154"/>
      <c r="Y16" s="154"/>
      <c r="Z16" s="154"/>
      <c r="AA16" s="154"/>
      <c r="AB16" s="154"/>
      <c r="AC16" s="156">
        <f t="shared" si="9"/>
        <v>0.29799999999999999</v>
      </c>
      <c r="AD16" s="154">
        <f>$AD$6*AC16</f>
        <v>2126.7247458050024</v>
      </c>
      <c r="AE16" s="154">
        <f>$AE$6*AC16</f>
        <v>1370.9680451127822</v>
      </c>
      <c r="AF16" s="154">
        <f>$AF$6*AC16</f>
        <v>60.795394006736331</v>
      </c>
      <c r="AG16" s="154">
        <f>$AG$6*AC16</f>
        <v>123.76205208514186</v>
      </c>
      <c r="AH16" s="687">
        <f t="shared" si="18"/>
        <v>3682.2502370096631</v>
      </c>
      <c r="AI16" s="301">
        <f t="shared" si="10"/>
        <v>3682.2502370096631</v>
      </c>
      <c r="AO16" s="24"/>
      <c r="AP16" s="28"/>
      <c r="AU16" s="24"/>
      <c r="BB16" s="423"/>
      <c r="BC16" s="423"/>
      <c r="BD16" s="423"/>
      <c r="BE16" s="423"/>
      <c r="BF16" s="423"/>
      <c r="BG16" s="423"/>
      <c r="BH16" s="423"/>
      <c r="BI16" s="423"/>
      <c r="BJ16" s="423"/>
      <c r="BK16" s="423"/>
      <c r="BL16" s="423"/>
      <c r="BM16" s="423"/>
    </row>
    <row r="17" spans="1:65" ht="20">
      <c r="A17" s="742" t="s">
        <v>213</v>
      </c>
      <c r="B17" s="1" t="s">
        <v>563</v>
      </c>
      <c r="C17" s="74">
        <v>0.45500000000000002</v>
      </c>
      <c r="D17" s="648" t="s">
        <v>566</v>
      </c>
      <c r="E17" s="326">
        <f>'Воронка MPS_обработано'!L12</f>
        <v>0.45500000000000002</v>
      </c>
      <c r="F17" s="154">
        <f t="shared" si="19"/>
        <v>23004.799999999999</v>
      </c>
      <c r="G17" s="154">
        <f t="shared" si="20"/>
        <v>9609.6</v>
      </c>
      <c r="H17" s="154">
        <f t="shared" si="21"/>
        <v>529.98400000000015</v>
      </c>
      <c r="I17" s="154">
        <f t="shared" si="22"/>
        <v>1078.8960000000002</v>
      </c>
      <c r="J17" s="301">
        <f t="shared" si="11"/>
        <v>34223.279999999999</v>
      </c>
      <c r="K17" s="296">
        <f t="shared" si="12"/>
        <v>0.45500000000000002</v>
      </c>
      <c r="L17" s="154">
        <f t="shared" si="13"/>
        <v>28756</v>
      </c>
      <c r="M17" s="154">
        <f t="shared" si="14"/>
        <v>12012</v>
      </c>
      <c r="N17" s="154">
        <f t="shared" si="15"/>
        <v>662.48000000000013</v>
      </c>
      <c r="O17" s="154">
        <f t="shared" si="16"/>
        <v>1348.6200000000001</v>
      </c>
      <c r="P17" s="301">
        <f t="shared" si="17"/>
        <v>42779.100000000006</v>
      </c>
      <c r="Q17" s="87" t="s">
        <v>1</v>
      </c>
      <c r="R17" s="1" t="s">
        <v>1</v>
      </c>
      <c r="S17" s="1" t="s">
        <v>1</v>
      </c>
      <c r="T17" s="1" t="s">
        <v>1</v>
      </c>
      <c r="U17" s="1" t="s">
        <v>1</v>
      </c>
      <c r="V17" s="1" t="s">
        <v>1</v>
      </c>
      <c r="W17" s="342"/>
      <c r="X17" s="154"/>
      <c r="Y17" s="154"/>
      <c r="Z17" s="154"/>
      <c r="AA17" s="154"/>
      <c r="AB17" s="154"/>
      <c r="AC17" s="156">
        <f t="shared" si="9"/>
        <v>0.45500000000000002</v>
      </c>
      <c r="AD17" s="154">
        <f>$AD$6*AC17</f>
        <v>3247.1804004740816</v>
      </c>
      <c r="AE17" s="154">
        <f>$AE$6*AC17</f>
        <v>2093.2565789473688</v>
      </c>
      <c r="AF17" s="154">
        <f>$AF$6*AC17</f>
        <v>92.82518212437931</v>
      </c>
      <c r="AG17" s="154">
        <f>$AG$6*AC17</f>
        <v>188.96554932462936</v>
      </c>
      <c r="AH17" s="687">
        <f t="shared" si="18"/>
        <v>5622.2277108704593</v>
      </c>
      <c r="AI17" s="301">
        <f t="shared" si="10"/>
        <v>5622.2277108704593</v>
      </c>
      <c r="AO17" s="24"/>
      <c r="AP17" s="28"/>
      <c r="AU17" s="24"/>
      <c r="BB17" s="423"/>
      <c r="BC17" s="423"/>
      <c r="BD17" s="423"/>
      <c r="BE17" s="423"/>
      <c r="BF17" s="423"/>
      <c r="BG17" s="423"/>
      <c r="BH17" s="423"/>
      <c r="BI17" s="423"/>
      <c r="BJ17" s="423"/>
      <c r="BK17" s="423"/>
      <c r="BL17" s="423"/>
      <c r="BM17" s="423"/>
    </row>
    <row r="18" spans="1:65" ht="40">
      <c r="A18" s="741" t="s">
        <v>337</v>
      </c>
      <c r="B18" s="1" t="s">
        <v>562</v>
      </c>
      <c r="C18" s="110" t="s">
        <v>564</v>
      </c>
      <c r="D18" s="648" t="s">
        <v>566</v>
      </c>
      <c r="E18" s="729">
        <f>'Воронка MPS_обработано'!L14</f>
        <v>8.5384615384615392E-2</v>
      </c>
      <c r="F18" s="154">
        <f>$F$13*E18</f>
        <v>4317.0461538461541</v>
      </c>
      <c r="G18" s="154">
        <f>$G$13*E18</f>
        <v>1803.323076923077</v>
      </c>
      <c r="H18" s="154">
        <f>$H$13*E18</f>
        <v>99.456000000000017</v>
      </c>
      <c r="I18" s="154">
        <f>$I$13*E18</f>
        <v>202.46400000000003</v>
      </c>
      <c r="J18" s="301">
        <f t="shared" si="11"/>
        <v>6422.2892307692309</v>
      </c>
      <c r="K18" s="939">
        <f>E18*1.5</f>
        <v>0.12807692307692309</v>
      </c>
      <c r="L18" s="154">
        <f>L13*$K$18</f>
        <v>6475.5692307692316</v>
      </c>
      <c r="M18" s="154">
        <f t="shared" ref="M18:O18" si="23">M13*$K$18</f>
        <v>2704.9846153846156</v>
      </c>
      <c r="N18" s="154">
        <f t="shared" si="23"/>
        <v>149.18400000000003</v>
      </c>
      <c r="O18" s="154">
        <f t="shared" si="23"/>
        <v>303.69600000000008</v>
      </c>
      <c r="P18" s="301">
        <f t="shared" si="17"/>
        <v>9633.4338461538464</v>
      </c>
      <c r="Q18" s="619">
        <f>'Воронка Селлер as is'!F12</f>
        <v>1.7475398710553106E-2</v>
      </c>
      <c r="R18" s="154">
        <f>$Q$18*R6</f>
        <v>1104.4451985069563</v>
      </c>
      <c r="S18" s="154">
        <f t="shared" ref="S18:U18" si="24">$Q$18*S6</f>
        <v>461.35052595860196</v>
      </c>
      <c r="T18" s="154">
        <f t="shared" si="24"/>
        <v>25.444180522565325</v>
      </c>
      <c r="U18" s="154">
        <f t="shared" si="24"/>
        <v>51.797081778079402</v>
      </c>
      <c r="V18" s="279">
        <f>SUM(R18:U18)</f>
        <v>1643.0369867662032</v>
      </c>
      <c r="W18" s="940">
        <f>Q18</f>
        <v>1.7475398710553106E-2</v>
      </c>
      <c r="X18" s="154">
        <f>$Q$18*X6</f>
        <v>979.72921568634524</v>
      </c>
      <c r="Y18" s="154">
        <f t="shared" ref="Y18:AA18" si="25">$Q$18*Y6</f>
        <v>380.95383734191267</v>
      </c>
      <c r="Z18" s="154">
        <f t="shared" si="25"/>
        <v>21.879000153327446</v>
      </c>
      <c r="AA18" s="154">
        <f t="shared" si="25"/>
        <v>44.539393169273723</v>
      </c>
      <c r="AB18" s="279">
        <f>SUM(X18:AA18)</f>
        <v>1427.1014463508593</v>
      </c>
      <c r="AC18" s="941">
        <f>K18</f>
        <v>0.12807692307692309</v>
      </c>
      <c r="AD18" s="154">
        <f>AD13*$AC$18</f>
        <v>731.23318570270112</v>
      </c>
      <c r="AE18" s="154">
        <f>AE13*$AC$18</f>
        <v>471.38085598611929</v>
      </c>
      <c r="AF18" s="154">
        <f t="shared" ref="AF18:AG18" si="26">AF13*$AC$18</f>
        <v>20.90332080975034</v>
      </c>
      <c r="AG18" s="154">
        <f t="shared" si="26"/>
        <v>42.553188791277492</v>
      </c>
      <c r="AH18" s="687">
        <f t="shared" si="18"/>
        <v>1266.0705512898483</v>
      </c>
      <c r="AI18" s="301">
        <f t="shared" si="10"/>
        <v>2693.1719976407076</v>
      </c>
      <c r="AO18" s="24"/>
      <c r="AP18" s="28"/>
      <c r="AU18" s="24"/>
      <c r="BB18" s="423"/>
      <c r="BC18" s="423"/>
      <c r="BD18" s="423"/>
      <c r="BE18" s="423"/>
      <c r="BF18" s="423"/>
      <c r="BG18" s="423"/>
      <c r="BH18" s="423"/>
      <c r="BI18" s="423"/>
      <c r="BJ18" s="423"/>
      <c r="BK18" s="423"/>
      <c r="BL18" s="423"/>
      <c r="BM18" s="423"/>
    </row>
    <row r="19" spans="1:65" ht="20">
      <c r="A19" s="741" t="s">
        <v>338</v>
      </c>
      <c r="B19" s="951"/>
      <c r="C19" s="952"/>
      <c r="D19" s="952"/>
      <c r="E19" s="730">
        <f>Q18</f>
        <v>1.7475398710553106E-2</v>
      </c>
      <c r="F19" s="154">
        <f>F12*$E$19</f>
        <v>220.88903970139125</v>
      </c>
      <c r="G19" s="154">
        <f t="shared" ref="G19:I19" si="27">G12*$E$19</f>
        <v>92.270105191720404</v>
      </c>
      <c r="H19" s="154">
        <f t="shared" si="27"/>
        <v>5.0888361045130655</v>
      </c>
      <c r="I19" s="154">
        <f t="shared" si="27"/>
        <v>10.359416355615876</v>
      </c>
      <c r="J19" s="301">
        <f t="shared" si="11"/>
        <v>328.60739735324057</v>
      </c>
      <c r="K19" s="478">
        <f>Q18</f>
        <v>1.7475398710553106E-2</v>
      </c>
      <c r="L19" s="154">
        <f>L12*$K$19</f>
        <v>220.88903970139125</v>
      </c>
      <c r="M19" s="154">
        <f t="shared" ref="M19:O19" si="28">M12*$K$19</f>
        <v>92.270105191720404</v>
      </c>
      <c r="N19" s="154">
        <f t="shared" si="28"/>
        <v>5.0888361045130655</v>
      </c>
      <c r="O19" s="154">
        <f t="shared" si="28"/>
        <v>10.359416355615876</v>
      </c>
      <c r="P19" s="301">
        <f t="shared" si="17"/>
        <v>328.60739735324057</v>
      </c>
      <c r="Q19" s="328"/>
      <c r="R19" s="154"/>
      <c r="S19" s="154"/>
      <c r="T19" s="154"/>
      <c r="U19" s="154"/>
      <c r="V19" s="279"/>
      <c r="W19" s="342"/>
      <c r="X19" s="154"/>
      <c r="Y19" s="154"/>
      <c r="Z19" s="154"/>
      <c r="AA19" s="154"/>
      <c r="AB19" s="154"/>
      <c r="AC19" s="156">
        <f>K19</f>
        <v>1.7475398710553106E-2</v>
      </c>
      <c r="AD19" s="154">
        <f>AD12*$AC$19</f>
        <v>24.943196564122225</v>
      </c>
      <c r="AE19" s="154">
        <f>AE12*$AC$19</f>
        <v>16.079337723337868</v>
      </c>
      <c r="AF19" s="154">
        <f t="shared" ref="AF19:AG19" si="29">AF12*$AC$19</f>
        <v>0.71303607384757561</v>
      </c>
      <c r="AG19" s="154">
        <f t="shared" si="29"/>
        <v>1.4515377217611365</v>
      </c>
      <c r="AH19" s="687">
        <f t="shared" si="18"/>
        <v>43.1871080830688</v>
      </c>
      <c r="AI19" s="301">
        <f t="shared" si="10"/>
        <v>43.1871080830688</v>
      </c>
      <c r="AK19" s="84"/>
      <c r="AO19" s="24"/>
      <c r="AP19" s="28"/>
      <c r="AU19" s="24"/>
      <c r="BB19" s="423"/>
      <c r="BC19" s="423"/>
      <c r="BD19" s="423"/>
      <c r="BE19" s="423"/>
      <c r="BF19" s="423"/>
      <c r="BG19" s="423"/>
      <c r="BH19" s="423"/>
      <c r="BI19" s="423"/>
      <c r="BJ19" s="423"/>
      <c r="BK19" s="423"/>
      <c r="BL19" s="423"/>
      <c r="BM19" s="423"/>
    </row>
    <row r="20" spans="1:65" s="454" customFormat="1" ht="21" thickBot="1">
      <c r="A20" s="743" t="s">
        <v>339</v>
      </c>
      <c r="B20" s="88"/>
      <c r="C20" s="88"/>
      <c r="D20" s="88"/>
      <c r="E20" s="363"/>
      <c r="F20" s="363">
        <f>SUM(F18:F19)</f>
        <v>4537.9351935475452</v>
      </c>
      <c r="G20" s="363">
        <f t="shared" ref="G20:I20" si="30">SUM(G18:G19)</f>
        <v>1895.5931821147974</v>
      </c>
      <c r="H20" s="363">
        <f t="shared" si="30"/>
        <v>104.54483610451308</v>
      </c>
      <c r="I20" s="363">
        <f t="shared" si="30"/>
        <v>212.8234163556159</v>
      </c>
      <c r="J20" s="364">
        <f t="shared" si="11"/>
        <v>6750.8966281224721</v>
      </c>
      <c r="K20" s="474"/>
      <c r="L20" s="363">
        <f>SUM(L18:L19)</f>
        <v>6696.4582704706227</v>
      </c>
      <c r="M20" s="363">
        <f t="shared" ref="M20:O20" si="31">SUM(M18:M19)</f>
        <v>2797.2547205763358</v>
      </c>
      <c r="N20" s="363">
        <f t="shared" si="31"/>
        <v>154.27283610451309</v>
      </c>
      <c r="O20" s="363">
        <f t="shared" si="31"/>
        <v>314.05541635561593</v>
      </c>
      <c r="P20" s="364">
        <f t="shared" si="17"/>
        <v>9962.0412435070884</v>
      </c>
      <c r="Q20" s="365"/>
      <c r="R20" s="363">
        <f>R18</f>
        <v>1104.4451985069563</v>
      </c>
      <c r="S20" s="363">
        <f t="shared" ref="S20:U20" si="32">S18</f>
        <v>461.35052595860196</v>
      </c>
      <c r="T20" s="363">
        <f t="shared" si="32"/>
        <v>25.444180522565325</v>
      </c>
      <c r="U20" s="363">
        <f t="shared" si="32"/>
        <v>51.797081778079402</v>
      </c>
      <c r="V20" s="630">
        <f>SUM(R20:U20)</f>
        <v>1643.0369867662032</v>
      </c>
      <c r="W20" s="474"/>
      <c r="X20" s="363">
        <f>X18</f>
        <v>979.72921568634524</v>
      </c>
      <c r="Y20" s="363">
        <f t="shared" ref="Y20:AA20" si="33">Y18</f>
        <v>380.95383734191267</v>
      </c>
      <c r="Z20" s="363">
        <f t="shared" si="33"/>
        <v>21.879000153327446</v>
      </c>
      <c r="AA20" s="363">
        <f t="shared" si="33"/>
        <v>44.539393169273723</v>
      </c>
      <c r="AB20" s="630">
        <f>SUM(X20:AA20)</f>
        <v>1427.1014463508593</v>
      </c>
      <c r="AC20" s="670"/>
      <c r="AD20" s="363">
        <f>SUM(AD18:AD19)</f>
        <v>756.17638226682334</v>
      </c>
      <c r="AE20" s="363">
        <f t="shared" ref="AE20:AG20" si="34">SUM(AE18:AE19)</f>
        <v>487.46019370945714</v>
      </c>
      <c r="AF20" s="363">
        <f t="shared" si="34"/>
        <v>21.616356883597916</v>
      </c>
      <c r="AG20" s="363">
        <f t="shared" si="34"/>
        <v>44.004726513038626</v>
      </c>
      <c r="AH20" s="689">
        <f t="shared" si="18"/>
        <v>1309.257659372917</v>
      </c>
      <c r="AI20" s="364">
        <f t="shared" si="10"/>
        <v>2736.3591057237763</v>
      </c>
      <c r="AJ20" s="88"/>
      <c r="AK20" s="88"/>
      <c r="AL20" s="88"/>
      <c r="AM20" s="88"/>
      <c r="AN20" s="88"/>
      <c r="AO20" s="131"/>
      <c r="AP20" s="133"/>
      <c r="AQ20" s="88"/>
      <c r="AR20" s="88"/>
      <c r="AS20" s="88"/>
      <c r="AT20" s="88"/>
      <c r="AU20" s="131"/>
    </row>
    <row r="21" spans="1:65" s="805" customFormat="1" hidden="1" outlineLevel="1">
      <c r="A21" s="799" t="s">
        <v>327</v>
      </c>
      <c r="B21" s="942"/>
      <c r="C21" s="942"/>
      <c r="D21" s="942"/>
      <c r="E21" s="816"/>
      <c r="F21" s="800">
        <f t="shared" ref="F21:I25" si="35">F$20*F64</f>
        <v>0.49537686911036144</v>
      </c>
      <c r="G21" s="800">
        <f t="shared" si="35"/>
        <v>3.2662163225662235</v>
      </c>
      <c r="H21" s="800">
        <f t="shared" si="35"/>
        <v>8.6216183113378447E-2</v>
      </c>
      <c r="I21" s="800">
        <f t="shared" si="35"/>
        <v>0.17551151562366324</v>
      </c>
      <c r="J21" s="801">
        <f t="shared" si="11"/>
        <v>4.0233208904136264</v>
      </c>
      <c r="K21" s="802"/>
      <c r="L21" s="800">
        <f t="shared" ref="L21:O25" si="36">L$20*L64</f>
        <v>0.73100879379474704</v>
      </c>
      <c r="M21" s="800">
        <f t="shared" si="36"/>
        <v>4.8198311288126083</v>
      </c>
      <c r="N21" s="800">
        <f t="shared" si="36"/>
        <v>0.12722594039661744</v>
      </c>
      <c r="O21" s="800">
        <f t="shared" si="36"/>
        <v>0.25899566437882837</v>
      </c>
      <c r="P21" s="801">
        <f t="shared" si="17"/>
        <v>5.9370615273828014</v>
      </c>
      <c r="Q21" s="803"/>
      <c r="R21" s="800">
        <f t="shared" ref="R21:U25" si="37">R$20*R64</f>
        <v>0.12056509870795169</v>
      </c>
      <c r="S21" s="800">
        <f t="shared" si="37"/>
        <v>0.79493355036726521</v>
      </c>
      <c r="T21" s="800">
        <f t="shared" si="37"/>
        <v>2.0983342734502117E-2</v>
      </c>
      <c r="U21" s="800">
        <f t="shared" si="37"/>
        <v>4.2716090566665019E-2</v>
      </c>
      <c r="V21" s="801">
        <f t="shared" ref="V21:V25" si="38">SUM(R21:U21)</f>
        <v>0.97919808237638406</v>
      </c>
      <c r="W21" s="802"/>
      <c r="X21" s="800">
        <f t="shared" ref="X21:AA25" si="39">X$20*X64</f>
        <v>0</v>
      </c>
      <c r="Y21" s="800">
        <f t="shared" si="39"/>
        <v>0</v>
      </c>
      <c r="Z21" s="800">
        <f t="shared" si="39"/>
        <v>0</v>
      </c>
      <c r="AA21" s="800">
        <f t="shared" si="39"/>
        <v>0</v>
      </c>
      <c r="AB21" s="824">
        <f t="shared" ref="AB21:AB25" si="40">SUM(X21:AA21)</f>
        <v>0</v>
      </c>
      <c r="AC21" s="804"/>
      <c r="AD21" s="800">
        <f t="shared" ref="AD21:AG25" si="41">AD$20*AD64</f>
        <v>0.73100879379474715</v>
      </c>
      <c r="AE21" s="800">
        <f t="shared" si="41"/>
        <v>4.8198311288126092</v>
      </c>
      <c r="AF21" s="800">
        <f t="shared" si="41"/>
        <v>0.12722594039661742</v>
      </c>
      <c r="AG21" s="800">
        <f t="shared" si="41"/>
        <v>0.25899566437882837</v>
      </c>
      <c r="AH21" s="825">
        <f t="shared" si="18"/>
        <v>5.9370615273828022</v>
      </c>
      <c r="AI21" s="801">
        <f t="shared" si="10"/>
        <v>5.9370615273828022</v>
      </c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</row>
    <row r="22" spans="1:65" hidden="1" outlineLevel="1">
      <c r="A22" s="745" t="s">
        <v>429</v>
      </c>
      <c r="B22" s="2"/>
      <c r="C22" s="2"/>
      <c r="D22" s="2"/>
      <c r="E22" s="154"/>
      <c r="F22" s="154">
        <f t="shared" si="35"/>
        <v>34.039467720297694</v>
      </c>
      <c r="G22" s="154">
        <f t="shared" si="35"/>
        <v>38.897667114197752</v>
      </c>
      <c r="H22" s="154">
        <f t="shared" si="35"/>
        <v>1.3876267787405856</v>
      </c>
      <c r="I22" s="154">
        <f t="shared" si="35"/>
        <v>2.8248116567219062</v>
      </c>
      <c r="J22" s="301">
        <f t="shared" si="11"/>
        <v>77.149573269957941</v>
      </c>
      <c r="K22" s="342"/>
      <c r="L22" s="154">
        <f t="shared" si="36"/>
        <v>50.230747116467619</v>
      </c>
      <c r="M22" s="154">
        <f t="shared" si="36"/>
        <v>57.399807079495609</v>
      </c>
      <c r="N22" s="154">
        <f t="shared" si="36"/>
        <v>2.0476680301729271</v>
      </c>
      <c r="O22" s="154">
        <f t="shared" si="36"/>
        <v>4.1684670614234589</v>
      </c>
      <c r="P22" s="301">
        <f t="shared" si="17"/>
        <v>113.84668928755961</v>
      </c>
      <c r="Q22" s="328"/>
      <c r="R22" s="154">
        <f t="shared" si="37"/>
        <v>8.284544639789253</v>
      </c>
      <c r="S22" s="154">
        <f t="shared" si="37"/>
        <v>9.466935918010158</v>
      </c>
      <c r="T22" s="154">
        <f t="shared" si="37"/>
        <v>0.33772137937951302</v>
      </c>
      <c r="U22" s="154">
        <f t="shared" si="37"/>
        <v>0.6875042365940085</v>
      </c>
      <c r="V22" s="301">
        <f t="shared" si="38"/>
        <v>18.776706173772933</v>
      </c>
      <c r="W22" s="342"/>
      <c r="X22" s="154">
        <f t="shared" si="39"/>
        <v>0</v>
      </c>
      <c r="Y22" s="154">
        <f t="shared" si="39"/>
        <v>0</v>
      </c>
      <c r="Z22" s="154">
        <f t="shared" si="39"/>
        <v>0</v>
      </c>
      <c r="AA22" s="154">
        <f t="shared" si="39"/>
        <v>0</v>
      </c>
      <c r="AB22" s="279">
        <f t="shared" si="40"/>
        <v>0</v>
      </c>
      <c r="AC22" s="616"/>
      <c r="AD22" s="154">
        <f t="shared" si="41"/>
        <v>50.230747116467626</v>
      </c>
      <c r="AE22" s="154">
        <f t="shared" si="41"/>
        <v>57.399807079495623</v>
      </c>
      <c r="AF22" s="154">
        <f t="shared" si="41"/>
        <v>2.0476680301729266</v>
      </c>
      <c r="AG22" s="154">
        <f t="shared" si="41"/>
        <v>4.1684670614234589</v>
      </c>
      <c r="AH22" s="687">
        <f t="shared" si="18"/>
        <v>113.84668928755963</v>
      </c>
      <c r="AI22" s="301">
        <f t="shared" si="10"/>
        <v>113.84668928755963</v>
      </c>
      <c r="BB22" s="423"/>
      <c r="BC22" s="423"/>
      <c r="BD22" s="423"/>
      <c r="BE22" s="423"/>
      <c r="BF22" s="423"/>
      <c r="BG22" s="423"/>
      <c r="BH22" s="423"/>
      <c r="BI22" s="423"/>
      <c r="BJ22" s="423"/>
      <c r="BK22" s="423"/>
      <c r="BL22" s="423"/>
      <c r="BM22" s="423"/>
    </row>
    <row r="23" spans="1:65" hidden="1" outlineLevel="1">
      <c r="A23" s="745" t="s">
        <v>65</v>
      </c>
      <c r="B23" s="2"/>
      <c r="C23" s="2"/>
      <c r="D23" s="2"/>
      <c r="E23" s="154"/>
      <c r="F23" s="154">
        <f t="shared" si="35"/>
        <v>477.89714244318151</v>
      </c>
      <c r="G23" s="154">
        <f t="shared" si="35"/>
        <v>288.16935827732004</v>
      </c>
      <c r="H23" s="154">
        <f t="shared" si="35"/>
        <v>13.174740318493841</v>
      </c>
      <c r="I23" s="154">
        <f t="shared" si="35"/>
        <v>26.820007076933887</v>
      </c>
      <c r="J23" s="301">
        <f t="shared" si="11"/>
        <v>806.06124811592929</v>
      </c>
      <c r="K23" s="342"/>
      <c r="L23" s="154">
        <f t="shared" si="36"/>
        <v>705.21462635656098</v>
      </c>
      <c r="M23" s="154">
        <f t="shared" si="36"/>
        <v>425.24055550114883</v>
      </c>
      <c r="N23" s="154">
        <f t="shared" si="36"/>
        <v>19.441462913028374</v>
      </c>
      <c r="O23" s="154">
        <f t="shared" si="36"/>
        <v>39.577263787236333</v>
      </c>
      <c r="P23" s="301">
        <f t="shared" si="17"/>
        <v>1189.4739085579743</v>
      </c>
      <c r="Q23" s="328"/>
      <c r="R23" s="154">
        <f t="shared" si="37"/>
        <v>116.31087308211397</v>
      </c>
      <c r="S23" s="154">
        <f t="shared" si="37"/>
        <v>70.134819148311905</v>
      </c>
      <c r="T23" s="154">
        <f t="shared" si="37"/>
        <v>3.2064756471238658</v>
      </c>
      <c r="U23" s="154">
        <f t="shared" si="37"/>
        <v>6.5274682816450111</v>
      </c>
      <c r="V23" s="301">
        <f t="shared" si="38"/>
        <v>196.17963615919476</v>
      </c>
      <c r="W23" s="342"/>
      <c r="X23" s="154">
        <f t="shared" si="39"/>
        <v>0</v>
      </c>
      <c r="Y23" s="154">
        <f t="shared" si="39"/>
        <v>0</v>
      </c>
      <c r="Z23" s="154">
        <f t="shared" si="39"/>
        <v>0</v>
      </c>
      <c r="AA23" s="154">
        <f t="shared" si="39"/>
        <v>0</v>
      </c>
      <c r="AB23" s="279">
        <f t="shared" si="40"/>
        <v>0</v>
      </c>
      <c r="AC23" s="616"/>
      <c r="AD23" s="154">
        <f t="shared" si="41"/>
        <v>705.21462635656098</v>
      </c>
      <c r="AE23" s="154">
        <f t="shared" si="41"/>
        <v>425.24055550114889</v>
      </c>
      <c r="AF23" s="154">
        <f t="shared" si="41"/>
        <v>19.441462913028371</v>
      </c>
      <c r="AG23" s="154">
        <f t="shared" si="41"/>
        <v>39.577263787236333</v>
      </c>
      <c r="AH23" s="687">
        <f t="shared" si="18"/>
        <v>1189.4739085579745</v>
      </c>
      <c r="AI23" s="301">
        <f t="shared" si="10"/>
        <v>1189.4739085579745</v>
      </c>
      <c r="BB23" s="423"/>
      <c r="BC23" s="423"/>
      <c r="BD23" s="423"/>
      <c r="BE23" s="423"/>
      <c r="BF23" s="423"/>
      <c r="BG23" s="423"/>
      <c r="BH23" s="423"/>
      <c r="BI23" s="423"/>
      <c r="BJ23" s="423"/>
      <c r="BK23" s="423"/>
      <c r="BL23" s="423"/>
      <c r="BM23" s="423"/>
    </row>
    <row r="24" spans="1:65" hidden="1" outlineLevel="1">
      <c r="A24" s="745" t="s">
        <v>66</v>
      </c>
      <c r="B24" s="2"/>
      <c r="C24" s="2"/>
      <c r="D24" s="2"/>
      <c r="E24" s="817"/>
      <c r="F24" s="154">
        <f t="shared" si="35"/>
        <v>4025.5032065149558</v>
      </c>
      <c r="G24" s="154">
        <f t="shared" si="35"/>
        <v>1565.2599404007135</v>
      </c>
      <c r="H24" s="154">
        <f t="shared" si="35"/>
        <v>89.896252824165273</v>
      </c>
      <c r="I24" s="154">
        <f t="shared" si="35"/>
        <v>183.00308610633644</v>
      </c>
      <c r="J24" s="301">
        <f t="shared" si="11"/>
        <v>5863.662485846171</v>
      </c>
      <c r="K24" s="342"/>
      <c r="L24" s="154">
        <f t="shared" si="36"/>
        <v>5940.2818882037991</v>
      </c>
      <c r="M24" s="154">
        <f t="shared" si="36"/>
        <v>2309.7945268668786</v>
      </c>
      <c r="N24" s="154">
        <f t="shared" si="36"/>
        <v>132.65647922091517</v>
      </c>
      <c r="O24" s="154">
        <f t="shared" si="36"/>
        <v>270.0506898425773</v>
      </c>
      <c r="P24" s="301">
        <f t="shared" si="17"/>
        <v>8652.7835841341712</v>
      </c>
      <c r="Q24" s="328"/>
      <c r="R24" s="154">
        <f t="shared" si="37"/>
        <v>979.72921568634513</v>
      </c>
      <c r="S24" s="154">
        <f t="shared" si="37"/>
        <v>380.95383734191262</v>
      </c>
      <c r="T24" s="154">
        <f t="shared" si="37"/>
        <v>21.879000153327446</v>
      </c>
      <c r="U24" s="154">
        <f t="shared" si="37"/>
        <v>44.539393169273716</v>
      </c>
      <c r="V24" s="301">
        <f t="shared" si="38"/>
        <v>1427.1014463508591</v>
      </c>
      <c r="W24" s="342"/>
      <c r="X24" s="154">
        <f t="shared" si="39"/>
        <v>979.72921568634524</v>
      </c>
      <c r="Y24" s="154">
        <f t="shared" si="39"/>
        <v>380.95383734191267</v>
      </c>
      <c r="Z24" s="154">
        <f t="shared" si="39"/>
        <v>21.879000153327446</v>
      </c>
      <c r="AA24" s="154">
        <f t="shared" si="39"/>
        <v>44.539393169273723</v>
      </c>
      <c r="AB24" s="279">
        <f t="shared" si="40"/>
        <v>1427.1014463508593</v>
      </c>
      <c r="AC24" s="616"/>
      <c r="AD24" s="154">
        <f t="shared" si="41"/>
        <v>0</v>
      </c>
      <c r="AE24" s="154">
        <f t="shared" si="41"/>
        <v>0</v>
      </c>
      <c r="AF24" s="154">
        <f t="shared" si="41"/>
        <v>0</v>
      </c>
      <c r="AG24" s="154">
        <f t="shared" si="41"/>
        <v>0</v>
      </c>
      <c r="AH24" s="687">
        <f t="shared" si="18"/>
        <v>0</v>
      </c>
      <c r="AI24" s="301">
        <f t="shared" si="10"/>
        <v>1427.1014463508593</v>
      </c>
      <c r="BB24" s="423"/>
      <c r="BC24" s="423"/>
      <c r="BD24" s="423"/>
      <c r="BE24" s="423"/>
      <c r="BF24" s="423"/>
      <c r="BG24" s="423"/>
      <c r="BH24" s="423"/>
      <c r="BI24" s="423"/>
      <c r="BJ24" s="423"/>
      <c r="BK24" s="423"/>
      <c r="BL24" s="423"/>
      <c r="BM24" s="423"/>
    </row>
    <row r="25" spans="1:65" s="454" customFormat="1" ht="20" hidden="1" outlineLevel="1" thickBot="1">
      <c r="A25" s="798" t="s">
        <v>328</v>
      </c>
      <c r="B25" s="943"/>
      <c r="C25" s="943"/>
      <c r="D25" s="943"/>
      <c r="E25" s="363"/>
      <c r="F25" s="363">
        <f t="shared" si="35"/>
        <v>0</v>
      </c>
      <c r="G25" s="363">
        <f t="shared" si="35"/>
        <v>0</v>
      </c>
      <c r="H25" s="363">
        <f t="shared" si="35"/>
        <v>0</v>
      </c>
      <c r="I25" s="363">
        <f t="shared" si="35"/>
        <v>0</v>
      </c>
      <c r="J25" s="364">
        <f t="shared" si="11"/>
        <v>0</v>
      </c>
      <c r="K25" s="474"/>
      <c r="L25" s="363">
        <f t="shared" si="36"/>
        <v>0</v>
      </c>
      <c r="M25" s="363">
        <f t="shared" si="36"/>
        <v>0</v>
      </c>
      <c r="N25" s="363">
        <f t="shared" si="36"/>
        <v>0</v>
      </c>
      <c r="O25" s="363">
        <f t="shared" si="36"/>
        <v>0</v>
      </c>
      <c r="P25" s="364">
        <f t="shared" si="17"/>
        <v>0</v>
      </c>
      <c r="Q25" s="365"/>
      <c r="R25" s="363">
        <f t="shared" si="37"/>
        <v>0</v>
      </c>
      <c r="S25" s="363">
        <f t="shared" si="37"/>
        <v>0</v>
      </c>
      <c r="T25" s="363">
        <f t="shared" si="37"/>
        <v>0</v>
      </c>
      <c r="U25" s="363">
        <f t="shared" si="37"/>
        <v>0</v>
      </c>
      <c r="V25" s="364">
        <f t="shared" si="38"/>
        <v>0</v>
      </c>
      <c r="W25" s="474"/>
      <c r="X25" s="363">
        <f t="shared" si="39"/>
        <v>0</v>
      </c>
      <c r="Y25" s="363">
        <f t="shared" si="39"/>
        <v>0</v>
      </c>
      <c r="Z25" s="363">
        <f t="shared" si="39"/>
        <v>0</v>
      </c>
      <c r="AA25" s="363">
        <f t="shared" si="39"/>
        <v>0</v>
      </c>
      <c r="AB25" s="630">
        <f t="shared" si="40"/>
        <v>0</v>
      </c>
      <c r="AC25" s="670"/>
      <c r="AD25" s="363">
        <f t="shared" si="41"/>
        <v>0</v>
      </c>
      <c r="AE25" s="363">
        <f t="shared" si="41"/>
        <v>0</v>
      </c>
      <c r="AF25" s="363">
        <f t="shared" si="41"/>
        <v>0</v>
      </c>
      <c r="AG25" s="363">
        <f t="shared" si="41"/>
        <v>0</v>
      </c>
      <c r="AH25" s="689">
        <f t="shared" si="18"/>
        <v>0</v>
      </c>
      <c r="AI25" s="364">
        <f t="shared" si="10"/>
        <v>0</v>
      </c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</row>
    <row r="26" spans="1:65" hidden="1" outlineLevel="1">
      <c r="A26" s="745"/>
      <c r="B26" s="2"/>
      <c r="C26" s="2"/>
      <c r="D26" s="2"/>
      <c r="E26" s="154"/>
      <c r="F26" s="154"/>
      <c r="G26" s="154"/>
      <c r="H26" s="154"/>
      <c r="I26" s="154"/>
      <c r="J26" s="301"/>
      <c r="K26" s="342"/>
      <c r="L26" s="154"/>
      <c r="M26" s="154"/>
      <c r="N26" s="154"/>
      <c r="O26" s="154"/>
      <c r="P26" s="301"/>
      <c r="Q26" s="328"/>
      <c r="R26" s="154"/>
      <c r="S26" s="154"/>
      <c r="T26" s="154"/>
      <c r="U26" s="154"/>
      <c r="V26" s="279"/>
      <c r="W26" s="342"/>
      <c r="X26" s="154"/>
      <c r="Y26" s="154"/>
      <c r="Z26" s="154"/>
      <c r="AA26" s="154"/>
      <c r="AB26" s="279"/>
      <c r="AC26" s="616"/>
      <c r="AD26" s="154"/>
      <c r="AE26" s="154"/>
      <c r="AF26" s="154"/>
      <c r="AG26" s="154"/>
      <c r="AH26" s="687"/>
      <c r="AI26" s="301"/>
      <c r="BB26" s="423"/>
      <c r="BC26" s="423"/>
      <c r="BD26" s="423"/>
      <c r="BE26" s="423"/>
      <c r="BF26" s="423"/>
      <c r="BG26" s="423"/>
      <c r="BH26" s="423"/>
      <c r="BI26" s="423"/>
      <c r="BJ26" s="423"/>
      <c r="BK26" s="423"/>
      <c r="BL26" s="423"/>
      <c r="BM26" s="423"/>
    </row>
    <row r="27" spans="1:65" ht="20" collapsed="1" thickBot="1">
      <c r="E27" s="904"/>
      <c r="F27" s="790"/>
      <c r="G27" s="790"/>
      <c r="H27" s="154"/>
      <c r="I27" s="154"/>
      <c r="J27" s="301"/>
      <c r="K27" s="905"/>
      <c r="L27" s="154"/>
      <c r="M27" s="154"/>
      <c r="N27" s="154"/>
      <c r="O27" s="154"/>
      <c r="P27" s="911"/>
      <c r="Q27" s="912"/>
      <c r="R27" s="154"/>
      <c r="S27" s="154"/>
      <c r="T27" s="154"/>
      <c r="U27" s="154"/>
      <c r="V27" s="279"/>
      <c r="W27" s="555"/>
      <c r="X27" s="154"/>
      <c r="Y27" s="154"/>
      <c r="Z27" s="154"/>
      <c r="AA27" s="154"/>
      <c r="AB27" s="154"/>
      <c r="AC27" s="616"/>
      <c r="AD27" s="154"/>
      <c r="AE27" s="154"/>
      <c r="AF27" s="154"/>
      <c r="AG27" s="154"/>
      <c r="AH27" s="690"/>
      <c r="AI27" s="299"/>
      <c r="BB27" s="423"/>
      <c r="BC27" s="423"/>
      <c r="BD27" s="423"/>
      <c r="BE27" s="423"/>
      <c r="BF27" s="423"/>
      <c r="BG27" s="423"/>
      <c r="BH27" s="423"/>
      <c r="BI27" s="423"/>
      <c r="BJ27" s="423"/>
      <c r="BK27" s="423"/>
      <c r="BL27" s="423"/>
      <c r="BM27" s="423"/>
    </row>
    <row r="28" spans="1:65" s="482" customFormat="1" ht="21" customHeight="1">
      <c r="A28" s="744" t="s">
        <v>342</v>
      </c>
      <c r="B28" s="944"/>
      <c r="C28" s="944"/>
      <c r="D28" s="944"/>
      <c r="E28" s="731"/>
      <c r="F28" s="476">
        <f>SUM(F29:F33)</f>
        <v>94980336.687484041</v>
      </c>
      <c r="G28" s="476">
        <f t="shared" ref="G28:I28" si="42">SUM(G29:G33)</f>
        <v>40428564.380383775</v>
      </c>
      <c r="H28" s="476">
        <f t="shared" si="42"/>
        <v>2206572.1799695194</v>
      </c>
      <c r="I28" s="476">
        <f t="shared" si="42"/>
        <v>4491950.5092236642</v>
      </c>
      <c r="J28" s="477">
        <f t="shared" si="11"/>
        <v>142107423.757061</v>
      </c>
      <c r="K28" s="483"/>
      <c r="L28" s="476">
        <f>SUM(L29:L33)</f>
        <v>159493402.64256939</v>
      </c>
      <c r="M28" s="476">
        <f t="shared" ref="M28:O28" si="43">SUM(M29:M33)</f>
        <v>67748571.978395551</v>
      </c>
      <c r="N28" s="476">
        <f t="shared" si="43"/>
        <v>3701906.524135259</v>
      </c>
      <c r="O28" s="476">
        <f t="shared" si="43"/>
        <v>7536023.9955610633</v>
      </c>
      <c r="P28" s="477">
        <f t="shared" ref="P28:P34" si="44">SUM(L28:O28)</f>
        <v>238479905.14066127</v>
      </c>
      <c r="Q28" s="484"/>
      <c r="R28" s="476">
        <f>SUM(R29:R33)</f>
        <v>26305207.264398091</v>
      </c>
      <c r="S28" s="476">
        <f t="shared" ref="S28:U28" si="45">SUM(S29:S33)</f>
        <v>11173755.141161103</v>
      </c>
      <c r="T28" s="476">
        <f t="shared" si="45"/>
        <v>610554.52311740047</v>
      </c>
      <c r="U28" s="476">
        <f t="shared" si="45"/>
        <v>1242914.5649175649</v>
      </c>
      <c r="V28" s="639">
        <f t="shared" ref="V28:V34" si="46">SUM(R28:U28)</f>
        <v>39332431.493594162</v>
      </c>
      <c r="W28" s="567"/>
      <c r="X28" s="476">
        <f>SUM(X29:X33)</f>
        <v>22887756.674386442</v>
      </c>
      <c r="Y28" s="476">
        <f t="shared" ref="Y28:AA28" si="47">SUM(Y29:Y33)</f>
        <v>8899580.2040539365</v>
      </c>
      <c r="Z28" s="476">
        <f t="shared" si="47"/>
        <v>511122.07717253384</v>
      </c>
      <c r="AA28" s="476">
        <f t="shared" si="47"/>
        <v>1040498.5142440866</v>
      </c>
      <c r="AB28" s="639">
        <f t="shared" ref="AB28:AB53" si="48">SUM(X28:AA28)</f>
        <v>33338957.469857</v>
      </c>
      <c r="AC28" s="691"/>
      <c r="AD28" s="476">
        <f>SUM(AD29:AD33)</f>
        <v>20720643.539711211</v>
      </c>
      <c r="AE28" s="476">
        <f t="shared" ref="AE28:AG28" si="49">SUM(AE29:AE33)</f>
        <v>13788748.94533065</v>
      </c>
      <c r="AF28" s="476">
        <f t="shared" si="49"/>
        <v>602877.55870616995</v>
      </c>
      <c r="AG28" s="476">
        <f t="shared" si="49"/>
        <v>1227286.4587947032</v>
      </c>
      <c r="AH28" s="692">
        <f t="shared" ref="AH28:AH34" si="50">SUM(AD28:AG28)</f>
        <v>36339556.502542734</v>
      </c>
      <c r="AI28" s="477">
        <f>AH28+AB28</f>
        <v>69678513.972399741</v>
      </c>
      <c r="AJ28" s="481"/>
      <c r="AK28" s="481"/>
      <c r="AL28" s="481"/>
      <c r="AM28" s="481"/>
      <c r="AN28" s="481"/>
      <c r="AO28" s="481"/>
      <c r="AP28" s="481"/>
      <c r="AQ28" s="481"/>
      <c r="AR28" s="481"/>
      <c r="AS28" s="481"/>
      <c r="AT28" s="481"/>
      <c r="AU28" s="481"/>
    </row>
    <row r="29" spans="1:65" hidden="1" outlineLevel="1">
      <c r="A29" s="745" t="s">
        <v>327</v>
      </c>
      <c r="B29" s="2"/>
      <c r="C29" s="2"/>
      <c r="D29" s="2"/>
      <c r="E29" s="730"/>
      <c r="F29" s="169">
        <f t="shared" ref="F29:I33" si="51">F$20*F64*F74</f>
        <v>27425.301916122386</v>
      </c>
      <c r="G29" s="169">
        <f t="shared" si="51"/>
        <v>180825.90115807255</v>
      </c>
      <c r="H29" s="169">
        <f t="shared" si="51"/>
        <v>4773.1434376144143</v>
      </c>
      <c r="I29" s="169">
        <f t="shared" si="51"/>
        <v>9716.7562837150563</v>
      </c>
      <c r="J29" s="406">
        <f t="shared" si="11"/>
        <v>222741.10279552438</v>
      </c>
      <c r="K29" s="296"/>
      <c r="L29" s="169">
        <f t="shared" ref="L29:O33" si="52">L$20*L64*L74</f>
        <v>43256.966022775436</v>
      </c>
      <c r="M29" s="169">
        <f t="shared" si="52"/>
        <v>285210.34650248359</v>
      </c>
      <c r="N29" s="169">
        <f t="shared" si="52"/>
        <v>7528.5115961236752</v>
      </c>
      <c r="O29" s="169">
        <f t="shared" si="52"/>
        <v>15325.898606394625</v>
      </c>
      <c r="P29" s="406">
        <f t="shared" si="44"/>
        <v>351321.72272777738</v>
      </c>
      <c r="Q29" s="469"/>
      <c r="R29" s="169">
        <f t="shared" ref="R29:U33" si="53">R$20*R64*R74</f>
        <v>7134.3606569619214</v>
      </c>
      <c r="S29" s="169">
        <f t="shared" si="53"/>
        <v>47039.67157508104</v>
      </c>
      <c r="T29" s="169">
        <f t="shared" si="53"/>
        <v>1241.6755467451567</v>
      </c>
      <c r="U29" s="169">
        <f t="shared" si="53"/>
        <v>2527.6966487312111</v>
      </c>
      <c r="V29" s="677">
        <f t="shared" si="46"/>
        <v>57943.40442751933</v>
      </c>
      <c r="W29" s="342"/>
      <c r="X29" s="169">
        <f t="shared" ref="X29:AA33" si="54">X$20*X64*X74</f>
        <v>0</v>
      </c>
      <c r="Y29" s="169">
        <f t="shared" si="54"/>
        <v>0</v>
      </c>
      <c r="Z29" s="169">
        <f t="shared" si="54"/>
        <v>0</v>
      </c>
      <c r="AA29" s="169">
        <f t="shared" si="54"/>
        <v>0</v>
      </c>
      <c r="AB29" s="677">
        <f t="shared" si="48"/>
        <v>0</v>
      </c>
      <c r="AC29" s="616"/>
      <c r="AD29" s="169">
        <f t="shared" ref="AD29:AG33" si="55">AD$20*AD64*AD74</f>
        <v>43256.966022775443</v>
      </c>
      <c r="AE29" s="169">
        <f t="shared" si="55"/>
        <v>285210.34650248365</v>
      </c>
      <c r="AF29" s="169">
        <f t="shared" si="55"/>
        <v>7528.5115961236743</v>
      </c>
      <c r="AG29" s="169">
        <f t="shared" si="55"/>
        <v>15325.898606394625</v>
      </c>
      <c r="AH29" s="693">
        <f t="shared" si="50"/>
        <v>351321.72272777744</v>
      </c>
      <c r="AI29" s="406">
        <f>AH29+AB29</f>
        <v>351321.72272777744</v>
      </c>
      <c r="BB29" s="423"/>
      <c r="BC29" s="423"/>
      <c r="BD29" s="423"/>
      <c r="BE29" s="423"/>
      <c r="BF29" s="423"/>
      <c r="BG29" s="423"/>
      <c r="BH29" s="423"/>
      <c r="BI29" s="423"/>
      <c r="BJ29" s="423"/>
      <c r="BK29" s="423"/>
      <c r="BL29" s="423"/>
      <c r="BM29" s="423"/>
    </row>
    <row r="30" spans="1:65" hidden="1" outlineLevel="1">
      <c r="A30" s="745" t="s">
        <v>429</v>
      </c>
      <c r="B30" s="2"/>
      <c r="C30" s="2"/>
      <c r="D30" s="2"/>
      <c r="E30" s="730"/>
      <c r="F30" s="169">
        <f t="shared" si="51"/>
        <v>1192283.4161050071</v>
      </c>
      <c r="G30" s="169">
        <f t="shared" si="51"/>
        <v>1362449.1371754475</v>
      </c>
      <c r="H30" s="169">
        <f t="shared" si="51"/>
        <v>48603.709365557123</v>
      </c>
      <c r="I30" s="169">
        <f t="shared" si="51"/>
        <v>98943.265494169842</v>
      </c>
      <c r="J30" s="406">
        <f t="shared" si="11"/>
        <v>2702279.5281401812</v>
      </c>
      <c r="K30" s="296"/>
      <c r="L30" s="169">
        <f t="shared" si="52"/>
        <v>1917980.4507478029</v>
      </c>
      <c r="M30" s="169">
        <f t="shared" si="52"/>
        <v>2191719.4980178885</v>
      </c>
      <c r="N30" s="169">
        <f t="shared" si="52"/>
        <v>78186.916917375172</v>
      </c>
      <c r="O30" s="169">
        <f t="shared" si="52"/>
        <v>159166.22372465662</v>
      </c>
      <c r="P30" s="406">
        <f t="shared" si="44"/>
        <v>4347053.0894077234</v>
      </c>
      <c r="Q30" s="469"/>
      <c r="R30" s="169">
        <f t="shared" si="53"/>
        <v>316332.03913174628</v>
      </c>
      <c r="S30" s="169">
        <f t="shared" si="53"/>
        <v>361479.75217499753</v>
      </c>
      <c r="T30" s="169">
        <f t="shared" si="53"/>
        <v>12895.348778062122</v>
      </c>
      <c r="U30" s="169">
        <f t="shared" si="53"/>
        <v>26251.245726769313</v>
      </c>
      <c r="V30" s="677">
        <f t="shared" si="46"/>
        <v>716958.38581157534</v>
      </c>
      <c r="W30" s="342"/>
      <c r="X30" s="169">
        <f t="shared" si="54"/>
        <v>0</v>
      </c>
      <c r="Y30" s="169">
        <f t="shared" si="54"/>
        <v>0</v>
      </c>
      <c r="Z30" s="169">
        <f t="shared" si="54"/>
        <v>0</v>
      </c>
      <c r="AA30" s="169">
        <f t="shared" si="54"/>
        <v>0</v>
      </c>
      <c r="AB30" s="677">
        <f t="shared" si="48"/>
        <v>0</v>
      </c>
      <c r="AC30" s="616"/>
      <c r="AD30" s="169">
        <f t="shared" si="55"/>
        <v>1917980.4507478031</v>
      </c>
      <c r="AE30" s="169">
        <f t="shared" si="55"/>
        <v>2191719.498017889</v>
      </c>
      <c r="AF30" s="169">
        <f t="shared" si="55"/>
        <v>78186.916917375158</v>
      </c>
      <c r="AG30" s="169">
        <f t="shared" si="55"/>
        <v>159166.22372465662</v>
      </c>
      <c r="AH30" s="693">
        <f t="shared" si="50"/>
        <v>4347053.0894077243</v>
      </c>
      <c r="AI30" s="406">
        <f t="shared" ref="AI30:AI51" si="56">AH30+AB30</f>
        <v>4347053.0894077243</v>
      </c>
      <c r="BB30" s="423"/>
      <c r="BC30" s="423"/>
      <c r="BD30" s="423"/>
      <c r="BE30" s="423"/>
      <c r="BF30" s="423"/>
      <c r="BG30" s="423"/>
      <c r="BH30" s="423"/>
      <c r="BI30" s="423"/>
      <c r="BJ30" s="423"/>
      <c r="BK30" s="423"/>
      <c r="BL30" s="423"/>
      <c r="BM30" s="423"/>
    </row>
    <row r="31" spans="1:65" hidden="1" outlineLevel="1">
      <c r="A31" s="745" t="s">
        <v>65</v>
      </c>
      <c r="B31" s="2"/>
      <c r="C31" s="2"/>
      <c r="D31" s="2"/>
      <c r="E31" s="730"/>
      <c r="F31" s="169">
        <f t="shared" si="51"/>
        <v>11336437.064465931</v>
      </c>
      <c r="G31" s="169">
        <f t="shared" si="51"/>
        <v>6835809.4323754478</v>
      </c>
      <c r="H31" s="169">
        <f t="shared" si="51"/>
        <v>312524.60246515163</v>
      </c>
      <c r="I31" s="169">
        <f t="shared" si="51"/>
        <v>636210.79787548725</v>
      </c>
      <c r="J31" s="406">
        <f t="shared" si="11"/>
        <v>19120981.897182018</v>
      </c>
      <c r="K31" s="296"/>
      <c r="L31" s="169">
        <f t="shared" si="52"/>
        <v>18759406.122940633</v>
      </c>
      <c r="M31" s="169">
        <f t="shared" si="52"/>
        <v>11311819.100810276</v>
      </c>
      <c r="N31" s="169">
        <f t="shared" si="52"/>
        <v>517162.13019267115</v>
      </c>
      <c r="O31" s="169">
        <f t="shared" si="52"/>
        <v>1052794.3364636521</v>
      </c>
      <c r="P31" s="406">
        <f t="shared" si="44"/>
        <v>31641181.690407235</v>
      </c>
      <c r="Q31" s="469"/>
      <c r="R31" s="169">
        <f t="shared" si="53"/>
        <v>3093984.1902229432</v>
      </c>
      <c r="S31" s="169">
        <f t="shared" si="53"/>
        <v>1865655.5133570875</v>
      </c>
      <c r="T31" s="169">
        <f t="shared" si="53"/>
        <v>85295.421620059336</v>
      </c>
      <c r="U31" s="169">
        <f t="shared" si="53"/>
        <v>173637.10829797792</v>
      </c>
      <c r="V31" s="677">
        <f t="shared" si="46"/>
        <v>5218572.2334980685</v>
      </c>
      <c r="W31" s="342"/>
      <c r="X31" s="169">
        <f t="shared" si="54"/>
        <v>0</v>
      </c>
      <c r="Y31" s="169">
        <f t="shared" si="54"/>
        <v>0</v>
      </c>
      <c r="Z31" s="169">
        <f t="shared" si="54"/>
        <v>0</v>
      </c>
      <c r="AA31" s="169">
        <f t="shared" si="54"/>
        <v>0</v>
      </c>
      <c r="AB31" s="677">
        <f t="shared" si="48"/>
        <v>0</v>
      </c>
      <c r="AC31" s="616"/>
      <c r="AD31" s="169">
        <f t="shared" si="55"/>
        <v>18759406.122940633</v>
      </c>
      <c r="AE31" s="169">
        <f t="shared" si="55"/>
        <v>11311819.100810276</v>
      </c>
      <c r="AF31" s="169">
        <f t="shared" si="55"/>
        <v>517162.13019267109</v>
      </c>
      <c r="AG31" s="169">
        <f t="shared" si="55"/>
        <v>1052794.3364636521</v>
      </c>
      <c r="AH31" s="693">
        <f t="shared" si="50"/>
        <v>31641181.690407235</v>
      </c>
      <c r="AI31" s="406">
        <f t="shared" si="56"/>
        <v>31641181.690407235</v>
      </c>
      <c r="BB31" s="423"/>
      <c r="BC31" s="423"/>
      <c r="BD31" s="423"/>
      <c r="BE31" s="423"/>
      <c r="BF31" s="423"/>
      <c r="BG31" s="423"/>
      <c r="BH31" s="423"/>
      <c r="BI31" s="423"/>
      <c r="BJ31" s="423"/>
      <c r="BK31" s="423"/>
      <c r="BL31" s="423"/>
      <c r="BM31" s="423"/>
    </row>
    <row r="32" spans="1:65" s="893" customFormat="1" hidden="1" outlineLevel="1">
      <c r="A32" s="883" t="s">
        <v>66</v>
      </c>
      <c r="B32" s="894"/>
      <c r="C32" s="894"/>
      <c r="D32" s="894"/>
      <c r="E32" s="884"/>
      <c r="F32" s="885">
        <f t="shared" si="51"/>
        <v>82424190.904996976</v>
      </c>
      <c r="G32" s="885">
        <f t="shared" si="51"/>
        <v>32049479.909674808</v>
      </c>
      <c r="H32" s="885">
        <f t="shared" si="51"/>
        <v>1840670.724701196</v>
      </c>
      <c r="I32" s="885">
        <f t="shared" si="51"/>
        <v>3747079.6895702919</v>
      </c>
      <c r="J32" s="886">
        <f t="shared" si="11"/>
        <v>120061421.22894327</v>
      </c>
      <c r="K32" s="887"/>
      <c r="L32" s="885">
        <f t="shared" si="52"/>
        <v>138772759.10285819</v>
      </c>
      <c r="M32" s="885">
        <f t="shared" si="52"/>
        <v>53959823.033064909</v>
      </c>
      <c r="N32" s="885">
        <f t="shared" si="52"/>
        <v>3099028.965429089</v>
      </c>
      <c r="O32" s="885">
        <f t="shared" si="52"/>
        <v>6308737.5367663596</v>
      </c>
      <c r="P32" s="886">
        <f t="shared" si="44"/>
        <v>202140348.63811854</v>
      </c>
      <c r="Q32" s="888"/>
      <c r="R32" s="885">
        <f t="shared" si="53"/>
        <v>22887756.674386438</v>
      </c>
      <c r="S32" s="885">
        <f t="shared" si="53"/>
        <v>8899580.2040539365</v>
      </c>
      <c r="T32" s="885">
        <f t="shared" si="53"/>
        <v>511122.07717253384</v>
      </c>
      <c r="U32" s="885">
        <f t="shared" si="53"/>
        <v>1040498.5142440865</v>
      </c>
      <c r="V32" s="889">
        <f t="shared" si="46"/>
        <v>33338957.469856992</v>
      </c>
      <c r="W32" s="890"/>
      <c r="X32" s="885">
        <f t="shared" si="54"/>
        <v>22887756.674386442</v>
      </c>
      <c r="Y32" s="885">
        <f t="shared" si="54"/>
        <v>8899580.2040539365</v>
      </c>
      <c r="Z32" s="885">
        <f t="shared" si="54"/>
        <v>511122.07717253384</v>
      </c>
      <c r="AA32" s="885">
        <f t="shared" si="54"/>
        <v>1040498.5142440866</v>
      </c>
      <c r="AB32" s="889">
        <f t="shared" si="48"/>
        <v>33338957.469857</v>
      </c>
      <c r="AC32" s="891"/>
      <c r="AD32" s="885">
        <f t="shared" si="55"/>
        <v>0</v>
      </c>
      <c r="AE32" s="885">
        <f t="shared" si="55"/>
        <v>0</v>
      </c>
      <c r="AF32" s="885">
        <f t="shared" si="55"/>
        <v>0</v>
      </c>
      <c r="AG32" s="885">
        <f t="shared" si="55"/>
        <v>0</v>
      </c>
      <c r="AH32" s="892">
        <f t="shared" si="50"/>
        <v>0</v>
      </c>
      <c r="AI32" s="886">
        <f t="shared" si="56"/>
        <v>33338957.469857</v>
      </c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</row>
    <row r="33" spans="1:65" hidden="1" outlineLevel="1">
      <c r="A33" s="745" t="s">
        <v>328</v>
      </c>
      <c r="B33" s="2"/>
      <c r="C33" s="2"/>
      <c r="D33" s="2"/>
      <c r="E33" s="730"/>
      <c r="F33" s="169">
        <f t="shared" si="51"/>
        <v>0</v>
      </c>
      <c r="G33" s="169">
        <f t="shared" si="51"/>
        <v>0</v>
      </c>
      <c r="H33" s="169">
        <f t="shared" si="51"/>
        <v>0</v>
      </c>
      <c r="I33" s="169">
        <f t="shared" si="51"/>
        <v>0</v>
      </c>
      <c r="J33" s="406">
        <f t="shared" si="11"/>
        <v>0</v>
      </c>
      <c r="K33" s="296"/>
      <c r="L33" s="169">
        <f t="shared" si="52"/>
        <v>0</v>
      </c>
      <c r="M33" s="169">
        <f t="shared" si="52"/>
        <v>0</v>
      </c>
      <c r="N33" s="169">
        <f t="shared" si="52"/>
        <v>0</v>
      </c>
      <c r="O33" s="169">
        <f t="shared" si="52"/>
        <v>0</v>
      </c>
      <c r="P33" s="406">
        <f t="shared" si="44"/>
        <v>0</v>
      </c>
      <c r="Q33" s="469"/>
      <c r="R33" s="169">
        <f t="shared" si="53"/>
        <v>0</v>
      </c>
      <c r="S33" s="169">
        <f t="shared" si="53"/>
        <v>0</v>
      </c>
      <c r="T33" s="169">
        <f t="shared" si="53"/>
        <v>0</v>
      </c>
      <c r="U33" s="169">
        <f t="shared" si="53"/>
        <v>0</v>
      </c>
      <c r="V33" s="677">
        <f t="shared" si="46"/>
        <v>0</v>
      </c>
      <c r="W33" s="342"/>
      <c r="X33" s="169">
        <f t="shared" si="54"/>
        <v>0</v>
      </c>
      <c r="Y33" s="169">
        <f t="shared" si="54"/>
        <v>0</v>
      </c>
      <c r="Z33" s="169">
        <f t="shared" si="54"/>
        <v>0</v>
      </c>
      <c r="AA33" s="169">
        <f t="shared" si="54"/>
        <v>0</v>
      </c>
      <c r="AB33" s="677">
        <f t="shared" si="48"/>
        <v>0</v>
      </c>
      <c r="AC33" s="616"/>
      <c r="AD33" s="169">
        <f t="shared" si="55"/>
        <v>0</v>
      </c>
      <c r="AE33" s="169">
        <f t="shared" si="55"/>
        <v>0</v>
      </c>
      <c r="AF33" s="169">
        <f t="shared" si="55"/>
        <v>0</v>
      </c>
      <c r="AG33" s="169">
        <f t="shared" si="55"/>
        <v>0</v>
      </c>
      <c r="AH33" s="693">
        <f t="shared" si="50"/>
        <v>0</v>
      </c>
      <c r="AI33" s="406">
        <f t="shared" si="56"/>
        <v>0</v>
      </c>
      <c r="BB33" s="423"/>
      <c r="BC33" s="423"/>
      <c r="BD33" s="423"/>
      <c r="BE33" s="423"/>
      <c r="BF33" s="423"/>
      <c r="BG33" s="423"/>
      <c r="BH33" s="423"/>
      <c r="BI33" s="423"/>
      <c r="BJ33" s="423"/>
      <c r="BK33" s="423"/>
      <c r="BL33" s="423"/>
      <c r="BM33" s="423"/>
    </row>
    <row r="34" spans="1:65" s="495" customFormat="1" ht="20" collapsed="1">
      <c r="A34" s="746" t="s">
        <v>343</v>
      </c>
      <c r="B34" s="945"/>
      <c r="C34" s="945"/>
      <c r="D34" s="945"/>
      <c r="E34" s="732"/>
      <c r="F34" s="492">
        <f>SUM(F35:F47)</f>
        <v>70934807.494099155</v>
      </c>
      <c r="G34" s="492">
        <f>SUM(G35:G46)</f>
        <v>29676211.139247499</v>
      </c>
      <c r="H34" s="492">
        <f>SUM(H35:H46)</f>
        <v>1635286.1896270553</v>
      </c>
      <c r="I34" s="492">
        <f>SUM(I35:I46)</f>
        <v>3328975.4574550763</v>
      </c>
      <c r="J34" s="680">
        <f>SUM(J35:J46)</f>
        <v>105574212.57815024</v>
      </c>
      <c r="K34" s="681"/>
      <c r="L34" s="492">
        <f>SUM(L35:L46)</f>
        <v>104439472.89881741</v>
      </c>
      <c r="M34" s="492">
        <f>SUM(M35:M46)</f>
        <v>43693996.35575176</v>
      </c>
      <c r="N34" s="492">
        <f>SUM(N35:N46)</f>
        <v>2407721.4915971225</v>
      </c>
      <c r="O34" s="492">
        <f>SUM(O35:O46)</f>
        <v>4901433.0364655703</v>
      </c>
      <c r="P34" s="680">
        <f t="shared" si="44"/>
        <v>155442623.78263187</v>
      </c>
      <c r="Q34" s="682"/>
      <c r="R34" s="492">
        <f>SUM(R35:R46)</f>
        <v>5248944.5944008352</v>
      </c>
      <c r="S34" s="492">
        <f>SUM(S35:S46)</f>
        <v>2203710.25617937</v>
      </c>
      <c r="T34" s="492">
        <f>SUM(T35:T46)</f>
        <v>121196.78417618229</v>
      </c>
      <c r="U34" s="492">
        <f>SUM(U35:U46)</f>
        <v>246722.02493008532</v>
      </c>
      <c r="V34" s="683">
        <f t="shared" si="46"/>
        <v>7820573.6596864723</v>
      </c>
      <c r="W34" s="684"/>
      <c r="X34" s="492">
        <f>SUM(X35:X46)</f>
        <v>3911095.9635238349</v>
      </c>
      <c r="Y34" s="492">
        <f>SUM(Y35:Y46)</f>
        <v>1520774.3034110644</v>
      </c>
      <c r="Z34" s="492">
        <f>SUM(Z35:Z46)</f>
        <v>87341.346788020412</v>
      </c>
      <c r="AA34" s="492">
        <f>SUM(AA35:AA46)</f>
        <v>177802.02738989866</v>
      </c>
      <c r="AB34" s="683">
        <f t="shared" si="48"/>
        <v>5697013.6411128193</v>
      </c>
      <c r="AC34" s="694"/>
      <c r="AD34" s="492">
        <f>SUM(AD35:AD46)</f>
        <v>12578991.932780698</v>
      </c>
      <c r="AE34" s="492">
        <f>SUM(AE35:AE46)</f>
        <v>8129166.3422722397</v>
      </c>
      <c r="AF34" s="492">
        <f>SUM(AF35:AF46)</f>
        <v>360083.60035046184</v>
      </c>
      <c r="AG34" s="492">
        <f>SUM(AG35:AG46)</f>
        <v>733027.3292848689</v>
      </c>
      <c r="AH34" s="695">
        <f t="shared" si="50"/>
        <v>21801269.20468827</v>
      </c>
      <c r="AI34" s="680">
        <f>AH34+AB34</f>
        <v>27498282.845801089</v>
      </c>
      <c r="AJ34" s="493"/>
      <c r="AK34" s="493"/>
      <c r="AL34" s="493"/>
      <c r="AM34" s="493"/>
      <c r="AN34" s="493"/>
      <c r="AO34" s="493"/>
      <c r="AP34" s="493"/>
      <c r="AQ34" s="493"/>
      <c r="AR34" s="493"/>
      <c r="AS34" s="493"/>
      <c r="AT34" s="493"/>
      <c r="AU34" s="493"/>
    </row>
    <row r="35" spans="1:65" ht="20" customHeight="1">
      <c r="A35" s="747" t="s">
        <v>501</v>
      </c>
      <c r="B35" s="13"/>
      <c r="C35" s="13"/>
      <c r="D35" s="13"/>
      <c r="F35" s="169">
        <f>F20*F125</f>
        <v>60808331.593537107</v>
      </c>
      <c r="G35" s="169">
        <f>G20*G125</f>
        <v>25400948.640338287</v>
      </c>
      <c r="H35" s="169">
        <f>H20*H125</f>
        <v>1400900.8038004753</v>
      </c>
      <c r="I35" s="169">
        <f>I20*I125</f>
        <v>2851833.779165253</v>
      </c>
      <c r="J35" s="406">
        <f t="shared" ref="J35:J53" si="57">SUM(F35:I35)</f>
        <v>90462014.816841125</v>
      </c>
      <c r="L35" s="169">
        <f>L20*L125</f>
        <v>89732540.824306339</v>
      </c>
      <c r="M35" s="169">
        <f>M20*M125</f>
        <v>37483213.255722903</v>
      </c>
      <c r="N35" s="169">
        <f>N20*N125</f>
        <v>2067256.0038004755</v>
      </c>
      <c r="O35" s="169">
        <f>O20*O125</f>
        <v>4208342.5791652538</v>
      </c>
      <c r="P35" s="406">
        <f t="shared" ref="P35" si="58">SUM(L35:O35)</f>
        <v>133491352.66299498</v>
      </c>
      <c r="Q35" s="485"/>
      <c r="R35" s="169">
        <f>R20*R125</f>
        <v>0</v>
      </c>
      <c r="S35" s="169">
        <f>S20*S125</f>
        <v>0</v>
      </c>
      <c r="T35" s="169">
        <f>T20*T125</f>
        <v>0</v>
      </c>
      <c r="U35" s="169">
        <f>U20*U125</f>
        <v>0</v>
      </c>
      <c r="V35" s="406">
        <f t="shared" ref="V35" si="59">SUM(R35:U35)</f>
        <v>0</v>
      </c>
      <c r="X35" s="169">
        <f>X20*X125</f>
        <v>0</v>
      </c>
      <c r="Y35" s="169">
        <f>Y20*Y125</f>
        <v>0</v>
      </c>
      <c r="Z35" s="169">
        <f>Z20*Z125</f>
        <v>0</v>
      </c>
      <c r="AA35" s="169">
        <f>AA20*AA125</f>
        <v>0</v>
      </c>
      <c r="AB35" s="406">
        <f t="shared" ref="AB35" si="60">SUM(X35:AA35)</f>
        <v>0</v>
      </c>
      <c r="AD35" s="169">
        <f>AD20*AD125</f>
        <v>10132763.522375433</v>
      </c>
      <c r="AE35" s="169">
        <f>AE20*AE125</f>
        <v>6531966.5957067255</v>
      </c>
      <c r="AF35" s="169">
        <f>AF20*AF125</f>
        <v>289659.1822402121</v>
      </c>
      <c r="AG35" s="169">
        <f>AG20*AG125</f>
        <v>589663.33527471754</v>
      </c>
      <c r="AH35" s="406">
        <f t="shared" ref="AH35" si="61">SUM(AD35:AG35)</f>
        <v>17544052.635597087</v>
      </c>
      <c r="AI35" s="406">
        <f t="shared" si="56"/>
        <v>17544052.635597087</v>
      </c>
      <c r="AP35" s="80"/>
    </row>
    <row r="36" spans="1:65" ht="20" customHeight="1">
      <c r="A36" s="747" t="s">
        <v>502</v>
      </c>
      <c r="B36" s="13"/>
      <c r="C36" s="13"/>
      <c r="D36" s="13"/>
      <c r="F36" s="169">
        <f>F6*F134*F127</f>
        <v>1125465.5999999999</v>
      </c>
      <c r="G36" s="169">
        <f>G6*G134*G127</f>
        <v>470131.20000000001</v>
      </c>
      <c r="H36" s="169">
        <f>H6*H134*H127</f>
        <v>25928.448000000004</v>
      </c>
      <c r="I36" s="169">
        <f>I6*I134*I127</f>
        <v>52782.911999999997</v>
      </c>
      <c r="J36" s="406">
        <f>SUM(F36:I36)</f>
        <v>1674308.16</v>
      </c>
      <c r="L36" s="169">
        <f>L6*L134*L127</f>
        <v>1125465.5999999999</v>
      </c>
      <c r="M36" s="169">
        <f>M6*M134*M127</f>
        <v>470131.20000000001</v>
      </c>
      <c r="N36" s="169">
        <f>N6*N134*N127</f>
        <v>25928.448000000004</v>
      </c>
      <c r="O36" s="169">
        <f>O6*O134*O127</f>
        <v>52782.911999999997</v>
      </c>
      <c r="P36" s="406">
        <f>SUM(L36:O36)</f>
        <v>1674308.16</v>
      </c>
      <c r="Q36" s="485"/>
      <c r="R36" s="169">
        <f>R6*R134*R127</f>
        <v>1125465.5999999999</v>
      </c>
      <c r="S36" s="169">
        <f>S6*S134*S127</f>
        <v>470131.20000000001</v>
      </c>
      <c r="T36" s="169">
        <f>T6*T134*T127</f>
        <v>25928.448000000004</v>
      </c>
      <c r="U36" s="169">
        <f>U6*U134*U127</f>
        <v>52782.911999999997</v>
      </c>
      <c r="V36" s="406">
        <f>SUM(R36:U36)</f>
        <v>1674308.16</v>
      </c>
      <c r="X36" s="169">
        <f>X6*X134*X127</f>
        <v>998375.95478759916</v>
      </c>
      <c r="Y36" s="169">
        <f>Y6*Y134*Y127</f>
        <v>388204.35789473681</v>
      </c>
      <c r="Z36" s="169">
        <f>Z6*Z134*Z127</f>
        <v>22295.413179624295</v>
      </c>
      <c r="AA36" s="169">
        <f>AA6*AA134*AA127</f>
        <v>45387.091115663738</v>
      </c>
      <c r="AB36" s="406">
        <f>SUM(X36:AA36)</f>
        <v>1454262.8169776241</v>
      </c>
      <c r="AD36" s="169">
        <f>AD6*AD134*AD127</f>
        <v>127089.64521240095</v>
      </c>
      <c r="AE36" s="169">
        <f>AE6*AE134*AE127</f>
        <v>81926.84210526316</v>
      </c>
      <c r="AF36" s="169">
        <f>AF6*AF134*AF127</f>
        <v>3633.0348203757067</v>
      </c>
      <c r="AG36" s="169">
        <f>AG6*AG134*AG127</f>
        <v>7395.8208843362618</v>
      </c>
      <c r="AH36" s="406">
        <f>SUM(AD36:AG36)</f>
        <v>220045.34302237607</v>
      </c>
      <c r="AI36" s="406"/>
      <c r="AP36" s="80"/>
    </row>
    <row r="37" spans="1:65" ht="20" customHeight="1">
      <c r="A37" s="747" t="s">
        <v>498</v>
      </c>
      <c r="B37" s="13"/>
      <c r="C37" s="13"/>
      <c r="D37" s="13"/>
      <c r="F37" s="169">
        <f>F126*F20</f>
        <v>2016592.2144224632</v>
      </c>
      <c r="G37" s="169">
        <f>G126*G20</f>
        <v>842373.96298659861</v>
      </c>
      <c r="H37" s="169">
        <f>H126*H20</f>
        <v>46458.200382897259</v>
      </c>
      <c r="I37" s="169">
        <f>I126*I20</f>
        <v>94575.622208040848</v>
      </c>
      <c r="J37" s="406">
        <f>SUM(F37:I37)</f>
        <v>2999999.9999999995</v>
      </c>
      <c r="L37" s="169">
        <f>L126*L20</f>
        <v>2016592.214422463</v>
      </c>
      <c r="M37" s="169">
        <f>M126*M20</f>
        <v>842373.96298659837</v>
      </c>
      <c r="N37" s="169">
        <f>N126*N20</f>
        <v>46458.200382897252</v>
      </c>
      <c r="O37" s="169">
        <f>O126*O20</f>
        <v>94575.622208040833</v>
      </c>
      <c r="P37" s="406">
        <f>SUM(L37:O37)</f>
        <v>2999999.9999999991</v>
      </c>
      <c r="Q37" s="485"/>
      <c r="R37" s="169">
        <f>R126*R20</f>
        <v>2016592.2144224632</v>
      </c>
      <c r="S37" s="169">
        <f>S126*S20</f>
        <v>842373.96298659849</v>
      </c>
      <c r="T37" s="169">
        <f>T126*T20</f>
        <v>46458.200382897259</v>
      </c>
      <c r="U37" s="169">
        <f>U126*U20</f>
        <v>94575.622208040819</v>
      </c>
      <c r="V37" s="406">
        <f>SUM(R37:U37)</f>
        <v>2999999.9999999995</v>
      </c>
      <c r="X37" s="169">
        <f>X126*X20</f>
        <v>1074123.5099263811</v>
      </c>
      <c r="Y37" s="169">
        <f>Y126*Y20</f>
        <v>417657.72249525244</v>
      </c>
      <c r="Z37" s="169">
        <f>Z126*Z20</f>
        <v>23986.983405316289</v>
      </c>
      <c r="AA37" s="169">
        <f>AA126*AA20</f>
        <v>48830.644789393868</v>
      </c>
      <c r="AB37" s="677">
        <f>SUM(X37:AA37)</f>
        <v>1564598.8606163436</v>
      </c>
      <c r="AD37" s="169">
        <f>AD126*AD20</f>
        <v>829031.95785058942</v>
      </c>
      <c r="AE37" s="169">
        <f>AE126*AE20</f>
        <v>534425.68194702163</v>
      </c>
      <c r="AF37" s="169">
        <f>AF126*AF20</f>
        <v>23699.035157756076</v>
      </c>
      <c r="AG37" s="169">
        <f>AG126*AG20</f>
        <v>48244.464428289168</v>
      </c>
      <c r="AH37" s="693">
        <f>SUM(AD37:AG37)</f>
        <v>1435401.1393836564</v>
      </c>
      <c r="AI37" s="406">
        <f t="shared" si="56"/>
        <v>3000000</v>
      </c>
      <c r="AP37" s="80"/>
    </row>
    <row r="38" spans="1:65" ht="20">
      <c r="A38" s="747" t="s">
        <v>508</v>
      </c>
      <c r="B38" s="13"/>
      <c r="C38" s="13"/>
      <c r="D38" s="13"/>
      <c r="F38" s="677">
        <f>F39+F45</f>
        <v>740950.62240357616</v>
      </c>
      <c r="G38" s="677">
        <f t="shared" ref="G38:I38" si="62">G39+G45</f>
        <v>313718.74426590611</v>
      </c>
      <c r="H38" s="677">
        <f t="shared" si="62"/>
        <v>17172.886249076579</v>
      </c>
      <c r="I38" s="677">
        <f t="shared" si="62"/>
        <v>34959.089864191606</v>
      </c>
      <c r="J38" s="406">
        <f>SUM(F38:I38)</f>
        <v>1106801.3427827505</v>
      </c>
      <c r="L38" s="677">
        <f>L39+L45</f>
        <v>1163138.8294279608</v>
      </c>
      <c r="M38" s="677">
        <f t="shared" ref="M38:O38" si="63">M39+M45</f>
        <v>492077.29795269936</v>
      </c>
      <c r="N38" s="677">
        <f t="shared" si="63"/>
        <v>26948.185748024676</v>
      </c>
      <c r="O38" s="677">
        <f t="shared" si="63"/>
        <v>54858.806701335947</v>
      </c>
      <c r="P38" s="406">
        <f>SUM(L38:O38)</f>
        <v>1737023.1198300209</v>
      </c>
      <c r="Q38" s="485"/>
      <c r="R38" s="677">
        <f>R39+R45</f>
        <v>291583.66914476466</v>
      </c>
      <c r="S38" s="677">
        <f t="shared" ref="S38:U38" si="64">S39+S45</f>
        <v>122824.85159114277</v>
      </c>
      <c r="T38" s="677">
        <f t="shared" si="64"/>
        <v>6742.5372915313856</v>
      </c>
      <c r="U38" s="677">
        <f t="shared" si="64"/>
        <v>13725.879486331747</v>
      </c>
      <c r="V38" s="406">
        <f>SUM(R38:U38)</f>
        <v>434876.93751377059</v>
      </c>
      <c r="X38" s="677">
        <f>X39+X45</f>
        <v>255858.28218265696</v>
      </c>
      <c r="Y38" s="677">
        <f t="shared" ref="Y38:AA38" si="65">Y39+Y45</f>
        <v>99486.871323838961</v>
      </c>
      <c r="Z38" s="677">
        <f t="shared" si="65"/>
        <v>5713.7454977116777</v>
      </c>
      <c r="AA38" s="677">
        <f t="shared" si="65"/>
        <v>11631.553334627344</v>
      </c>
      <c r="AB38" s="406">
        <f>SUM(X38:AA38)</f>
        <v>372690.45233883499</v>
      </c>
      <c r="AD38" s="677">
        <f>AD39+AD45</f>
        <v>148315.98835013332</v>
      </c>
      <c r="AE38" s="677">
        <f t="shared" ref="AE38:AG38" si="66">AE39+AE45</f>
        <v>97477.801131540618</v>
      </c>
      <c r="AF38" s="677">
        <f t="shared" si="66"/>
        <v>4285.4859529720743</v>
      </c>
      <c r="AG38" s="677">
        <f t="shared" si="66"/>
        <v>8724.0249756931535</v>
      </c>
      <c r="AH38" s="406">
        <f>SUM(AD38:AG38)</f>
        <v>258803.30041033917</v>
      </c>
      <c r="AI38" s="406">
        <f t="shared" si="56"/>
        <v>631493.75274917413</v>
      </c>
      <c r="AP38" s="80"/>
    </row>
    <row r="39" spans="1:65" ht="40" hidden="1" outlineLevel="1">
      <c r="A39" s="959" t="s">
        <v>512</v>
      </c>
      <c r="F39" s="169">
        <f>SUM(F40:F44)</f>
        <v>621502.62240357616</v>
      </c>
      <c r="G39" s="169">
        <f t="shared" ref="G39:I39" si="67">SUM(G40:G44)</f>
        <v>263822.74426590611</v>
      </c>
      <c r="H39" s="169">
        <f t="shared" si="67"/>
        <v>14421.046249076579</v>
      </c>
      <c r="I39" s="169">
        <f t="shared" si="67"/>
        <v>29357.129864191604</v>
      </c>
      <c r="J39" s="407">
        <f>SUM(F39:I39)</f>
        <v>929103.54278275056</v>
      </c>
      <c r="L39" s="169">
        <f>SUM(L40:L44)</f>
        <v>1043690.8294279607</v>
      </c>
      <c r="M39" s="169">
        <f t="shared" ref="M39:O39" si="68">SUM(M40:M44)</f>
        <v>442181.29795269936</v>
      </c>
      <c r="N39" s="169">
        <f t="shared" si="68"/>
        <v>24196.345748024676</v>
      </c>
      <c r="O39" s="169">
        <f t="shared" si="68"/>
        <v>49256.846701335948</v>
      </c>
      <c r="P39" s="407">
        <f>SUM(L39:O39)</f>
        <v>1559325.3198300207</v>
      </c>
      <c r="Q39" s="485"/>
      <c r="R39" s="169">
        <f>SUM(R40:R44)</f>
        <v>172135.66914476466</v>
      </c>
      <c r="S39" s="169">
        <f t="shared" ref="S39:U39" si="69">SUM(S40:S44)</f>
        <v>72928.851591142768</v>
      </c>
      <c r="T39" s="169">
        <f t="shared" si="69"/>
        <v>3990.6972915313854</v>
      </c>
      <c r="U39" s="169">
        <f t="shared" si="69"/>
        <v>8123.9194863317471</v>
      </c>
      <c r="V39" s="407">
        <f>SUM(R39:U39)</f>
        <v>257179.13751377058</v>
      </c>
      <c r="X39" s="169">
        <f>SUM(X40:X44)</f>
        <v>149898.57000001083</v>
      </c>
      <c r="Y39" s="169">
        <f t="shared" ref="Y39:AA39" si="70">SUM(Y40:Y44)</f>
        <v>58285.937113312641</v>
      </c>
      <c r="Z39" s="169">
        <f t="shared" si="70"/>
        <v>3347.487023459099</v>
      </c>
      <c r="AA39" s="169">
        <f t="shared" si="70"/>
        <v>6814.5271548988803</v>
      </c>
      <c r="AB39" s="407">
        <f>SUM(X39:AA39)</f>
        <v>218346.52129168148</v>
      </c>
      <c r="AD39" s="169">
        <f>SUM(AD40:AD44)</f>
        <v>134827.70053277945</v>
      </c>
      <c r="AE39" s="169">
        <f t="shared" ref="AE39:AG39" si="71">SUM(AE40:AE44)</f>
        <v>88782.735342066924</v>
      </c>
      <c r="AF39" s="169">
        <f t="shared" si="71"/>
        <v>3899.9044272246524</v>
      </c>
      <c r="AG39" s="169">
        <f t="shared" si="71"/>
        <v>7939.0911554216154</v>
      </c>
      <c r="AH39" s="407">
        <f>SUM(AD39:AG39)</f>
        <v>235449.43145749264</v>
      </c>
      <c r="AI39" s="407">
        <f t="shared" si="56"/>
        <v>453795.95274917409</v>
      </c>
      <c r="AP39" s="80"/>
    </row>
    <row r="40" spans="1:65" hidden="1" outlineLevel="1">
      <c r="A40" s="745" t="s">
        <v>327</v>
      </c>
      <c r="B40" s="2"/>
      <c r="C40" s="2"/>
      <c r="D40" s="2"/>
      <c r="F40" s="169">
        <f t="shared" ref="F40:I44" si="72">(F21*F$131*F99)</f>
        <v>135.98095057079419</v>
      </c>
      <c r="G40" s="169">
        <f t="shared" si="72"/>
        <v>896.57638054442839</v>
      </c>
      <c r="H40" s="169">
        <f t="shared" si="72"/>
        <v>23.666342264622383</v>
      </c>
      <c r="I40" s="169">
        <f t="shared" si="72"/>
        <v>48.177911038695555</v>
      </c>
      <c r="J40" s="407">
        <f>SUM(F40:I40)</f>
        <v>1104.4015844185406</v>
      </c>
      <c r="L40" s="169">
        <f t="shared" ref="L40:O44" si="73">(L21*L$131*L99)</f>
        <v>214.47798009937875</v>
      </c>
      <c r="M40" s="169">
        <f t="shared" si="73"/>
        <v>1414.1384531936192</v>
      </c>
      <c r="N40" s="169">
        <f t="shared" si="73"/>
        <v>37.328090912367557</v>
      </c>
      <c r="O40" s="169">
        <f t="shared" si="73"/>
        <v>75.989327928748239</v>
      </c>
      <c r="P40" s="407">
        <f>SUM(L40:O40)</f>
        <v>1741.9338521341137</v>
      </c>
      <c r="Q40" s="485"/>
      <c r="R40" s="169">
        <f t="shared" ref="R40:U44" si="74">(R21*R$131*R99)</f>
        <v>35.373799960913018</v>
      </c>
      <c r="S40" s="169">
        <f t="shared" si="74"/>
        <v>233.23350367775561</v>
      </c>
      <c r="T40" s="169">
        <f t="shared" si="74"/>
        <v>6.1565127583029211</v>
      </c>
      <c r="U40" s="169">
        <f t="shared" si="74"/>
        <v>12.532900972259513</v>
      </c>
      <c r="V40" s="407">
        <f>SUM(R40:U40)</f>
        <v>287.29671736923109</v>
      </c>
      <c r="X40" s="169">
        <f t="shared" ref="X40:AA44" si="75">(X21*X$131*X99)</f>
        <v>0</v>
      </c>
      <c r="Y40" s="169">
        <f t="shared" si="75"/>
        <v>0</v>
      </c>
      <c r="Z40" s="169">
        <f t="shared" si="75"/>
        <v>0</v>
      </c>
      <c r="AA40" s="169">
        <f t="shared" si="75"/>
        <v>0</v>
      </c>
      <c r="AB40" s="407">
        <f>SUM(X40:AA40)</f>
        <v>0</v>
      </c>
      <c r="AD40" s="169">
        <f t="shared" ref="AD40:AG44" si="76">(AD21*AD$131*AD99)</f>
        <v>214.47798009937878</v>
      </c>
      <c r="AE40" s="169">
        <f t="shared" si="76"/>
        <v>1414.1384531936194</v>
      </c>
      <c r="AF40" s="169">
        <f t="shared" si="76"/>
        <v>37.328090912367543</v>
      </c>
      <c r="AG40" s="169">
        <f t="shared" si="76"/>
        <v>75.989327928748239</v>
      </c>
      <c r="AH40" s="407">
        <f>SUM(AD40:AG40)</f>
        <v>1741.933852134114</v>
      </c>
      <c r="AI40" s="407">
        <f t="shared" si="56"/>
        <v>1741.933852134114</v>
      </c>
      <c r="AP40" s="80"/>
    </row>
    <row r="41" spans="1:65" hidden="1" outlineLevel="1">
      <c r="A41" s="745" t="s">
        <v>429</v>
      </c>
      <c r="B41" s="2"/>
      <c r="C41" s="2"/>
      <c r="D41" s="2"/>
      <c r="F41" s="169">
        <f t="shared" si="72"/>
        <v>7138.0763809464261</v>
      </c>
      <c r="G41" s="169">
        <f t="shared" si="72"/>
        <v>8156.8407938472683</v>
      </c>
      <c r="H41" s="169">
        <f t="shared" si="72"/>
        <v>290.98533550190081</v>
      </c>
      <c r="I41" s="169">
        <f t="shared" si="72"/>
        <v>592.36300441458377</v>
      </c>
      <c r="J41" s="407">
        <f t="shared" ref="J41:J45" si="77">SUM(F41:I41)</f>
        <v>16178.265514710178</v>
      </c>
      <c r="L41" s="169">
        <f t="shared" si="73"/>
        <v>11482.748790824497</v>
      </c>
      <c r="M41" s="169">
        <f t="shared" si="73"/>
        <v>13121.595898372696</v>
      </c>
      <c r="N41" s="169">
        <f t="shared" si="73"/>
        <v>468.09691169753114</v>
      </c>
      <c r="O41" s="169">
        <f t="shared" si="73"/>
        <v>952.91157024140273</v>
      </c>
      <c r="P41" s="407">
        <f t="shared" ref="P41:P46" si="78">SUM(L41:O41)</f>
        <v>26025.353171136125</v>
      </c>
      <c r="Q41" s="485"/>
      <c r="R41" s="169">
        <f t="shared" si="74"/>
        <v>1893.8469046558232</v>
      </c>
      <c r="S41" s="169">
        <f t="shared" si="74"/>
        <v>2164.1415508571222</v>
      </c>
      <c r="T41" s="169">
        <f t="shared" si="74"/>
        <v>77.203107326156683</v>
      </c>
      <c r="U41" s="169">
        <f t="shared" si="74"/>
        <v>157.16346848539035</v>
      </c>
      <c r="V41" s="407">
        <f t="shared" ref="V41:V53" si="79">SUM(R41:U41)</f>
        <v>4292.3550313244932</v>
      </c>
      <c r="X41" s="169">
        <f t="shared" si="75"/>
        <v>0</v>
      </c>
      <c r="Y41" s="169">
        <f t="shared" si="75"/>
        <v>0</v>
      </c>
      <c r="Z41" s="169">
        <f t="shared" si="75"/>
        <v>0</v>
      </c>
      <c r="AA41" s="169">
        <f t="shared" si="75"/>
        <v>0</v>
      </c>
      <c r="AB41" s="407">
        <f t="shared" ref="AB41:AB46" si="80">SUM(X41:AA41)</f>
        <v>0</v>
      </c>
      <c r="AD41" s="169">
        <f t="shared" si="76"/>
        <v>11482.748790824498</v>
      </c>
      <c r="AE41" s="169">
        <f t="shared" si="76"/>
        <v>13121.5958983727</v>
      </c>
      <c r="AF41" s="169">
        <f t="shared" si="76"/>
        <v>468.09691169753108</v>
      </c>
      <c r="AG41" s="169">
        <f t="shared" si="76"/>
        <v>952.91157024140273</v>
      </c>
      <c r="AH41" s="407">
        <f t="shared" ref="AH41:AH46" si="81">SUM(AD41:AG41)</f>
        <v>26025.353171136132</v>
      </c>
      <c r="AI41" s="407">
        <f t="shared" si="56"/>
        <v>26025.353171136132</v>
      </c>
      <c r="AP41" s="80"/>
    </row>
    <row r="42" spans="1:65" hidden="1" outlineLevel="1">
      <c r="A42" s="745" t="s">
        <v>65</v>
      </c>
      <c r="B42" s="2"/>
      <c r="C42" s="2"/>
      <c r="D42" s="2"/>
      <c r="F42" s="169">
        <f t="shared" si="72"/>
        <v>74408.585078403354</v>
      </c>
      <c r="G42" s="169">
        <f t="shared" si="72"/>
        <v>44867.969083778728</v>
      </c>
      <c r="H42" s="169">
        <f t="shared" si="72"/>
        <v>2051.307067589491</v>
      </c>
      <c r="I42" s="169">
        <f t="shared" si="72"/>
        <v>4175.8751018786061</v>
      </c>
      <c r="J42" s="407">
        <f t="shared" si="77"/>
        <v>125503.73633165017</v>
      </c>
      <c r="L42" s="169">
        <f t="shared" si="73"/>
        <v>123130.47376185557</v>
      </c>
      <c r="M42" s="169">
        <f t="shared" si="73"/>
        <v>74247.000990500586</v>
      </c>
      <c r="N42" s="169">
        <f t="shared" si="73"/>
        <v>3394.4794246147544</v>
      </c>
      <c r="O42" s="169">
        <f t="shared" si="73"/>
        <v>6910.1902572514646</v>
      </c>
      <c r="P42" s="407">
        <f t="shared" si="78"/>
        <v>207682.14443422237</v>
      </c>
      <c r="Q42" s="485"/>
      <c r="R42" s="169">
        <f t="shared" si="74"/>
        <v>20307.878440137098</v>
      </c>
      <c r="S42" s="169">
        <f t="shared" si="74"/>
        <v>12245.539423295259</v>
      </c>
      <c r="T42" s="169">
        <f t="shared" si="74"/>
        <v>559.85064798782696</v>
      </c>
      <c r="U42" s="169">
        <f t="shared" si="74"/>
        <v>1139.6959619752188</v>
      </c>
      <c r="V42" s="407">
        <f t="shared" si="79"/>
        <v>34252.964473395397</v>
      </c>
      <c r="X42" s="169">
        <f t="shared" si="75"/>
        <v>0</v>
      </c>
      <c r="Y42" s="169">
        <f t="shared" si="75"/>
        <v>0</v>
      </c>
      <c r="Z42" s="169">
        <f t="shared" si="75"/>
        <v>0</v>
      </c>
      <c r="AA42" s="169">
        <f t="shared" si="75"/>
        <v>0</v>
      </c>
      <c r="AB42" s="407">
        <f t="shared" si="80"/>
        <v>0</v>
      </c>
      <c r="AD42" s="169">
        <f t="shared" si="76"/>
        <v>123130.47376185557</v>
      </c>
      <c r="AE42" s="169">
        <f t="shared" si="76"/>
        <v>74247.000990500601</v>
      </c>
      <c r="AF42" s="169">
        <f t="shared" si="76"/>
        <v>3394.479424614754</v>
      </c>
      <c r="AG42" s="169">
        <f t="shared" si="76"/>
        <v>6910.1902572514646</v>
      </c>
      <c r="AH42" s="407">
        <f t="shared" si="81"/>
        <v>207682.1444342224</v>
      </c>
      <c r="AI42" s="407">
        <f t="shared" si="56"/>
        <v>207682.1444342224</v>
      </c>
      <c r="AP42" s="80"/>
    </row>
    <row r="43" spans="1:65" hidden="1" outlineLevel="1">
      <c r="A43" s="745" t="s">
        <v>66</v>
      </c>
      <c r="B43" s="2"/>
      <c r="C43" s="2"/>
      <c r="D43" s="2"/>
      <c r="F43" s="169">
        <f t="shared" si="72"/>
        <v>539819.97999365558</v>
      </c>
      <c r="G43" s="169">
        <f t="shared" si="72"/>
        <v>209901.35800773569</v>
      </c>
      <c r="H43" s="169">
        <f t="shared" si="72"/>
        <v>12055.087503720564</v>
      </c>
      <c r="I43" s="169">
        <f t="shared" si="72"/>
        <v>24540.713846859719</v>
      </c>
      <c r="J43" s="407">
        <f t="shared" si="77"/>
        <v>786317.13935197156</v>
      </c>
      <c r="L43" s="169">
        <f t="shared" si="73"/>
        <v>908863.12889518123</v>
      </c>
      <c r="M43" s="169">
        <f t="shared" si="73"/>
        <v>353398.56261063245</v>
      </c>
      <c r="N43" s="169">
        <f t="shared" si="73"/>
        <v>20296.441320800022</v>
      </c>
      <c r="O43" s="169">
        <f t="shared" si="73"/>
        <v>41317.755545914333</v>
      </c>
      <c r="P43" s="407">
        <f t="shared" si="78"/>
        <v>1323875.8883725281</v>
      </c>
      <c r="Q43" s="485"/>
      <c r="R43" s="169">
        <f t="shared" si="74"/>
        <v>149898.57000001083</v>
      </c>
      <c r="S43" s="169">
        <f t="shared" si="74"/>
        <v>58285.937113312633</v>
      </c>
      <c r="T43" s="169">
        <f t="shared" si="74"/>
        <v>3347.487023459099</v>
      </c>
      <c r="U43" s="169">
        <f t="shared" si="74"/>
        <v>6814.5271548988785</v>
      </c>
      <c r="V43" s="407">
        <f t="shared" si="79"/>
        <v>218346.52129168145</v>
      </c>
      <c r="X43" s="169">
        <f t="shared" si="75"/>
        <v>149898.57000001083</v>
      </c>
      <c r="Y43" s="169">
        <f t="shared" si="75"/>
        <v>58285.937113312641</v>
      </c>
      <c r="Z43" s="169">
        <f t="shared" si="75"/>
        <v>3347.487023459099</v>
      </c>
      <c r="AA43" s="169">
        <f t="shared" si="75"/>
        <v>6814.5271548988803</v>
      </c>
      <c r="AB43" s="407">
        <f t="shared" si="80"/>
        <v>218346.52129168148</v>
      </c>
      <c r="AD43" s="169">
        <f t="shared" si="76"/>
        <v>0</v>
      </c>
      <c r="AE43" s="169">
        <f t="shared" si="76"/>
        <v>0</v>
      </c>
      <c r="AF43" s="169">
        <f t="shared" si="76"/>
        <v>0</v>
      </c>
      <c r="AG43" s="169">
        <f t="shared" si="76"/>
        <v>0</v>
      </c>
      <c r="AH43" s="407">
        <f t="shared" si="81"/>
        <v>0</v>
      </c>
      <c r="AI43" s="407">
        <f t="shared" si="56"/>
        <v>218346.52129168148</v>
      </c>
      <c r="AP43" s="80"/>
    </row>
    <row r="44" spans="1:65" hidden="1" outlineLevel="1">
      <c r="A44" s="745" t="s">
        <v>328</v>
      </c>
      <c r="B44" s="2"/>
      <c r="C44" s="2"/>
      <c r="D44" s="2"/>
      <c r="F44" s="169">
        <f t="shared" si="72"/>
        <v>0</v>
      </c>
      <c r="G44" s="169">
        <f t="shared" si="72"/>
        <v>0</v>
      </c>
      <c r="H44" s="169">
        <f t="shared" si="72"/>
        <v>0</v>
      </c>
      <c r="I44" s="169">
        <f t="shared" si="72"/>
        <v>0</v>
      </c>
      <c r="J44" s="407">
        <f t="shared" si="77"/>
        <v>0</v>
      </c>
      <c r="L44" s="169">
        <f t="shared" si="73"/>
        <v>0</v>
      </c>
      <c r="M44" s="169">
        <f t="shared" si="73"/>
        <v>0</v>
      </c>
      <c r="N44" s="169">
        <f t="shared" si="73"/>
        <v>0</v>
      </c>
      <c r="O44" s="169">
        <f t="shared" si="73"/>
        <v>0</v>
      </c>
      <c r="P44" s="407">
        <f t="shared" si="78"/>
        <v>0</v>
      </c>
      <c r="Q44" s="485"/>
      <c r="R44" s="169">
        <f t="shared" si="74"/>
        <v>0</v>
      </c>
      <c r="S44" s="169">
        <f t="shared" si="74"/>
        <v>0</v>
      </c>
      <c r="T44" s="169">
        <f t="shared" si="74"/>
        <v>0</v>
      </c>
      <c r="U44" s="169">
        <f t="shared" si="74"/>
        <v>0</v>
      </c>
      <c r="V44" s="407">
        <f t="shared" si="79"/>
        <v>0</v>
      </c>
      <c r="X44" s="169">
        <f t="shared" si="75"/>
        <v>0</v>
      </c>
      <c r="Y44" s="169">
        <f t="shared" si="75"/>
        <v>0</v>
      </c>
      <c r="Z44" s="169">
        <f t="shared" si="75"/>
        <v>0</v>
      </c>
      <c r="AA44" s="169">
        <f t="shared" si="75"/>
        <v>0</v>
      </c>
      <c r="AB44" s="407">
        <f t="shared" si="80"/>
        <v>0</v>
      </c>
      <c r="AD44" s="169">
        <f t="shared" si="76"/>
        <v>0</v>
      </c>
      <c r="AE44" s="169">
        <f t="shared" si="76"/>
        <v>0</v>
      </c>
      <c r="AF44" s="169">
        <f t="shared" si="76"/>
        <v>0</v>
      </c>
      <c r="AG44" s="169">
        <f t="shared" si="76"/>
        <v>0</v>
      </c>
      <c r="AH44" s="407">
        <f t="shared" si="81"/>
        <v>0</v>
      </c>
      <c r="AI44" s="407">
        <f t="shared" si="56"/>
        <v>0</v>
      </c>
      <c r="AP44" s="80"/>
    </row>
    <row r="45" spans="1:65" ht="20" hidden="1" outlineLevel="1">
      <c r="A45" s="959" t="s">
        <v>513</v>
      </c>
      <c r="F45" s="169">
        <f>F6*F133*F132</f>
        <v>119448.00000000001</v>
      </c>
      <c r="G45" s="169">
        <f>G6*G133*G132</f>
        <v>49896</v>
      </c>
      <c r="H45" s="169">
        <f>H6*H133*H132</f>
        <v>2751.84</v>
      </c>
      <c r="I45" s="169">
        <f>I6*I133*I132</f>
        <v>5601.96</v>
      </c>
      <c r="J45" s="407">
        <f t="shared" si="77"/>
        <v>177697.8</v>
      </c>
      <c r="L45" s="169">
        <f>L6*L133*L132</f>
        <v>119448.00000000001</v>
      </c>
      <c r="M45" s="169">
        <f>M6*M133*M132</f>
        <v>49896</v>
      </c>
      <c r="N45" s="169">
        <f>N6*N133*N132</f>
        <v>2751.84</v>
      </c>
      <c r="O45" s="169">
        <f>O6*O133*O132</f>
        <v>5601.96</v>
      </c>
      <c r="P45" s="407">
        <f t="shared" si="78"/>
        <v>177697.8</v>
      </c>
      <c r="Q45" s="485"/>
      <c r="R45" s="169">
        <f>R6*R133*R132</f>
        <v>119448.00000000001</v>
      </c>
      <c r="S45" s="169">
        <f>S6*S133*S132</f>
        <v>49896</v>
      </c>
      <c r="T45" s="169">
        <f>T6*T133*T132</f>
        <v>2751.84</v>
      </c>
      <c r="U45" s="169">
        <f>U6*U133*U132</f>
        <v>5601.96</v>
      </c>
      <c r="V45" s="407">
        <f t="shared" si="79"/>
        <v>177697.8</v>
      </c>
      <c r="X45" s="169">
        <f>X6*X133*X132</f>
        <v>105959.71218264612</v>
      </c>
      <c r="Y45" s="169">
        <f>Y6*Y133*Y132</f>
        <v>41200.93421052632</v>
      </c>
      <c r="Z45" s="169">
        <f>Z6*Z133*Z132</f>
        <v>2366.2584742525787</v>
      </c>
      <c r="AA45" s="169">
        <f>AA6*AA133*AA132</f>
        <v>4817.0261797284629</v>
      </c>
      <c r="AB45" s="407">
        <f t="shared" si="80"/>
        <v>154343.93104715348</v>
      </c>
      <c r="AD45" s="169">
        <f>AD6*AD133*AD132</f>
        <v>13488.287817353877</v>
      </c>
      <c r="AE45" s="169">
        <f>AE6*AE133*AE132</f>
        <v>8695.0657894736869</v>
      </c>
      <c r="AF45" s="169">
        <f>AF6*AF133*AF132</f>
        <v>385.58152574742172</v>
      </c>
      <c r="AG45" s="169">
        <f>AG6*AG133*AG132</f>
        <v>784.93382027153723</v>
      </c>
      <c r="AH45" s="407">
        <f t="shared" si="81"/>
        <v>23353.868952846522</v>
      </c>
      <c r="AI45" s="407">
        <f t="shared" si="56"/>
        <v>177697.80000000002</v>
      </c>
      <c r="AP45" s="80"/>
    </row>
    <row r="46" spans="1:65" ht="20" collapsed="1">
      <c r="A46" s="747" t="s">
        <v>510</v>
      </c>
      <c r="B46" s="13"/>
      <c r="C46" s="13"/>
      <c r="D46" s="13"/>
      <c r="F46" s="169">
        <f>SUM(F47:F51)</f>
        <v>4879946.5166503023</v>
      </c>
      <c r="G46" s="169">
        <f t="shared" ref="G46:I46" si="82">SUM(G47:G51)</f>
        <v>2071497.1031248926</v>
      </c>
      <c r="H46" s="169">
        <f t="shared" si="82"/>
        <v>113231.91869645314</v>
      </c>
      <c r="I46" s="169">
        <f t="shared" si="82"/>
        <v>230507.83448920815</v>
      </c>
      <c r="J46" s="406">
        <f t="shared" si="57"/>
        <v>7295183.3729608553</v>
      </c>
      <c r="L46" s="169">
        <f>SUM(L47:L51)</f>
        <v>8194905.7718047285</v>
      </c>
      <c r="M46" s="169">
        <f t="shared" ref="M46:O46" si="83">SUM(M47:M51)</f>
        <v>3471942.0431841584</v>
      </c>
      <c r="N46" s="169">
        <f t="shared" si="83"/>
        <v>189986.12216967525</v>
      </c>
      <c r="O46" s="169">
        <f t="shared" si="83"/>
        <v>386757.46298826742</v>
      </c>
      <c r="P46" s="406">
        <f t="shared" si="78"/>
        <v>12243591.400146829</v>
      </c>
      <c r="Q46" s="485"/>
      <c r="R46" s="169">
        <f>SUM(R47:R51)</f>
        <v>1351583.7725440781</v>
      </c>
      <c r="S46" s="169">
        <f t="shared" ref="S46:U46" si="84">SUM(S47:S51)</f>
        <v>572626.5384193433</v>
      </c>
      <c r="T46" s="169">
        <f t="shared" si="84"/>
        <v>31334.363918690884</v>
      </c>
      <c r="U46" s="169">
        <f t="shared" si="84"/>
        <v>63787.81226304928</v>
      </c>
      <c r="V46" s="406">
        <f t="shared" si="79"/>
        <v>2019332.4871451615</v>
      </c>
      <c r="X46" s="169">
        <f>SUM(X47:X51)</f>
        <v>1176981.3644445294</v>
      </c>
      <c r="Y46" s="169">
        <f t="shared" ref="Y46:AA46" si="85">SUM(Y47:Y51)</f>
        <v>457652.54326008447</v>
      </c>
      <c r="Z46" s="169">
        <f t="shared" si="85"/>
        <v>26283.972184197373</v>
      </c>
      <c r="AA46" s="169">
        <f t="shared" si="85"/>
        <v>53506.657660687502</v>
      </c>
      <c r="AB46" s="677">
        <f t="shared" si="80"/>
        <v>1714424.5375494987</v>
      </c>
      <c r="AD46" s="169">
        <f>SUM(AD47:AD51)</f>
        <v>1058647.1301092312</v>
      </c>
      <c r="AE46" s="169">
        <f t="shared" ref="AE46:AG46" si="86">SUM(AE47:AE51)</f>
        <v>697108.88490808092</v>
      </c>
      <c r="AF46" s="169">
        <f t="shared" si="86"/>
        <v>30621.471798949122</v>
      </c>
      <c r="AG46" s="169">
        <f t="shared" si="86"/>
        <v>62336.567590717867</v>
      </c>
      <c r="AH46" s="693">
        <f t="shared" si="81"/>
        <v>1848714.0544069791</v>
      </c>
      <c r="AI46" s="406">
        <f t="shared" si="56"/>
        <v>3563138.5919564776</v>
      </c>
      <c r="AP46" s="80"/>
    </row>
    <row r="47" spans="1:65" hidden="1" outlineLevel="1">
      <c r="A47" s="745" t="s">
        <v>327</v>
      </c>
      <c r="B47" s="2"/>
      <c r="C47" s="2"/>
      <c r="D47" s="2"/>
      <c r="F47" s="169">
        <f t="shared" ref="F47:I51" si="87">F21*F99*F$130</f>
        <v>1067.7022785558656</v>
      </c>
      <c r="G47" s="169">
        <f t="shared" si="87"/>
        <v>7039.7849139044001</v>
      </c>
      <c r="H47" s="169">
        <f t="shared" si="87"/>
        <v>185.824613337035</v>
      </c>
      <c r="I47" s="169">
        <f t="shared" si="87"/>
        <v>378.28582000753545</v>
      </c>
      <c r="J47" s="407">
        <f>SUM(F47:I47)</f>
        <v>8671.5976258048358</v>
      </c>
      <c r="L47" s="169">
        <f t="shared" ref="L47:O51" si="88">L21*L99*L$130</f>
        <v>1684.0493252247518</v>
      </c>
      <c r="M47" s="169">
        <f t="shared" si="88"/>
        <v>11103.605632483232</v>
      </c>
      <c r="N47" s="169">
        <f t="shared" si="88"/>
        <v>293.09463975636743</v>
      </c>
      <c r="O47" s="169">
        <f t="shared" si="88"/>
        <v>596.65694521831949</v>
      </c>
      <c r="P47" s="407">
        <f>SUM(L47:O47)</f>
        <v>13677.406542682671</v>
      </c>
      <c r="Q47" s="485"/>
      <c r="R47" s="169">
        <f t="shared" ref="R47:U51" si="89">R21*R99*R$130</f>
        <v>277.74983673013185</v>
      </c>
      <c r="S47" s="169">
        <f t="shared" si="89"/>
        <v>1831.3149177660807</v>
      </c>
      <c r="T47" s="169">
        <f t="shared" si="89"/>
        <v>48.34002610223034</v>
      </c>
      <c r="U47" s="169">
        <f t="shared" si="89"/>
        <v>98.406481708111755</v>
      </c>
      <c r="V47" s="407">
        <f>SUM(R47:U47)</f>
        <v>2255.8112623065545</v>
      </c>
      <c r="X47" s="169">
        <f t="shared" ref="X47:AA51" si="90">X21*X99*X$130</f>
        <v>0</v>
      </c>
      <c r="Y47" s="169">
        <f t="shared" si="90"/>
        <v>0</v>
      </c>
      <c r="Z47" s="169">
        <f t="shared" si="90"/>
        <v>0</v>
      </c>
      <c r="AA47" s="169">
        <f t="shared" si="90"/>
        <v>0</v>
      </c>
      <c r="AB47" s="169">
        <f>SUM(X47:AA47)</f>
        <v>0</v>
      </c>
      <c r="AD47" s="169">
        <f t="shared" ref="AD47:AG51" si="91">AD21*AD99*AD$130</f>
        <v>1684.049325224752</v>
      </c>
      <c r="AE47" s="169">
        <f t="shared" si="91"/>
        <v>11103.605632483233</v>
      </c>
      <c r="AF47" s="169">
        <f t="shared" si="91"/>
        <v>293.09463975636737</v>
      </c>
      <c r="AG47" s="169">
        <f t="shared" si="91"/>
        <v>596.65694521831949</v>
      </c>
      <c r="AH47" s="371">
        <f>SUM(AD47:AG47)</f>
        <v>13677.406542682673</v>
      </c>
      <c r="AI47" s="407">
        <f t="shared" si="56"/>
        <v>13677.406542682673</v>
      </c>
      <c r="AP47" s="80"/>
    </row>
    <row r="48" spans="1:65" hidden="1" outlineLevel="1">
      <c r="A48" s="745" t="s">
        <v>429</v>
      </c>
      <c r="B48" s="2"/>
      <c r="C48" s="2"/>
      <c r="D48" s="2"/>
      <c r="F48" s="169">
        <f t="shared" si="87"/>
        <v>56047.11825039416</v>
      </c>
      <c r="G48" s="169">
        <f t="shared" si="87"/>
        <v>64046.305492430402</v>
      </c>
      <c r="H48" s="169">
        <f t="shared" si="87"/>
        <v>2284.773745422332</v>
      </c>
      <c r="I48" s="169">
        <f t="shared" si="87"/>
        <v>4651.1465531811764</v>
      </c>
      <c r="J48" s="407">
        <f t="shared" ref="J48:J51" si="92">SUM(F48:I48)</f>
        <v>127029.34404142806</v>
      </c>
      <c r="L48" s="169">
        <f t="shared" si="88"/>
        <v>90160.842357584945</v>
      </c>
      <c r="M48" s="169">
        <f t="shared" si="88"/>
        <v>103028.82705388931</v>
      </c>
      <c r="N48" s="169">
        <f t="shared" si="88"/>
        <v>3675.427602958393</v>
      </c>
      <c r="O48" s="169">
        <f t="shared" si="88"/>
        <v>7482.1204774510143</v>
      </c>
      <c r="P48" s="407">
        <f t="shared" ref="P48:P51" si="93">SUM(L48:O48)</f>
        <v>204347.21749188367</v>
      </c>
      <c r="Q48" s="485"/>
      <c r="R48" s="169">
        <f t="shared" si="89"/>
        <v>14870.205325445724</v>
      </c>
      <c r="S48" s="169">
        <f t="shared" si="89"/>
        <v>16992.518843767033</v>
      </c>
      <c r="T48" s="169">
        <f t="shared" si="89"/>
        <v>606.1873612276006</v>
      </c>
      <c r="U48" s="169">
        <f t="shared" si="89"/>
        <v>1234.0242710704722</v>
      </c>
      <c r="V48" s="407">
        <f t="shared" ref="V48:V51" si="94">SUM(R48:U48)</f>
        <v>33702.93580151083</v>
      </c>
      <c r="X48" s="169">
        <f t="shared" si="90"/>
        <v>0</v>
      </c>
      <c r="Y48" s="169">
        <f t="shared" si="90"/>
        <v>0</v>
      </c>
      <c r="Z48" s="169">
        <f t="shared" si="90"/>
        <v>0</v>
      </c>
      <c r="AA48" s="169">
        <f t="shared" si="90"/>
        <v>0</v>
      </c>
      <c r="AB48" s="169">
        <f t="shared" ref="AB48:AB51" si="95">SUM(X48:AA48)</f>
        <v>0</v>
      </c>
      <c r="AD48" s="169">
        <f t="shared" si="91"/>
        <v>90160.842357584959</v>
      </c>
      <c r="AE48" s="169">
        <f t="shared" si="91"/>
        <v>103028.82705388934</v>
      </c>
      <c r="AF48" s="169">
        <f t="shared" si="91"/>
        <v>3675.4276029583916</v>
      </c>
      <c r="AG48" s="169">
        <f t="shared" si="91"/>
        <v>7482.1204774510143</v>
      </c>
      <c r="AH48" s="371">
        <f t="shared" ref="AH48:AH51" si="96">SUM(AD48:AG48)</f>
        <v>204347.21749188373</v>
      </c>
      <c r="AI48" s="407">
        <f t="shared" si="56"/>
        <v>204347.21749188373</v>
      </c>
      <c r="AP48" s="80"/>
    </row>
    <row r="49" spans="1:65" hidden="1" outlineLevel="1">
      <c r="A49" s="745" t="s">
        <v>65</v>
      </c>
      <c r="B49" s="2"/>
      <c r="C49" s="2"/>
      <c r="D49" s="2"/>
      <c r="F49" s="169">
        <f t="shared" si="87"/>
        <v>584245.18654153752</v>
      </c>
      <c r="G49" s="169">
        <f t="shared" si="87"/>
        <v>352296.64613929967</v>
      </c>
      <c r="H49" s="169">
        <f t="shared" si="87"/>
        <v>16106.559197369335</v>
      </c>
      <c r="I49" s="169">
        <f t="shared" si="87"/>
        <v>32788.35265178758</v>
      </c>
      <c r="J49" s="407">
        <f t="shared" si="92"/>
        <v>985436.7445299942</v>
      </c>
      <c r="L49" s="169">
        <f t="shared" si="88"/>
        <v>966802.23842642142</v>
      </c>
      <c r="M49" s="169">
        <f t="shared" si="88"/>
        <v>582976.45222170837</v>
      </c>
      <c r="N49" s="169">
        <f t="shared" si="88"/>
        <v>26652.949556234369</v>
      </c>
      <c r="O49" s="169">
        <f t="shared" si="88"/>
        <v>54257.79016804853</v>
      </c>
      <c r="P49" s="407">
        <f t="shared" si="93"/>
        <v>1630689.4303724125</v>
      </c>
      <c r="Q49" s="485"/>
      <c r="R49" s="169">
        <f t="shared" si="89"/>
        <v>159454.45293737279</v>
      </c>
      <c r="S49" s="169">
        <f t="shared" si="89"/>
        <v>96150.161397725737</v>
      </c>
      <c r="T49" s="169">
        <f t="shared" si="89"/>
        <v>4395.8643471636788</v>
      </c>
      <c r="U49" s="169">
        <f t="shared" si="89"/>
        <v>8948.7238495832007</v>
      </c>
      <c r="V49" s="407">
        <f t="shared" si="94"/>
        <v>268949.20253184543</v>
      </c>
      <c r="X49" s="169">
        <f t="shared" si="90"/>
        <v>0</v>
      </c>
      <c r="Y49" s="169">
        <f t="shared" si="90"/>
        <v>0</v>
      </c>
      <c r="Z49" s="169">
        <f t="shared" si="90"/>
        <v>0</v>
      </c>
      <c r="AA49" s="169">
        <f t="shared" si="90"/>
        <v>0</v>
      </c>
      <c r="AB49" s="169">
        <f t="shared" si="95"/>
        <v>0</v>
      </c>
      <c r="AD49" s="169">
        <f t="shared" si="91"/>
        <v>966802.23842642142</v>
      </c>
      <c r="AE49" s="169">
        <f t="shared" si="91"/>
        <v>582976.45222170837</v>
      </c>
      <c r="AF49" s="169">
        <f t="shared" si="91"/>
        <v>26652.949556234362</v>
      </c>
      <c r="AG49" s="169">
        <f t="shared" si="91"/>
        <v>54257.79016804853</v>
      </c>
      <c r="AH49" s="371">
        <f t="shared" si="96"/>
        <v>1630689.4303724125</v>
      </c>
      <c r="AI49" s="407">
        <f t="shared" si="56"/>
        <v>1630689.4303724125</v>
      </c>
      <c r="AP49" s="80"/>
    </row>
    <row r="50" spans="1:65" hidden="1" outlineLevel="1">
      <c r="A50" s="745" t="s">
        <v>66</v>
      </c>
      <c r="B50" s="2"/>
      <c r="C50" s="2"/>
      <c r="D50" s="2"/>
      <c r="F50" s="169">
        <f t="shared" si="87"/>
        <v>4238586.509579815</v>
      </c>
      <c r="G50" s="169">
        <f t="shared" si="87"/>
        <v>1648114.3665792581</v>
      </c>
      <c r="H50" s="169">
        <f t="shared" si="87"/>
        <v>94654.761140324437</v>
      </c>
      <c r="I50" s="169">
        <f t="shared" si="87"/>
        <v>192690.04946423185</v>
      </c>
      <c r="J50" s="407">
        <f t="shared" si="92"/>
        <v>6174045.6867636293</v>
      </c>
      <c r="L50" s="169">
        <f t="shared" si="88"/>
        <v>7136258.6416954976</v>
      </c>
      <c r="M50" s="169">
        <f t="shared" si="88"/>
        <v>2774833.1582760774</v>
      </c>
      <c r="N50" s="169">
        <f t="shared" si="88"/>
        <v>159364.65037072613</v>
      </c>
      <c r="O50" s="169">
        <f t="shared" si="88"/>
        <v>324420.89539754955</v>
      </c>
      <c r="P50" s="407">
        <f t="shared" si="93"/>
        <v>10394877.345739851</v>
      </c>
      <c r="Q50" s="485"/>
      <c r="R50" s="169">
        <f t="shared" si="89"/>
        <v>1176981.3644445294</v>
      </c>
      <c r="S50" s="169">
        <f t="shared" si="89"/>
        <v>457652.54326008441</v>
      </c>
      <c r="T50" s="169">
        <f t="shared" si="89"/>
        <v>26283.972184197373</v>
      </c>
      <c r="U50" s="169">
        <f t="shared" si="89"/>
        <v>53506.657660687495</v>
      </c>
      <c r="V50" s="407">
        <f t="shared" si="94"/>
        <v>1714424.5375494987</v>
      </c>
      <c r="X50" s="169">
        <f t="shared" si="90"/>
        <v>1176981.3644445294</v>
      </c>
      <c r="Y50" s="169">
        <f t="shared" si="90"/>
        <v>457652.54326008447</v>
      </c>
      <c r="Z50" s="169">
        <f t="shared" si="90"/>
        <v>26283.972184197373</v>
      </c>
      <c r="AA50" s="169">
        <f t="shared" si="90"/>
        <v>53506.657660687502</v>
      </c>
      <c r="AB50" s="169">
        <f t="shared" si="95"/>
        <v>1714424.5375494987</v>
      </c>
      <c r="AD50" s="169">
        <f t="shared" si="91"/>
        <v>0</v>
      </c>
      <c r="AE50" s="169">
        <f t="shared" si="91"/>
        <v>0</v>
      </c>
      <c r="AF50" s="169">
        <f t="shared" si="91"/>
        <v>0</v>
      </c>
      <c r="AG50" s="169">
        <f t="shared" si="91"/>
        <v>0</v>
      </c>
      <c r="AH50" s="371">
        <f t="shared" si="96"/>
        <v>0</v>
      </c>
      <c r="AI50" s="407">
        <f t="shared" si="56"/>
        <v>1714424.5375494987</v>
      </c>
      <c r="AP50" s="80"/>
    </row>
    <row r="51" spans="1:65" hidden="1" outlineLevel="1">
      <c r="A51" s="745" t="s">
        <v>328</v>
      </c>
      <c r="B51" s="2"/>
      <c r="C51" s="2"/>
      <c r="D51" s="2"/>
      <c r="F51" s="169">
        <f t="shared" si="87"/>
        <v>0</v>
      </c>
      <c r="G51" s="169">
        <f t="shared" si="87"/>
        <v>0</v>
      </c>
      <c r="H51" s="169">
        <f t="shared" si="87"/>
        <v>0</v>
      </c>
      <c r="I51" s="169">
        <f t="shared" si="87"/>
        <v>0</v>
      </c>
      <c r="J51" s="407">
        <f t="shared" si="92"/>
        <v>0</v>
      </c>
      <c r="L51" s="169">
        <f t="shared" si="88"/>
        <v>0</v>
      </c>
      <c r="M51" s="169">
        <f t="shared" si="88"/>
        <v>0</v>
      </c>
      <c r="N51" s="169">
        <f t="shared" si="88"/>
        <v>0</v>
      </c>
      <c r="O51" s="169">
        <f t="shared" si="88"/>
        <v>0</v>
      </c>
      <c r="P51" s="407">
        <f t="shared" si="93"/>
        <v>0</v>
      </c>
      <c r="Q51" s="485"/>
      <c r="R51" s="169">
        <f t="shared" si="89"/>
        <v>0</v>
      </c>
      <c r="S51" s="169">
        <f t="shared" si="89"/>
        <v>0</v>
      </c>
      <c r="T51" s="169">
        <f t="shared" si="89"/>
        <v>0</v>
      </c>
      <c r="U51" s="169">
        <f t="shared" si="89"/>
        <v>0</v>
      </c>
      <c r="V51" s="407">
        <f t="shared" si="94"/>
        <v>0</v>
      </c>
      <c r="X51" s="169">
        <f t="shared" si="90"/>
        <v>0</v>
      </c>
      <c r="Y51" s="169">
        <f t="shared" si="90"/>
        <v>0</v>
      </c>
      <c r="Z51" s="169">
        <f t="shared" si="90"/>
        <v>0</v>
      </c>
      <c r="AA51" s="169">
        <f t="shared" si="90"/>
        <v>0</v>
      </c>
      <c r="AB51" s="169">
        <f t="shared" si="95"/>
        <v>0</v>
      </c>
      <c r="AD51" s="169">
        <f t="shared" si="91"/>
        <v>0</v>
      </c>
      <c r="AE51" s="169">
        <f t="shared" si="91"/>
        <v>0</v>
      </c>
      <c r="AF51" s="169">
        <f t="shared" si="91"/>
        <v>0</v>
      </c>
      <c r="AG51" s="169">
        <f t="shared" si="91"/>
        <v>0</v>
      </c>
      <c r="AH51" s="371">
        <f t="shared" si="96"/>
        <v>0</v>
      </c>
      <c r="AI51" s="407">
        <f t="shared" si="56"/>
        <v>0</v>
      </c>
      <c r="AP51" s="80"/>
    </row>
    <row r="52" spans="1:65" ht="20" collapsed="1">
      <c r="A52" s="747" t="s">
        <v>503</v>
      </c>
      <c r="B52" s="13"/>
      <c r="C52" s="13"/>
      <c r="D52" s="13"/>
      <c r="F52" s="169">
        <f>F20*F136</f>
        <v>7260696.3096760726</v>
      </c>
      <c r="G52" s="169">
        <f>G20*G136</f>
        <v>3032949.091383676</v>
      </c>
      <c r="H52" s="169">
        <f>H20*H136</f>
        <v>167271.73776722094</v>
      </c>
      <c r="I52" s="169">
        <f>I20*I136</f>
        <v>340517.46616898547</v>
      </c>
      <c r="J52" s="406">
        <f>SUM(F52:I52)</f>
        <v>10801434.604995955</v>
      </c>
      <c r="L52" s="169">
        <f>L20*L136</f>
        <v>0</v>
      </c>
      <c r="M52" s="169">
        <f>M20*M136</f>
        <v>0</v>
      </c>
      <c r="N52" s="169">
        <f>N20*N136</f>
        <v>0</v>
      </c>
      <c r="O52" s="169">
        <f>O20*O136</f>
        <v>0</v>
      </c>
      <c r="P52" s="406">
        <f>SUM(L52:O52)</f>
        <v>0</v>
      </c>
      <c r="Q52" s="485"/>
      <c r="R52" s="169">
        <f>R18*R136</f>
        <v>0</v>
      </c>
      <c r="S52" s="169">
        <f>S18*S136</f>
        <v>0</v>
      </c>
      <c r="T52" s="169">
        <f>T18*T136</f>
        <v>0</v>
      </c>
      <c r="U52" s="169">
        <f>U18*U136</f>
        <v>0</v>
      </c>
      <c r="V52" s="169">
        <f>SUM(R52:U52)</f>
        <v>0</v>
      </c>
      <c r="X52" s="169">
        <f>X18*X136</f>
        <v>0</v>
      </c>
      <c r="Y52" s="169">
        <f>Y18*Y136</f>
        <v>0</v>
      </c>
      <c r="Z52" s="169">
        <f>Z18*Z136</f>
        <v>0</v>
      </c>
      <c r="AA52" s="169">
        <f>AA18*AA136</f>
        <v>0</v>
      </c>
      <c r="AB52" s="169">
        <f>SUM(X52:AA52)</f>
        <v>0</v>
      </c>
      <c r="AD52" s="169">
        <f>AD20*AD136</f>
        <v>0</v>
      </c>
      <c r="AE52" s="169">
        <f>AE20*AE136</f>
        <v>0</v>
      </c>
      <c r="AF52" s="169">
        <f>AF20*AF136</f>
        <v>0</v>
      </c>
      <c r="AG52" s="169">
        <f>AG20*AG136</f>
        <v>0</v>
      </c>
      <c r="AH52" s="693">
        <f>SUM(AD52:AG52)</f>
        <v>0</v>
      </c>
      <c r="AI52" s="407">
        <f>AH52+AB52</f>
        <v>0</v>
      </c>
      <c r="AP52" s="80"/>
    </row>
    <row r="53" spans="1:65" s="685" customFormat="1" ht="20">
      <c r="A53" s="746" t="s">
        <v>344</v>
      </c>
      <c r="B53" s="945"/>
      <c r="C53" s="945"/>
      <c r="D53" s="945"/>
      <c r="F53" s="492">
        <f>F28-F34</f>
        <v>24045529.193384886</v>
      </c>
      <c r="G53" s="492">
        <f>G28-G34</f>
        <v>10752353.241136275</v>
      </c>
      <c r="H53" s="492">
        <f>H28-H34</f>
        <v>571285.99034246407</v>
      </c>
      <c r="I53" s="492">
        <f>I28-I34</f>
        <v>1162975.0517685879</v>
      </c>
      <c r="J53" s="879">
        <f t="shared" si="57"/>
        <v>36532143.476632208</v>
      </c>
      <c r="K53" s="528"/>
      <c r="L53" s="492">
        <f>L28-L34</f>
        <v>55053929.743751988</v>
      </c>
      <c r="M53" s="492">
        <f>M28-M34</f>
        <v>24054575.622643791</v>
      </c>
      <c r="N53" s="492">
        <f>N28-N34</f>
        <v>1294185.0325381365</v>
      </c>
      <c r="O53" s="492">
        <f>O28-O34</f>
        <v>2634590.959095493</v>
      </c>
      <c r="P53" s="879">
        <f t="shared" ref="P53" si="97">SUM(L53:O53)</f>
        <v>83037281.358029395</v>
      </c>
      <c r="Q53" s="528"/>
      <c r="R53" s="492">
        <f>R28-R34</f>
        <v>21056262.669997256</v>
      </c>
      <c r="S53" s="492">
        <f>S28-S34</f>
        <v>8970044.8849817328</v>
      </c>
      <c r="T53" s="492">
        <f>T28-T34</f>
        <v>489357.73894121818</v>
      </c>
      <c r="U53" s="492">
        <f>U28-U34</f>
        <v>996192.53998747957</v>
      </c>
      <c r="V53" s="877">
        <f t="shared" si="79"/>
        <v>31511857.833907686</v>
      </c>
      <c r="W53" s="528"/>
      <c r="X53" s="492">
        <f>X28-X34</f>
        <v>18976660.710862607</v>
      </c>
      <c r="Y53" s="492">
        <f>Y28-Y34</f>
        <v>7378805.9006428719</v>
      </c>
      <c r="Z53" s="492">
        <f>Z28-Z34</f>
        <v>423780.73038451344</v>
      </c>
      <c r="AA53" s="492">
        <f>AA28-AA34</f>
        <v>862696.48685418791</v>
      </c>
      <c r="AB53" s="683">
        <f t="shared" si="48"/>
        <v>27641943.828744181</v>
      </c>
      <c r="AC53" s="697"/>
      <c r="AD53" s="492">
        <f>AD28-AD34</f>
        <v>8141651.6069305129</v>
      </c>
      <c r="AE53" s="492">
        <f>AE28-AE34</f>
        <v>5659582.6030584099</v>
      </c>
      <c r="AF53" s="492">
        <f>AF28-AF34</f>
        <v>242793.95835570811</v>
      </c>
      <c r="AG53" s="492">
        <f>AG28-AG34</f>
        <v>494259.12950983434</v>
      </c>
      <c r="AH53" s="695">
        <f t="shared" ref="AH53" si="98">SUM(AD53:AG53)</f>
        <v>14538287.297854465</v>
      </c>
      <c r="AI53" s="879">
        <f>AH53+AB53</f>
        <v>42180231.126598641</v>
      </c>
      <c r="AJ53" s="493"/>
      <c r="AK53" s="493"/>
      <c r="AL53" s="493"/>
      <c r="AM53" s="493"/>
      <c r="AN53" s="493"/>
      <c r="AO53" s="493"/>
      <c r="AP53" s="493"/>
      <c r="AQ53" s="493"/>
      <c r="AR53" s="493"/>
      <c r="AS53" s="493"/>
      <c r="AT53" s="493"/>
      <c r="AU53" s="493"/>
      <c r="BB53" s="493"/>
      <c r="BC53" s="493"/>
      <c r="BD53" s="493"/>
      <c r="BE53" s="493"/>
      <c r="BF53" s="493"/>
      <c r="BG53" s="493"/>
      <c r="BH53" s="493"/>
      <c r="BI53" s="493"/>
      <c r="BJ53" s="493"/>
      <c r="BK53" s="493"/>
      <c r="BL53" s="493"/>
      <c r="BM53" s="493"/>
    </row>
    <row r="54" spans="1:65">
      <c r="F54" s="139"/>
      <c r="AI54" s="406"/>
    </row>
    <row r="55" spans="1:65" s="685" customFormat="1" ht="20">
      <c r="A55" s="746" t="s">
        <v>367</v>
      </c>
      <c r="B55" s="945"/>
      <c r="C55" s="945"/>
      <c r="D55" s="945"/>
      <c r="F55" s="492">
        <f>F18*F118</f>
        <v>0</v>
      </c>
      <c r="G55" s="492">
        <f>G18*G118</f>
        <v>0</v>
      </c>
      <c r="H55" s="492">
        <f>H5*H118</f>
        <v>5096000.0000000009</v>
      </c>
      <c r="I55" s="492">
        <f>I5*I118</f>
        <v>48906000</v>
      </c>
      <c r="J55" s="680">
        <f>SUM(F55:I55)</f>
        <v>54002000</v>
      </c>
      <c r="K55" s="528"/>
      <c r="L55" s="492">
        <f>L20*L119</f>
        <v>53571666.163764983</v>
      </c>
      <c r="M55" s="492">
        <f>M20*M119</f>
        <v>22378037.764610685</v>
      </c>
      <c r="N55" s="492">
        <f>N5*N118</f>
        <v>6115200.0000000019</v>
      </c>
      <c r="O55" s="492">
        <f>O5*O118</f>
        <v>58687200.000000007</v>
      </c>
      <c r="P55" s="680">
        <f>SUM(L55:O55)</f>
        <v>140752103.92837566</v>
      </c>
      <c r="Q55" s="550"/>
      <c r="R55" s="492">
        <f>R20*R119</f>
        <v>8835561.5880556498</v>
      </c>
      <c r="S55" s="492">
        <f>S20*S119</f>
        <v>3690804.2076688157</v>
      </c>
      <c r="T55" s="492">
        <f>T5*T118</f>
        <v>6115200.0000000019</v>
      </c>
      <c r="U55" s="492">
        <f>U5*U118</f>
        <v>58687200.000000007</v>
      </c>
      <c r="V55" s="683">
        <f>SUM(R55:U55)</f>
        <v>77328765.795724481</v>
      </c>
      <c r="W55" s="528"/>
      <c r="X55" s="492">
        <f>X20*X119</f>
        <v>7837833.7254907619</v>
      </c>
      <c r="Y55" s="492">
        <f>Y20*Y119</f>
        <v>3047630.6987353014</v>
      </c>
      <c r="Z55" s="492">
        <f>Z5*Z118</f>
        <v>5258352.1650057305</v>
      </c>
      <c r="AA55" s="492">
        <f>AA5*AA118</f>
        <v>50464083.787631519</v>
      </c>
      <c r="AB55" s="683">
        <f>SUM(X55:AA55)</f>
        <v>66607900.376863316</v>
      </c>
      <c r="AC55" s="697"/>
      <c r="AD55" s="492">
        <f>AD20*AD119</f>
        <v>6049411.0581345866</v>
      </c>
      <c r="AE55" s="492">
        <f>AE20*AE119</f>
        <v>3899681.5496756569</v>
      </c>
      <c r="AF55" s="492">
        <f>AF5*AF118</f>
        <v>856847.83499427058</v>
      </c>
      <c r="AG55" s="492">
        <f>AG5*AG118</f>
        <v>8223116.2123684855</v>
      </c>
      <c r="AH55" s="695">
        <f>SUM(AD55:AG55)</f>
        <v>19029056.655173</v>
      </c>
      <c r="AI55" s="680">
        <f>AH55+AB55</f>
        <v>85636957.032036319</v>
      </c>
      <c r="AJ55" s="493"/>
      <c r="AK55" s="493"/>
      <c r="AL55" s="493"/>
      <c r="AM55" s="493"/>
      <c r="AN55" s="493"/>
      <c r="AO55" s="493"/>
      <c r="AP55" s="494"/>
      <c r="AQ55" s="493"/>
      <c r="AR55" s="493"/>
      <c r="AS55" s="493"/>
      <c r="AT55" s="493"/>
      <c r="AU55" s="493"/>
      <c r="BB55" s="493"/>
      <c r="BC55" s="493"/>
      <c r="BD55" s="493"/>
      <c r="BE55" s="493"/>
      <c r="BF55" s="493"/>
      <c r="BG55" s="493"/>
      <c r="BH55" s="493"/>
      <c r="BI55" s="493"/>
      <c r="BJ55" s="493"/>
      <c r="BK55" s="493"/>
      <c r="BL55" s="493"/>
      <c r="BM55" s="493"/>
    </row>
    <row r="56" spans="1:65">
      <c r="F56" s="139"/>
      <c r="AI56" s="406"/>
    </row>
    <row r="57" spans="1:65" s="733" customFormat="1" ht="21" thickBot="1">
      <c r="A57" s="748" t="s">
        <v>364</v>
      </c>
      <c r="B57" s="946"/>
      <c r="C57" s="946"/>
      <c r="D57" s="946"/>
      <c r="F57" s="571">
        <f>F53+F55</f>
        <v>24045529.193384886</v>
      </c>
      <c r="G57" s="571">
        <f t="shared" ref="G57:I57" si="99">G53+G55</f>
        <v>10752353.241136275</v>
      </c>
      <c r="H57" s="571">
        <f t="shared" si="99"/>
        <v>5667285.9903424652</v>
      </c>
      <c r="I57" s="571">
        <f t="shared" si="99"/>
        <v>50068975.051768586</v>
      </c>
      <c r="J57" s="880">
        <f>SUM(F57:I57)</f>
        <v>90534143.476632208</v>
      </c>
      <c r="K57" s="572"/>
      <c r="L57" s="571">
        <f>L53+L55</f>
        <v>108625595.90751697</v>
      </c>
      <c r="M57" s="571">
        <f t="shared" ref="M57:O57" si="100">M53+M55</f>
        <v>46432613.387254477</v>
      </c>
      <c r="N57" s="571">
        <f t="shared" si="100"/>
        <v>7409385.0325381383</v>
      </c>
      <c r="O57" s="571">
        <f t="shared" si="100"/>
        <v>61321790.9590955</v>
      </c>
      <c r="P57" s="880">
        <f>SUM(L57:O57)</f>
        <v>223789385.28640509</v>
      </c>
      <c r="Q57" s="573"/>
      <c r="R57" s="571">
        <f>R53+R55</f>
        <v>29891824.258052908</v>
      </c>
      <c r="S57" s="571">
        <f t="shared" ref="S57:U57" si="101">S53+S55</f>
        <v>12660849.092650548</v>
      </c>
      <c r="T57" s="571">
        <f t="shared" si="101"/>
        <v>6604557.7389412196</v>
      </c>
      <c r="U57" s="571">
        <f t="shared" si="101"/>
        <v>59683392.53998749</v>
      </c>
      <c r="V57" s="878">
        <f>SUM(R57:U57)</f>
        <v>108840623.62963217</v>
      </c>
      <c r="W57" s="572"/>
      <c r="X57" s="571">
        <f>X53+X55</f>
        <v>26814494.436353371</v>
      </c>
      <c r="Y57" s="571">
        <f t="shared" ref="Y57:AA57" si="102">Y53+Y55</f>
        <v>10426436.599378172</v>
      </c>
      <c r="Z57" s="571">
        <f t="shared" si="102"/>
        <v>5682132.8953902442</v>
      </c>
      <c r="AA57" s="571">
        <f t="shared" si="102"/>
        <v>51326780.274485707</v>
      </c>
      <c r="AB57" s="875">
        <f>SUM(X57:AA57)</f>
        <v>94249844.205607489</v>
      </c>
      <c r="AC57" s="698"/>
      <c r="AD57" s="571">
        <f>AD53+AD55</f>
        <v>14191062.665065099</v>
      </c>
      <c r="AE57" s="571">
        <f t="shared" ref="AE57:AG57" si="103">AE53+AE55</f>
        <v>9559264.1527340673</v>
      </c>
      <c r="AF57" s="571">
        <f t="shared" si="103"/>
        <v>1099641.7933499787</v>
      </c>
      <c r="AG57" s="571">
        <f t="shared" si="103"/>
        <v>8717375.3418783192</v>
      </c>
      <c r="AH57" s="876">
        <f>SUM(AD57:AG57)</f>
        <v>33567343.953027464</v>
      </c>
      <c r="AI57" s="881">
        <f>AH57+AB57</f>
        <v>127817188.15863496</v>
      </c>
      <c r="AJ57" s="574"/>
      <c r="AK57" s="574"/>
      <c r="AL57" s="574"/>
      <c r="AM57" s="574"/>
      <c r="AN57" s="574"/>
      <c r="AO57" s="574"/>
      <c r="AP57" s="575"/>
      <c r="AQ57" s="574"/>
      <c r="AR57" s="574"/>
      <c r="AS57" s="574"/>
      <c r="AT57" s="574"/>
      <c r="AU57" s="574"/>
      <c r="BB57" s="574"/>
      <c r="BC57" s="574"/>
      <c r="BD57" s="574"/>
      <c r="BE57" s="574"/>
      <c r="BF57" s="574"/>
      <c r="BG57" s="574"/>
      <c r="BH57" s="574"/>
      <c r="BI57" s="574"/>
      <c r="BJ57" s="574"/>
      <c r="BK57" s="574"/>
      <c r="BL57" s="574"/>
      <c r="BM57" s="574"/>
    </row>
    <row r="58" spans="1:65">
      <c r="P58" s="960">
        <f>(P57-J57)/J57</f>
        <v>1.4718783068198731</v>
      </c>
    </row>
    <row r="59" spans="1:65">
      <c r="I59" s="169"/>
      <c r="P59" s="961">
        <f>(100%+P58)/100%</f>
        <v>2.4718783068198729</v>
      </c>
      <c r="Q59" s="962"/>
    </row>
    <row r="60" spans="1:65" s="425" customFormat="1" ht="20">
      <c r="A60" s="749" t="s">
        <v>295</v>
      </c>
      <c r="B60" s="355"/>
      <c r="C60" s="355"/>
      <c r="D60" s="355"/>
      <c r="E60" s="452"/>
      <c r="F60" s="355"/>
      <c r="G60" s="355"/>
      <c r="H60" s="355"/>
      <c r="I60" s="355"/>
      <c r="J60" s="498"/>
      <c r="K60" s="529"/>
      <c r="L60" s="43"/>
      <c r="M60" s="43"/>
      <c r="N60" s="43"/>
      <c r="O60" s="43"/>
      <c r="P60" s="503"/>
      <c r="Q60" s="529"/>
      <c r="R60" s="43"/>
      <c r="S60" s="43"/>
      <c r="T60" s="43"/>
      <c r="U60" s="43"/>
      <c r="V60" s="43"/>
      <c r="W60" s="558"/>
      <c r="X60" s="355"/>
      <c r="Y60" s="355"/>
      <c r="Z60" s="355"/>
      <c r="AA60" s="355"/>
      <c r="AB60" s="355"/>
      <c r="AC60" s="826"/>
      <c r="AD60" s="355"/>
      <c r="AE60" s="355"/>
      <c r="AF60" s="355"/>
      <c r="AG60" s="355"/>
      <c r="AH60" s="827"/>
      <c r="AI60" s="498"/>
      <c r="AJ60" s="355"/>
      <c r="AK60" s="355"/>
      <c r="AL60" s="355"/>
      <c r="AM60" s="355"/>
      <c r="AN60" s="355"/>
      <c r="AO60" s="355"/>
      <c r="AP60" s="43"/>
      <c r="AQ60" s="43"/>
      <c r="AR60" s="43"/>
      <c r="AS60" s="43"/>
      <c r="AT60" s="43"/>
      <c r="AU60" s="43"/>
      <c r="BB60" s="43"/>
      <c r="BC60" s="43"/>
      <c r="BD60" s="43"/>
      <c r="BE60" s="43"/>
      <c r="BF60" s="43"/>
      <c r="BG60" s="43"/>
      <c r="BH60" s="43"/>
      <c r="BI60" s="43"/>
      <c r="BJ60" s="43"/>
      <c r="BK60" s="43"/>
      <c r="BL60" s="43"/>
      <c r="BM60" s="43"/>
    </row>
    <row r="61" spans="1:65" s="418" customFormat="1" ht="20" hidden="1" outlineLevel="1">
      <c r="A61" s="750" t="s">
        <v>332</v>
      </c>
      <c r="B61" s="417"/>
      <c r="C61" s="417"/>
      <c r="D61" s="417"/>
      <c r="F61" s="419"/>
      <c r="G61" s="420"/>
      <c r="H61" s="420"/>
      <c r="I61" s="420"/>
      <c r="J61" s="500"/>
      <c r="K61" s="530"/>
      <c r="L61" s="421"/>
      <c r="M61" s="421"/>
      <c r="N61" s="421"/>
      <c r="O61" s="421"/>
      <c r="P61" s="531"/>
      <c r="Q61" s="530"/>
      <c r="R61" s="420"/>
      <c r="S61" s="420"/>
      <c r="T61" s="420"/>
      <c r="U61" s="420"/>
      <c r="V61" s="420"/>
      <c r="W61" s="559"/>
      <c r="X61" s="420"/>
      <c r="Y61" s="420"/>
      <c r="Z61" s="420"/>
      <c r="AA61" s="420"/>
      <c r="AB61" s="420"/>
      <c r="AC61" s="828"/>
      <c r="AD61" s="420"/>
      <c r="AE61" s="420"/>
      <c r="AF61" s="420"/>
      <c r="AG61" s="420"/>
      <c r="AH61" s="829"/>
      <c r="AI61" s="500"/>
      <c r="AJ61" s="417"/>
      <c r="AK61" s="417"/>
      <c r="AL61" s="417"/>
      <c r="AM61" s="417"/>
      <c r="AN61" s="417"/>
      <c r="AO61" s="417"/>
      <c r="AP61" s="421"/>
      <c r="AQ61" s="421"/>
      <c r="AR61" s="421"/>
      <c r="AS61" s="421"/>
      <c r="AT61" s="421"/>
      <c r="AU61" s="421"/>
      <c r="BB61" s="421"/>
      <c r="BC61" s="421"/>
      <c r="BD61" s="421"/>
      <c r="BE61" s="421"/>
      <c r="BF61" s="421"/>
      <c r="BG61" s="421"/>
      <c r="BH61" s="421"/>
      <c r="BI61" s="421"/>
      <c r="BJ61" s="421"/>
      <c r="BK61" s="421"/>
      <c r="BL61" s="421"/>
      <c r="BM61" s="421"/>
    </row>
    <row r="62" spans="1:65" s="807" customFormat="1" hidden="1" outlineLevel="1">
      <c r="A62" s="806" t="s">
        <v>509</v>
      </c>
      <c r="B62" s="947"/>
      <c r="C62" s="947"/>
      <c r="D62" s="947"/>
      <c r="F62" s="808"/>
      <c r="G62" s="809"/>
      <c r="H62" s="809"/>
      <c r="I62" s="809"/>
      <c r="J62" s="810"/>
      <c r="K62" s="811"/>
      <c r="L62" s="812"/>
      <c r="M62" s="812"/>
      <c r="N62" s="812"/>
      <c r="O62" s="812"/>
      <c r="P62" s="813"/>
      <c r="Q62" s="811"/>
      <c r="R62" s="809"/>
      <c r="S62" s="809"/>
      <c r="T62" s="809"/>
      <c r="U62" s="809"/>
      <c r="V62" s="809"/>
      <c r="W62" s="814"/>
      <c r="X62" s="809"/>
      <c r="Y62" s="809"/>
      <c r="Z62" s="809"/>
      <c r="AA62" s="809"/>
      <c r="AB62" s="809"/>
      <c r="AC62" s="830"/>
      <c r="AD62" s="809"/>
      <c r="AE62" s="809"/>
      <c r="AF62" s="809"/>
      <c r="AG62" s="809"/>
      <c r="AH62" s="831"/>
      <c r="AI62" s="810"/>
      <c r="AJ62" s="815"/>
      <c r="AK62" s="815"/>
      <c r="AL62" s="815"/>
      <c r="AM62" s="815"/>
      <c r="AN62" s="815"/>
      <c r="AO62" s="815"/>
      <c r="AP62" s="812"/>
      <c r="AQ62" s="812"/>
      <c r="AR62" s="812"/>
      <c r="AS62" s="812"/>
      <c r="AT62" s="812"/>
      <c r="AU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812"/>
      <c r="BL62" s="812"/>
      <c r="BM62" s="812"/>
    </row>
    <row r="63" spans="1:65" ht="40" hidden="1" outlineLevel="1">
      <c r="A63" s="747" t="s">
        <v>422</v>
      </c>
      <c r="B63" s="13"/>
      <c r="C63" s="13"/>
      <c r="D63" s="13"/>
      <c r="E63" s="61"/>
      <c r="F63" s="344" t="s">
        <v>403</v>
      </c>
      <c r="G63" s="13"/>
      <c r="H63" s="13"/>
      <c r="I63" s="13"/>
      <c r="J63" s="297"/>
      <c r="L63" s="344" t="s">
        <v>403</v>
      </c>
      <c r="R63" s="344" t="s">
        <v>403</v>
      </c>
      <c r="W63" s="161"/>
      <c r="X63" s="13"/>
      <c r="Y63" s="13"/>
      <c r="Z63" s="13"/>
      <c r="AA63" s="13"/>
      <c r="AB63" s="13"/>
      <c r="AC63" s="832"/>
      <c r="AD63" s="13"/>
      <c r="AE63" s="13"/>
      <c r="AF63" s="13"/>
      <c r="AG63" s="13"/>
      <c r="AH63" s="615"/>
      <c r="AI63" s="297"/>
      <c r="AJ63" s="13"/>
      <c r="AK63" s="13"/>
      <c r="AL63" s="13"/>
      <c r="AM63" s="13"/>
      <c r="AN63" s="13"/>
      <c r="AO63" s="13"/>
    </row>
    <row r="64" spans="1:65" hidden="1" outlineLevel="1">
      <c r="A64" s="751" t="s">
        <v>327</v>
      </c>
      <c r="B64" s="2"/>
      <c r="C64" s="2"/>
      <c r="D64" s="2"/>
      <c r="E64" s="61"/>
      <c r="F64" s="770">
        <f>'База селлеров'!B38</f>
        <v>1.0916349572702888E-4</v>
      </c>
      <c r="G64" s="408">
        <f>'База селлеров'!C38</f>
        <v>1.7230576441102756E-3</v>
      </c>
      <c r="H64" s="408">
        <f>'База селлеров'!D38</f>
        <v>8.2468141254904686E-4</v>
      </c>
      <c r="I64" s="408">
        <f>'База селлеров'!E38</f>
        <v>8.2468141254904686E-4</v>
      </c>
      <c r="J64" s="468"/>
      <c r="L64" s="408">
        <f>F64</f>
        <v>1.0916349572702888E-4</v>
      </c>
      <c r="M64" s="409">
        <f>G64</f>
        <v>1.7230576441102756E-3</v>
      </c>
      <c r="N64" s="409">
        <f t="shared" ref="N64:O68" si="104">H64</f>
        <v>8.2468141254904686E-4</v>
      </c>
      <c r="O64" s="410">
        <f t="shared" si="104"/>
        <v>8.2468141254904686E-4</v>
      </c>
      <c r="R64" s="408">
        <f>L64</f>
        <v>1.0916349572702888E-4</v>
      </c>
      <c r="S64" s="409">
        <f>M64</f>
        <v>1.7230576441102756E-3</v>
      </c>
      <c r="T64" s="409">
        <f t="shared" ref="T64:U68" si="105">N64</f>
        <v>8.2468141254904686E-4</v>
      </c>
      <c r="U64" s="410">
        <f t="shared" si="105"/>
        <v>8.2468141254904686E-4</v>
      </c>
      <c r="W64" s="161"/>
      <c r="X64" s="408">
        <v>0</v>
      </c>
      <c r="Y64" s="409">
        <v>0</v>
      </c>
      <c r="Z64" s="409">
        <v>0</v>
      </c>
      <c r="AA64" s="410">
        <v>0</v>
      </c>
      <c r="AB64" s="13"/>
      <c r="AC64" s="832"/>
      <c r="AD64" s="408">
        <f>R64/(R64+R65+R66)</f>
        <v>9.6671730423974599E-4</v>
      </c>
      <c r="AE64" s="409">
        <f t="shared" ref="AE64:AG64" si="106">S64/(S64+S65+S66)</f>
        <v>9.8876404494382016E-3</v>
      </c>
      <c r="AF64" s="409">
        <f t="shared" si="106"/>
        <v>5.8856328604175697E-3</v>
      </c>
      <c r="AG64" s="410">
        <f t="shared" si="106"/>
        <v>5.8856328604175697E-3</v>
      </c>
      <c r="AH64" s="615"/>
      <c r="AI64" s="297"/>
      <c r="AJ64" s="13"/>
      <c r="AK64" s="13"/>
      <c r="AL64" s="13"/>
      <c r="AM64" s="13"/>
      <c r="AN64" s="13"/>
      <c r="AO64" s="13"/>
    </row>
    <row r="65" spans="1:65" hidden="1" outlineLevel="1">
      <c r="A65" s="745" t="s">
        <v>429</v>
      </c>
      <c r="B65" s="2"/>
      <c r="C65" s="2"/>
      <c r="D65" s="2"/>
      <c r="F65" s="402">
        <f>'База селлеров'!B39</f>
        <v>7.5010916349572705E-3</v>
      </c>
      <c r="G65" s="362">
        <f>'База селлеров'!C39</f>
        <v>2.0520050125313282E-2</v>
      </c>
      <c r="H65" s="362">
        <f>'База селлеров'!D39</f>
        <v>1.3273030313552554E-2</v>
      </c>
      <c r="I65" s="362">
        <f>H65</f>
        <v>1.3273030313552554E-2</v>
      </c>
      <c r="J65" s="297"/>
      <c r="L65" s="283">
        <f>F65</f>
        <v>7.5010916349572705E-3</v>
      </c>
      <c r="M65" s="74">
        <f>G65</f>
        <v>2.0520050125313282E-2</v>
      </c>
      <c r="N65" s="74">
        <f t="shared" si="104"/>
        <v>1.3273030313552554E-2</v>
      </c>
      <c r="O65" s="289">
        <f t="shared" si="104"/>
        <v>1.3273030313552554E-2</v>
      </c>
      <c r="P65" s="532"/>
      <c r="Q65" s="436"/>
      <c r="R65" s="283">
        <f>L65</f>
        <v>7.5010916349572705E-3</v>
      </c>
      <c r="S65" s="74">
        <f>M65</f>
        <v>2.0520050125313282E-2</v>
      </c>
      <c r="T65" s="74">
        <f t="shared" si="105"/>
        <v>1.3273030313552554E-2</v>
      </c>
      <c r="U65" s="289">
        <f t="shared" si="105"/>
        <v>1.3273030313552554E-2</v>
      </c>
      <c r="X65" s="283">
        <v>0</v>
      </c>
      <c r="Y65" s="74">
        <v>0</v>
      </c>
      <c r="Z65" s="74">
        <v>0</v>
      </c>
      <c r="AA65" s="289">
        <v>0</v>
      </c>
      <c r="AD65" s="283">
        <f>R65/(R64+R65+R66)</f>
        <v>6.6427289048473975E-2</v>
      </c>
      <c r="AE65" s="74">
        <f t="shared" ref="AE65:AG65" si="107">S65/(S64+S65+S66)</f>
        <v>0.11775280898876403</v>
      </c>
      <c r="AF65" s="74">
        <f t="shared" si="107"/>
        <v>9.4727712037668041E-2</v>
      </c>
      <c r="AG65" s="289">
        <f t="shared" si="107"/>
        <v>9.4727712037668041E-2</v>
      </c>
      <c r="AJ65" s="2"/>
      <c r="AK65" s="2"/>
      <c r="AL65" s="2"/>
      <c r="AM65" s="2"/>
      <c r="AN65" s="2"/>
      <c r="AO65" s="2"/>
    </row>
    <row r="66" spans="1:65" hidden="1" outlineLevel="1">
      <c r="A66" s="745" t="s">
        <v>65</v>
      </c>
      <c r="B66" s="2"/>
      <c r="C66" s="2"/>
      <c r="D66" s="2"/>
      <c r="F66" s="402">
        <f>'База селлеров'!B40</f>
        <v>0.10531158380637515</v>
      </c>
      <c r="G66" s="362">
        <f>'База селлеров'!C40</f>
        <v>0.15202067669172933</v>
      </c>
      <c r="H66" s="362">
        <f>'База селлеров'!D40</f>
        <v>0.12602000069446856</v>
      </c>
      <c r="I66" s="362">
        <f>'База селлеров'!E40</f>
        <v>0.12602000069446856</v>
      </c>
      <c r="J66" s="297"/>
      <c r="L66" s="283">
        <f t="shared" ref="L66:L68" si="108">F66</f>
        <v>0.10531158380637515</v>
      </c>
      <c r="M66" s="74">
        <f>G66</f>
        <v>0.15202067669172933</v>
      </c>
      <c r="N66" s="74">
        <f t="shared" si="104"/>
        <v>0.12602000069446856</v>
      </c>
      <c r="O66" s="289">
        <f t="shared" si="104"/>
        <v>0.12602000069446856</v>
      </c>
      <c r="P66" s="532"/>
      <c r="Q66" s="436"/>
      <c r="R66" s="283">
        <f t="shared" ref="R66:R68" si="109">L66</f>
        <v>0.10531158380637515</v>
      </c>
      <c r="S66" s="74">
        <f>M66</f>
        <v>0.15202067669172933</v>
      </c>
      <c r="T66" s="74">
        <f t="shared" si="105"/>
        <v>0.12602000069446856</v>
      </c>
      <c r="U66" s="289">
        <f t="shared" si="105"/>
        <v>0.12602000069446856</v>
      </c>
      <c r="X66" s="283">
        <v>0</v>
      </c>
      <c r="Y66" s="74">
        <v>0</v>
      </c>
      <c r="Z66" s="74">
        <v>0</v>
      </c>
      <c r="AA66" s="289">
        <v>0</v>
      </c>
      <c r="AD66" s="283">
        <f>R66/(R64+R65+R66)</f>
        <v>0.93260599364728636</v>
      </c>
      <c r="AE66" s="74">
        <f t="shared" ref="AE66:AG66" si="110">S66/(S64+S65+S66)</f>
        <v>0.8723595505617977</v>
      </c>
      <c r="AF66" s="74">
        <f t="shared" si="110"/>
        <v>0.89938665510191429</v>
      </c>
      <c r="AG66" s="289">
        <f t="shared" si="110"/>
        <v>0.89938665510191429</v>
      </c>
      <c r="AJ66" s="2"/>
      <c r="AK66" s="2"/>
      <c r="AL66" s="2"/>
      <c r="AM66" s="2"/>
      <c r="AN66" s="2"/>
      <c r="AO66" s="2"/>
    </row>
    <row r="67" spans="1:65" hidden="1" outlineLevel="1">
      <c r="A67" s="745" t="s">
        <v>66</v>
      </c>
      <c r="B67" s="2"/>
      <c r="C67" s="2"/>
      <c r="D67" s="2"/>
      <c r="F67" s="402">
        <f>'База селлеров'!B41</f>
        <v>0.88707816106294057</v>
      </c>
      <c r="G67" s="362">
        <f>'База селлеров'!C41</f>
        <v>0.82573621553884713</v>
      </c>
      <c r="H67" s="362">
        <f>'База селлеров'!D41</f>
        <v>0.85988228757942986</v>
      </c>
      <c r="I67" s="362">
        <f>'База селлеров'!E41</f>
        <v>0.85988228757942986</v>
      </c>
      <c r="J67" s="297"/>
      <c r="L67" s="283">
        <f t="shared" si="108"/>
        <v>0.88707816106294057</v>
      </c>
      <c r="M67" s="74">
        <f>G67</f>
        <v>0.82573621553884713</v>
      </c>
      <c r="N67" s="74">
        <f t="shared" si="104"/>
        <v>0.85988228757942986</v>
      </c>
      <c r="O67" s="289">
        <f t="shared" si="104"/>
        <v>0.85988228757942986</v>
      </c>
      <c r="P67" s="532"/>
      <c r="Q67" s="436"/>
      <c r="R67" s="283">
        <f t="shared" si="109"/>
        <v>0.88707816106294057</v>
      </c>
      <c r="S67" s="74">
        <f>M67</f>
        <v>0.82573621553884713</v>
      </c>
      <c r="T67" s="74">
        <f t="shared" si="105"/>
        <v>0.85988228757942986</v>
      </c>
      <c r="U67" s="289">
        <f t="shared" si="105"/>
        <v>0.85988228757942986</v>
      </c>
      <c r="X67" s="283">
        <v>1</v>
      </c>
      <c r="Y67" s="74">
        <v>1</v>
      </c>
      <c r="Z67" s="74">
        <v>1</v>
      </c>
      <c r="AA67" s="289">
        <v>1</v>
      </c>
      <c r="AD67" s="283">
        <v>0</v>
      </c>
      <c r="AE67" s="74">
        <v>0</v>
      </c>
      <c r="AF67" s="74">
        <v>0</v>
      </c>
      <c r="AG67" s="289">
        <v>0</v>
      </c>
      <c r="AJ67" s="2"/>
      <c r="AK67" s="2"/>
      <c r="AL67" s="2"/>
      <c r="AM67" s="2"/>
      <c r="AN67" s="2"/>
      <c r="AO67" s="2"/>
    </row>
    <row r="68" spans="1:65" hidden="1" outlineLevel="1">
      <c r="A68" s="745" t="s">
        <v>328</v>
      </c>
      <c r="B68" s="2"/>
      <c r="C68" s="2"/>
      <c r="D68" s="2"/>
      <c r="F68" s="647">
        <v>0</v>
      </c>
      <c r="G68" s="648">
        <v>0</v>
      </c>
      <c r="H68" s="648">
        <v>0</v>
      </c>
      <c r="I68" s="648">
        <v>0</v>
      </c>
      <c r="J68" s="297"/>
      <c r="L68" s="283">
        <f t="shared" si="108"/>
        <v>0</v>
      </c>
      <c r="M68" s="74">
        <f>G68</f>
        <v>0</v>
      </c>
      <c r="N68" s="74">
        <f t="shared" si="104"/>
        <v>0</v>
      </c>
      <c r="O68" s="289">
        <f t="shared" si="104"/>
        <v>0</v>
      </c>
      <c r="P68" s="532"/>
      <c r="Q68" s="436"/>
      <c r="R68" s="283">
        <f t="shared" si="109"/>
        <v>0</v>
      </c>
      <c r="S68" s="74">
        <f>M68</f>
        <v>0</v>
      </c>
      <c r="T68" s="74">
        <f t="shared" si="105"/>
        <v>0</v>
      </c>
      <c r="U68" s="289">
        <f t="shared" si="105"/>
        <v>0</v>
      </c>
      <c r="X68" s="283">
        <v>0</v>
      </c>
      <c r="Y68" s="74">
        <v>0</v>
      </c>
      <c r="Z68" s="74">
        <v>0</v>
      </c>
      <c r="AA68" s="289">
        <v>0</v>
      </c>
      <c r="AD68" s="283">
        <f t="shared" ref="AD68" si="111">X68</f>
        <v>0</v>
      </c>
      <c r="AE68" s="74">
        <f>Y68</f>
        <v>0</v>
      </c>
      <c r="AF68" s="74">
        <f t="shared" ref="AF68:AG68" si="112">Z68</f>
        <v>0</v>
      </c>
      <c r="AG68" s="289">
        <f t="shared" si="112"/>
        <v>0</v>
      </c>
      <c r="AJ68" s="2"/>
      <c r="AK68" s="2"/>
      <c r="AL68" s="2"/>
      <c r="AM68" s="2"/>
      <c r="AN68" s="2"/>
      <c r="AO68" s="2"/>
    </row>
    <row r="69" spans="1:65" hidden="1" outlineLevel="1">
      <c r="A69" s="752"/>
      <c r="B69" s="2"/>
      <c r="C69" s="2"/>
      <c r="D69" s="2"/>
      <c r="F69" s="403"/>
      <c r="G69" s="404"/>
      <c r="H69" s="424"/>
      <c r="I69" s="404"/>
      <c r="J69" s="501"/>
      <c r="L69" s="286"/>
      <c r="M69" s="287"/>
      <c r="N69" s="287"/>
      <c r="O69" s="288"/>
      <c r="Q69" s="436"/>
      <c r="R69" s="286"/>
      <c r="S69" s="287"/>
      <c r="T69" s="287"/>
      <c r="U69" s="288"/>
      <c r="X69" s="286"/>
      <c r="Y69" s="287"/>
      <c r="Z69" s="287"/>
      <c r="AA69" s="288"/>
      <c r="AD69" s="286"/>
      <c r="AE69" s="287"/>
      <c r="AF69" s="287"/>
      <c r="AG69" s="288"/>
      <c r="AJ69" s="2"/>
      <c r="AK69" s="2"/>
      <c r="AL69" s="2"/>
      <c r="AM69" s="2"/>
      <c r="AN69" s="2"/>
      <c r="AO69" s="2"/>
    </row>
    <row r="70" spans="1:65" hidden="1" outlineLevel="1">
      <c r="A70" s="747"/>
      <c r="B70" s="13"/>
      <c r="C70" s="13"/>
      <c r="D70" s="13"/>
      <c r="F70" s="400"/>
      <c r="G70" s="154"/>
      <c r="H70" s="401"/>
      <c r="I70" s="154"/>
      <c r="J70" s="299"/>
      <c r="R70" s="154"/>
      <c r="S70" s="154"/>
      <c r="T70" s="154"/>
      <c r="U70" s="154"/>
      <c r="V70" s="154"/>
      <c r="W70" s="342"/>
      <c r="X70" s="154"/>
      <c r="Y70" s="154"/>
      <c r="Z70" s="154"/>
      <c r="AA70" s="154"/>
      <c r="AB70" s="154"/>
      <c r="AC70" s="616"/>
      <c r="AD70" s="154"/>
      <c r="AE70" s="154"/>
      <c r="AF70" s="154"/>
      <c r="AG70" s="154"/>
      <c r="AH70" s="690"/>
      <c r="AI70" s="299"/>
      <c r="AJ70" s="13"/>
      <c r="AK70" s="13"/>
      <c r="AL70" s="13"/>
      <c r="AM70" s="13"/>
      <c r="AN70" s="13"/>
      <c r="AO70" s="13"/>
    </row>
    <row r="71" spans="1:65" hidden="1" outlineLevel="1">
      <c r="A71" s="747"/>
      <c r="B71" s="13"/>
      <c r="C71" s="13"/>
      <c r="D71" s="13"/>
      <c r="F71" s="400"/>
      <c r="G71" s="154"/>
      <c r="H71" s="154"/>
      <c r="I71" s="154"/>
      <c r="J71" s="299"/>
      <c r="R71" s="154"/>
      <c r="S71" s="154"/>
      <c r="T71" s="154"/>
      <c r="U71" s="154"/>
      <c r="V71" s="154"/>
      <c r="W71" s="342"/>
      <c r="X71" s="154"/>
      <c r="Y71" s="154"/>
      <c r="Z71" s="154"/>
      <c r="AA71" s="154"/>
      <c r="AB71" s="154"/>
      <c r="AC71" s="616"/>
      <c r="AD71" s="154"/>
      <c r="AE71" s="154"/>
      <c r="AF71" s="154"/>
      <c r="AG71" s="154"/>
      <c r="AH71" s="690"/>
      <c r="AI71" s="299"/>
      <c r="AJ71" s="13"/>
      <c r="AK71" s="13"/>
      <c r="AL71" s="13"/>
      <c r="AM71" s="13"/>
      <c r="AN71" s="13"/>
      <c r="AO71" s="13"/>
    </row>
    <row r="72" spans="1:65" s="425" customFormat="1" ht="80" hidden="1" outlineLevel="1">
      <c r="A72" s="753" t="s">
        <v>348</v>
      </c>
      <c r="B72" s="452"/>
      <c r="C72" s="452"/>
      <c r="D72" s="452"/>
      <c r="E72" s="356"/>
      <c r="F72" s="399" t="s">
        <v>404</v>
      </c>
      <c r="G72" s="43"/>
      <c r="H72" s="43"/>
      <c r="I72" s="43"/>
      <c r="J72" s="503"/>
      <c r="K72" s="533" t="s">
        <v>363</v>
      </c>
      <c r="L72" s="399" t="s">
        <v>334</v>
      </c>
      <c r="M72" s="43"/>
      <c r="N72" s="43"/>
      <c r="O72" s="43"/>
      <c r="P72" s="503"/>
      <c r="Q72" s="529"/>
      <c r="R72" s="399" t="s">
        <v>334</v>
      </c>
      <c r="S72" s="43"/>
      <c r="T72" s="43"/>
      <c r="U72" s="43"/>
      <c r="V72" s="43"/>
      <c r="W72" s="529"/>
      <c r="X72" s="43"/>
      <c r="Y72" s="43"/>
      <c r="Z72" s="43"/>
      <c r="AA72" s="43"/>
      <c r="AB72" s="43"/>
      <c r="AC72" s="833"/>
      <c r="AD72" s="43"/>
      <c r="AE72" s="43"/>
      <c r="AF72" s="43"/>
      <c r="AG72" s="43"/>
      <c r="AH72" s="834"/>
      <c r="AI72" s="503"/>
      <c r="AJ72" s="43"/>
      <c r="AK72" s="43"/>
      <c r="AL72" s="43"/>
      <c r="AM72" s="43"/>
      <c r="AN72" s="43"/>
      <c r="AO72" s="43"/>
      <c r="AP72" s="43"/>
      <c r="AQ72" s="43"/>
      <c r="AR72" s="43"/>
      <c r="AS72" s="43"/>
      <c r="AT72" s="43"/>
      <c r="AU72" s="43"/>
      <c r="BB72" s="43"/>
      <c r="BC72" s="43"/>
      <c r="BD72" s="43"/>
      <c r="BE72" s="43"/>
      <c r="BF72" s="43"/>
      <c r="BG72" s="43"/>
      <c r="BH72" s="43"/>
      <c r="BI72" s="43"/>
      <c r="BJ72" s="43"/>
      <c r="BK72" s="43"/>
      <c r="BL72" s="43"/>
      <c r="BM72" s="43"/>
    </row>
    <row r="73" spans="1:65" hidden="1" outlineLevel="1">
      <c r="A73" s="745" t="s">
        <v>64</v>
      </c>
      <c r="B73" s="2"/>
      <c r="C73" s="2"/>
      <c r="D73" s="2"/>
      <c r="F73" s="423"/>
      <c r="J73" s="504"/>
      <c r="R73" s="423"/>
    </row>
    <row r="74" spans="1:65" hidden="1" outlineLevel="1">
      <c r="A74" s="751" t="s">
        <v>327</v>
      </c>
      <c r="B74" s="2"/>
      <c r="C74" s="2"/>
      <c r="D74" s="2"/>
      <c r="F74" s="367">
        <f t="shared" ref="F74:I79" si="113">F83/2</f>
        <v>55362.5</v>
      </c>
      <c r="G74" s="368">
        <f t="shared" si="113"/>
        <v>55362.5</v>
      </c>
      <c r="H74" s="368">
        <f t="shared" si="113"/>
        <v>55362.5</v>
      </c>
      <c r="I74" s="369">
        <f t="shared" si="113"/>
        <v>55362.5</v>
      </c>
      <c r="J74" s="504"/>
      <c r="K74" s="518"/>
      <c r="L74" s="367">
        <f>L91/2*L99</f>
        <v>59174.344262295082</v>
      </c>
      <c r="M74" s="368">
        <f>L74</f>
        <v>59174.344262295082</v>
      </c>
      <c r="N74" s="368">
        <f>M74</f>
        <v>59174.344262295082</v>
      </c>
      <c r="O74" s="369">
        <f>N74</f>
        <v>59174.344262295082</v>
      </c>
      <c r="R74" s="413">
        <f>L74</f>
        <v>59174.344262295082</v>
      </c>
      <c r="S74" s="368">
        <f>R74</f>
        <v>59174.344262295082</v>
      </c>
      <c r="T74" s="368">
        <f t="shared" ref="T74:U74" si="114">S74</f>
        <v>59174.344262295082</v>
      </c>
      <c r="U74" s="369">
        <f t="shared" si="114"/>
        <v>59174.344262295082</v>
      </c>
      <c r="X74" s="413">
        <f>R74</f>
        <v>59174.344262295082</v>
      </c>
      <c r="Y74" s="368">
        <f>X74</f>
        <v>59174.344262295082</v>
      </c>
      <c r="Z74" s="368">
        <f t="shared" ref="Z74:AA79" si="115">Y74</f>
        <v>59174.344262295082</v>
      </c>
      <c r="AA74" s="369">
        <f t="shared" si="115"/>
        <v>59174.344262295082</v>
      </c>
      <c r="AD74" s="413">
        <f>X74</f>
        <v>59174.344262295082</v>
      </c>
      <c r="AE74" s="368">
        <f>AD74</f>
        <v>59174.344262295082</v>
      </c>
      <c r="AF74" s="368">
        <f t="shared" ref="AF74:AG79" si="116">AE74</f>
        <v>59174.344262295082</v>
      </c>
      <c r="AG74" s="369">
        <f t="shared" si="116"/>
        <v>59174.344262295082</v>
      </c>
    </row>
    <row r="75" spans="1:65" hidden="1" outlineLevel="1">
      <c r="A75" s="745" t="s">
        <v>62</v>
      </c>
      <c r="B75" s="2"/>
      <c r="C75" s="2"/>
      <c r="D75" s="2"/>
      <c r="F75" s="370">
        <f t="shared" si="113"/>
        <v>35026.5</v>
      </c>
      <c r="G75" s="169">
        <f t="shared" si="113"/>
        <v>35026.5</v>
      </c>
      <c r="H75" s="169">
        <f t="shared" si="113"/>
        <v>35026.5</v>
      </c>
      <c r="I75" s="371">
        <f t="shared" si="113"/>
        <v>35026.5</v>
      </c>
      <c r="J75" s="504"/>
      <c r="K75" s="518"/>
      <c r="L75" s="370">
        <f t="shared" ref="L75:L79" si="117">L92/2*L100</f>
        <v>38183.394849785407</v>
      </c>
      <c r="M75" s="169">
        <f t="shared" ref="M75:O79" si="118">L75</f>
        <v>38183.394849785407</v>
      </c>
      <c r="N75" s="169">
        <f t="shared" si="118"/>
        <v>38183.394849785407</v>
      </c>
      <c r="O75" s="371">
        <f t="shared" si="118"/>
        <v>38183.394849785407</v>
      </c>
      <c r="R75" s="414">
        <f t="shared" ref="R75:R79" si="119">L75</f>
        <v>38183.394849785407</v>
      </c>
      <c r="S75" s="169">
        <f t="shared" ref="S75:U79" si="120">R75</f>
        <v>38183.394849785407</v>
      </c>
      <c r="T75" s="169">
        <f t="shared" si="120"/>
        <v>38183.394849785407</v>
      </c>
      <c r="U75" s="371">
        <f t="shared" si="120"/>
        <v>38183.394849785407</v>
      </c>
      <c r="W75" s="342"/>
      <c r="X75" s="414">
        <f t="shared" ref="X75:X79" si="121">R75</f>
        <v>38183.394849785407</v>
      </c>
      <c r="Y75" s="169">
        <f t="shared" ref="Y75:Y79" si="122">X75</f>
        <v>38183.394849785407</v>
      </c>
      <c r="Z75" s="169">
        <f t="shared" si="115"/>
        <v>38183.394849785407</v>
      </c>
      <c r="AA75" s="371">
        <f t="shared" si="115"/>
        <v>38183.394849785407</v>
      </c>
      <c r="AB75" s="154"/>
      <c r="AC75" s="616"/>
      <c r="AD75" s="414">
        <f t="shared" ref="AD75:AD79" si="123">X75</f>
        <v>38183.394849785407</v>
      </c>
      <c r="AE75" s="169">
        <f t="shared" ref="AE75:AE79" si="124">AD75</f>
        <v>38183.394849785407</v>
      </c>
      <c r="AF75" s="169">
        <f t="shared" si="116"/>
        <v>38183.394849785407</v>
      </c>
      <c r="AG75" s="371">
        <f t="shared" si="116"/>
        <v>38183.394849785407</v>
      </c>
      <c r="AH75" s="690"/>
      <c r="AI75" s="299"/>
      <c r="AJ75" s="2"/>
      <c r="AK75" s="2"/>
      <c r="AL75" s="2"/>
      <c r="AM75" s="2"/>
      <c r="AN75" s="2"/>
      <c r="AO75" s="2"/>
    </row>
    <row r="76" spans="1:65" hidden="1" outlineLevel="1">
      <c r="A76" s="745" t="s">
        <v>65</v>
      </c>
      <c r="B76" s="2"/>
      <c r="C76" s="2"/>
      <c r="D76" s="2"/>
      <c r="F76" s="370">
        <f t="shared" si="113"/>
        <v>23721.5</v>
      </c>
      <c r="G76" s="169">
        <f t="shared" si="113"/>
        <v>23721.5</v>
      </c>
      <c r="H76" s="169">
        <f t="shared" si="113"/>
        <v>23721.5</v>
      </c>
      <c r="I76" s="371">
        <f t="shared" si="113"/>
        <v>23721.5</v>
      </c>
      <c r="J76" s="504"/>
      <c r="K76" s="518"/>
      <c r="L76" s="370">
        <f t="shared" si="117"/>
        <v>26600.988439306362</v>
      </c>
      <c r="M76" s="169">
        <f t="shared" si="118"/>
        <v>26600.988439306362</v>
      </c>
      <c r="N76" s="169">
        <f t="shared" si="118"/>
        <v>26600.988439306362</v>
      </c>
      <c r="O76" s="371">
        <f t="shared" si="118"/>
        <v>26600.988439306362</v>
      </c>
      <c r="R76" s="414">
        <f t="shared" si="119"/>
        <v>26600.988439306362</v>
      </c>
      <c r="S76" s="169">
        <f t="shared" si="120"/>
        <v>26600.988439306362</v>
      </c>
      <c r="T76" s="169">
        <f t="shared" si="120"/>
        <v>26600.988439306362</v>
      </c>
      <c r="U76" s="371">
        <f t="shared" si="120"/>
        <v>26600.988439306362</v>
      </c>
      <c r="W76" s="342"/>
      <c r="X76" s="414">
        <f t="shared" si="121"/>
        <v>26600.988439306362</v>
      </c>
      <c r="Y76" s="169">
        <f t="shared" si="122"/>
        <v>26600.988439306362</v>
      </c>
      <c r="Z76" s="169">
        <f t="shared" si="115"/>
        <v>26600.988439306362</v>
      </c>
      <c r="AA76" s="371">
        <f t="shared" si="115"/>
        <v>26600.988439306362</v>
      </c>
      <c r="AB76" s="154"/>
      <c r="AC76" s="616"/>
      <c r="AD76" s="414">
        <f t="shared" si="123"/>
        <v>26600.988439306362</v>
      </c>
      <c r="AE76" s="169">
        <f t="shared" si="124"/>
        <v>26600.988439306362</v>
      </c>
      <c r="AF76" s="169">
        <f t="shared" si="116"/>
        <v>26600.988439306362</v>
      </c>
      <c r="AG76" s="371">
        <f t="shared" si="116"/>
        <v>26600.988439306362</v>
      </c>
      <c r="AH76" s="690"/>
      <c r="AI76" s="299"/>
      <c r="AJ76" s="2"/>
      <c r="AK76" s="2"/>
      <c r="AL76" s="2"/>
      <c r="AM76" s="2"/>
      <c r="AN76" s="2"/>
      <c r="AO76" s="2"/>
    </row>
    <row r="77" spans="1:65" s="893" customFormat="1" hidden="1" outlineLevel="1">
      <c r="A77" s="883" t="s">
        <v>66</v>
      </c>
      <c r="B77" s="894"/>
      <c r="C77" s="894"/>
      <c r="D77" s="894"/>
      <c r="E77" s="894"/>
      <c r="F77" s="895">
        <f t="shared" si="113"/>
        <v>20475.5</v>
      </c>
      <c r="G77" s="885">
        <f t="shared" si="113"/>
        <v>20475.5</v>
      </c>
      <c r="H77" s="885">
        <f t="shared" si="113"/>
        <v>20475.5</v>
      </c>
      <c r="I77" s="896">
        <f t="shared" si="113"/>
        <v>20475.5</v>
      </c>
      <c r="J77" s="897"/>
      <c r="K77" s="898"/>
      <c r="L77" s="895">
        <f t="shared" si="117"/>
        <v>23361.308724832215</v>
      </c>
      <c r="M77" s="885">
        <f t="shared" si="118"/>
        <v>23361.308724832215</v>
      </c>
      <c r="N77" s="885">
        <f t="shared" si="118"/>
        <v>23361.308724832215</v>
      </c>
      <c r="O77" s="896">
        <f t="shared" si="118"/>
        <v>23361.308724832215</v>
      </c>
      <c r="P77" s="899"/>
      <c r="Q77" s="158"/>
      <c r="R77" s="900">
        <f t="shared" si="119"/>
        <v>23361.308724832215</v>
      </c>
      <c r="S77" s="885">
        <f t="shared" si="120"/>
        <v>23361.308724832215</v>
      </c>
      <c r="T77" s="885">
        <f t="shared" si="120"/>
        <v>23361.308724832215</v>
      </c>
      <c r="U77" s="896">
        <f t="shared" si="120"/>
        <v>23361.308724832215</v>
      </c>
      <c r="V77" s="14"/>
      <c r="W77" s="890"/>
      <c r="X77" s="900">
        <f t="shared" si="121"/>
        <v>23361.308724832215</v>
      </c>
      <c r="Y77" s="885">
        <f t="shared" si="122"/>
        <v>23361.308724832215</v>
      </c>
      <c r="Z77" s="885">
        <f t="shared" si="115"/>
        <v>23361.308724832215</v>
      </c>
      <c r="AA77" s="896">
        <f t="shared" si="115"/>
        <v>23361.308724832215</v>
      </c>
      <c r="AB77" s="901"/>
      <c r="AC77" s="891"/>
      <c r="AD77" s="900">
        <f t="shared" si="123"/>
        <v>23361.308724832215</v>
      </c>
      <c r="AE77" s="885">
        <f t="shared" si="124"/>
        <v>23361.308724832215</v>
      </c>
      <c r="AF77" s="885">
        <f t="shared" si="116"/>
        <v>23361.308724832215</v>
      </c>
      <c r="AG77" s="896">
        <f t="shared" si="116"/>
        <v>23361.308724832215</v>
      </c>
      <c r="AH77" s="902"/>
      <c r="AI77" s="903"/>
      <c r="AJ77" s="894"/>
      <c r="AK77" s="894"/>
      <c r="AL77" s="894"/>
      <c r="AM77" s="894"/>
      <c r="AN77" s="894"/>
      <c r="AO77" s="894"/>
      <c r="AP77" s="14"/>
      <c r="AQ77" s="14"/>
      <c r="AR77" s="14"/>
      <c r="AS77" s="14"/>
      <c r="AT77" s="14"/>
      <c r="AU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</row>
    <row r="78" spans="1:65" hidden="1" outlineLevel="1">
      <c r="A78" s="745" t="s">
        <v>328</v>
      </c>
      <c r="B78" s="2"/>
      <c r="C78" s="2"/>
      <c r="D78" s="2"/>
      <c r="F78" s="370">
        <f t="shared" si="113"/>
        <v>16914</v>
      </c>
      <c r="G78" s="169">
        <f t="shared" si="113"/>
        <v>16914</v>
      </c>
      <c r="H78" s="169">
        <f t="shared" si="113"/>
        <v>16914</v>
      </c>
      <c r="I78" s="371">
        <f t="shared" si="113"/>
        <v>16914</v>
      </c>
      <c r="J78" s="504"/>
      <c r="K78" s="518"/>
      <c r="L78" s="370">
        <f t="shared" si="117"/>
        <v>19667.441860465118</v>
      </c>
      <c r="M78" s="169">
        <f t="shared" si="118"/>
        <v>19667.441860465118</v>
      </c>
      <c r="N78" s="169">
        <f t="shared" si="118"/>
        <v>19667.441860465118</v>
      </c>
      <c r="O78" s="371">
        <f t="shared" si="118"/>
        <v>19667.441860465118</v>
      </c>
      <c r="R78" s="414">
        <f t="shared" si="119"/>
        <v>19667.441860465118</v>
      </c>
      <c r="S78" s="169">
        <f t="shared" si="120"/>
        <v>19667.441860465118</v>
      </c>
      <c r="T78" s="169">
        <f t="shared" si="120"/>
        <v>19667.441860465118</v>
      </c>
      <c r="U78" s="371">
        <f t="shared" si="120"/>
        <v>19667.441860465118</v>
      </c>
      <c r="W78" s="342"/>
      <c r="X78" s="414">
        <f t="shared" si="121"/>
        <v>19667.441860465118</v>
      </c>
      <c r="Y78" s="169">
        <f t="shared" si="122"/>
        <v>19667.441860465118</v>
      </c>
      <c r="Z78" s="169">
        <f t="shared" si="115"/>
        <v>19667.441860465118</v>
      </c>
      <c r="AA78" s="371">
        <f t="shared" si="115"/>
        <v>19667.441860465118</v>
      </c>
      <c r="AB78" s="154"/>
      <c r="AC78" s="616"/>
      <c r="AD78" s="414">
        <f t="shared" si="123"/>
        <v>19667.441860465118</v>
      </c>
      <c r="AE78" s="169">
        <f t="shared" si="124"/>
        <v>19667.441860465118</v>
      </c>
      <c r="AF78" s="169">
        <f t="shared" si="116"/>
        <v>19667.441860465118</v>
      </c>
      <c r="AG78" s="371">
        <f t="shared" si="116"/>
        <v>19667.441860465118</v>
      </c>
      <c r="AH78" s="690"/>
      <c r="AI78" s="299"/>
      <c r="AJ78" s="2"/>
      <c r="AK78" s="2"/>
      <c r="AL78" s="2"/>
      <c r="AM78" s="2"/>
      <c r="AN78" s="2"/>
      <c r="AO78" s="2"/>
    </row>
    <row r="79" spans="1:65" hidden="1" outlineLevel="1">
      <c r="A79" s="752" t="s">
        <v>329</v>
      </c>
      <c r="B79" s="2"/>
      <c r="C79" s="2"/>
      <c r="D79" s="2"/>
      <c r="F79" s="372">
        <f t="shared" si="113"/>
        <v>10790.5</v>
      </c>
      <c r="G79" s="373">
        <f t="shared" si="113"/>
        <v>10790.5</v>
      </c>
      <c r="H79" s="373">
        <f t="shared" si="113"/>
        <v>10790.5</v>
      </c>
      <c r="I79" s="374">
        <f t="shared" si="113"/>
        <v>10790.5</v>
      </c>
      <c r="J79" s="504"/>
      <c r="K79" s="518"/>
      <c r="L79" s="372">
        <f t="shared" si="117"/>
        <v>13126.58762886598</v>
      </c>
      <c r="M79" s="373">
        <f t="shared" si="118"/>
        <v>13126.58762886598</v>
      </c>
      <c r="N79" s="373">
        <f t="shared" si="118"/>
        <v>13126.58762886598</v>
      </c>
      <c r="O79" s="374">
        <f t="shared" si="118"/>
        <v>13126.58762886598</v>
      </c>
      <c r="R79" s="415">
        <f t="shared" si="119"/>
        <v>13126.58762886598</v>
      </c>
      <c r="S79" s="373">
        <f t="shared" si="120"/>
        <v>13126.58762886598</v>
      </c>
      <c r="T79" s="373">
        <f t="shared" si="120"/>
        <v>13126.58762886598</v>
      </c>
      <c r="U79" s="374">
        <f t="shared" si="120"/>
        <v>13126.58762886598</v>
      </c>
      <c r="W79" s="342"/>
      <c r="X79" s="415">
        <f t="shared" si="121"/>
        <v>13126.58762886598</v>
      </c>
      <c r="Y79" s="373">
        <f t="shared" si="122"/>
        <v>13126.58762886598</v>
      </c>
      <c r="Z79" s="373">
        <f t="shared" si="115"/>
        <v>13126.58762886598</v>
      </c>
      <c r="AA79" s="374">
        <f t="shared" si="115"/>
        <v>13126.58762886598</v>
      </c>
      <c r="AB79" s="154"/>
      <c r="AC79" s="616"/>
      <c r="AD79" s="415">
        <f t="shared" si="123"/>
        <v>13126.58762886598</v>
      </c>
      <c r="AE79" s="373">
        <f t="shared" si="124"/>
        <v>13126.58762886598</v>
      </c>
      <c r="AF79" s="373">
        <f t="shared" si="116"/>
        <v>13126.58762886598</v>
      </c>
      <c r="AG79" s="374">
        <f t="shared" si="116"/>
        <v>13126.58762886598</v>
      </c>
      <c r="AH79" s="690"/>
      <c r="AI79" s="299"/>
      <c r="AJ79" s="2"/>
      <c r="AK79" s="2"/>
      <c r="AL79" s="2"/>
      <c r="AM79" s="2"/>
      <c r="AN79" s="2"/>
      <c r="AO79" s="2"/>
    </row>
    <row r="80" spans="1:65" hidden="1" outlineLevel="1">
      <c r="A80" s="745"/>
      <c r="B80" s="2"/>
      <c r="C80" s="2"/>
      <c r="D80" s="2"/>
      <c r="F80" s="169"/>
      <c r="G80" s="169"/>
      <c r="H80" s="169"/>
      <c r="I80" s="169"/>
      <c r="J80" s="407"/>
      <c r="K80" s="518"/>
      <c r="L80" s="169"/>
      <c r="M80" s="169"/>
      <c r="N80" s="169"/>
      <c r="O80" s="169"/>
      <c r="R80" s="169"/>
      <c r="S80" s="169"/>
      <c r="T80" s="169"/>
      <c r="U80" s="169"/>
      <c r="W80" s="342"/>
      <c r="X80" s="154"/>
      <c r="Y80" s="154"/>
      <c r="Z80" s="154"/>
      <c r="AA80" s="154"/>
      <c r="AB80" s="154"/>
      <c r="AC80" s="616"/>
      <c r="AD80" s="154"/>
      <c r="AE80" s="154"/>
      <c r="AF80" s="154"/>
      <c r="AG80" s="154"/>
      <c r="AH80" s="690"/>
      <c r="AI80" s="299"/>
      <c r="AJ80" s="2"/>
      <c r="AK80" s="2"/>
      <c r="AL80" s="2"/>
      <c r="AM80" s="2"/>
      <c r="AN80" s="2"/>
      <c r="AO80" s="2"/>
    </row>
    <row r="81" spans="1:65" s="489" customFormat="1" hidden="1" outlineLevel="1">
      <c r="A81" s="754" t="s">
        <v>347</v>
      </c>
      <c r="B81" s="148"/>
      <c r="C81" s="148"/>
      <c r="D81" s="148"/>
      <c r="E81" s="734"/>
      <c r="F81" s="506"/>
      <c r="G81" s="148"/>
      <c r="H81" s="148"/>
      <c r="I81" s="148"/>
      <c r="J81" s="507"/>
      <c r="K81" s="129"/>
      <c r="L81" s="534"/>
      <c r="M81" s="21"/>
      <c r="N81" s="21"/>
      <c r="O81" s="21"/>
      <c r="P81" s="535"/>
      <c r="Q81" s="551"/>
      <c r="R81" s="405"/>
      <c r="S81" s="405"/>
      <c r="T81" s="405"/>
      <c r="U81" s="405"/>
      <c r="V81" s="405"/>
      <c r="W81" s="551"/>
      <c r="X81" s="148"/>
      <c r="Y81" s="148"/>
      <c r="Z81" s="148"/>
      <c r="AA81" s="148"/>
      <c r="AB81" s="148"/>
      <c r="AC81" s="835"/>
      <c r="AD81" s="148"/>
      <c r="AE81" s="148"/>
      <c r="AF81" s="148"/>
      <c r="AG81" s="148"/>
      <c r="AH81" s="836"/>
      <c r="AI81" s="507"/>
      <c r="AJ81" s="148"/>
      <c r="AK81" s="148"/>
      <c r="AL81" s="148"/>
      <c r="AM81" s="148"/>
      <c r="AN81" s="148"/>
      <c r="AO81" s="148"/>
      <c r="AP81" s="21"/>
      <c r="AQ81" s="21"/>
      <c r="AR81" s="21"/>
      <c r="AS81" s="21"/>
      <c r="AT81" s="21"/>
      <c r="AU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</row>
    <row r="82" spans="1:65" hidden="1" outlineLevel="1">
      <c r="A82" s="745" t="s">
        <v>64</v>
      </c>
      <c r="B82" s="2"/>
      <c r="C82" s="2"/>
      <c r="D82" s="2"/>
      <c r="G82" s="2"/>
      <c r="H82" s="2"/>
      <c r="I82" s="2"/>
      <c r="J82" s="508"/>
      <c r="Q82" s="381"/>
      <c r="R82" s="326"/>
      <c r="S82" s="326"/>
      <c r="T82" s="326"/>
      <c r="U82" s="326"/>
      <c r="V82" s="326"/>
      <c r="W82" s="381"/>
      <c r="X82" s="61"/>
      <c r="Y82" s="61"/>
      <c r="Z82" s="61"/>
      <c r="AA82" s="61"/>
      <c r="AB82" s="61"/>
      <c r="AC82" s="837"/>
      <c r="AD82" s="61"/>
      <c r="AE82" s="61"/>
      <c r="AF82" s="61"/>
      <c r="AG82" s="61"/>
      <c r="AH82" s="838"/>
      <c r="AI82" s="560"/>
      <c r="AJ82" s="2"/>
      <c r="AK82" s="2"/>
      <c r="AL82" s="2"/>
      <c r="AM82" s="2"/>
      <c r="AN82" s="2"/>
      <c r="AO82" s="2"/>
    </row>
    <row r="83" spans="1:65" hidden="1" outlineLevel="1">
      <c r="A83" s="751" t="s">
        <v>327</v>
      </c>
      <c r="B83" s="2"/>
      <c r="C83" s="2"/>
      <c r="D83" s="2"/>
      <c r="F83" s="386">
        <f>'MPS др метрики'!C110</f>
        <v>110725</v>
      </c>
      <c r="G83" s="426">
        <f t="shared" ref="G83:I88" si="125">F83</f>
        <v>110725</v>
      </c>
      <c r="H83" s="426">
        <f t="shared" si="125"/>
        <v>110725</v>
      </c>
      <c r="I83" s="486">
        <f t="shared" si="125"/>
        <v>110725</v>
      </c>
      <c r="J83" s="508"/>
      <c r="L83" s="386">
        <f t="shared" ref="L83:L88" si="126">F83</f>
        <v>110725</v>
      </c>
      <c r="M83" s="387">
        <f>L83</f>
        <v>110725</v>
      </c>
      <c r="N83" s="387">
        <f t="shared" ref="N83:O83" si="127">M83</f>
        <v>110725</v>
      </c>
      <c r="O83" s="388">
        <f t="shared" si="127"/>
        <v>110725</v>
      </c>
      <c r="Q83" s="381"/>
      <c r="R83" s="386">
        <f t="shared" ref="R83:U88" si="128">L83</f>
        <v>110725</v>
      </c>
      <c r="S83" s="387">
        <f t="shared" si="128"/>
        <v>110725</v>
      </c>
      <c r="T83" s="387">
        <f t="shared" si="128"/>
        <v>110725</v>
      </c>
      <c r="U83" s="388">
        <f t="shared" si="128"/>
        <v>110725</v>
      </c>
      <c r="V83" s="326"/>
      <c r="W83" s="381"/>
      <c r="X83" s="386">
        <f t="shared" ref="X83:AA88" si="129">R83</f>
        <v>110725</v>
      </c>
      <c r="Y83" s="387">
        <f t="shared" si="129"/>
        <v>110725</v>
      </c>
      <c r="Z83" s="387">
        <f t="shared" si="129"/>
        <v>110725</v>
      </c>
      <c r="AA83" s="388">
        <f t="shared" si="129"/>
        <v>110725</v>
      </c>
      <c r="AB83" s="61"/>
      <c r="AC83" s="837"/>
      <c r="AD83" s="386">
        <f t="shared" ref="AD83:AG88" si="130">X83</f>
        <v>110725</v>
      </c>
      <c r="AE83" s="387">
        <f t="shared" si="130"/>
        <v>110725</v>
      </c>
      <c r="AF83" s="387">
        <f t="shared" si="130"/>
        <v>110725</v>
      </c>
      <c r="AG83" s="388">
        <f t="shared" si="130"/>
        <v>110725</v>
      </c>
      <c r="AH83" s="838"/>
      <c r="AI83" s="560"/>
      <c r="AJ83" s="2"/>
      <c r="AK83" s="2"/>
      <c r="AL83" s="2"/>
      <c r="AM83" s="2"/>
      <c r="AN83" s="2"/>
      <c r="AO83" s="2"/>
    </row>
    <row r="84" spans="1:65" s="2" customFormat="1" hidden="1" outlineLevel="1">
      <c r="A84" s="745" t="s">
        <v>62</v>
      </c>
      <c r="F84" s="389">
        <f>'MPS др метрики'!C111</f>
        <v>70053</v>
      </c>
      <c r="G84" s="427">
        <f t="shared" si="125"/>
        <v>70053</v>
      </c>
      <c r="H84" s="427">
        <f t="shared" si="125"/>
        <v>70053</v>
      </c>
      <c r="I84" s="487">
        <f t="shared" si="125"/>
        <v>70053</v>
      </c>
      <c r="J84" s="508"/>
      <c r="K84" s="87"/>
      <c r="L84" s="389">
        <f t="shared" si="126"/>
        <v>70053</v>
      </c>
      <c r="M84" s="291">
        <f t="shared" ref="M84:O88" si="131">L84</f>
        <v>70053</v>
      </c>
      <c r="N84" s="291">
        <f t="shared" si="131"/>
        <v>70053</v>
      </c>
      <c r="O84" s="390">
        <f t="shared" si="131"/>
        <v>70053</v>
      </c>
      <c r="P84" s="295"/>
      <c r="Q84" s="381"/>
      <c r="R84" s="389">
        <f t="shared" si="128"/>
        <v>70053</v>
      </c>
      <c r="S84" s="291">
        <f t="shared" si="128"/>
        <v>70053</v>
      </c>
      <c r="T84" s="291">
        <f t="shared" si="128"/>
        <v>70053</v>
      </c>
      <c r="U84" s="390">
        <f t="shared" si="128"/>
        <v>70053</v>
      </c>
      <c r="V84" s="326"/>
      <c r="W84" s="381"/>
      <c r="X84" s="389">
        <f t="shared" si="129"/>
        <v>70053</v>
      </c>
      <c r="Y84" s="291">
        <f t="shared" si="129"/>
        <v>70053</v>
      </c>
      <c r="Z84" s="291">
        <f t="shared" si="129"/>
        <v>70053</v>
      </c>
      <c r="AA84" s="390">
        <f t="shared" si="129"/>
        <v>70053</v>
      </c>
      <c r="AB84" s="61"/>
      <c r="AC84" s="837"/>
      <c r="AD84" s="389">
        <f t="shared" si="130"/>
        <v>70053</v>
      </c>
      <c r="AE84" s="291">
        <f t="shared" si="130"/>
        <v>70053</v>
      </c>
      <c r="AF84" s="291">
        <f t="shared" si="130"/>
        <v>70053</v>
      </c>
      <c r="AG84" s="390">
        <f t="shared" si="130"/>
        <v>70053</v>
      </c>
      <c r="AH84" s="838"/>
      <c r="AI84" s="560"/>
      <c r="AP84" s="1"/>
      <c r="AQ84" s="1"/>
      <c r="AR84" s="1"/>
      <c r="AS84" s="1"/>
      <c r="AT84" s="1"/>
      <c r="AU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</row>
    <row r="85" spans="1:65" s="2" customFormat="1" hidden="1" outlineLevel="1">
      <c r="A85" s="745" t="s">
        <v>65</v>
      </c>
      <c r="F85" s="389">
        <f>'MPS др метрики'!C112</f>
        <v>47443</v>
      </c>
      <c r="G85" s="427">
        <f t="shared" si="125"/>
        <v>47443</v>
      </c>
      <c r="H85" s="427">
        <f t="shared" si="125"/>
        <v>47443</v>
      </c>
      <c r="I85" s="487">
        <f t="shared" si="125"/>
        <v>47443</v>
      </c>
      <c r="J85" s="508"/>
      <c r="K85" s="87"/>
      <c r="L85" s="389">
        <f t="shared" si="126"/>
        <v>47443</v>
      </c>
      <c r="M85" s="291">
        <f t="shared" si="131"/>
        <v>47443</v>
      </c>
      <c r="N85" s="291">
        <f t="shared" si="131"/>
        <v>47443</v>
      </c>
      <c r="O85" s="390">
        <f t="shared" si="131"/>
        <v>47443</v>
      </c>
      <c r="P85" s="295"/>
      <c r="Q85" s="381"/>
      <c r="R85" s="389">
        <f t="shared" si="128"/>
        <v>47443</v>
      </c>
      <c r="S85" s="291">
        <f t="shared" si="128"/>
        <v>47443</v>
      </c>
      <c r="T85" s="291">
        <f t="shared" si="128"/>
        <v>47443</v>
      </c>
      <c r="U85" s="390">
        <f t="shared" si="128"/>
        <v>47443</v>
      </c>
      <c r="V85" s="326"/>
      <c r="W85" s="381"/>
      <c r="X85" s="389">
        <f t="shared" si="129"/>
        <v>47443</v>
      </c>
      <c r="Y85" s="291">
        <f t="shared" si="129"/>
        <v>47443</v>
      </c>
      <c r="Z85" s="291">
        <f t="shared" si="129"/>
        <v>47443</v>
      </c>
      <c r="AA85" s="390">
        <f t="shared" si="129"/>
        <v>47443</v>
      </c>
      <c r="AB85" s="61"/>
      <c r="AC85" s="837"/>
      <c r="AD85" s="389">
        <f t="shared" si="130"/>
        <v>47443</v>
      </c>
      <c r="AE85" s="291">
        <f t="shared" si="130"/>
        <v>47443</v>
      </c>
      <c r="AF85" s="291">
        <f t="shared" si="130"/>
        <v>47443</v>
      </c>
      <c r="AG85" s="390">
        <f t="shared" si="130"/>
        <v>47443</v>
      </c>
      <c r="AH85" s="838"/>
      <c r="AI85" s="560"/>
      <c r="AP85" s="1"/>
      <c r="AQ85" s="1"/>
      <c r="AR85" s="1"/>
      <c r="AS85" s="1"/>
      <c r="AT85" s="1"/>
      <c r="AU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</row>
    <row r="86" spans="1:65" s="2" customFormat="1" hidden="1" outlineLevel="1">
      <c r="A86" s="745" t="s">
        <v>66</v>
      </c>
      <c r="F86" s="389">
        <f>'MPS др метрики'!C113</f>
        <v>40951</v>
      </c>
      <c r="G86" s="427">
        <f t="shared" si="125"/>
        <v>40951</v>
      </c>
      <c r="H86" s="427">
        <f t="shared" si="125"/>
        <v>40951</v>
      </c>
      <c r="I86" s="487">
        <f t="shared" si="125"/>
        <v>40951</v>
      </c>
      <c r="J86" s="508"/>
      <c r="K86" s="87"/>
      <c r="L86" s="389">
        <f t="shared" si="126"/>
        <v>40951</v>
      </c>
      <c r="M86" s="291">
        <f t="shared" si="131"/>
        <v>40951</v>
      </c>
      <c r="N86" s="291">
        <f t="shared" si="131"/>
        <v>40951</v>
      </c>
      <c r="O86" s="390">
        <f t="shared" si="131"/>
        <v>40951</v>
      </c>
      <c r="P86" s="295"/>
      <c r="Q86" s="381"/>
      <c r="R86" s="389">
        <f t="shared" si="128"/>
        <v>40951</v>
      </c>
      <c r="S86" s="291">
        <f t="shared" si="128"/>
        <v>40951</v>
      </c>
      <c r="T86" s="291">
        <f t="shared" si="128"/>
        <v>40951</v>
      </c>
      <c r="U86" s="390">
        <f t="shared" si="128"/>
        <v>40951</v>
      </c>
      <c r="V86" s="326"/>
      <c r="W86" s="381"/>
      <c r="X86" s="389">
        <f t="shared" si="129"/>
        <v>40951</v>
      </c>
      <c r="Y86" s="291">
        <f t="shared" si="129"/>
        <v>40951</v>
      </c>
      <c r="Z86" s="291">
        <f t="shared" si="129"/>
        <v>40951</v>
      </c>
      <c r="AA86" s="390">
        <f t="shared" si="129"/>
        <v>40951</v>
      </c>
      <c r="AB86" s="61"/>
      <c r="AC86" s="837"/>
      <c r="AD86" s="389">
        <f t="shared" si="130"/>
        <v>40951</v>
      </c>
      <c r="AE86" s="291">
        <f t="shared" si="130"/>
        <v>40951</v>
      </c>
      <c r="AF86" s="291">
        <f t="shared" si="130"/>
        <v>40951</v>
      </c>
      <c r="AG86" s="390">
        <f t="shared" si="130"/>
        <v>40951</v>
      </c>
      <c r="AH86" s="838"/>
      <c r="AI86" s="560"/>
      <c r="AP86" s="1"/>
      <c r="AQ86" s="1"/>
      <c r="AR86" s="1"/>
      <c r="AS86" s="1"/>
      <c r="AT86" s="1"/>
      <c r="AU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</row>
    <row r="87" spans="1:65" s="2" customFormat="1" hidden="1" outlineLevel="1">
      <c r="A87" s="745" t="s">
        <v>328</v>
      </c>
      <c r="F87" s="389">
        <f>'MPS др метрики'!C114</f>
        <v>33828</v>
      </c>
      <c r="G87" s="427">
        <f t="shared" si="125"/>
        <v>33828</v>
      </c>
      <c r="H87" s="427">
        <f t="shared" si="125"/>
        <v>33828</v>
      </c>
      <c r="I87" s="487">
        <f t="shared" si="125"/>
        <v>33828</v>
      </c>
      <c r="J87" s="508"/>
      <c r="K87" s="87"/>
      <c r="L87" s="389">
        <f t="shared" si="126"/>
        <v>33828</v>
      </c>
      <c r="M87" s="291">
        <f t="shared" si="131"/>
        <v>33828</v>
      </c>
      <c r="N87" s="291">
        <f t="shared" si="131"/>
        <v>33828</v>
      </c>
      <c r="O87" s="390">
        <f t="shared" si="131"/>
        <v>33828</v>
      </c>
      <c r="P87" s="295"/>
      <c r="Q87" s="381"/>
      <c r="R87" s="389">
        <f t="shared" si="128"/>
        <v>33828</v>
      </c>
      <c r="S87" s="291">
        <f t="shared" si="128"/>
        <v>33828</v>
      </c>
      <c r="T87" s="291">
        <f t="shared" si="128"/>
        <v>33828</v>
      </c>
      <c r="U87" s="390">
        <f t="shared" si="128"/>
        <v>33828</v>
      </c>
      <c r="V87" s="326"/>
      <c r="W87" s="381"/>
      <c r="X87" s="389">
        <f t="shared" si="129"/>
        <v>33828</v>
      </c>
      <c r="Y87" s="291">
        <f t="shared" si="129"/>
        <v>33828</v>
      </c>
      <c r="Z87" s="291">
        <f t="shared" si="129"/>
        <v>33828</v>
      </c>
      <c r="AA87" s="390">
        <f t="shared" si="129"/>
        <v>33828</v>
      </c>
      <c r="AB87" s="61"/>
      <c r="AC87" s="837"/>
      <c r="AD87" s="389">
        <f t="shared" si="130"/>
        <v>33828</v>
      </c>
      <c r="AE87" s="291">
        <f t="shared" si="130"/>
        <v>33828</v>
      </c>
      <c r="AF87" s="291">
        <f t="shared" si="130"/>
        <v>33828</v>
      </c>
      <c r="AG87" s="390">
        <f t="shared" si="130"/>
        <v>33828</v>
      </c>
      <c r="AH87" s="838"/>
      <c r="AI87" s="560"/>
      <c r="AP87" s="1"/>
      <c r="AQ87" s="1"/>
      <c r="AR87" s="1"/>
      <c r="AS87" s="1"/>
      <c r="AT87" s="1"/>
      <c r="AU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</row>
    <row r="88" spans="1:65" s="2" customFormat="1" hidden="1" outlineLevel="1">
      <c r="A88" s="752" t="s">
        <v>329</v>
      </c>
      <c r="E88" s="139"/>
      <c r="F88" s="391">
        <f>'MPS др метрики'!C115</f>
        <v>21581</v>
      </c>
      <c r="G88" s="428">
        <f t="shared" si="125"/>
        <v>21581</v>
      </c>
      <c r="H88" s="428">
        <f t="shared" si="125"/>
        <v>21581</v>
      </c>
      <c r="I88" s="488">
        <f t="shared" si="125"/>
        <v>21581</v>
      </c>
      <c r="J88" s="508"/>
      <c r="K88" s="87"/>
      <c r="L88" s="391">
        <f t="shared" si="126"/>
        <v>21581</v>
      </c>
      <c r="M88" s="392">
        <f t="shared" si="131"/>
        <v>21581</v>
      </c>
      <c r="N88" s="392">
        <f t="shared" si="131"/>
        <v>21581</v>
      </c>
      <c r="O88" s="393">
        <f t="shared" si="131"/>
        <v>21581</v>
      </c>
      <c r="P88" s="295"/>
      <c r="Q88" s="87"/>
      <c r="R88" s="391">
        <f t="shared" si="128"/>
        <v>21581</v>
      </c>
      <c r="S88" s="392">
        <f t="shared" si="128"/>
        <v>21581</v>
      </c>
      <c r="T88" s="392">
        <f t="shared" si="128"/>
        <v>21581</v>
      </c>
      <c r="U88" s="393">
        <f t="shared" si="128"/>
        <v>21581</v>
      </c>
      <c r="V88" s="326"/>
      <c r="W88" s="381"/>
      <c r="X88" s="391">
        <f t="shared" si="129"/>
        <v>21581</v>
      </c>
      <c r="Y88" s="392">
        <f t="shared" si="129"/>
        <v>21581</v>
      </c>
      <c r="Z88" s="392">
        <f t="shared" si="129"/>
        <v>21581</v>
      </c>
      <c r="AA88" s="393">
        <f t="shared" si="129"/>
        <v>21581</v>
      </c>
      <c r="AB88" s="61"/>
      <c r="AC88" s="837"/>
      <c r="AD88" s="391">
        <f t="shared" si="130"/>
        <v>21581</v>
      </c>
      <c r="AE88" s="392">
        <f t="shared" si="130"/>
        <v>21581</v>
      </c>
      <c r="AF88" s="392">
        <f t="shared" si="130"/>
        <v>21581</v>
      </c>
      <c r="AG88" s="393">
        <f t="shared" si="130"/>
        <v>21581</v>
      </c>
      <c r="AH88" s="838"/>
      <c r="AI88" s="560"/>
      <c r="AJ88" s="84"/>
      <c r="AK88" s="84"/>
      <c r="AL88" s="84"/>
      <c r="AM88" s="84"/>
      <c r="AN88" s="84"/>
      <c r="AO88" s="84"/>
      <c r="AP88" s="1"/>
      <c r="AQ88" s="1"/>
      <c r="AR88" s="1"/>
      <c r="AS88" s="1"/>
      <c r="AT88" s="1"/>
      <c r="AU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</row>
    <row r="89" spans="1:65" s="2" customFormat="1" hidden="1" outlineLevel="1">
      <c r="A89" s="745"/>
      <c r="E89" s="139"/>
      <c r="F89" s="1"/>
      <c r="G89" s="427"/>
      <c r="H89" s="427"/>
      <c r="I89" s="427"/>
      <c r="J89" s="510"/>
      <c r="K89" s="87"/>
      <c r="L89" s="291"/>
      <c r="M89" s="291"/>
      <c r="N89" s="291"/>
      <c r="O89" s="291"/>
      <c r="P89" s="295"/>
      <c r="Q89" s="87"/>
      <c r="R89" s="291"/>
      <c r="S89" s="291"/>
      <c r="T89" s="291"/>
      <c r="U89" s="291"/>
      <c r="V89" s="326"/>
      <c r="W89" s="381"/>
      <c r="X89" s="61"/>
      <c r="Y89" s="61"/>
      <c r="Z89" s="61"/>
      <c r="AA89" s="61"/>
      <c r="AB89" s="61"/>
      <c r="AC89" s="837"/>
      <c r="AD89" s="61"/>
      <c r="AE89" s="61"/>
      <c r="AF89" s="61"/>
      <c r="AG89" s="61"/>
      <c r="AH89" s="838"/>
      <c r="AI89" s="560"/>
      <c r="AJ89" s="84"/>
      <c r="AK89" s="84"/>
      <c r="AL89" s="84"/>
      <c r="AM89" s="84"/>
      <c r="AN89" s="84"/>
      <c r="AO89" s="84"/>
      <c r="AP89" s="1"/>
      <c r="AQ89" s="1"/>
      <c r="AR89" s="1"/>
      <c r="AS89" s="1"/>
      <c r="AT89" s="1"/>
      <c r="AU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</row>
    <row r="90" spans="1:65" s="2" customFormat="1" hidden="1" outlineLevel="1">
      <c r="A90" s="745" t="s">
        <v>333</v>
      </c>
      <c r="E90" s="139"/>
      <c r="F90" s="1"/>
      <c r="G90" s="427"/>
      <c r="H90" s="427"/>
      <c r="I90" s="427"/>
      <c r="J90" s="510"/>
      <c r="K90" s="87"/>
      <c r="L90" s="291"/>
      <c r="M90" s="291"/>
      <c r="N90" s="291"/>
      <c r="O90" s="291"/>
      <c r="P90" s="295"/>
      <c r="Q90" s="87"/>
      <c r="R90" s="291"/>
      <c r="S90" s="291"/>
      <c r="T90" s="291"/>
      <c r="U90" s="291"/>
      <c r="V90" s="326"/>
      <c r="W90" s="381"/>
      <c r="X90" s="61"/>
      <c r="Y90" s="61"/>
      <c r="Z90" s="61"/>
      <c r="AA90" s="61"/>
      <c r="AB90" s="61"/>
      <c r="AC90" s="837"/>
      <c r="AD90" s="61"/>
      <c r="AE90" s="61"/>
      <c r="AF90" s="61"/>
      <c r="AG90" s="61"/>
      <c r="AH90" s="838"/>
      <c r="AI90" s="560"/>
      <c r="AJ90" s="84"/>
      <c r="AK90" s="84"/>
      <c r="AL90" s="84"/>
      <c r="AM90" s="84"/>
      <c r="AN90" s="84"/>
      <c r="AO90" s="84"/>
      <c r="AP90" s="1"/>
      <c r="AQ90" s="1"/>
      <c r="AR90" s="1"/>
      <c r="AS90" s="1"/>
      <c r="AT90" s="1"/>
      <c r="AU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</row>
    <row r="91" spans="1:65" s="2" customFormat="1" hidden="1" outlineLevel="1">
      <c r="A91" s="751" t="s">
        <v>327</v>
      </c>
      <c r="E91" s="139"/>
      <c r="F91" s="367">
        <f t="shared" ref="F91:I96" si="132">F83/F107</f>
        <v>10890.983606557378</v>
      </c>
      <c r="G91" s="368">
        <f t="shared" si="132"/>
        <v>10890.983606557378</v>
      </c>
      <c r="H91" s="368">
        <f t="shared" si="132"/>
        <v>10890.983606557378</v>
      </c>
      <c r="I91" s="369">
        <f t="shared" si="132"/>
        <v>10890.983606557378</v>
      </c>
      <c r="J91" s="407"/>
      <c r="K91" s="87"/>
      <c r="L91" s="389">
        <f t="shared" ref="L91:L96" si="133">F91</f>
        <v>10890.983606557378</v>
      </c>
      <c r="M91" s="387">
        <f>L91</f>
        <v>10890.983606557378</v>
      </c>
      <c r="N91" s="387">
        <f t="shared" ref="N91:O91" si="134">M91</f>
        <v>10890.983606557378</v>
      </c>
      <c r="O91" s="388">
        <f t="shared" si="134"/>
        <v>10890.983606557378</v>
      </c>
      <c r="P91" s="295"/>
      <c r="Q91" s="87"/>
      <c r="R91" s="386">
        <f t="shared" ref="R91:R96" si="135">L91</f>
        <v>10890.983606557378</v>
      </c>
      <c r="S91" s="387">
        <f>R91</f>
        <v>10890.983606557378</v>
      </c>
      <c r="T91" s="387">
        <f t="shared" ref="T91:U91" si="136">S91</f>
        <v>10890.983606557378</v>
      </c>
      <c r="U91" s="388">
        <f t="shared" si="136"/>
        <v>10890.983606557378</v>
      </c>
      <c r="V91" s="326"/>
      <c r="W91" s="381"/>
      <c r="X91" s="386">
        <f t="shared" ref="X91:X96" si="137">R91</f>
        <v>10890.983606557378</v>
      </c>
      <c r="Y91" s="387">
        <f>X91</f>
        <v>10890.983606557378</v>
      </c>
      <c r="Z91" s="387">
        <f t="shared" ref="Z91:AA96" si="138">Y91</f>
        <v>10890.983606557378</v>
      </c>
      <c r="AA91" s="388">
        <f t="shared" si="138"/>
        <v>10890.983606557378</v>
      </c>
      <c r="AB91" s="61"/>
      <c r="AC91" s="837"/>
      <c r="AD91" s="386">
        <f t="shared" ref="AD91:AD96" si="139">X91</f>
        <v>10890.983606557378</v>
      </c>
      <c r="AE91" s="387">
        <f>AD91</f>
        <v>10890.983606557378</v>
      </c>
      <c r="AF91" s="387">
        <f t="shared" ref="AF91:AG96" si="140">AE91</f>
        <v>10890.983606557378</v>
      </c>
      <c r="AG91" s="388">
        <f t="shared" si="140"/>
        <v>10890.983606557378</v>
      </c>
      <c r="AH91" s="838"/>
      <c r="AI91" s="560"/>
      <c r="AJ91" s="84"/>
      <c r="AK91" s="84"/>
      <c r="AL91" s="84"/>
      <c r="AM91" s="84"/>
      <c r="AN91" s="84"/>
      <c r="AO91" s="84"/>
      <c r="AP91" s="1"/>
      <c r="AQ91" s="1"/>
      <c r="AR91" s="1"/>
      <c r="AS91" s="1"/>
      <c r="AT91" s="1"/>
      <c r="AU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</row>
    <row r="92" spans="1:65" s="2" customFormat="1" hidden="1" outlineLevel="1">
      <c r="A92" s="745" t="s">
        <v>62</v>
      </c>
      <c r="E92" s="139"/>
      <c r="F92" s="370">
        <f t="shared" si="132"/>
        <v>9019.69957081545</v>
      </c>
      <c r="G92" s="169">
        <f t="shared" si="132"/>
        <v>9019.69957081545</v>
      </c>
      <c r="H92" s="169">
        <f t="shared" si="132"/>
        <v>9019.69957081545</v>
      </c>
      <c r="I92" s="371">
        <f t="shared" si="132"/>
        <v>9019.69957081545</v>
      </c>
      <c r="J92" s="407"/>
      <c r="K92" s="87"/>
      <c r="L92" s="389">
        <f t="shared" si="133"/>
        <v>9019.69957081545</v>
      </c>
      <c r="M92" s="291">
        <f t="shared" ref="M92:O96" si="141">L92</f>
        <v>9019.69957081545</v>
      </c>
      <c r="N92" s="291">
        <f t="shared" si="141"/>
        <v>9019.69957081545</v>
      </c>
      <c r="O92" s="390">
        <f t="shared" si="141"/>
        <v>9019.69957081545</v>
      </c>
      <c r="P92" s="295"/>
      <c r="Q92" s="87"/>
      <c r="R92" s="389">
        <f t="shared" si="135"/>
        <v>9019.69957081545</v>
      </c>
      <c r="S92" s="291">
        <f t="shared" ref="S92:U96" si="142">R92</f>
        <v>9019.69957081545</v>
      </c>
      <c r="T92" s="291">
        <f t="shared" si="142"/>
        <v>9019.69957081545</v>
      </c>
      <c r="U92" s="390">
        <f t="shared" si="142"/>
        <v>9019.69957081545</v>
      </c>
      <c r="V92" s="326"/>
      <c r="W92" s="381"/>
      <c r="X92" s="389">
        <f t="shared" si="137"/>
        <v>9019.69957081545</v>
      </c>
      <c r="Y92" s="291">
        <f t="shared" ref="Y92:Y96" si="143">X92</f>
        <v>9019.69957081545</v>
      </c>
      <c r="Z92" s="291">
        <f t="shared" si="138"/>
        <v>9019.69957081545</v>
      </c>
      <c r="AA92" s="390">
        <f t="shared" si="138"/>
        <v>9019.69957081545</v>
      </c>
      <c r="AB92" s="61"/>
      <c r="AC92" s="837"/>
      <c r="AD92" s="389">
        <f t="shared" si="139"/>
        <v>9019.69957081545</v>
      </c>
      <c r="AE92" s="291">
        <f t="shared" ref="AE92:AE96" si="144">AD92</f>
        <v>9019.69957081545</v>
      </c>
      <c r="AF92" s="291">
        <f t="shared" si="140"/>
        <v>9019.69957081545</v>
      </c>
      <c r="AG92" s="390">
        <f t="shared" si="140"/>
        <v>9019.69957081545</v>
      </c>
      <c r="AH92" s="838"/>
      <c r="AI92" s="560"/>
      <c r="AJ92" s="84"/>
      <c r="AK92" s="84"/>
      <c r="AL92" s="84"/>
      <c r="AM92" s="84"/>
      <c r="AN92" s="84"/>
      <c r="AO92" s="84"/>
      <c r="AP92" s="1"/>
      <c r="AQ92" s="1"/>
      <c r="AR92" s="1"/>
      <c r="AS92" s="1"/>
      <c r="AT92" s="1"/>
      <c r="AU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</row>
    <row r="93" spans="1:65" s="2" customFormat="1" hidden="1" outlineLevel="1">
      <c r="A93" s="745" t="s">
        <v>65</v>
      </c>
      <c r="E93" s="139"/>
      <c r="F93" s="370">
        <f t="shared" si="132"/>
        <v>8227.1098265895962</v>
      </c>
      <c r="G93" s="169">
        <f t="shared" si="132"/>
        <v>8227.1098265895962</v>
      </c>
      <c r="H93" s="169">
        <f t="shared" si="132"/>
        <v>8227.1098265895962</v>
      </c>
      <c r="I93" s="371">
        <f t="shared" si="132"/>
        <v>8227.1098265895962</v>
      </c>
      <c r="J93" s="407"/>
      <c r="K93" s="87"/>
      <c r="L93" s="389">
        <f t="shared" si="133"/>
        <v>8227.1098265895962</v>
      </c>
      <c r="M93" s="291">
        <f t="shared" si="141"/>
        <v>8227.1098265895962</v>
      </c>
      <c r="N93" s="291">
        <f t="shared" si="141"/>
        <v>8227.1098265895962</v>
      </c>
      <c r="O93" s="390">
        <f t="shared" si="141"/>
        <v>8227.1098265895962</v>
      </c>
      <c r="P93" s="295"/>
      <c r="Q93" s="87"/>
      <c r="R93" s="389">
        <f t="shared" si="135"/>
        <v>8227.1098265895962</v>
      </c>
      <c r="S93" s="291">
        <f t="shared" si="142"/>
        <v>8227.1098265895962</v>
      </c>
      <c r="T93" s="291">
        <f t="shared" si="142"/>
        <v>8227.1098265895962</v>
      </c>
      <c r="U93" s="390">
        <f t="shared" si="142"/>
        <v>8227.1098265895962</v>
      </c>
      <c r="V93" s="326"/>
      <c r="W93" s="381"/>
      <c r="X93" s="389">
        <f t="shared" si="137"/>
        <v>8227.1098265895962</v>
      </c>
      <c r="Y93" s="291">
        <f t="shared" si="143"/>
        <v>8227.1098265895962</v>
      </c>
      <c r="Z93" s="291">
        <f t="shared" si="138"/>
        <v>8227.1098265895962</v>
      </c>
      <c r="AA93" s="390">
        <f t="shared" si="138"/>
        <v>8227.1098265895962</v>
      </c>
      <c r="AB93" s="61"/>
      <c r="AC93" s="837"/>
      <c r="AD93" s="389">
        <f t="shared" si="139"/>
        <v>8227.1098265895962</v>
      </c>
      <c r="AE93" s="291">
        <f t="shared" si="144"/>
        <v>8227.1098265895962</v>
      </c>
      <c r="AF93" s="291">
        <f t="shared" si="140"/>
        <v>8227.1098265895962</v>
      </c>
      <c r="AG93" s="390">
        <f t="shared" si="140"/>
        <v>8227.1098265895962</v>
      </c>
      <c r="AH93" s="838"/>
      <c r="AI93" s="560"/>
      <c r="AJ93" s="84"/>
      <c r="AK93" s="84"/>
      <c r="AL93" s="84"/>
      <c r="AM93" s="84"/>
      <c r="AN93" s="84"/>
      <c r="AO93" s="84"/>
      <c r="AP93" s="1"/>
      <c r="AQ93" s="1"/>
      <c r="AR93" s="1"/>
      <c r="AS93" s="1"/>
      <c r="AT93" s="1"/>
      <c r="AU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</row>
    <row r="94" spans="1:65" s="2" customFormat="1" hidden="1" outlineLevel="1">
      <c r="A94" s="745" t="s">
        <v>66</v>
      </c>
      <c r="E94" s="139"/>
      <c r="F94" s="370">
        <f t="shared" si="132"/>
        <v>8245.1677852348985</v>
      </c>
      <c r="G94" s="169">
        <f t="shared" si="132"/>
        <v>8245.1677852348985</v>
      </c>
      <c r="H94" s="169">
        <f t="shared" si="132"/>
        <v>8245.1677852348985</v>
      </c>
      <c r="I94" s="371">
        <f t="shared" si="132"/>
        <v>8245.1677852348985</v>
      </c>
      <c r="J94" s="407"/>
      <c r="K94" s="87"/>
      <c r="L94" s="389">
        <f t="shared" si="133"/>
        <v>8245.1677852348985</v>
      </c>
      <c r="M94" s="291">
        <f t="shared" si="141"/>
        <v>8245.1677852348985</v>
      </c>
      <c r="N94" s="291">
        <f t="shared" si="141"/>
        <v>8245.1677852348985</v>
      </c>
      <c r="O94" s="390">
        <f t="shared" si="141"/>
        <v>8245.1677852348985</v>
      </c>
      <c r="P94" s="295"/>
      <c r="Q94" s="87"/>
      <c r="R94" s="389">
        <f t="shared" si="135"/>
        <v>8245.1677852348985</v>
      </c>
      <c r="S94" s="291">
        <f t="shared" si="142"/>
        <v>8245.1677852348985</v>
      </c>
      <c r="T94" s="291">
        <f t="shared" si="142"/>
        <v>8245.1677852348985</v>
      </c>
      <c r="U94" s="390">
        <f t="shared" si="142"/>
        <v>8245.1677852348985</v>
      </c>
      <c r="V94" s="326"/>
      <c r="W94" s="381"/>
      <c r="X94" s="389">
        <f t="shared" si="137"/>
        <v>8245.1677852348985</v>
      </c>
      <c r="Y94" s="291">
        <f t="shared" si="143"/>
        <v>8245.1677852348985</v>
      </c>
      <c r="Z94" s="291">
        <f t="shared" si="138"/>
        <v>8245.1677852348985</v>
      </c>
      <c r="AA94" s="390">
        <f t="shared" si="138"/>
        <v>8245.1677852348985</v>
      </c>
      <c r="AB94" s="61"/>
      <c r="AC94" s="837"/>
      <c r="AD94" s="389">
        <f t="shared" si="139"/>
        <v>8245.1677852348985</v>
      </c>
      <c r="AE94" s="291">
        <f t="shared" si="144"/>
        <v>8245.1677852348985</v>
      </c>
      <c r="AF94" s="291">
        <f t="shared" si="140"/>
        <v>8245.1677852348985</v>
      </c>
      <c r="AG94" s="390">
        <f t="shared" si="140"/>
        <v>8245.1677852348985</v>
      </c>
      <c r="AH94" s="838"/>
      <c r="AI94" s="560"/>
      <c r="AJ94" s="84"/>
      <c r="AK94" s="84"/>
      <c r="AL94" s="84"/>
      <c r="AM94" s="84"/>
      <c r="AN94" s="84"/>
      <c r="AO94" s="84"/>
      <c r="AP94" s="1"/>
      <c r="AQ94" s="1"/>
      <c r="AR94" s="1"/>
      <c r="AS94" s="1"/>
      <c r="AT94" s="1"/>
      <c r="AU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</row>
    <row r="95" spans="1:65" s="2" customFormat="1" hidden="1" outlineLevel="1">
      <c r="A95" s="745" t="s">
        <v>328</v>
      </c>
      <c r="E95" s="139"/>
      <c r="F95" s="370">
        <f t="shared" si="132"/>
        <v>7866.9767441860467</v>
      </c>
      <c r="G95" s="169">
        <f t="shared" si="132"/>
        <v>7866.9767441860467</v>
      </c>
      <c r="H95" s="169">
        <f t="shared" si="132"/>
        <v>7866.9767441860467</v>
      </c>
      <c r="I95" s="371">
        <f t="shared" si="132"/>
        <v>7866.9767441860467</v>
      </c>
      <c r="J95" s="407"/>
      <c r="K95" s="87"/>
      <c r="L95" s="389">
        <f t="shared" si="133"/>
        <v>7866.9767441860467</v>
      </c>
      <c r="M95" s="291">
        <f t="shared" si="141"/>
        <v>7866.9767441860467</v>
      </c>
      <c r="N95" s="291">
        <f t="shared" si="141"/>
        <v>7866.9767441860467</v>
      </c>
      <c r="O95" s="390">
        <f t="shared" si="141"/>
        <v>7866.9767441860467</v>
      </c>
      <c r="P95" s="295"/>
      <c r="Q95" s="87"/>
      <c r="R95" s="389">
        <f t="shared" si="135"/>
        <v>7866.9767441860467</v>
      </c>
      <c r="S95" s="291">
        <f t="shared" si="142"/>
        <v>7866.9767441860467</v>
      </c>
      <c r="T95" s="291">
        <f t="shared" si="142"/>
        <v>7866.9767441860467</v>
      </c>
      <c r="U95" s="390">
        <f t="shared" si="142"/>
        <v>7866.9767441860467</v>
      </c>
      <c r="V95" s="326"/>
      <c r="W95" s="381"/>
      <c r="X95" s="389">
        <f t="shared" si="137"/>
        <v>7866.9767441860467</v>
      </c>
      <c r="Y95" s="291">
        <f t="shared" si="143"/>
        <v>7866.9767441860467</v>
      </c>
      <c r="Z95" s="291">
        <f t="shared" si="138"/>
        <v>7866.9767441860467</v>
      </c>
      <c r="AA95" s="390">
        <f t="shared" si="138"/>
        <v>7866.9767441860467</v>
      </c>
      <c r="AB95" s="61"/>
      <c r="AC95" s="837"/>
      <c r="AD95" s="389">
        <f t="shared" si="139"/>
        <v>7866.9767441860467</v>
      </c>
      <c r="AE95" s="291">
        <f t="shared" si="144"/>
        <v>7866.9767441860467</v>
      </c>
      <c r="AF95" s="291">
        <f t="shared" si="140"/>
        <v>7866.9767441860467</v>
      </c>
      <c r="AG95" s="390">
        <f t="shared" si="140"/>
        <v>7866.9767441860467</v>
      </c>
      <c r="AH95" s="838"/>
      <c r="AI95" s="560"/>
      <c r="AJ95" s="84"/>
      <c r="AK95" s="84"/>
      <c r="AL95" s="84"/>
      <c r="AM95" s="84"/>
      <c r="AN95" s="84"/>
      <c r="AO95" s="84"/>
      <c r="AP95" s="1"/>
      <c r="AQ95" s="1"/>
      <c r="AR95" s="1"/>
      <c r="AS95" s="1"/>
      <c r="AT95" s="1"/>
      <c r="AU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</row>
    <row r="96" spans="1:65" s="2" customFormat="1" hidden="1" outlineLevel="1">
      <c r="A96" s="752" t="s">
        <v>329</v>
      </c>
      <c r="E96" s="139"/>
      <c r="F96" s="372">
        <f t="shared" si="132"/>
        <v>6674.5360824742265</v>
      </c>
      <c r="G96" s="373">
        <f t="shared" si="132"/>
        <v>6674.5360824742265</v>
      </c>
      <c r="H96" s="373">
        <f t="shared" si="132"/>
        <v>6674.5360824742265</v>
      </c>
      <c r="I96" s="374">
        <f t="shared" si="132"/>
        <v>6674.5360824742265</v>
      </c>
      <c r="J96" s="407"/>
      <c r="K96" s="87"/>
      <c r="L96" s="391">
        <f t="shared" si="133"/>
        <v>6674.5360824742265</v>
      </c>
      <c r="M96" s="392">
        <f t="shared" si="141"/>
        <v>6674.5360824742265</v>
      </c>
      <c r="N96" s="392">
        <f t="shared" si="141"/>
        <v>6674.5360824742265</v>
      </c>
      <c r="O96" s="393">
        <f t="shared" si="141"/>
        <v>6674.5360824742265</v>
      </c>
      <c r="P96" s="295"/>
      <c r="Q96" s="87"/>
      <c r="R96" s="391">
        <f t="shared" si="135"/>
        <v>6674.5360824742265</v>
      </c>
      <c r="S96" s="392">
        <f t="shared" si="142"/>
        <v>6674.5360824742265</v>
      </c>
      <c r="T96" s="392">
        <f t="shared" si="142"/>
        <v>6674.5360824742265</v>
      </c>
      <c r="U96" s="393">
        <f t="shared" si="142"/>
        <v>6674.5360824742265</v>
      </c>
      <c r="V96" s="326"/>
      <c r="W96" s="381"/>
      <c r="X96" s="391">
        <f t="shared" si="137"/>
        <v>6674.5360824742265</v>
      </c>
      <c r="Y96" s="392">
        <f t="shared" si="143"/>
        <v>6674.5360824742265</v>
      </c>
      <c r="Z96" s="392">
        <f t="shared" si="138"/>
        <v>6674.5360824742265</v>
      </c>
      <c r="AA96" s="393">
        <f t="shared" si="138"/>
        <v>6674.5360824742265</v>
      </c>
      <c r="AB96" s="61"/>
      <c r="AC96" s="837"/>
      <c r="AD96" s="391">
        <f t="shared" si="139"/>
        <v>6674.5360824742265</v>
      </c>
      <c r="AE96" s="392">
        <f t="shared" si="144"/>
        <v>6674.5360824742265</v>
      </c>
      <c r="AF96" s="392">
        <f t="shared" si="140"/>
        <v>6674.5360824742265</v>
      </c>
      <c r="AG96" s="393">
        <f t="shared" si="140"/>
        <v>6674.5360824742265</v>
      </c>
      <c r="AH96" s="838"/>
      <c r="AI96" s="560"/>
      <c r="AJ96" s="84"/>
      <c r="AK96" s="84"/>
      <c r="AL96" s="84"/>
      <c r="AM96" s="84"/>
      <c r="AN96" s="84"/>
      <c r="AO96" s="84"/>
      <c r="AP96" s="1"/>
      <c r="AQ96" s="1"/>
      <c r="AR96" s="1"/>
      <c r="AS96" s="1"/>
      <c r="AT96" s="1"/>
      <c r="AU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</row>
    <row r="97" spans="1:65" hidden="1" outlineLevel="1">
      <c r="A97" s="745"/>
      <c r="B97" s="2"/>
      <c r="C97" s="2"/>
      <c r="D97" s="2"/>
      <c r="F97" s="290"/>
      <c r="G97" s="429"/>
      <c r="H97" s="429"/>
      <c r="I97" s="429"/>
      <c r="J97" s="511"/>
      <c r="K97" s="518"/>
      <c r="L97" s="169"/>
      <c r="M97" s="169"/>
      <c r="N97" s="169"/>
      <c r="O97" s="169"/>
      <c r="R97" s="169"/>
      <c r="S97" s="169"/>
      <c r="T97" s="169"/>
      <c r="U97" s="169"/>
      <c r="W97" s="342"/>
      <c r="X97" s="154"/>
      <c r="Y97" s="154"/>
      <c r="Z97" s="154"/>
      <c r="AA97" s="154"/>
      <c r="AB97" s="154"/>
      <c r="AC97" s="616"/>
      <c r="AD97" s="154"/>
      <c r="AE97" s="154"/>
      <c r="AF97" s="154"/>
      <c r="AG97" s="154"/>
      <c r="AH97" s="690"/>
      <c r="AI97" s="299"/>
      <c r="AJ97" s="2"/>
      <c r="AK97" s="2"/>
      <c r="AL97" s="2"/>
      <c r="AM97" s="2"/>
      <c r="AN97" s="2"/>
      <c r="AO97" s="2"/>
    </row>
    <row r="98" spans="1:65" s="425" customFormat="1" hidden="1" outlineLevel="1">
      <c r="A98" s="753" t="s">
        <v>345</v>
      </c>
      <c r="B98" s="452"/>
      <c r="C98" s="452"/>
      <c r="D98" s="452"/>
      <c r="E98" s="356"/>
      <c r="F98" s="343"/>
      <c r="G98" s="430"/>
      <c r="H98" s="430"/>
      <c r="I98" s="430"/>
      <c r="J98" s="512"/>
      <c r="K98" s="517"/>
      <c r="L98" s="399" t="s">
        <v>334</v>
      </c>
      <c r="M98" s="354"/>
      <c r="N98" s="354"/>
      <c r="O98" s="354"/>
      <c r="P98" s="503"/>
      <c r="Q98" s="529"/>
      <c r="R98" s="399" t="s">
        <v>334</v>
      </c>
      <c r="S98" s="354"/>
      <c r="T98" s="354"/>
      <c r="U98" s="354"/>
      <c r="V98" s="43"/>
      <c r="W98" s="561"/>
      <c r="X98" s="637"/>
      <c r="Y98" s="637"/>
      <c r="Z98" s="637"/>
      <c r="AA98" s="637"/>
      <c r="AB98" s="637"/>
      <c r="AC98" s="839"/>
      <c r="AD98" s="637"/>
      <c r="AE98" s="637"/>
      <c r="AF98" s="637"/>
      <c r="AG98" s="637"/>
      <c r="AH98" s="840"/>
      <c r="AI98" s="562"/>
      <c r="AJ98" s="356"/>
      <c r="AK98" s="356"/>
      <c r="AL98" s="356"/>
      <c r="AM98" s="356"/>
      <c r="AN98" s="356"/>
      <c r="AO98" s="356"/>
      <c r="AP98" s="43"/>
      <c r="AQ98" s="43"/>
      <c r="AR98" s="43"/>
      <c r="AS98" s="43"/>
      <c r="AT98" s="43"/>
      <c r="AU98" s="43"/>
      <c r="BB98" s="43"/>
      <c r="BC98" s="43"/>
      <c r="BD98" s="43"/>
      <c r="BE98" s="43"/>
      <c r="BF98" s="43"/>
      <c r="BG98" s="43"/>
      <c r="BH98" s="43"/>
      <c r="BI98" s="43"/>
      <c r="BJ98" s="43"/>
      <c r="BK98" s="43"/>
      <c r="BL98" s="43"/>
      <c r="BM98" s="43"/>
    </row>
    <row r="99" spans="1:65" hidden="1" outlineLevel="1">
      <c r="A99" s="751" t="s">
        <v>327</v>
      </c>
      <c r="B99" s="2"/>
      <c r="C99" s="2"/>
      <c r="D99" s="2"/>
      <c r="F99" s="378">
        <f t="shared" ref="F99:F104" si="145">F107</f>
        <v>10.166666666666666</v>
      </c>
      <c r="G99" s="431">
        <f t="shared" ref="G99:I105" si="146">F99</f>
        <v>10.166666666666666</v>
      </c>
      <c r="H99" s="431">
        <f t="shared" si="146"/>
        <v>10.166666666666666</v>
      </c>
      <c r="I99" s="432">
        <f t="shared" si="146"/>
        <v>10.166666666666666</v>
      </c>
      <c r="J99" s="511"/>
      <c r="K99" s="518"/>
      <c r="L99" s="378">
        <f>F99+0.7</f>
        <v>10.866666666666665</v>
      </c>
      <c r="M99" s="394">
        <f>L99</f>
        <v>10.866666666666665</v>
      </c>
      <c r="N99" s="394">
        <f t="shared" ref="N99:O99" si="147">M99</f>
        <v>10.866666666666665</v>
      </c>
      <c r="O99" s="395">
        <f t="shared" si="147"/>
        <v>10.866666666666665</v>
      </c>
      <c r="R99" s="378">
        <f>L99</f>
        <v>10.866666666666665</v>
      </c>
      <c r="S99" s="394">
        <f>R99</f>
        <v>10.866666666666665</v>
      </c>
      <c r="T99" s="394">
        <f t="shared" ref="T99:U99" si="148">S99</f>
        <v>10.866666666666665</v>
      </c>
      <c r="U99" s="395">
        <f t="shared" si="148"/>
        <v>10.866666666666665</v>
      </c>
      <c r="W99" s="342"/>
      <c r="X99" s="378">
        <f>R99</f>
        <v>10.866666666666665</v>
      </c>
      <c r="Y99" s="394">
        <f>X99</f>
        <v>10.866666666666665</v>
      </c>
      <c r="Z99" s="394">
        <f t="shared" ref="Z99:AA105" si="149">Y99</f>
        <v>10.866666666666665</v>
      </c>
      <c r="AA99" s="395">
        <f t="shared" si="149"/>
        <v>10.866666666666665</v>
      </c>
      <c r="AB99" s="154"/>
      <c r="AC99" s="616"/>
      <c r="AD99" s="378">
        <f>X99</f>
        <v>10.866666666666665</v>
      </c>
      <c r="AE99" s="394">
        <f>AD99</f>
        <v>10.866666666666665</v>
      </c>
      <c r="AF99" s="394">
        <f t="shared" ref="AF99:AG105" si="150">AE99</f>
        <v>10.866666666666665</v>
      </c>
      <c r="AG99" s="395">
        <f t="shared" si="150"/>
        <v>10.866666666666665</v>
      </c>
      <c r="AH99" s="690"/>
      <c r="AI99" s="299"/>
      <c r="AJ99" s="2"/>
      <c r="AK99" s="2"/>
      <c r="AL99" s="2"/>
      <c r="AM99" s="2"/>
      <c r="AN99" s="2"/>
      <c r="AO99" s="2"/>
    </row>
    <row r="100" spans="1:65" hidden="1" outlineLevel="1">
      <c r="A100" s="745" t="s">
        <v>62</v>
      </c>
      <c r="B100" s="2"/>
      <c r="C100" s="2"/>
      <c r="D100" s="2"/>
      <c r="F100" s="379">
        <f t="shared" si="145"/>
        <v>7.7666666666666666</v>
      </c>
      <c r="G100" s="429">
        <f t="shared" si="146"/>
        <v>7.7666666666666666</v>
      </c>
      <c r="H100" s="429">
        <f t="shared" si="146"/>
        <v>7.7666666666666666</v>
      </c>
      <c r="I100" s="433">
        <f t="shared" si="146"/>
        <v>7.7666666666666666</v>
      </c>
      <c r="J100" s="511"/>
      <c r="K100" s="518"/>
      <c r="L100" s="379">
        <f t="shared" ref="L100:L104" si="151">F100+0.7</f>
        <v>8.4666666666666668</v>
      </c>
      <c r="M100" s="290">
        <f t="shared" ref="M100:O105" si="152">L100</f>
        <v>8.4666666666666668</v>
      </c>
      <c r="N100" s="290">
        <f t="shared" si="152"/>
        <v>8.4666666666666668</v>
      </c>
      <c r="O100" s="396">
        <f t="shared" si="152"/>
        <v>8.4666666666666668</v>
      </c>
      <c r="R100" s="379">
        <f t="shared" ref="R100:R105" si="153">L100</f>
        <v>8.4666666666666668</v>
      </c>
      <c r="S100" s="290">
        <f t="shared" ref="S100:U105" si="154">R100</f>
        <v>8.4666666666666668</v>
      </c>
      <c r="T100" s="290">
        <f t="shared" si="154"/>
        <v>8.4666666666666668</v>
      </c>
      <c r="U100" s="396">
        <f t="shared" si="154"/>
        <v>8.4666666666666668</v>
      </c>
      <c r="W100" s="342"/>
      <c r="X100" s="379">
        <f t="shared" ref="X100:X105" si="155">R100</f>
        <v>8.4666666666666668</v>
      </c>
      <c r="Y100" s="290">
        <f t="shared" ref="Y100:Y105" si="156">X100</f>
        <v>8.4666666666666668</v>
      </c>
      <c r="Z100" s="290">
        <f t="shared" si="149"/>
        <v>8.4666666666666668</v>
      </c>
      <c r="AA100" s="396">
        <f t="shared" si="149"/>
        <v>8.4666666666666668</v>
      </c>
      <c r="AB100" s="154"/>
      <c r="AC100" s="616"/>
      <c r="AD100" s="379">
        <f t="shared" ref="AD100:AD105" si="157">X100</f>
        <v>8.4666666666666668</v>
      </c>
      <c r="AE100" s="290">
        <f t="shared" ref="AE100:AE105" si="158">AD100</f>
        <v>8.4666666666666668</v>
      </c>
      <c r="AF100" s="290">
        <f t="shared" si="150"/>
        <v>8.4666666666666668</v>
      </c>
      <c r="AG100" s="396">
        <f t="shared" si="150"/>
        <v>8.4666666666666668</v>
      </c>
      <c r="AH100" s="690"/>
      <c r="AI100" s="299"/>
      <c r="AJ100" s="2"/>
      <c r="AK100" s="2"/>
      <c r="AL100" s="2"/>
      <c r="AM100" s="2"/>
      <c r="AN100" s="2"/>
      <c r="AO100" s="2"/>
    </row>
    <row r="101" spans="1:65" hidden="1" outlineLevel="1">
      <c r="A101" s="745" t="s">
        <v>65</v>
      </c>
      <c r="B101" s="2"/>
      <c r="C101" s="2"/>
      <c r="D101" s="2"/>
      <c r="F101" s="379">
        <f t="shared" si="145"/>
        <v>5.7666666666666666</v>
      </c>
      <c r="G101" s="429">
        <f t="shared" si="146"/>
        <v>5.7666666666666666</v>
      </c>
      <c r="H101" s="429">
        <f t="shared" si="146"/>
        <v>5.7666666666666666</v>
      </c>
      <c r="I101" s="433">
        <f t="shared" si="146"/>
        <v>5.7666666666666666</v>
      </c>
      <c r="J101" s="511"/>
      <c r="K101" s="518"/>
      <c r="L101" s="379">
        <f t="shared" si="151"/>
        <v>6.4666666666666668</v>
      </c>
      <c r="M101" s="290">
        <f t="shared" si="152"/>
        <v>6.4666666666666668</v>
      </c>
      <c r="N101" s="290">
        <f t="shared" si="152"/>
        <v>6.4666666666666668</v>
      </c>
      <c r="O101" s="396">
        <f t="shared" si="152"/>
        <v>6.4666666666666668</v>
      </c>
      <c r="R101" s="379">
        <f t="shared" si="153"/>
        <v>6.4666666666666668</v>
      </c>
      <c r="S101" s="290">
        <f t="shared" si="154"/>
        <v>6.4666666666666668</v>
      </c>
      <c r="T101" s="290">
        <f t="shared" si="154"/>
        <v>6.4666666666666668</v>
      </c>
      <c r="U101" s="396">
        <f t="shared" si="154"/>
        <v>6.4666666666666668</v>
      </c>
      <c r="W101" s="342"/>
      <c r="X101" s="379">
        <f t="shared" si="155"/>
        <v>6.4666666666666668</v>
      </c>
      <c r="Y101" s="290">
        <f t="shared" si="156"/>
        <v>6.4666666666666668</v>
      </c>
      <c r="Z101" s="290">
        <f t="shared" si="149"/>
        <v>6.4666666666666668</v>
      </c>
      <c r="AA101" s="396">
        <f t="shared" si="149"/>
        <v>6.4666666666666668</v>
      </c>
      <c r="AB101" s="154"/>
      <c r="AC101" s="616"/>
      <c r="AD101" s="379">
        <f t="shared" si="157"/>
        <v>6.4666666666666668</v>
      </c>
      <c r="AE101" s="290">
        <f t="shared" si="158"/>
        <v>6.4666666666666668</v>
      </c>
      <c r="AF101" s="290">
        <f t="shared" si="150"/>
        <v>6.4666666666666668</v>
      </c>
      <c r="AG101" s="396">
        <f t="shared" si="150"/>
        <v>6.4666666666666668</v>
      </c>
      <c r="AH101" s="690"/>
      <c r="AI101" s="299"/>
      <c r="AJ101" s="2"/>
      <c r="AK101" s="2"/>
      <c r="AL101" s="2"/>
      <c r="AM101" s="2"/>
      <c r="AN101" s="2"/>
      <c r="AO101" s="2"/>
    </row>
    <row r="102" spans="1:65" hidden="1" outlineLevel="1">
      <c r="A102" s="745" t="s">
        <v>66</v>
      </c>
      <c r="B102" s="2"/>
      <c r="C102" s="2"/>
      <c r="D102" s="2"/>
      <c r="F102" s="379">
        <f t="shared" si="145"/>
        <v>4.9666666666666668</v>
      </c>
      <c r="G102" s="429">
        <f t="shared" si="146"/>
        <v>4.9666666666666668</v>
      </c>
      <c r="H102" s="429">
        <f t="shared" si="146"/>
        <v>4.9666666666666668</v>
      </c>
      <c r="I102" s="433">
        <f t="shared" si="146"/>
        <v>4.9666666666666668</v>
      </c>
      <c r="J102" s="511"/>
      <c r="K102" s="518"/>
      <c r="L102" s="379">
        <f t="shared" si="151"/>
        <v>5.666666666666667</v>
      </c>
      <c r="M102" s="290">
        <f t="shared" si="152"/>
        <v>5.666666666666667</v>
      </c>
      <c r="N102" s="290">
        <f t="shared" si="152"/>
        <v>5.666666666666667</v>
      </c>
      <c r="O102" s="396">
        <f t="shared" si="152"/>
        <v>5.666666666666667</v>
      </c>
      <c r="R102" s="379">
        <f t="shared" si="153"/>
        <v>5.666666666666667</v>
      </c>
      <c r="S102" s="290">
        <f t="shared" si="154"/>
        <v>5.666666666666667</v>
      </c>
      <c r="T102" s="290">
        <f t="shared" si="154"/>
        <v>5.666666666666667</v>
      </c>
      <c r="U102" s="396">
        <f t="shared" si="154"/>
        <v>5.666666666666667</v>
      </c>
      <c r="W102" s="342"/>
      <c r="X102" s="379">
        <f t="shared" si="155"/>
        <v>5.666666666666667</v>
      </c>
      <c r="Y102" s="290">
        <f t="shared" si="156"/>
        <v>5.666666666666667</v>
      </c>
      <c r="Z102" s="290">
        <f t="shared" si="149"/>
        <v>5.666666666666667</v>
      </c>
      <c r="AA102" s="396">
        <f t="shared" si="149"/>
        <v>5.666666666666667</v>
      </c>
      <c r="AB102" s="154"/>
      <c r="AC102" s="616"/>
      <c r="AD102" s="379">
        <f t="shared" si="157"/>
        <v>5.666666666666667</v>
      </c>
      <c r="AE102" s="290">
        <f t="shared" si="158"/>
        <v>5.666666666666667</v>
      </c>
      <c r="AF102" s="290">
        <f t="shared" si="150"/>
        <v>5.666666666666667</v>
      </c>
      <c r="AG102" s="396">
        <f t="shared" si="150"/>
        <v>5.666666666666667</v>
      </c>
      <c r="AH102" s="690"/>
      <c r="AI102" s="299"/>
      <c r="AJ102" s="2"/>
      <c r="AK102" s="2"/>
      <c r="AL102" s="2"/>
      <c r="AM102" s="2"/>
      <c r="AN102" s="2"/>
      <c r="AO102" s="2"/>
    </row>
    <row r="103" spans="1:65" hidden="1" outlineLevel="1">
      <c r="A103" s="745" t="s">
        <v>328</v>
      </c>
      <c r="B103" s="2"/>
      <c r="C103" s="2"/>
      <c r="D103" s="2"/>
      <c r="F103" s="379">
        <f t="shared" si="145"/>
        <v>4.3</v>
      </c>
      <c r="G103" s="429">
        <f t="shared" si="146"/>
        <v>4.3</v>
      </c>
      <c r="H103" s="429">
        <f t="shared" si="146"/>
        <v>4.3</v>
      </c>
      <c r="I103" s="433">
        <f t="shared" si="146"/>
        <v>4.3</v>
      </c>
      <c r="J103" s="511"/>
      <c r="K103" s="518"/>
      <c r="L103" s="379">
        <f t="shared" si="151"/>
        <v>5</v>
      </c>
      <c r="M103" s="290">
        <f t="shared" si="152"/>
        <v>5</v>
      </c>
      <c r="N103" s="290">
        <f t="shared" si="152"/>
        <v>5</v>
      </c>
      <c r="O103" s="396">
        <f t="shared" si="152"/>
        <v>5</v>
      </c>
      <c r="R103" s="379">
        <f t="shared" si="153"/>
        <v>5</v>
      </c>
      <c r="S103" s="290">
        <f t="shared" si="154"/>
        <v>5</v>
      </c>
      <c r="T103" s="290">
        <f t="shared" si="154"/>
        <v>5</v>
      </c>
      <c r="U103" s="396">
        <f t="shared" si="154"/>
        <v>5</v>
      </c>
      <c r="W103" s="342"/>
      <c r="X103" s="379">
        <f t="shared" si="155"/>
        <v>5</v>
      </c>
      <c r="Y103" s="290">
        <f t="shared" si="156"/>
        <v>5</v>
      </c>
      <c r="Z103" s="290">
        <f t="shared" si="149"/>
        <v>5</v>
      </c>
      <c r="AA103" s="396">
        <f t="shared" si="149"/>
        <v>5</v>
      </c>
      <c r="AB103" s="154"/>
      <c r="AC103" s="616"/>
      <c r="AD103" s="379">
        <f t="shared" si="157"/>
        <v>5</v>
      </c>
      <c r="AE103" s="290">
        <f t="shared" si="158"/>
        <v>5</v>
      </c>
      <c r="AF103" s="290">
        <f t="shared" si="150"/>
        <v>5</v>
      </c>
      <c r="AG103" s="396">
        <f t="shared" si="150"/>
        <v>5</v>
      </c>
      <c r="AH103" s="690"/>
      <c r="AI103" s="299"/>
      <c r="AJ103" s="2"/>
      <c r="AK103" s="2"/>
      <c r="AL103" s="2"/>
      <c r="AM103" s="2"/>
      <c r="AN103" s="2"/>
      <c r="AO103" s="2"/>
    </row>
    <row r="104" spans="1:65" hidden="1" outlineLevel="1">
      <c r="A104" s="752" t="s">
        <v>329</v>
      </c>
      <c r="B104" s="2"/>
      <c r="C104" s="2"/>
      <c r="D104" s="2"/>
      <c r="F104" s="380">
        <f t="shared" si="145"/>
        <v>3.2333333333333334</v>
      </c>
      <c r="G104" s="434">
        <f t="shared" si="146"/>
        <v>3.2333333333333334</v>
      </c>
      <c r="H104" s="434">
        <f t="shared" si="146"/>
        <v>3.2333333333333334</v>
      </c>
      <c r="I104" s="435">
        <f t="shared" si="146"/>
        <v>3.2333333333333334</v>
      </c>
      <c r="J104" s="511"/>
      <c r="K104" s="518"/>
      <c r="L104" s="380">
        <f t="shared" si="151"/>
        <v>3.9333333333333336</v>
      </c>
      <c r="M104" s="397">
        <f t="shared" si="152"/>
        <v>3.9333333333333336</v>
      </c>
      <c r="N104" s="397">
        <f t="shared" si="152"/>
        <v>3.9333333333333336</v>
      </c>
      <c r="O104" s="398">
        <f t="shared" si="152"/>
        <v>3.9333333333333336</v>
      </c>
      <c r="R104" s="380">
        <f t="shared" si="153"/>
        <v>3.9333333333333336</v>
      </c>
      <c r="S104" s="397">
        <f t="shared" si="154"/>
        <v>3.9333333333333336</v>
      </c>
      <c r="T104" s="397">
        <f t="shared" si="154"/>
        <v>3.9333333333333336</v>
      </c>
      <c r="U104" s="398">
        <f t="shared" si="154"/>
        <v>3.9333333333333336</v>
      </c>
      <c r="W104" s="342"/>
      <c r="X104" s="380">
        <f t="shared" si="155"/>
        <v>3.9333333333333336</v>
      </c>
      <c r="Y104" s="397">
        <f t="shared" si="156"/>
        <v>3.9333333333333336</v>
      </c>
      <c r="Z104" s="397">
        <f t="shared" si="149"/>
        <v>3.9333333333333336</v>
      </c>
      <c r="AA104" s="398">
        <f t="shared" si="149"/>
        <v>3.9333333333333336</v>
      </c>
      <c r="AB104" s="154"/>
      <c r="AC104" s="616"/>
      <c r="AD104" s="380">
        <f t="shared" si="157"/>
        <v>3.9333333333333336</v>
      </c>
      <c r="AE104" s="397">
        <f t="shared" si="158"/>
        <v>3.9333333333333336</v>
      </c>
      <c r="AF104" s="397">
        <f t="shared" si="150"/>
        <v>3.9333333333333336</v>
      </c>
      <c r="AG104" s="398">
        <f t="shared" si="150"/>
        <v>3.9333333333333336</v>
      </c>
      <c r="AH104" s="690"/>
      <c r="AI104" s="299"/>
      <c r="AJ104" s="2"/>
      <c r="AK104" s="2"/>
      <c r="AL104" s="2"/>
      <c r="AM104" s="2"/>
      <c r="AN104" s="2"/>
      <c r="AO104" s="2"/>
    </row>
    <row r="105" spans="1:65" s="768" customFormat="1" hidden="1" outlineLevel="1">
      <c r="A105" s="765"/>
      <c r="B105" s="400"/>
      <c r="C105" s="400"/>
      <c r="D105" s="400"/>
      <c r="E105" s="400"/>
      <c r="F105" s="154">
        <f>AVERAGE(F99:F104)</f>
        <v>6.0333333333333323</v>
      </c>
      <c r="G105" s="400">
        <f t="shared" si="146"/>
        <v>6.0333333333333323</v>
      </c>
      <c r="H105" s="400">
        <f t="shared" si="146"/>
        <v>6.0333333333333323</v>
      </c>
      <c r="I105" s="400">
        <f t="shared" si="146"/>
        <v>6.0333333333333323</v>
      </c>
      <c r="J105" s="766"/>
      <c r="K105" s="767"/>
      <c r="L105" s="154">
        <f t="shared" ref="L105" si="159">F105+1</f>
        <v>7.0333333333333323</v>
      </c>
      <c r="M105" s="154">
        <f t="shared" si="152"/>
        <v>7.0333333333333323</v>
      </c>
      <c r="N105" s="154">
        <f t="shared" si="152"/>
        <v>7.0333333333333323</v>
      </c>
      <c r="O105" s="154">
        <f t="shared" si="152"/>
        <v>7.0333333333333323</v>
      </c>
      <c r="P105" s="299"/>
      <c r="Q105" s="342"/>
      <c r="R105" s="154">
        <f t="shared" si="153"/>
        <v>7.0333333333333323</v>
      </c>
      <c r="S105" s="154">
        <f t="shared" si="154"/>
        <v>7.0333333333333323</v>
      </c>
      <c r="T105" s="154">
        <f t="shared" si="154"/>
        <v>7.0333333333333323</v>
      </c>
      <c r="U105" s="154">
        <f t="shared" si="154"/>
        <v>7.0333333333333323</v>
      </c>
      <c r="V105" s="154"/>
      <c r="W105" s="342"/>
      <c r="X105" s="154">
        <f t="shared" si="155"/>
        <v>7.0333333333333323</v>
      </c>
      <c r="Y105" s="154">
        <f t="shared" si="156"/>
        <v>7.0333333333333323</v>
      </c>
      <c r="Z105" s="154">
        <f t="shared" si="149"/>
        <v>7.0333333333333323</v>
      </c>
      <c r="AA105" s="154">
        <f t="shared" si="149"/>
        <v>7.0333333333333323</v>
      </c>
      <c r="AB105" s="154"/>
      <c r="AC105" s="616"/>
      <c r="AD105" s="154">
        <f t="shared" si="157"/>
        <v>7.0333333333333323</v>
      </c>
      <c r="AE105" s="154">
        <f t="shared" si="158"/>
        <v>7.0333333333333323</v>
      </c>
      <c r="AF105" s="154">
        <f t="shared" si="150"/>
        <v>7.0333333333333323</v>
      </c>
      <c r="AG105" s="154">
        <f t="shared" si="150"/>
        <v>7.0333333333333323</v>
      </c>
      <c r="AH105" s="690"/>
      <c r="AI105" s="299"/>
      <c r="AJ105" s="400"/>
      <c r="AK105" s="400"/>
      <c r="AL105" s="400"/>
      <c r="AM105" s="400"/>
      <c r="AN105" s="400"/>
      <c r="AO105" s="400"/>
      <c r="AP105" s="154"/>
      <c r="AQ105" s="154"/>
      <c r="AR105" s="154"/>
      <c r="AS105" s="154"/>
      <c r="AT105" s="154"/>
      <c r="AU105" s="154"/>
      <c r="BB105" s="154"/>
      <c r="BC105" s="154"/>
      <c r="BD105" s="154"/>
      <c r="BE105" s="154"/>
      <c r="BF105" s="154"/>
      <c r="BG105" s="154"/>
      <c r="BH105" s="154"/>
      <c r="BI105" s="154"/>
      <c r="BJ105" s="154"/>
      <c r="BK105" s="154"/>
      <c r="BL105" s="154"/>
      <c r="BM105" s="154"/>
    </row>
    <row r="106" spans="1:65" s="425" customFormat="1" hidden="1" outlineLevel="1">
      <c r="A106" s="753" t="s">
        <v>346</v>
      </c>
      <c r="B106" s="452"/>
      <c r="C106" s="452"/>
      <c r="D106" s="452"/>
      <c r="E106" s="356"/>
      <c r="F106" s="354"/>
      <c r="G106" s="354"/>
      <c r="H106" s="354"/>
      <c r="I106" s="354"/>
      <c r="J106" s="512"/>
      <c r="K106" s="517"/>
      <c r="L106" s="354"/>
      <c r="M106" s="354"/>
      <c r="N106" s="354"/>
      <c r="O106" s="354"/>
      <c r="P106" s="503"/>
      <c r="Q106" s="529"/>
      <c r="R106" s="354"/>
      <c r="S106" s="354"/>
      <c r="T106" s="354"/>
      <c r="U106" s="354"/>
      <c r="V106" s="43"/>
      <c r="W106" s="561"/>
      <c r="X106" s="637"/>
      <c r="Y106" s="637"/>
      <c r="Z106" s="637"/>
      <c r="AA106" s="637"/>
      <c r="AB106" s="637"/>
      <c r="AC106" s="839"/>
      <c r="AD106" s="637"/>
      <c r="AE106" s="637"/>
      <c r="AF106" s="637"/>
      <c r="AG106" s="637"/>
      <c r="AH106" s="840"/>
      <c r="AI106" s="562"/>
      <c r="AJ106" s="356"/>
      <c r="AK106" s="356"/>
      <c r="AL106" s="356"/>
      <c r="AM106" s="356"/>
      <c r="AN106" s="356"/>
      <c r="AO106" s="356"/>
      <c r="AP106" s="43"/>
      <c r="AQ106" s="43"/>
      <c r="AR106" s="43"/>
      <c r="AS106" s="43"/>
      <c r="AT106" s="43"/>
      <c r="AU106" s="43"/>
      <c r="BB106" s="43"/>
      <c r="BC106" s="43"/>
      <c r="BD106" s="43"/>
      <c r="BE106" s="43"/>
      <c r="BF106" s="43"/>
      <c r="BG106" s="43"/>
      <c r="BH106" s="43"/>
      <c r="BI106" s="43"/>
      <c r="BJ106" s="43"/>
      <c r="BK106" s="43"/>
      <c r="BL106" s="43"/>
      <c r="BM106" s="43"/>
    </row>
    <row r="107" spans="1:65" hidden="1" outlineLevel="1">
      <c r="A107" s="751" t="s">
        <v>327</v>
      </c>
      <c r="B107" s="2"/>
      <c r="C107" s="2"/>
      <c r="D107" s="2"/>
      <c r="F107" s="378">
        <f>'MPS др метрики'!E110</f>
        <v>10.166666666666666</v>
      </c>
      <c r="G107" s="431">
        <f t="shared" ref="G107:I112" si="160">F107</f>
        <v>10.166666666666666</v>
      </c>
      <c r="H107" s="431">
        <f t="shared" si="160"/>
        <v>10.166666666666666</v>
      </c>
      <c r="I107" s="431">
        <f t="shared" si="160"/>
        <v>10.166666666666666</v>
      </c>
      <c r="J107" s="511"/>
      <c r="K107" s="518"/>
      <c r="L107" s="378">
        <f t="shared" ref="L107:O112" si="161">F107</f>
        <v>10.166666666666666</v>
      </c>
      <c r="M107" s="394">
        <f t="shared" si="161"/>
        <v>10.166666666666666</v>
      </c>
      <c r="N107" s="394">
        <f t="shared" si="161"/>
        <v>10.166666666666666</v>
      </c>
      <c r="O107" s="395">
        <f t="shared" si="161"/>
        <v>10.166666666666666</v>
      </c>
      <c r="R107" s="378">
        <f t="shared" ref="R107:U112" si="162">L107</f>
        <v>10.166666666666666</v>
      </c>
      <c r="S107" s="394">
        <f t="shared" si="162"/>
        <v>10.166666666666666</v>
      </c>
      <c r="T107" s="394">
        <f t="shared" si="162"/>
        <v>10.166666666666666</v>
      </c>
      <c r="U107" s="395">
        <f t="shared" si="162"/>
        <v>10.166666666666666</v>
      </c>
      <c r="W107" s="342"/>
      <c r="X107" s="378">
        <f t="shared" ref="X107:AA112" si="163">R107</f>
        <v>10.166666666666666</v>
      </c>
      <c r="Y107" s="394">
        <f t="shared" si="163"/>
        <v>10.166666666666666</v>
      </c>
      <c r="Z107" s="394">
        <f t="shared" si="163"/>
        <v>10.166666666666666</v>
      </c>
      <c r="AA107" s="395">
        <f t="shared" si="163"/>
        <v>10.166666666666666</v>
      </c>
      <c r="AB107" s="154"/>
      <c r="AC107" s="616"/>
      <c r="AD107" s="378">
        <f t="shared" ref="AD107:AG112" si="164">X107</f>
        <v>10.166666666666666</v>
      </c>
      <c r="AE107" s="394">
        <f t="shared" si="164"/>
        <v>10.166666666666666</v>
      </c>
      <c r="AF107" s="394">
        <f t="shared" si="164"/>
        <v>10.166666666666666</v>
      </c>
      <c r="AG107" s="395">
        <f t="shared" si="164"/>
        <v>10.166666666666666</v>
      </c>
      <c r="AH107" s="690"/>
      <c r="AI107" s="299"/>
      <c r="AJ107" s="2"/>
      <c r="AK107" s="2"/>
      <c r="AL107" s="2"/>
      <c r="AM107" s="2"/>
      <c r="AN107" s="2"/>
      <c r="AO107" s="2"/>
    </row>
    <row r="108" spans="1:65" hidden="1" outlineLevel="1">
      <c r="A108" s="745" t="s">
        <v>62</v>
      </c>
      <c r="B108" s="2"/>
      <c r="C108" s="2"/>
      <c r="D108" s="2"/>
      <c r="F108" s="379">
        <f>'MPS др метрики'!E111</f>
        <v>7.7666666666666666</v>
      </c>
      <c r="G108" s="429">
        <f t="shared" si="160"/>
        <v>7.7666666666666666</v>
      </c>
      <c r="H108" s="429">
        <f t="shared" si="160"/>
        <v>7.7666666666666666</v>
      </c>
      <c r="I108" s="429">
        <f t="shared" si="160"/>
        <v>7.7666666666666666</v>
      </c>
      <c r="J108" s="511"/>
      <c r="K108" s="518"/>
      <c r="L108" s="379">
        <f t="shared" si="161"/>
        <v>7.7666666666666666</v>
      </c>
      <c r="M108" s="290">
        <f t="shared" si="161"/>
        <v>7.7666666666666666</v>
      </c>
      <c r="N108" s="290">
        <f t="shared" si="161"/>
        <v>7.7666666666666666</v>
      </c>
      <c r="O108" s="396">
        <f t="shared" si="161"/>
        <v>7.7666666666666666</v>
      </c>
      <c r="R108" s="379">
        <f t="shared" si="162"/>
        <v>7.7666666666666666</v>
      </c>
      <c r="S108" s="290">
        <f t="shared" si="162"/>
        <v>7.7666666666666666</v>
      </c>
      <c r="T108" s="290">
        <f t="shared" si="162"/>
        <v>7.7666666666666666</v>
      </c>
      <c r="U108" s="396">
        <f t="shared" si="162"/>
        <v>7.7666666666666666</v>
      </c>
      <c r="W108" s="342"/>
      <c r="X108" s="379">
        <f t="shared" si="163"/>
        <v>7.7666666666666666</v>
      </c>
      <c r="Y108" s="290">
        <f t="shared" si="163"/>
        <v>7.7666666666666666</v>
      </c>
      <c r="Z108" s="290">
        <f t="shared" si="163"/>
        <v>7.7666666666666666</v>
      </c>
      <c r="AA108" s="396">
        <f t="shared" si="163"/>
        <v>7.7666666666666666</v>
      </c>
      <c r="AB108" s="154"/>
      <c r="AC108" s="616"/>
      <c r="AD108" s="379">
        <f t="shared" si="164"/>
        <v>7.7666666666666666</v>
      </c>
      <c r="AE108" s="290">
        <f t="shared" si="164"/>
        <v>7.7666666666666666</v>
      </c>
      <c r="AF108" s="290">
        <f t="shared" si="164"/>
        <v>7.7666666666666666</v>
      </c>
      <c r="AG108" s="396">
        <f t="shared" si="164"/>
        <v>7.7666666666666666</v>
      </c>
      <c r="AH108" s="690"/>
      <c r="AI108" s="299"/>
      <c r="AJ108" s="2"/>
      <c r="AK108" s="2"/>
      <c r="AL108" s="2"/>
      <c r="AM108" s="2"/>
      <c r="AN108" s="2"/>
      <c r="AO108" s="2"/>
    </row>
    <row r="109" spans="1:65" hidden="1" outlineLevel="1">
      <c r="A109" s="745" t="s">
        <v>65</v>
      </c>
      <c r="B109" s="2"/>
      <c r="C109" s="2"/>
      <c r="D109" s="2"/>
      <c r="F109" s="379">
        <f>'MPS др метрики'!E112</f>
        <v>5.7666666666666666</v>
      </c>
      <c r="G109" s="429">
        <f t="shared" si="160"/>
        <v>5.7666666666666666</v>
      </c>
      <c r="H109" s="429">
        <f t="shared" si="160"/>
        <v>5.7666666666666666</v>
      </c>
      <c r="I109" s="429">
        <f t="shared" si="160"/>
        <v>5.7666666666666666</v>
      </c>
      <c r="J109" s="511"/>
      <c r="K109" s="518"/>
      <c r="L109" s="379">
        <f t="shared" si="161"/>
        <v>5.7666666666666666</v>
      </c>
      <c r="M109" s="290">
        <f t="shared" si="161"/>
        <v>5.7666666666666666</v>
      </c>
      <c r="N109" s="290">
        <f t="shared" si="161"/>
        <v>5.7666666666666666</v>
      </c>
      <c r="O109" s="396">
        <f t="shared" si="161"/>
        <v>5.7666666666666666</v>
      </c>
      <c r="R109" s="379">
        <f t="shared" si="162"/>
        <v>5.7666666666666666</v>
      </c>
      <c r="S109" s="290">
        <f t="shared" si="162"/>
        <v>5.7666666666666666</v>
      </c>
      <c r="T109" s="290">
        <f t="shared" si="162"/>
        <v>5.7666666666666666</v>
      </c>
      <c r="U109" s="396">
        <f t="shared" si="162"/>
        <v>5.7666666666666666</v>
      </c>
      <c r="W109" s="342"/>
      <c r="X109" s="379">
        <f t="shared" si="163"/>
        <v>5.7666666666666666</v>
      </c>
      <c r="Y109" s="290">
        <f t="shared" si="163"/>
        <v>5.7666666666666666</v>
      </c>
      <c r="Z109" s="290">
        <f t="shared" si="163"/>
        <v>5.7666666666666666</v>
      </c>
      <c r="AA109" s="396">
        <f t="shared" si="163"/>
        <v>5.7666666666666666</v>
      </c>
      <c r="AB109" s="154"/>
      <c r="AC109" s="616"/>
      <c r="AD109" s="379">
        <f t="shared" si="164"/>
        <v>5.7666666666666666</v>
      </c>
      <c r="AE109" s="290">
        <f t="shared" si="164"/>
        <v>5.7666666666666666</v>
      </c>
      <c r="AF109" s="290">
        <f t="shared" si="164"/>
        <v>5.7666666666666666</v>
      </c>
      <c r="AG109" s="396">
        <f t="shared" si="164"/>
        <v>5.7666666666666666</v>
      </c>
      <c r="AH109" s="690"/>
      <c r="AI109" s="299"/>
      <c r="AJ109" s="2"/>
      <c r="AK109" s="2"/>
      <c r="AL109" s="2"/>
      <c r="AM109" s="2"/>
      <c r="AN109" s="2"/>
      <c r="AO109" s="2"/>
    </row>
    <row r="110" spans="1:65" hidden="1" outlineLevel="1">
      <c r="A110" s="745" t="s">
        <v>66</v>
      </c>
      <c r="B110" s="2"/>
      <c r="C110" s="2"/>
      <c r="D110" s="2"/>
      <c r="F110" s="379">
        <f>'MPS др метрики'!E113</f>
        <v>4.9666666666666668</v>
      </c>
      <c r="G110" s="429">
        <f t="shared" si="160"/>
        <v>4.9666666666666668</v>
      </c>
      <c r="H110" s="429">
        <f t="shared" si="160"/>
        <v>4.9666666666666668</v>
      </c>
      <c r="I110" s="429">
        <f t="shared" si="160"/>
        <v>4.9666666666666668</v>
      </c>
      <c r="J110" s="511"/>
      <c r="K110" s="518"/>
      <c r="L110" s="379">
        <f t="shared" si="161"/>
        <v>4.9666666666666668</v>
      </c>
      <c r="M110" s="290">
        <f t="shared" si="161"/>
        <v>4.9666666666666668</v>
      </c>
      <c r="N110" s="290">
        <f t="shared" si="161"/>
        <v>4.9666666666666668</v>
      </c>
      <c r="O110" s="396">
        <f t="shared" si="161"/>
        <v>4.9666666666666668</v>
      </c>
      <c r="R110" s="379">
        <f t="shared" si="162"/>
        <v>4.9666666666666668</v>
      </c>
      <c r="S110" s="290">
        <f t="shared" si="162"/>
        <v>4.9666666666666668</v>
      </c>
      <c r="T110" s="290">
        <f t="shared" si="162"/>
        <v>4.9666666666666668</v>
      </c>
      <c r="U110" s="396">
        <f t="shared" si="162"/>
        <v>4.9666666666666668</v>
      </c>
      <c r="W110" s="342"/>
      <c r="X110" s="379">
        <f t="shared" si="163"/>
        <v>4.9666666666666668</v>
      </c>
      <c r="Y110" s="290">
        <f t="shared" si="163"/>
        <v>4.9666666666666668</v>
      </c>
      <c r="Z110" s="290">
        <f t="shared" si="163"/>
        <v>4.9666666666666668</v>
      </c>
      <c r="AA110" s="396">
        <f t="shared" si="163"/>
        <v>4.9666666666666668</v>
      </c>
      <c r="AB110" s="154"/>
      <c r="AC110" s="616"/>
      <c r="AD110" s="379">
        <f t="shared" si="164"/>
        <v>4.9666666666666668</v>
      </c>
      <c r="AE110" s="290">
        <f t="shared" si="164"/>
        <v>4.9666666666666668</v>
      </c>
      <c r="AF110" s="290">
        <f t="shared" si="164"/>
        <v>4.9666666666666668</v>
      </c>
      <c r="AG110" s="396">
        <f t="shared" si="164"/>
        <v>4.9666666666666668</v>
      </c>
      <c r="AH110" s="690"/>
      <c r="AI110" s="299"/>
      <c r="AJ110" s="2"/>
      <c r="AK110" s="2"/>
      <c r="AL110" s="2"/>
      <c r="AM110" s="2"/>
      <c r="AN110" s="2"/>
      <c r="AO110" s="2"/>
    </row>
    <row r="111" spans="1:65" hidden="1" outlineLevel="1">
      <c r="A111" s="745" t="s">
        <v>328</v>
      </c>
      <c r="B111" s="2"/>
      <c r="C111" s="2"/>
      <c r="D111" s="2"/>
      <c r="F111" s="379">
        <f>'MPS др метрики'!E114</f>
        <v>4.3</v>
      </c>
      <c r="G111" s="429">
        <f t="shared" si="160"/>
        <v>4.3</v>
      </c>
      <c r="H111" s="429">
        <f t="shared" si="160"/>
        <v>4.3</v>
      </c>
      <c r="I111" s="429">
        <f t="shared" si="160"/>
        <v>4.3</v>
      </c>
      <c r="J111" s="511"/>
      <c r="K111" s="518"/>
      <c r="L111" s="379">
        <f t="shared" si="161"/>
        <v>4.3</v>
      </c>
      <c r="M111" s="290">
        <f t="shared" si="161"/>
        <v>4.3</v>
      </c>
      <c r="N111" s="290">
        <f t="shared" si="161"/>
        <v>4.3</v>
      </c>
      <c r="O111" s="396">
        <f t="shared" si="161"/>
        <v>4.3</v>
      </c>
      <c r="R111" s="379">
        <f t="shared" si="162"/>
        <v>4.3</v>
      </c>
      <c r="S111" s="290">
        <f t="shared" si="162"/>
        <v>4.3</v>
      </c>
      <c r="T111" s="290">
        <f t="shared" si="162"/>
        <v>4.3</v>
      </c>
      <c r="U111" s="396">
        <f t="shared" si="162"/>
        <v>4.3</v>
      </c>
      <c r="W111" s="342"/>
      <c r="X111" s="379">
        <f t="shared" si="163"/>
        <v>4.3</v>
      </c>
      <c r="Y111" s="290">
        <f t="shared" si="163"/>
        <v>4.3</v>
      </c>
      <c r="Z111" s="290">
        <f t="shared" si="163"/>
        <v>4.3</v>
      </c>
      <c r="AA111" s="396">
        <f t="shared" si="163"/>
        <v>4.3</v>
      </c>
      <c r="AB111" s="154"/>
      <c r="AC111" s="616"/>
      <c r="AD111" s="379">
        <f t="shared" si="164"/>
        <v>4.3</v>
      </c>
      <c r="AE111" s="290">
        <f t="shared" si="164"/>
        <v>4.3</v>
      </c>
      <c r="AF111" s="290">
        <f t="shared" si="164"/>
        <v>4.3</v>
      </c>
      <c r="AG111" s="396">
        <f t="shared" si="164"/>
        <v>4.3</v>
      </c>
      <c r="AH111" s="690"/>
      <c r="AI111" s="299"/>
      <c r="AJ111" s="2"/>
      <c r="AK111" s="2"/>
      <c r="AL111" s="2"/>
      <c r="AM111" s="2"/>
      <c r="AN111" s="2"/>
      <c r="AO111" s="2"/>
    </row>
    <row r="112" spans="1:65" hidden="1" outlineLevel="1">
      <c r="A112" s="752" t="s">
        <v>329</v>
      </c>
      <c r="B112" s="2"/>
      <c r="C112" s="2"/>
      <c r="D112" s="2"/>
      <c r="F112" s="380">
        <f>'MPS др метрики'!E115</f>
        <v>3.2333333333333334</v>
      </c>
      <c r="G112" s="434">
        <f t="shared" si="160"/>
        <v>3.2333333333333334</v>
      </c>
      <c r="H112" s="434">
        <f t="shared" si="160"/>
        <v>3.2333333333333334</v>
      </c>
      <c r="I112" s="434">
        <f t="shared" si="160"/>
        <v>3.2333333333333334</v>
      </c>
      <c r="J112" s="511"/>
      <c r="K112" s="518"/>
      <c r="L112" s="380">
        <f t="shared" si="161"/>
        <v>3.2333333333333334</v>
      </c>
      <c r="M112" s="397">
        <f t="shared" si="161"/>
        <v>3.2333333333333334</v>
      </c>
      <c r="N112" s="397">
        <f t="shared" si="161"/>
        <v>3.2333333333333334</v>
      </c>
      <c r="O112" s="398">
        <f t="shared" si="161"/>
        <v>3.2333333333333334</v>
      </c>
      <c r="R112" s="380">
        <f t="shared" si="162"/>
        <v>3.2333333333333334</v>
      </c>
      <c r="S112" s="397">
        <f t="shared" si="162"/>
        <v>3.2333333333333334</v>
      </c>
      <c r="T112" s="397">
        <f t="shared" si="162"/>
        <v>3.2333333333333334</v>
      </c>
      <c r="U112" s="398">
        <f t="shared" si="162"/>
        <v>3.2333333333333334</v>
      </c>
      <c r="W112" s="342"/>
      <c r="X112" s="380">
        <f t="shared" si="163"/>
        <v>3.2333333333333334</v>
      </c>
      <c r="Y112" s="397">
        <f t="shared" si="163"/>
        <v>3.2333333333333334</v>
      </c>
      <c r="Z112" s="397">
        <f t="shared" si="163"/>
        <v>3.2333333333333334</v>
      </c>
      <c r="AA112" s="398">
        <f t="shared" si="163"/>
        <v>3.2333333333333334</v>
      </c>
      <c r="AB112" s="154"/>
      <c r="AC112" s="616"/>
      <c r="AD112" s="380">
        <f t="shared" si="164"/>
        <v>3.2333333333333334</v>
      </c>
      <c r="AE112" s="397">
        <f t="shared" si="164"/>
        <v>3.2333333333333334</v>
      </c>
      <c r="AF112" s="397">
        <f t="shared" si="164"/>
        <v>3.2333333333333334</v>
      </c>
      <c r="AG112" s="398">
        <f t="shared" si="164"/>
        <v>3.2333333333333334</v>
      </c>
      <c r="AH112" s="690"/>
      <c r="AI112" s="299"/>
      <c r="AJ112" s="2"/>
      <c r="AK112" s="2"/>
      <c r="AL112" s="2"/>
      <c r="AM112" s="2"/>
      <c r="AN112" s="2"/>
      <c r="AO112" s="2"/>
    </row>
    <row r="113" spans="1:65" hidden="1" outlineLevel="1">
      <c r="A113" s="745"/>
      <c r="B113" s="2"/>
      <c r="C113" s="2"/>
      <c r="D113" s="2"/>
      <c r="F113" s="169"/>
      <c r="G113" s="169"/>
      <c r="H113" s="169"/>
      <c r="I113" s="169"/>
      <c r="J113" s="407"/>
      <c r="K113" s="518"/>
      <c r="L113" s="169"/>
      <c r="M113" s="169"/>
      <c r="N113" s="169"/>
      <c r="O113" s="169"/>
      <c r="R113" s="169"/>
      <c r="S113" s="169"/>
      <c r="T113" s="169"/>
      <c r="U113" s="169"/>
      <c r="W113" s="342"/>
      <c r="X113" s="154"/>
      <c r="Y113" s="154"/>
      <c r="Z113" s="154"/>
      <c r="AA113" s="154"/>
      <c r="AB113" s="154"/>
      <c r="AC113" s="616"/>
      <c r="AD113" s="154"/>
      <c r="AE113" s="154"/>
      <c r="AF113" s="154"/>
      <c r="AG113" s="154"/>
      <c r="AH113" s="690"/>
      <c r="AI113" s="299"/>
      <c r="AJ113" s="2"/>
      <c r="AK113" s="2"/>
      <c r="AL113" s="2"/>
      <c r="AM113" s="2"/>
      <c r="AN113" s="2"/>
      <c r="AO113" s="2"/>
    </row>
    <row r="114" spans="1:65" hidden="1" outlineLevel="1">
      <c r="A114" s="745"/>
      <c r="B114" s="2"/>
      <c r="C114" s="2"/>
      <c r="D114" s="2"/>
      <c r="F114" s="169"/>
      <c r="AJ114" s="2"/>
      <c r="AK114" s="2"/>
      <c r="AL114" s="2"/>
      <c r="AM114" s="2"/>
      <c r="AN114" s="2"/>
      <c r="AO114" s="2"/>
    </row>
    <row r="115" spans="1:65" s="418" customFormat="1" ht="20" hidden="1" outlineLevel="1">
      <c r="A115" s="750" t="s">
        <v>349</v>
      </c>
      <c r="B115" s="417"/>
      <c r="C115" s="417"/>
      <c r="D115" s="417"/>
      <c r="F115" s="419"/>
      <c r="G115" s="420"/>
      <c r="H115" s="420"/>
      <c r="I115" s="420"/>
      <c r="J115" s="500"/>
      <c r="K115" s="499"/>
      <c r="L115" s="421"/>
      <c r="M115" s="421"/>
      <c r="N115" s="421"/>
      <c r="O115" s="421"/>
      <c r="P115" s="531"/>
      <c r="Q115" s="530"/>
      <c r="R115" s="420"/>
      <c r="S115" s="420"/>
      <c r="T115" s="420"/>
      <c r="U115" s="420"/>
      <c r="V115" s="420"/>
      <c r="W115" s="559"/>
      <c r="X115" s="420"/>
      <c r="Y115" s="420"/>
      <c r="Z115" s="420"/>
      <c r="AA115" s="420"/>
      <c r="AB115" s="420"/>
      <c r="AC115" s="828"/>
      <c r="AD115" s="420"/>
      <c r="AE115" s="420"/>
      <c r="AF115" s="420"/>
      <c r="AG115" s="420"/>
      <c r="AH115" s="829"/>
      <c r="AI115" s="500"/>
      <c r="AJ115" s="417"/>
      <c r="AK115" s="417"/>
      <c r="AL115" s="417"/>
      <c r="AM115" s="417"/>
      <c r="AN115" s="417"/>
      <c r="AO115" s="417"/>
      <c r="AP115" s="421"/>
      <c r="AQ115" s="421"/>
      <c r="AR115" s="421"/>
      <c r="AS115" s="421"/>
      <c r="AT115" s="421"/>
      <c r="AU115" s="421"/>
      <c r="BB115" s="421"/>
      <c r="BC115" s="421"/>
      <c r="BD115" s="421"/>
      <c r="BE115" s="421"/>
      <c r="BF115" s="421"/>
      <c r="BG115" s="421"/>
      <c r="BH115" s="421"/>
      <c r="BI115" s="421"/>
      <c r="BJ115" s="421"/>
      <c r="BK115" s="421"/>
      <c r="BL115" s="421"/>
      <c r="BM115" s="421"/>
    </row>
    <row r="116" spans="1:65" ht="20" hidden="1" outlineLevel="1">
      <c r="A116" s="738" t="s">
        <v>350</v>
      </c>
      <c r="E116" s="735"/>
      <c r="F116" s="169">
        <v>60000</v>
      </c>
      <c r="G116" s="169">
        <f>F116</f>
        <v>60000</v>
      </c>
      <c r="H116" s="169">
        <f t="shared" ref="H116:I118" si="165">G116</f>
        <v>60000</v>
      </c>
      <c r="I116" s="169">
        <f t="shared" si="165"/>
        <v>60000</v>
      </c>
      <c r="J116" s="407"/>
      <c r="L116" s="169">
        <f t="shared" ref="L116:O117" si="166">F116</f>
        <v>60000</v>
      </c>
      <c r="M116" s="169">
        <f t="shared" si="166"/>
        <v>60000</v>
      </c>
      <c r="N116" s="169">
        <f t="shared" si="166"/>
        <v>60000</v>
      </c>
      <c r="O116" s="169">
        <f t="shared" si="166"/>
        <v>60000</v>
      </c>
      <c r="P116" s="407"/>
      <c r="Q116" s="552"/>
      <c r="R116" s="169">
        <f>L116</f>
        <v>60000</v>
      </c>
      <c r="S116" s="169">
        <f t="shared" ref="S116:U120" si="167">M116</f>
        <v>60000</v>
      </c>
      <c r="T116" s="169">
        <f t="shared" si="167"/>
        <v>60000</v>
      </c>
      <c r="U116" s="169">
        <f t="shared" si="167"/>
        <v>60000</v>
      </c>
      <c r="W116" s="552"/>
      <c r="X116" s="169">
        <f>R116</f>
        <v>60000</v>
      </c>
      <c r="Y116" s="169">
        <f t="shared" ref="Y116:AA117" si="168">S116</f>
        <v>60000</v>
      </c>
      <c r="Z116" s="169">
        <f t="shared" si="168"/>
        <v>60000</v>
      </c>
      <c r="AA116" s="169">
        <f t="shared" si="168"/>
        <v>60000</v>
      </c>
      <c r="AC116" s="841"/>
      <c r="AD116" s="169">
        <f>X116</f>
        <v>60000</v>
      </c>
      <c r="AE116" s="169">
        <f t="shared" ref="AE116:AG117" si="169">Y116</f>
        <v>60000</v>
      </c>
      <c r="AF116" s="169">
        <f t="shared" si="169"/>
        <v>60000</v>
      </c>
      <c r="AG116" s="169">
        <f t="shared" si="169"/>
        <v>60000</v>
      </c>
      <c r="AJ116" s="13"/>
      <c r="AK116" s="13"/>
      <c r="AL116" s="13"/>
      <c r="AM116" s="13"/>
      <c r="AN116" s="13"/>
      <c r="AO116" s="13"/>
    </row>
    <row r="117" spans="1:65" ht="20" hidden="1" outlineLevel="1">
      <c r="A117" s="738" t="s">
        <v>351</v>
      </c>
      <c r="E117" s="735"/>
      <c r="F117" s="169">
        <v>40000</v>
      </c>
      <c r="G117" s="169">
        <f>F117</f>
        <v>40000</v>
      </c>
      <c r="H117" s="169">
        <f t="shared" si="165"/>
        <v>40000</v>
      </c>
      <c r="I117" s="169">
        <f t="shared" si="165"/>
        <v>40000</v>
      </c>
      <c r="J117" s="407"/>
      <c r="L117" s="169">
        <f t="shared" si="166"/>
        <v>40000</v>
      </c>
      <c r="M117" s="169">
        <f t="shared" si="166"/>
        <v>40000</v>
      </c>
      <c r="N117" s="169">
        <f t="shared" si="166"/>
        <v>40000</v>
      </c>
      <c r="O117" s="169">
        <f t="shared" si="166"/>
        <v>40000</v>
      </c>
      <c r="P117" s="407"/>
      <c r="Q117" s="552"/>
      <c r="R117" s="169">
        <f>L117</f>
        <v>40000</v>
      </c>
      <c r="S117" s="169">
        <f t="shared" si="167"/>
        <v>40000</v>
      </c>
      <c r="T117" s="169">
        <f t="shared" si="167"/>
        <v>40000</v>
      </c>
      <c r="U117" s="169">
        <f t="shared" si="167"/>
        <v>40000</v>
      </c>
      <c r="W117" s="552"/>
      <c r="X117" s="169">
        <f>R117</f>
        <v>40000</v>
      </c>
      <c r="Y117" s="169">
        <f t="shared" si="168"/>
        <v>40000</v>
      </c>
      <c r="Z117" s="169">
        <f t="shared" si="168"/>
        <v>40000</v>
      </c>
      <c r="AA117" s="169">
        <f t="shared" si="168"/>
        <v>40000</v>
      </c>
      <c r="AC117" s="841"/>
      <c r="AD117" s="169">
        <f>X117</f>
        <v>40000</v>
      </c>
      <c r="AE117" s="169">
        <f t="shared" si="169"/>
        <v>40000</v>
      </c>
      <c r="AF117" s="169">
        <f t="shared" si="169"/>
        <v>40000</v>
      </c>
      <c r="AG117" s="169">
        <f t="shared" si="169"/>
        <v>40000</v>
      </c>
      <c r="AJ117" s="13"/>
      <c r="AK117" s="13"/>
      <c r="AL117" s="13"/>
      <c r="AM117" s="13"/>
      <c r="AN117" s="13"/>
      <c r="AO117" s="13"/>
    </row>
    <row r="118" spans="1:65" s="425" customFormat="1" ht="40" hidden="1" outlineLevel="1">
      <c r="A118" s="755" t="s">
        <v>352</v>
      </c>
      <c r="B118" s="43"/>
      <c r="C118" s="43"/>
      <c r="D118" s="43"/>
      <c r="E118" s="736"/>
      <c r="F118" s="354">
        <v>0</v>
      </c>
      <c r="G118" s="354">
        <f>F118</f>
        <v>0</v>
      </c>
      <c r="H118" s="354">
        <f>H117</f>
        <v>40000</v>
      </c>
      <c r="I118" s="354">
        <f t="shared" si="165"/>
        <v>40000</v>
      </c>
      <c r="J118" s="515"/>
      <c r="K118" s="517"/>
      <c r="L118" s="422">
        <f>L117+L119</f>
        <v>48000</v>
      </c>
      <c r="M118" s="422">
        <f t="shared" ref="M118:O118" si="170">M117+M119</f>
        <v>48000</v>
      </c>
      <c r="N118" s="422">
        <f t="shared" si="170"/>
        <v>48000</v>
      </c>
      <c r="O118" s="422">
        <f t="shared" si="170"/>
        <v>48000</v>
      </c>
      <c r="P118" s="515"/>
      <c r="Q118" s="540"/>
      <c r="R118" s="354">
        <f>L118</f>
        <v>48000</v>
      </c>
      <c r="S118" s="354">
        <f>R118</f>
        <v>48000</v>
      </c>
      <c r="T118" s="354">
        <f t="shared" ref="T118:U119" si="171">S118</f>
        <v>48000</v>
      </c>
      <c r="U118" s="354">
        <f t="shared" si="171"/>
        <v>48000</v>
      </c>
      <c r="V118" s="43"/>
      <c r="W118" s="540"/>
      <c r="X118" s="354">
        <f>R118</f>
        <v>48000</v>
      </c>
      <c r="Y118" s="354">
        <f>X118</f>
        <v>48000</v>
      </c>
      <c r="Z118" s="354">
        <f t="shared" ref="Z118:AA119" si="172">Y118</f>
        <v>48000</v>
      </c>
      <c r="AA118" s="354">
        <f t="shared" si="172"/>
        <v>48000</v>
      </c>
      <c r="AB118" s="43"/>
      <c r="AC118" s="842"/>
      <c r="AD118" s="354">
        <f>X118</f>
        <v>48000</v>
      </c>
      <c r="AE118" s="354">
        <f>AD118</f>
        <v>48000</v>
      </c>
      <c r="AF118" s="354">
        <f t="shared" ref="AF118:AG119" si="173">AE118</f>
        <v>48000</v>
      </c>
      <c r="AG118" s="354">
        <f t="shared" si="173"/>
        <v>48000</v>
      </c>
      <c r="AH118" s="834"/>
      <c r="AI118" s="503"/>
      <c r="AJ118" s="355"/>
      <c r="AK118" s="355"/>
      <c r="AL118" s="355"/>
      <c r="AM118" s="355"/>
      <c r="AN118" s="355"/>
      <c r="AO118" s="355"/>
      <c r="AP118" s="43"/>
      <c r="AQ118" s="43"/>
      <c r="AR118" s="43"/>
      <c r="AS118" s="43"/>
      <c r="AT118" s="43"/>
      <c r="AU118" s="43"/>
      <c r="BB118" s="43"/>
      <c r="BC118" s="43"/>
      <c r="BD118" s="43"/>
      <c r="BE118" s="43"/>
      <c r="BF118" s="43"/>
      <c r="BG118" s="43"/>
      <c r="BH118" s="43"/>
      <c r="BI118" s="43"/>
      <c r="BJ118" s="43"/>
      <c r="BK118" s="43"/>
      <c r="BL118" s="43"/>
      <c r="BM118" s="43"/>
    </row>
    <row r="119" spans="1:65" ht="40" hidden="1" outlineLevel="1">
      <c r="E119" s="735"/>
      <c r="F119" s="169"/>
      <c r="G119" s="169"/>
      <c r="H119" s="169"/>
      <c r="I119" s="169"/>
      <c r="J119" s="407"/>
      <c r="K119" s="536" t="s">
        <v>366</v>
      </c>
      <c r="L119" s="345">
        <f>L117*L120-L117</f>
        <v>8000</v>
      </c>
      <c r="M119" s="345">
        <f>L119</f>
        <v>8000</v>
      </c>
      <c r="N119" s="345">
        <f t="shared" ref="N119:O120" si="174">M119</f>
        <v>8000</v>
      </c>
      <c r="O119" s="345">
        <f t="shared" si="174"/>
        <v>8000</v>
      </c>
      <c r="P119" s="407"/>
      <c r="Q119" s="553" t="s">
        <v>353</v>
      </c>
      <c r="R119" s="345">
        <f>L119</f>
        <v>8000</v>
      </c>
      <c r="S119" s="345">
        <f>R119</f>
        <v>8000</v>
      </c>
      <c r="T119" s="345">
        <f t="shared" si="171"/>
        <v>8000</v>
      </c>
      <c r="U119" s="345">
        <f t="shared" si="171"/>
        <v>8000</v>
      </c>
      <c r="W119" s="553" t="s">
        <v>353</v>
      </c>
      <c r="X119" s="345">
        <f>R119</f>
        <v>8000</v>
      </c>
      <c r="Y119" s="345">
        <f>X119</f>
        <v>8000</v>
      </c>
      <c r="Z119" s="345">
        <f t="shared" si="172"/>
        <v>8000</v>
      </c>
      <c r="AA119" s="345">
        <f t="shared" si="172"/>
        <v>8000</v>
      </c>
      <c r="AC119" s="843" t="s">
        <v>353</v>
      </c>
      <c r="AD119" s="345">
        <f>X119</f>
        <v>8000</v>
      </c>
      <c r="AE119" s="345">
        <f>AD119</f>
        <v>8000</v>
      </c>
      <c r="AF119" s="345">
        <f t="shared" si="173"/>
        <v>8000</v>
      </c>
      <c r="AG119" s="345">
        <f t="shared" si="173"/>
        <v>8000</v>
      </c>
      <c r="AJ119" s="13"/>
      <c r="AK119" s="13"/>
      <c r="AL119" s="13"/>
      <c r="AM119" s="13"/>
      <c r="AN119" s="13"/>
      <c r="AO119" s="13"/>
    </row>
    <row r="120" spans="1:65" hidden="1" outlineLevel="1">
      <c r="F120" s="2"/>
      <c r="G120" s="2"/>
      <c r="H120" s="2"/>
      <c r="I120" s="2"/>
      <c r="K120" s="537"/>
      <c r="L120" s="490">
        <v>1.2</v>
      </c>
      <c r="M120" s="490">
        <f>L120</f>
        <v>1.2</v>
      </c>
      <c r="N120" s="490">
        <f t="shared" si="174"/>
        <v>1.2</v>
      </c>
      <c r="O120" s="490">
        <f t="shared" si="174"/>
        <v>1.2</v>
      </c>
      <c r="Q120" s="537"/>
      <c r="R120" s="490">
        <f>L120</f>
        <v>1.2</v>
      </c>
      <c r="S120" s="490">
        <f t="shared" si="167"/>
        <v>1.2</v>
      </c>
      <c r="T120" s="490">
        <f t="shared" si="167"/>
        <v>1.2</v>
      </c>
      <c r="U120" s="449">
        <f t="shared" si="167"/>
        <v>1.2</v>
      </c>
      <c r="W120" s="537"/>
      <c r="X120" s="490">
        <f>R120</f>
        <v>1.2</v>
      </c>
      <c r="Y120" s="490">
        <f t="shared" ref="Y120:AA120" si="175">S120</f>
        <v>1.2</v>
      </c>
      <c r="Z120" s="490">
        <f t="shared" si="175"/>
        <v>1.2</v>
      </c>
      <c r="AA120" s="449">
        <f t="shared" si="175"/>
        <v>1.2</v>
      </c>
      <c r="AC120" s="844"/>
      <c r="AD120" s="490">
        <f>X120</f>
        <v>1.2</v>
      </c>
      <c r="AE120" s="490">
        <f t="shared" ref="AE120:AG120" si="176">Y120</f>
        <v>1.2</v>
      </c>
      <c r="AF120" s="490">
        <f t="shared" si="176"/>
        <v>1.2</v>
      </c>
      <c r="AG120" s="449">
        <f t="shared" si="176"/>
        <v>1.2</v>
      </c>
    </row>
    <row r="121" spans="1:65" hidden="1" outlineLevel="1">
      <c r="F121" s="2"/>
      <c r="L121" s="344" t="s">
        <v>365</v>
      </c>
      <c r="Q121" s="537"/>
      <c r="R121" s="451" t="s">
        <v>354</v>
      </c>
      <c r="S121" s="450"/>
      <c r="T121" s="450"/>
      <c r="U121" s="450"/>
      <c r="W121" s="537"/>
      <c r="X121" s="451" t="s">
        <v>354</v>
      </c>
      <c r="Y121" s="450"/>
      <c r="Z121" s="450"/>
      <c r="AA121" s="450"/>
      <c r="AC121" s="844"/>
      <c r="AD121" s="451" t="s">
        <v>354</v>
      </c>
      <c r="AE121" s="450"/>
      <c r="AF121" s="450"/>
      <c r="AG121" s="450"/>
    </row>
    <row r="122" spans="1:65" hidden="1" outlineLevel="1">
      <c r="F122" s="2"/>
      <c r="L122" s="423"/>
      <c r="O122" s="139"/>
    </row>
    <row r="123" spans="1:65" s="418" customFormat="1" ht="20" hidden="1" outlineLevel="1">
      <c r="A123" s="750" t="s">
        <v>335</v>
      </c>
      <c r="B123" s="417"/>
      <c r="C123" s="417"/>
      <c r="D123" s="417"/>
      <c r="F123" s="419"/>
      <c r="G123" s="420"/>
      <c r="H123" s="420"/>
      <c r="I123" s="420"/>
      <c r="J123" s="500"/>
      <c r="K123" s="530"/>
      <c r="L123" s="421"/>
      <c r="M123" s="421"/>
      <c r="N123" s="421"/>
      <c r="O123" s="421"/>
      <c r="P123" s="531"/>
      <c r="Q123" s="530"/>
      <c r="R123" s="465"/>
      <c r="S123" s="420"/>
      <c r="T123" s="420"/>
      <c r="U123" s="420"/>
      <c r="V123" s="420"/>
      <c r="W123" s="559"/>
      <c r="X123" s="420"/>
      <c r="Y123" s="420"/>
      <c r="Z123" s="420"/>
      <c r="AA123" s="420"/>
      <c r="AB123" s="420"/>
      <c r="AC123" s="828"/>
      <c r="AD123" s="420"/>
      <c r="AE123" s="420"/>
      <c r="AF123" s="420"/>
      <c r="AG123" s="420"/>
      <c r="AH123" s="829"/>
      <c r="AI123" s="500"/>
      <c r="AJ123" s="417"/>
      <c r="AK123" s="417"/>
      <c r="AL123" s="417"/>
      <c r="AM123" s="417"/>
      <c r="AN123" s="417"/>
      <c r="AO123" s="417"/>
      <c r="AP123" s="421"/>
      <c r="AQ123" s="421"/>
      <c r="AR123" s="421"/>
      <c r="AS123" s="421"/>
      <c r="AT123" s="421"/>
      <c r="AU123" s="421"/>
      <c r="BB123" s="421"/>
      <c r="BC123" s="421"/>
      <c r="BD123" s="421"/>
      <c r="BE123" s="421"/>
      <c r="BF123" s="421"/>
      <c r="BG123" s="421"/>
      <c r="BH123" s="421"/>
      <c r="BI123" s="421"/>
      <c r="BJ123" s="421"/>
      <c r="BK123" s="421"/>
      <c r="BL123" s="421"/>
      <c r="BM123" s="421"/>
    </row>
    <row r="124" spans="1:65" s="446" customFormat="1" ht="20" hidden="1" outlineLevel="1">
      <c r="A124" s="759" t="s">
        <v>358</v>
      </c>
      <c r="B124" s="383"/>
      <c r="C124" s="383"/>
      <c r="D124" s="383"/>
      <c r="F124" s="820"/>
      <c r="G124" s="820"/>
      <c r="H124" s="820"/>
      <c r="I124" s="820"/>
      <c r="J124" s="523"/>
      <c r="K124" s="546"/>
      <c r="L124" s="821">
        <f>F124</f>
        <v>0</v>
      </c>
      <c r="M124" s="821">
        <f>L124</f>
        <v>0</v>
      </c>
      <c r="N124" s="821">
        <f t="shared" ref="N124:O124" si="177">M124</f>
        <v>0</v>
      </c>
      <c r="O124" s="821">
        <f t="shared" si="177"/>
        <v>0</v>
      </c>
      <c r="P124" s="547"/>
      <c r="Q124" s="556"/>
      <c r="R124" s="822">
        <f>R125+R126</f>
        <v>1825.8870762882507</v>
      </c>
      <c r="S124" s="822">
        <f>S125+S126</f>
        <v>1825.8870762882507</v>
      </c>
      <c r="T124" s="822">
        <f>T125+T126</f>
        <v>1825.8870762882507</v>
      </c>
      <c r="U124" s="822">
        <f>U125+U126</f>
        <v>1825.8870762882507</v>
      </c>
      <c r="V124" s="821"/>
      <c r="W124" s="565"/>
      <c r="X124" s="822"/>
      <c r="Y124" s="822"/>
      <c r="Z124" s="822"/>
      <c r="AA124" s="822"/>
      <c r="AB124" s="821"/>
      <c r="AC124" s="845"/>
      <c r="AD124" s="821"/>
      <c r="AE124" s="821"/>
      <c r="AF124" s="821"/>
      <c r="AG124" s="821"/>
      <c r="AH124" s="846"/>
      <c r="AI124" s="523"/>
      <c r="AJ124" s="383"/>
      <c r="AK124" s="383"/>
      <c r="AL124" s="383"/>
      <c r="AM124" s="383"/>
      <c r="AN124" s="383"/>
      <c r="AO124" s="383"/>
      <c r="AP124" s="385"/>
      <c r="AQ124" s="385"/>
      <c r="AR124" s="385"/>
      <c r="AS124" s="385"/>
      <c r="AT124" s="385"/>
      <c r="AU124" s="385"/>
      <c r="BB124" s="445" t="s">
        <v>141</v>
      </c>
      <c r="BC124" s="385"/>
      <c r="BD124" s="385"/>
      <c r="BE124" s="385"/>
      <c r="BF124" s="385"/>
      <c r="BG124" s="385"/>
      <c r="BH124" s="385" t="s">
        <v>33</v>
      </c>
      <c r="BI124" s="385"/>
      <c r="BJ124" s="385"/>
      <c r="BK124" s="385"/>
      <c r="BL124" s="385"/>
      <c r="BM124" s="385"/>
    </row>
    <row r="125" spans="1:65" ht="20" hidden="1" outlineLevel="1">
      <c r="A125" s="793" t="s">
        <v>481</v>
      </c>
      <c r="B125" s="948"/>
      <c r="C125" s="948"/>
      <c r="D125" s="948"/>
      <c r="E125" s="423"/>
      <c r="F125" s="169">
        <f>F141</f>
        <v>13400</v>
      </c>
      <c r="G125" s="169">
        <f>F125</f>
        <v>13400</v>
      </c>
      <c r="H125" s="169">
        <f t="shared" ref="H125:I125" si="178">G125</f>
        <v>13400</v>
      </c>
      <c r="I125" s="169">
        <f t="shared" si="178"/>
        <v>13400</v>
      </c>
      <c r="J125" s="297"/>
      <c r="K125" s="552"/>
      <c r="L125" s="169">
        <f>F125</f>
        <v>13400</v>
      </c>
      <c r="M125" s="169">
        <f t="shared" ref="M125:O125" si="179">G125</f>
        <v>13400</v>
      </c>
      <c r="N125" s="169">
        <f t="shared" si="179"/>
        <v>13400</v>
      </c>
      <c r="O125" s="169">
        <f t="shared" si="179"/>
        <v>13400</v>
      </c>
      <c r="R125" s="169">
        <v>0</v>
      </c>
      <c r="S125" s="169">
        <v>0</v>
      </c>
      <c r="T125" s="169">
        <v>0</v>
      </c>
      <c r="U125" s="169">
        <v>0</v>
      </c>
      <c r="V125" s="169">
        <v>0</v>
      </c>
      <c r="W125" s="161"/>
      <c r="X125" s="169">
        <f>R125</f>
        <v>0</v>
      </c>
      <c r="Y125" s="169">
        <f t="shared" ref="Y125:AA125" si="180">S125</f>
        <v>0</v>
      </c>
      <c r="Z125" s="169">
        <f t="shared" si="180"/>
        <v>0</v>
      </c>
      <c r="AA125" s="169">
        <f t="shared" si="180"/>
        <v>0</v>
      </c>
      <c r="AB125" s="169"/>
      <c r="AC125" s="832"/>
      <c r="AD125" s="169">
        <f>L125</f>
        <v>13400</v>
      </c>
      <c r="AE125" s="169">
        <f t="shared" ref="AE125:AG125" si="181">M125</f>
        <v>13400</v>
      </c>
      <c r="AF125" s="169">
        <f t="shared" si="181"/>
        <v>13400</v>
      </c>
      <c r="AG125" s="169">
        <f t="shared" si="181"/>
        <v>13400</v>
      </c>
      <c r="AH125" s="615"/>
      <c r="AI125" s="297"/>
      <c r="AJ125" s="13"/>
      <c r="AK125" s="13"/>
      <c r="AL125" s="13"/>
      <c r="AM125" s="13"/>
      <c r="AN125" s="13"/>
      <c r="AO125" s="13"/>
      <c r="BB125" s="794"/>
    </row>
    <row r="126" spans="1:65" ht="20" hidden="1" outlineLevel="1">
      <c r="A126" s="762" t="s">
        <v>507</v>
      </c>
      <c r="B126" s="359"/>
      <c r="C126" s="359"/>
      <c r="D126" s="359"/>
      <c r="E126" s="423"/>
      <c r="F126" s="427">
        <f>J126</f>
        <v>444.38541504291203</v>
      </c>
      <c r="G126" s="427">
        <f>J126</f>
        <v>444.38541504291203</v>
      </c>
      <c r="H126" s="427">
        <f>J126</f>
        <v>444.38541504291203</v>
      </c>
      <c r="I126" s="427">
        <f>J126</f>
        <v>444.38541504291203</v>
      </c>
      <c r="J126" s="427">
        <f>3000000/J20</f>
        <v>444.38541504291203</v>
      </c>
      <c r="L126" s="427">
        <f>P126</f>
        <v>301.14310176694914</v>
      </c>
      <c r="M126" s="427">
        <f>P126</f>
        <v>301.14310176694914</v>
      </c>
      <c r="N126" s="427">
        <f>P126</f>
        <v>301.14310176694914</v>
      </c>
      <c r="O126" s="427">
        <f>P126</f>
        <v>301.14310176694914</v>
      </c>
      <c r="P126" s="427">
        <f>3000000/P20</f>
        <v>301.14310176694914</v>
      </c>
      <c r="R126" s="427">
        <f>V126</f>
        <v>1825.8870762882507</v>
      </c>
      <c r="S126" s="427">
        <f>V126</f>
        <v>1825.8870762882507</v>
      </c>
      <c r="T126" s="427">
        <f>V126</f>
        <v>1825.8870762882507</v>
      </c>
      <c r="U126" s="427">
        <f>V126</f>
        <v>1825.8870762882507</v>
      </c>
      <c r="V126" s="427">
        <f>3000000/V20</f>
        <v>1825.8870762882507</v>
      </c>
      <c r="W126" s="518"/>
      <c r="X126" s="427">
        <f>AB126</f>
        <v>1096.3473301895037</v>
      </c>
      <c r="Y126" s="427">
        <f>AB126</f>
        <v>1096.3473301895037</v>
      </c>
      <c r="Z126" s="427">
        <f>AB126</f>
        <v>1096.3473301895037</v>
      </c>
      <c r="AA126" s="427">
        <f>AB126</f>
        <v>1096.3473301895037</v>
      </c>
      <c r="AB126" s="427">
        <f>3000000*AB127/AB20</f>
        <v>1096.3473301895037</v>
      </c>
      <c r="AC126" s="847"/>
      <c r="AD126" s="427">
        <f>AH126</f>
        <v>1096.3473301895037</v>
      </c>
      <c r="AE126" s="427">
        <f>AH126</f>
        <v>1096.3473301895037</v>
      </c>
      <c r="AF126" s="427">
        <f>AH126</f>
        <v>1096.3473301895037</v>
      </c>
      <c r="AG126" s="427">
        <f>AH126</f>
        <v>1096.3473301895037</v>
      </c>
      <c r="AH126" s="487">
        <f>3000000*AH127/AH20</f>
        <v>1096.3473301895037</v>
      </c>
      <c r="AI126" s="504"/>
      <c r="AJ126" s="423"/>
      <c r="AK126" s="423"/>
      <c r="AL126" s="423"/>
      <c r="AM126" s="423"/>
      <c r="AN126" s="423"/>
      <c r="AO126" s="423"/>
      <c r="AP126" s="423"/>
      <c r="AQ126" s="423"/>
      <c r="AR126" s="423"/>
      <c r="AS126" s="423"/>
      <c r="AT126" s="423"/>
      <c r="AU126" s="423"/>
      <c r="BB126" s="423"/>
    </row>
    <row r="127" spans="1:65" ht="40" hidden="1" outlineLevel="1">
      <c r="A127" s="747" t="s">
        <v>506</v>
      </c>
      <c r="B127" s="13"/>
      <c r="C127" s="13"/>
      <c r="D127" s="13"/>
      <c r="E127" s="425">
        <v>4</v>
      </c>
      <c r="F127" s="169">
        <f>F150*E127</f>
        <v>84.8</v>
      </c>
      <c r="G127" s="169">
        <f>F127</f>
        <v>84.8</v>
      </c>
      <c r="H127" s="169">
        <f>G127</f>
        <v>84.8</v>
      </c>
      <c r="I127" s="169">
        <f>H127</f>
        <v>84.8</v>
      </c>
      <c r="J127" s="407"/>
      <c r="L127" s="169">
        <f>F127</f>
        <v>84.8</v>
      </c>
      <c r="M127" s="819">
        <f>L127</f>
        <v>84.8</v>
      </c>
      <c r="N127" s="819">
        <f t="shared" ref="N127:O127" si="182">M127</f>
        <v>84.8</v>
      </c>
      <c r="O127" s="819">
        <f t="shared" si="182"/>
        <v>84.8</v>
      </c>
      <c r="R127" s="169">
        <f>L127</f>
        <v>84.8</v>
      </c>
      <c r="S127" s="819">
        <f>R127</f>
        <v>84.8</v>
      </c>
      <c r="T127" s="819">
        <f t="shared" ref="T127:U127" si="183">S127</f>
        <v>84.8</v>
      </c>
      <c r="U127" s="819">
        <f t="shared" si="183"/>
        <v>84.8</v>
      </c>
      <c r="W127" s="518"/>
      <c r="X127" s="169">
        <f>R127</f>
        <v>84.8</v>
      </c>
      <c r="Y127" s="819">
        <f>X127</f>
        <v>84.8</v>
      </c>
      <c r="Z127" s="819">
        <f t="shared" ref="Z127:AA127" si="184">Y127</f>
        <v>84.8</v>
      </c>
      <c r="AA127" s="819">
        <f t="shared" si="184"/>
        <v>84.8</v>
      </c>
      <c r="AB127" s="823">
        <f>AB20/AI20</f>
        <v>0.52153295353878126</v>
      </c>
      <c r="AC127" s="847"/>
      <c r="AD127" s="169">
        <f>X127</f>
        <v>84.8</v>
      </c>
      <c r="AE127" s="819">
        <f>AD127</f>
        <v>84.8</v>
      </c>
      <c r="AF127" s="819">
        <f t="shared" ref="AF127:AG127" si="185">AE127</f>
        <v>84.8</v>
      </c>
      <c r="AG127" s="819">
        <f t="shared" si="185"/>
        <v>84.8</v>
      </c>
      <c r="AH127" s="848">
        <f>100%-AB127</f>
        <v>0.47846704646121874</v>
      </c>
      <c r="AI127" s="504"/>
      <c r="AJ127" s="423"/>
      <c r="AK127" s="423"/>
      <c r="AL127" s="423"/>
      <c r="AM127" s="423"/>
      <c r="AN127" s="423"/>
      <c r="AO127" s="423"/>
      <c r="AP127" s="423"/>
      <c r="AQ127" s="423"/>
      <c r="AR127" s="423"/>
      <c r="AS127" s="423"/>
      <c r="AT127" s="423"/>
      <c r="AU127" s="423"/>
      <c r="BB127" s="423"/>
    </row>
    <row r="128" spans="1:65" s="440" customFormat="1" hidden="1" outlineLevel="1">
      <c r="A128" s="757"/>
      <c r="B128" s="439"/>
      <c r="C128" s="439"/>
      <c r="D128" s="439"/>
      <c r="F128" s="441"/>
      <c r="G128" s="442"/>
      <c r="H128" s="442"/>
      <c r="I128" s="442"/>
      <c r="J128" s="520"/>
      <c r="K128" s="542"/>
      <c r="L128" s="443"/>
      <c r="M128" s="443"/>
      <c r="N128" s="443"/>
      <c r="O128" s="443"/>
      <c r="P128" s="543"/>
      <c r="Q128" s="542"/>
      <c r="R128" s="442"/>
      <c r="S128" s="442"/>
      <c r="T128" s="442"/>
      <c r="U128" s="442"/>
      <c r="V128" s="442"/>
      <c r="W128" s="563"/>
      <c r="X128" s="442"/>
      <c r="Y128" s="442"/>
      <c r="Z128" s="442"/>
      <c r="AA128" s="442"/>
      <c r="AB128" s="442"/>
      <c r="AC128" s="849"/>
      <c r="AD128" s="442"/>
      <c r="AE128" s="442"/>
      <c r="AF128" s="442"/>
      <c r="AG128" s="442"/>
      <c r="AH128" s="850"/>
      <c r="AI128" s="520"/>
      <c r="AJ128" s="439"/>
      <c r="AK128" s="439"/>
      <c r="AL128" s="439"/>
      <c r="AM128" s="439"/>
      <c r="AN128" s="439"/>
      <c r="AO128" s="439"/>
      <c r="AP128" s="443"/>
      <c r="AQ128" s="443"/>
      <c r="AR128" s="443"/>
      <c r="AS128" s="443"/>
      <c r="AT128" s="443"/>
      <c r="AU128" s="443"/>
      <c r="BB128" s="443"/>
      <c r="BC128" s="443"/>
      <c r="BD128" s="443"/>
      <c r="BE128" s="443"/>
      <c r="BF128" s="443"/>
      <c r="BG128" s="443"/>
      <c r="BH128" s="443"/>
      <c r="BI128" s="443"/>
      <c r="BJ128" s="443"/>
      <c r="BK128" s="443"/>
      <c r="BL128" s="443"/>
      <c r="BM128" s="443"/>
    </row>
    <row r="129" spans="1:65" s="781" customFormat="1" ht="20" hidden="1" outlineLevel="1">
      <c r="A129" s="749" t="s">
        <v>361</v>
      </c>
      <c r="B129" s="355"/>
      <c r="C129" s="355"/>
      <c r="D129" s="355"/>
      <c r="F129" s="354">
        <f>F130</f>
        <v>212</v>
      </c>
      <c r="G129" s="354">
        <f>F129</f>
        <v>212</v>
      </c>
      <c r="H129" s="354">
        <f t="shared" ref="H129:I133" si="186">G129</f>
        <v>212</v>
      </c>
      <c r="I129" s="354">
        <f t="shared" si="186"/>
        <v>212</v>
      </c>
      <c r="J129" s="782"/>
      <c r="K129" s="43"/>
      <c r="L129" s="783">
        <f>F129</f>
        <v>212</v>
      </c>
      <c r="M129" s="783">
        <f>G129</f>
        <v>212</v>
      </c>
      <c r="N129" s="783">
        <f t="shared" ref="N129:O129" si="187">H129</f>
        <v>212</v>
      </c>
      <c r="O129" s="783">
        <f t="shared" si="187"/>
        <v>212</v>
      </c>
      <c r="P129" s="784"/>
      <c r="Q129" s="785"/>
      <c r="R129" s="783">
        <f>L129</f>
        <v>212</v>
      </c>
      <c r="S129" s="783">
        <f t="shared" ref="S129:U129" si="188">M129</f>
        <v>212</v>
      </c>
      <c r="T129" s="783">
        <f t="shared" si="188"/>
        <v>212</v>
      </c>
      <c r="U129" s="783">
        <f t="shared" si="188"/>
        <v>212</v>
      </c>
      <c r="V129" s="786"/>
      <c r="W129" s="787"/>
      <c r="X129" s="783">
        <f>R129</f>
        <v>212</v>
      </c>
      <c r="Y129" s="783">
        <f t="shared" ref="Y129:AA130" si="189">S129</f>
        <v>212</v>
      </c>
      <c r="Z129" s="783">
        <f t="shared" si="189"/>
        <v>212</v>
      </c>
      <c r="AA129" s="783">
        <f t="shared" si="189"/>
        <v>212</v>
      </c>
      <c r="AB129" s="786"/>
      <c r="AC129" s="851"/>
      <c r="AD129" s="354">
        <f>L129</f>
        <v>212</v>
      </c>
      <c r="AE129" s="354">
        <f>M129</f>
        <v>212</v>
      </c>
      <c r="AF129" s="354">
        <f>N129</f>
        <v>212</v>
      </c>
      <c r="AG129" s="354">
        <f>O129</f>
        <v>212</v>
      </c>
      <c r="AH129" s="852"/>
      <c r="AI129" s="782"/>
      <c r="AJ129" s="788"/>
      <c r="AK129" s="788"/>
      <c r="AL129" s="788"/>
      <c r="AM129" s="788"/>
      <c r="AN129" s="788"/>
      <c r="AO129" s="788"/>
      <c r="AP129" s="789"/>
      <c r="AQ129" s="789"/>
      <c r="AR129" s="789"/>
      <c r="AS129" s="789"/>
      <c r="AT129" s="789"/>
      <c r="AU129" s="789"/>
      <c r="BB129" s="789"/>
      <c r="BC129" s="789"/>
      <c r="BD129" s="789"/>
      <c r="BE129" s="789"/>
      <c r="BF129" s="789"/>
      <c r="BG129" s="789"/>
      <c r="BH129" s="789"/>
      <c r="BI129" s="789"/>
      <c r="BJ129" s="789"/>
      <c r="BK129" s="789"/>
      <c r="BL129" s="789"/>
      <c r="BM129" s="789"/>
    </row>
    <row r="130" spans="1:65" s="440" customFormat="1" ht="20" hidden="1" outlineLevel="1">
      <c r="A130" s="747" t="s">
        <v>504</v>
      </c>
      <c r="B130" s="13"/>
      <c r="C130" s="13"/>
      <c r="D130" s="13"/>
      <c r="F130" s="169">
        <f>F151</f>
        <v>212</v>
      </c>
      <c r="G130" s="169">
        <f>F130</f>
        <v>212</v>
      </c>
      <c r="H130" s="169">
        <f t="shared" si="186"/>
        <v>212</v>
      </c>
      <c r="I130" s="169">
        <f t="shared" si="186"/>
        <v>212</v>
      </c>
      <c r="J130" s="520"/>
      <c r="K130" s="542"/>
      <c r="L130" s="169">
        <f>L151</f>
        <v>212</v>
      </c>
      <c r="M130" s="169">
        <f>M151</f>
        <v>212</v>
      </c>
      <c r="N130" s="169">
        <f>N151</f>
        <v>212</v>
      </c>
      <c r="O130" s="169">
        <f>O151</f>
        <v>212</v>
      </c>
      <c r="P130" s="543"/>
      <c r="Q130" s="542"/>
      <c r="R130" s="169">
        <f>R151</f>
        <v>212</v>
      </c>
      <c r="S130" s="169">
        <f>S151</f>
        <v>212</v>
      </c>
      <c r="T130" s="169">
        <f>T151</f>
        <v>212</v>
      </c>
      <c r="U130" s="169">
        <f>U151</f>
        <v>212</v>
      </c>
      <c r="V130" s="442"/>
      <c r="W130" s="563"/>
      <c r="X130" s="169">
        <f>R130</f>
        <v>212</v>
      </c>
      <c r="Y130" s="169">
        <f t="shared" si="189"/>
        <v>212</v>
      </c>
      <c r="Z130" s="169">
        <f t="shared" si="189"/>
        <v>212</v>
      </c>
      <c r="AA130" s="169">
        <f t="shared" si="189"/>
        <v>212</v>
      </c>
      <c r="AB130" s="442"/>
      <c r="AC130" s="849"/>
      <c r="AD130" s="169">
        <f>X130</f>
        <v>212</v>
      </c>
      <c r="AE130" s="169">
        <f t="shared" ref="AE130:AG130" si="190">Y130</f>
        <v>212</v>
      </c>
      <c r="AF130" s="169">
        <f t="shared" si="190"/>
        <v>212</v>
      </c>
      <c r="AG130" s="169">
        <f t="shared" si="190"/>
        <v>212</v>
      </c>
      <c r="AH130" s="850"/>
      <c r="AI130" s="520"/>
      <c r="AJ130" s="439"/>
      <c r="AK130" s="439"/>
      <c r="AL130" s="439"/>
      <c r="AM130" s="439"/>
      <c r="AN130" s="439"/>
      <c r="AO130" s="439"/>
      <c r="AP130" s="443"/>
      <c r="AQ130" s="443"/>
      <c r="AR130" s="443"/>
      <c r="AS130" s="443"/>
      <c r="AT130" s="443"/>
      <c r="AU130" s="443"/>
      <c r="BB130" s="443"/>
      <c r="BC130" s="443"/>
      <c r="BD130" s="443"/>
      <c r="BE130" s="443"/>
      <c r="BF130" s="443"/>
      <c r="BG130" s="443"/>
      <c r="BH130" s="443"/>
      <c r="BI130" s="443"/>
      <c r="BJ130" s="443"/>
      <c r="BK130" s="443"/>
      <c r="BL130" s="443"/>
      <c r="BM130" s="443"/>
    </row>
    <row r="131" spans="1:65" s="440" customFormat="1" ht="20" hidden="1" outlineLevel="1">
      <c r="A131" s="747" t="s">
        <v>505</v>
      </c>
      <c r="B131" s="13"/>
      <c r="C131" s="13"/>
      <c r="D131" s="13"/>
      <c r="F131" s="255">
        <f>2.7*10</f>
        <v>27</v>
      </c>
      <c r="G131" s="255">
        <f>F131</f>
        <v>27</v>
      </c>
      <c r="H131" s="255">
        <f t="shared" si="186"/>
        <v>27</v>
      </c>
      <c r="I131" s="255">
        <f t="shared" si="186"/>
        <v>27</v>
      </c>
      <c r="J131" s="520"/>
      <c r="K131" s="542"/>
      <c r="L131" s="255">
        <f>2.7*10</f>
        <v>27</v>
      </c>
      <c r="M131" s="255">
        <f>L131</f>
        <v>27</v>
      </c>
      <c r="N131" s="255">
        <f t="shared" ref="N131:O132" si="191">M131</f>
        <v>27</v>
      </c>
      <c r="O131" s="255">
        <f t="shared" si="191"/>
        <v>27</v>
      </c>
      <c r="P131" s="543"/>
      <c r="Q131" s="542"/>
      <c r="R131" s="255">
        <f>2.7*10</f>
        <v>27</v>
      </c>
      <c r="S131" s="255">
        <f>R131</f>
        <v>27</v>
      </c>
      <c r="T131" s="255">
        <f t="shared" ref="T131:U132" si="192">S131</f>
        <v>27</v>
      </c>
      <c r="U131" s="255">
        <f t="shared" si="192"/>
        <v>27</v>
      </c>
      <c r="V131" s="442"/>
      <c r="W131" s="563"/>
      <c r="X131" s="255">
        <f>2.7*10</f>
        <v>27</v>
      </c>
      <c r="Y131" s="255">
        <f>X131</f>
        <v>27</v>
      </c>
      <c r="Z131" s="255">
        <f t="shared" ref="Z131:AA132" si="193">Y131</f>
        <v>27</v>
      </c>
      <c r="AA131" s="255">
        <f t="shared" si="193"/>
        <v>27</v>
      </c>
      <c r="AB131" s="442"/>
      <c r="AC131" s="849"/>
      <c r="AD131" s="255">
        <f>2.7*10</f>
        <v>27</v>
      </c>
      <c r="AE131" s="255">
        <f>AD131</f>
        <v>27</v>
      </c>
      <c r="AF131" s="255">
        <f t="shared" ref="AF131:AG132" si="194">AE131</f>
        <v>27</v>
      </c>
      <c r="AG131" s="255">
        <f t="shared" si="194"/>
        <v>27</v>
      </c>
      <c r="AH131" s="850"/>
      <c r="AI131" s="520"/>
      <c r="AJ131" s="439"/>
      <c r="AK131" s="439"/>
      <c r="AL131" s="439"/>
      <c r="AM131" s="439"/>
      <c r="AN131" s="439"/>
      <c r="AO131" s="439"/>
      <c r="AP131" s="443"/>
      <c r="AQ131" s="443"/>
      <c r="AR131" s="443"/>
      <c r="AS131" s="443"/>
      <c r="AT131" s="443"/>
      <c r="AU131" s="443"/>
      <c r="BB131" s="443"/>
      <c r="BC131" s="443"/>
      <c r="BD131" s="443"/>
      <c r="BE131" s="443"/>
      <c r="BF131" s="443"/>
      <c r="BG131" s="443"/>
      <c r="BH131" s="443"/>
      <c r="BI131" s="443"/>
      <c r="BJ131" s="443"/>
      <c r="BK131" s="443"/>
      <c r="BL131" s="443"/>
      <c r="BM131" s="443"/>
    </row>
    <row r="132" spans="1:65" s="440" customFormat="1" ht="40" hidden="1" outlineLevel="1">
      <c r="A132" s="747" t="s">
        <v>511</v>
      </c>
      <c r="B132" s="13"/>
      <c r="C132" s="13"/>
      <c r="D132" s="13"/>
      <c r="F132" s="169">
        <f>2.7*2</f>
        <v>5.4</v>
      </c>
      <c r="G132" s="169">
        <f>F132</f>
        <v>5.4</v>
      </c>
      <c r="H132" s="169">
        <f t="shared" si="186"/>
        <v>5.4</v>
      </c>
      <c r="I132" s="169">
        <f t="shared" si="186"/>
        <v>5.4</v>
      </c>
      <c r="J132" s="520"/>
      <c r="K132" s="542"/>
      <c r="L132" s="169">
        <f>2.7*2</f>
        <v>5.4</v>
      </c>
      <c r="M132" s="169">
        <f>L132</f>
        <v>5.4</v>
      </c>
      <c r="N132" s="169">
        <f t="shared" si="191"/>
        <v>5.4</v>
      </c>
      <c r="O132" s="169">
        <f t="shared" si="191"/>
        <v>5.4</v>
      </c>
      <c r="P132" s="543"/>
      <c r="Q132" s="542"/>
      <c r="R132" s="169">
        <f>2.7*2</f>
        <v>5.4</v>
      </c>
      <c r="S132" s="169">
        <f>R132</f>
        <v>5.4</v>
      </c>
      <c r="T132" s="169">
        <f t="shared" si="192"/>
        <v>5.4</v>
      </c>
      <c r="U132" s="169">
        <f t="shared" si="192"/>
        <v>5.4</v>
      </c>
      <c r="V132" s="442"/>
      <c r="W132" s="563"/>
      <c r="X132" s="169">
        <f>2.7*2</f>
        <v>5.4</v>
      </c>
      <c r="Y132" s="169">
        <f>X132</f>
        <v>5.4</v>
      </c>
      <c r="Z132" s="169">
        <f t="shared" si="193"/>
        <v>5.4</v>
      </c>
      <c r="AA132" s="169">
        <f t="shared" si="193"/>
        <v>5.4</v>
      </c>
      <c r="AB132" s="442"/>
      <c r="AC132" s="849"/>
      <c r="AD132" s="169">
        <f>2.7*2</f>
        <v>5.4</v>
      </c>
      <c r="AE132" s="169">
        <f>AD132</f>
        <v>5.4</v>
      </c>
      <c r="AF132" s="169">
        <f t="shared" si="194"/>
        <v>5.4</v>
      </c>
      <c r="AG132" s="169">
        <f t="shared" si="194"/>
        <v>5.4</v>
      </c>
      <c r="AH132" s="850"/>
      <c r="AI132" s="520"/>
      <c r="AJ132" s="439"/>
      <c r="AK132" s="439"/>
      <c r="AL132" s="439"/>
      <c r="AM132" s="439"/>
      <c r="AN132" s="439"/>
      <c r="AO132" s="439"/>
      <c r="AP132" s="443"/>
      <c r="AQ132" s="443"/>
      <c r="AR132" s="443"/>
      <c r="AS132" s="443"/>
      <c r="AT132" s="443"/>
      <c r="AU132" s="443"/>
      <c r="BB132" s="443"/>
      <c r="BC132" s="443"/>
      <c r="BD132" s="443"/>
      <c r="BE132" s="443"/>
      <c r="BF132" s="443"/>
      <c r="BG132" s="443"/>
      <c r="BH132" s="443"/>
      <c r="BI132" s="443"/>
      <c r="BJ132" s="443"/>
      <c r="BK132" s="443"/>
      <c r="BL132" s="443"/>
      <c r="BM132" s="443"/>
    </row>
    <row r="133" spans="1:65" s="440" customFormat="1" ht="20" hidden="1" outlineLevel="1">
      <c r="A133" s="747" t="s">
        <v>514</v>
      </c>
      <c r="B133" s="13"/>
      <c r="C133" s="13"/>
      <c r="D133" s="13"/>
      <c r="F133" s="818">
        <v>0.35</v>
      </c>
      <c r="G133" s="818">
        <f>F133</f>
        <v>0.35</v>
      </c>
      <c r="H133" s="818">
        <f t="shared" si="186"/>
        <v>0.35</v>
      </c>
      <c r="I133" s="818">
        <f t="shared" si="186"/>
        <v>0.35</v>
      </c>
      <c r="J133" s="520"/>
      <c r="K133" s="542"/>
      <c r="L133" s="818">
        <f>F133</f>
        <v>0.35</v>
      </c>
      <c r="M133" s="648">
        <f>G133</f>
        <v>0.35</v>
      </c>
      <c r="N133" s="648">
        <f t="shared" ref="N133:O133" si="195">H133</f>
        <v>0.35</v>
      </c>
      <c r="O133" s="648">
        <f t="shared" si="195"/>
        <v>0.35</v>
      </c>
      <c r="P133" s="543"/>
      <c r="Q133" s="542"/>
      <c r="R133" s="818">
        <f>L133</f>
        <v>0.35</v>
      </c>
      <c r="S133" s="648">
        <f>M133</f>
        <v>0.35</v>
      </c>
      <c r="T133" s="648">
        <f t="shared" ref="T133:U133" si="196">N133</f>
        <v>0.35</v>
      </c>
      <c r="U133" s="648">
        <f t="shared" si="196"/>
        <v>0.35</v>
      </c>
      <c r="V133" s="442"/>
      <c r="W133" s="563"/>
      <c r="X133" s="818">
        <f>R133</f>
        <v>0.35</v>
      </c>
      <c r="Y133" s="648">
        <f>S133</f>
        <v>0.35</v>
      </c>
      <c r="Z133" s="648">
        <f t="shared" ref="Z133:AA133" si="197">T133</f>
        <v>0.35</v>
      </c>
      <c r="AA133" s="648">
        <f t="shared" si="197"/>
        <v>0.35</v>
      </c>
      <c r="AB133" s="442"/>
      <c r="AC133" s="849"/>
      <c r="AD133" s="817">
        <f>X133</f>
        <v>0.35</v>
      </c>
      <c r="AE133" s="648">
        <f>Y133</f>
        <v>0.35</v>
      </c>
      <c r="AF133" s="648">
        <f t="shared" ref="AF133:AG133" si="198">Z133</f>
        <v>0.35</v>
      </c>
      <c r="AG133" s="648">
        <f t="shared" si="198"/>
        <v>0.35</v>
      </c>
      <c r="AH133" s="850"/>
      <c r="AI133" s="520"/>
      <c r="AJ133" s="439"/>
      <c r="AK133" s="439"/>
      <c r="AL133" s="439"/>
      <c r="AM133" s="439"/>
      <c r="AN133" s="439"/>
      <c r="AO133" s="439"/>
      <c r="AP133" s="443"/>
      <c r="AQ133" s="443"/>
      <c r="AR133" s="443"/>
      <c r="AS133" s="443"/>
      <c r="AT133" s="443"/>
      <c r="AU133" s="443"/>
      <c r="BB133" s="443"/>
      <c r="BC133" s="443"/>
      <c r="BD133" s="443"/>
      <c r="BE133" s="443"/>
      <c r="BF133" s="443"/>
      <c r="BG133" s="443"/>
      <c r="BH133" s="443"/>
      <c r="BI133" s="443"/>
      <c r="BJ133" s="443"/>
      <c r="BK133" s="443"/>
      <c r="BL133" s="443"/>
      <c r="BM133" s="443"/>
    </row>
    <row r="134" spans="1:65" s="440" customFormat="1" ht="20" hidden="1" outlineLevel="1">
      <c r="A134" s="747" t="s">
        <v>515</v>
      </c>
      <c r="B134" s="13"/>
      <c r="C134" s="13"/>
      <c r="D134" s="13"/>
      <c r="F134" s="818">
        <f>60%*F133</f>
        <v>0.21</v>
      </c>
      <c r="G134" s="818">
        <f t="shared" ref="G134:I134" si="199">60%*G133</f>
        <v>0.21</v>
      </c>
      <c r="H134" s="818">
        <f t="shared" si="199"/>
        <v>0.21</v>
      </c>
      <c r="I134" s="818">
        <f t="shared" si="199"/>
        <v>0.21</v>
      </c>
      <c r="J134" s="520"/>
      <c r="K134" s="542"/>
      <c r="L134" s="818">
        <f>F134</f>
        <v>0.21</v>
      </c>
      <c r="M134" s="818">
        <f>L134</f>
        <v>0.21</v>
      </c>
      <c r="N134" s="818">
        <f>M134</f>
        <v>0.21</v>
      </c>
      <c r="O134" s="818">
        <f>N134</f>
        <v>0.21</v>
      </c>
      <c r="P134" s="543"/>
      <c r="Q134" s="542"/>
      <c r="R134" s="818">
        <f>L134</f>
        <v>0.21</v>
      </c>
      <c r="S134" s="818">
        <f>R134</f>
        <v>0.21</v>
      </c>
      <c r="T134" s="818">
        <f>S134</f>
        <v>0.21</v>
      </c>
      <c r="U134" s="818">
        <f>T134</f>
        <v>0.21</v>
      </c>
      <c r="V134" s="442"/>
      <c r="W134" s="563"/>
      <c r="X134" s="818">
        <f>R134</f>
        <v>0.21</v>
      </c>
      <c r="Y134" s="818">
        <f>X134</f>
        <v>0.21</v>
      </c>
      <c r="Z134" s="818">
        <f>Y134</f>
        <v>0.21</v>
      </c>
      <c r="AA134" s="818">
        <f>Z134</f>
        <v>0.21</v>
      </c>
      <c r="AB134" s="442"/>
      <c r="AC134" s="849"/>
      <c r="AD134" s="817">
        <f>X134</f>
        <v>0.21</v>
      </c>
      <c r="AE134" s="817">
        <f>AD134</f>
        <v>0.21</v>
      </c>
      <c r="AF134" s="817">
        <f>AE134</f>
        <v>0.21</v>
      </c>
      <c r="AG134" s="817">
        <f>AF134</f>
        <v>0.21</v>
      </c>
      <c r="AH134" s="850"/>
      <c r="AI134" s="520"/>
      <c r="AJ134" s="439"/>
      <c r="AK134" s="439"/>
      <c r="AL134" s="439"/>
      <c r="AM134" s="439"/>
      <c r="AN134" s="439"/>
      <c r="AO134" s="439"/>
      <c r="AP134" s="443"/>
      <c r="AQ134" s="443"/>
      <c r="AR134" s="443"/>
      <c r="AS134" s="443"/>
      <c r="AT134" s="443"/>
      <c r="AU134" s="443"/>
      <c r="BB134" s="443"/>
      <c r="BC134" s="443"/>
      <c r="BD134" s="443"/>
      <c r="BE134" s="443"/>
      <c r="BF134" s="443"/>
      <c r="BG134" s="443"/>
      <c r="BH134" s="443"/>
      <c r="BI134" s="443"/>
      <c r="BJ134" s="443"/>
      <c r="BK134" s="443"/>
      <c r="BL134" s="443"/>
      <c r="BM134" s="443"/>
    </row>
    <row r="135" spans="1:65" s="440" customFormat="1" hidden="1" outlineLevel="1">
      <c r="A135" s="747"/>
      <c r="B135" s="13"/>
      <c r="C135" s="13"/>
      <c r="D135" s="13"/>
      <c r="F135" s="818"/>
      <c r="G135" s="818"/>
      <c r="H135" s="818"/>
      <c r="I135" s="818"/>
      <c r="J135" s="520"/>
      <c r="K135" s="542"/>
      <c r="L135" s="443"/>
      <c r="M135" s="443"/>
      <c r="N135" s="443"/>
      <c r="O135" s="443"/>
      <c r="P135" s="543"/>
      <c r="Q135" s="542"/>
      <c r="R135" s="442"/>
      <c r="S135" s="442"/>
      <c r="T135" s="442"/>
      <c r="U135" s="442"/>
      <c r="V135" s="442"/>
      <c r="W135" s="563"/>
      <c r="X135" s="442"/>
      <c r="Y135" s="442"/>
      <c r="Z135" s="442"/>
      <c r="AA135" s="442"/>
      <c r="AB135" s="442"/>
      <c r="AC135" s="849"/>
      <c r="AD135" s="442"/>
      <c r="AE135" s="442"/>
      <c r="AF135" s="442"/>
      <c r="AG135" s="442"/>
      <c r="AH135" s="850"/>
      <c r="AI135" s="520"/>
      <c r="AJ135" s="439"/>
      <c r="AK135" s="439"/>
      <c r="AL135" s="439"/>
      <c r="AM135" s="439"/>
      <c r="AN135" s="439"/>
      <c r="AO135" s="439"/>
      <c r="AP135" s="443"/>
      <c r="AQ135" s="443"/>
      <c r="AR135" s="443"/>
      <c r="AS135" s="443"/>
      <c r="AT135" s="443"/>
      <c r="AU135" s="443"/>
      <c r="BB135" s="443"/>
      <c r="BC135" s="443"/>
      <c r="BD135" s="443"/>
      <c r="BE135" s="443"/>
      <c r="BF135" s="443"/>
      <c r="BG135" s="443"/>
      <c r="BH135" s="443"/>
      <c r="BI135" s="443"/>
      <c r="BJ135" s="443"/>
      <c r="BK135" s="443"/>
      <c r="BL135" s="443"/>
      <c r="BM135" s="443"/>
    </row>
    <row r="136" spans="1:65" s="425" customFormat="1" ht="40" hidden="1" outlineLevel="1">
      <c r="A136" s="749" t="s">
        <v>356</v>
      </c>
      <c r="B136" s="355"/>
      <c r="C136" s="355"/>
      <c r="D136" s="355"/>
      <c r="E136" s="452"/>
      <c r="F136" s="438">
        <f>F147</f>
        <v>1600</v>
      </c>
      <c r="G136" s="354">
        <f>F136</f>
        <v>1600</v>
      </c>
      <c r="H136" s="354">
        <f t="shared" ref="H136:I136" si="200">G136</f>
        <v>1600</v>
      </c>
      <c r="I136" s="354">
        <f t="shared" si="200"/>
        <v>1600</v>
      </c>
      <c r="J136" s="498"/>
      <c r="K136" s="541"/>
      <c r="L136" s="361">
        <v>0</v>
      </c>
      <c r="M136" s="361">
        <f>L136</f>
        <v>0</v>
      </c>
      <c r="N136" s="361">
        <f t="shared" ref="N136:O136" si="201">M136</f>
        <v>0</v>
      </c>
      <c r="O136" s="361">
        <f t="shared" si="201"/>
        <v>0</v>
      </c>
      <c r="P136" s="503"/>
      <c r="Q136" s="529"/>
      <c r="R136" s="361">
        <v>0</v>
      </c>
      <c r="S136" s="361">
        <f>R136</f>
        <v>0</v>
      </c>
      <c r="T136" s="361">
        <f t="shared" ref="T136:U136" si="202">S136</f>
        <v>0</v>
      </c>
      <c r="U136" s="361">
        <f t="shared" si="202"/>
        <v>0</v>
      </c>
      <c r="V136" s="361"/>
      <c r="W136" s="558"/>
      <c r="X136" s="361">
        <v>0</v>
      </c>
      <c r="Y136" s="361">
        <f>X136</f>
        <v>0</v>
      </c>
      <c r="Z136" s="361">
        <f t="shared" ref="Z136:AB136" si="203">Y136</f>
        <v>0</v>
      </c>
      <c r="AA136" s="361">
        <f t="shared" si="203"/>
        <v>0</v>
      </c>
      <c r="AB136" s="361">
        <f t="shared" si="203"/>
        <v>0</v>
      </c>
      <c r="AC136" s="826"/>
      <c r="AD136" s="361">
        <f>L136</f>
        <v>0</v>
      </c>
      <c r="AE136" s="361">
        <f>M136</f>
        <v>0</v>
      </c>
      <c r="AF136" s="361">
        <f>N136</f>
        <v>0</v>
      </c>
      <c r="AG136" s="361">
        <f>O136</f>
        <v>0</v>
      </c>
      <c r="AH136" s="827"/>
      <c r="AI136" s="498"/>
      <c r="AJ136" s="355"/>
      <c r="AK136" s="355"/>
      <c r="AL136" s="355"/>
      <c r="AM136" s="355"/>
      <c r="AN136" s="355"/>
      <c r="AO136" s="355"/>
      <c r="AP136" s="43"/>
      <c r="AQ136" s="43"/>
      <c r="AR136" s="43"/>
      <c r="AS136" s="43"/>
      <c r="AT136" s="43"/>
      <c r="AU136" s="43"/>
      <c r="BB136" s="463" t="s">
        <v>141</v>
      </c>
      <c r="BC136" s="43"/>
      <c r="BD136" s="43"/>
      <c r="BE136" s="43"/>
      <c r="BF136" s="43"/>
      <c r="BG136" s="43"/>
      <c r="BH136" s="43" t="s">
        <v>33</v>
      </c>
      <c r="BI136" s="43"/>
      <c r="BJ136" s="43"/>
      <c r="BK136" s="43"/>
      <c r="BL136" s="43"/>
      <c r="BM136" s="43"/>
    </row>
    <row r="137" spans="1:65" s="440" customFormat="1" hidden="1" outlineLevel="1">
      <c r="A137" s="747"/>
      <c r="B137" s="13"/>
      <c r="C137" s="13"/>
      <c r="D137" s="13"/>
      <c r="F137" s="818"/>
      <c r="G137" s="442"/>
      <c r="H137" s="442"/>
      <c r="I137" s="442"/>
      <c r="J137" s="520"/>
      <c r="K137" s="542"/>
      <c r="L137" s="443"/>
      <c r="M137" s="443"/>
      <c r="N137" s="443"/>
      <c r="O137" s="443"/>
      <c r="P137" s="543"/>
      <c r="Q137" s="542"/>
      <c r="R137" s="442"/>
      <c r="S137" s="442"/>
      <c r="T137" s="442"/>
      <c r="U137" s="442"/>
      <c r="V137" s="442"/>
      <c r="W137" s="563"/>
      <c r="X137" s="442"/>
      <c r="Y137" s="442"/>
      <c r="Z137" s="442"/>
      <c r="AA137" s="442"/>
      <c r="AB137" s="442"/>
      <c r="AC137" s="849"/>
      <c r="AD137" s="442"/>
      <c r="AE137" s="442"/>
      <c r="AF137" s="442"/>
      <c r="AG137" s="442"/>
      <c r="AH137" s="850"/>
      <c r="AI137" s="520"/>
      <c r="AJ137" s="439"/>
      <c r="AK137" s="439"/>
      <c r="AL137" s="439"/>
      <c r="AM137" s="439"/>
      <c r="AN137" s="439"/>
      <c r="AO137" s="439"/>
      <c r="AP137" s="443"/>
      <c r="AQ137" s="443"/>
      <c r="AR137" s="443"/>
      <c r="AS137" s="443"/>
      <c r="AT137" s="443"/>
      <c r="AU137" s="443"/>
      <c r="BB137" s="443"/>
      <c r="BC137" s="443"/>
      <c r="BD137" s="443"/>
      <c r="BE137" s="443"/>
      <c r="BF137" s="443"/>
      <c r="BG137" s="443"/>
      <c r="BH137" s="443"/>
      <c r="BI137" s="443"/>
      <c r="BJ137" s="443"/>
      <c r="BK137" s="443"/>
      <c r="BL137" s="443"/>
      <c r="BM137" s="443"/>
    </row>
    <row r="138" spans="1:65" s="440" customFormat="1" hidden="1" outlineLevel="1">
      <c r="A138" s="747"/>
      <c r="B138" s="13"/>
      <c r="C138" s="13"/>
      <c r="D138" s="13"/>
      <c r="F138" s="818"/>
      <c r="G138" s="442"/>
      <c r="H138" s="442"/>
      <c r="I138" s="442"/>
      <c r="J138" s="520"/>
      <c r="K138" s="542"/>
      <c r="L138" s="443"/>
      <c r="M138" s="443"/>
      <c r="N138" s="443"/>
      <c r="O138" s="443"/>
      <c r="P138" s="543"/>
      <c r="Q138" s="542"/>
      <c r="R138" s="442"/>
      <c r="S138" s="442"/>
      <c r="T138" s="442"/>
      <c r="U138" s="442"/>
      <c r="V138" s="442"/>
      <c r="W138" s="563"/>
      <c r="X138" s="442"/>
      <c r="Y138" s="442"/>
      <c r="Z138" s="442"/>
      <c r="AA138" s="442"/>
      <c r="AB138" s="442"/>
      <c r="AC138" s="849"/>
      <c r="AD138" s="442"/>
      <c r="AE138" s="442"/>
      <c r="AF138" s="442"/>
      <c r="AG138" s="442"/>
      <c r="AH138" s="850"/>
      <c r="AI138" s="520"/>
      <c r="AJ138" s="439"/>
      <c r="AK138" s="439"/>
      <c r="AL138" s="439"/>
      <c r="AM138" s="439"/>
      <c r="AN138" s="439"/>
      <c r="AO138" s="439"/>
      <c r="AP138" s="443"/>
      <c r="AQ138" s="443"/>
      <c r="AR138" s="443"/>
      <c r="AS138" s="443"/>
      <c r="AT138" s="443"/>
      <c r="AU138" s="443"/>
      <c r="BB138" s="443"/>
      <c r="BC138" s="443"/>
      <c r="BD138" s="443"/>
      <c r="BE138" s="443"/>
      <c r="BF138" s="443"/>
      <c r="BG138" s="443"/>
      <c r="BH138" s="443"/>
      <c r="BI138" s="443"/>
      <c r="BJ138" s="443"/>
      <c r="BK138" s="443"/>
      <c r="BL138" s="443"/>
      <c r="BM138" s="443"/>
    </row>
    <row r="139" spans="1:65" s="446" customFormat="1" ht="20" hidden="1" outlineLevel="1">
      <c r="A139" s="759" t="s">
        <v>362</v>
      </c>
      <c r="B139" s="383"/>
      <c r="C139" s="383"/>
      <c r="D139" s="383"/>
      <c r="E139" s="737"/>
      <c r="F139" s="384"/>
      <c r="G139" s="383"/>
      <c r="H139" s="383"/>
      <c r="I139" s="383"/>
      <c r="J139" s="523"/>
      <c r="K139" s="546"/>
      <c r="L139" s="385"/>
      <c r="M139" s="385"/>
      <c r="N139" s="385"/>
      <c r="O139" s="385"/>
      <c r="P139" s="547"/>
      <c r="Q139" s="556"/>
      <c r="R139" s="385"/>
      <c r="S139" s="385"/>
      <c r="T139" s="385"/>
      <c r="U139" s="385"/>
      <c r="V139" s="385"/>
      <c r="W139" s="565"/>
      <c r="X139" s="383"/>
      <c r="Y139" s="383"/>
      <c r="Z139" s="383"/>
      <c r="AA139" s="383"/>
      <c r="AB139" s="383"/>
      <c r="AC139" s="845"/>
      <c r="AD139" s="383"/>
      <c r="AE139" s="383"/>
      <c r="AF139" s="383"/>
      <c r="AG139" s="383"/>
      <c r="AH139" s="846"/>
      <c r="AI139" s="523"/>
      <c r="AJ139" s="383"/>
      <c r="AK139" s="383"/>
      <c r="AL139" s="383"/>
      <c r="AM139" s="383"/>
      <c r="AN139" s="383"/>
      <c r="AO139" s="383"/>
      <c r="AP139" s="385"/>
      <c r="AQ139" s="385"/>
      <c r="AR139" s="385"/>
      <c r="AS139" s="385"/>
      <c r="AT139" s="385"/>
      <c r="AU139" s="385"/>
      <c r="BB139" s="445" t="s">
        <v>141</v>
      </c>
      <c r="BC139" s="385"/>
      <c r="BD139" s="385"/>
      <c r="BE139" s="385"/>
      <c r="BF139" s="385"/>
      <c r="BG139" s="385"/>
      <c r="BH139" s="385" t="s">
        <v>33</v>
      </c>
      <c r="BI139" s="385"/>
      <c r="BJ139" s="385"/>
      <c r="BK139" s="385"/>
      <c r="BL139" s="385"/>
      <c r="BM139" s="385"/>
    </row>
    <row r="140" spans="1:65" s="489" customFormat="1" ht="20" hidden="1" outlineLevel="1">
      <c r="A140" s="758" t="s">
        <v>357</v>
      </c>
      <c r="B140" s="259"/>
      <c r="C140" s="259"/>
      <c r="D140" s="259"/>
      <c r="E140" s="734"/>
      <c r="F140" s="779">
        <v>37600</v>
      </c>
      <c r="G140" s="779">
        <f>F140</f>
        <v>37600</v>
      </c>
      <c r="H140" s="779">
        <f t="shared" ref="H140:I144" si="204">G140</f>
        <v>37600</v>
      </c>
      <c r="I140" s="779">
        <f t="shared" si="204"/>
        <v>37600</v>
      </c>
      <c r="J140" s="773"/>
      <c r="K140" s="129"/>
      <c r="L140" s="774">
        <f t="shared" ref="L140:O145" si="205">F140</f>
        <v>37600</v>
      </c>
      <c r="M140" s="774">
        <f t="shared" si="205"/>
        <v>37600</v>
      </c>
      <c r="N140" s="774">
        <f t="shared" si="205"/>
        <v>37600</v>
      </c>
      <c r="O140" s="774">
        <f t="shared" si="205"/>
        <v>37600</v>
      </c>
      <c r="P140" s="773"/>
      <c r="Q140" s="129"/>
      <c r="R140" s="774">
        <f>L140</f>
        <v>37600</v>
      </c>
      <c r="S140" s="728">
        <f>M140</f>
        <v>37600</v>
      </c>
      <c r="T140" s="728">
        <f>N140</f>
        <v>37600</v>
      </c>
      <c r="U140" s="728">
        <f>O140</f>
        <v>37600</v>
      </c>
      <c r="W140" s="775"/>
      <c r="AC140" s="853"/>
      <c r="AH140" s="854"/>
      <c r="AI140" s="776"/>
      <c r="BC140" s="21"/>
      <c r="BD140" s="21"/>
      <c r="BE140" s="21"/>
      <c r="BF140" s="21"/>
      <c r="BG140" s="21"/>
      <c r="BH140" s="21" t="s">
        <v>33</v>
      </c>
      <c r="BI140" s="21"/>
      <c r="BJ140" s="21"/>
      <c r="BK140" s="21"/>
      <c r="BL140" s="21"/>
      <c r="BM140" s="21"/>
    </row>
    <row r="141" spans="1:65" s="489" customFormat="1" ht="20" hidden="1" outlineLevel="1">
      <c r="A141" s="777" t="s">
        <v>323</v>
      </c>
      <c r="B141" s="949"/>
      <c r="C141" s="949"/>
      <c r="D141" s="949"/>
      <c r="E141" s="734"/>
      <c r="F141" s="780">
        <v>13400</v>
      </c>
      <c r="G141" s="779">
        <f>F141</f>
        <v>13400</v>
      </c>
      <c r="H141" s="779">
        <f t="shared" si="204"/>
        <v>13400</v>
      </c>
      <c r="I141" s="779">
        <f t="shared" si="204"/>
        <v>13400</v>
      </c>
      <c r="J141" s="773"/>
      <c r="K141" s="505"/>
      <c r="L141" s="728">
        <f t="shared" si="205"/>
        <v>13400</v>
      </c>
      <c r="M141" s="728">
        <f t="shared" si="205"/>
        <v>13400</v>
      </c>
      <c r="N141" s="728">
        <f t="shared" si="205"/>
        <v>13400</v>
      </c>
      <c r="O141" s="728">
        <f t="shared" si="205"/>
        <v>13400</v>
      </c>
      <c r="P141" s="773"/>
      <c r="Q141" s="505"/>
      <c r="R141" s="728">
        <v>13100</v>
      </c>
      <c r="S141" s="728">
        <f>R141</f>
        <v>13100</v>
      </c>
      <c r="T141" s="728">
        <f t="shared" ref="T141:U141" si="206">S141</f>
        <v>13100</v>
      </c>
      <c r="U141" s="728">
        <f t="shared" si="206"/>
        <v>13100</v>
      </c>
      <c r="W141" s="775"/>
      <c r="AC141" s="853"/>
      <c r="AH141" s="854"/>
      <c r="AI141" s="776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</row>
    <row r="142" spans="1:65" ht="20" hidden="1" outlineLevel="1">
      <c r="A142" s="760" t="s">
        <v>284</v>
      </c>
      <c r="B142" s="80"/>
      <c r="C142" s="80"/>
      <c r="D142" s="80"/>
      <c r="E142" s="423"/>
      <c r="F142" s="1">
        <v>5700</v>
      </c>
      <c r="G142" s="169">
        <f>F142</f>
        <v>5700</v>
      </c>
      <c r="H142" s="169">
        <f t="shared" si="204"/>
        <v>5700</v>
      </c>
      <c r="I142" s="169">
        <f t="shared" si="204"/>
        <v>5700</v>
      </c>
      <c r="J142" s="407"/>
      <c r="K142" s="518"/>
      <c r="L142" s="1">
        <f t="shared" si="205"/>
        <v>5700</v>
      </c>
      <c r="M142" s="1">
        <f t="shared" si="205"/>
        <v>5700</v>
      </c>
      <c r="N142" s="1">
        <f t="shared" si="205"/>
        <v>5700</v>
      </c>
      <c r="O142" s="1">
        <f t="shared" si="205"/>
        <v>5700</v>
      </c>
      <c r="Q142" s="518"/>
      <c r="R142" s="1">
        <f>L142</f>
        <v>5700</v>
      </c>
      <c r="S142" s="1">
        <f t="shared" ref="S142:U143" si="207">M142</f>
        <v>5700</v>
      </c>
      <c r="T142" s="1">
        <f t="shared" si="207"/>
        <v>5700</v>
      </c>
      <c r="U142" s="1">
        <f t="shared" si="207"/>
        <v>5700</v>
      </c>
      <c r="V142" s="423"/>
      <c r="W142" s="518"/>
      <c r="X142" s="423"/>
      <c r="Y142" s="423"/>
      <c r="Z142" s="423"/>
      <c r="AA142" s="423"/>
      <c r="AB142" s="423"/>
      <c r="AC142" s="847"/>
      <c r="AD142" s="423"/>
      <c r="AE142" s="423"/>
      <c r="AF142" s="423"/>
      <c r="AG142" s="423"/>
      <c r="AH142" s="855"/>
      <c r="AI142" s="504"/>
      <c r="AJ142" s="423"/>
      <c r="AK142" s="423"/>
      <c r="AL142" s="423"/>
      <c r="AM142" s="423"/>
      <c r="AN142" s="423"/>
      <c r="AO142" s="423"/>
      <c r="AP142" s="423"/>
      <c r="AQ142" s="423"/>
      <c r="AR142" s="423"/>
      <c r="AS142" s="423"/>
      <c r="AT142" s="423"/>
      <c r="AU142" s="423"/>
      <c r="BB142" s="423"/>
      <c r="BH142" s="14"/>
    </row>
    <row r="143" spans="1:65" ht="20" hidden="1" outlineLevel="1">
      <c r="A143" s="760" t="s">
        <v>500</v>
      </c>
      <c r="B143" s="80"/>
      <c r="C143" s="80"/>
      <c r="D143" s="80"/>
      <c r="E143" s="423"/>
      <c r="F143" s="1">
        <v>7800</v>
      </c>
      <c r="G143" s="169">
        <f>F143</f>
        <v>7800</v>
      </c>
      <c r="H143" s="169">
        <f t="shared" si="204"/>
        <v>7800</v>
      </c>
      <c r="I143" s="169">
        <f t="shared" si="204"/>
        <v>7800</v>
      </c>
      <c r="J143" s="407"/>
      <c r="K143" s="518"/>
      <c r="L143" s="1">
        <f t="shared" si="205"/>
        <v>7800</v>
      </c>
      <c r="M143" s="1">
        <f t="shared" si="205"/>
        <v>7800</v>
      </c>
      <c r="N143" s="1">
        <f t="shared" si="205"/>
        <v>7800</v>
      </c>
      <c r="O143" s="1">
        <f t="shared" si="205"/>
        <v>7800</v>
      </c>
      <c r="Q143" s="518"/>
      <c r="R143" s="1">
        <f>L143</f>
        <v>7800</v>
      </c>
      <c r="S143" s="1">
        <f t="shared" si="207"/>
        <v>7800</v>
      </c>
      <c r="T143" s="1">
        <f t="shared" si="207"/>
        <v>7800</v>
      </c>
      <c r="U143" s="1">
        <f t="shared" si="207"/>
        <v>7800</v>
      </c>
      <c r="V143" s="423"/>
      <c r="W143" s="518"/>
      <c r="X143" s="423"/>
      <c r="Y143" s="423"/>
      <c r="Z143" s="423"/>
      <c r="AA143" s="423"/>
      <c r="AB143" s="423"/>
      <c r="AC143" s="847"/>
      <c r="AD143" s="423"/>
      <c r="AE143" s="423"/>
      <c r="AF143" s="423"/>
      <c r="AG143" s="423"/>
      <c r="AH143" s="855"/>
      <c r="AI143" s="504"/>
      <c r="AJ143" s="423"/>
      <c r="AK143" s="423"/>
      <c r="AL143" s="423"/>
      <c r="AM143" s="423"/>
      <c r="AN143" s="423"/>
      <c r="AO143" s="423"/>
      <c r="AP143" s="423"/>
      <c r="AQ143" s="423"/>
      <c r="AR143" s="423"/>
      <c r="AS143" s="423"/>
      <c r="AT143" s="423"/>
      <c r="AU143" s="423"/>
      <c r="BB143" s="423"/>
      <c r="BH143" s="14"/>
    </row>
    <row r="144" spans="1:65" s="489" customFormat="1" ht="20" hidden="1" outlineLevel="1">
      <c r="A144" s="761" t="s">
        <v>321</v>
      </c>
      <c r="B144" s="632"/>
      <c r="C144" s="632"/>
      <c r="D144" s="632"/>
      <c r="F144" s="728">
        <v>20900</v>
      </c>
      <c r="G144" s="728">
        <f>F144</f>
        <v>20900</v>
      </c>
      <c r="H144" s="728">
        <f t="shared" si="204"/>
        <v>20900</v>
      </c>
      <c r="I144" s="728">
        <f t="shared" si="204"/>
        <v>20900</v>
      </c>
      <c r="J144" s="773"/>
      <c r="K144" s="775"/>
      <c r="L144" s="728">
        <f t="shared" si="205"/>
        <v>20900</v>
      </c>
      <c r="M144" s="728">
        <f>L144</f>
        <v>20900</v>
      </c>
      <c r="N144" s="728">
        <f t="shared" ref="N144:O144" si="208">M144</f>
        <v>20900</v>
      </c>
      <c r="O144" s="728">
        <f t="shared" si="208"/>
        <v>20900</v>
      </c>
      <c r="P144" s="535"/>
      <c r="Q144" s="21"/>
      <c r="R144" s="728">
        <f>L144</f>
        <v>20900</v>
      </c>
      <c r="S144" s="728">
        <f>R144</f>
        <v>20900</v>
      </c>
      <c r="T144" s="728">
        <f t="shared" ref="T144:U144" si="209">S144</f>
        <v>20900</v>
      </c>
      <c r="U144" s="728">
        <f t="shared" si="209"/>
        <v>20900</v>
      </c>
      <c r="V144" s="21"/>
      <c r="W144" s="775"/>
      <c r="AC144" s="853"/>
      <c r="AH144" s="854"/>
      <c r="AI144" s="776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</row>
    <row r="145" spans="1:65" s="489" customFormat="1" ht="20" hidden="1" outlineLevel="1">
      <c r="A145" s="761" t="s">
        <v>493</v>
      </c>
      <c r="B145" s="632"/>
      <c r="C145" s="632"/>
      <c r="D145" s="632"/>
      <c r="F145" s="728"/>
      <c r="G145" s="728"/>
      <c r="H145" s="728"/>
      <c r="I145" s="728"/>
      <c r="J145" s="773"/>
      <c r="K145" s="775"/>
      <c r="L145" s="728">
        <f t="shared" si="205"/>
        <v>0</v>
      </c>
      <c r="M145" s="728">
        <f t="shared" si="205"/>
        <v>0</v>
      </c>
      <c r="N145" s="728">
        <f t="shared" si="205"/>
        <v>0</v>
      </c>
      <c r="O145" s="728">
        <f t="shared" si="205"/>
        <v>0</v>
      </c>
      <c r="P145" s="535"/>
      <c r="Q145" s="775"/>
      <c r="R145" s="728">
        <f>L145</f>
        <v>0</v>
      </c>
      <c r="S145" s="728">
        <f t="shared" ref="S145:U145" si="210">M145</f>
        <v>0</v>
      </c>
      <c r="T145" s="728">
        <f t="shared" si="210"/>
        <v>0</v>
      </c>
      <c r="U145" s="728">
        <f t="shared" si="210"/>
        <v>0</v>
      </c>
      <c r="V145" s="21"/>
      <c r="W145" s="775"/>
      <c r="AC145" s="853"/>
      <c r="AH145" s="854"/>
      <c r="AI145" s="776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</row>
    <row r="146" spans="1:65" hidden="1" outlineLevel="1">
      <c r="A146" s="756"/>
      <c r="B146" s="273"/>
      <c r="C146" s="273"/>
      <c r="D146" s="273"/>
      <c r="E146" s="423"/>
      <c r="F146" s="169"/>
      <c r="G146" s="169"/>
      <c r="H146" s="169"/>
      <c r="I146" s="169"/>
      <c r="J146" s="407"/>
      <c r="K146" s="518"/>
      <c r="Q146" s="518"/>
      <c r="W146" s="518"/>
      <c r="X146" s="423"/>
      <c r="Y146" s="423"/>
      <c r="Z146" s="423"/>
      <c r="AA146" s="423"/>
      <c r="AB146" s="423"/>
      <c r="AC146" s="847"/>
      <c r="AD146" s="423"/>
      <c r="AE146" s="423"/>
      <c r="AF146" s="423"/>
      <c r="AG146" s="423"/>
      <c r="AH146" s="855"/>
      <c r="AI146" s="504"/>
      <c r="AJ146" s="423"/>
      <c r="AK146" s="423"/>
      <c r="AL146" s="423"/>
      <c r="AM146" s="423"/>
      <c r="AN146" s="423"/>
      <c r="AO146" s="423"/>
      <c r="AP146" s="423"/>
      <c r="AQ146" s="423"/>
      <c r="AR146" s="423"/>
      <c r="AS146" s="423"/>
      <c r="AT146" s="423"/>
      <c r="AU146" s="423"/>
      <c r="BB146" s="423"/>
      <c r="BH146" s="14"/>
    </row>
    <row r="147" spans="1:65" s="489" customFormat="1" ht="27" hidden="1" customHeight="1" outlineLevel="1">
      <c r="A147" s="758" t="s">
        <v>355</v>
      </c>
      <c r="B147" s="259"/>
      <c r="C147" s="259"/>
      <c r="D147" s="259"/>
      <c r="E147" s="734"/>
      <c r="F147" s="728">
        <v>1600</v>
      </c>
      <c r="G147" s="728">
        <f>F147</f>
        <v>1600</v>
      </c>
      <c r="H147" s="728">
        <f t="shared" ref="H147:I147" si="211">G147</f>
        <v>1600</v>
      </c>
      <c r="I147" s="728">
        <f t="shared" si="211"/>
        <v>1600</v>
      </c>
      <c r="J147" s="773"/>
      <c r="K147" s="129"/>
      <c r="L147" s="778">
        <f>F147</f>
        <v>1600</v>
      </c>
      <c r="M147" s="728">
        <f>G147</f>
        <v>1600</v>
      </c>
      <c r="N147" s="728">
        <f>H147</f>
        <v>1600</v>
      </c>
      <c r="O147" s="728">
        <f>I147</f>
        <v>1600</v>
      </c>
      <c r="P147" s="773"/>
      <c r="Q147" s="129"/>
      <c r="R147" s="778">
        <f>L147</f>
        <v>1600</v>
      </c>
      <c r="S147" s="728">
        <f>M147</f>
        <v>1600</v>
      </c>
      <c r="T147" s="728">
        <f>N147</f>
        <v>1600</v>
      </c>
      <c r="U147" s="728">
        <f>O147</f>
        <v>1600</v>
      </c>
      <c r="V147" s="21"/>
      <c r="W147" s="775"/>
      <c r="AC147" s="853"/>
      <c r="AH147" s="854"/>
      <c r="AI147" s="776"/>
      <c r="BC147" s="21"/>
      <c r="BD147" s="21"/>
      <c r="BE147" s="21"/>
      <c r="BF147" s="21"/>
      <c r="BG147" s="21"/>
      <c r="BH147" s="21" t="s">
        <v>33</v>
      </c>
      <c r="BI147" s="21"/>
      <c r="BJ147" s="21"/>
      <c r="BK147" s="21"/>
      <c r="BL147" s="21"/>
      <c r="BM147" s="21"/>
    </row>
    <row r="148" spans="1:65" hidden="1" outlineLevel="1">
      <c r="A148" s="762"/>
      <c r="B148" s="359"/>
      <c r="C148" s="359"/>
      <c r="D148" s="359"/>
      <c r="E148" s="423"/>
      <c r="G148" s="169"/>
      <c r="H148" s="169"/>
      <c r="I148" s="169"/>
      <c r="J148" s="407"/>
      <c r="R148" s="423"/>
      <c r="W148" s="518"/>
      <c r="X148" s="423"/>
      <c r="Y148" s="423"/>
      <c r="Z148" s="423"/>
      <c r="AA148" s="423"/>
      <c r="AB148" s="423"/>
      <c r="AC148" s="847"/>
      <c r="AD148" s="423"/>
      <c r="AE148" s="423"/>
      <c r="AF148" s="423"/>
      <c r="AG148" s="423"/>
      <c r="AH148" s="855"/>
      <c r="AI148" s="504"/>
      <c r="AJ148" s="423"/>
      <c r="AK148" s="423"/>
      <c r="AL148" s="423"/>
      <c r="AM148" s="423"/>
      <c r="AN148" s="423"/>
      <c r="AO148" s="423"/>
      <c r="AP148" s="423"/>
      <c r="AQ148" s="423"/>
      <c r="AR148" s="423"/>
      <c r="AS148" s="423"/>
      <c r="AT148" s="423"/>
      <c r="AU148" s="423"/>
      <c r="BB148" s="423"/>
    </row>
    <row r="149" spans="1:65" hidden="1" outlineLevel="1"/>
    <row r="150" spans="1:65" ht="40" hidden="1" outlineLevel="1">
      <c r="A150" s="749" t="s">
        <v>499</v>
      </c>
      <c r="B150" s="355"/>
      <c r="C150" s="355"/>
      <c r="D150" s="355"/>
      <c r="E150" s="423"/>
      <c r="F150" s="791">
        <f>F151/10</f>
        <v>21.2</v>
      </c>
      <c r="G150" s="791">
        <f>F150</f>
        <v>21.2</v>
      </c>
      <c r="H150" s="791">
        <f t="shared" ref="H150:I150" si="212">G150</f>
        <v>21.2</v>
      </c>
      <c r="I150" s="791">
        <f t="shared" si="212"/>
        <v>21.2</v>
      </c>
      <c r="J150" s="407"/>
      <c r="L150" s="791">
        <f>I150</f>
        <v>21.2</v>
      </c>
      <c r="M150" s="791">
        <f>L150</f>
        <v>21.2</v>
      </c>
      <c r="N150" s="791">
        <f t="shared" ref="N150:O150" si="213">M150</f>
        <v>21.2</v>
      </c>
      <c r="O150" s="791">
        <f t="shared" si="213"/>
        <v>21.2</v>
      </c>
      <c r="R150" s="791">
        <f>F150</f>
        <v>21.2</v>
      </c>
      <c r="S150" s="791">
        <f t="shared" ref="S150:U151" si="214">M150</f>
        <v>21.2</v>
      </c>
      <c r="T150" s="791">
        <f t="shared" si="214"/>
        <v>21.2</v>
      </c>
      <c r="U150" s="791">
        <f t="shared" si="214"/>
        <v>21.2</v>
      </c>
      <c r="W150" s="518"/>
      <c r="X150" s="423"/>
      <c r="Y150" s="423"/>
      <c r="Z150" s="423"/>
      <c r="AA150" s="423"/>
      <c r="AB150" s="423"/>
      <c r="AC150" s="847"/>
      <c r="AD150" s="423"/>
      <c r="AE150" s="423"/>
      <c r="AF150" s="423"/>
      <c r="AG150" s="423"/>
      <c r="AH150" s="855"/>
      <c r="AI150" s="504"/>
      <c r="AJ150" s="423"/>
      <c r="AK150" s="423"/>
      <c r="AL150" s="423"/>
      <c r="AM150" s="423"/>
      <c r="AN150" s="423"/>
      <c r="AO150" s="423"/>
      <c r="AP150" s="423"/>
      <c r="AQ150" s="423"/>
      <c r="AR150" s="423"/>
      <c r="AS150" s="423"/>
      <c r="AT150" s="423"/>
      <c r="AU150" s="423"/>
      <c r="BB150" s="423"/>
    </row>
    <row r="151" spans="1:65" s="489" customFormat="1" ht="20" hidden="1" outlineLevel="1">
      <c r="A151" s="758" t="s">
        <v>497</v>
      </c>
      <c r="B151" s="259"/>
      <c r="C151" s="259"/>
      <c r="D151" s="259"/>
      <c r="F151" s="728">
        <v>212</v>
      </c>
      <c r="G151" s="728">
        <v>212</v>
      </c>
      <c r="H151" s="728">
        <v>212</v>
      </c>
      <c r="I151" s="728">
        <v>212</v>
      </c>
      <c r="J151" s="773"/>
      <c r="K151" s="129"/>
      <c r="L151" s="728">
        <f>F151</f>
        <v>212</v>
      </c>
      <c r="M151" s="728">
        <f t="shared" ref="M151:O151" si="215">G151</f>
        <v>212</v>
      </c>
      <c r="N151" s="728">
        <f t="shared" si="215"/>
        <v>212</v>
      </c>
      <c r="O151" s="728">
        <f t="shared" si="215"/>
        <v>212</v>
      </c>
      <c r="P151" s="535"/>
      <c r="Q151" s="87"/>
      <c r="R151" s="728">
        <f>L151</f>
        <v>212</v>
      </c>
      <c r="S151" s="728">
        <f t="shared" si="214"/>
        <v>212</v>
      </c>
      <c r="T151" s="728">
        <f t="shared" si="214"/>
        <v>212</v>
      </c>
      <c r="U151" s="728">
        <f t="shared" si="214"/>
        <v>212</v>
      </c>
      <c r="V151" s="21"/>
      <c r="W151" s="518"/>
      <c r="X151" s="728"/>
      <c r="Y151" s="728"/>
      <c r="Z151" s="728"/>
      <c r="AA151" s="728"/>
      <c r="AC151" s="853"/>
      <c r="AD151" s="728"/>
      <c r="AE151" s="728"/>
      <c r="AF151" s="728"/>
      <c r="AG151" s="728"/>
      <c r="AH151" s="854"/>
      <c r="AI151" s="776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</row>
    <row r="152" spans="1:65" hidden="1" outlineLevel="1">
      <c r="A152" s="762"/>
      <c r="B152" s="359"/>
      <c r="C152" s="359"/>
      <c r="D152" s="359"/>
      <c r="E152" s="423"/>
      <c r="F152" s="656"/>
      <c r="G152" s="169"/>
      <c r="H152" s="169"/>
      <c r="I152" s="169"/>
      <c r="J152" s="407"/>
      <c r="R152" s="423"/>
      <c r="W152" s="518"/>
      <c r="X152" s="423"/>
      <c r="Y152" s="423"/>
      <c r="Z152" s="423"/>
      <c r="AA152" s="423"/>
      <c r="AB152" s="423"/>
      <c r="AC152" s="847"/>
      <c r="AD152" s="423"/>
      <c r="AE152" s="423"/>
      <c r="AF152" s="423"/>
      <c r="AG152" s="423"/>
      <c r="AH152" s="855"/>
      <c r="AI152" s="504"/>
      <c r="AJ152" s="423"/>
      <c r="AK152" s="423"/>
      <c r="AL152" s="423"/>
      <c r="AM152" s="423"/>
      <c r="AN152" s="423"/>
      <c r="AO152" s="423"/>
      <c r="AP152" s="423"/>
      <c r="AQ152" s="423"/>
      <c r="AR152" s="423"/>
      <c r="AS152" s="423"/>
      <c r="AT152" s="423"/>
      <c r="AU152" s="423"/>
      <c r="BB152" s="423"/>
    </row>
    <row r="153" spans="1:65" s="456" customFormat="1" ht="20" hidden="1" outlineLevel="1">
      <c r="A153" s="763" t="s">
        <v>360</v>
      </c>
      <c r="B153" s="455"/>
      <c r="C153" s="455"/>
      <c r="D153" s="455"/>
      <c r="F153" s="457"/>
      <c r="G153" s="458"/>
      <c r="H153" s="458"/>
      <c r="I153" s="458"/>
      <c r="J153" s="525"/>
      <c r="K153" s="548"/>
      <c r="L153" s="457"/>
      <c r="M153" s="457"/>
      <c r="N153" s="457"/>
      <c r="O153" s="457"/>
      <c r="P153" s="549"/>
      <c r="Q153" s="548"/>
      <c r="S153" s="457"/>
      <c r="T153" s="457"/>
      <c r="U153" s="457"/>
      <c r="V153" s="457"/>
      <c r="W153" s="524"/>
      <c r="AC153" s="856"/>
      <c r="AH153" s="857"/>
      <c r="AI153" s="566"/>
      <c r="BC153" s="457"/>
      <c r="BD153" s="457"/>
      <c r="BE153" s="457"/>
      <c r="BF153" s="457"/>
      <c r="BG153" s="457"/>
      <c r="BH153" s="457"/>
      <c r="BI153" s="457"/>
      <c r="BJ153" s="457"/>
      <c r="BK153" s="457"/>
      <c r="BL153" s="457"/>
      <c r="BM153" s="457"/>
    </row>
    <row r="154" spans="1:65" s="2" customFormat="1" hidden="1" outlineLevel="1">
      <c r="A154" s="764" t="s">
        <v>359</v>
      </c>
      <c r="B154" s="15"/>
      <c r="C154" s="15"/>
      <c r="D154" s="15"/>
      <c r="E154" s="526"/>
      <c r="F154" s="526">
        <v>400000</v>
      </c>
      <c r="G154" s="526">
        <v>400000</v>
      </c>
      <c r="H154" s="526">
        <v>400000</v>
      </c>
      <c r="I154" s="526">
        <v>400000</v>
      </c>
      <c r="J154" s="295"/>
      <c r="K154" s="87"/>
      <c r="L154" s="1"/>
      <c r="M154" s="1"/>
      <c r="N154" s="1"/>
      <c r="O154" s="1"/>
      <c r="P154" s="295"/>
      <c r="Q154" s="87"/>
      <c r="R154" s="1"/>
      <c r="S154" s="1"/>
      <c r="T154" s="1"/>
      <c r="U154" s="1"/>
      <c r="V154" s="1"/>
      <c r="W154" s="87"/>
      <c r="X154" s="1"/>
      <c r="Y154" s="1"/>
      <c r="Z154" s="1"/>
      <c r="AA154" s="1"/>
      <c r="AB154" s="1"/>
      <c r="AC154" s="28"/>
      <c r="AD154" s="1"/>
      <c r="AE154" s="1"/>
      <c r="AF154" s="1"/>
      <c r="AG154" s="1"/>
      <c r="AH154" s="24"/>
      <c r="AI154" s="295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</row>
    <row r="155" spans="1:65" s="2" customFormat="1" hidden="1" outlineLevel="1">
      <c r="A155" s="764" t="s">
        <v>371</v>
      </c>
      <c r="B155" s="15"/>
      <c r="C155" s="15"/>
      <c r="D155" s="15"/>
      <c r="E155" s="15"/>
      <c r="F155" s="15">
        <v>547</v>
      </c>
      <c r="G155" s="15">
        <v>547</v>
      </c>
      <c r="H155" s="15">
        <v>547</v>
      </c>
      <c r="I155" s="15">
        <v>547</v>
      </c>
      <c r="J155" s="295"/>
      <c r="K155" s="87"/>
      <c r="L155" s="1"/>
      <c r="M155" s="1"/>
      <c r="N155" s="1"/>
      <c r="O155" s="1"/>
      <c r="P155" s="295"/>
      <c r="Q155" s="87"/>
      <c r="R155" s="1"/>
      <c r="S155" s="1"/>
      <c r="T155" s="1"/>
      <c r="U155" s="1"/>
      <c r="V155" s="1"/>
      <c r="W155" s="87"/>
      <c r="X155" s="1"/>
      <c r="Y155" s="1"/>
      <c r="Z155" s="1"/>
      <c r="AA155" s="1"/>
      <c r="AB155" s="1"/>
      <c r="AC155" s="28"/>
      <c r="AD155" s="1"/>
      <c r="AE155" s="1"/>
      <c r="AF155" s="1"/>
      <c r="AG155" s="1"/>
      <c r="AH155" s="24"/>
      <c r="AI155" s="295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</row>
    <row r="156" spans="1:65" ht="20" hidden="1" outlineLevel="1">
      <c r="A156" s="738" t="s">
        <v>372</v>
      </c>
      <c r="E156" s="527"/>
      <c r="F156" s="527">
        <f>F154/F155</f>
        <v>731.26142595978058</v>
      </c>
      <c r="G156" s="527">
        <f t="shared" ref="G156:I156" si="216">G154/G155</f>
        <v>731.26142595978058</v>
      </c>
      <c r="H156" s="527">
        <f t="shared" si="216"/>
        <v>731.26142595978058</v>
      </c>
      <c r="I156" s="527">
        <f t="shared" si="216"/>
        <v>731.26142595978058</v>
      </c>
    </row>
    <row r="157" spans="1:65" hidden="1" outlineLevel="1"/>
    <row r="158" spans="1:65" hidden="1" outlineLevel="1">
      <c r="A158" s="764" t="s">
        <v>494</v>
      </c>
      <c r="B158" s="15"/>
      <c r="C158" s="15"/>
      <c r="D158" s="15"/>
      <c r="E158" s="527"/>
      <c r="F158" s="15">
        <v>3697</v>
      </c>
      <c r="G158" s="15">
        <v>3697</v>
      </c>
      <c r="H158" s="15">
        <v>3697</v>
      </c>
      <c r="I158" s="15">
        <v>3697</v>
      </c>
    </row>
    <row r="159" spans="1:65" ht="20" hidden="1" outlineLevel="1">
      <c r="A159" s="738" t="s">
        <v>491</v>
      </c>
      <c r="E159" s="527"/>
      <c r="F159" s="772">
        <f>F154/F158</f>
        <v>108.19583446037328</v>
      </c>
      <c r="G159" s="772">
        <f>G154/G158</f>
        <v>108.19583446037328</v>
      </c>
      <c r="H159" s="772">
        <f>H154/H158</f>
        <v>108.19583446037328</v>
      </c>
      <c r="I159" s="772">
        <f>I154/I158</f>
        <v>108.19583446037328</v>
      </c>
    </row>
    <row r="160" spans="1:65" hidden="1" outlineLevel="1">
      <c r="E160" s="527"/>
      <c r="F160" s="772"/>
      <c r="G160" s="772"/>
      <c r="H160" s="772"/>
      <c r="I160" s="772"/>
    </row>
    <row r="161" spans="1:35" ht="40" hidden="1" outlineLevel="1">
      <c r="A161" s="738" t="s">
        <v>496</v>
      </c>
      <c r="E161" s="527"/>
      <c r="F161" s="423"/>
      <c r="G161" s="772">
        <v>81</v>
      </c>
      <c r="H161" s="772">
        <v>81</v>
      </c>
      <c r="I161" s="772">
        <v>81</v>
      </c>
      <c r="L161" s="772">
        <v>81</v>
      </c>
      <c r="M161" s="772">
        <v>81</v>
      </c>
      <c r="N161" s="772">
        <v>81</v>
      </c>
      <c r="O161" s="772">
        <v>81</v>
      </c>
      <c r="R161" s="772">
        <v>81</v>
      </c>
      <c r="S161" s="772">
        <v>81</v>
      </c>
      <c r="T161" s="772">
        <v>81</v>
      </c>
      <c r="U161" s="772">
        <v>81</v>
      </c>
      <c r="X161" s="772"/>
      <c r="Y161" s="772"/>
      <c r="Z161" s="772"/>
      <c r="AA161" s="772"/>
    </row>
    <row r="162" spans="1:35" hidden="1" outlineLevel="1">
      <c r="F162" s="423"/>
    </row>
    <row r="163" spans="1:35" hidden="1" outlineLevel="1"/>
    <row r="164" spans="1:35" collapsed="1"/>
    <row r="165" spans="1:35" ht="20" thickBot="1">
      <c r="AI165" s="407"/>
    </row>
    <row r="166" spans="1:35" ht="20">
      <c r="A166" s="744" t="s">
        <v>342</v>
      </c>
      <c r="J166" s="407">
        <f>J28-Гипотезы_v3!K40</f>
        <v>6720077.4812826514</v>
      </c>
      <c r="P166" s="407">
        <f>P28-Гипотезы_v3!R40</f>
        <v>12446717.102941692</v>
      </c>
      <c r="V166" s="169">
        <f>V28-Гипотезы_v3!X40</f>
        <v>0</v>
      </c>
      <c r="AB166" s="169">
        <f>AB28-Гипотезы_v3!AG40</f>
        <v>0</v>
      </c>
      <c r="AH166" s="371">
        <f>AH28-Гипотезы_v3!AM40</f>
        <v>1896630.1549253389</v>
      </c>
      <c r="AI166" s="407">
        <f>AI28-Гипотезы_v3!AN40</f>
        <v>1896630.1549253464</v>
      </c>
    </row>
    <row r="167" spans="1:35" ht="20">
      <c r="A167" s="746" t="s">
        <v>343</v>
      </c>
      <c r="J167" s="1276">
        <f>J34-Гипотезы_v3!K46</f>
        <v>1624823.861042127</v>
      </c>
      <c r="P167" s="407">
        <f>P34-Гипотезы_v3!R46</f>
        <v>16242496.162417531</v>
      </c>
      <c r="V167" s="169">
        <f>V34-Гипотезы_v3!X46</f>
        <v>352220.67869524378</v>
      </c>
      <c r="AB167" s="169">
        <f>AB34-Гипотезы_v3!AG46</f>
        <v>255403.77725460939</v>
      </c>
      <c r="AH167" s="371">
        <f>AH34-Гипотезы_v3!AM46</f>
        <v>2252098.4414353967</v>
      </c>
      <c r="AI167" s="407">
        <f>AI34-Гипотезы_v3!AN46</f>
        <v>2507502.2186900042</v>
      </c>
    </row>
    <row r="168" spans="1:35" ht="20">
      <c r="A168" s="746" t="s">
        <v>344</v>
      </c>
      <c r="J168" s="1269">
        <f>J53-Гипотезы_v3!K68</f>
        <v>5094185.9179619662</v>
      </c>
      <c r="P168" s="1266">
        <f>P53-Гипотезы_v3!R68</f>
        <v>-3795779.0594758689</v>
      </c>
      <c r="Q168" s="1082"/>
      <c r="R168" s="84"/>
      <c r="S168" s="84"/>
      <c r="T168" s="84"/>
      <c r="U168" s="84"/>
      <c r="V168" s="1267">
        <f>V53-Гипотезы_v3!X68</f>
        <v>-352220.67869524658</v>
      </c>
      <c r="W168" s="1082"/>
      <c r="X168" s="84"/>
      <c r="Y168" s="84"/>
      <c r="Z168" s="84"/>
      <c r="AA168" s="84"/>
      <c r="AB168" s="1267">
        <f>AB53-Гипотезы_v3!X68</f>
        <v>-4222134.6838587523</v>
      </c>
      <c r="AC168" s="1137"/>
      <c r="AD168" s="84"/>
      <c r="AE168" s="84"/>
      <c r="AF168" s="84"/>
      <c r="AG168" s="84"/>
      <c r="AH168" s="1275">
        <f>AH53-Гипотезы_v3!AM68</f>
        <v>-355468.28651005216</v>
      </c>
      <c r="AI168" s="1274">
        <f>AI53-Гипотезы_v3!AN68</f>
        <v>-610872.06376466155</v>
      </c>
    </row>
    <row r="169" spans="1:35" ht="20">
      <c r="A169" s="746" t="s">
        <v>367</v>
      </c>
      <c r="J169" s="1269">
        <f>J55-Гипотезы_v3!K70</f>
        <v>0</v>
      </c>
      <c r="K169" s="1270"/>
      <c r="L169" s="1271"/>
      <c r="M169" s="1271"/>
      <c r="N169" s="1271"/>
      <c r="O169" s="1271"/>
      <c r="P169" s="1269">
        <f>P55-Гипотезы_v3!R70</f>
        <v>3963958.6332906783</v>
      </c>
      <c r="Q169" s="1270"/>
      <c r="R169" s="1271"/>
      <c r="S169" s="1271"/>
      <c r="T169" s="1271"/>
      <c r="U169" s="1271"/>
      <c r="V169" s="1272">
        <f>V55-Гипотезы_v3!X70</f>
        <v>0</v>
      </c>
      <c r="W169" s="1270"/>
      <c r="X169" s="1271"/>
      <c r="Y169" s="1271"/>
      <c r="Z169" s="1271"/>
      <c r="AA169" s="1271"/>
      <c r="AB169" s="1272">
        <f>AB55-Гипотезы_v3!AG70</f>
        <v>0</v>
      </c>
      <c r="AH169" s="1273">
        <f>AH55-Гипотезы_v3!AM70</f>
        <v>519261.95226949081</v>
      </c>
      <c r="AI169" s="407">
        <f>AI55-Гипотезы_v3!AN70</f>
        <v>519261.95226949453</v>
      </c>
    </row>
    <row r="170" spans="1:35" ht="21" thickBot="1">
      <c r="A170" s="748" t="s">
        <v>364</v>
      </c>
      <c r="J170" s="1269">
        <f>J57-Гипотезы_v3!K72</f>
        <v>5094185.9179619551</v>
      </c>
      <c r="K170" s="1082"/>
      <c r="L170" s="84"/>
      <c r="M170" s="84"/>
      <c r="N170" s="84"/>
      <c r="O170" s="84"/>
      <c r="P170" s="1266">
        <f>P57-Гипотезы_v3!R72</f>
        <v>168179.57381483912</v>
      </c>
      <c r="Q170" s="1082"/>
      <c r="R170" s="84"/>
      <c r="S170" s="84"/>
      <c r="T170" s="84"/>
      <c r="U170" s="84"/>
      <c r="V170" s="1267">
        <f>V57-Гипотезы_v3!X72</f>
        <v>-352220.67869523168</v>
      </c>
      <c r="W170" s="1082"/>
      <c r="X170" s="84"/>
      <c r="Y170" s="84"/>
      <c r="Z170" s="84"/>
      <c r="AA170" s="84"/>
      <c r="AB170" s="1267">
        <f>AB57-Гипотезы_v3!AG72</f>
        <v>-255403.77725462615</v>
      </c>
      <c r="AH170" s="371">
        <f>AH57-Гипотезы_v3!AM72</f>
        <v>163793.66575944051</v>
      </c>
      <c r="AI170" s="407">
        <f>AI57-Гипотезы_v3!AN72</f>
        <v>-91610.111495181918</v>
      </c>
    </row>
    <row r="173" spans="1:35">
      <c r="J173" s="1268">
        <f>J168/J53</f>
        <v>0.13944393712404154</v>
      </c>
      <c r="P173" s="1268">
        <f>P168/P53</f>
        <v>-4.5711745343753732E-2</v>
      </c>
      <c r="V173" s="1268">
        <f>V168/V53</f>
        <v>-1.1177401235805486E-2</v>
      </c>
      <c r="AB173" s="1268">
        <f>AB168/AB53</f>
        <v>-0.15274376903509435</v>
      </c>
      <c r="AH173" s="1268">
        <f>AH168/AH53</f>
        <v>-2.4450492635574174E-2</v>
      </c>
      <c r="AI173" s="1268">
        <f t="shared" ref="AI173" si="217">AI168/AI53</f>
        <v>-1.4482425711021027E-2</v>
      </c>
    </row>
    <row r="174" spans="1:35">
      <c r="J174" s="169">
        <f>J35+J36+J37+J38+J46+J52</f>
        <v>114339742.29758067</v>
      </c>
      <c r="P174" s="169">
        <f>P35+P36+P37+P38+P46+P52</f>
        <v>152146275.34297183</v>
      </c>
      <c r="V174" s="169">
        <f>V35+V36+V37+V38+V46+V52</f>
        <v>7128517.584658931</v>
      </c>
    </row>
    <row r="175" spans="1:35">
      <c r="J175" s="407">
        <f>J174-Гипотезы_v3!K46</f>
        <v>10390353.580472559</v>
      </c>
      <c r="P175" s="407">
        <f>P174-Гипотезы_v3!R46</f>
        <v>12946147.722757488</v>
      </c>
      <c r="V175" s="407">
        <f>V174-Гипотезы_v3!X46</f>
        <v>-339835.39633229747</v>
      </c>
    </row>
    <row r="177" spans="22:22" ht="120">
      <c r="V177" s="1" t="s">
        <v>642</v>
      </c>
    </row>
  </sheetData>
  <mergeCells count="3">
    <mergeCell ref="W1:AI1"/>
    <mergeCell ref="W2:AB2"/>
    <mergeCell ref="AC2:AH2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23D9E-C43D-EF4B-8B64-4612BB09D338}">
  <dimension ref="A1:Z39"/>
  <sheetViews>
    <sheetView topLeftCell="A28" zoomScale="110" zoomScaleNormal="110" workbookViewId="0">
      <selection activeCell="F37" sqref="F37"/>
    </sheetView>
  </sheetViews>
  <sheetFormatPr baseColWidth="10" defaultRowHeight="16"/>
  <cols>
    <col min="1" max="1" width="44.6640625" style="95" customWidth="1"/>
    <col min="2" max="2" width="60.5" style="93" customWidth="1"/>
    <col min="3" max="3" width="17" style="93" customWidth="1"/>
    <col min="4" max="4" width="13.83203125" style="95" customWidth="1"/>
    <col min="5" max="5" width="16" style="95" customWidth="1"/>
    <col min="6" max="16384" width="10.83203125" style="95"/>
  </cols>
  <sheetData>
    <row r="1" spans="1:26" s="94" customFormat="1" ht="17">
      <c r="A1" s="94" t="s">
        <v>374</v>
      </c>
      <c r="B1" s="582" t="s">
        <v>375</v>
      </c>
      <c r="C1" s="582" t="s">
        <v>376</v>
      </c>
    </row>
    <row r="2" spans="1:26" s="585" customFormat="1">
      <c r="A2" s="585" t="s">
        <v>134</v>
      </c>
      <c r="B2" s="584"/>
      <c r="C2" s="584"/>
    </row>
    <row r="3" spans="1:26" s="583" customFormat="1" ht="21" customHeight="1">
      <c r="A3" s="592" t="s">
        <v>357</v>
      </c>
      <c r="B3" s="593" t="s">
        <v>387</v>
      </c>
      <c r="C3" s="93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02">
      <c r="A4" s="594" t="s">
        <v>323</v>
      </c>
      <c r="B4" s="654" t="s">
        <v>442</v>
      </c>
      <c r="C4" s="93" t="s">
        <v>377</v>
      </c>
    </row>
    <row r="5" spans="1:26" ht="17">
      <c r="A5" s="595" t="s">
        <v>284</v>
      </c>
      <c r="B5" s="596"/>
    </row>
    <row r="6" spans="1:26" ht="17">
      <c r="A6" s="595" t="s">
        <v>285</v>
      </c>
      <c r="B6" s="596"/>
    </row>
    <row r="7" spans="1:26" ht="17">
      <c r="A7" s="595" t="s">
        <v>320</v>
      </c>
      <c r="B7" s="596"/>
    </row>
    <row r="8" spans="1:26" ht="17">
      <c r="A8" s="633" t="s">
        <v>322</v>
      </c>
      <c r="B8" s="596"/>
    </row>
    <row r="9" spans="1:26" ht="17">
      <c r="A9" s="597" t="s">
        <v>321</v>
      </c>
      <c r="B9" s="598"/>
    </row>
    <row r="10" spans="1:26" ht="34">
      <c r="A10" s="591" t="s">
        <v>63</v>
      </c>
      <c r="B10" s="590" t="s">
        <v>379</v>
      </c>
    </row>
    <row r="11" spans="1:26" ht="17">
      <c r="A11" s="591" t="s">
        <v>197</v>
      </c>
      <c r="B11" s="590" t="s">
        <v>378</v>
      </c>
    </row>
    <row r="12" spans="1:26" ht="68">
      <c r="A12" s="585" t="s">
        <v>381</v>
      </c>
      <c r="B12" s="93" t="s">
        <v>451</v>
      </c>
      <c r="C12" s="93" t="s">
        <v>380</v>
      </c>
      <c r="D12" s="586"/>
    </row>
    <row r="13" spans="1:26" ht="102">
      <c r="A13" s="584" t="s">
        <v>369</v>
      </c>
      <c r="B13" s="655" t="s">
        <v>443</v>
      </c>
    </row>
    <row r="14" spans="1:26" ht="17">
      <c r="A14" s="584" t="s">
        <v>370</v>
      </c>
      <c r="B14" s="653" t="s">
        <v>441</v>
      </c>
    </row>
    <row r="18" spans="1:8" s="587" customFormat="1">
      <c r="A18" s="587" t="s">
        <v>383</v>
      </c>
      <c r="B18" s="588"/>
      <c r="C18" s="588"/>
    </row>
    <row r="19" spans="1:8" ht="17">
      <c r="A19" s="587" t="s">
        <v>428</v>
      </c>
      <c r="B19" s="93" t="s">
        <v>386</v>
      </c>
      <c r="C19" s="93" t="s">
        <v>136</v>
      </c>
    </row>
    <row r="20" spans="1:8" ht="17">
      <c r="A20" s="587" t="s">
        <v>132</v>
      </c>
      <c r="B20" s="643" t="s">
        <v>419</v>
      </c>
      <c r="C20" s="643" t="s">
        <v>135</v>
      </c>
      <c r="D20" s="96" t="s">
        <v>133</v>
      </c>
    </row>
    <row r="21" spans="1:8" ht="34">
      <c r="A21" s="587" t="s">
        <v>382</v>
      </c>
      <c r="B21" s="643" t="s">
        <v>432</v>
      </c>
      <c r="C21" s="643" t="s">
        <v>135</v>
      </c>
      <c r="D21" s="96" t="s">
        <v>133</v>
      </c>
    </row>
    <row r="22" spans="1:8" ht="34">
      <c r="A22" s="587" t="s">
        <v>390</v>
      </c>
      <c r="B22" s="652" t="s">
        <v>423</v>
      </c>
      <c r="C22" s="643" t="s">
        <v>135</v>
      </c>
      <c r="D22" s="96" t="s">
        <v>133</v>
      </c>
      <c r="G22" s="882">
        <v>3.7499999999999999E-2</v>
      </c>
    </row>
    <row r="23" spans="1:8" ht="34">
      <c r="A23" s="587" t="s">
        <v>384</v>
      </c>
      <c r="B23" s="643" t="s">
        <v>517</v>
      </c>
      <c r="C23" s="643" t="s">
        <v>135</v>
      </c>
      <c r="D23" s="642" t="s">
        <v>424</v>
      </c>
      <c r="G23" s="882">
        <f>G22+4.4%</f>
        <v>8.1500000000000003E-2</v>
      </c>
      <c r="H23" s="908">
        <f>(G23-G22)/G22</f>
        <v>1.1733333333333336</v>
      </c>
    </row>
    <row r="24" spans="1:8" ht="18">
      <c r="A24" s="587" t="s">
        <v>385</v>
      </c>
      <c r="B24" s="643" t="s">
        <v>518</v>
      </c>
      <c r="C24" s="643" t="s">
        <v>135</v>
      </c>
      <c r="D24" s="642" t="s">
        <v>424</v>
      </c>
      <c r="G24" s="254"/>
    </row>
    <row r="25" spans="1:8" ht="51">
      <c r="A25" s="587" t="s">
        <v>388</v>
      </c>
      <c r="B25" s="93" t="s">
        <v>425</v>
      </c>
      <c r="C25" s="93" t="s">
        <v>135</v>
      </c>
    </row>
    <row r="26" spans="1:8" ht="42" customHeight="1">
      <c r="A26" s="587" t="s">
        <v>426</v>
      </c>
      <c r="B26" s="93" t="s">
        <v>427</v>
      </c>
      <c r="C26" s="93" t="s">
        <v>389</v>
      </c>
    </row>
    <row r="28" spans="1:8" ht="68">
      <c r="A28" s="589" t="s">
        <v>138</v>
      </c>
      <c r="B28" s="590" t="s">
        <v>198</v>
      </c>
      <c r="C28" s="590" t="s">
        <v>137</v>
      </c>
    </row>
    <row r="30" spans="1:8">
      <c r="A30" s="93"/>
    </row>
    <row r="31" spans="1:8" ht="17">
      <c r="A31" s="1238" t="s">
        <v>630</v>
      </c>
      <c r="B31" s="1251"/>
      <c r="C31" s="593"/>
    </row>
    <row r="32" spans="1:8" ht="17">
      <c r="A32" s="1239" t="s">
        <v>631</v>
      </c>
      <c r="B32" s="95">
        <v>2</v>
      </c>
      <c r="C32" s="596" t="s">
        <v>632</v>
      </c>
    </row>
    <row r="33" spans="1:3" ht="17">
      <c r="A33" s="1239" t="s">
        <v>613</v>
      </c>
      <c r="B33" s="93">
        <v>1.5</v>
      </c>
      <c r="C33" s="596" t="s">
        <v>632</v>
      </c>
    </row>
    <row r="34" spans="1:3" ht="34">
      <c r="A34" s="1240" t="s">
        <v>614</v>
      </c>
      <c r="B34" s="93">
        <v>1.73</v>
      </c>
      <c r="C34" s="1236"/>
    </row>
    <row r="35" spans="1:3" ht="34">
      <c r="A35" s="1241" t="s">
        <v>615</v>
      </c>
      <c r="B35" s="1243">
        <v>7.69</v>
      </c>
      <c r="C35" s="1237"/>
    </row>
    <row r="36" spans="1:3">
      <c r="B36" s="95"/>
    </row>
    <row r="37" spans="1:3">
      <c r="B37" s="95"/>
    </row>
    <row r="39" spans="1:3" ht="68">
      <c r="A39" s="95" t="s">
        <v>628</v>
      </c>
      <c r="B39" s="1252">
        <v>0.62</v>
      </c>
      <c r="C39" s="1250" t="s">
        <v>629</v>
      </c>
    </row>
  </sheetData>
  <hyperlinks>
    <hyperlink ref="D20" r:id="rId1" xr:uid="{6E837917-C714-CD49-ADF6-803F3EA08613}"/>
    <hyperlink ref="D21" r:id="rId2" xr:uid="{B6056A99-5171-EE4B-A997-F6840DEFEEBD}"/>
    <hyperlink ref="D22" r:id="rId3" xr:uid="{BF29B17C-CBCD-004C-B9E4-695502BD2E57}"/>
    <hyperlink ref="C39" r:id="rId4" xr:uid="{EEBBA432-4D8B-BE48-8333-29DE9E59533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955B-4C33-B54B-8165-CCF857651551}">
  <dimension ref="A1:E35"/>
  <sheetViews>
    <sheetView workbookViewId="0">
      <selection activeCell="D22" sqref="D22"/>
    </sheetView>
  </sheetViews>
  <sheetFormatPr baseColWidth="10" defaultRowHeight="16"/>
  <cols>
    <col min="1" max="1" width="22.6640625" customWidth="1"/>
    <col min="2" max="2" width="14.33203125" customWidth="1"/>
    <col min="3" max="3" width="11.1640625" customWidth="1"/>
    <col min="4" max="4" width="15" customWidth="1"/>
    <col min="5" max="5" width="23.1640625" customWidth="1"/>
    <col min="6" max="6" width="12.33203125" customWidth="1"/>
    <col min="7" max="7" width="18.1640625" customWidth="1"/>
    <col min="8" max="8" width="16" customWidth="1"/>
    <col min="9" max="9" width="20.33203125" customWidth="1"/>
    <col min="11" max="11" width="36.5" customWidth="1"/>
  </cols>
  <sheetData>
    <row r="1" spans="1:5">
      <c r="A1" s="191"/>
      <c r="B1" s="914"/>
      <c r="C1" s="1320" t="s">
        <v>539</v>
      </c>
      <c r="D1" s="1320"/>
      <c r="E1" s="1321" t="s">
        <v>538</v>
      </c>
    </row>
    <row r="2" spans="1:5">
      <c r="A2" s="191"/>
      <c r="B2" s="914"/>
      <c r="C2" s="366" t="s">
        <v>520</v>
      </c>
      <c r="D2" s="366" t="s">
        <v>521</v>
      </c>
      <c r="E2" s="1322"/>
    </row>
    <row r="3" spans="1:5">
      <c r="A3" s="191"/>
      <c r="B3" s="914"/>
      <c r="C3" s="79"/>
      <c r="D3" s="79"/>
      <c r="E3" s="914"/>
    </row>
    <row r="4" spans="1:5">
      <c r="A4" s="909" t="s">
        <v>519</v>
      </c>
      <c r="B4" s="915" t="s">
        <v>530</v>
      </c>
      <c r="E4" s="604">
        <v>15446</v>
      </c>
    </row>
    <row r="5" spans="1:5">
      <c r="A5" s="913"/>
      <c r="B5" s="605" t="s">
        <v>522</v>
      </c>
      <c r="C5" s="201"/>
      <c r="D5" s="201"/>
      <c r="E5" s="605">
        <v>12357</v>
      </c>
    </row>
    <row r="6" spans="1:5">
      <c r="A6" s="184" t="s">
        <v>523</v>
      </c>
      <c r="B6" s="916" t="s">
        <v>530</v>
      </c>
      <c r="C6" s="79"/>
      <c r="D6" s="79"/>
      <c r="E6" s="914">
        <v>102079</v>
      </c>
    </row>
    <row r="7" spans="1:5">
      <c r="A7" s="909"/>
      <c r="B7" s="604" t="s">
        <v>522</v>
      </c>
      <c r="E7" s="604">
        <v>81663</v>
      </c>
    </row>
    <row r="8" spans="1:5">
      <c r="A8" s="910" t="s">
        <v>524</v>
      </c>
      <c r="B8" s="917"/>
      <c r="E8" s="604"/>
    </row>
    <row r="9" spans="1:5">
      <c r="A9" s="193" t="s">
        <v>537</v>
      </c>
      <c r="B9" s="604"/>
      <c r="E9" s="604"/>
    </row>
    <row r="10" spans="1:5">
      <c r="A10" s="193" t="s">
        <v>526</v>
      </c>
      <c r="B10" s="604"/>
      <c r="E10" s="604"/>
    </row>
    <row r="11" spans="1:5">
      <c r="A11" s="198" t="s">
        <v>525</v>
      </c>
      <c r="B11" s="605"/>
      <c r="C11" s="201"/>
      <c r="D11" s="201"/>
      <c r="E11" s="605"/>
    </row>
    <row r="13" spans="1:5">
      <c r="A13" s="7" t="s">
        <v>535</v>
      </c>
    </row>
    <row r="14" spans="1:5">
      <c r="A14" s="7" t="s">
        <v>531</v>
      </c>
    </row>
    <row r="15" spans="1:5">
      <c r="A15" s="172" t="s">
        <v>532</v>
      </c>
    </row>
    <row r="16" spans="1:5">
      <c r="A16" s="172" t="s">
        <v>533</v>
      </c>
    </row>
    <row r="18" spans="1:2">
      <c r="A18" t="s">
        <v>534</v>
      </c>
    </row>
    <row r="20" spans="1:2">
      <c r="A20" s="7" t="s">
        <v>536</v>
      </c>
    </row>
    <row r="21" spans="1:2">
      <c r="A21" s="970" t="s">
        <v>527</v>
      </c>
    </row>
    <row r="22" spans="1:2">
      <c r="A22" s="970" t="s">
        <v>528</v>
      </c>
    </row>
    <row r="23" spans="1:2">
      <c r="A23" s="970" t="s">
        <v>529</v>
      </c>
    </row>
    <row r="28" spans="1:2" ht="20">
      <c r="A28" s="1" t="s">
        <v>562</v>
      </c>
      <c r="B28" s="648">
        <v>0.13</v>
      </c>
    </row>
    <row r="29" spans="1:2" ht="20">
      <c r="A29" s="1" t="s">
        <v>563</v>
      </c>
      <c r="B29" s="648">
        <v>1</v>
      </c>
    </row>
    <row r="30" spans="1:2" ht="20">
      <c r="A30" s="1" t="s">
        <v>563</v>
      </c>
      <c r="B30" s="74">
        <v>0.4</v>
      </c>
    </row>
    <row r="31" spans="1:2" ht="20">
      <c r="A31" s="1" t="s">
        <v>563</v>
      </c>
      <c r="B31" s="74">
        <v>0.29799999999999999</v>
      </c>
    </row>
    <row r="32" spans="1:2" ht="20">
      <c r="A32" s="1" t="s">
        <v>563</v>
      </c>
      <c r="B32" s="74">
        <v>0.45500000000000002</v>
      </c>
    </row>
    <row r="33" spans="1:2" ht="40">
      <c r="A33" s="1" t="s">
        <v>562</v>
      </c>
      <c r="B33" s="1" t="s">
        <v>564</v>
      </c>
    </row>
    <row r="34" spans="1:2" ht="19">
      <c r="A34" s="1">
        <f>B34*H21</f>
        <v>0</v>
      </c>
      <c r="B34" s="74">
        <v>1.0999999999999999E-2</v>
      </c>
    </row>
    <row r="35" spans="1:2" ht="20" thickBot="1">
      <c r="A35" s="88"/>
      <c r="B35" s="88"/>
    </row>
  </sheetData>
  <mergeCells count="2">
    <mergeCell ref="C1:D1"/>
    <mergeCell ref="E1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28E28-DD6C-6F47-AE29-C9676FEF6CE3}">
  <dimension ref="A1:L96"/>
  <sheetViews>
    <sheetView topLeftCell="B19" workbookViewId="0">
      <selection activeCell="N25" sqref="N25"/>
    </sheetView>
  </sheetViews>
  <sheetFormatPr baseColWidth="10" defaultRowHeight="19" outlineLevelRow="1"/>
  <cols>
    <col min="1" max="1" width="25.83203125" style="15" customWidth="1"/>
    <col min="2" max="8" width="22.5" style="15" customWidth="1"/>
    <col min="9" max="9" width="12" style="15" customWidth="1"/>
    <col min="10" max="10" width="18.5" style="15" customWidth="1"/>
    <col min="11" max="11" width="14.6640625" style="15" customWidth="1"/>
    <col min="12" max="12" width="15.1640625" style="15" customWidth="1"/>
    <col min="13" max="16384" width="10.83203125" style="15"/>
  </cols>
  <sheetData>
    <row r="1" spans="1:8" s="27" customFormat="1">
      <c r="B1" s="26" t="s">
        <v>45</v>
      </c>
    </row>
    <row r="2" spans="1:8" outlineLevel="1">
      <c r="B2" s="18" t="s">
        <v>2</v>
      </c>
    </row>
    <row r="3" spans="1:8" outlineLevel="1">
      <c r="B3" s="15" t="s">
        <v>68</v>
      </c>
    </row>
    <row r="4" spans="1:8" ht="60" outlineLevel="1">
      <c r="B4" s="3" t="s">
        <v>48</v>
      </c>
      <c r="C4" s="3" t="s">
        <v>49</v>
      </c>
      <c r="D4" s="3" t="s">
        <v>35</v>
      </c>
      <c r="E4" s="3" t="s">
        <v>36</v>
      </c>
      <c r="F4" s="3" t="s">
        <v>34</v>
      </c>
    </row>
    <row r="5" spans="1:8" outlineLevel="1">
      <c r="B5" s="17">
        <v>79000</v>
      </c>
      <c r="C5" s="17">
        <v>33000</v>
      </c>
      <c r="D5" s="17">
        <v>13000</v>
      </c>
      <c r="E5" s="17">
        <v>247000</v>
      </c>
      <c r="F5" s="17">
        <f>SUM(B5:E5)</f>
        <v>372000</v>
      </c>
    </row>
    <row r="6" spans="1:8" outlineLevel="1"/>
    <row r="7" spans="1:8" outlineLevel="1">
      <c r="B7" s="622" t="s">
        <v>46</v>
      </c>
    </row>
    <row r="8" spans="1:8" ht="76" customHeight="1" outlineLevel="1">
      <c r="B8" s="3" t="s">
        <v>48</v>
      </c>
      <c r="C8" s="3" t="s">
        <v>49</v>
      </c>
      <c r="D8" s="3" t="s">
        <v>35</v>
      </c>
      <c r="E8" s="3" t="s">
        <v>36</v>
      </c>
      <c r="F8" s="3" t="s">
        <v>34</v>
      </c>
    </row>
    <row r="9" spans="1:8" outlineLevel="1">
      <c r="B9" s="20">
        <f>B5</f>
        <v>79000</v>
      </c>
      <c r="C9" s="20">
        <f t="shared" ref="C9:F9" si="0">C5</f>
        <v>33000</v>
      </c>
      <c r="D9" s="20">
        <f t="shared" si="0"/>
        <v>13000</v>
      </c>
      <c r="E9" s="20">
        <f t="shared" si="0"/>
        <v>247000</v>
      </c>
      <c r="F9" s="20">
        <f t="shared" si="0"/>
        <v>372000</v>
      </c>
      <c r="G9" s="645"/>
    </row>
    <row r="10" spans="1:8" outlineLevel="1">
      <c r="D10" s="72"/>
      <c r="E10" s="72"/>
    </row>
    <row r="11" spans="1:8" outlineLevel="1"/>
    <row r="12" spans="1:8" s="81" customFormat="1" outlineLevel="1">
      <c r="B12" s="82" t="s">
        <v>131</v>
      </c>
      <c r="C12" s="83"/>
    </row>
    <row r="13" spans="1:8" outlineLevel="1">
      <c r="B13" s="18" t="s">
        <v>2</v>
      </c>
      <c r="C13" s="18"/>
    </row>
    <row r="14" spans="1:8" outlineLevel="1">
      <c r="B14" s="644" t="s">
        <v>430</v>
      </c>
      <c r="C14" s="18"/>
    </row>
    <row r="15" spans="1:8" ht="63" customHeight="1" outlineLevel="1">
      <c r="A15" s="1011" t="s">
        <v>64</v>
      </c>
      <c r="B15" s="22" t="s">
        <v>48</v>
      </c>
      <c r="C15" s="22" t="s">
        <v>49</v>
      </c>
      <c r="D15" s="22" t="s">
        <v>35</v>
      </c>
      <c r="E15" s="22" t="s">
        <v>36</v>
      </c>
      <c r="F15" s="22" t="s">
        <v>34</v>
      </c>
      <c r="G15" s="496" t="s">
        <v>125</v>
      </c>
      <c r="H15" s="1002" t="s">
        <v>601</v>
      </c>
    </row>
    <row r="16" spans="1:8" ht="63" customHeight="1" outlineLevel="1">
      <c r="A16" s="1012"/>
      <c r="B16" s="1"/>
      <c r="C16" s="1"/>
      <c r="D16" s="1"/>
      <c r="E16" s="1"/>
      <c r="F16" s="1"/>
      <c r="G16" s="39"/>
      <c r="H16" s="1004"/>
    </row>
    <row r="17" spans="1:12" ht="18" customHeight="1" outlineLevel="1">
      <c r="A17" s="1012" t="s">
        <v>327</v>
      </c>
      <c r="B17" s="1">
        <v>7</v>
      </c>
      <c r="C17" s="1">
        <v>88</v>
      </c>
      <c r="D17" s="1"/>
      <c r="E17" s="1"/>
      <c r="F17" s="1"/>
      <c r="G17" s="1014">
        <f>B17+C17</f>
        <v>95</v>
      </c>
      <c r="H17" s="1013">
        <f>G17/$G$22</f>
        <v>8.2468141254904686E-4</v>
      </c>
    </row>
    <row r="18" spans="1:12" outlineLevel="1">
      <c r="A18" s="1014" t="s">
        <v>429</v>
      </c>
      <c r="B18" s="1">
        <v>481</v>
      </c>
      <c r="C18" s="15">
        <v>1048</v>
      </c>
      <c r="D18" s="998" t="s">
        <v>31</v>
      </c>
      <c r="E18" s="998" t="s">
        <v>31</v>
      </c>
      <c r="F18" s="998" t="s">
        <v>31</v>
      </c>
      <c r="G18" s="1014">
        <f>B18+C18</f>
        <v>1529</v>
      </c>
      <c r="H18" s="1013">
        <f>G18/$G$22</f>
        <v>1.3273030313552554E-2</v>
      </c>
    </row>
    <row r="19" spans="1:12" outlineLevel="1">
      <c r="A19" s="1014" t="s">
        <v>65</v>
      </c>
      <c r="B19" s="1">
        <v>6753</v>
      </c>
      <c r="C19" s="15">
        <v>7764</v>
      </c>
      <c r="D19" s="998" t="s">
        <v>31</v>
      </c>
      <c r="E19" s="998" t="s">
        <v>31</v>
      </c>
      <c r="F19" s="998" t="s">
        <v>31</v>
      </c>
      <c r="G19" s="1014">
        <f t="shared" ref="G19:G21" si="1">B19+C19</f>
        <v>14517</v>
      </c>
      <c r="H19" s="1013">
        <f>G19/$G$22</f>
        <v>0.12602000069446856</v>
      </c>
    </row>
    <row r="20" spans="1:12" outlineLevel="1">
      <c r="A20" s="1014" t="s">
        <v>66</v>
      </c>
      <c r="B20" s="1">
        <v>56883</v>
      </c>
      <c r="C20" s="15">
        <v>42172</v>
      </c>
      <c r="D20" s="998" t="s">
        <v>31</v>
      </c>
      <c r="E20" s="998" t="s">
        <v>31</v>
      </c>
      <c r="F20" s="998" t="s">
        <v>31</v>
      </c>
      <c r="G20" s="1014">
        <f t="shared" si="1"/>
        <v>99055</v>
      </c>
      <c r="H20" s="1013">
        <f>G20/$G$22</f>
        <v>0.85988228757942986</v>
      </c>
    </row>
    <row r="21" spans="1:12" outlineLevel="1">
      <c r="A21" s="1014" t="s">
        <v>31</v>
      </c>
      <c r="D21" s="998" t="s">
        <v>31</v>
      </c>
      <c r="E21" s="998" t="s">
        <v>31</v>
      </c>
      <c r="F21" s="998" t="s">
        <v>31</v>
      </c>
      <c r="G21" s="1014">
        <f t="shared" si="1"/>
        <v>0</v>
      </c>
      <c r="H21" s="1013">
        <f>G21/$G$22</f>
        <v>0</v>
      </c>
    </row>
    <row r="22" spans="1:12" outlineLevel="1">
      <c r="A22" s="1008" t="s">
        <v>126</v>
      </c>
      <c r="B22" s="1009">
        <f>SUM(B17:B20)</f>
        <v>64124</v>
      </c>
      <c r="C22" s="1009">
        <f>SUM(C17:C20)</f>
        <v>51072</v>
      </c>
      <c r="D22" s="1009"/>
      <c r="E22" s="1009"/>
      <c r="F22" s="1009"/>
      <c r="G22" s="1008">
        <f>SUM(G17:G20)</f>
        <v>115196</v>
      </c>
      <c r="H22" s="1015"/>
    </row>
    <row r="23" spans="1:12" outlineLevel="1">
      <c r="B23" s="72"/>
    </row>
    <row r="24" spans="1:12" outlineLevel="1">
      <c r="B24" s="72"/>
    </row>
    <row r="25" spans="1:12" ht="60" outlineLevel="1">
      <c r="A25" s="1000" t="s">
        <v>64</v>
      </c>
      <c r="B25" s="22" t="s">
        <v>48</v>
      </c>
      <c r="C25" s="22" t="s">
        <v>49</v>
      </c>
      <c r="D25" s="22" t="s">
        <v>35</v>
      </c>
      <c r="E25" s="22" t="s">
        <v>36</v>
      </c>
      <c r="F25" s="22" t="s">
        <v>34</v>
      </c>
      <c r="G25" s="1000" t="s">
        <v>600</v>
      </c>
      <c r="H25" s="1002" t="s">
        <v>601</v>
      </c>
      <c r="J25" s="15" t="s">
        <v>645</v>
      </c>
    </row>
    <row r="26" spans="1:12" ht="40" outlineLevel="1">
      <c r="A26" s="1003"/>
      <c r="G26" s="1014"/>
      <c r="H26" s="1004"/>
      <c r="J26" s="16" t="s">
        <v>64</v>
      </c>
      <c r="K26" s="16" t="s">
        <v>644</v>
      </c>
      <c r="L26" s="1295" t="s">
        <v>601</v>
      </c>
    </row>
    <row r="27" spans="1:12" outlineLevel="1">
      <c r="A27" s="1003" t="s">
        <v>602</v>
      </c>
      <c r="B27" s="15">
        <v>7</v>
      </c>
      <c r="C27" s="15">
        <v>88</v>
      </c>
      <c r="G27" s="993">
        <f t="shared" ref="G27:G32" si="2">B27+C27</f>
        <v>95</v>
      </c>
      <c r="H27" s="1005">
        <f t="shared" ref="H27:H33" si="3">G27/$G$33</f>
        <v>8.2468857155258474E-4</v>
      </c>
      <c r="J27" s="1006" t="s">
        <v>602</v>
      </c>
      <c r="K27" s="1296">
        <f t="shared" ref="K27:K32" si="4">F27+G27</f>
        <v>95</v>
      </c>
      <c r="L27" s="1297">
        <f t="shared" ref="L27:L33" si="5">K27/$G$33</f>
        <v>8.2468857155258474E-4</v>
      </c>
    </row>
    <row r="28" spans="1:12" outlineLevel="1">
      <c r="A28" s="1003" t="s">
        <v>583</v>
      </c>
      <c r="B28" s="15">
        <v>481</v>
      </c>
      <c r="C28" s="15">
        <v>1048</v>
      </c>
      <c r="G28" s="993">
        <f t="shared" si="2"/>
        <v>1529</v>
      </c>
      <c r="H28" s="1005">
        <f t="shared" si="3"/>
        <v>1.3273145535830548E-2</v>
      </c>
      <c r="J28" s="1006" t="s">
        <v>583</v>
      </c>
      <c r="K28" s="1296">
        <f t="shared" si="4"/>
        <v>1529</v>
      </c>
      <c r="L28" s="1297">
        <f t="shared" si="5"/>
        <v>1.3273145535830548E-2</v>
      </c>
    </row>
    <row r="29" spans="1:12" outlineLevel="1">
      <c r="A29" s="1006" t="s">
        <v>584</v>
      </c>
      <c r="B29" s="999">
        <v>6753</v>
      </c>
      <c r="C29" s="999">
        <v>7763</v>
      </c>
      <c r="G29" s="1016">
        <f t="shared" si="2"/>
        <v>14516</v>
      </c>
      <c r="H29" s="1007">
        <f t="shared" si="3"/>
        <v>0.12601241373323496</v>
      </c>
      <c r="J29" s="1299" t="s">
        <v>584</v>
      </c>
      <c r="K29" s="1300">
        <f t="shared" si="4"/>
        <v>14516</v>
      </c>
      <c r="L29" s="1301">
        <f t="shared" si="5"/>
        <v>0.12601241373323496</v>
      </c>
    </row>
    <row r="30" spans="1:12" outlineLevel="1">
      <c r="A30" s="1006" t="s">
        <v>585</v>
      </c>
      <c r="B30" s="999">
        <v>5224</v>
      </c>
      <c r="C30" s="999">
        <v>4371</v>
      </c>
      <c r="G30" s="1016">
        <f t="shared" si="2"/>
        <v>9595</v>
      </c>
      <c r="H30" s="1007">
        <f t="shared" si="3"/>
        <v>8.3293545726811066E-2</v>
      </c>
      <c r="I30" s="72"/>
      <c r="J30" s="1299" t="s">
        <v>585</v>
      </c>
      <c r="K30" s="1300">
        <f t="shared" si="4"/>
        <v>9595</v>
      </c>
      <c r="L30" s="1301">
        <f t="shared" si="5"/>
        <v>8.3293545726811066E-2</v>
      </c>
    </row>
    <row r="31" spans="1:12" outlineLevel="1">
      <c r="A31" s="1006" t="s">
        <v>582</v>
      </c>
      <c r="B31" s="999">
        <v>18240</v>
      </c>
      <c r="C31" s="999">
        <v>11402</v>
      </c>
      <c r="G31" s="1016">
        <f t="shared" si="2"/>
        <v>29642</v>
      </c>
      <c r="H31" s="1007">
        <f t="shared" si="3"/>
        <v>0.2573201961890707</v>
      </c>
      <c r="J31" s="1299" t="s">
        <v>582</v>
      </c>
      <c r="K31" s="1300">
        <f t="shared" si="4"/>
        <v>29642</v>
      </c>
      <c r="L31" s="1301">
        <f t="shared" si="5"/>
        <v>0.2573201961890707</v>
      </c>
    </row>
    <row r="32" spans="1:12" outlineLevel="1">
      <c r="A32" s="1003" t="s">
        <v>586</v>
      </c>
      <c r="B32" s="15">
        <v>33419</v>
      </c>
      <c r="C32" s="15">
        <v>26399</v>
      </c>
      <c r="G32" s="993">
        <f t="shared" si="2"/>
        <v>59818</v>
      </c>
      <c r="H32" s="1233">
        <f t="shared" si="3"/>
        <v>0.51927601024350012</v>
      </c>
      <c r="J32" s="1003" t="s">
        <v>586</v>
      </c>
      <c r="K32" s="1014">
        <f t="shared" si="4"/>
        <v>59818</v>
      </c>
      <c r="L32" s="1298">
        <f t="shared" si="5"/>
        <v>0.51927601024350012</v>
      </c>
    </row>
    <row r="33" spans="1:12" outlineLevel="1">
      <c r="A33" s="1008" t="s">
        <v>126</v>
      </c>
      <c r="B33" s="1009">
        <f>SUM(B27:B32)</f>
        <v>64124</v>
      </c>
      <c r="C33" s="1009">
        <f>SUM(C27:C32)</f>
        <v>51071</v>
      </c>
      <c r="D33" s="1009"/>
      <c r="E33" s="1009"/>
      <c r="F33" s="1009"/>
      <c r="G33" s="1017">
        <f>SUM(G27:G32)</f>
        <v>115195</v>
      </c>
      <c r="H33" s="1010">
        <f t="shared" si="3"/>
        <v>1</v>
      </c>
      <c r="J33" s="1008" t="s">
        <v>126</v>
      </c>
      <c r="K33" s="1008">
        <f>SUM(K27:K32)</f>
        <v>115195</v>
      </c>
      <c r="L33" s="1034">
        <f t="shared" si="5"/>
        <v>1</v>
      </c>
    </row>
    <row r="34" spans="1:12" outlineLevel="1">
      <c r="B34" s="72"/>
    </row>
    <row r="35" spans="1:12" outlineLevel="1">
      <c r="B35" s="18"/>
    </row>
    <row r="36" spans="1:12">
      <c r="B36" s="15" t="s">
        <v>68</v>
      </c>
    </row>
    <row r="37" spans="1:12" ht="60">
      <c r="A37" s="29" t="s">
        <v>64</v>
      </c>
      <c r="B37" s="3" t="s">
        <v>48</v>
      </c>
      <c r="C37" s="3" t="s">
        <v>49</v>
      </c>
      <c r="D37" s="3" t="s">
        <v>35</v>
      </c>
      <c r="E37" s="3" t="s">
        <v>36</v>
      </c>
      <c r="F37" s="3" t="s">
        <v>34</v>
      </c>
      <c r="G37" s="60" t="s">
        <v>125</v>
      </c>
    </row>
    <row r="38" spans="1:12" ht="20">
      <c r="A38" s="29" t="s">
        <v>327</v>
      </c>
      <c r="B38" s="649">
        <f>B17/$B$22</f>
        <v>1.0916349572702888E-4</v>
      </c>
      <c r="C38" s="649">
        <f>C17/$C$22</f>
        <v>1.7230576441102756E-3</v>
      </c>
      <c r="D38" s="650">
        <f>G38</f>
        <v>8.2468141254904686E-4</v>
      </c>
      <c r="E38" s="650">
        <f>G38</f>
        <v>8.2468141254904686E-4</v>
      </c>
      <c r="F38" s="650">
        <f>G38</f>
        <v>8.2468141254904686E-4</v>
      </c>
      <c r="G38" s="70">
        <f>G17/$G$22</f>
        <v>8.2468141254904686E-4</v>
      </c>
    </row>
    <row r="39" spans="1:12">
      <c r="A39" s="17" t="s">
        <v>429</v>
      </c>
      <c r="B39" s="649">
        <f>B18/$B$22</f>
        <v>7.5010916349572705E-3</v>
      </c>
      <c r="C39" s="649">
        <f>C18/$C$22</f>
        <v>2.0520050125313282E-2</v>
      </c>
      <c r="D39" s="649">
        <f>G39</f>
        <v>1.3273030313552554E-2</v>
      </c>
      <c r="E39" s="649">
        <f>G39</f>
        <v>1.3273030313552554E-2</v>
      </c>
      <c r="F39" s="649">
        <f>G39</f>
        <v>1.3273030313552554E-2</v>
      </c>
      <c r="G39" s="70">
        <f>G18/$G$22</f>
        <v>1.3273030313552554E-2</v>
      </c>
    </row>
    <row r="40" spans="1:12">
      <c r="A40" s="17" t="s">
        <v>65</v>
      </c>
      <c r="B40" s="649">
        <f>B19/$B$22</f>
        <v>0.10531158380637515</v>
      </c>
      <c r="C40" s="649">
        <f>C19/$C$22</f>
        <v>0.15202067669172933</v>
      </c>
      <c r="D40" s="649">
        <f t="shared" ref="D40:D41" si="6">G40</f>
        <v>0.12602000069446856</v>
      </c>
      <c r="E40" s="649">
        <f t="shared" ref="E40:E41" si="7">G40</f>
        <v>0.12602000069446856</v>
      </c>
      <c r="F40" s="649">
        <f t="shared" ref="F40:F41" si="8">G40</f>
        <v>0.12602000069446856</v>
      </c>
      <c r="G40" s="70">
        <f>G19/$G$22</f>
        <v>0.12602000069446856</v>
      </c>
    </row>
    <row r="41" spans="1:12">
      <c r="A41" s="17" t="s">
        <v>66</v>
      </c>
      <c r="B41" s="649">
        <f>B20/$B$22</f>
        <v>0.88707816106294057</v>
      </c>
      <c r="C41" s="649">
        <f>C20/$C$22</f>
        <v>0.82573621553884713</v>
      </c>
      <c r="D41" s="649">
        <f t="shared" si="6"/>
        <v>0.85988228757942986</v>
      </c>
      <c r="E41" s="649">
        <f t="shared" si="7"/>
        <v>0.85988228757942986</v>
      </c>
      <c r="F41" s="649">
        <f t="shared" si="8"/>
        <v>0.85988228757942986</v>
      </c>
      <c r="G41" s="70">
        <f>G20/$G$22</f>
        <v>0.85988228757942986</v>
      </c>
    </row>
    <row r="42" spans="1:12">
      <c r="A42" s="17" t="s">
        <v>31</v>
      </c>
      <c r="B42" s="70"/>
      <c r="C42" s="70"/>
      <c r="D42" s="70"/>
      <c r="E42" s="70"/>
      <c r="F42" s="70"/>
      <c r="G42" s="70">
        <f>G21/$G$22</f>
        <v>0</v>
      </c>
    </row>
    <row r="43" spans="1:12">
      <c r="B43" s="122"/>
      <c r="C43" s="122"/>
      <c r="D43" s="122"/>
      <c r="E43" s="122"/>
      <c r="F43" s="122"/>
      <c r="G43" s="122"/>
    </row>
    <row r="44" spans="1:12">
      <c r="B44" s="122"/>
      <c r="C44" s="122"/>
      <c r="D44" s="122"/>
      <c r="E44" s="122"/>
      <c r="F44" s="122"/>
      <c r="G44" s="122"/>
    </row>
    <row r="45" spans="1:12" ht="60">
      <c r="A45" s="1000" t="s">
        <v>64</v>
      </c>
      <c r="B45" s="22" t="s">
        <v>48</v>
      </c>
      <c r="C45" s="22" t="s">
        <v>49</v>
      </c>
      <c r="D45" s="22" t="s">
        <v>35</v>
      </c>
      <c r="E45" s="22" t="s">
        <v>36</v>
      </c>
      <c r="F45" s="22" t="s">
        <v>34</v>
      </c>
      <c r="G45" s="1018" t="s">
        <v>600</v>
      </c>
    </row>
    <row r="46" spans="1:12">
      <c r="A46" s="1003"/>
      <c r="G46" s="1019"/>
    </row>
    <row r="47" spans="1:12">
      <c r="A47" s="1003" t="s">
        <v>602</v>
      </c>
      <c r="B47" s="122">
        <f>B27/$B$33</f>
        <v>1.0916349572702888E-4</v>
      </c>
      <c r="C47" s="122">
        <f>C27/$C$33</f>
        <v>1.7230913825850287E-3</v>
      </c>
      <c r="G47" s="1020">
        <f>G27/$G$33</f>
        <v>8.2468857155258474E-4</v>
      </c>
    </row>
    <row r="48" spans="1:12">
      <c r="A48" s="1003" t="s">
        <v>583</v>
      </c>
      <c r="B48" s="122">
        <f t="shared" ref="B48:B53" si="9">B28/$B$33</f>
        <v>7.5010916349572705E-3</v>
      </c>
      <c r="C48" s="122">
        <f t="shared" ref="C48:C53" si="10">C28/$C$33</f>
        <v>2.052045191987625E-2</v>
      </c>
      <c r="G48" s="1020">
        <f t="shared" ref="G48:G53" si="11">G28/$G$33</f>
        <v>1.3273145535830548E-2</v>
      </c>
    </row>
    <row r="49" spans="1:12">
      <c r="A49" s="1003" t="s">
        <v>584</v>
      </c>
      <c r="B49" s="122">
        <f t="shared" si="9"/>
        <v>0.10531158380637515</v>
      </c>
      <c r="C49" s="122">
        <f t="shared" si="10"/>
        <v>0.15200407276144975</v>
      </c>
      <c r="G49" s="1020">
        <f t="shared" si="11"/>
        <v>0.12601241373323496</v>
      </c>
    </row>
    <row r="50" spans="1:12">
      <c r="A50" s="1006" t="s">
        <v>585</v>
      </c>
      <c r="B50" s="1022">
        <f t="shared" si="9"/>
        <v>8.1467157382571265E-2</v>
      </c>
      <c r="C50" s="1022">
        <f t="shared" si="10"/>
        <v>8.5586732196354098E-2</v>
      </c>
      <c r="D50" s="999"/>
      <c r="E50" s="999"/>
      <c r="F50" s="999"/>
      <c r="G50" s="1023">
        <f t="shared" si="11"/>
        <v>8.3293545726811066E-2</v>
      </c>
    </row>
    <row r="51" spans="1:12">
      <c r="A51" s="1006" t="s">
        <v>582</v>
      </c>
      <c r="B51" s="1022">
        <f t="shared" si="9"/>
        <v>0.28444888029442955</v>
      </c>
      <c r="C51" s="1022">
        <f t="shared" si="10"/>
        <v>0.2232578175481193</v>
      </c>
      <c r="D51" s="999"/>
      <c r="E51" s="999"/>
      <c r="F51" s="999"/>
      <c r="G51" s="1023">
        <f t="shared" si="11"/>
        <v>0.2573201961890707</v>
      </c>
    </row>
    <row r="52" spans="1:12" ht="21" customHeight="1">
      <c r="A52" s="1006" t="s">
        <v>586</v>
      </c>
      <c r="B52" s="1022">
        <f t="shared" si="9"/>
        <v>0.5211621233859397</v>
      </c>
      <c r="C52" s="1022">
        <f t="shared" si="10"/>
        <v>0.51690783419161557</v>
      </c>
      <c r="D52" s="999"/>
      <c r="E52" s="999"/>
      <c r="F52" s="999"/>
      <c r="G52" s="1023">
        <f t="shared" si="11"/>
        <v>0.51927601024350012</v>
      </c>
    </row>
    <row r="53" spans="1:12">
      <c r="A53" s="1008" t="s">
        <v>126</v>
      </c>
      <c r="B53" s="1024">
        <f t="shared" si="9"/>
        <v>1</v>
      </c>
      <c r="C53" s="1024">
        <f t="shared" si="10"/>
        <v>1</v>
      </c>
      <c r="D53" s="1009"/>
      <c r="E53" s="1009"/>
      <c r="F53" s="1009"/>
      <c r="G53" s="1021">
        <f t="shared" si="11"/>
        <v>1</v>
      </c>
    </row>
    <row r="55" spans="1:12" s="623" customFormat="1">
      <c r="A55" s="624" t="s">
        <v>417</v>
      </c>
      <c r="J55" s="623" t="s">
        <v>569</v>
      </c>
    </row>
    <row r="56" spans="1:12">
      <c r="B56" s="15" t="s">
        <v>68</v>
      </c>
      <c r="C56" s="18"/>
    </row>
    <row r="57" spans="1:12" ht="60">
      <c r="A57" s="1011" t="s">
        <v>64</v>
      </c>
      <c r="B57" s="22" t="s">
        <v>48</v>
      </c>
      <c r="C57" s="22" t="s">
        <v>49</v>
      </c>
      <c r="D57" s="22" t="s">
        <v>35</v>
      </c>
      <c r="E57" s="22" t="s">
        <v>36</v>
      </c>
      <c r="F57" s="22" t="s">
        <v>34</v>
      </c>
      <c r="G57" s="496" t="s">
        <v>125</v>
      </c>
      <c r="H57" s="1040" t="s">
        <v>601</v>
      </c>
      <c r="J57" s="1028" t="s">
        <v>64</v>
      </c>
      <c r="K57" s="1029" t="s">
        <v>570</v>
      </c>
      <c r="L57" s="1030" t="s">
        <v>571</v>
      </c>
    </row>
    <row r="58" spans="1:12" ht="20">
      <c r="A58" s="1012" t="s">
        <v>327</v>
      </c>
      <c r="B58" s="154">
        <f t="shared" ref="B58:E61" si="12">B$9*B38</f>
        <v>8.6239161624352825</v>
      </c>
      <c r="C58" s="154">
        <f t="shared" si="12"/>
        <v>56.860902255639097</v>
      </c>
      <c r="D58" s="154">
        <f t="shared" si="12"/>
        <v>10.720858363137609</v>
      </c>
      <c r="E58" s="154">
        <f t="shared" si="12"/>
        <v>203.69630889961456</v>
      </c>
      <c r="F58" s="1"/>
      <c r="G58" s="1038">
        <f>B58+C58</f>
        <v>65.484818418074383</v>
      </c>
      <c r="H58" s="1013">
        <f>G58/$G$63</f>
        <v>5.8468587873280694E-4</v>
      </c>
      <c r="J58" s="1028" t="s">
        <v>327</v>
      </c>
      <c r="K58" s="1031">
        <v>8.2468141254904686E-4</v>
      </c>
      <c r="L58" s="1032">
        <v>95</v>
      </c>
    </row>
    <row r="59" spans="1:12">
      <c r="A59" s="1014" t="s">
        <v>429</v>
      </c>
      <c r="B59" s="154">
        <f t="shared" si="12"/>
        <v>592.58623916162435</v>
      </c>
      <c r="C59" s="154">
        <f t="shared" si="12"/>
        <v>677.16165413533827</v>
      </c>
      <c r="D59" s="154">
        <f t="shared" si="12"/>
        <v>172.54939407618321</v>
      </c>
      <c r="E59" s="154">
        <f t="shared" si="12"/>
        <v>3278.4384874474808</v>
      </c>
      <c r="F59" s="1035">
        <f>SUM(B59:E59)</f>
        <v>4720.7357748206268</v>
      </c>
      <c r="G59" s="1038">
        <f>B59+C59</f>
        <v>1269.7478932969625</v>
      </c>
      <c r="H59" s="1013">
        <f>G59/$G$63</f>
        <v>1.1337034761580022E-2</v>
      </c>
      <c r="J59" s="1032" t="s">
        <v>429</v>
      </c>
      <c r="K59" s="1031">
        <v>1.3273030313552554E-2</v>
      </c>
      <c r="L59" s="1032">
        <v>1529</v>
      </c>
    </row>
    <row r="60" spans="1:12">
      <c r="A60" s="1014" t="s">
        <v>65</v>
      </c>
      <c r="B60" s="154">
        <f t="shared" si="12"/>
        <v>8319.6151207036364</v>
      </c>
      <c r="C60" s="154">
        <f t="shared" si="12"/>
        <v>5016.6823308270677</v>
      </c>
      <c r="D60" s="154">
        <f t="shared" si="12"/>
        <v>1638.2600090280912</v>
      </c>
      <c r="E60" s="154">
        <f t="shared" si="12"/>
        <v>31126.940171533734</v>
      </c>
      <c r="F60" s="1035">
        <f t="shared" ref="F60:F62" si="13">SUM(B60:E60)</f>
        <v>46101.497632092527</v>
      </c>
      <c r="G60" s="1038">
        <f>B60+C60</f>
        <v>13336.297451530703</v>
      </c>
      <c r="H60" s="1013">
        <f t="shared" ref="H60:H62" si="14">G60/$G$63</f>
        <v>0.119074084388667</v>
      </c>
      <c r="J60" s="1032" t="s">
        <v>65</v>
      </c>
      <c r="K60" s="1031">
        <v>0.12602000069446856</v>
      </c>
      <c r="L60" s="1032">
        <v>14517</v>
      </c>
    </row>
    <row r="61" spans="1:12">
      <c r="A61" s="1014" t="s">
        <v>66</v>
      </c>
      <c r="B61" s="154">
        <f t="shared" si="12"/>
        <v>70079.174723972304</v>
      </c>
      <c r="C61" s="154">
        <f t="shared" si="12"/>
        <v>27249.295112781954</v>
      </c>
      <c r="D61" s="154">
        <f t="shared" si="12"/>
        <v>11178.469738532589</v>
      </c>
      <c r="E61" s="154">
        <f t="shared" si="12"/>
        <v>212390.92503211918</v>
      </c>
      <c r="F61" s="1035">
        <f t="shared" si="13"/>
        <v>320897.86460740602</v>
      </c>
      <c r="G61" s="1038">
        <f>B61+C61</f>
        <v>97328.469836754259</v>
      </c>
      <c r="H61" s="1013">
        <f t="shared" si="14"/>
        <v>0.86900419497102022</v>
      </c>
      <c r="J61" s="1032" t="s">
        <v>66</v>
      </c>
      <c r="K61" s="1033">
        <v>0.85988228757942986</v>
      </c>
      <c r="L61" s="1032">
        <v>99055</v>
      </c>
    </row>
    <row r="62" spans="1:12">
      <c r="A62" s="1008" t="s">
        <v>31</v>
      </c>
      <c r="B62" s="1009"/>
      <c r="C62" s="1009"/>
      <c r="D62" s="1036">
        <f t="shared" ref="D62:E62" si="15">D$9*D42</f>
        <v>0</v>
      </c>
      <c r="E62" s="1036">
        <f t="shared" si="15"/>
        <v>0</v>
      </c>
      <c r="F62" s="1037">
        <f t="shared" si="13"/>
        <v>0</v>
      </c>
      <c r="G62" s="1039">
        <f>B62+C62</f>
        <v>0</v>
      </c>
      <c r="H62" s="1034">
        <f t="shared" si="14"/>
        <v>0</v>
      </c>
      <c r="J62" s="1032" t="s">
        <v>420</v>
      </c>
      <c r="K62" s="1033">
        <v>1</v>
      </c>
      <c r="L62" s="1032">
        <v>115196</v>
      </c>
    </row>
    <row r="63" spans="1:12">
      <c r="A63" s="629" t="s">
        <v>143</v>
      </c>
      <c r="B63" s="646">
        <f>SUM(B58:B61)</f>
        <v>79000</v>
      </c>
      <c r="C63" s="646">
        <f t="shared" ref="C63:G63" si="16">SUM(C58:C61)</f>
        <v>33000</v>
      </c>
      <c r="D63" s="1025">
        <f t="shared" si="16"/>
        <v>13000</v>
      </c>
      <c r="E63" s="1025">
        <f t="shared" si="16"/>
        <v>247000</v>
      </c>
      <c r="F63" s="646">
        <f t="shared" si="16"/>
        <v>371720.0980143192</v>
      </c>
      <c r="G63" s="646">
        <f t="shared" si="16"/>
        <v>112000</v>
      </c>
      <c r="K63" s="69"/>
    </row>
    <row r="64" spans="1:12" s="2" customFormat="1" ht="120">
      <c r="A64" s="625" t="s">
        <v>431</v>
      </c>
      <c r="B64" s="626" t="s">
        <v>1</v>
      </c>
      <c r="C64" s="626" t="s">
        <v>1</v>
      </c>
      <c r="D64" s="627">
        <v>0.14000000000000001</v>
      </c>
      <c r="E64" s="628">
        <v>1.4999999999999999E-2</v>
      </c>
    </row>
    <row r="65" spans="1:7">
      <c r="B65" s="69"/>
      <c r="C65" s="69"/>
      <c r="D65" s="1026">
        <f>D64*D63</f>
        <v>1820.0000000000002</v>
      </c>
      <c r="E65" s="1026">
        <f>E64*E63</f>
        <v>3705</v>
      </c>
      <c r="G65" s="69"/>
    </row>
    <row r="66" spans="1:7" ht="60">
      <c r="A66" s="662" t="s">
        <v>444</v>
      </c>
      <c r="D66" s="663">
        <v>7.0000000000000007E-2</v>
      </c>
      <c r="E66" s="663">
        <v>0.33</v>
      </c>
    </row>
    <row r="67" spans="1:7">
      <c r="D67" s="1027">
        <f>D66*D65</f>
        <v>127.40000000000003</v>
      </c>
      <c r="E67" s="1027">
        <f>E66*E65</f>
        <v>1222.6500000000001</v>
      </c>
    </row>
    <row r="69" spans="1:7">
      <c r="A69" s="18" t="s">
        <v>433</v>
      </c>
    </row>
    <row r="70" spans="1:7">
      <c r="A70" s="1000">
        <v>2026</v>
      </c>
      <c r="B70" s="1001" t="s">
        <v>438</v>
      </c>
      <c r="C70" s="1001" t="s">
        <v>439</v>
      </c>
      <c r="D70" s="1002" t="s">
        <v>226</v>
      </c>
    </row>
    <row r="71" spans="1:7">
      <c r="A71" s="1014" t="s">
        <v>434</v>
      </c>
      <c r="B71" s="15">
        <v>1031</v>
      </c>
      <c r="C71" s="15">
        <v>36</v>
      </c>
      <c r="D71" s="1041">
        <f>C71/B71</f>
        <v>3.4917555771096023E-2</v>
      </c>
    </row>
    <row r="72" spans="1:7">
      <c r="A72" s="1014" t="s">
        <v>435</v>
      </c>
      <c r="B72" s="15">
        <v>958</v>
      </c>
      <c r="C72" s="15">
        <v>31</v>
      </c>
      <c r="D72" s="1041">
        <f>C72/B72</f>
        <v>3.2359081419624215E-2</v>
      </c>
    </row>
    <row r="73" spans="1:7">
      <c r="A73" s="1014" t="s">
        <v>436</v>
      </c>
      <c r="B73" s="15">
        <v>1023</v>
      </c>
      <c r="C73" s="15">
        <v>7</v>
      </c>
      <c r="D73" s="1041">
        <f>C73/B73</f>
        <v>6.8426197458455523E-3</v>
      </c>
    </row>
    <row r="74" spans="1:7">
      <c r="A74" s="1008" t="s">
        <v>437</v>
      </c>
      <c r="B74" s="1037">
        <f>AVERAGE(B71:B73)</f>
        <v>1004</v>
      </c>
      <c r="C74" s="1037">
        <f>AVERAGE(C71:C73)</f>
        <v>24.666666666666668</v>
      </c>
      <c r="D74" s="1042">
        <f>C74/B74</f>
        <v>2.4568393094289511E-2</v>
      </c>
    </row>
    <row r="76" spans="1:7">
      <c r="D76" s="651" t="s">
        <v>440</v>
      </c>
    </row>
    <row r="94" spans="1:1">
      <c r="A94" s="969"/>
    </row>
    <row r="95" spans="1:1" ht="20">
      <c r="A95" s="968"/>
    </row>
    <row r="96" spans="1:1" ht="20">
      <c r="A96" s="968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BDC60-0D8E-DD4A-ACA0-3B5B341E859E}">
  <dimension ref="A1:Q18"/>
  <sheetViews>
    <sheetView zoomScale="90" zoomScaleNormal="90" workbookViewId="0">
      <pane xSplit="2" ySplit="2" topLeftCell="C5" activePane="bottomRight" state="frozen"/>
      <selection pane="topRight" activeCell="B1" sqref="B1"/>
      <selection pane="bottomLeft" activeCell="A4" sqref="A4"/>
      <selection pane="bottomRight" activeCell="N10" sqref="N10"/>
    </sheetView>
  </sheetViews>
  <sheetFormatPr baseColWidth="10" defaultRowHeight="19" outlineLevelCol="1"/>
  <cols>
    <col min="1" max="1" width="23.5" style="2" customWidth="1"/>
    <col min="2" max="2" width="45.33203125" style="1" customWidth="1"/>
    <col min="3" max="3" width="47" style="1" customWidth="1"/>
    <col min="4" max="4" width="11.83203125" style="668" customWidth="1" outlineLevel="1"/>
    <col min="5" max="5" width="13.83203125" style="30" customWidth="1"/>
    <col min="6" max="9" width="13.83203125" style="1" customWidth="1"/>
    <col min="10" max="10" width="13.83203125" style="36" customWidth="1"/>
    <col min="11" max="11" width="12.1640625" style="107" customWidth="1" outlineLevel="1"/>
    <col min="12" max="12" width="13.83203125" style="110" customWidth="1"/>
    <col min="13" max="16" width="13.83203125" style="1" customWidth="1"/>
    <col min="17" max="17" width="13.83203125" style="36" customWidth="1"/>
    <col min="18" max="16384" width="10.83203125" style="2"/>
  </cols>
  <sheetData>
    <row r="1" spans="1:17">
      <c r="E1" s="1323" t="s">
        <v>139</v>
      </c>
      <c r="F1" s="1324"/>
      <c r="G1" s="1324"/>
      <c r="H1" s="1324"/>
      <c r="I1" s="1324"/>
      <c r="J1" s="1325"/>
      <c r="K1" s="955"/>
      <c r="L1" s="1323" t="s">
        <v>172</v>
      </c>
      <c r="M1" s="1324"/>
      <c r="N1" s="1324"/>
      <c r="O1" s="1324"/>
      <c r="P1" s="1324"/>
      <c r="Q1" s="1325"/>
    </row>
    <row r="2" spans="1:17" s="22" customFormat="1" ht="120">
      <c r="A2" s="16"/>
      <c r="B2" s="19" t="s">
        <v>39</v>
      </c>
      <c r="C2" s="19" t="s">
        <v>57</v>
      </c>
      <c r="D2" s="669" t="s">
        <v>567</v>
      </c>
      <c r="E2" s="97" t="s">
        <v>71</v>
      </c>
      <c r="F2" s="103" t="s">
        <v>72</v>
      </c>
      <c r="G2" s="104" t="s">
        <v>73</v>
      </c>
      <c r="H2" s="104" t="s">
        <v>58</v>
      </c>
      <c r="I2" s="104" t="s">
        <v>59</v>
      </c>
      <c r="J2" s="98" t="s">
        <v>79</v>
      </c>
      <c r="K2" s="669" t="s">
        <v>567</v>
      </c>
      <c r="L2" s="116" t="s">
        <v>71</v>
      </c>
      <c r="M2" s="103" t="s">
        <v>72</v>
      </c>
      <c r="N2" s="104" t="s">
        <v>73</v>
      </c>
      <c r="O2" s="104" t="s">
        <v>58</v>
      </c>
      <c r="P2" s="104" t="s">
        <v>59</v>
      </c>
      <c r="Q2" s="98" t="s">
        <v>79</v>
      </c>
    </row>
    <row r="3" spans="1:17" ht="40">
      <c r="A3" s="38" t="s">
        <v>81</v>
      </c>
      <c r="B3" s="23" t="s">
        <v>54</v>
      </c>
      <c r="D3" s="956">
        <v>500</v>
      </c>
      <c r="E3" s="112">
        <v>1</v>
      </c>
      <c r="F3" s="119">
        <v>1</v>
      </c>
      <c r="G3" s="119">
        <v>1</v>
      </c>
      <c r="H3" s="106" t="s">
        <v>1</v>
      </c>
      <c r="I3" s="106" t="s">
        <v>1</v>
      </c>
      <c r="J3" s="35" t="s">
        <v>31</v>
      </c>
      <c r="K3" s="956">
        <v>500</v>
      </c>
      <c r="L3" s="105">
        <v>1</v>
      </c>
      <c r="M3" s="105">
        <v>1</v>
      </c>
      <c r="N3" s="105">
        <v>1</v>
      </c>
      <c r="O3" s="106" t="s">
        <v>1</v>
      </c>
      <c r="P3" s="106" t="s">
        <v>1</v>
      </c>
      <c r="Q3" s="35" t="s">
        <v>31</v>
      </c>
    </row>
    <row r="4" spans="1:17" ht="20">
      <c r="A4" s="42" t="s">
        <v>83</v>
      </c>
      <c r="B4" s="43" t="s">
        <v>55</v>
      </c>
      <c r="C4" s="2"/>
      <c r="D4" s="957"/>
      <c r="E4" s="59">
        <v>1</v>
      </c>
      <c r="F4" s="105">
        <v>1</v>
      </c>
      <c r="G4" s="105">
        <v>1</v>
      </c>
      <c r="H4" s="106" t="s">
        <v>1</v>
      </c>
      <c r="I4" s="106" t="s">
        <v>1</v>
      </c>
      <c r="J4" s="35" t="s">
        <v>31</v>
      </c>
      <c r="K4" s="954"/>
      <c r="L4" s="105">
        <v>1</v>
      </c>
      <c r="M4" s="105">
        <v>1</v>
      </c>
      <c r="N4" s="105">
        <v>1</v>
      </c>
      <c r="O4" s="106" t="s">
        <v>1</v>
      </c>
      <c r="P4" s="106" t="s">
        <v>1</v>
      </c>
      <c r="Q4" s="35" t="s">
        <v>31</v>
      </c>
    </row>
    <row r="5" spans="1:17" ht="41" customHeight="1">
      <c r="A5" s="42"/>
      <c r="B5" s="43" t="s">
        <v>53</v>
      </c>
      <c r="C5" s="1" t="s">
        <v>74</v>
      </c>
      <c r="D5" s="956"/>
      <c r="E5" s="59">
        <v>1</v>
      </c>
      <c r="F5" s="105">
        <v>1</v>
      </c>
      <c r="G5" s="105">
        <v>1</v>
      </c>
      <c r="H5" s="106" t="s">
        <v>1</v>
      </c>
      <c r="I5" s="106" t="s">
        <v>1</v>
      </c>
      <c r="J5" s="35" t="s">
        <v>31</v>
      </c>
      <c r="K5" s="954"/>
      <c r="L5" s="105">
        <v>1</v>
      </c>
      <c r="M5" s="105">
        <v>1</v>
      </c>
      <c r="N5" s="105">
        <v>1</v>
      </c>
      <c r="O5" s="106" t="s">
        <v>1</v>
      </c>
      <c r="P5" s="106" t="s">
        <v>1</v>
      </c>
      <c r="Q5" s="35" t="s">
        <v>31</v>
      </c>
    </row>
    <row r="6" spans="1:17" ht="20">
      <c r="A6" s="42"/>
      <c r="B6" s="43" t="s">
        <v>38</v>
      </c>
      <c r="D6" s="956"/>
      <c r="E6" s="33" t="s">
        <v>31</v>
      </c>
      <c r="F6" s="107" t="s">
        <v>31</v>
      </c>
      <c r="G6" s="107" t="s">
        <v>31</v>
      </c>
      <c r="H6" s="106" t="s">
        <v>1</v>
      </c>
      <c r="I6" s="106" t="s">
        <v>1</v>
      </c>
      <c r="J6" s="35" t="s">
        <v>31</v>
      </c>
      <c r="K6" s="954"/>
      <c r="L6" s="107" t="s">
        <v>31</v>
      </c>
      <c r="M6" s="107" t="s">
        <v>31</v>
      </c>
      <c r="N6" s="107" t="s">
        <v>31</v>
      </c>
      <c r="O6" s="106" t="s">
        <v>1</v>
      </c>
      <c r="P6" s="106" t="s">
        <v>1</v>
      </c>
      <c r="Q6" s="35" t="s">
        <v>31</v>
      </c>
    </row>
    <row r="7" spans="1:17" ht="20">
      <c r="A7" s="42"/>
      <c r="B7" s="43" t="s">
        <v>0</v>
      </c>
      <c r="D7" s="956"/>
      <c r="E7" s="33" t="s">
        <v>31</v>
      </c>
      <c r="F7" s="107" t="s">
        <v>31</v>
      </c>
      <c r="G7" s="107" t="s">
        <v>31</v>
      </c>
      <c r="H7" s="106" t="s">
        <v>1</v>
      </c>
      <c r="I7" s="106" t="s">
        <v>1</v>
      </c>
      <c r="J7" s="35" t="s">
        <v>31</v>
      </c>
      <c r="K7" s="954"/>
      <c r="L7" s="107" t="s">
        <v>31</v>
      </c>
      <c r="M7" s="107" t="s">
        <v>31</v>
      </c>
      <c r="N7" s="107" t="s">
        <v>31</v>
      </c>
      <c r="O7" s="106" t="s">
        <v>1</v>
      </c>
      <c r="P7" s="106" t="s">
        <v>1</v>
      </c>
      <c r="Q7" s="35" t="s">
        <v>31</v>
      </c>
    </row>
    <row r="8" spans="1:17" ht="38" customHeight="1">
      <c r="A8" s="38" t="s">
        <v>81</v>
      </c>
      <c r="B8" s="23" t="s">
        <v>70</v>
      </c>
      <c r="C8" s="1" t="s">
        <v>60</v>
      </c>
      <c r="D8" s="956">
        <f>E8*$D$3</f>
        <v>65</v>
      </c>
      <c r="E8" s="99">
        <v>0.13</v>
      </c>
      <c r="F8" s="108">
        <f>E10</f>
        <v>5.2000000000000005E-2</v>
      </c>
      <c r="G8" s="34">
        <f>E8-E10</f>
        <v>7.8E-2</v>
      </c>
      <c r="H8" s="106" t="s">
        <v>1</v>
      </c>
      <c r="I8" s="106" t="s">
        <v>1</v>
      </c>
      <c r="J8" s="35" t="s">
        <v>1</v>
      </c>
      <c r="K8" s="954">
        <f>L8*$K$3</f>
        <v>65</v>
      </c>
      <c r="L8" s="117">
        <v>0.13</v>
      </c>
      <c r="M8" s="113">
        <f>F8</f>
        <v>5.2000000000000005E-2</v>
      </c>
      <c r="N8" s="114">
        <f>G8</f>
        <v>7.8E-2</v>
      </c>
      <c r="O8" s="106" t="s">
        <v>1</v>
      </c>
      <c r="P8" s="106" t="s">
        <v>1</v>
      </c>
      <c r="Q8" s="35" t="s">
        <v>1</v>
      </c>
    </row>
    <row r="9" spans="1:17" ht="20">
      <c r="A9" s="38"/>
      <c r="B9" s="23" t="s">
        <v>50</v>
      </c>
      <c r="D9" s="956">
        <f>E9*$D$3</f>
        <v>65</v>
      </c>
      <c r="E9" s="99">
        <f>E8</f>
        <v>0.13</v>
      </c>
      <c r="F9" s="106">
        <f>F8</f>
        <v>5.2000000000000005E-2</v>
      </c>
      <c r="G9" s="106">
        <f>G8</f>
        <v>7.8E-2</v>
      </c>
      <c r="H9" s="106" t="s">
        <v>1</v>
      </c>
      <c r="I9" s="106" t="s">
        <v>1</v>
      </c>
      <c r="J9" s="35" t="s">
        <v>1</v>
      </c>
      <c r="K9" s="954">
        <f>L9*$K$3</f>
        <v>500</v>
      </c>
      <c r="L9" s="118">
        <v>1</v>
      </c>
      <c r="M9" s="106">
        <f>F9/E9</f>
        <v>0.4</v>
      </c>
      <c r="N9" s="106">
        <f>G9/E9</f>
        <v>0.6</v>
      </c>
      <c r="O9" s="106" t="s">
        <v>1</v>
      </c>
      <c r="P9" s="106" t="s">
        <v>1</v>
      </c>
      <c r="Q9" s="35" t="s">
        <v>1</v>
      </c>
    </row>
    <row r="10" spans="1:17" ht="40">
      <c r="A10" s="40" t="s">
        <v>77</v>
      </c>
      <c r="B10" s="25" t="s">
        <v>51</v>
      </c>
      <c r="C10" s="1" t="s">
        <v>60</v>
      </c>
      <c r="D10" s="956">
        <f>E10*$D$3</f>
        <v>26.000000000000004</v>
      </c>
      <c r="E10" s="31">
        <f>40%*E9</f>
        <v>5.2000000000000005E-2</v>
      </c>
      <c r="F10" s="108">
        <f>F9</f>
        <v>5.2000000000000005E-2</v>
      </c>
      <c r="G10" s="109">
        <v>0</v>
      </c>
      <c r="H10" s="106" t="s">
        <v>1</v>
      </c>
      <c r="I10" s="106" t="s">
        <v>1</v>
      </c>
      <c r="J10" s="35" t="s">
        <v>1</v>
      </c>
      <c r="K10" s="954">
        <f>L10*$K$8</f>
        <v>26</v>
      </c>
      <c r="L10" s="118">
        <v>0.4</v>
      </c>
      <c r="M10" s="109">
        <f>L10</f>
        <v>0.4</v>
      </c>
      <c r="N10" s="109">
        <v>0</v>
      </c>
      <c r="O10" s="106" t="s">
        <v>1</v>
      </c>
      <c r="P10" s="106" t="s">
        <v>1</v>
      </c>
      <c r="Q10" s="35" t="s">
        <v>1</v>
      </c>
    </row>
    <row r="11" spans="1:17" ht="20">
      <c r="A11" s="40"/>
      <c r="B11" s="25" t="s">
        <v>52</v>
      </c>
      <c r="C11" s="1" t="s">
        <v>75</v>
      </c>
      <c r="D11" s="956">
        <f>E11*$D$3</f>
        <v>19.369999999999997</v>
      </c>
      <c r="E11" s="100">
        <f>F11</f>
        <v>3.8739999999999997E-2</v>
      </c>
      <c r="F11" s="32">
        <f>29.8%*E8</f>
        <v>3.8739999999999997E-2</v>
      </c>
      <c r="G11" s="109">
        <v>0</v>
      </c>
      <c r="H11" s="106" t="s">
        <v>1</v>
      </c>
      <c r="I11" s="106" t="s">
        <v>1</v>
      </c>
      <c r="J11" s="35" t="s">
        <v>1</v>
      </c>
      <c r="K11" s="954">
        <f t="shared" ref="K11:K14" si="0">L11*$K$8</f>
        <v>19.369999999999997</v>
      </c>
      <c r="L11" s="32">
        <f>M11</f>
        <v>0.29799999999999999</v>
      </c>
      <c r="M11" s="32">
        <v>0.29799999999999999</v>
      </c>
      <c r="N11" s="109">
        <v>0</v>
      </c>
      <c r="O11" s="106" t="s">
        <v>1</v>
      </c>
      <c r="P11" s="106" t="s">
        <v>1</v>
      </c>
      <c r="Q11" s="35" t="s">
        <v>1</v>
      </c>
    </row>
    <row r="12" spans="1:17" ht="77" customHeight="1">
      <c r="A12" s="41" t="s">
        <v>78</v>
      </c>
      <c r="B12" s="14" t="s">
        <v>56</v>
      </c>
      <c r="C12" s="1" t="s">
        <v>76</v>
      </c>
      <c r="D12" s="956">
        <f>E12*$D$3</f>
        <v>29.574999999999999</v>
      </c>
      <c r="E12" s="101">
        <f>G12</f>
        <v>5.9150000000000001E-2</v>
      </c>
      <c r="F12" s="110" t="s">
        <v>1</v>
      </c>
      <c r="G12" s="34">
        <f>45.5%*E8</f>
        <v>5.9150000000000001E-2</v>
      </c>
      <c r="H12" s="34">
        <f>15.2%*G12</f>
        <v>8.9908000000000002E-3</v>
      </c>
      <c r="I12" s="34">
        <f>84.8%*G12</f>
        <v>5.0159200000000001E-2</v>
      </c>
      <c r="J12" s="35" t="s">
        <v>1</v>
      </c>
      <c r="K12" s="954">
        <f t="shared" si="0"/>
        <v>29.574999999999999</v>
      </c>
      <c r="L12" s="108">
        <f>N12</f>
        <v>0.45500000000000002</v>
      </c>
      <c r="M12" s="110" t="s">
        <v>1</v>
      </c>
      <c r="N12" s="108">
        <v>0.45500000000000002</v>
      </c>
      <c r="O12" s="34">
        <f>15.2%*N12</f>
        <v>6.9159999999999999E-2</v>
      </c>
      <c r="P12" s="34">
        <f>84.8%*N12</f>
        <v>0.38584000000000002</v>
      </c>
      <c r="Q12" s="35" t="s">
        <v>1</v>
      </c>
    </row>
    <row r="13" spans="1:17" ht="44" customHeight="1">
      <c r="A13" s="38" t="s">
        <v>81</v>
      </c>
      <c r="B13" s="23" t="s">
        <v>82</v>
      </c>
      <c r="C13" s="1" t="s">
        <v>140</v>
      </c>
      <c r="D13" s="956"/>
      <c r="E13" s="102" t="s">
        <v>31</v>
      </c>
      <c r="F13" s="111">
        <f>20%*F11</f>
        <v>7.7479999999999997E-3</v>
      </c>
      <c r="G13" s="37" t="s">
        <v>31</v>
      </c>
      <c r="H13" s="37" t="s">
        <v>31</v>
      </c>
      <c r="I13" s="37" t="s">
        <v>31</v>
      </c>
      <c r="J13" s="35" t="s">
        <v>1</v>
      </c>
      <c r="K13" s="954"/>
      <c r="L13" s="115" t="s">
        <v>31</v>
      </c>
      <c r="M13" s="108">
        <f>M11/M10*20%</f>
        <v>0.14899999999999999</v>
      </c>
      <c r="N13" s="37" t="s">
        <v>31</v>
      </c>
      <c r="O13" s="37" t="s">
        <v>31</v>
      </c>
      <c r="P13" s="37" t="s">
        <v>31</v>
      </c>
      <c r="Q13" s="35" t="s">
        <v>1</v>
      </c>
    </row>
    <row r="14" spans="1:17" ht="80">
      <c r="A14" s="38"/>
      <c r="B14" s="23" t="s">
        <v>80</v>
      </c>
      <c r="C14" s="1" t="s">
        <v>568</v>
      </c>
      <c r="D14" s="956">
        <f>E14*$D$3</f>
        <v>5.55</v>
      </c>
      <c r="E14" s="124">
        <f>F14+G14</f>
        <v>1.11E-2</v>
      </c>
      <c r="F14" s="123">
        <v>7.0000000000000001E-3</v>
      </c>
      <c r="G14" s="123">
        <v>4.1000000000000003E-3</v>
      </c>
      <c r="H14" s="111">
        <f>34%*H12</f>
        <v>3.0568720000000004E-3</v>
      </c>
      <c r="I14" s="111">
        <f>2%*I12</f>
        <v>1.0031840000000001E-3</v>
      </c>
      <c r="J14" s="35" t="s">
        <v>31</v>
      </c>
      <c r="K14" s="954">
        <f t="shared" si="0"/>
        <v>5.5500000000000007</v>
      </c>
      <c r="L14" s="125">
        <f>E14/L8</f>
        <v>8.5384615384615392E-2</v>
      </c>
      <c r="M14" s="125">
        <f>F14/M8</f>
        <v>0.13461538461538461</v>
      </c>
      <c r="N14" s="123">
        <f>G14/G8</f>
        <v>5.2564102564102572E-2</v>
      </c>
      <c r="O14" s="111">
        <f>H14/G8</f>
        <v>3.9190666666666672E-2</v>
      </c>
      <c r="P14" s="111">
        <f>I14/G8</f>
        <v>1.2861333333333334E-2</v>
      </c>
      <c r="Q14" s="35" t="s">
        <v>31</v>
      </c>
    </row>
    <row r="15" spans="1:17" ht="20">
      <c r="A15" s="42" t="s">
        <v>83</v>
      </c>
      <c r="B15" s="43" t="s">
        <v>112</v>
      </c>
      <c r="E15" s="102" t="s">
        <v>31</v>
      </c>
      <c r="F15" s="115" t="s">
        <v>31</v>
      </c>
      <c r="G15" s="115" t="s">
        <v>31</v>
      </c>
      <c r="H15" s="115" t="s">
        <v>31</v>
      </c>
      <c r="I15" s="115" t="s">
        <v>31</v>
      </c>
      <c r="J15" s="120" t="s">
        <v>31</v>
      </c>
      <c r="L15" s="102" t="s">
        <v>31</v>
      </c>
      <c r="M15" s="115" t="s">
        <v>31</v>
      </c>
      <c r="N15" s="115" t="s">
        <v>31</v>
      </c>
      <c r="O15" s="115" t="s">
        <v>31</v>
      </c>
      <c r="P15" s="115" t="s">
        <v>31</v>
      </c>
      <c r="Q15" s="120" t="s">
        <v>31</v>
      </c>
    </row>
    <row r="16" spans="1:17">
      <c r="F16" s="111"/>
      <c r="G16" s="110"/>
      <c r="H16" s="110"/>
      <c r="I16" s="110"/>
      <c r="M16" s="111"/>
      <c r="N16" s="110"/>
      <c r="O16" s="110"/>
      <c r="P16" s="110"/>
    </row>
    <row r="17" spans="6:16">
      <c r="F17" s="111"/>
      <c r="G17" s="121"/>
      <c r="H17" s="110"/>
      <c r="I17" s="110"/>
      <c r="M17" s="111"/>
      <c r="N17" s="110"/>
      <c r="O17" s="110"/>
      <c r="P17" s="110"/>
    </row>
    <row r="18" spans="6:16">
      <c r="F18" s="111"/>
      <c r="G18" s="111"/>
      <c r="H18" s="110"/>
      <c r="I18" s="110"/>
      <c r="M18" s="111"/>
      <c r="N18" s="110"/>
      <c r="O18" s="110"/>
      <c r="P18" s="110"/>
    </row>
  </sheetData>
  <mergeCells count="2">
    <mergeCell ref="E1:J1"/>
    <mergeCell ref="L1:Q1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78D63-2353-A14F-A44F-541062431287}">
  <dimension ref="A1:C26"/>
  <sheetViews>
    <sheetView topLeftCell="A2" zoomScale="140" zoomScaleNormal="140" workbookViewId="0">
      <selection activeCell="B21" sqref="B21"/>
    </sheetView>
  </sheetViews>
  <sheetFormatPr baseColWidth="10" defaultColWidth="8.83203125" defaultRowHeight="16"/>
  <cols>
    <col min="1" max="1" width="36" customWidth="1"/>
    <col min="2" max="2" width="34.5" customWidth="1"/>
    <col min="3" max="3" width="77.1640625" customWidth="1"/>
  </cols>
  <sheetData>
    <row r="1" spans="1:3" ht="17">
      <c r="A1" s="1326" t="s">
        <v>84</v>
      </c>
      <c r="B1" s="1327"/>
    </row>
    <row r="2" spans="1:3" ht="93" customHeight="1">
      <c r="A2" s="1328" t="s">
        <v>85</v>
      </c>
      <c r="B2" s="1327"/>
      <c r="C2" s="918" t="s">
        <v>547</v>
      </c>
    </row>
    <row r="3" spans="1:3">
      <c r="C3" s="919"/>
    </row>
    <row r="4" spans="1:3">
      <c r="A4" s="44" t="s">
        <v>86</v>
      </c>
      <c r="B4" s="45" t="s">
        <v>87</v>
      </c>
      <c r="C4" s="920" t="s">
        <v>546</v>
      </c>
    </row>
    <row r="5" spans="1:3">
      <c r="A5" s="46" t="s">
        <v>88</v>
      </c>
      <c r="B5" s="47" t="s">
        <v>89</v>
      </c>
      <c r="C5" s="921" t="s">
        <v>540</v>
      </c>
    </row>
    <row r="6" spans="1:3">
      <c r="A6" s="46" t="s">
        <v>90</v>
      </c>
      <c r="B6" s="47" t="s">
        <v>91</v>
      </c>
      <c r="C6" s="922" t="s">
        <v>541</v>
      </c>
    </row>
    <row r="7" spans="1:3" ht="51">
      <c r="A7" s="46" t="s">
        <v>92</v>
      </c>
      <c r="B7" s="47" t="s">
        <v>93</v>
      </c>
      <c r="C7" s="923" t="s">
        <v>542</v>
      </c>
    </row>
    <row r="8" spans="1:3">
      <c r="A8" s="46" t="s">
        <v>94</v>
      </c>
      <c r="B8" s="47" t="s">
        <v>95</v>
      </c>
      <c r="C8" s="922"/>
    </row>
    <row r="9" spans="1:3">
      <c r="A9" s="49" t="s">
        <v>96</v>
      </c>
      <c r="B9" s="50">
        <v>7.0000000000000001E-3</v>
      </c>
      <c r="C9" s="924" t="s">
        <v>545</v>
      </c>
    </row>
    <row r="10" spans="1:3">
      <c r="C10" s="925" t="s">
        <v>543</v>
      </c>
    </row>
    <row r="11" spans="1:3">
      <c r="C11" s="919" t="s">
        <v>544</v>
      </c>
    </row>
    <row r="14" spans="1:3">
      <c r="A14" s="44" t="s">
        <v>97</v>
      </c>
      <c r="B14" s="52" t="s">
        <v>98</v>
      </c>
      <c r="C14" s="53"/>
    </row>
    <row r="15" spans="1:3">
      <c r="A15" s="46" t="s">
        <v>88</v>
      </c>
      <c r="B15" s="47" t="s">
        <v>89</v>
      </c>
      <c r="C15" s="48"/>
    </row>
    <row r="16" spans="1:3">
      <c r="A16" s="46" t="s">
        <v>99</v>
      </c>
      <c r="B16" s="47" t="s">
        <v>100</v>
      </c>
      <c r="C16" s="48"/>
    </row>
    <row r="17" spans="1:3">
      <c r="A17" s="54" t="s">
        <v>101</v>
      </c>
      <c r="B17" s="55" t="s">
        <v>102</v>
      </c>
      <c r="C17" s="48"/>
    </row>
    <row r="18" spans="1:3">
      <c r="A18" s="54" t="s">
        <v>103</v>
      </c>
      <c r="B18" s="55" t="s">
        <v>104</v>
      </c>
      <c r="C18" s="48"/>
    </row>
    <row r="19" spans="1:3">
      <c r="A19" s="54" t="s">
        <v>105</v>
      </c>
      <c r="B19" s="55" t="s">
        <v>106</v>
      </c>
      <c r="C19" s="48"/>
    </row>
    <row r="20" spans="1:3">
      <c r="A20" s="54" t="s">
        <v>107</v>
      </c>
      <c r="B20" s="55" t="s">
        <v>108</v>
      </c>
      <c r="C20" s="48"/>
    </row>
    <row r="21" spans="1:3">
      <c r="A21" s="56" t="s">
        <v>109</v>
      </c>
      <c r="B21" s="57" t="s">
        <v>110</v>
      </c>
      <c r="C21" s="51"/>
    </row>
    <row r="22" spans="1:3">
      <c r="A22" s="49" t="s">
        <v>96</v>
      </c>
      <c r="B22" s="58" t="s">
        <v>111</v>
      </c>
      <c r="C22" s="51"/>
    </row>
    <row r="25" spans="1:3">
      <c r="A25" s="612" t="s">
        <v>413</v>
      </c>
    </row>
    <row r="26" spans="1:3">
      <c r="A26" s="6" t="s">
        <v>414</v>
      </c>
    </row>
  </sheetData>
  <mergeCells count="2">
    <mergeCell ref="A1:B1"/>
    <mergeCell ref="A2:B2"/>
  </mergeCells>
  <hyperlinks>
    <hyperlink ref="A26" r:id="rId1" xr:uid="{327F2B30-8CD4-4942-B410-FA8DB848D7D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79573-AEBF-6C4C-9139-64F8131F6FE0}">
  <dimension ref="A1:BJ13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18" sqref="D18"/>
    </sheetView>
  </sheetViews>
  <sheetFormatPr baseColWidth="10" defaultRowHeight="19" outlineLevelRow="1" outlineLevelCol="1"/>
  <cols>
    <col min="1" max="1" width="55.6640625" style="1" customWidth="1"/>
    <col min="2" max="2" width="16" style="436" customWidth="1"/>
    <col min="3" max="6" width="19.33203125" style="1" customWidth="1" outlineLevel="1"/>
    <col min="7" max="7" width="23" style="295" customWidth="1"/>
    <col min="8" max="8" width="17" style="87" customWidth="1"/>
    <col min="9" max="12" width="17" style="1" hidden="1" customWidth="1" outlineLevel="1"/>
    <col min="13" max="13" width="18.1640625" style="295" customWidth="1" collapsed="1"/>
    <col min="14" max="14" width="17" style="87" customWidth="1"/>
    <col min="15" max="17" width="17" style="1" hidden="1" customWidth="1" outlineLevel="1"/>
    <col min="18" max="18" width="17.33203125" style="1" hidden="1" customWidth="1" outlineLevel="1"/>
    <col min="19" max="19" width="16.5" style="1" customWidth="1" collapsed="1"/>
    <col min="20" max="20" width="14.33203125" style="87" customWidth="1"/>
    <col min="21" max="24" width="14.33203125" style="1" hidden="1" customWidth="1" outlineLevel="1"/>
    <col min="25" max="25" width="14.33203125" style="1" customWidth="1" collapsed="1"/>
    <col min="26" max="26" width="14.33203125" style="1" customWidth="1"/>
    <col min="27" max="30" width="14.33203125" style="1" hidden="1" customWidth="1" outlineLevel="1"/>
    <col min="31" max="31" width="14.33203125" style="1" customWidth="1" collapsed="1"/>
    <col min="32" max="32" width="17" style="295" customWidth="1"/>
    <col min="33" max="37" width="11.83203125" style="1" customWidth="1"/>
    <col min="38" max="38" width="13.83203125" style="1" customWidth="1"/>
    <col min="39" max="39" width="16.33203125" style="1" customWidth="1"/>
    <col min="40" max="44" width="17" style="1" customWidth="1"/>
    <col min="45" max="50" width="10.83203125" style="423"/>
    <col min="51" max="62" width="17" style="1" customWidth="1"/>
    <col min="63" max="16384" width="10.83203125" style="423"/>
  </cols>
  <sheetData>
    <row r="1" spans="1:62" s="580" customFormat="1" ht="20" thickBot="1">
      <c r="A1" s="16"/>
      <c r="B1" s="671" t="s">
        <v>314</v>
      </c>
      <c r="C1" s="672"/>
      <c r="D1" s="673"/>
      <c r="E1" s="673"/>
      <c r="F1" s="673"/>
      <c r="G1" s="674"/>
      <c r="H1" s="671" t="s">
        <v>315</v>
      </c>
      <c r="I1" s="672"/>
      <c r="J1" s="673"/>
      <c r="K1" s="673"/>
      <c r="L1" s="673"/>
      <c r="M1" s="674"/>
      <c r="N1" s="675" t="s">
        <v>401</v>
      </c>
      <c r="O1" s="676"/>
      <c r="P1" s="310"/>
      <c r="Q1" s="310"/>
      <c r="R1" s="310"/>
      <c r="S1" s="310"/>
      <c r="T1" s="1312" t="s">
        <v>450</v>
      </c>
      <c r="U1" s="1313"/>
      <c r="V1" s="1313"/>
      <c r="W1" s="1313"/>
      <c r="X1" s="1313"/>
      <c r="Y1" s="1313"/>
      <c r="Z1" s="1310"/>
      <c r="AA1" s="1310"/>
      <c r="AB1" s="1310"/>
      <c r="AC1" s="1310"/>
      <c r="AD1" s="1310"/>
      <c r="AE1" s="1310"/>
      <c r="AF1" s="1314"/>
      <c r="AG1" s="657" t="s">
        <v>316</v>
      </c>
      <c r="AH1" s="658"/>
      <c r="AI1" s="659"/>
      <c r="AJ1" s="659"/>
      <c r="AK1" s="659"/>
      <c r="AL1" s="660"/>
      <c r="AM1" s="661" t="s">
        <v>317</v>
      </c>
      <c r="AN1" s="658"/>
      <c r="AO1" s="659"/>
      <c r="AP1" s="659"/>
      <c r="AQ1" s="659"/>
      <c r="AR1" s="660"/>
    </row>
    <row r="2" spans="1:62" ht="21" customHeight="1" thickBot="1">
      <c r="B2" s="381"/>
      <c r="D2" s="13"/>
      <c r="E2" s="13"/>
      <c r="F2" s="13"/>
      <c r="G2" s="297"/>
      <c r="H2" s="381"/>
      <c r="J2" s="13"/>
      <c r="K2" s="13"/>
      <c r="L2" s="13"/>
      <c r="M2" s="297"/>
      <c r="N2" s="579"/>
      <c r="O2" s="85"/>
      <c r="P2" s="86"/>
      <c r="Q2" s="86"/>
      <c r="R2" s="86"/>
      <c r="S2" s="86"/>
      <c r="T2" s="1329" t="s">
        <v>449</v>
      </c>
      <c r="U2" s="1330"/>
      <c r="V2" s="1330"/>
      <c r="W2" s="1330"/>
      <c r="X2" s="1330"/>
      <c r="Y2" s="1330"/>
      <c r="Z2" s="1331" t="s">
        <v>448</v>
      </c>
      <c r="AA2" s="1332"/>
      <c r="AB2" s="1332"/>
      <c r="AC2" s="1332"/>
      <c r="AD2" s="1332"/>
      <c r="AE2" s="1333"/>
      <c r="AF2" s="664"/>
      <c r="AG2" s="139"/>
      <c r="AI2" s="13"/>
      <c r="AJ2" s="13"/>
      <c r="AK2" s="13"/>
      <c r="AL2" s="615"/>
      <c r="AM2" s="139"/>
      <c r="AO2" s="13"/>
      <c r="AP2" s="13"/>
      <c r="AQ2" s="13"/>
      <c r="AR2" s="615"/>
      <c r="AY2" s="423"/>
      <c r="AZ2" s="423"/>
      <c r="BA2" s="423"/>
      <c r="BB2" s="423"/>
      <c r="BC2" s="423"/>
      <c r="BD2" s="423"/>
      <c r="BE2" s="423"/>
      <c r="BF2" s="423"/>
      <c r="BG2" s="423"/>
      <c r="BH2" s="423"/>
      <c r="BI2" s="423"/>
      <c r="BJ2" s="423"/>
    </row>
    <row r="3" spans="1:62" s="578" customFormat="1" ht="114" customHeight="1">
      <c r="A3" s="576" t="s">
        <v>39</v>
      </c>
      <c r="B3" s="577" t="s">
        <v>402</v>
      </c>
      <c r="C3" s="347" t="s">
        <v>37</v>
      </c>
      <c r="D3" s="347" t="s">
        <v>214</v>
      </c>
      <c r="E3" s="347" t="s">
        <v>210</v>
      </c>
      <c r="F3" s="347" t="s">
        <v>209</v>
      </c>
      <c r="G3" s="348" t="s">
        <v>420</v>
      </c>
      <c r="H3" s="577" t="s">
        <v>402</v>
      </c>
      <c r="I3" s="347" t="s">
        <v>301</v>
      </c>
      <c r="J3" s="347" t="s">
        <v>302</v>
      </c>
      <c r="K3" s="347" t="s">
        <v>303</v>
      </c>
      <c r="L3" s="347" t="s">
        <v>304</v>
      </c>
      <c r="M3" s="348" t="s">
        <v>420</v>
      </c>
      <c r="N3" s="577" t="s">
        <v>402</v>
      </c>
      <c r="O3" s="347" t="s">
        <v>301</v>
      </c>
      <c r="P3" s="347" t="s">
        <v>302</v>
      </c>
      <c r="Q3" s="347" t="s">
        <v>303</v>
      </c>
      <c r="R3" s="347" t="s">
        <v>304</v>
      </c>
      <c r="S3" s="347" t="s">
        <v>420</v>
      </c>
      <c r="T3" s="665" t="s">
        <v>402</v>
      </c>
      <c r="U3" s="85" t="s">
        <v>301</v>
      </c>
      <c r="V3" s="85" t="s">
        <v>302</v>
      </c>
      <c r="W3" s="85" t="s">
        <v>303</v>
      </c>
      <c r="X3" s="85" t="s">
        <v>304</v>
      </c>
      <c r="Y3" s="85" t="s">
        <v>445</v>
      </c>
      <c r="Z3" s="667" t="s">
        <v>402</v>
      </c>
      <c r="AA3" s="85" t="s">
        <v>301</v>
      </c>
      <c r="AB3" s="85" t="s">
        <v>302</v>
      </c>
      <c r="AC3" s="85" t="s">
        <v>303</v>
      </c>
      <c r="AD3" s="85" t="s">
        <v>304</v>
      </c>
      <c r="AE3" s="666" t="s">
        <v>446</v>
      </c>
      <c r="AF3" s="686" t="s">
        <v>447</v>
      </c>
      <c r="AG3" s="631" t="s">
        <v>402</v>
      </c>
      <c r="AH3" s="347" t="s">
        <v>301</v>
      </c>
      <c r="AI3" s="347" t="s">
        <v>302</v>
      </c>
      <c r="AJ3" s="347" t="s">
        <v>303</v>
      </c>
      <c r="AK3" s="347" t="s">
        <v>304</v>
      </c>
      <c r="AL3" s="412" t="s">
        <v>34</v>
      </c>
      <c r="AM3" s="411" t="s">
        <v>127</v>
      </c>
      <c r="AN3" s="347" t="s">
        <v>301</v>
      </c>
      <c r="AO3" s="347" t="s">
        <v>302</v>
      </c>
      <c r="AP3" s="347" t="s">
        <v>303</v>
      </c>
      <c r="AQ3" s="347" t="s">
        <v>304</v>
      </c>
      <c r="AR3" s="412" t="s">
        <v>34</v>
      </c>
    </row>
    <row r="4" spans="1:62" ht="20">
      <c r="A4" s="87" t="s">
        <v>45</v>
      </c>
      <c r="B4" s="471">
        <v>1</v>
      </c>
      <c r="C4" s="1">
        <f>'База селлеров'!B63</f>
        <v>79000</v>
      </c>
      <c r="D4" s="1">
        <f>'База селлеров'!C63</f>
        <v>33000</v>
      </c>
      <c r="E4" s="1">
        <f>'База селлеров'!D65</f>
        <v>1820.0000000000002</v>
      </c>
      <c r="F4" s="1">
        <f>'База селлеров'!E65</f>
        <v>3705</v>
      </c>
      <c r="G4" s="297">
        <f>SUM(C4:F4)</f>
        <v>117525</v>
      </c>
      <c r="H4" s="296">
        <f>B4</f>
        <v>1</v>
      </c>
      <c r="I4" s="1">
        <f>C4</f>
        <v>79000</v>
      </c>
      <c r="J4" s="1">
        <f t="shared" ref="J4:L4" si="0">D4</f>
        <v>33000</v>
      </c>
      <c r="K4" s="1">
        <f t="shared" si="0"/>
        <v>1820.0000000000002</v>
      </c>
      <c r="L4" s="1">
        <f t="shared" si="0"/>
        <v>3705</v>
      </c>
      <c r="M4" s="297">
        <f>SUM(I4:L4)</f>
        <v>117525</v>
      </c>
      <c r="N4" s="296">
        <f>H4</f>
        <v>1</v>
      </c>
      <c r="O4" s="1">
        <f>I4</f>
        <v>79000</v>
      </c>
      <c r="P4" s="1">
        <f>J4</f>
        <v>33000</v>
      </c>
      <c r="Q4" s="1">
        <f>K4</f>
        <v>1820.0000000000002</v>
      </c>
      <c r="R4" s="1">
        <f>L4</f>
        <v>3705</v>
      </c>
      <c r="S4" s="13">
        <f>SUM(O4:R4)</f>
        <v>117525</v>
      </c>
      <c r="U4" s="154">
        <f>O4*O45</f>
        <v>70079.174723972304</v>
      </c>
      <c r="V4" s="154">
        <f t="shared" ref="V4:X4" si="1">P4*P45</f>
        <v>27249.295112781954</v>
      </c>
      <c r="W4" s="154">
        <f t="shared" si="1"/>
        <v>1564.9857633945626</v>
      </c>
      <c r="X4" s="154">
        <f t="shared" si="1"/>
        <v>3185.8638754817875</v>
      </c>
      <c r="Y4" s="279">
        <f>SUM(U4:X4)</f>
        <v>102079.31947563062</v>
      </c>
      <c r="Z4" s="28"/>
      <c r="AA4" s="154">
        <f>O4-U4</f>
        <v>8920.8252760276955</v>
      </c>
      <c r="AB4" s="154">
        <f t="shared" ref="AB4:AD4" si="2">P4-V4</f>
        <v>5750.7048872180458</v>
      </c>
      <c r="AC4" s="154">
        <f t="shared" si="2"/>
        <v>255.01423660543765</v>
      </c>
      <c r="AD4" s="154">
        <f t="shared" si="2"/>
        <v>519.13612451821245</v>
      </c>
      <c r="AE4" s="687">
        <f>SUM(AA4:AD4)</f>
        <v>15445.680524369391</v>
      </c>
      <c r="AF4" s="301">
        <f>Y4+AE4</f>
        <v>117525.00000000001</v>
      </c>
      <c r="AL4" s="24"/>
      <c r="AM4" s="28"/>
      <c r="AN4" s="1">
        <f>O4</f>
        <v>79000</v>
      </c>
      <c r="AO4" s="1">
        <f>P4</f>
        <v>33000</v>
      </c>
      <c r="AP4" s="1">
        <f>Q4</f>
        <v>1820.0000000000002</v>
      </c>
      <c r="AQ4" s="1">
        <f>R4</f>
        <v>3705</v>
      </c>
      <c r="AR4" s="24">
        <f>S4</f>
        <v>117525</v>
      </c>
      <c r="AY4" s="423"/>
      <c r="AZ4" s="423"/>
      <c r="BA4" s="423"/>
      <c r="BB4" s="423"/>
      <c r="BC4" s="423"/>
      <c r="BD4" s="423"/>
      <c r="BE4" s="423"/>
      <c r="BF4" s="423"/>
      <c r="BG4" s="423"/>
      <c r="BH4" s="423"/>
      <c r="BI4" s="423"/>
      <c r="BJ4" s="423"/>
    </row>
    <row r="5" spans="1:62" s="272" customFormat="1" ht="20" hidden="1" outlineLevel="1">
      <c r="A5" s="349" t="s">
        <v>318</v>
      </c>
      <c r="B5" s="472"/>
      <c r="C5" s="668"/>
      <c r="D5" s="668"/>
      <c r="E5" s="285">
        <f>'База селлеров'!D67</f>
        <v>127.40000000000003</v>
      </c>
      <c r="F5" s="285">
        <f>'База селлеров'!E67</f>
        <v>1222.6500000000001</v>
      </c>
      <c r="G5" s="350"/>
      <c r="H5" s="351"/>
      <c r="I5" s="668"/>
      <c r="J5" s="668"/>
      <c r="K5" s="285">
        <f>E5</f>
        <v>127.40000000000003</v>
      </c>
      <c r="L5" s="285">
        <f>F5</f>
        <v>1222.6500000000001</v>
      </c>
      <c r="M5" s="350"/>
      <c r="N5" s="351"/>
      <c r="O5" s="668"/>
      <c r="P5" s="668"/>
      <c r="Q5" s="285">
        <f>K5</f>
        <v>127.40000000000003</v>
      </c>
      <c r="R5" s="285">
        <f>L5</f>
        <v>1222.6500000000001</v>
      </c>
      <c r="S5" s="669"/>
      <c r="T5" s="351"/>
      <c r="U5" s="668"/>
      <c r="V5" s="668"/>
      <c r="W5" s="285">
        <f>'База селлеров'!D66*Гипотезы_v1!W4</f>
        <v>109.54900343761939</v>
      </c>
      <c r="X5" s="285">
        <f>'База селлеров'!E66*Гипотезы_v1!X4</f>
        <v>1051.33507890899</v>
      </c>
      <c r="Y5" s="668"/>
      <c r="Z5" s="470"/>
      <c r="AA5" s="669"/>
      <c r="AB5" s="668"/>
      <c r="AC5" s="285">
        <f>AC4*'База селлеров'!D66</f>
        <v>17.850996562380637</v>
      </c>
      <c r="AD5" s="285">
        <f>AD4*'База селлеров'!E66</f>
        <v>171.31492109101012</v>
      </c>
      <c r="AE5" s="352"/>
      <c r="AF5" s="641"/>
      <c r="AG5" s="668"/>
      <c r="AH5" s="668"/>
      <c r="AI5" s="668"/>
      <c r="AJ5" s="668"/>
      <c r="AK5" s="668"/>
      <c r="AL5" s="352"/>
      <c r="AM5" s="470"/>
      <c r="AN5" s="668"/>
      <c r="AO5" s="668"/>
      <c r="AP5" s="668"/>
      <c r="AQ5" s="668"/>
      <c r="AR5" s="352"/>
    </row>
    <row r="6" spans="1:62" ht="20" collapsed="1">
      <c r="A6" s="416" t="s">
        <v>325</v>
      </c>
      <c r="B6" s="298">
        <v>0.8</v>
      </c>
      <c r="C6" s="1">
        <f>C4*$B$6</f>
        <v>63200</v>
      </c>
      <c r="D6" s="1">
        <f>D4*$B$6</f>
        <v>26400</v>
      </c>
      <c r="E6" s="1">
        <f>E4*$B$6</f>
        <v>1456.0000000000002</v>
      </c>
      <c r="F6" s="1">
        <f>F4*$B$6</f>
        <v>2964</v>
      </c>
      <c r="G6" s="297">
        <f>SUM(C6:F6)</f>
        <v>94020</v>
      </c>
      <c r="H6" s="298">
        <f>B6</f>
        <v>0.8</v>
      </c>
      <c r="I6" s="1">
        <f>C6</f>
        <v>63200</v>
      </c>
      <c r="J6" s="1">
        <f t="shared" ref="J6:L6" si="3">D6</f>
        <v>26400</v>
      </c>
      <c r="K6" s="1">
        <f t="shared" si="3"/>
        <v>1456.0000000000002</v>
      </c>
      <c r="L6" s="1">
        <f t="shared" si="3"/>
        <v>2964</v>
      </c>
      <c r="M6" s="297">
        <f>SUM(I6:L6)</f>
        <v>94020</v>
      </c>
      <c r="N6" s="298">
        <f>H6</f>
        <v>0.8</v>
      </c>
      <c r="O6" s="1">
        <f>I6</f>
        <v>63200</v>
      </c>
      <c r="P6" s="1">
        <f t="shared" ref="P6:R6" si="4">J6</f>
        <v>26400</v>
      </c>
      <c r="Q6" s="1">
        <f t="shared" si="4"/>
        <v>1456.0000000000002</v>
      </c>
      <c r="R6" s="1">
        <f t="shared" si="4"/>
        <v>2964</v>
      </c>
      <c r="S6" s="13">
        <f>SUM(O6:R6)</f>
        <v>94020</v>
      </c>
      <c r="T6" s="296">
        <f>N6</f>
        <v>0.8</v>
      </c>
      <c r="U6" s="154">
        <f>$T$6*U4</f>
        <v>56063.339779177848</v>
      </c>
      <c r="V6" s="154">
        <f t="shared" ref="V6:X6" si="5">$T$6*V4</f>
        <v>21799.436090225565</v>
      </c>
      <c r="W6" s="154">
        <f t="shared" si="5"/>
        <v>1251.9886107156501</v>
      </c>
      <c r="X6" s="154">
        <f t="shared" si="5"/>
        <v>2548.6911003854302</v>
      </c>
      <c r="Y6" s="279">
        <f>SUM(U6:X6)</f>
        <v>81663.455580504495</v>
      </c>
      <c r="Z6" s="283">
        <f>H6</f>
        <v>0.8</v>
      </c>
      <c r="AA6" s="154">
        <f>$Z$6*AA4</f>
        <v>7136.6602208221566</v>
      </c>
      <c r="AB6" s="154">
        <f t="shared" ref="AB6:AD6" si="6">$Z$6*AB4</f>
        <v>4600.563909774437</v>
      </c>
      <c r="AC6" s="154">
        <f t="shared" si="6"/>
        <v>204.01138928435012</v>
      </c>
      <c r="AD6" s="154">
        <f t="shared" si="6"/>
        <v>415.30889961457001</v>
      </c>
      <c r="AE6" s="687">
        <f>SUM(AA6:AD6)</f>
        <v>12356.544419495516</v>
      </c>
      <c r="AF6" s="301">
        <f>Y6+AE6</f>
        <v>94020.000000000015</v>
      </c>
      <c r="AL6" s="24"/>
      <c r="AM6" s="28"/>
      <c r="AQ6" s="1">
        <f>AQ4</f>
        <v>3705</v>
      </c>
      <c r="AR6" s="24">
        <f>AR4</f>
        <v>117525</v>
      </c>
      <c r="AY6" s="423"/>
      <c r="AZ6" s="423"/>
      <c r="BA6" s="423"/>
      <c r="BB6" s="423"/>
      <c r="BC6" s="423"/>
      <c r="BD6" s="423"/>
      <c r="BE6" s="423"/>
      <c r="BF6" s="423"/>
      <c r="BG6" s="423"/>
      <c r="BH6" s="423"/>
      <c r="BI6" s="423"/>
      <c r="BJ6" s="423"/>
    </row>
    <row r="7" spans="1:62" ht="20" hidden="1" outlineLevel="1">
      <c r="A7" s="87" t="s">
        <v>0</v>
      </c>
      <c r="B7" s="472"/>
      <c r="C7" s="285"/>
      <c r="D7" s="285"/>
      <c r="E7" s="285"/>
      <c r="F7" s="285"/>
      <c r="G7" s="346"/>
      <c r="H7" s="296"/>
      <c r="I7" s="154"/>
      <c r="J7" s="154"/>
      <c r="K7" s="154"/>
      <c r="L7" s="154"/>
      <c r="M7" s="299"/>
      <c r="Z7" s="28"/>
      <c r="AE7" s="24"/>
      <c r="AL7" s="24"/>
      <c r="AM7" s="28"/>
      <c r="AR7" s="24"/>
      <c r="AY7" s="423"/>
      <c r="AZ7" s="423"/>
      <c r="BA7" s="423"/>
      <c r="BB7" s="423"/>
      <c r="BC7" s="423"/>
      <c r="BD7" s="423"/>
      <c r="BE7" s="423"/>
      <c r="BF7" s="423"/>
      <c r="BG7" s="423"/>
      <c r="BH7" s="423"/>
      <c r="BI7" s="423"/>
      <c r="BJ7" s="423"/>
    </row>
    <row r="8" spans="1:62" ht="20" hidden="1" outlineLevel="1">
      <c r="A8" s="87" t="s">
        <v>55</v>
      </c>
      <c r="B8" s="471"/>
      <c r="G8" s="297"/>
      <c r="H8" s="296"/>
      <c r="Z8" s="28"/>
      <c r="AE8" s="24"/>
      <c r="AL8" s="24"/>
      <c r="AM8" s="28"/>
      <c r="AR8" s="24"/>
      <c r="AY8" s="423"/>
      <c r="AZ8" s="423"/>
      <c r="BA8" s="423"/>
      <c r="BB8" s="423"/>
      <c r="BC8" s="423"/>
      <c r="BD8" s="423"/>
      <c r="BE8" s="423"/>
      <c r="BF8" s="423"/>
      <c r="BG8" s="423"/>
      <c r="BH8" s="423"/>
      <c r="BI8" s="423"/>
      <c r="BJ8" s="423"/>
    </row>
    <row r="9" spans="1:62" ht="20" hidden="1" outlineLevel="1">
      <c r="A9" s="87" t="s">
        <v>53</v>
      </c>
      <c r="B9" s="471"/>
      <c r="G9" s="297"/>
      <c r="H9" s="296"/>
      <c r="Z9" s="28"/>
      <c r="AE9" s="24"/>
      <c r="AL9" s="24"/>
      <c r="AM9" s="28"/>
      <c r="AR9" s="24"/>
      <c r="AY9" s="423"/>
      <c r="AZ9" s="423"/>
      <c r="BA9" s="423"/>
      <c r="BB9" s="423"/>
      <c r="BC9" s="423"/>
      <c r="BD9" s="423"/>
      <c r="BE9" s="423"/>
      <c r="BF9" s="423"/>
      <c r="BG9" s="423"/>
      <c r="BH9" s="423"/>
      <c r="BI9" s="423"/>
      <c r="BJ9" s="423"/>
    </row>
    <row r="10" spans="1:62" ht="20" hidden="1" outlineLevel="1">
      <c r="A10" s="87" t="s">
        <v>38</v>
      </c>
      <c r="B10" s="471"/>
      <c r="G10" s="297"/>
      <c r="H10" s="296"/>
      <c r="Z10" s="28"/>
      <c r="AE10" s="24"/>
      <c r="AL10" s="24"/>
      <c r="AM10" s="28"/>
      <c r="AR10" s="24"/>
      <c r="AY10" s="423"/>
      <c r="AZ10" s="423"/>
      <c r="BA10" s="423"/>
      <c r="BB10" s="423"/>
      <c r="BC10" s="423"/>
      <c r="BD10" s="423"/>
      <c r="BE10" s="423"/>
      <c r="BF10" s="423"/>
      <c r="BG10" s="423"/>
      <c r="BH10" s="423"/>
      <c r="BI10" s="423"/>
      <c r="BJ10" s="423"/>
    </row>
    <row r="11" spans="1:62" ht="20" hidden="1" outlineLevel="1">
      <c r="A11" s="87" t="s">
        <v>124</v>
      </c>
      <c r="B11" s="472"/>
      <c r="C11" s="285"/>
      <c r="D11" s="285"/>
      <c r="E11" s="285"/>
      <c r="F11" s="285"/>
      <c r="G11" s="346"/>
      <c r="H11" s="296"/>
      <c r="I11" s="154"/>
      <c r="J11" s="154"/>
      <c r="K11" s="154"/>
      <c r="L11" s="154"/>
      <c r="M11" s="299"/>
      <c r="Z11" s="28"/>
      <c r="AE11" s="24"/>
      <c r="AL11" s="24"/>
      <c r="AM11" s="28"/>
      <c r="AR11" s="24"/>
      <c r="AY11" s="423"/>
      <c r="AZ11" s="423"/>
      <c r="BA11" s="423"/>
      <c r="BB11" s="423"/>
      <c r="BC11" s="423"/>
      <c r="BD11" s="423"/>
      <c r="BE11" s="423"/>
      <c r="BF11" s="423"/>
      <c r="BG11" s="423"/>
      <c r="BH11" s="423"/>
      <c r="BI11" s="423"/>
      <c r="BJ11" s="423"/>
    </row>
    <row r="12" spans="1:62" ht="20" collapsed="1">
      <c r="A12" s="349" t="s">
        <v>336</v>
      </c>
      <c r="B12" s="472">
        <f>C12/C6</f>
        <v>0.2</v>
      </c>
      <c r="C12" s="285">
        <f>C6-C13</f>
        <v>12640</v>
      </c>
      <c r="D12" s="285">
        <f t="shared" ref="D12:F12" si="7">D6-D13</f>
        <v>5280</v>
      </c>
      <c r="E12" s="285">
        <f t="shared" si="7"/>
        <v>291.20000000000005</v>
      </c>
      <c r="F12" s="285">
        <f t="shared" si="7"/>
        <v>592.79999999999973</v>
      </c>
      <c r="G12" s="473">
        <f>SUM(C12:F12)</f>
        <v>18804</v>
      </c>
      <c r="H12" s="472">
        <f>I12/I6</f>
        <v>0.2</v>
      </c>
      <c r="I12" s="285">
        <f>I6-I13</f>
        <v>12640</v>
      </c>
      <c r="J12" s="285">
        <f t="shared" ref="J12" si="8">J6-J13</f>
        <v>5280</v>
      </c>
      <c r="K12" s="285">
        <f t="shared" ref="K12" si="9">K6-K13</f>
        <v>291.20000000000005</v>
      </c>
      <c r="L12" s="285">
        <f t="shared" ref="L12" si="10">L6-L13</f>
        <v>592.79999999999973</v>
      </c>
      <c r="M12" s="473">
        <f>SUM(I12:L12)</f>
        <v>18804</v>
      </c>
      <c r="N12" s="1" t="s">
        <v>1</v>
      </c>
      <c r="O12" s="1" t="s">
        <v>1</v>
      </c>
      <c r="P12" s="1" t="s">
        <v>1</v>
      </c>
      <c r="Q12" s="1" t="s">
        <v>1</v>
      </c>
      <c r="R12" s="1" t="s">
        <v>1</v>
      </c>
      <c r="S12" s="1" t="s">
        <v>1</v>
      </c>
      <c r="Z12" s="156">
        <f>H12</f>
        <v>0.2</v>
      </c>
      <c r="AA12" s="285">
        <f>AA6-AA13</f>
        <v>1427.332044164431</v>
      </c>
      <c r="AB12" s="285">
        <f t="shared" ref="AB12:AD12" si="11">AB6-AB13</f>
        <v>920.1127819548874</v>
      </c>
      <c r="AC12" s="285">
        <f t="shared" si="11"/>
        <v>40.802277856870006</v>
      </c>
      <c r="AD12" s="285">
        <f t="shared" si="11"/>
        <v>83.061779922913956</v>
      </c>
      <c r="AE12" s="688">
        <f>SUM(AA12:AD12)</f>
        <v>2471.3088838991025</v>
      </c>
      <c r="AF12" s="346">
        <f>Y12+AE12</f>
        <v>2471.3088838991025</v>
      </c>
      <c r="AL12" s="24"/>
      <c r="AM12" s="28"/>
      <c r="AR12" s="24"/>
      <c r="AY12" s="423"/>
      <c r="AZ12" s="423"/>
      <c r="BA12" s="423"/>
      <c r="BB12" s="423"/>
      <c r="BC12" s="423"/>
      <c r="BD12" s="423"/>
      <c r="BE12" s="423"/>
      <c r="BF12" s="423"/>
      <c r="BG12" s="423"/>
      <c r="BH12" s="423"/>
      <c r="BI12" s="423"/>
      <c r="BJ12" s="423"/>
    </row>
    <row r="13" spans="1:62" ht="20">
      <c r="A13" s="128" t="s">
        <v>299</v>
      </c>
      <c r="B13" s="300">
        <v>0.8</v>
      </c>
      <c r="C13" s="154">
        <f>$C$6*B13</f>
        <v>50560</v>
      </c>
      <c r="D13" s="154">
        <f>$D$6*B13</f>
        <v>21120</v>
      </c>
      <c r="E13" s="154">
        <f>$E$6*B13</f>
        <v>1164.8000000000002</v>
      </c>
      <c r="F13" s="154">
        <f>$F$6*B13</f>
        <v>2371.2000000000003</v>
      </c>
      <c r="G13" s="301">
        <f>SUM(C13:F13)</f>
        <v>75216</v>
      </c>
      <c r="H13" s="300">
        <f>B13</f>
        <v>0.8</v>
      </c>
      <c r="I13" s="154">
        <f>$I$6*H13</f>
        <v>50560</v>
      </c>
      <c r="J13" s="154">
        <f>$J$6*H13</f>
        <v>21120</v>
      </c>
      <c r="K13" s="154">
        <f>$K$6*H13</f>
        <v>1164.8000000000002</v>
      </c>
      <c r="L13" s="154">
        <f>$L$6*H13</f>
        <v>2371.2000000000003</v>
      </c>
      <c r="M13" s="301">
        <f>SUM(I13:L13)</f>
        <v>75216</v>
      </c>
      <c r="N13" s="87" t="s">
        <v>1</v>
      </c>
      <c r="O13" s="1" t="s">
        <v>1</v>
      </c>
      <c r="P13" s="1" t="s">
        <v>1</v>
      </c>
      <c r="Q13" s="1" t="s">
        <v>1</v>
      </c>
      <c r="R13" s="1" t="s">
        <v>1</v>
      </c>
      <c r="S13" s="1" t="s">
        <v>1</v>
      </c>
      <c r="T13" s="342"/>
      <c r="U13" s="154"/>
      <c r="V13" s="154"/>
      <c r="W13" s="154"/>
      <c r="X13" s="154"/>
      <c r="Y13" s="154"/>
      <c r="Z13" s="156">
        <f t="shared" ref="Z13:Z17" si="12">H13</f>
        <v>0.8</v>
      </c>
      <c r="AA13" s="154">
        <f>$AA$6*Z13</f>
        <v>5709.3281766577256</v>
      </c>
      <c r="AB13" s="154">
        <f>$AB$6*Z13</f>
        <v>3680.4511278195496</v>
      </c>
      <c r="AC13" s="154">
        <f>$AC$6*Z13</f>
        <v>163.20911142748011</v>
      </c>
      <c r="AD13" s="154">
        <f>$AD$6*Z13</f>
        <v>332.24711969165605</v>
      </c>
      <c r="AE13" s="687">
        <f>SUM(AA13:AD13)</f>
        <v>9885.2355355964119</v>
      </c>
      <c r="AF13" s="301">
        <f t="shared" ref="AF13:AF20" si="13">Y13+AE13</f>
        <v>9885.2355355964119</v>
      </c>
      <c r="AL13" s="24"/>
      <c r="AM13" s="28"/>
      <c r="AR13" s="24"/>
      <c r="AY13" s="423"/>
      <c r="AZ13" s="423"/>
      <c r="BA13" s="423"/>
      <c r="BB13" s="423"/>
      <c r="BC13" s="423"/>
      <c r="BD13" s="423"/>
      <c r="BE13" s="423"/>
      <c r="BF13" s="423"/>
      <c r="BG13" s="423"/>
      <c r="BH13" s="423"/>
      <c r="BI13" s="423"/>
      <c r="BJ13" s="423"/>
    </row>
    <row r="14" spans="1:62" ht="20">
      <c r="A14" s="128" t="s">
        <v>171</v>
      </c>
      <c r="B14" s="296">
        <f>B13</f>
        <v>0.8</v>
      </c>
      <c r="C14" s="154">
        <f>$C$13*B14</f>
        <v>40448</v>
      </c>
      <c r="D14" s="154">
        <f>$D$13*B14</f>
        <v>16896</v>
      </c>
      <c r="E14" s="154">
        <f>$E$13*B14</f>
        <v>931.84000000000015</v>
      </c>
      <c r="F14" s="154">
        <f>$F$13*B14</f>
        <v>1896.9600000000003</v>
      </c>
      <c r="G14" s="301">
        <f t="shared" ref="G14:G27" si="14">SUM(C14:F14)</f>
        <v>60172.799999999996</v>
      </c>
      <c r="H14" s="296">
        <f t="shared" ref="H14:H17" si="15">B14</f>
        <v>0.8</v>
      </c>
      <c r="I14" s="154">
        <f t="shared" ref="I14:I17" si="16">$I$6*H14</f>
        <v>50560</v>
      </c>
      <c r="J14" s="154">
        <f t="shared" ref="J14:J17" si="17">$J$6*H14</f>
        <v>21120</v>
      </c>
      <c r="K14" s="154">
        <f t="shared" ref="K14:K17" si="18">$K$6*H14</f>
        <v>1164.8000000000002</v>
      </c>
      <c r="L14" s="154">
        <f t="shared" ref="L14:L17" si="19">$L$6*H14</f>
        <v>2371.2000000000003</v>
      </c>
      <c r="M14" s="301">
        <f t="shared" ref="M14:M20" si="20">SUM(I14:L14)</f>
        <v>75216</v>
      </c>
      <c r="N14" s="87" t="s">
        <v>1</v>
      </c>
      <c r="O14" s="1" t="s">
        <v>1</v>
      </c>
      <c r="P14" s="1" t="s">
        <v>1</v>
      </c>
      <c r="Q14" s="1" t="s">
        <v>1</v>
      </c>
      <c r="R14" s="1" t="s">
        <v>1</v>
      </c>
      <c r="S14" s="1" t="s">
        <v>1</v>
      </c>
      <c r="T14" s="342"/>
      <c r="U14" s="154"/>
      <c r="V14" s="154"/>
      <c r="W14" s="154"/>
      <c r="X14" s="154"/>
      <c r="Y14" s="154"/>
      <c r="Z14" s="156">
        <f t="shared" si="12"/>
        <v>0.8</v>
      </c>
      <c r="AA14" s="154">
        <f>$AA$6*Z14</f>
        <v>5709.3281766577256</v>
      </c>
      <c r="AB14" s="154">
        <f>$AB$6*Z14</f>
        <v>3680.4511278195496</v>
      </c>
      <c r="AC14" s="154">
        <f>$AC$6*Z14</f>
        <v>163.20911142748011</v>
      </c>
      <c r="AD14" s="154">
        <f>$AD$6*Z14</f>
        <v>332.24711969165605</v>
      </c>
      <c r="AE14" s="687">
        <f t="shared" ref="AE14:AE20" si="21">SUM(AA14:AD14)</f>
        <v>9885.2355355964119</v>
      </c>
      <c r="AF14" s="301">
        <f t="shared" si="13"/>
        <v>9885.2355355964119</v>
      </c>
      <c r="AL14" s="24"/>
      <c r="AM14" s="28"/>
      <c r="AR14" s="24"/>
      <c r="AY14" s="423"/>
      <c r="AZ14" s="423"/>
      <c r="BA14" s="423"/>
      <c r="BB14" s="423"/>
      <c r="BC14" s="423"/>
      <c r="BD14" s="423"/>
      <c r="BE14" s="423"/>
      <c r="BF14" s="423"/>
      <c r="BG14" s="423"/>
      <c r="BH14" s="423"/>
      <c r="BI14" s="423"/>
      <c r="BJ14" s="423"/>
    </row>
    <row r="15" spans="1:62" ht="20">
      <c r="A15" s="128" t="s">
        <v>211</v>
      </c>
      <c r="B15" s="296">
        <f>'Воронка MPS_обработано'!L10</f>
        <v>0.4</v>
      </c>
      <c r="C15" s="154">
        <f t="shared" ref="C15:C17" si="22">$C$13*B15</f>
        <v>20224</v>
      </c>
      <c r="D15" s="154">
        <f t="shared" ref="D15:D17" si="23">$D$13*B15</f>
        <v>8448</v>
      </c>
      <c r="E15" s="154">
        <f t="shared" ref="E15:E17" si="24">$E$13*B15</f>
        <v>465.92000000000007</v>
      </c>
      <c r="F15" s="154">
        <f t="shared" ref="F15:F17" si="25">$F$13*B15</f>
        <v>948.48000000000013</v>
      </c>
      <c r="G15" s="301">
        <f t="shared" si="14"/>
        <v>30086.399999999998</v>
      </c>
      <c r="H15" s="296">
        <f t="shared" si="15"/>
        <v>0.4</v>
      </c>
      <c r="I15" s="154">
        <f t="shared" si="16"/>
        <v>25280</v>
      </c>
      <c r="J15" s="154">
        <f t="shared" si="17"/>
        <v>10560</v>
      </c>
      <c r="K15" s="154">
        <f t="shared" si="18"/>
        <v>582.40000000000009</v>
      </c>
      <c r="L15" s="154">
        <f t="shared" si="19"/>
        <v>1185.6000000000001</v>
      </c>
      <c r="M15" s="301">
        <f t="shared" si="20"/>
        <v>37608</v>
      </c>
      <c r="N15" s="87" t="s">
        <v>1</v>
      </c>
      <c r="O15" s="1" t="s">
        <v>1</v>
      </c>
      <c r="P15" s="1" t="s">
        <v>1</v>
      </c>
      <c r="Q15" s="1" t="s">
        <v>1</v>
      </c>
      <c r="R15" s="1" t="s">
        <v>1</v>
      </c>
      <c r="S15" s="1" t="s">
        <v>1</v>
      </c>
      <c r="T15" s="342"/>
      <c r="U15" s="154"/>
      <c r="V15" s="154"/>
      <c r="W15" s="154"/>
      <c r="X15" s="154"/>
      <c r="Y15" s="154"/>
      <c r="Z15" s="156">
        <f t="shared" si="12"/>
        <v>0.4</v>
      </c>
      <c r="AA15" s="154">
        <f>$AA$6*Z15</f>
        <v>2854.6640883288628</v>
      </c>
      <c r="AB15" s="154">
        <f>$AB$6*Z15</f>
        <v>1840.2255639097748</v>
      </c>
      <c r="AC15" s="154">
        <f>$AC$6*Z15</f>
        <v>81.604555713740055</v>
      </c>
      <c r="AD15" s="154">
        <f>$AD$6*Z15</f>
        <v>166.12355984582803</v>
      </c>
      <c r="AE15" s="687">
        <f t="shared" si="21"/>
        <v>4942.6177677982059</v>
      </c>
      <c r="AF15" s="301">
        <f t="shared" si="13"/>
        <v>4942.6177677982059</v>
      </c>
      <c r="AL15" s="24"/>
      <c r="AM15" s="28"/>
      <c r="AR15" s="24"/>
      <c r="AY15" s="423"/>
      <c r="AZ15" s="423"/>
      <c r="BA15" s="423"/>
      <c r="BB15" s="423"/>
      <c r="BC15" s="423"/>
      <c r="BD15" s="423"/>
      <c r="BE15" s="423"/>
      <c r="BF15" s="423"/>
      <c r="BG15" s="423"/>
      <c r="BH15" s="423"/>
      <c r="BI15" s="423"/>
      <c r="BJ15" s="423"/>
    </row>
    <row r="16" spans="1:62" ht="20">
      <c r="A16" s="128" t="s">
        <v>212</v>
      </c>
      <c r="B16" s="328">
        <f>'Воронка MPS_обработано'!L11</f>
        <v>0.29799999999999999</v>
      </c>
      <c r="C16" s="154">
        <f t="shared" si="22"/>
        <v>15066.88</v>
      </c>
      <c r="D16" s="154">
        <f t="shared" si="23"/>
        <v>6293.7599999999993</v>
      </c>
      <c r="E16" s="154">
        <f t="shared" si="24"/>
        <v>347.11040000000003</v>
      </c>
      <c r="F16" s="154">
        <f t="shared" si="25"/>
        <v>706.61760000000004</v>
      </c>
      <c r="G16" s="301">
        <f t="shared" si="14"/>
        <v>22414.368000000002</v>
      </c>
      <c r="H16" s="296">
        <f t="shared" si="15"/>
        <v>0.29799999999999999</v>
      </c>
      <c r="I16" s="154">
        <f t="shared" si="16"/>
        <v>18833.599999999999</v>
      </c>
      <c r="J16" s="154">
        <f t="shared" si="17"/>
        <v>7867.2</v>
      </c>
      <c r="K16" s="154">
        <f t="shared" si="18"/>
        <v>433.88800000000003</v>
      </c>
      <c r="L16" s="154">
        <f t="shared" si="19"/>
        <v>883.27199999999993</v>
      </c>
      <c r="M16" s="301">
        <f t="shared" si="20"/>
        <v>28017.96</v>
      </c>
      <c r="N16" s="87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342"/>
      <c r="U16" s="154"/>
      <c r="V16" s="154"/>
      <c r="W16" s="154"/>
      <c r="X16" s="154"/>
      <c r="Y16" s="154"/>
      <c r="Z16" s="156">
        <f t="shared" si="12"/>
        <v>0.29799999999999999</v>
      </c>
      <c r="AA16" s="154">
        <f>$AA$6*Z16</f>
        <v>2126.7247458050024</v>
      </c>
      <c r="AB16" s="154">
        <f>$AB$6*Z16</f>
        <v>1370.9680451127822</v>
      </c>
      <c r="AC16" s="154">
        <f>$AC$6*Z16</f>
        <v>60.795394006736331</v>
      </c>
      <c r="AD16" s="154">
        <f>$AD$6*Z16</f>
        <v>123.76205208514186</v>
      </c>
      <c r="AE16" s="687">
        <f t="shared" si="21"/>
        <v>3682.2502370096631</v>
      </c>
      <c r="AF16" s="301">
        <f t="shared" si="13"/>
        <v>3682.2502370096631</v>
      </c>
      <c r="AL16" s="24"/>
      <c r="AM16" s="28"/>
      <c r="AR16" s="24"/>
      <c r="AY16" s="423"/>
      <c r="AZ16" s="423"/>
      <c r="BA16" s="423"/>
      <c r="BB16" s="423"/>
      <c r="BC16" s="423"/>
      <c r="BD16" s="423"/>
      <c r="BE16" s="423"/>
      <c r="BF16" s="423"/>
      <c r="BG16" s="423"/>
      <c r="BH16" s="423"/>
      <c r="BI16" s="423"/>
      <c r="BJ16" s="423"/>
    </row>
    <row r="17" spans="1:62" ht="20">
      <c r="A17" s="128" t="s">
        <v>213</v>
      </c>
      <c r="B17" s="328">
        <f>'Воронка MPS_обработано'!L12</f>
        <v>0.45500000000000002</v>
      </c>
      <c r="C17" s="154">
        <f t="shared" si="22"/>
        <v>23004.799999999999</v>
      </c>
      <c r="D17" s="154">
        <f t="shared" si="23"/>
        <v>9609.6</v>
      </c>
      <c r="E17" s="154">
        <f t="shared" si="24"/>
        <v>529.98400000000015</v>
      </c>
      <c r="F17" s="154">
        <f t="shared" si="25"/>
        <v>1078.8960000000002</v>
      </c>
      <c r="G17" s="301">
        <f t="shared" si="14"/>
        <v>34223.279999999999</v>
      </c>
      <c r="H17" s="296">
        <f t="shared" si="15"/>
        <v>0.45500000000000002</v>
      </c>
      <c r="I17" s="154">
        <f t="shared" si="16"/>
        <v>28756</v>
      </c>
      <c r="J17" s="154">
        <f t="shared" si="17"/>
        <v>12012</v>
      </c>
      <c r="K17" s="154">
        <f t="shared" si="18"/>
        <v>662.48000000000013</v>
      </c>
      <c r="L17" s="154">
        <f t="shared" si="19"/>
        <v>1348.6200000000001</v>
      </c>
      <c r="M17" s="301">
        <f t="shared" si="20"/>
        <v>42779.100000000006</v>
      </c>
      <c r="N17" s="87" t="s">
        <v>1</v>
      </c>
      <c r="O17" s="1" t="s">
        <v>1</v>
      </c>
      <c r="P17" s="1" t="s">
        <v>1</v>
      </c>
      <c r="Q17" s="1" t="s">
        <v>1</v>
      </c>
      <c r="R17" s="1" t="s">
        <v>1</v>
      </c>
      <c r="S17" s="1" t="s">
        <v>1</v>
      </c>
      <c r="T17" s="342"/>
      <c r="U17" s="154"/>
      <c r="V17" s="154"/>
      <c r="W17" s="154"/>
      <c r="X17" s="154"/>
      <c r="Y17" s="154"/>
      <c r="Z17" s="156">
        <f t="shared" si="12"/>
        <v>0.45500000000000002</v>
      </c>
      <c r="AA17" s="154">
        <f>$AA$6*Z17</f>
        <v>3247.1804004740816</v>
      </c>
      <c r="AB17" s="154">
        <f>$AB$6*Z17</f>
        <v>2093.2565789473688</v>
      </c>
      <c r="AC17" s="154">
        <f>$AC$6*Z17</f>
        <v>92.82518212437931</v>
      </c>
      <c r="AD17" s="154">
        <f>$AD$6*Z17</f>
        <v>188.96554932462936</v>
      </c>
      <c r="AE17" s="687">
        <f t="shared" si="21"/>
        <v>5622.2277108704593</v>
      </c>
      <c r="AF17" s="301">
        <f t="shared" si="13"/>
        <v>5622.2277108704593</v>
      </c>
      <c r="AL17" s="24"/>
      <c r="AM17" s="28"/>
      <c r="AR17" s="24"/>
      <c r="AY17" s="423"/>
      <c r="AZ17" s="423"/>
      <c r="BA17" s="423"/>
      <c r="BB17" s="423"/>
      <c r="BC17" s="423"/>
      <c r="BD17" s="423"/>
      <c r="BE17" s="423"/>
      <c r="BF17" s="423"/>
      <c r="BG17" s="423"/>
      <c r="BH17" s="423"/>
      <c r="BI17" s="423"/>
      <c r="BJ17" s="423"/>
    </row>
    <row r="18" spans="1:62" ht="20">
      <c r="A18" s="416" t="s">
        <v>337</v>
      </c>
      <c r="B18" s="617">
        <f>'Воронка MPS_обработано'!L14</f>
        <v>8.5384615384615392E-2</v>
      </c>
      <c r="C18" s="154">
        <f>$C$13*B18</f>
        <v>4317.0461538461541</v>
      </c>
      <c r="D18" s="154">
        <f>$D$13*B18</f>
        <v>1803.323076923077</v>
      </c>
      <c r="E18" s="154">
        <f>$E$13*B18</f>
        <v>99.456000000000017</v>
      </c>
      <c r="F18" s="154">
        <f>$F$13*B18</f>
        <v>202.46400000000003</v>
      </c>
      <c r="G18" s="301">
        <f t="shared" si="14"/>
        <v>6422.2892307692309</v>
      </c>
      <c r="H18" s="618">
        <f>B18*1.15</f>
        <v>9.819230769230769E-2</v>
      </c>
      <c r="I18" s="154">
        <f>I13*$H$18</f>
        <v>4964.6030769230765</v>
      </c>
      <c r="J18" s="154">
        <f t="shared" ref="J18:L18" si="26">J13*$H$18</f>
        <v>2073.8215384615382</v>
      </c>
      <c r="K18" s="154">
        <f t="shared" si="26"/>
        <v>114.37440000000001</v>
      </c>
      <c r="L18" s="154">
        <f t="shared" si="26"/>
        <v>232.83360000000002</v>
      </c>
      <c r="M18" s="301">
        <f t="shared" si="20"/>
        <v>7385.6326153846139</v>
      </c>
      <c r="N18" s="619">
        <f>'Воронка Селлер as is'!F12</f>
        <v>1.7475398710553106E-2</v>
      </c>
      <c r="O18" s="154">
        <f>$N$18*O6</f>
        <v>1104.4451985069563</v>
      </c>
      <c r="P18" s="154">
        <f t="shared" ref="P18:R18" si="27">$N$18*P6</f>
        <v>461.35052595860196</v>
      </c>
      <c r="Q18" s="154">
        <f t="shared" si="27"/>
        <v>25.444180522565325</v>
      </c>
      <c r="R18" s="154">
        <f t="shared" si="27"/>
        <v>51.797081778079402</v>
      </c>
      <c r="S18" s="279">
        <f>SUM(O18:R18)</f>
        <v>1643.0369867662032</v>
      </c>
      <c r="T18" s="619">
        <f>N18</f>
        <v>1.7475398710553106E-2</v>
      </c>
      <c r="U18" s="154">
        <f>$N$18*U6</f>
        <v>979.72921568634524</v>
      </c>
      <c r="V18" s="154">
        <f t="shared" ref="V18:X18" si="28">$N$18*V6</f>
        <v>380.95383734191267</v>
      </c>
      <c r="W18" s="154">
        <f t="shared" si="28"/>
        <v>21.879000153327446</v>
      </c>
      <c r="X18" s="154">
        <f t="shared" si="28"/>
        <v>44.539393169273723</v>
      </c>
      <c r="Y18" s="279">
        <f>SUM(U18:X18)</f>
        <v>1427.1014463508593</v>
      </c>
      <c r="Z18" s="699">
        <f>H18</f>
        <v>9.819230769230769E-2</v>
      </c>
      <c r="AA18" s="154">
        <f>AA13*$Z$18</f>
        <v>560.61210903873746</v>
      </c>
      <c r="AB18" s="154">
        <f>AB13*$Z$18</f>
        <v>361.39198958935805</v>
      </c>
      <c r="AC18" s="154">
        <f t="shared" ref="AC18:AD18" si="29">AC13*$Z$18</f>
        <v>16.025879287475259</v>
      </c>
      <c r="AD18" s="154">
        <f t="shared" si="29"/>
        <v>32.624111406646072</v>
      </c>
      <c r="AE18" s="687">
        <f t="shared" si="21"/>
        <v>970.65408932221692</v>
      </c>
      <c r="AF18" s="301">
        <f t="shared" si="13"/>
        <v>2397.7555356730763</v>
      </c>
      <c r="AL18" s="24"/>
      <c r="AM18" s="28"/>
      <c r="AR18" s="24"/>
      <c r="AY18" s="423"/>
      <c r="AZ18" s="423"/>
      <c r="BA18" s="423"/>
      <c r="BB18" s="423"/>
      <c r="BC18" s="423"/>
      <c r="BD18" s="423"/>
      <c r="BE18" s="423"/>
      <c r="BF18" s="423"/>
      <c r="BG18" s="423"/>
      <c r="BH18" s="423"/>
      <c r="BI18" s="423"/>
      <c r="BJ18" s="423"/>
    </row>
    <row r="19" spans="1:62" ht="20">
      <c r="A19" s="416" t="s">
        <v>338</v>
      </c>
      <c r="B19" s="478">
        <f>N18</f>
        <v>1.7475398710553106E-2</v>
      </c>
      <c r="C19" s="154">
        <f>C12*$B$19</f>
        <v>220.88903970139125</v>
      </c>
      <c r="D19" s="154">
        <f t="shared" ref="D19:F19" si="30">D12*$B$19</f>
        <v>92.270105191720404</v>
      </c>
      <c r="E19" s="154">
        <f t="shared" si="30"/>
        <v>5.0888361045130655</v>
      </c>
      <c r="F19" s="154">
        <f t="shared" si="30"/>
        <v>10.359416355615876</v>
      </c>
      <c r="G19" s="301">
        <f t="shared" si="14"/>
        <v>328.60739735324057</v>
      </c>
      <c r="H19" s="478">
        <f>N18</f>
        <v>1.7475398710553106E-2</v>
      </c>
      <c r="I19" s="154">
        <f>I12*$H$19</f>
        <v>220.88903970139125</v>
      </c>
      <c r="J19" s="154">
        <f t="shared" ref="J19:L19" si="31">J12*$H$19</f>
        <v>92.270105191720404</v>
      </c>
      <c r="K19" s="154">
        <f t="shared" si="31"/>
        <v>5.0888361045130655</v>
      </c>
      <c r="L19" s="154">
        <f t="shared" si="31"/>
        <v>10.359416355615876</v>
      </c>
      <c r="M19" s="301">
        <f t="shared" si="20"/>
        <v>328.60739735324057</v>
      </c>
      <c r="N19" s="328"/>
      <c r="O19" s="154"/>
      <c r="P19" s="154"/>
      <c r="Q19" s="154"/>
      <c r="R19" s="154"/>
      <c r="S19" s="279"/>
      <c r="T19" s="342"/>
      <c r="U19" s="154"/>
      <c r="V19" s="154"/>
      <c r="W19" s="154"/>
      <c r="X19" s="154"/>
      <c r="Y19" s="154"/>
      <c r="Z19" s="156">
        <f>H19</f>
        <v>1.7475398710553106E-2</v>
      </c>
      <c r="AA19" s="154">
        <f>AA12*$Z$19</f>
        <v>24.943196564122225</v>
      </c>
      <c r="AB19" s="154">
        <f>AB12*$Z$19</f>
        <v>16.079337723337868</v>
      </c>
      <c r="AC19" s="154">
        <f t="shared" ref="AC19:AD19" si="32">AC12*$Z$19</f>
        <v>0.71303607384757561</v>
      </c>
      <c r="AD19" s="154">
        <f t="shared" si="32"/>
        <v>1.4515377217611365</v>
      </c>
      <c r="AE19" s="687">
        <f t="shared" si="21"/>
        <v>43.1871080830688</v>
      </c>
      <c r="AF19" s="301">
        <f t="shared" si="13"/>
        <v>43.1871080830688</v>
      </c>
      <c r="AL19" s="24"/>
      <c r="AM19" s="28"/>
      <c r="AR19" s="24"/>
      <c r="AY19" s="423"/>
      <c r="AZ19" s="423"/>
      <c r="BA19" s="423"/>
      <c r="BB19" s="423"/>
      <c r="BC19" s="423"/>
      <c r="BD19" s="423"/>
      <c r="BE19" s="423"/>
      <c r="BF19" s="423"/>
      <c r="BG19" s="423"/>
      <c r="BH19" s="423"/>
      <c r="BI19" s="423"/>
      <c r="BJ19" s="423"/>
    </row>
    <row r="20" spans="1:62" s="454" customFormat="1" ht="21" thickBot="1">
      <c r="A20" s="453" t="s">
        <v>339</v>
      </c>
      <c r="B20" s="474"/>
      <c r="C20" s="363">
        <f>SUM(C18:C19)</f>
        <v>4537.9351935475452</v>
      </c>
      <c r="D20" s="363">
        <f t="shared" ref="D20:F20" si="33">SUM(D18:D19)</f>
        <v>1895.5931821147974</v>
      </c>
      <c r="E20" s="363">
        <f t="shared" si="33"/>
        <v>104.54483610451308</v>
      </c>
      <c r="F20" s="363">
        <f t="shared" si="33"/>
        <v>212.8234163556159</v>
      </c>
      <c r="G20" s="364">
        <f t="shared" si="14"/>
        <v>6750.8966281224721</v>
      </c>
      <c r="H20" s="474"/>
      <c r="I20" s="363">
        <f>SUM(I18:I19)</f>
        <v>5185.4921166244676</v>
      </c>
      <c r="J20" s="363">
        <f t="shared" ref="J20" si="34">SUM(J18:J19)</f>
        <v>2166.0916436532589</v>
      </c>
      <c r="K20" s="363">
        <f t="shared" ref="K20" si="35">SUM(K18:K19)</f>
        <v>119.46323610451307</v>
      </c>
      <c r="L20" s="363">
        <f t="shared" ref="L20" si="36">SUM(L18:L19)</f>
        <v>243.1930163556159</v>
      </c>
      <c r="M20" s="364">
        <f t="shared" si="20"/>
        <v>7714.240012737856</v>
      </c>
      <c r="N20" s="365"/>
      <c r="O20" s="363">
        <f>O18</f>
        <v>1104.4451985069563</v>
      </c>
      <c r="P20" s="363">
        <f t="shared" ref="P20:R20" si="37">P18</f>
        <v>461.35052595860196</v>
      </c>
      <c r="Q20" s="363">
        <f t="shared" si="37"/>
        <v>25.444180522565325</v>
      </c>
      <c r="R20" s="363">
        <f t="shared" si="37"/>
        <v>51.797081778079402</v>
      </c>
      <c r="S20" s="630">
        <f>SUM(O20:R20)</f>
        <v>1643.0369867662032</v>
      </c>
      <c r="T20" s="474"/>
      <c r="U20" s="363">
        <f>U18</f>
        <v>979.72921568634524</v>
      </c>
      <c r="V20" s="363">
        <f t="shared" ref="V20:X20" si="38">V18</f>
        <v>380.95383734191267</v>
      </c>
      <c r="W20" s="363">
        <f t="shared" si="38"/>
        <v>21.879000153327446</v>
      </c>
      <c r="X20" s="363">
        <f t="shared" si="38"/>
        <v>44.539393169273723</v>
      </c>
      <c r="Y20" s="630">
        <f>SUM(U20:X20)</f>
        <v>1427.1014463508593</v>
      </c>
      <c r="Z20" s="670"/>
      <c r="AA20" s="363">
        <f>SUM(AA18:AA19)</f>
        <v>585.55530560285968</v>
      </c>
      <c r="AB20" s="363">
        <f t="shared" ref="AB20:AD20" si="39">SUM(AB18:AB19)</f>
        <v>377.47132731269591</v>
      </c>
      <c r="AC20" s="363">
        <f t="shared" si="39"/>
        <v>16.738915361322835</v>
      </c>
      <c r="AD20" s="363">
        <f t="shared" si="39"/>
        <v>34.075649128407207</v>
      </c>
      <c r="AE20" s="689">
        <f t="shared" si="21"/>
        <v>1013.8411974052857</v>
      </c>
      <c r="AF20" s="364">
        <f t="shared" si="13"/>
        <v>2440.9426437561451</v>
      </c>
      <c r="AG20" s="88"/>
      <c r="AH20" s="88"/>
      <c r="AI20" s="88"/>
      <c r="AJ20" s="88"/>
      <c r="AK20" s="88"/>
      <c r="AL20" s="131"/>
      <c r="AM20" s="133"/>
      <c r="AN20" s="88"/>
      <c r="AO20" s="88"/>
      <c r="AP20" s="88"/>
      <c r="AQ20" s="88"/>
      <c r="AR20" s="131"/>
    </row>
    <row r="21" spans="1:62" ht="20" thickBot="1">
      <c r="B21" s="478"/>
      <c r="C21" s="154"/>
      <c r="D21" s="154"/>
      <c r="E21" s="154"/>
      <c r="F21" s="154"/>
      <c r="G21" s="301"/>
      <c r="H21" s="296"/>
      <c r="I21" s="154"/>
      <c r="J21" s="154"/>
      <c r="K21" s="154"/>
      <c r="L21" s="154"/>
      <c r="M21" s="301"/>
      <c r="N21" s="469"/>
      <c r="O21" s="154"/>
      <c r="P21" s="154"/>
      <c r="Q21" s="154"/>
      <c r="R21" s="154"/>
      <c r="S21" s="279"/>
      <c r="T21" s="342"/>
      <c r="U21" s="154"/>
      <c r="V21" s="154"/>
      <c r="W21" s="154"/>
      <c r="X21" s="154"/>
      <c r="Y21" s="154"/>
      <c r="Z21" s="616"/>
      <c r="AA21" s="154"/>
      <c r="AB21" s="154"/>
      <c r="AC21" s="154"/>
      <c r="AD21" s="154"/>
      <c r="AE21" s="690"/>
      <c r="AF21" s="299"/>
      <c r="AY21" s="423"/>
      <c r="AZ21" s="423"/>
      <c r="BA21" s="423"/>
      <c r="BB21" s="423"/>
      <c r="BC21" s="423"/>
      <c r="BD21" s="423"/>
      <c r="BE21" s="423"/>
      <c r="BF21" s="423"/>
      <c r="BG21" s="423"/>
      <c r="BH21" s="423"/>
      <c r="BI21" s="423"/>
      <c r="BJ21" s="423"/>
    </row>
    <row r="22" spans="1:62" s="482" customFormat="1" ht="21" customHeight="1">
      <c r="A22" s="480" t="s">
        <v>342</v>
      </c>
      <c r="B22" s="475"/>
      <c r="C22" s="476">
        <f>SUM(C23:C27)</f>
        <v>94980336.687484041</v>
      </c>
      <c r="D22" s="476">
        <f t="shared" ref="D22:F22" si="40">SUM(D23:D27)</f>
        <v>40428564.380383775</v>
      </c>
      <c r="E22" s="476">
        <f t="shared" si="40"/>
        <v>2206572.1799695194</v>
      </c>
      <c r="F22" s="476">
        <f t="shared" si="40"/>
        <v>4491950.5092236642</v>
      </c>
      <c r="G22" s="477">
        <f t="shared" si="14"/>
        <v>142107423.757061</v>
      </c>
      <c r="H22" s="483"/>
      <c r="I22" s="476">
        <f>SUM(I23:I27)</f>
        <v>129922404.06714828</v>
      </c>
      <c r="J22" s="476">
        <f t="shared" ref="J22" si="41">SUM(J23:J27)</f>
        <v>55146735.406278856</v>
      </c>
      <c r="K22" s="476">
        <f t="shared" ref="K22" si="42">SUM(K23:K27)</f>
        <v>3014552.5834345901</v>
      </c>
      <c r="L22" s="476">
        <f t="shared" ref="L22" si="43">SUM(L23:L27)</f>
        <v>6136767.7591347015</v>
      </c>
      <c r="M22" s="477">
        <f t="shared" ref="M22:M28" si="44">SUM(I22:L22)</f>
        <v>194220459.81599644</v>
      </c>
      <c r="N22" s="484"/>
      <c r="O22" s="476">
        <f>SUM(O23:O27)</f>
        <v>27671852.95498044</v>
      </c>
      <c r="P22" s="476">
        <f t="shared" ref="P22" si="45">SUM(P23:P27)</f>
        <v>11745567.395143542</v>
      </c>
      <c r="Q22" s="476">
        <f t="shared" ref="Q22" si="46">SUM(Q23:Q27)</f>
        <v>642062.13249213761</v>
      </c>
      <c r="R22" s="476">
        <f t="shared" ref="R22" si="47">SUM(R23:R27)</f>
        <v>1307055.0554304225</v>
      </c>
      <c r="S22" s="639">
        <f t="shared" ref="S22:S28" si="48">SUM(O22:R22)</f>
        <v>41366537.538046546</v>
      </c>
      <c r="T22" s="567"/>
      <c r="U22" s="476">
        <f>SUM(U23:U27)</f>
        <v>24099461.439501014</v>
      </c>
      <c r="V22" s="476">
        <f t="shared" ref="V22:X22" si="49">SUM(V23:V27)</f>
        <v>9370734.4501509089</v>
      </c>
      <c r="W22" s="476">
        <f t="shared" si="49"/>
        <v>538181.48125813855</v>
      </c>
      <c r="X22" s="476">
        <f t="shared" si="49"/>
        <v>1095583.7297040676</v>
      </c>
      <c r="Y22" s="639">
        <f t="shared" ref="Y22:Y32" si="50">SUM(U22:X22)</f>
        <v>35103961.10061413</v>
      </c>
      <c r="Z22" s="691"/>
      <c r="AA22" s="476">
        <f>SUM(AA23:AA27)</f>
        <v>16772772.488899596</v>
      </c>
      <c r="AB22" s="476">
        <f t="shared" ref="AB22:AD22" si="51">SUM(AB23:AB27)</f>
        <v>11150102.812893722</v>
      </c>
      <c r="AC22" s="476">
        <f t="shared" si="51"/>
        <v>487731.12398145406</v>
      </c>
      <c r="AD22" s="476">
        <f t="shared" si="51"/>
        <v>992881.21667653171</v>
      </c>
      <c r="AE22" s="692">
        <f t="shared" ref="AE22:AE29" si="52">SUM(AA22:AD22)</f>
        <v>29403487.642451305</v>
      </c>
      <c r="AF22" s="477">
        <f>AE22+Y22</f>
        <v>64507448.743065432</v>
      </c>
      <c r="AG22" s="481"/>
      <c r="AH22" s="481"/>
      <c r="AI22" s="481"/>
      <c r="AJ22" s="481"/>
      <c r="AK22" s="481"/>
      <c r="AL22" s="481"/>
      <c r="AM22" s="481"/>
      <c r="AN22" s="481"/>
      <c r="AO22" s="481"/>
      <c r="AP22" s="481"/>
      <c r="AQ22" s="481"/>
      <c r="AR22" s="481"/>
    </row>
    <row r="23" spans="1:62" hidden="1" outlineLevel="1">
      <c r="A23" s="436" t="s">
        <v>327</v>
      </c>
      <c r="B23" s="478"/>
      <c r="C23" s="169">
        <f t="shared" ref="C23:F27" si="53">C$20*C42*C52</f>
        <v>27425.301916122386</v>
      </c>
      <c r="D23" s="169">
        <f t="shared" si="53"/>
        <v>180825.90115807255</v>
      </c>
      <c r="E23" s="169">
        <f t="shared" si="53"/>
        <v>4773.1434376144143</v>
      </c>
      <c r="F23" s="169">
        <f t="shared" si="53"/>
        <v>9716.7562837150563</v>
      </c>
      <c r="G23" s="406">
        <f t="shared" si="14"/>
        <v>222741.10279552438</v>
      </c>
      <c r="H23" s="296"/>
      <c r="I23" s="169">
        <f t="shared" ref="I23:L27" si="54">I$20*I42*I52</f>
        <v>34421.363839836384</v>
      </c>
      <c r="J23" s="169">
        <f t="shared" si="54"/>
        <v>226953.71429144673</v>
      </c>
      <c r="K23" s="169">
        <f t="shared" si="54"/>
        <v>5990.7492514883834</v>
      </c>
      <c r="L23" s="169">
        <f t="shared" si="54"/>
        <v>12195.453833387068</v>
      </c>
      <c r="M23" s="406">
        <f t="shared" si="44"/>
        <v>279561.28121615853</v>
      </c>
      <c r="N23" s="469"/>
      <c r="O23" s="169">
        <f t="shared" ref="O23:R27" si="55">O$20*O42*O52</f>
        <v>7331.3215339946128</v>
      </c>
      <c r="P23" s="169">
        <f t="shared" si="55"/>
        <v>48338.312814883888</v>
      </c>
      <c r="Q23" s="169">
        <f t="shared" si="55"/>
        <v>1275.9549330049922</v>
      </c>
      <c r="R23" s="169">
        <f t="shared" si="55"/>
        <v>2597.4796850458765</v>
      </c>
      <c r="S23" s="677">
        <f t="shared" si="48"/>
        <v>59543.068966929364</v>
      </c>
      <c r="T23" s="342"/>
      <c r="U23" s="169">
        <f t="shared" ref="U23:X23" si="56">U$20*U42*U52</f>
        <v>0</v>
      </c>
      <c r="V23" s="169">
        <f t="shared" si="56"/>
        <v>0</v>
      </c>
      <c r="W23" s="169">
        <f t="shared" si="56"/>
        <v>0</v>
      </c>
      <c r="X23" s="169">
        <f t="shared" si="56"/>
        <v>0</v>
      </c>
      <c r="Y23" s="677">
        <f t="shared" si="50"/>
        <v>0</v>
      </c>
      <c r="Z23" s="616"/>
      <c r="AA23" s="169">
        <f t="shared" ref="AA23:AD23" si="57">AA$20*AA42*AA52</f>
        <v>34421.363839836391</v>
      </c>
      <c r="AB23" s="169">
        <f t="shared" si="57"/>
        <v>226953.71429144675</v>
      </c>
      <c r="AC23" s="169">
        <f t="shared" si="57"/>
        <v>5990.7492514883825</v>
      </c>
      <c r="AD23" s="169">
        <f t="shared" si="57"/>
        <v>12195.453833387068</v>
      </c>
      <c r="AE23" s="693">
        <f t="shared" si="52"/>
        <v>279561.28121615859</v>
      </c>
      <c r="AF23" s="406">
        <f>AE23+Y23</f>
        <v>279561.28121615859</v>
      </c>
      <c r="AY23" s="423"/>
      <c r="AZ23" s="423"/>
      <c r="BA23" s="423"/>
      <c r="BB23" s="423"/>
      <c r="BC23" s="423"/>
      <c r="BD23" s="423"/>
      <c r="BE23" s="423"/>
      <c r="BF23" s="423"/>
      <c r="BG23" s="423"/>
      <c r="BH23" s="423"/>
      <c r="BI23" s="423"/>
      <c r="BJ23" s="423"/>
    </row>
    <row r="24" spans="1:62" hidden="1" outlineLevel="1">
      <c r="A24" s="436" t="s">
        <v>429</v>
      </c>
      <c r="B24" s="478"/>
      <c r="C24" s="169">
        <f t="shared" si="53"/>
        <v>1192283.4161050071</v>
      </c>
      <c r="D24" s="169">
        <f t="shared" si="53"/>
        <v>1362449.1371754475</v>
      </c>
      <c r="E24" s="169">
        <f t="shared" si="53"/>
        <v>48603.709365557123</v>
      </c>
      <c r="F24" s="169">
        <f t="shared" si="53"/>
        <v>98943.265494169842</v>
      </c>
      <c r="G24" s="406">
        <f t="shared" si="14"/>
        <v>2702279.5281401812</v>
      </c>
      <c r="H24" s="296"/>
      <c r="I24" s="169">
        <f t="shared" si="54"/>
        <v>1537839.5280028563</v>
      </c>
      <c r="J24" s="169">
        <f t="shared" si="54"/>
        <v>1757323.8960972496</v>
      </c>
      <c r="K24" s="169">
        <f t="shared" si="54"/>
        <v>62690.384232714539</v>
      </c>
      <c r="L24" s="169">
        <f t="shared" si="54"/>
        <v>127619.7107594546</v>
      </c>
      <c r="M24" s="406">
        <f t="shared" si="44"/>
        <v>3485473.5190922748</v>
      </c>
      <c r="N24" s="469"/>
      <c r="O24" s="169">
        <f t="shared" si="55"/>
        <v>327540.65469153255</v>
      </c>
      <c r="P24" s="169">
        <f t="shared" si="55"/>
        <v>374288.08985048957</v>
      </c>
      <c r="Q24" s="169">
        <f t="shared" si="55"/>
        <v>13352.270585158809</v>
      </c>
      <c r="R24" s="169">
        <f t="shared" si="55"/>
        <v>27181.407976930426</v>
      </c>
      <c r="S24" s="677">
        <f t="shared" si="48"/>
        <v>742362.42310411134</v>
      </c>
      <c r="T24" s="342"/>
      <c r="U24" s="169">
        <f t="shared" ref="U24:X24" si="58">U$20*U43*U53</f>
        <v>0</v>
      </c>
      <c r="V24" s="169">
        <f t="shared" si="58"/>
        <v>0</v>
      </c>
      <c r="W24" s="169">
        <f t="shared" si="58"/>
        <v>0</v>
      </c>
      <c r="X24" s="169">
        <f t="shared" si="58"/>
        <v>0</v>
      </c>
      <c r="Y24" s="677">
        <f t="shared" si="50"/>
        <v>0</v>
      </c>
      <c r="Z24" s="616"/>
      <c r="AA24" s="169">
        <f t="shared" ref="AA24:AD24" si="59">AA$20*AA43*AA53</f>
        <v>1537839.5280028565</v>
      </c>
      <c r="AB24" s="169">
        <f t="shared" si="59"/>
        <v>1757323.8960972496</v>
      </c>
      <c r="AC24" s="169">
        <f t="shared" si="59"/>
        <v>62690.384232714532</v>
      </c>
      <c r="AD24" s="169">
        <f t="shared" si="59"/>
        <v>127619.71075945461</v>
      </c>
      <c r="AE24" s="693">
        <f t="shared" si="52"/>
        <v>3485473.5190922748</v>
      </c>
      <c r="AF24" s="406">
        <f t="shared" ref="AF24:AF31" si="60">AE24+Y24</f>
        <v>3485473.5190922748</v>
      </c>
      <c r="AY24" s="423"/>
      <c r="AZ24" s="423"/>
      <c r="BA24" s="423"/>
      <c r="BB24" s="423"/>
      <c r="BC24" s="423"/>
      <c r="BD24" s="423"/>
      <c r="BE24" s="423"/>
      <c r="BF24" s="423"/>
      <c r="BG24" s="423"/>
      <c r="BH24" s="423"/>
      <c r="BI24" s="423"/>
      <c r="BJ24" s="423"/>
    </row>
    <row r="25" spans="1:62" hidden="1" outlineLevel="1">
      <c r="A25" s="436" t="s">
        <v>65</v>
      </c>
      <c r="B25" s="478"/>
      <c r="C25" s="169">
        <f t="shared" si="53"/>
        <v>11336437.064465931</v>
      </c>
      <c r="D25" s="169">
        <f t="shared" si="53"/>
        <v>6835809.4323754478</v>
      </c>
      <c r="E25" s="169">
        <f t="shared" si="53"/>
        <v>312524.60246515163</v>
      </c>
      <c r="F25" s="169">
        <f t="shared" si="53"/>
        <v>636210.79787548725</v>
      </c>
      <c r="G25" s="406">
        <f t="shared" si="14"/>
        <v>19120981.897182018</v>
      </c>
      <c r="H25" s="296"/>
      <c r="I25" s="169">
        <f t="shared" si="54"/>
        <v>15200511.597056901</v>
      </c>
      <c r="J25" s="169">
        <f t="shared" si="54"/>
        <v>9165825.2025050279</v>
      </c>
      <c r="K25" s="169">
        <f t="shared" si="54"/>
        <v>419049.99049725122</v>
      </c>
      <c r="L25" s="169">
        <f t="shared" si="54"/>
        <v>853066.05208369007</v>
      </c>
      <c r="M25" s="406">
        <f t="shared" si="44"/>
        <v>25638452.842142869</v>
      </c>
      <c r="N25" s="469"/>
      <c r="O25" s="169">
        <f t="shared" si="55"/>
        <v>3237519.5392539045</v>
      </c>
      <c r="P25" s="169">
        <f t="shared" si="55"/>
        <v>1952206.5423272615</v>
      </c>
      <c r="Q25" s="169">
        <f t="shared" si="55"/>
        <v>89252.425715835285</v>
      </c>
      <c r="R25" s="169">
        <f t="shared" si="55"/>
        <v>181692.43806437892</v>
      </c>
      <c r="S25" s="677">
        <f t="shared" si="48"/>
        <v>5460670.9453613795</v>
      </c>
      <c r="T25" s="342"/>
      <c r="U25" s="169">
        <f t="shared" ref="U25:X25" si="61">U$20*U44*U54</f>
        <v>0</v>
      </c>
      <c r="V25" s="169">
        <f t="shared" si="61"/>
        <v>0</v>
      </c>
      <c r="W25" s="169">
        <f t="shared" si="61"/>
        <v>0</v>
      </c>
      <c r="X25" s="169">
        <f t="shared" si="61"/>
        <v>0</v>
      </c>
      <c r="Y25" s="677">
        <f t="shared" si="50"/>
        <v>0</v>
      </c>
      <c r="Z25" s="616"/>
      <c r="AA25" s="169">
        <f t="shared" ref="AA25:AD25" si="62">AA$20*AA44*AA54</f>
        <v>15200511.597056903</v>
      </c>
      <c r="AB25" s="169">
        <f t="shared" si="62"/>
        <v>9165825.202505026</v>
      </c>
      <c r="AC25" s="169">
        <f t="shared" si="62"/>
        <v>419049.99049725116</v>
      </c>
      <c r="AD25" s="169">
        <f t="shared" si="62"/>
        <v>853066.05208369007</v>
      </c>
      <c r="AE25" s="693">
        <f t="shared" si="52"/>
        <v>25638452.842142869</v>
      </c>
      <c r="AF25" s="406">
        <f t="shared" si="60"/>
        <v>25638452.842142869</v>
      </c>
      <c r="AY25" s="423"/>
      <c r="AZ25" s="423"/>
      <c r="BA25" s="423"/>
      <c r="BB25" s="423"/>
      <c r="BC25" s="423"/>
      <c r="BD25" s="423"/>
      <c r="BE25" s="423"/>
      <c r="BF25" s="423"/>
      <c r="BG25" s="423"/>
      <c r="BH25" s="423"/>
      <c r="BI25" s="423"/>
      <c r="BJ25" s="423"/>
    </row>
    <row r="26" spans="1:62" hidden="1" outlineLevel="1">
      <c r="A26" s="436" t="s">
        <v>66</v>
      </c>
      <c r="B26" s="478"/>
      <c r="C26" s="169">
        <f t="shared" si="53"/>
        <v>82424190.904996976</v>
      </c>
      <c r="D26" s="169">
        <f t="shared" si="53"/>
        <v>32049479.909674808</v>
      </c>
      <c r="E26" s="169">
        <f t="shared" si="53"/>
        <v>1840670.724701196</v>
      </c>
      <c r="F26" s="169">
        <f t="shared" si="53"/>
        <v>3747079.6895702919</v>
      </c>
      <c r="G26" s="406">
        <f t="shared" si="14"/>
        <v>120061421.22894327</v>
      </c>
      <c r="H26" s="296"/>
      <c r="I26" s="169">
        <f t="shared" si="54"/>
        <v>113149631.57824869</v>
      </c>
      <c r="J26" s="169">
        <f t="shared" si="54"/>
        <v>43996632.59338513</v>
      </c>
      <c r="K26" s="169">
        <f t="shared" si="54"/>
        <v>2526821.4594531362</v>
      </c>
      <c r="L26" s="169">
        <f t="shared" si="54"/>
        <v>5143886.5424581701</v>
      </c>
      <c r="M26" s="406">
        <f t="shared" si="44"/>
        <v>164816972.17354515</v>
      </c>
      <c r="N26" s="469"/>
      <c r="O26" s="169">
        <f t="shared" si="55"/>
        <v>24099461.43950101</v>
      </c>
      <c r="P26" s="169">
        <f t="shared" si="55"/>
        <v>9370734.450150907</v>
      </c>
      <c r="Q26" s="169">
        <f t="shared" si="55"/>
        <v>538181.48125813855</v>
      </c>
      <c r="R26" s="169">
        <f t="shared" si="55"/>
        <v>1095583.7297040673</v>
      </c>
      <c r="S26" s="677">
        <f t="shared" si="48"/>
        <v>35103961.100614123</v>
      </c>
      <c r="T26" s="342"/>
      <c r="U26" s="169">
        <f t="shared" ref="U26:X26" si="63">U$20*U45*U55</f>
        <v>24099461.439501014</v>
      </c>
      <c r="V26" s="169">
        <f t="shared" si="63"/>
        <v>9370734.4501509089</v>
      </c>
      <c r="W26" s="169">
        <f t="shared" si="63"/>
        <v>538181.48125813855</v>
      </c>
      <c r="X26" s="169">
        <f t="shared" si="63"/>
        <v>1095583.7297040676</v>
      </c>
      <c r="Y26" s="677">
        <f t="shared" si="50"/>
        <v>35103961.10061413</v>
      </c>
      <c r="Z26" s="616"/>
      <c r="AA26" s="169">
        <f t="shared" ref="AA26:AD26" si="64">AA$20*AA45*AA55</f>
        <v>0</v>
      </c>
      <c r="AB26" s="169">
        <f t="shared" si="64"/>
        <v>0</v>
      </c>
      <c r="AC26" s="169">
        <f t="shared" si="64"/>
        <v>0</v>
      </c>
      <c r="AD26" s="169">
        <f t="shared" si="64"/>
        <v>0</v>
      </c>
      <c r="AE26" s="693">
        <f t="shared" si="52"/>
        <v>0</v>
      </c>
      <c r="AF26" s="406">
        <f t="shared" si="60"/>
        <v>35103961.10061413</v>
      </c>
      <c r="AY26" s="423"/>
      <c r="AZ26" s="423"/>
      <c r="BA26" s="423"/>
      <c r="BB26" s="423"/>
      <c r="BC26" s="423"/>
      <c r="BD26" s="423"/>
      <c r="BE26" s="423"/>
      <c r="BF26" s="423"/>
      <c r="BG26" s="423"/>
      <c r="BH26" s="423"/>
      <c r="BI26" s="423"/>
      <c r="BJ26" s="423"/>
    </row>
    <row r="27" spans="1:62" hidden="1" outlineLevel="1">
      <c r="A27" s="436" t="s">
        <v>328</v>
      </c>
      <c r="B27" s="478"/>
      <c r="C27" s="169">
        <f t="shared" si="53"/>
        <v>0</v>
      </c>
      <c r="D27" s="169">
        <f t="shared" si="53"/>
        <v>0</v>
      </c>
      <c r="E27" s="169">
        <f t="shared" si="53"/>
        <v>0</v>
      </c>
      <c r="F27" s="169">
        <f t="shared" si="53"/>
        <v>0</v>
      </c>
      <c r="G27" s="406">
        <f t="shared" si="14"/>
        <v>0</v>
      </c>
      <c r="H27" s="296"/>
      <c r="I27" s="169">
        <f t="shared" si="54"/>
        <v>0</v>
      </c>
      <c r="J27" s="169">
        <f t="shared" si="54"/>
        <v>0</v>
      </c>
      <c r="K27" s="169">
        <f t="shared" si="54"/>
        <v>0</v>
      </c>
      <c r="L27" s="169">
        <f t="shared" si="54"/>
        <v>0</v>
      </c>
      <c r="M27" s="406">
        <f t="shared" si="44"/>
        <v>0</v>
      </c>
      <c r="N27" s="469"/>
      <c r="O27" s="169">
        <f t="shared" si="55"/>
        <v>0</v>
      </c>
      <c r="P27" s="169">
        <f t="shared" si="55"/>
        <v>0</v>
      </c>
      <c r="Q27" s="169">
        <f t="shared" si="55"/>
        <v>0</v>
      </c>
      <c r="R27" s="169">
        <f t="shared" si="55"/>
        <v>0</v>
      </c>
      <c r="S27" s="677">
        <f t="shared" si="48"/>
        <v>0</v>
      </c>
      <c r="T27" s="342"/>
      <c r="U27" s="169">
        <f t="shared" ref="U27:X27" si="65">U$20*U46*U56</f>
        <v>0</v>
      </c>
      <c r="V27" s="169">
        <f t="shared" si="65"/>
        <v>0</v>
      </c>
      <c r="W27" s="169">
        <f t="shared" si="65"/>
        <v>0</v>
      </c>
      <c r="X27" s="169">
        <f t="shared" si="65"/>
        <v>0</v>
      </c>
      <c r="Y27" s="677">
        <f t="shared" si="50"/>
        <v>0</v>
      </c>
      <c r="Z27" s="616"/>
      <c r="AA27" s="169">
        <f t="shared" ref="AA27:AD27" si="66">AA$20*AA46*AA56</f>
        <v>0</v>
      </c>
      <c r="AB27" s="169">
        <f t="shared" si="66"/>
        <v>0</v>
      </c>
      <c r="AC27" s="169">
        <f t="shared" si="66"/>
        <v>0</v>
      </c>
      <c r="AD27" s="169">
        <f t="shared" si="66"/>
        <v>0</v>
      </c>
      <c r="AE27" s="693">
        <f t="shared" si="52"/>
        <v>0</v>
      </c>
      <c r="AF27" s="406">
        <f t="shared" si="60"/>
        <v>0</v>
      </c>
      <c r="AY27" s="423"/>
      <c r="AZ27" s="423"/>
      <c r="BA27" s="423"/>
      <c r="BB27" s="423"/>
      <c r="BC27" s="423"/>
      <c r="BD27" s="423"/>
      <c r="BE27" s="423"/>
      <c r="BF27" s="423"/>
      <c r="BG27" s="423"/>
      <c r="BH27" s="423"/>
      <c r="BI27" s="423"/>
      <c r="BJ27" s="423"/>
    </row>
    <row r="28" spans="1:62" s="495" customFormat="1" ht="20" collapsed="1">
      <c r="A28" s="568" t="s">
        <v>343</v>
      </c>
      <c r="B28" s="679"/>
      <c r="C28" s="492">
        <f>SUM(C29:C31)</f>
        <v>138208540.58874741</v>
      </c>
      <c r="D28" s="492">
        <f t="shared" ref="D28:G28" si="67">SUM(D29:D31)</f>
        <v>57732681.511755258</v>
      </c>
      <c r="E28" s="492">
        <f t="shared" si="67"/>
        <v>3184044.8591331691</v>
      </c>
      <c r="F28" s="492">
        <f t="shared" si="67"/>
        <v>6481805.6060925219</v>
      </c>
      <c r="G28" s="680">
        <f t="shared" si="67"/>
        <v>205607072.5657284</v>
      </c>
      <c r="H28" s="681"/>
      <c r="I28" s="492">
        <f>SUM(I29:I31)</f>
        <v>149763553.44248477</v>
      </c>
      <c r="J28" s="492">
        <f t="shared" ref="J28" si="68">SUM(J29:J31)</f>
        <v>62559459.032936685</v>
      </c>
      <c r="K28" s="492">
        <f t="shared" ref="K28" si="69">SUM(K29:K31)</f>
        <v>3450248.9527255991</v>
      </c>
      <c r="L28" s="492">
        <f t="shared" ref="L28" si="70">SUM(L29:L31)</f>
        <v>7023721.0823342558</v>
      </c>
      <c r="M28" s="680">
        <f t="shared" si="44"/>
        <v>222796982.5104813</v>
      </c>
      <c r="N28" s="682"/>
      <c r="O28" s="492">
        <f t="shared" ref="O28" si="71">SUM(O29:O31)</f>
        <v>2824230.3851770931</v>
      </c>
      <c r="P28" s="492">
        <f t="shared" ref="P28" si="72">SUM(P29:P31)</f>
        <v>1179741.8064663806</v>
      </c>
      <c r="Q28" s="492">
        <f t="shared" ref="Q28" si="73">SUM(Q29:Q31)</f>
        <v>65064.548114206453</v>
      </c>
      <c r="R28" s="492">
        <f t="shared" ref="R28" si="74">SUM(R29:R31)</f>
        <v>132452.83008963452</v>
      </c>
      <c r="S28" s="683">
        <f t="shared" si="48"/>
        <v>4201489.5698473146</v>
      </c>
      <c r="T28" s="684"/>
      <c r="U28" s="492">
        <f t="shared" ref="U28:X28" si="75">SUM(U29:U31)</f>
        <v>2505313.096500976</v>
      </c>
      <c r="V28" s="492">
        <f t="shared" si="75"/>
        <v>974155.53458451224</v>
      </c>
      <c r="W28" s="492">
        <f t="shared" si="75"/>
        <v>55947.85247276572</v>
      </c>
      <c r="X28" s="492">
        <f t="shared" si="75"/>
        <v>113893.84253384449</v>
      </c>
      <c r="Y28" s="683">
        <f t="shared" si="50"/>
        <v>3649310.3260920984</v>
      </c>
      <c r="Z28" s="694"/>
      <c r="AA28" s="492">
        <f>SUM(AA29:AA31)</f>
        <v>16911575.860473961</v>
      </c>
      <c r="AB28" s="492">
        <f t="shared" ref="AB28:AD28" si="76">SUM(AB29:AB31)</f>
        <v>10901848.084922003</v>
      </c>
      <c r="AC28" s="492">
        <f t="shared" si="76"/>
        <v>483440.99053737882</v>
      </c>
      <c r="AD28" s="492">
        <f t="shared" si="76"/>
        <v>984147.73073680711</v>
      </c>
      <c r="AE28" s="695">
        <f t="shared" si="52"/>
        <v>29281012.666670147</v>
      </c>
      <c r="AF28" s="680">
        <f>AE28+Y28</f>
        <v>32930322.992762245</v>
      </c>
      <c r="AG28" s="493"/>
      <c r="AH28" s="493"/>
      <c r="AI28" s="493"/>
      <c r="AJ28" s="493"/>
      <c r="AK28" s="493"/>
      <c r="AL28" s="493"/>
      <c r="AM28" s="493"/>
      <c r="AN28" s="493"/>
      <c r="AO28" s="493"/>
      <c r="AP28" s="493"/>
      <c r="AQ28" s="493"/>
      <c r="AR28" s="493"/>
    </row>
    <row r="29" spans="1:62" ht="20">
      <c r="A29" s="161" t="s">
        <v>487</v>
      </c>
      <c r="C29" s="255">
        <f>C20*C102</f>
        <v>127742875.69836339</v>
      </c>
      <c r="D29" s="255">
        <f t="shared" ref="D29:F29" si="77">D20*D102</f>
        <v>53360948.076531544</v>
      </c>
      <c r="E29" s="255">
        <f t="shared" si="77"/>
        <v>2942937.1363420431</v>
      </c>
      <c r="F29" s="255">
        <f t="shared" si="77"/>
        <v>5990979.1704105875</v>
      </c>
      <c r="G29" s="479">
        <f t="shared" ref="G29:G31" si="78">SUM(C29:F29)</f>
        <v>190037740.08164757</v>
      </c>
      <c r="I29" s="255">
        <f>I20*I102</f>
        <v>145971603.08297876</v>
      </c>
      <c r="J29" s="255">
        <f t="shared" ref="J29:L29" si="79">J20*J102</f>
        <v>60975479.76883924</v>
      </c>
      <c r="K29" s="255">
        <f t="shared" si="79"/>
        <v>3362890.096342043</v>
      </c>
      <c r="L29" s="255">
        <f t="shared" si="79"/>
        <v>6845883.4104105877</v>
      </c>
      <c r="M29" s="479">
        <f t="shared" ref="M29" si="80">SUM(I29:L29)</f>
        <v>217155856.35857064</v>
      </c>
      <c r="N29" s="485"/>
      <c r="O29" s="169">
        <f>O20*O102</f>
        <v>2016592.2144224632</v>
      </c>
      <c r="P29" s="169">
        <f>P20*P102</f>
        <v>842373.96298659849</v>
      </c>
      <c r="Q29" s="169">
        <f>Q20*Q102</f>
        <v>46458.200382897259</v>
      </c>
      <c r="R29" s="169">
        <f>R20*R102</f>
        <v>94575.622208040819</v>
      </c>
      <c r="S29" s="677">
        <f t="shared" ref="S29:S30" si="81">SUM(O29:R29)</f>
        <v>2999999.9999999995</v>
      </c>
      <c r="U29" s="255">
        <f>U20*U102</f>
        <v>1788874.9131837219</v>
      </c>
      <c r="V29" s="255">
        <f t="shared" ref="V29:X29" si="82">V20*V102</f>
        <v>695578.68826501479</v>
      </c>
      <c r="W29" s="255">
        <f t="shared" si="82"/>
        <v>39948.583622069236</v>
      </c>
      <c r="X29" s="255">
        <f t="shared" si="82"/>
        <v>81323.902373498087</v>
      </c>
      <c r="Y29" s="677">
        <f t="shared" si="50"/>
        <v>2605726.087444304</v>
      </c>
      <c r="Z29" s="28"/>
      <c r="AA29" s="255">
        <f>AA20*AA102</f>
        <v>16483381.852720499</v>
      </c>
      <c r="AB29" s="255">
        <f t="shared" ref="AB29:AD29" si="83">AB20*AB102</f>
        <v>10625817.863852389</v>
      </c>
      <c r="AC29" s="255">
        <f t="shared" si="83"/>
        <v>471200.46742123779</v>
      </c>
      <c r="AD29" s="255">
        <f t="shared" si="83"/>
        <v>959229.52296466287</v>
      </c>
      <c r="AE29" s="696">
        <f t="shared" si="52"/>
        <v>28539629.706958789</v>
      </c>
      <c r="AF29" s="406">
        <f t="shared" si="60"/>
        <v>31145355.794403095</v>
      </c>
      <c r="AM29" s="80"/>
    </row>
    <row r="30" spans="1:62" ht="20">
      <c r="A30" s="161" t="s">
        <v>340</v>
      </c>
      <c r="C30" s="169">
        <f>C20*C108</f>
        <v>7147247.9298373833</v>
      </c>
      <c r="D30" s="169">
        <f>D20*D108</f>
        <v>2985559.2618308058</v>
      </c>
      <c r="E30" s="169">
        <f>E20*E108</f>
        <v>164658.11686460811</v>
      </c>
      <c r="F30" s="169">
        <f>F20*F108</f>
        <v>335196.88076009502</v>
      </c>
      <c r="G30" s="406">
        <f>SUM(C30:F30)</f>
        <v>10632662.189292893</v>
      </c>
      <c r="I30" s="169">
        <f>I20*I108</f>
        <v>0</v>
      </c>
      <c r="J30" s="169">
        <f>J20*J108</f>
        <v>0</v>
      </c>
      <c r="K30" s="169">
        <f>K20*K108</f>
        <v>0</v>
      </c>
      <c r="L30" s="169">
        <f>L20*L108</f>
        <v>0</v>
      </c>
      <c r="M30" s="406">
        <f>SUM(I30:L30)</f>
        <v>0</v>
      </c>
      <c r="N30" s="485"/>
      <c r="O30" s="169">
        <f>O18*O108</f>
        <v>0</v>
      </c>
      <c r="P30" s="169">
        <f>P18*P108</f>
        <v>0</v>
      </c>
      <c r="Q30" s="169">
        <f>Q18*Q108</f>
        <v>0</v>
      </c>
      <c r="R30" s="169">
        <f>R18*R108</f>
        <v>0</v>
      </c>
      <c r="S30" s="169">
        <f t="shared" si="81"/>
        <v>0</v>
      </c>
      <c r="U30" s="169">
        <f>U18*U108</f>
        <v>0</v>
      </c>
      <c r="V30" s="169">
        <f>V18*V108</f>
        <v>0</v>
      </c>
      <c r="W30" s="169">
        <f>W18*W108</f>
        <v>0</v>
      </c>
      <c r="X30" s="169">
        <f>X18*X108</f>
        <v>0</v>
      </c>
      <c r="Y30" s="169">
        <f t="shared" si="50"/>
        <v>0</v>
      </c>
      <c r="Z30" s="28"/>
      <c r="AA30" s="169">
        <f>AA20*AA108</f>
        <v>0</v>
      </c>
      <c r="AB30" s="169">
        <f>AB20*AB108</f>
        <v>0</v>
      </c>
      <c r="AC30" s="169">
        <f>AC20*AC108</f>
        <v>0</v>
      </c>
      <c r="AD30" s="169">
        <f>AD20*AD108</f>
        <v>0</v>
      </c>
      <c r="AE30" s="693">
        <f>SUM(AA30:AD30)</f>
        <v>0</v>
      </c>
      <c r="AF30" s="406">
        <f t="shared" si="60"/>
        <v>0</v>
      </c>
      <c r="AM30" s="80"/>
    </row>
    <row r="31" spans="1:62" ht="20">
      <c r="A31" s="161" t="s">
        <v>341</v>
      </c>
      <c r="C31" s="255">
        <f>C20*C110</f>
        <v>3318416.9605466509</v>
      </c>
      <c r="D31" s="255">
        <f>D20*D110</f>
        <v>1386174.1733929047</v>
      </c>
      <c r="E31" s="255">
        <f>E20*E110</f>
        <v>76449.60592651779</v>
      </c>
      <c r="F31" s="255">
        <f>F20*F110</f>
        <v>155629.55492183976</v>
      </c>
      <c r="G31" s="479">
        <f t="shared" si="78"/>
        <v>4936670.2947879126</v>
      </c>
      <c r="I31" s="255">
        <f>I20*I110</f>
        <v>3791950.3595060091</v>
      </c>
      <c r="J31" s="255">
        <f>J20*J110</f>
        <v>1583979.264097447</v>
      </c>
      <c r="K31" s="255">
        <f>K20*K110</f>
        <v>87358.856383556165</v>
      </c>
      <c r="L31" s="255">
        <f>L20*L110</f>
        <v>177837.67192366792</v>
      </c>
      <c r="M31" s="479">
        <f t="shared" ref="M31" si="84">SUM(I31:L31)</f>
        <v>5641126.1519106803</v>
      </c>
      <c r="N31" s="485"/>
      <c r="O31" s="255">
        <f>O20*O110</f>
        <v>807638.17075462977</v>
      </c>
      <c r="P31" s="255">
        <f>P20*P110</f>
        <v>337367.84347978205</v>
      </c>
      <c r="Q31" s="255">
        <f>Q20*Q110</f>
        <v>18606.347731309193</v>
      </c>
      <c r="R31" s="255">
        <f>R20*R110</f>
        <v>37877.207881593713</v>
      </c>
      <c r="S31" s="678">
        <f t="shared" ref="S31" si="85">SUM(O31:R31)</f>
        <v>1201489.5698473146</v>
      </c>
      <c r="U31" s="255">
        <f>U20*U110</f>
        <v>716438.1833172543</v>
      </c>
      <c r="V31" s="255">
        <f>V20*V110</f>
        <v>278576.84631949739</v>
      </c>
      <c r="W31" s="255">
        <f>W20*W110</f>
        <v>15999.268850696486</v>
      </c>
      <c r="X31" s="255">
        <f>X20*X110</f>
        <v>32569.940160346414</v>
      </c>
      <c r="Y31" s="678">
        <f t="shared" si="50"/>
        <v>1043584.2386477946</v>
      </c>
      <c r="Z31" s="28"/>
      <c r="AA31" s="255">
        <f>AA20*AA110</f>
        <v>428194.00775346224</v>
      </c>
      <c r="AB31" s="255">
        <f>AB20*AB110</f>
        <v>276030.22106961306</v>
      </c>
      <c r="AC31" s="255">
        <f>AC20*AC110</f>
        <v>12240.523116141012</v>
      </c>
      <c r="AD31" s="255">
        <f>AD20*AD110</f>
        <v>24918.207772144207</v>
      </c>
      <c r="AE31" s="696">
        <f t="shared" ref="AE31:AE32" si="86">SUM(AA31:AD31)</f>
        <v>741382.95971136051</v>
      </c>
      <c r="AF31" s="406">
        <f t="shared" si="60"/>
        <v>1784967.1983591551</v>
      </c>
      <c r="AM31" s="80"/>
    </row>
    <row r="32" spans="1:62" s="685" customFormat="1" ht="20">
      <c r="A32" s="568" t="s">
        <v>344</v>
      </c>
      <c r="B32" s="497"/>
      <c r="C32" s="492">
        <f>C22-C28</f>
        <v>-43228203.901263371</v>
      </c>
      <c r="D32" s="492">
        <f>D22-D28</f>
        <v>-17304117.131371483</v>
      </c>
      <c r="E32" s="492">
        <f>E22-E28</f>
        <v>-977472.67916364968</v>
      </c>
      <c r="F32" s="492">
        <f>F22-F28</f>
        <v>-1989855.0968688577</v>
      </c>
      <c r="G32" s="906">
        <f t="shared" ref="G32" si="87">SUM(C32:F32)</f>
        <v>-63499648.808667362</v>
      </c>
      <c r="H32" s="528"/>
      <c r="I32" s="492">
        <f>I22-I28</f>
        <v>-19841149.375336483</v>
      </c>
      <c r="J32" s="492">
        <f>J22-J28</f>
        <v>-7412723.6266578287</v>
      </c>
      <c r="K32" s="492">
        <f>K22-K28</f>
        <v>-435696.36929100892</v>
      </c>
      <c r="L32" s="492">
        <f>L22-L28</f>
        <v>-886953.32319955435</v>
      </c>
      <c r="M32" s="906">
        <f t="shared" ref="M32" si="88">SUM(I32:L32)</f>
        <v>-28576522.694484875</v>
      </c>
      <c r="N32" s="528"/>
      <c r="O32" s="492">
        <f>O22-O28</f>
        <v>24847622.569803346</v>
      </c>
      <c r="P32" s="492">
        <f>P22-P28</f>
        <v>10565825.588677162</v>
      </c>
      <c r="Q32" s="492">
        <f>Q22-Q28</f>
        <v>576997.5843779312</v>
      </c>
      <c r="R32" s="492">
        <f>R22-R28</f>
        <v>1174602.225340788</v>
      </c>
      <c r="S32" s="683">
        <f t="shared" ref="S32" si="89">SUM(O32:R32)</f>
        <v>37165047.968199231</v>
      </c>
      <c r="T32" s="528"/>
      <c r="U32" s="492">
        <f>U22-U28</f>
        <v>21594148.343000039</v>
      </c>
      <c r="V32" s="492">
        <f>V22-V28</f>
        <v>8396578.915566396</v>
      </c>
      <c r="W32" s="492">
        <f>W22-W28</f>
        <v>482233.62878537283</v>
      </c>
      <c r="X32" s="492">
        <f>X22-X28</f>
        <v>981689.88717022305</v>
      </c>
      <c r="Y32" s="877">
        <f t="shared" si="50"/>
        <v>31454650.774522029</v>
      </c>
      <c r="Z32" s="697"/>
      <c r="AA32" s="492">
        <f>AA22-AA28</f>
        <v>-138803.3715743646</v>
      </c>
      <c r="AB32" s="492">
        <f>AB22-AB28</f>
        <v>248254.72797171958</v>
      </c>
      <c r="AC32" s="492">
        <f>AC22-AC28</f>
        <v>4290.1334440752398</v>
      </c>
      <c r="AD32" s="492">
        <f>AD22-AD28</f>
        <v>8733.4859397246037</v>
      </c>
      <c r="AE32" s="695">
        <f t="shared" si="86"/>
        <v>122474.97578115482</v>
      </c>
      <c r="AF32" s="879">
        <f>AE32+Y32</f>
        <v>31577125.750303183</v>
      </c>
      <c r="AG32" s="493"/>
      <c r="AH32" s="493"/>
      <c r="AI32" s="493"/>
      <c r="AJ32" s="493"/>
      <c r="AK32" s="493"/>
      <c r="AL32" s="493"/>
      <c r="AM32" s="493"/>
      <c r="AN32" s="493"/>
      <c r="AO32" s="493"/>
      <c r="AP32" s="493"/>
      <c r="AQ32" s="493"/>
      <c r="AR32" s="493"/>
      <c r="AY32" s="493"/>
      <c r="AZ32" s="493"/>
      <c r="BA32" s="493"/>
      <c r="BB32" s="493"/>
      <c r="BC32" s="493"/>
      <c r="BD32" s="493"/>
      <c r="BE32" s="493"/>
      <c r="BF32" s="493"/>
      <c r="BG32" s="493"/>
      <c r="BH32" s="493"/>
      <c r="BI32" s="493"/>
      <c r="BJ32" s="493"/>
    </row>
    <row r="33" spans="1:62">
      <c r="A33" s="87"/>
      <c r="C33" s="139"/>
      <c r="Z33" s="28"/>
      <c r="AE33" s="24"/>
      <c r="AF33" s="406"/>
    </row>
    <row r="34" spans="1:62" s="685" customFormat="1" ht="20">
      <c r="A34" s="568" t="s">
        <v>367</v>
      </c>
      <c r="B34" s="497"/>
      <c r="C34" s="492">
        <f>C18*C96</f>
        <v>0</v>
      </c>
      <c r="D34" s="492">
        <f>D18*D96</f>
        <v>0</v>
      </c>
      <c r="E34" s="492">
        <f>E5*E96</f>
        <v>5096000.0000000009</v>
      </c>
      <c r="F34" s="492">
        <f>F5*F96</f>
        <v>48906000</v>
      </c>
      <c r="G34" s="680">
        <f>SUM(C34:F34)</f>
        <v>54002000</v>
      </c>
      <c r="H34" s="528"/>
      <c r="I34" s="492">
        <f>I20*I97</f>
        <v>41483936.932995744</v>
      </c>
      <c r="J34" s="492">
        <f>J20*J97</f>
        <v>17328733.149226069</v>
      </c>
      <c r="K34" s="492">
        <f>K5*K96</f>
        <v>6115200.0000000019</v>
      </c>
      <c r="L34" s="492">
        <f>L5*L96</f>
        <v>58687200.000000007</v>
      </c>
      <c r="M34" s="680">
        <f>SUM(I34:L34)</f>
        <v>123615070.08222182</v>
      </c>
      <c r="N34" s="550"/>
      <c r="O34" s="492">
        <f>O20*O97</f>
        <v>8835561.5880556498</v>
      </c>
      <c r="P34" s="492">
        <f>P20*P97</f>
        <v>3690804.2076688157</v>
      </c>
      <c r="Q34" s="492">
        <f>Q5*Q96</f>
        <v>6115200.0000000019</v>
      </c>
      <c r="R34" s="492">
        <f>R5*R96</f>
        <v>58687200.000000007</v>
      </c>
      <c r="S34" s="683">
        <f>SUM(O34:R34)</f>
        <v>77328765.795724481</v>
      </c>
      <c r="T34" s="528"/>
      <c r="U34" s="492">
        <f>U20*U97</f>
        <v>7837833.7254907619</v>
      </c>
      <c r="V34" s="492">
        <f>V20*V97</f>
        <v>3047630.6987353014</v>
      </c>
      <c r="W34" s="492">
        <f>W5*W96</f>
        <v>5258352.1650057305</v>
      </c>
      <c r="X34" s="492">
        <f>X5*X96</f>
        <v>50464083.787631519</v>
      </c>
      <c r="Y34" s="683">
        <f>SUM(U34:X34)</f>
        <v>66607900.376863316</v>
      </c>
      <c r="Z34" s="697"/>
      <c r="AA34" s="492">
        <f>AA20*AA97</f>
        <v>4684442.4448228776</v>
      </c>
      <c r="AB34" s="492">
        <f>AB20*AB97</f>
        <v>3019770.6185015673</v>
      </c>
      <c r="AC34" s="492">
        <f>AC5*AC96</f>
        <v>856847.83499427058</v>
      </c>
      <c r="AD34" s="492">
        <f>AD5*AD96</f>
        <v>8223116.2123684855</v>
      </c>
      <c r="AE34" s="695">
        <f>SUM(AA34:AD34)</f>
        <v>16784177.1106872</v>
      </c>
      <c r="AF34" s="680">
        <f>AE34+Y34</f>
        <v>83392077.487550512</v>
      </c>
      <c r="AG34" s="493"/>
      <c r="AH34" s="493"/>
      <c r="AI34" s="493"/>
      <c r="AJ34" s="493"/>
      <c r="AK34" s="493"/>
      <c r="AL34" s="493"/>
      <c r="AM34" s="494"/>
      <c r="AN34" s="493"/>
      <c r="AO34" s="493"/>
      <c r="AP34" s="493"/>
      <c r="AQ34" s="493"/>
      <c r="AR34" s="493"/>
      <c r="AY34" s="493"/>
      <c r="AZ34" s="493"/>
      <c r="BA34" s="493"/>
      <c r="BB34" s="493"/>
      <c r="BC34" s="493"/>
      <c r="BD34" s="493"/>
      <c r="BE34" s="493"/>
      <c r="BF34" s="493"/>
      <c r="BG34" s="493"/>
      <c r="BH34" s="493"/>
      <c r="BI34" s="493"/>
      <c r="BJ34" s="493"/>
    </row>
    <row r="35" spans="1:62">
      <c r="A35" s="87"/>
      <c r="C35" s="139"/>
      <c r="Z35" s="28"/>
      <c r="AE35" s="24"/>
      <c r="AF35" s="406"/>
    </row>
    <row r="36" spans="1:62" s="733" customFormat="1" ht="21" thickBot="1">
      <c r="A36" s="569" t="s">
        <v>364</v>
      </c>
      <c r="B36" s="570"/>
      <c r="C36" s="571">
        <f>C32+C34</f>
        <v>-43228203.901263371</v>
      </c>
      <c r="D36" s="571">
        <f t="shared" ref="D36:F36" si="90">D32+D34</f>
        <v>-17304117.131371483</v>
      </c>
      <c r="E36" s="571">
        <f t="shared" si="90"/>
        <v>4118527.3208363513</v>
      </c>
      <c r="F36" s="571">
        <f t="shared" si="90"/>
        <v>46916144.903131142</v>
      </c>
      <c r="G36" s="907">
        <f>SUM(C36:F36)</f>
        <v>-9497648.8086673617</v>
      </c>
      <c r="H36" s="572"/>
      <c r="I36" s="571">
        <f>I32+I34</f>
        <v>21642787.557659261</v>
      </c>
      <c r="J36" s="571">
        <f t="shared" ref="J36:L36" si="91">J32+J34</f>
        <v>9916009.5225682408</v>
      </c>
      <c r="K36" s="571">
        <f t="shared" si="91"/>
        <v>5679503.6307089925</v>
      </c>
      <c r="L36" s="571">
        <f t="shared" si="91"/>
        <v>57800246.676800452</v>
      </c>
      <c r="M36" s="880">
        <f>SUM(I36:L36)</f>
        <v>95038547.387736946</v>
      </c>
      <c r="N36" s="573"/>
      <c r="O36" s="571">
        <f>O32+O34</f>
        <v>33683184.157858998</v>
      </c>
      <c r="P36" s="571">
        <f t="shared" ref="P36:R36" si="92">P32+P34</f>
        <v>14256629.796345979</v>
      </c>
      <c r="Q36" s="571">
        <f t="shared" si="92"/>
        <v>6692197.5843779333</v>
      </c>
      <c r="R36" s="571">
        <f t="shared" si="92"/>
        <v>59861802.225340798</v>
      </c>
      <c r="S36" s="875">
        <f>SUM(O36:R36)</f>
        <v>114493813.7639237</v>
      </c>
      <c r="T36" s="572"/>
      <c r="U36" s="571">
        <f>U32+U34</f>
        <v>29431982.068490803</v>
      </c>
      <c r="V36" s="571">
        <f t="shared" ref="V36:X36" si="93">V32+V34</f>
        <v>11444209.614301696</v>
      </c>
      <c r="W36" s="571">
        <f t="shared" si="93"/>
        <v>5740585.7937911032</v>
      </c>
      <c r="X36" s="571">
        <f t="shared" si="93"/>
        <v>51445773.674801745</v>
      </c>
      <c r="Y36" s="878">
        <f>SUM(U36:X36)</f>
        <v>98062551.151385337</v>
      </c>
      <c r="Z36" s="698"/>
      <c r="AA36" s="571">
        <f>AA32+AA34</f>
        <v>4545639.073248513</v>
      </c>
      <c r="AB36" s="571">
        <f t="shared" ref="AB36:AD36" si="94">AB32+AB34</f>
        <v>3268025.3464732869</v>
      </c>
      <c r="AC36" s="571">
        <f t="shared" si="94"/>
        <v>861137.96843834582</v>
      </c>
      <c r="AD36" s="571">
        <f t="shared" si="94"/>
        <v>8231849.6983082099</v>
      </c>
      <c r="AE36" s="876">
        <f>SUM(AA36:AD36)</f>
        <v>16906652.086468354</v>
      </c>
      <c r="AF36" s="881">
        <f>AE36+Y36</f>
        <v>114969203.23785369</v>
      </c>
      <c r="AG36" s="574"/>
      <c r="AH36" s="574"/>
      <c r="AI36" s="574"/>
      <c r="AJ36" s="574"/>
      <c r="AK36" s="574"/>
      <c r="AL36" s="574"/>
      <c r="AM36" s="575"/>
      <c r="AN36" s="574"/>
      <c r="AO36" s="574"/>
      <c r="AP36" s="574"/>
      <c r="AQ36" s="574"/>
      <c r="AR36" s="574"/>
      <c r="AY36" s="574"/>
      <c r="AZ36" s="574"/>
      <c r="BA36" s="574"/>
      <c r="BB36" s="574"/>
      <c r="BC36" s="574"/>
      <c r="BD36" s="574"/>
      <c r="BE36" s="574"/>
      <c r="BF36" s="574"/>
      <c r="BG36" s="574"/>
      <c r="BH36" s="574"/>
      <c r="BI36" s="574"/>
      <c r="BJ36" s="574"/>
    </row>
    <row r="39" spans="1:62" s="425" customFormat="1" ht="20">
      <c r="A39" s="355" t="s">
        <v>295</v>
      </c>
      <c r="B39" s="382"/>
      <c r="C39" s="355"/>
      <c r="D39" s="355"/>
      <c r="E39" s="355"/>
      <c r="F39" s="355"/>
      <c r="G39" s="498"/>
      <c r="H39" s="529"/>
      <c r="I39" s="43"/>
      <c r="J39" s="43"/>
      <c r="K39" s="43"/>
      <c r="L39" s="43"/>
      <c r="M39" s="503"/>
      <c r="N39" s="529"/>
      <c r="O39" s="43"/>
      <c r="P39" s="43"/>
      <c r="Q39" s="43"/>
      <c r="R39" s="43"/>
      <c r="S39" s="43"/>
      <c r="T39" s="558"/>
      <c r="U39" s="355"/>
      <c r="V39" s="355"/>
      <c r="W39" s="355"/>
      <c r="X39" s="355"/>
      <c r="Y39" s="355"/>
      <c r="Z39" s="355"/>
      <c r="AA39" s="355"/>
      <c r="AB39" s="355"/>
      <c r="AC39" s="355"/>
      <c r="AD39" s="355"/>
      <c r="AE39" s="355"/>
      <c r="AF39" s="498"/>
      <c r="AG39" s="355"/>
      <c r="AH39" s="355"/>
      <c r="AI39" s="355"/>
      <c r="AJ39" s="355"/>
      <c r="AK39" s="355"/>
      <c r="AL39" s="355"/>
      <c r="AM39" s="43"/>
      <c r="AN39" s="43"/>
      <c r="AO39" s="43"/>
      <c r="AP39" s="43"/>
      <c r="AQ39" s="43"/>
      <c r="AR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</row>
    <row r="40" spans="1:62" s="418" customFormat="1" ht="20" hidden="1" outlineLevel="1">
      <c r="A40" s="417" t="s">
        <v>332</v>
      </c>
      <c r="B40" s="499"/>
      <c r="C40" s="419"/>
      <c r="D40" s="420"/>
      <c r="E40" s="420"/>
      <c r="F40" s="420"/>
      <c r="G40" s="500"/>
      <c r="H40" s="530"/>
      <c r="I40" s="421"/>
      <c r="J40" s="421"/>
      <c r="K40" s="421"/>
      <c r="L40" s="421"/>
      <c r="M40" s="531"/>
      <c r="N40" s="530"/>
      <c r="O40" s="420"/>
      <c r="P40" s="420"/>
      <c r="Q40" s="420"/>
      <c r="R40" s="420"/>
      <c r="S40" s="420"/>
      <c r="T40" s="559"/>
      <c r="U40" s="420"/>
      <c r="V40" s="420"/>
      <c r="W40" s="420"/>
      <c r="X40" s="420"/>
      <c r="Y40" s="420"/>
      <c r="Z40" s="420"/>
      <c r="AA40" s="420"/>
      <c r="AB40" s="420"/>
      <c r="AC40" s="420"/>
      <c r="AD40" s="420"/>
      <c r="AE40" s="420"/>
      <c r="AF40" s="500"/>
      <c r="AG40" s="417"/>
      <c r="AH40" s="417"/>
      <c r="AI40" s="417"/>
      <c r="AJ40" s="417"/>
      <c r="AK40" s="417"/>
      <c r="AL40" s="417"/>
      <c r="AM40" s="421"/>
      <c r="AN40" s="421"/>
      <c r="AO40" s="421"/>
      <c r="AP40" s="421"/>
      <c r="AQ40" s="421"/>
      <c r="AR40" s="421"/>
      <c r="AY40" s="421"/>
      <c r="AZ40" s="421"/>
      <c r="BA40" s="421"/>
      <c r="BB40" s="421"/>
      <c r="BC40" s="421"/>
      <c r="BD40" s="421"/>
      <c r="BE40" s="421"/>
      <c r="BF40" s="421"/>
      <c r="BG40" s="421"/>
      <c r="BH40" s="421"/>
      <c r="BI40" s="421"/>
      <c r="BJ40" s="421"/>
    </row>
    <row r="41" spans="1:62" ht="40" hidden="1" outlineLevel="1">
      <c r="A41" s="13" t="s">
        <v>422</v>
      </c>
      <c r="B41" s="381"/>
      <c r="C41" s="344" t="s">
        <v>403</v>
      </c>
      <c r="D41" s="13"/>
      <c r="E41" s="13"/>
      <c r="F41" s="13"/>
      <c r="G41" s="297"/>
      <c r="I41" s="344" t="s">
        <v>403</v>
      </c>
      <c r="O41" s="344" t="s">
        <v>403</v>
      </c>
      <c r="T41" s="161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297"/>
      <c r="AG41" s="13"/>
      <c r="AH41" s="13"/>
      <c r="AI41" s="13"/>
      <c r="AJ41" s="13"/>
      <c r="AK41" s="13"/>
      <c r="AL41" s="13"/>
    </row>
    <row r="42" spans="1:62" hidden="1" outlineLevel="1">
      <c r="A42" s="496" t="s">
        <v>327</v>
      </c>
      <c r="B42" s="381"/>
      <c r="C42" s="408">
        <f>'База селлеров'!B38</f>
        <v>1.0916349572702888E-4</v>
      </c>
      <c r="D42" s="408">
        <f>'База селлеров'!C38</f>
        <v>1.7230576441102756E-3</v>
      </c>
      <c r="E42" s="408">
        <f>'База селлеров'!D38</f>
        <v>8.2468141254904686E-4</v>
      </c>
      <c r="F42" s="408">
        <f>'База селлеров'!E38</f>
        <v>8.2468141254904686E-4</v>
      </c>
      <c r="G42" s="468"/>
      <c r="I42" s="408">
        <f>C42</f>
        <v>1.0916349572702888E-4</v>
      </c>
      <c r="J42" s="409">
        <f>D42</f>
        <v>1.7230576441102756E-3</v>
      </c>
      <c r="K42" s="409">
        <f t="shared" ref="K42:L42" si="95">E42</f>
        <v>8.2468141254904686E-4</v>
      </c>
      <c r="L42" s="410">
        <f t="shared" si="95"/>
        <v>8.2468141254904686E-4</v>
      </c>
      <c r="O42" s="408">
        <f>I42</f>
        <v>1.0916349572702888E-4</v>
      </c>
      <c r="P42" s="409">
        <f>J42</f>
        <v>1.7230576441102756E-3</v>
      </c>
      <c r="Q42" s="409">
        <f t="shared" ref="Q42" si="96">K42</f>
        <v>8.2468141254904686E-4</v>
      </c>
      <c r="R42" s="410">
        <f t="shared" ref="R42" si="97">L42</f>
        <v>8.2468141254904686E-4</v>
      </c>
      <c r="T42" s="161"/>
      <c r="U42" s="408">
        <v>0</v>
      </c>
      <c r="V42" s="409">
        <v>0</v>
      </c>
      <c r="W42" s="409">
        <v>0</v>
      </c>
      <c r="X42" s="410">
        <v>0</v>
      </c>
      <c r="Y42" s="13"/>
      <c r="Z42" s="13"/>
      <c r="AA42" s="408">
        <f>O42/(O42+O43+O44)</f>
        <v>9.6671730423974599E-4</v>
      </c>
      <c r="AB42" s="409">
        <f t="shared" ref="AB42:AD42" si="98">P42/(P42+P43+P44)</f>
        <v>9.8876404494382016E-3</v>
      </c>
      <c r="AC42" s="409">
        <f t="shared" si="98"/>
        <v>5.8856328604175697E-3</v>
      </c>
      <c r="AD42" s="410">
        <f t="shared" si="98"/>
        <v>5.8856328604175697E-3</v>
      </c>
      <c r="AE42" s="13"/>
      <c r="AF42" s="297"/>
      <c r="AG42" s="13"/>
      <c r="AH42" s="13"/>
      <c r="AI42" s="13"/>
      <c r="AJ42" s="13"/>
      <c r="AK42" s="13"/>
      <c r="AL42" s="13"/>
    </row>
    <row r="43" spans="1:62" hidden="1" outlineLevel="1">
      <c r="A43" s="39" t="s">
        <v>429</v>
      </c>
      <c r="C43" s="402">
        <f>'База селлеров'!B39</f>
        <v>7.5010916349572705E-3</v>
      </c>
      <c r="D43" s="362">
        <f>'База селлеров'!C39</f>
        <v>2.0520050125313282E-2</v>
      </c>
      <c r="E43" s="362">
        <f>'База селлеров'!D39</f>
        <v>1.3273030313552554E-2</v>
      </c>
      <c r="F43" s="362">
        <f>E43</f>
        <v>1.3273030313552554E-2</v>
      </c>
      <c r="G43" s="297"/>
      <c r="I43" s="283">
        <f>C43</f>
        <v>7.5010916349572705E-3</v>
      </c>
      <c r="J43" s="74">
        <f>D43</f>
        <v>2.0520050125313282E-2</v>
      </c>
      <c r="K43" s="74">
        <f t="shared" ref="K43:L46" si="99">E43</f>
        <v>1.3273030313552554E-2</v>
      </c>
      <c r="L43" s="289">
        <f t="shared" si="99"/>
        <v>1.3273030313552554E-2</v>
      </c>
      <c r="M43" s="532"/>
      <c r="N43" s="436"/>
      <c r="O43" s="283">
        <f>I43</f>
        <v>7.5010916349572705E-3</v>
      </c>
      <c r="P43" s="74">
        <f>J43</f>
        <v>2.0520050125313282E-2</v>
      </c>
      <c r="Q43" s="74">
        <f t="shared" ref="Q43:R46" si="100">K43</f>
        <v>1.3273030313552554E-2</v>
      </c>
      <c r="R43" s="289">
        <f t="shared" si="100"/>
        <v>1.3273030313552554E-2</v>
      </c>
      <c r="U43" s="283">
        <v>0</v>
      </c>
      <c r="V43" s="74">
        <v>0</v>
      </c>
      <c r="W43" s="74">
        <v>0</v>
      </c>
      <c r="X43" s="289">
        <v>0</v>
      </c>
      <c r="AA43" s="283">
        <f>O43/(O42+O43+O44)</f>
        <v>6.6427289048473975E-2</v>
      </c>
      <c r="AB43" s="74">
        <f t="shared" ref="AB43:AD43" si="101">P43/(P42+P43+P44)</f>
        <v>0.11775280898876403</v>
      </c>
      <c r="AC43" s="74">
        <f t="shared" si="101"/>
        <v>9.4727712037668041E-2</v>
      </c>
      <c r="AD43" s="289">
        <f t="shared" si="101"/>
        <v>9.4727712037668041E-2</v>
      </c>
      <c r="AG43" s="2"/>
      <c r="AH43" s="2"/>
      <c r="AI43" s="2"/>
      <c r="AJ43" s="2"/>
      <c r="AK43" s="2"/>
      <c r="AL43" s="2"/>
    </row>
    <row r="44" spans="1:62" hidden="1" outlineLevel="1">
      <c r="A44" s="39" t="s">
        <v>65</v>
      </c>
      <c r="C44" s="402">
        <f>'База селлеров'!B40</f>
        <v>0.10531158380637515</v>
      </c>
      <c r="D44" s="362">
        <f>'База селлеров'!C40</f>
        <v>0.15202067669172933</v>
      </c>
      <c r="E44" s="362">
        <f>'База селлеров'!D40</f>
        <v>0.12602000069446856</v>
      </c>
      <c r="F44" s="362">
        <f>'База селлеров'!E40</f>
        <v>0.12602000069446856</v>
      </c>
      <c r="G44" s="297"/>
      <c r="I44" s="283">
        <f t="shared" ref="I44:I46" si="102">C44</f>
        <v>0.10531158380637515</v>
      </c>
      <c r="J44" s="74">
        <f>D44</f>
        <v>0.15202067669172933</v>
      </c>
      <c r="K44" s="74">
        <f t="shared" si="99"/>
        <v>0.12602000069446856</v>
      </c>
      <c r="L44" s="289">
        <f t="shared" si="99"/>
        <v>0.12602000069446856</v>
      </c>
      <c r="M44" s="532"/>
      <c r="N44" s="436"/>
      <c r="O44" s="283">
        <f t="shared" ref="O44:O46" si="103">I44</f>
        <v>0.10531158380637515</v>
      </c>
      <c r="P44" s="74">
        <f>J44</f>
        <v>0.15202067669172933</v>
      </c>
      <c r="Q44" s="74">
        <f t="shared" si="100"/>
        <v>0.12602000069446856</v>
      </c>
      <c r="R44" s="289">
        <f t="shared" si="100"/>
        <v>0.12602000069446856</v>
      </c>
      <c r="U44" s="283">
        <v>0</v>
      </c>
      <c r="V44" s="74">
        <v>0</v>
      </c>
      <c r="W44" s="74">
        <v>0</v>
      </c>
      <c r="X44" s="289">
        <v>0</v>
      </c>
      <c r="AA44" s="283">
        <f>O44/(O42+O43+O44)</f>
        <v>0.93260599364728636</v>
      </c>
      <c r="AB44" s="74">
        <f t="shared" ref="AB44:AD44" si="104">P44/(P42+P43+P44)</f>
        <v>0.8723595505617977</v>
      </c>
      <c r="AC44" s="74">
        <f t="shared" si="104"/>
        <v>0.89938665510191429</v>
      </c>
      <c r="AD44" s="289">
        <f t="shared" si="104"/>
        <v>0.89938665510191429</v>
      </c>
      <c r="AG44" s="2"/>
      <c r="AH44" s="2"/>
      <c r="AI44" s="2"/>
      <c r="AJ44" s="2"/>
      <c r="AK44" s="2"/>
      <c r="AL44" s="2"/>
    </row>
    <row r="45" spans="1:62" hidden="1" outlineLevel="1">
      <c r="A45" s="39" t="s">
        <v>66</v>
      </c>
      <c r="C45" s="402">
        <f>'База селлеров'!B41</f>
        <v>0.88707816106294057</v>
      </c>
      <c r="D45" s="362">
        <f>'База селлеров'!C41</f>
        <v>0.82573621553884713</v>
      </c>
      <c r="E45" s="362">
        <f>'База селлеров'!D41</f>
        <v>0.85988228757942986</v>
      </c>
      <c r="F45" s="362">
        <f>'База селлеров'!E41</f>
        <v>0.85988228757942986</v>
      </c>
      <c r="G45" s="297"/>
      <c r="I45" s="283">
        <f t="shared" si="102"/>
        <v>0.88707816106294057</v>
      </c>
      <c r="J45" s="74">
        <f>D45</f>
        <v>0.82573621553884713</v>
      </c>
      <c r="K45" s="74">
        <f t="shared" si="99"/>
        <v>0.85988228757942986</v>
      </c>
      <c r="L45" s="289">
        <f t="shared" si="99"/>
        <v>0.85988228757942986</v>
      </c>
      <c r="M45" s="532"/>
      <c r="N45" s="436"/>
      <c r="O45" s="283">
        <f t="shared" si="103"/>
        <v>0.88707816106294057</v>
      </c>
      <c r="P45" s="74">
        <f>J45</f>
        <v>0.82573621553884713</v>
      </c>
      <c r="Q45" s="74">
        <f t="shared" si="100"/>
        <v>0.85988228757942986</v>
      </c>
      <c r="R45" s="289">
        <f t="shared" si="100"/>
        <v>0.85988228757942986</v>
      </c>
      <c r="U45" s="283">
        <v>1</v>
      </c>
      <c r="V45" s="74">
        <v>1</v>
      </c>
      <c r="W45" s="74">
        <v>1</v>
      </c>
      <c r="X45" s="289">
        <v>1</v>
      </c>
      <c r="AA45" s="283">
        <v>0</v>
      </c>
      <c r="AB45" s="74">
        <v>0</v>
      </c>
      <c r="AC45" s="74">
        <v>0</v>
      </c>
      <c r="AD45" s="289">
        <v>0</v>
      </c>
      <c r="AG45" s="2"/>
      <c r="AH45" s="2"/>
      <c r="AI45" s="2"/>
      <c r="AJ45" s="2"/>
      <c r="AK45" s="2"/>
      <c r="AL45" s="2"/>
    </row>
    <row r="46" spans="1:62" hidden="1" outlineLevel="1">
      <c r="A46" s="39" t="s">
        <v>328</v>
      </c>
      <c r="C46" s="647">
        <v>0</v>
      </c>
      <c r="D46" s="648">
        <v>0</v>
      </c>
      <c r="E46" s="648">
        <v>0</v>
      </c>
      <c r="F46" s="648">
        <v>0</v>
      </c>
      <c r="G46" s="297"/>
      <c r="I46" s="283">
        <f t="shared" si="102"/>
        <v>0</v>
      </c>
      <c r="J46" s="74">
        <f>D46</f>
        <v>0</v>
      </c>
      <c r="K46" s="74">
        <f t="shared" si="99"/>
        <v>0</v>
      </c>
      <c r="L46" s="289">
        <f t="shared" si="99"/>
        <v>0</v>
      </c>
      <c r="M46" s="532"/>
      <c r="N46" s="436"/>
      <c r="O46" s="283">
        <f t="shared" si="103"/>
        <v>0</v>
      </c>
      <c r="P46" s="74">
        <f>J46</f>
        <v>0</v>
      </c>
      <c r="Q46" s="74">
        <f t="shared" si="100"/>
        <v>0</v>
      </c>
      <c r="R46" s="289">
        <f t="shared" si="100"/>
        <v>0</v>
      </c>
      <c r="U46" s="283">
        <v>0</v>
      </c>
      <c r="V46" s="74">
        <v>0</v>
      </c>
      <c r="W46" s="74">
        <v>0</v>
      </c>
      <c r="X46" s="289">
        <v>0</v>
      </c>
      <c r="AA46" s="283">
        <f t="shared" ref="AA46" si="105">U46</f>
        <v>0</v>
      </c>
      <c r="AB46" s="74">
        <f>V46</f>
        <v>0</v>
      </c>
      <c r="AC46" s="74">
        <f t="shared" ref="AC46" si="106">W46</f>
        <v>0</v>
      </c>
      <c r="AD46" s="289">
        <f t="shared" ref="AD46" si="107">X46</f>
        <v>0</v>
      </c>
      <c r="AG46" s="2"/>
      <c r="AH46" s="2"/>
      <c r="AI46" s="2"/>
      <c r="AJ46" s="2"/>
      <c r="AK46" s="2"/>
      <c r="AL46" s="2"/>
    </row>
    <row r="47" spans="1:62" hidden="1" outlineLevel="1">
      <c r="A47" s="467"/>
      <c r="C47" s="403"/>
      <c r="D47" s="404"/>
      <c r="E47" s="424"/>
      <c r="F47" s="404"/>
      <c r="G47" s="501"/>
      <c r="I47" s="286"/>
      <c r="J47" s="287"/>
      <c r="K47" s="287"/>
      <c r="L47" s="288"/>
      <c r="N47" s="436"/>
      <c r="O47" s="286"/>
      <c r="P47" s="287"/>
      <c r="Q47" s="287"/>
      <c r="R47" s="288"/>
      <c r="U47" s="286"/>
      <c r="V47" s="287"/>
      <c r="W47" s="287"/>
      <c r="X47" s="288"/>
      <c r="AA47" s="286"/>
      <c r="AB47" s="287"/>
      <c r="AC47" s="287"/>
      <c r="AD47" s="288"/>
      <c r="AG47" s="2"/>
      <c r="AH47" s="2"/>
      <c r="AI47" s="2"/>
      <c r="AJ47" s="2"/>
      <c r="AK47" s="2"/>
      <c r="AL47" s="2"/>
    </row>
    <row r="48" spans="1:62" hidden="1" outlineLevel="1">
      <c r="A48" s="13"/>
      <c r="C48" s="400"/>
      <c r="D48" s="154"/>
      <c r="E48" s="401"/>
      <c r="F48" s="154"/>
      <c r="G48" s="299"/>
      <c r="O48" s="154"/>
      <c r="P48" s="154"/>
      <c r="Q48" s="154"/>
      <c r="R48" s="154"/>
      <c r="S48" s="154"/>
      <c r="T48" s="342"/>
      <c r="U48" s="154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299"/>
      <c r="AG48" s="13"/>
      <c r="AH48" s="13"/>
      <c r="AI48" s="13"/>
      <c r="AJ48" s="13"/>
      <c r="AK48" s="13"/>
      <c r="AL48" s="13"/>
    </row>
    <row r="49" spans="1:62" hidden="1" outlineLevel="1">
      <c r="A49" s="13"/>
      <c r="C49" s="400"/>
      <c r="D49" s="154"/>
      <c r="E49" s="154"/>
      <c r="F49" s="154"/>
      <c r="G49" s="299"/>
      <c r="O49" s="154"/>
      <c r="P49" s="154"/>
      <c r="Q49" s="154"/>
      <c r="R49" s="154"/>
      <c r="S49" s="154"/>
      <c r="T49" s="342"/>
      <c r="U49" s="154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299"/>
      <c r="AG49" s="13"/>
      <c r="AH49" s="13"/>
      <c r="AI49" s="13"/>
      <c r="AJ49" s="13"/>
      <c r="AK49" s="13"/>
      <c r="AL49" s="13"/>
    </row>
    <row r="50" spans="1:62" s="425" customFormat="1" ht="80" hidden="1" outlineLevel="1">
      <c r="A50" s="382" t="s">
        <v>348</v>
      </c>
      <c r="B50" s="502"/>
      <c r="C50" s="399" t="s">
        <v>404</v>
      </c>
      <c r="D50" s="43"/>
      <c r="E50" s="43"/>
      <c r="F50" s="43"/>
      <c r="G50" s="503"/>
      <c r="H50" s="533" t="s">
        <v>363</v>
      </c>
      <c r="I50" s="399" t="s">
        <v>334</v>
      </c>
      <c r="J50" s="43"/>
      <c r="K50" s="43"/>
      <c r="L50" s="43"/>
      <c r="M50" s="503"/>
      <c r="N50" s="529"/>
      <c r="O50" s="399" t="s">
        <v>334</v>
      </c>
      <c r="P50" s="43"/>
      <c r="Q50" s="43"/>
      <c r="R50" s="43"/>
      <c r="S50" s="43"/>
      <c r="T50" s="529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503"/>
      <c r="AG50" s="43"/>
      <c r="AH50" s="43"/>
      <c r="AI50" s="43"/>
      <c r="AJ50" s="43"/>
      <c r="AK50" s="43"/>
      <c r="AL50" s="43"/>
      <c r="AM50" s="43"/>
      <c r="AN50" s="43"/>
      <c r="AO50" s="43"/>
      <c r="AP50" s="43"/>
      <c r="AQ50" s="43"/>
      <c r="AR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  <c r="BJ50" s="43"/>
    </row>
    <row r="51" spans="1:62" hidden="1" outlineLevel="1">
      <c r="A51" s="2" t="s">
        <v>64</v>
      </c>
      <c r="C51" s="423"/>
      <c r="G51" s="504"/>
      <c r="O51" s="423"/>
    </row>
    <row r="52" spans="1:62" hidden="1" outlineLevel="1">
      <c r="A52" s="496" t="s">
        <v>327</v>
      </c>
      <c r="C52" s="367">
        <f t="shared" ref="C52:F57" si="108">C61/2</f>
        <v>55362.5</v>
      </c>
      <c r="D52" s="368">
        <f t="shared" si="108"/>
        <v>55362.5</v>
      </c>
      <c r="E52" s="368">
        <f t="shared" si="108"/>
        <v>55362.5</v>
      </c>
      <c r="F52" s="369">
        <f t="shared" si="108"/>
        <v>55362.5</v>
      </c>
      <c r="G52" s="504"/>
      <c r="H52" s="518"/>
      <c r="I52" s="367">
        <f>I69/2*I77</f>
        <v>60807.991803278688</v>
      </c>
      <c r="J52" s="368">
        <f>I52</f>
        <v>60807.991803278688</v>
      </c>
      <c r="K52" s="368">
        <f>J52</f>
        <v>60807.991803278688</v>
      </c>
      <c r="L52" s="369">
        <f>K52</f>
        <v>60807.991803278688</v>
      </c>
      <c r="O52" s="413">
        <f>I52</f>
        <v>60807.991803278688</v>
      </c>
      <c r="P52" s="368">
        <f>O52</f>
        <v>60807.991803278688</v>
      </c>
      <c r="Q52" s="368">
        <f t="shared" ref="Q52:R52" si="109">P52</f>
        <v>60807.991803278688</v>
      </c>
      <c r="R52" s="369">
        <f t="shared" si="109"/>
        <v>60807.991803278688</v>
      </c>
      <c r="U52" s="413">
        <f>O52</f>
        <v>60807.991803278688</v>
      </c>
      <c r="V52" s="368">
        <f>U52</f>
        <v>60807.991803278688</v>
      </c>
      <c r="W52" s="368">
        <f t="shared" ref="W52:W57" si="110">V52</f>
        <v>60807.991803278688</v>
      </c>
      <c r="X52" s="369">
        <f t="shared" ref="X52:X57" si="111">W52</f>
        <v>60807.991803278688</v>
      </c>
      <c r="AA52" s="413">
        <f>U52</f>
        <v>60807.991803278688</v>
      </c>
      <c r="AB52" s="368">
        <f>AA52</f>
        <v>60807.991803278688</v>
      </c>
      <c r="AC52" s="368">
        <f t="shared" ref="AC52:AC57" si="112">AB52</f>
        <v>60807.991803278688</v>
      </c>
      <c r="AD52" s="369">
        <f t="shared" ref="AD52:AD57" si="113">AC52</f>
        <v>60807.991803278688</v>
      </c>
    </row>
    <row r="53" spans="1:62" hidden="1" outlineLevel="1">
      <c r="A53" s="39" t="s">
        <v>62</v>
      </c>
      <c r="C53" s="370">
        <f t="shared" si="108"/>
        <v>35026.5</v>
      </c>
      <c r="D53" s="169">
        <f t="shared" si="108"/>
        <v>35026.5</v>
      </c>
      <c r="E53" s="169">
        <f t="shared" si="108"/>
        <v>35026.5</v>
      </c>
      <c r="F53" s="371">
        <f t="shared" si="108"/>
        <v>35026.5</v>
      </c>
      <c r="G53" s="504"/>
      <c r="H53" s="518"/>
      <c r="I53" s="370">
        <f t="shared" ref="I53:I57" si="114">I70/2*I78</f>
        <v>39536.349785407721</v>
      </c>
      <c r="J53" s="169">
        <f t="shared" ref="J53:L57" si="115">I53</f>
        <v>39536.349785407721</v>
      </c>
      <c r="K53" s="169">
        <f t="shared" si="115"/>
        <v>39536.349785407721</v>
      </c>
      <c r="L53" s="371">
        <f t="shared" si="115"/>
        <v>39536.349785407721</v>
      </c>
      <c r="O53" s="414">
        <f t="shared" ref="O53:O57" si="116">I53</f>
        <v>39536.349785407721</v>
      </c>
      <c r="P53" s="169">
        <f t="shared" ref="P53:R57" si="117">O53</f>
        <v>39536.349785407721</v>
      </c>
      <c r="Q53" s="169">
        <f t="shared" si="117"/>
        <v>39536.349785407721</v>
      </c>
      <c r="R53" s="371">
        <f t="shared" si="117"/>
        <v>39536.349785407721</v>
      </c>
      <c r="T53" s="342"/>
      <c r="U53" s="414">
        <f t="shared" ref="U53:U57" si="118">O53</f>
        <v>39536.349785407721</v>
      </c>
      <c r="V53" s="169">
        <f t="shared" ref="V53:V57" si="119">U53</f>
        <v>39536.349785407721</v>
      </c>
      <c r="W53" s="169">
        <f t="shared" si="110"/>
        <v>39536.349785407721</v>
      </c>
      <c r="X53" s="371">
        <f t="shared" si="111"/>
        <v>39536.349785407721</v>
      </c>
      <c r="Y53" s="154"/>
      <c r="Z53" s="154"/>
      <c r="AA53" s="414">
        <f t="shared" ref="AA53:AA57" si="120">U53</f>
        <v>39536.349785407721</v>
      </c>
      <c r="AB53" s="169">
        <f t="shared" ref="AB53:AB57" si="121">AA53</f>
        <v>39536.349785407721</v>
      </c>
      <c r="AC53" s="169">
        <f t="shared" si="112"/>
        <v>39536.349785407721</v>
      </c>
      <c r="AD53" s="371">
        <f t="shared" si="113"/>
        <v>39536.349785407721</v>
      </c>
      <c r="AE53" s="154"/>
      <c r="AF53" s="299"/>
      <c r="AG53" s="2"/>
      <c r="AH53" s="2"/>
      <c r="AI53" s="2"/>
      <c r="AJ53" s="2"/>
      <c r="AK53" s="2"/>
      <c r="AL53" s="2"/>
    </row>
    <row r="54" spans="1:62" hidden="1" outlineLevel="1">
      <c r="A54" s="39" t="s">
        <v>65</v>
      </c>
      <c r="C54" s="370">
        <f t="shared" si="108"/>
        <v>23721.5</v>
      </c>
      <c r="D54" s="169">
        <f t="shared" si="108"/>
        <v>23721.5</v>
      </c>
      <c r="E54" s="169">
        <f t="shared" si="108"/>
        <v>23721.5</v>
      </c>
      <c r="F54" s="371">
        <f t="shared" si="108"/>
        <v>23721.5</v>
      </c>
      <c r="G54" s="504"/>
      <c r="H54" s="518"/>
      <c r="I54" s="370">
        <f t="shared" si="114"/>
        <v>27835.0549132948</v>
      </c>
      <c r="J54" s="169">
        <f t="shared" si="115"/>
        <v>27835.0549132948</v>
      </c>
      <c r="K54" s="169">
        <f t="shared" si="115"/>
        <v>27835.0549132948</v>
      </c>
      <c r="L54" s="371">
        <f t="shared" si="115"/>
        <v>27835.0549132948</v>
      </c>
      <c r="O54" s="414">
        <f t="shared" si="116"/>
        <v>27835.0549132948</v>
      </c>
      <c r="P54" s="169">
        <f t="shared" si="117"/>
        <v>27835.0549132948</v>
      </c>
      <c r="Q54" s="169">
        <f t="shared" si="117"/>
        <v>27835.0549132948</v>
      </c>
      <c r="R54" s="371">
        <f t="shared" si="117"/>
        <v>27835.0549132948</v>
      </c>
      <c r="T54" s="342"/>
      <c r="U54" s="414">
        <f t="shared" si="118"/>
        <v>27835.0549132948</v>
      </c>
      <c r="V54" s="169">
        <f t="shared" si="119"/>
        <v>27835.0549132948</v>
      </c>
      <c r="W54" s="169">
        <f t="shared" si="110"/>
        <v>27835.0549132948</v>
      </c>
      <c r="X54" s="371">
        <f t="shared" si="111"/>
        <v>27835.0549132948</v>
      </c>
      <c r="Y54" s="154"/>
      <c r="Z54" s="154"/>
      <c r="AA54" s="414">
        <f t="shared" si="120"/>
        <v>27835.0549132948</v>
      </c>
      <c r="AB54" s="169">
        <f t="shared" si="121"/>
        <v>27835.0549132948</v>
      </c>
      <c r="AC54" s="169">
        <f t="shared" si="112"/>
        <v>27835.0549132948</v>
      </c>
      <c r="AD54" s="371">
        <f t="shared" si="113"/>
        <v>27835.0549132948</v>
      </c>
      <c r="AE54" s="154"/>
      <c r="AF54" s="299"/>
      <c r="AG54" s="2"/>
      <c r="AH54" s="2"/>
      <c r="AI54" s="2"/>
      <c r="AJ54" s="2"/>
      <c r="AK54" s="2"/>
      <c r="AL54" s="2"/>
    </row>
    <row r="55" spans="1:62" hidden="1" outlineLevel="1">
      <c r="A55" s="39" t="s">
        <v>66</v>
      </c>
      <c r="C55" s="370">
        <f t="shared" si="108"/>
        <v>20475.5</v>
      </c>
      <c r="D55" s="169">
        <f t="shared" si="108"/>
        <v>20475.5</v>
      </c>
      <c r="E55" s="169">
        <f t="shared" si="108"/>
        <v>20475.5</v>
      </c>
      <c r="F55" s="371">
        <f t="shared" si="108"/>
        <v>20475.5</v>
      </c>
      <c r="G55" s="504"/>
      <c r="H55" s="518"/>
      <c r="I55" s="370">
        <f t="shared" si="114"/>
        <v>24598.083892617447</v>
      </c>
      <c r="J55" s="169">
        <f t="shared" si="115"/>
        <v>24598.083892617447</v>
      </c>
      <c r="K55" s="169">
        <f t="shared" si="115"/>
        <v>24598.083892617447</v>
      </c>
      <c r="L55" s="371">
        <f t="shared" si="115"/>
        <v>24598.083892617447</v>
      </c>
      <c r="O55" s="414">
        <f t="shared" si="116"/>
        <v>24598.083892617447</v>
      </c>
      <c r="P55" s="169">
        <f t="shared" si="117"/>
        <v>24598.083892617447</v>
      </c>
      <c r="Q55" s="169">
        <f t="shared" si="117"/>
        <v>24598.083892617447</v>
      </c>
      <c r="R55" s="371">
        <f t="shared" si="117"/>
        <v>24598.083892617447</v>
      </c>
      <c r="T55" s="342"/>
      <c r="U55" s="414">
        <f t="shared" si="118"/>
        <v>24598.083892617447</v>
      </c>
      <c r="V55" s="169">
        <f t="shared" si="119"/>
        <v>24598.083892617447</v>
      </c>
      <c r="W55" s="169">
        <f t="shared" si="110"/>
        <v>24598.083892617447</v>
      </c>
      <c r="X55" s="371">
        <f t="shared" si="111"/>
        <v>24598.083892617447</v>
      </c>
      <c r="Y55" s="154"/>
      <c r="Z55" s="154"/>
      <c r="AA55" s="414">
        <f t="shared" si="120"/>
        <v>24598.083892617447</v>
      </c>
      <c r="AB55" s="169">
        <f t="shared" si="121"/>
        <v>24598.083892617447</v>
      </c>
      <c r="AC55" s="169">
        <f t="shared" si="112"/>
        <v>24598.083892617447</v>
      </c>
      <c r="AD55" s="371">
        <f t="shared" si="113"/>
        <v>24598.083892617447</v>
      </c>
      <c r="AE55" s="154"/>
      <c r="AF55" s="299"/>
      <c r="AG55" s="2"/>
      <c r="AH55" s="2"/>
      <c r="AI55" s="2"/>
      <c r="AJ55" s="2"/>
      <c r="AK55" s="2"/>
      <c r="AL55" s="2"/>
    </row>
    <row r="56" spans="1:62" hidden="1" outlineLevel="1">
      <c r="A56" s="39" t="s">
        <v>328</v>
      </c>
      <c r="C56" s="370">
        <f t="shared" si="108"/>
        <v>16914</v>
      </c>
      <c r="D56" s="169">
        <f t="shared" si="108"/>
        <v>16914</v>
      </c>
      <c r="E56" s="169">
        <f t="shared" si="108"/>
        <v>16914</v>
      </c>
      <c r="F56" s="371">
        <f t="shared" si="108"/>
        <v>16914</v>
      </c>
      <c r="G56" s="504"/>
      <c r="H56" s="518"/>
      <c r="I56" s="370">
        <f t="shared" si="114"/>
        <v>20847.488372093023</v>
      </c>
      <c r="J56" s="169">
        <f t="shared" si="115"/>
        <v>20847.488372093023</v>
      </c>
      <c r="K56" s="169">
        <f t="shared" si="115"/>
        <v>20847.488372093023</v>
      </c>
      <c r="L56" s="371">
        <f t="shared" si="115"/>
        <v>20847.488372093023</v>
      </c>
      <c r="O56" s="414">
        <f t="shared" si="116"/>
        <v>20847.488372093023</v>
      </c>
      <c r="P56" s="169">
        <f t="shared" si="117"/>
        <v>20847.488372093023</v>
      </c>
      <c r="Q56" s="169">
        <f t="shared" si="117"/>
        <v>20847.488372093023</v>
      </c>
      <c r="R56" s="371">
        <f t="shared" si="117"/>
        <v>20847.488372093023</v>
      </c>
      <c r="T56" s="342"/>
      <c r="U56" s="414">
        <f t="shared" si="118"/>
        <v>20847.488372093023</v>
      </c>
      <c r="V56" s="169">
        <f t="shared" si="119"/>
        <v>20847.488372093023</v>
      </c>
      <c r="W56" s="169">
        <f t="shared" si="110"/>
        <v>20847.488372093023</v>
      </c>
      <c r="X56" s="371">
        <f t="shared" si="111"/>
        <v>20847.488372093023</v>
      </c>
      <c r="Y56" s="154"/>
      <c r="Z56" s="154"/>
      <c r="AA56" s="414">
        <f t="shared" si="120"/>
        <v>20847.488372093023</v>
      </c>
      <c r="AB56" s="169">
        <f t="shared" si="121"/>
        <v>20847.488372093023</v>
      </c>
      <c r="AC56" s="169">
        <f t="shared" si="112"/>
        <v>20847.488372093023</v>
      </c>
      <c r="AD56" s="371">
        <f t="shared" si="113"/>
        <v>20847.488372093023</v>
      </c>
      <c r="AE56" s="154"/>
      <c r="AF56" s="299"/>
      <c r="AG56" s="2"/>
      <c r="AH56" s="2"/>
      <c r="AI56" s="2"/>
      <c r="AJ56" s="2"/>
      <c r="AK56" s="2"/>
      <c r="AL56" s="2"/>
    </row>
    <row r="57" spans="1:62" hidden="1" outlineLevel="1">
      <c r="A57" s="467" t="s">
        <v>329</v>
      </c>
      <c r="C57" s="372">
        <f t="shared" si="108"/>
        <v>10790.5</v>
      </c>
      <c r="D57" s="373">
        <f t="shared" si="108"/>
        <v>10790.5</v>
      </c>
      <c r="E57" s="373">
        <f t="shared" si="108"/>
        <v>10790.5</v>
      </c>
      <c r="F57" s="374">
        <f t="shared" si="108"/>
        <v>10790.5</v>
      </c>
      <c r="G57" s="504"/>
      <c r="H57" s="518"/>
      <c r="I57" s="372">
        <f t="shared" si="114"/>
        <v>14127.768041237114</v>
      </c>
      <c r="J57" s="373">
        <f t="shared" si="115"/>
        <v>14127.768041237114</v>
      </c>
      <c r="K57" s="373">
        <f t="shared" si="115"/>
        <v>14127.768041237114</v>
      </c>
      <c r="L57" s="374">
        <f t="shared" si="115"/>
        <v>14127.768041237114</v>
      </c>
      <c r="O57" s="415">
        <f t="shared" si="116"/>
        <v>14127.768041237114</v>
      </c>
      <c r="P57" s="373">
        <f t="shared" si="117"/>
        <v>14127.768041237114</v>
      </c>
      <c r="Q57" s="373">
        <f t="shared" si="117"/>
        <v>14127.768041237114</v>
      </c>
      <c r="R57" s="374">
        <f t="shared" si="117"/>
        <v>14127.768041237114</v>
      </c>
      <c r="T57" s="342"/>
      <c r="U57" s="415">
        <f t="shared" si="118"/>
        <v>14127.768041237114</v>
      </c>
      <c r="V57" s="373">
        <f t="shared" si="119"/>
        <v>14127.768041237114</v>
      </c>
      <c r="W57" s="373">
        <f t="shared" si="110"/>
        <v>14127.768041237114</v>
      </c>
      <c r="X57" s="374">
        <f t="shared" si="111"/>
        <v>14127.768041237114</v>
      </c>
      <c r="Y57" s="154"/>
      <c r="Z57" s="154"/>
      <c r="AA57" s="415">
        <f t="shared" si="120"/>
        <v>14127.768041237114</v>
      </c>
      <c r="AB57" s="373">
        <f t="shared" si="121"/>
        <v>14127.768041237114</v>
      </c>
      <c r="AC57" s="373">
        <f t="shared" si="112"/>
        <v>14127.768041237114</v>
      </c>
      <c r="AD57" s="374">
        <f t="shared" si="113"/>
        <v>14127.768041237114</v>
      </c>
      <c r="AE57" s="154"/>
      <c r="AF57" s="299"/>
      <c r="AG57" s="2"/>
      <c r="AH57" s="2"/>
      <c r="AI57" s="2"/>
      <c r="AJ57" s="2"/>
      <c r="AK57" s="2"/>
      <c r="AL57" s="2"/>
    </row>
    <row r="58" spans="1:62" hidden="1" outlineLevel="1">
      <c r="A58" s="2"/>
      <c r="C58" s="169"/>
      <c r="D58" s="169"/>
      <c r="E58" s="169"/>
      <c r="F58" s="169"/>
      <c r="G58" s="407"/>
      <c r="H58" s="518"/>
      <c r="I58" s="169"/>
      <c r="J58" s="169"/>
      <c r="K58" s="169"/>
      <c r="L58" s="169"/>
      <c r="O58" s="169"/>
      <c r="P58" s="169"/>
      <c r="Q58" s="169"/>
      <c r="R58" s="169"/>
      <c r="T58" s="342"/>
      <c r="U58" s="154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299"/>
      <c r="AG58" s="2"/>
      <c r="AH58" s="2"/>
      <c r="AI58" s="2"/>
      <c r="AJ58" s="2"/>
      <c r="AK58" s="2"/>
      <c r="AL58" s="2"/>
    </row>
    <row r="59" spans="1:62" s="489" customFormat="1" hidden="1" outlineLevel="1">
      <c r="A59" s="148" t="s">
        <v>347</v>
      </c>
      <c r="B59" s="505"/>
      <c r="C59" s="506"/>
      <c r="D59" s="148"/>
      <c r="E59" s="148"/>
      <c r="F59" s="148"/>
      <c r="G59" s="507"/>
      <c r="H59" s="129"/>
      <c r="I59" s="534"/>
      <c r="J59" s="21"/>
      <c r="K59" s="21"/>
      <c r="L59" s="21"/>
      <c r="M59" s="535"/>
      <c r="N59" s="551"/>
      <c r="O59" s="405"/>
      <c r="P59" s="405"/>
      <c r="Q59" s="405"/>
      <c r="R59" s="405"/>
      <c r="S59" s="405"/>
      <c r="T59" s="551"/>
      <c r="U59" s="148"/>
      <c r="V59" s="148"/>
      <c r="W59" s="148"/>
      <c r="X59" s="148"/>
      <c r="Y59" s="148"/>
      <c r="Z59" s="148"/>
      <c r="AA59" s="148"/>
      <c r="AB59" s="148"/>
      <c r="AC59" s="148"/>
      <c r="AD59" s="148"/>
      <c r="AE59" s="148"/>
      <c r="AF59" s="507"/>
      <c r="AG59" s="148"/>
      <c r="AH59" s="148"/>
      <c r="AI59" s="148"/>
      <c r="AJ59" s="148"/>
      <c r="AK59" s="148"/>
      <c r="AL59" s="148"/>
      <c r="AM59" s="21"/>
      <c r="AN59" s="21"/>
      <c r="AO59" s="21"/>
      <c r="AP59" s="21"/>
      <c r="AQ59" s="21"/>
      <c r="AR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</row>
    <row r="60" spans="1:62" hidden="1" outlineLevel="1">
      <c r="A60" s="2" t="s">
        <v>64</v>
      </c>
      <c r="D60" s="2"/>
      <c r="E60" s="2"/>
      <c r="F60" s="2"/>
      <c r="G60" s="508"/>
      <c r="N60" s="381"/>
      <c r="O60" s="326"/>
      <c r="P60" s="326"/>
      <c r="Q60" s="326"/>
      <c r="R60" s="326"/>
      <c r="S60" s="326"/>
      <c r="T60" s="38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560"/>
      <c r="AG60" s="2"/>
      <c r="AH60" s="2"/>
      <c r="AI60" s="2"/>
      <c r="AJ60" s="2"/>
      <c r="AK60" s="2"/>
      <c r="AL60" s="2"/>
    </row>
    <row r="61" spans="1:62" hidden="1" outlineLevel="1">
      <c r="A61" s="496" t="s">
        <v>327</v>
      </c>
      <c r="C61" s="386">
        <f>'MPS др метрики'!C110</f>
        <v>110725</v>
      </c>
      <c r="D61" s="426">
        <f t="shared" ref="D61:D66" si="122">C61</f>
        <v>110725</v>
      </c>
      <c r="E61" s="426">
        <f t="shared" ref="E61:F61" si="123">D61</f>
        <v>110725</v>
      </c>
      <c r="F61" s="486">
        <f t="shared" si="123"/>
        <v>110725</v>
      </c>
      <c r="G61" s="508"/>
      <c r="I61" s="386">
        <f t="shared" ref="I61:I66" si="124">C61</f>
        <v>110725</v>
      </c>
      <c r="J61" s="387">
        <f>I61</f>
        <v>110725</v>
      </c>
      <c r="K61" s="387">
        <f t="shared" ref="K61:L61" si="125">J61</f>
        <v>110725</v>
      </c>
      <c r="L61" s="388">
        <f t="shared" si="125"/>
        <v>110725</v>
      </c>
      <c r="N61" s="381"/>
      <c r="O61" s="386">
        <f t="shared" ref="O61:R66" si="126">I61</f>
        <v>110725</v>
      </c>
      <c r="P61" s="387">
        <f t="shared" si="126"/>
        <v>110725</v>
      </c>
      <c r="Q61" s="387">
        <f t="shared" si="126"/>
        <v>110725</v>
      </c>
      <c r="R61" s="388">
        <f t="shared" si="126"/>
        <v>110725</v>
      </c>
      <c r="S61" s="326"/>
      <c r="T61" s="381"/>
      <c r="U61" s="386">
        <f t="shared" ref="U61:U66" si="127">O61</f>
        <v>110725</v>
      </c>
      <c r="V61" s="387">
        <f t="shared" ref="V61:V66" si="128">P61</f>
        <v>110725</v>
      </c>
      <c r="W61" s="387">
        <f t="shared" ref="W61:W66" si="129">Q61</f>
        <v>110725</v>
      </c>
      <c r="X61" s="388">
        <f t="shared" ref="X61:X66" si="130">R61</f>
        <v>110725</v>
      </c>
      <c r="Y61" s="61"/>
      <c r="Z61" s="61"/>
      <c r="AA61" s="386">
        <f t="shared" ref="AA61:AA66" si="131">U61</f>
        <v>110725</v>
      </c>
      <c r="AB61" s="387">
        <f t="shared" ref="AB61:AB66" si="132">V61</f>
        <v>110725</v>
      </c>
      <c r="AC61" s="387">
        <f t="shared" ref="AC61:AC66" si="133">W61</f>
        <v>110725</v>
      </c>
      <c r="AD61" s="388">
        <f t="shared" ref="AD61:AD66" si="134">X61</f>
        <v>110725</v>
      </c>
      <c r="AE61" s="61"/>
      <c r="AF61" s="560"/>
      <c r="AG61" s="2"/>
      <c r="AH61" s="2"/>
      <c r="AI61" s="2"/>
      <c r="AJ61" s="2"/>
      <c r="AK61" s="2"/>
      <c r="AL61" s="2"/>
    </row>
    <row r="62" spans="1:62" s="2" customFormat="1" hidden="1" outlineLevel="1">
      <c r="A62" s="39" t="s">
        <v>62</v>
      </c>
      <c r="B62" s="436"/>
      <c r="C62" s="389">
        <f>'MPS др метрики'!C111</f>
        <v>70053</v>
      </c>
      <c r="D62" s="427">
        <f t="shared" si="122"/>
        <v>70053</v>
      </c>
      <c r="E62" s="427">
        <f t="shared" ref="E62:F66" si="135">D62</f>
        <v>70053</v>
      </c>
      <c r="F62" s="487">
        <f t="shared" si="135"/>
        <v>70053</v>
      </c>
      <c r="G62" s="508"/>
      <c r="H62" s="87"/>
      <c r="I62" s="389">
        <f t="shared" si="124"/>
        <v>70053</v>
      </c>
      <c r="J62" s="291">
        <f t="shared" ref="J62:L62" si="136">I62</f>
        <v>70053</v>
      </c>
      <c r="K62" s="291">
        <f t="shared" si="136"/>
        <v>70053</v>
      </c>
      <c r="L62" s="390">
        <f t="shared" si="136"/>
        <v>70053</v>
      </c>
      <c r="M62" s="295"/>
      <c r="N62" s="381"/>
      <c r="O62" s="389">
        <f t="shared" si="126"/>
        <v>70053</v>
      </c>
      <c r="P62" s="291">
        <f t="shared" si="126"/>
        <v>70053</v>
      </c>
      <c r="Q62" s="291">
        <f t="shared" si="126"/>
        <v>70053</v>
      </c>
      <c r="R62" s="390">
        <f t="shared" si="126"/>
        <v>70053</v>
      </c>
      <c r="S62" s="326"/>
      <c r="T62" s="381"/>
      <c r="U62" s="389">
        <f t="shared" si="127"/>
        <v>70053</v>
      </c>
      <c r="V62" s="291">
        <f t="shared" si="128"/>
        <v>70053</v>
      </c>
      <c r="W62" s="291">
        <f t="shared" si="129"/>
        <v>70053</v>
      </c>
      <c r="X62" s="390">
        <f t="shared" si="130"/>
        <v>70053</v>
      </c>
      <c r="Y62" s="61"/>
      <c r="Z62" s="61"/>
      <c r="AA62" s="389">
        <f t="shared" si="131"/>
        <v>70053</v>
      </c>
      <c r="AB62" s="291">
        <f t="shared" si="132"/>
        <v>70053</v>
      </c>
      <c r="AC62" s="291">
        <f t="shared" si="133"/>
        <v>70053</v>
      </c>
      <c r="AD62" s="390">
        <f t="shared" si="134"/>
        <v>70053</v>
      </c>
      <c r="AE62" s="61"/>
      <c r="AF62" s="560"/>
      <c r="AM62" s="1"/>
      <c r="AN62" s="1"/>
      <c r="AO62" s="1"/>
      <c r="AP62" s="1"/>
      <c r="AQ62" s="1"/>
      <c r="AR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s="2" customFormat="1" hidden="1" outlineLevel="1">
      <c r="A63" s="39" t="s">
        <v>65</v>
      </c>
      <c r="B63" s="436"/>
      <c r="C63" s="389">
        <f>'MPS др метрики'!C112</f>
        <v>47443</v>
      </c>
      <c r="D63" s="427">
        <f t="shared" si="122"/>
        <v>47443</v>
      </c>
      <c r="E63" s="427">
        <f t="shared" si="135"/>
        <v>47443</v>
      </c>
      <c r="F63" s="487">
        <f t="shared" si="135"/>
        <v>47443</v>
      </c>
      <c r="G63" s="508"/>
      <c r="H63" s="87"/>
      <c r="I63" s="389">
        <f t="shared" si="124"/>
        <v>47443</v>
      </c>
      <c r="J63" s="291">
        <f t="shared" ref="J63:L63" si="137">I63</f>
        <v>47443</v>
      </c>
      <c r="K63" s="291">
        <f t="shared" si="137"/>
        <v>47443</v>
      </c>
      <c r="L63" s="390">
        <f t="shared" si="137"/>
        <v>47443</v>
      </c>
      <c r="M63" s="295"/>
      <c r="N63" s="381"/>
      <c r="O63" s="389">
        <f t="shared" si="126"/>
        <v>47443</v>
      </c>
      <c r="P63" s="291">
        <f t="shared" si="126"/>
        <v>47443</v>
      </c>
      <c r="Q63" s="291">
        <f t="shared" si="126"/>
        <v>47443</v>
      </c>
      <c r="R63" s="390">
        <f t="shared" si="126"/>
        <v>47443</v>
      </c>
      <c r="S63" s="326"/>
      <c r="T63" s="381"/>
      <c r="U63" s="389">
        <f t="shared" si="127"/>
        <v>47443</v>
      </c>
      <c r="V63" s="291">
        <f t="shared" si="128"/>
        <v>47443</v>
      </c>
      <c r="W63" s="291">
        <f t="shared" si="129"/>
        <v>47443</v>
      </c>
      <c r="X63" s="390">
        <f t="shared" si="130"/>
        <v>47443</v>
      </c>
      <c r="Y63" s="61"/>
      <c r="Z63" s="61"/>
      <c r="AA63" s="389">
        <f t="shared" si="131"/>
        <v>47443</v>
      </c>
      <c r="AB63" s="291">
        <f t="shared" si="132"/>
        <v>47443</v>
      </c>
      <c r="AC63" s="291">
        <f t="shared" si="133"/>
        <v>47443</v>
      </c>
      <c r="AD63" s="390">
        <f t="shared" si="134"/>
        <v>47443</v>
      </c>
      <c r="AE63" s="61"/>
      <c r="AF63" s="560"/>
      <c r="AM63" s="1"/>
      <c r="AN63" s="1"/>
      <c r="AO63" s="1"/>
      <c r="AP63" s="1"/>
      <c r="AQ63" s="1"/>
      <c r="AR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s="2" customFormat="1" hidden="1" outlineLevel="1">
      <c r="A64" s="39" t="s">
        <v>66</v>
      </c>
      <c r="B64" s="436"/>
      <c r="C64" s="389">
        <f>'MPS др метрики'!C113</f>
        <v>40951</v>
      </c>
      <c r="D64" s="427">
        <f t="shared" si="122"/>
        <v>40951</v>
      </c>
      <c r="E64" s="427">
        <f t="shared" si="135"/>
        <v>40951</v>
      </c>
      <c r="F64" s="487">
        <f t="shared" si="135"/>
        <v>40951</v>
      </c>
      <c r="G64" s="508"/>
      <c r="H64" s="87"/>
      <c r="I64" s="389">
        <f t="shared" si="124"/>
        <v>40951</v>
      </c>
      <c r="J64" s="291">
        <f t="shared" ref="J64:L64" si="138">I64</f>
        <v>40951</v>
      </c>
      <c r="K64" s="291">
        <f t="shared" si="138"/>
        <v>40951</v>
      </c>
      <c r="L64" s="390">
        <f t="shared" si="138"/>
        <v>40951</v>
      </c>
      <c r="M64" s="295"/>
      <c r="N64" s="381"/>
      <c r="O64" s="389">
        <f t="shared" si="126"/>
        <v>40951</v>
      </c>
      <c r="P64" s="291">
        <f t="shared" si="126"/>
        <v>40951</v>
      </c>
      <c r="Q64" s="291">
        <f t="shared" si="126"/>
        <v>40951</v>
      </c>
      <c r="R64" s="390">
        <f t="shared" si="126"/>
        <v>40951</v>
      </c>
      <c r="S64" s="326"/>
      <c r="T64" s="381"/>
      <c r="U64" s="389">
        <f t="shared" si="127"/>
        <v>40951</v>
      </c>
      <c r="V64" s="291">
        <f t="shared" si="128"/>
        <v>40951</v>
      </c>
      <c r="W64" s="291">
        <f t="shared" si="129"/>
        <v>40951</v>
      </c>
      <c r="X64" s="390">
        <f t="shared" si="130"/>
        <v>40951</v>
      </c>
      <c r="Y64" s="61"/>
      <c r="Z64" s="61"/>
      <c r="AA64" s="389">
        <f t="shared" si="131"/>
        <v>40951</v>
      </c>
      <c r="AB64" s="291">
        <f t="shared" si="132"/>
        <v>40951</v>
      </c>
      <c r="AC64" s="291">
        <f t="shared" si="133"/>
        <v>40951</v>
      </c>
      <c r="AD64" s="390">
        <f t="shared" si="134"/>
        <v>40951</v>
      </c>
      <c r="AE64" s="61"/>
      <c r="AF64" s="560"/>
      <c r="AM64" s="1"/>
      <c r="AN64" s="1"/>
      <c r="AO64" s="1"/>
      <c r="AP64" s="1"/>
      <c r="AQ64" s="1"/>
      <c r="AR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s="2" customFormat="1" hidden="1" outlineLevel="1">
      <c r="A65" s="39" t="s">
        <v>328</v>
      </c>
      <c r="B65" s="436"/>
      <c r="C65" s="389">
        <f>'MPS др метрики'!C114</f>
        <v>33828</v>
      </c>
      <c r="D65" s="427">
        <f t="shared" si="122"/>
        <v>33828</v>
      </c>
      <c r="E65" s="427">
        <f t="shared" si="135"/>
        <v>33828</v>
      </c>
      <c r="F65" s="487">
        <f t="shared" si="135"/>
        <v>33828</v>
      </c>
      <c r="G65" s="508"/>
      <c r="H65" s="87"/>
      <c r="I65" s="389">
        <f t="shared" si="124"/>
        <v>33828</v>
      </c>
      <c r="J65" s="291">
        <f t="shared" ref="J65:L65" si="139">I65</f>
        <v>33828</v>
      </c>
      <c r="K65" s="291">
        <f t="shared" si="139"/>
        <v>33828</v>
      </c>
      <c r="L65" s="390">
        <f t="shared" si="139"/>
        <v>33828</v>
      </c>
      <c r="M65" s="295"/>
      <c r="N65" s="381"/>
      <c r="O65" s="389">
        <f t="shared" si="126"/>
        <v>33828</v>
      </c>
      <c r="P65" s="291">
        <f t="shared" si="126"/>
        <v>33828</v>
      </c>
      <c r="Q65" s="291">
        <f t="shared" si="126"/>
        <v>33828</v>
      </c>
      <c r="R65" s="390">
        <f t="shared" si="126"/>
        <v>33828</v>
      </c>
      <c r="S65" s="326"/>
      <c r="T65" s="381"/>
      <c r="U65" s="389">
        <f t="shared" si="127"/>
        <v>33828</v>
      </c>
      <c r="V65" s="291">
        <f t="shared" si="128"/>
        <v>33828</v>
      </c>
      <c r="W65" s="291">
        <f t="shared" si="129"/>
        <v>33828</v>
      </c>
      <c r="X65" s="390">
        <f t="shared" si="130"/>
        <v>33828</v>
      </c>
      <c r="Y65" s="61"/>
      <c r="Z65" s="61"/>
      <c r="AA65" s="389">
        <f t="shared" si="131"/>
        <v>33828</v>
      </c>
      <c r="AB65" s="291">
        <f t="shared" si="132"/>
        <v>33828</v>
      </c>
      <c r="AC65" s="291">
        <f t="shared" si="133"/>
        <v>33828</v>
      </c>
      <c r="AD65" s="390">
        <f t="shared" si="134"/>
        <v>33828</v>
      </c>
      <c r="AE65" s="61"/>
      <c r="AF65" s="560"/>
      <c r="AM65" s="1"/>
      <c r="AN65" s="1"/>
      <c r="AO65" s="1"/>
      <c r="AP65" s="1"/>
      <c r="AQ65" s="1"/>
      <c r="AR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s="2" customFormat="1" hidden="1" outlineLevel="1">
      <c r="A66" s="467" t="s">
        <v>329</v>
      </c>
      <c r="B66" s="509"/>
      <c r="C66" s="391">
        <f>'MPS др метрики'!C115</f>
        <v>21581</v>
      </c>
      <c r="D66" s="428">
        <f t="shared" si="122"/>
        <v>21581</v>
      </c>
      <c r="E66" s="428">
        <f t="shared" si="135"/>
        <v>21581</v>
      </c>
      <c r="F66" s="488">
        <f t="shared" si="135"/>
        <v>21581</v>
      </c>
      <c r="G66" s="508"/>
      <c r="H66" s="87"/>
      <c r="I66" s="391">
        <f t="shared" si="124"/>
        <v>21581</v>
      </c>
      <c r="J66" s="392">
        <f t="shared" ref="J66:L66" si="140">I66</f>
        <v>21581</v>
      </c>
      <c r="K66" s="392">
        <f t="shared" si="140"/>
        <v>21581</v>
      </c>
      <c r="L66" s="393">
        <f t="shared" si="140"/>
        <v>21581</v>
      </c>
      <c r="M66" s="295"/>
      <c r="N66" s="87"/>
      <c r="O66" s="391">
        <f t="shared" si="126"/>
        <v>21581</v>
      </c>
      <c r="P66" s="392">
        <f t="shared" si="126"/>
        <v>21581</v>
      </c>
      <c r="Q66" s="392">
        <f t="shared" si="126"/>
        <v>21581</v>
      </c>
      <c r="R66" s="393">
        <f t="shared" si="126"/>
        <v>21581</v>
      </c>
      <c r="S66" s="326"/>
      <c r="T66" s="381"/>
      <c r="U66" s="391">
        <f t="shared" si="127"/>
        <v>21581</v>
      </c>
      <c r="V66" s="392">
        <f t="shared" si="128"/>
        <v>21581</v>
      </c>
      <c r="W66" s="392">
        <f t="shared" si="129"/>
        <v>21581</v>
      </c>
      <c r="X66" s="393">
        <f t="shared" si="130"/>
        <v>21581</v>
      </c>
      <c r="Y66" s="61"/>
      <c r="Z66" s="61"/>
      <c r="AA66" s="391">
        <f t="shared" si="131"/>
        <v>21581</v>
      </c>
      <c r="AB66" s="392">
        <f t="shared" si="132"/>
        <v>21581</v>
      </c>
      <c r="AC66" s="392">
        <f t="shared" si="133"/>
        <v>21581</v>
      </c>
      <c r="AD66" s="393">
        <f t="shared" si="134"/>
        <v>21581</v>
      </c>
      <c r="AE66" s="61"/>
      <c r="AF66" s="560"/>
      <c r="AG66" s="84"/>
      <c r="AH66" s="84"/>
      <c r="AI66" s="84"/>
      <c r="AJ66" s="84"/>
      <c r="AK66" s="84"/>
      <c r="AL66" s="84"/>
      <c r="AM66" s="1"/>
      <c r="AN66" s="1"/>
      <c r="AO66" s="1"/>
      <c r="AP66" s="1"/>
      <c r="AQ66" s="1"/>
      <c r="AR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s="2" customFormat="1" hidden="1" outlineLevel="1">
      <c r="B67" s="509"/>
      <c r="C67" s="1"/>
      <c r="D67" s="427"/>
      <c r="E67" s="427"/>
      <c r="F67" s="427"/>
      <c r="G67" s="510"/>
      <c r="H67" s="87"/>
      <c r="I67" s="291"/>
      <c r="J67" s="291"/>
      <c r="K67" s="291"/>
      <c r="L67" s="291"/>
      <c r="M67" s="295"/>
      <c r="N67" s="87"/>
      <c r="O67" s="291"/>
      <c r="P67" s="291"/>
      <c r="Q67" s="291"/>
      <c r="R67" s="291"/>
      <c r="S67" s="326"/>
      <c r="T67" s="38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560"/>
      <c r="AG67" s="84"/>
      <c r="AH67" s="84"/>
      <c r="AI67" s="84"/>
      <c r="AJ67" s="84"/>
      <c r="AK67" s="84"/>
      <c r="AL67" s="84"/>
      <c r="AM67" s="1"/>
      <c r="AN67" s="1"/>
      <c r="AO67" s="1"/>
      <c r="AP67" s="1"/>
      <c r="AQ67" s="1"/>
      <c r="AR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s="2" customFormat="1" hidden="1" outlineLevel="1">
      <c r="A68" s="2" t="s">
        <v>333</v>
      </c>
      <c r="B68" s="509"/>
      <c r="C68" s="1"/>
      <c r="D68" s="427"/>
      <c r="E68" s="427"/>
      <c r="F68" s="427"/>
      <c r="G68" s="510"/>
      <c r="H68" s="87"/>
      <c r="I68" s="291"/>
      <c r="J68" s="291"/>
      <c r="K68" s="291"/>
      <c r="L68" s="291"/>
      <c r="M68" s="295"/>
      <c r="N68" s="87"/>
      <c r="O68" s="291"/>
      <c r="P68" s="291"/>
      <c r="Q68" s="291"/>
      <c r="R68" s="291"/>
      <c r="S68" s="326"/>
      <c r="T68" s="38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560"/>
      <c r="AG68" s="84"/>
      <c r="AH68" s="84"/>
      <c r="AI68" s="84"/>
      <c r="AJ68" s="84"/>
      <c r="AK68" s="84"/>
      <c r="AL68" s="84"/>
      <c r="AM68" s="1"/>
      <c r="AN68" s="1"/>
      <c r="AO68" s="1"/>
      <c r="AP68" s="1"/>
      <c r="AQ68" s="1"/>
      <c r="AR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s="2" customFormat="1" hidden="1" outlineLevel="1">
      <c r="A69" s="496" t="s">
        <v>327</v>
      </c>
      <c r="B69" s="509"/>
      <c r="C69" s="367">
        <f t="shared" ref="C69:F74" si="141">C61/C85</f>
        <v>10890.983606557378</v>
      </c>
      <c r="D69" s="368">
        <f t="shared" si="141"/>
        <v>10890.983606557378</v>
      </c>
      <c r="E69" s="368">
        <f t="shared" si="141"/>
        <v>10890.983606557378</v>
      </c>
      <c r="F69" s="369">
        <f t="shared" si="141"/>
        <v>10890.983606557378</v>
      </c>
      <c r="G69" s="407"/>
      <c r="H69" s="87"/>
      <c r="I69" s="389">
        <f t="shared" ref="I69:I74" si="142">C69</f>
        <v>10890.983606557378</v>
      </c>
      <c r="J69" s="387">
        <f>I69</f>
        <v>10890.983606557378</v>
      </c>
      <c r="K69" s="387">
        <f t="shared" ref="K69:L69" si="143">J69</f>
        <v>10890.983606557378</v>
      </c>
      <c r="L69" s="388">
        <f t="shared" si="143"/>
        <v>10890.983606557378</v>
      </c>
      <c r="M69" s="295"/>
      <c r="N69" s="87"/>
      <c r="O69" s="386">
        <f t="shared" ref="O69:O74" si="144">I69</f>
        <v>10890.983606557378</v>
      </c>
      <c r="P69" s="387">
        <f>O69</f>
        <v>10890.983606557378</v>
      </c>
      <c r="Q69" s="387">
        <f t="shared" ref="Q69:R69" si="145">P69</f>
        <v>10890.983606557378</v>
      </c>
      <c r="R69" s="388">
        <f t="shared" si="145"/>
        <v>10890.983606557378</v>
      </c>
      <c r="S69" s="326"/>
      <c r="T69" s="381"/>
      <c r="U69" s="386">
        <f t="shared" ref="U69:U74" si="146">O69</f>
        <v>10890.983606557378</v>
      </c>
      <c r="V69" s="387">
        <f>U69</f>
        <v>10890.983606557378</v>
      </c>
      <c r="W69" s="387">
        <f t="shared" ref="W69:W74" si="147">V69</f>
        <v>10890.983606557378</v>
      </c>
      <c r="X69" s="388">
        <f t="shared" ref="X69:X74" si="148">W69</f>
        <v>10890.983606557378</v>
      </c>
      <c r="Y69" s="61"/>
      <c r="Z69" s="61"/>
      <c r="AA69" s="386">
        <f t="shared" ref="AA69:AA74" si="149">U69</f>
        <v>10890.983606557378</v>
      </c>
      <c r="AB69" s="387">
        <f>AA69</f>
        <v>10890.983606557378</v>
      </c>
      <c r="AC69" s="387">
        <f t="shared" ref="AC69:AC74" si="150">AB69</f>
        <v>10890.983606557378</v>
      </c>
      <c r="AD69" s="388">
        <f t="shared" ref="AD69:AD74" si="151">AC69</f>
        <v>10890.983606557378</v>
      </c>
      <c r="AE69" s="61"/>
      <c r="AF69" s="560"/>
      <c r="AG69" s="84"/>
      <c r="AH69" s="84"/>
      <c r="AI69" s="84"/>
      <c r="AJ69" s="84"/>
      <c r="AK69" s="84"/>
      <c r="AL69" s="84"/>
      <c r="AM69" s="1"/>
      <c r="AN69" s="1"/>
      <c r="AO69" s="1"/>
      <c r="AP69" s="1"/>
      <c r="AQ69" s="1"/>
      <c r="AR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s="2" customFormat="1" hidden="1" outlineLevel="1">
      <c r="A70" s="39" t="s">
        <v>62</v>
      </c>
      <c r="B70" s="509"/>
      <c r="C70" s="370">
        <f t="shared" si="141"/>
        <v>9019.69957081545</v>
      </c>
      <c r="D70" s="169">
        <f t="shared" si="141"/>
        <v>9019.69957081545</v>
      </c>
      <c r="E70" s="169">
        <f t="shared" si="141"/>
        <v>9019.69957081545</v>
      </c>
      <c r="F70" s="371">
        <f t="shared" si="141"/>
        <v>9019.69957081545</v>
      </c>
      <c r="G70" s="407"/>
      <c r="H70" s="87"/>
      <c r="I70" s="389">
        <f t="shared" si="142"/>
        <v>9019.69957081545</v>
      </c>
      <c r="J70" s="291">
        <f t="shared" ref="J70:L74" si="152">I70</f>
        <v>9019.69957081545</v>
      </c>
      <c r="K70" s="291">
        <f t="shared" si="152"/>
        <v>9019.69957081545</v>
      </c>
      <c r="L70" s="390">
        <f t="shared" si="152"/>
        <v>9019.69957081545</v>
      </c>
      <c r="M70" s="295"/>
      <c r="N70" s="87"/>
      <c r="O70" s="389">
        <f t="shared" si="144"/>
        <v>9019.69957081545</v>
      </c>
      <c r="P70" s="291">
        <f t="shared" ref="P70:R70" si="153">O70</f>
        <v>9019.69957081545</v>
      </c>
      <c r="Q70" s="291">
        <f t="shared" si="153"/>
        <v>9019.69957081545</v>
      </c>
      <c r="R70" s="390">
        <f t="shared" si="153"/>
        <v>9019.69957081545</v>
      </c>
      <c r="S70" s="326"/>
      <c r="T70" s="381"/>
      <c r="U70" s="389">
        <f t="shared" si="146"/>
        <v>9019.69957081545</v>
      </c>
      <c r="V70" s="291">
        <f t="shared" ref="V70:V74" si="154">U70</f>
        <v>9019.69957081545</v>
      </c>
      <c r="W70" s="291">
        <f t="shared" si="147"/>
        <v>9019.69957081545</v>
      </c>
      <c r="X70" s="390">
        <f t="shared" si="148"/>
        <v>9019.69957081545</v>
      </c>
      <c r="Y70" s="61"/>
      <c r="Z70" s="61"/>
      <c r="AA70" s="389">
        <f t="shared" si="149"/>
        <v>9019.69957081545</v>
      </c>
      <c r="AB70" s="291">
        <f t="shared" ref="AB70:AB74" si="155">AA70</f>
        <v>9019.69957081545</v>
      </c>
      <c r="AC70" s="291">
        <f t="shared" si="150"/>
        <v>9019.69957081545</v>
      </c>
      <c r="AD70" s="390">
        <f t="shared" si="151"/>
        <v>9019.69957081545</v>
      </c>
      <c r="AE70" s="61"/>
      <c r="AF70" s="560"/>
      <c r="AG70" s="84"/>
      <c r="AH70" s="84"/>
      <c r="AI70" s="84"/>
      <c r="AJ70" s="84"/>
      <c r="AK70" s="84"/>
      <c r="AL70" s="84"/>
      <c r="AM70" s="1"/>
      <c r="AN70" s="1"/>
      <c r="AO70" s="1"/>
      <c r="AP70" s="1"/>
      <c r="AQ70" s="1"/>
      <c r="AR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s="2" customFormat="1" hidden="1" outlineLevel="1">
      <c r="A71" s="39" t="s">
        <v>65</v>
      </c>
      <c r="B71" s="509"/>
      <c r="C71" s="370">
        <f t="shared" si="141"/>
        <v>8227.1098265895962</v>
      </c>
      <c r="D71" s="169">
        <f t="shared" si="141"/>
        <v>8227.1098265895962</v>
      </c>
      <c r="E71" s="169">
        <f t="shared" si="141"/>
        <v>8227.1098265895962</v>
      </c>
      <c r="F71" s="371">
        <f t="shared" si="141"/>
        <v>8227.1098265895962</v>
      </c>
      <c r="G71" s="407"/>
      <c r="H71" s="87"/>
      <c r="I71" s="389">
        <f t="shared" si="142"/>
        <v>8227.1098265895962</v>
      </c>
      <c r="J71" s="291">
        <f t="shared" si="152"/>
        <v>8227.1098265895962</v>
      </c>
      <c r="K71" s="291">
        <f t="shared" si="152"/>
        <v>8227.1098265895962</v>
      </c>
      <c r="L71" s="390">
        <f t="shared" si="152"/>
        <v>8227.1098265895962</v>
      </c>
      <c r="M71" s="295"/>
      <c r="N71" s="87"/>
      <c r="O71" s="389">
        <f t="shared" si="144"/>
        <v>8227.1098265895962</v>
      </c>
      <c r="P71" s="291">
        <f t="shared" ref="P71:R71" si="156">O71</f>
        <v>8227.1098265895962</v>
      </c>
      <c r="Q71" s="291">
        <f t="shared" si="156"/>
        <v>8227.1098265895962</v>
      </c>
      <c r="R71" s="390">
        <f t="shared" si="156"/>
        <v>8227.1098265895962</v>
      </c>
      <c r="S71" s="326"/>
      <c r="T71" s="381"/>
      <c r="U71" s="389">
        <f t="shared" si="146"/>
        <v>8227.1098265895962</v>
      </c>
      <c r="V71" s="291">
        <f t="shared" si="154"/>
        <v>8227.1098265895962</v>
      </c>
      <c r="W71" s="291">
        <f t="shared" si="147"/>
        <v>8227.1098265895962</v>
      </c>
      <c r="X71" s="390">
        <f t="shared" si="148"/>
        <v>8227.1098265895962</v>
      </c>
      <c r="Y71" s="61"/>
      <c r="Z71" s="61"/>
      <c r="AA71" s="389">
        <f t="shared" si="149"/>
        <v>8227.1098265895962</v>
      </c>
      <c r="AB71" s="291">
        <f t="shared" si="155"/>
        <v>8227.1098265895962</v>
      </c>
      <c r="AC71" s="291">
        <f t="shared" si="150"/>
        <v>8227.1098265895962</v>
      </c>
      <c r="AD71" s="390">
        <f t="shared" si="151"/>
        <v>8227.1098265895962</v>
      </c>
      <c r="AE71" s="61"/>
      <c r="AF71" s="560"/>
      <c r="AG71" s="84"/>
      <c r="AH71" s="84"/>
      <c r="AI71" s="84"/>
      <c r="AJ71" s="84"/>
      <c r="AK71" s="84"/>
      <c r="AL71" s="84"/>
      <c r="AM71" s="1"/>
      <c r="AN71" s="1"/>
      <c r="AO71" s="1"/>
      <c r="AP71" s="1"/>
      <c r="AQ71" s="1"/>
      <c r="AR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s="2" customFormat="1" hidden="1" outlineLevel="1">
      <c r="A72" s="39" t="s">
        <v>66</v>
      </c>
      <c r="B72" s="509"/>
      <c r="C72" s="370">
        <f t="shared" si="141"/>
        <v>8245.1677852348985</v>
      </c>
      <c r="D72" s="169">
        <f t="shared" si="141"/>
        <v>8245.1677852348985</v>
      </c>
      <c r="E72" s="169">
        <f t="shared" si="141"/>
        <v>8245.1677852348985</v>
      </c>
      <c r="F72" s="371">
        <f t="shared" si="141"/>
        <v>8245.1677852348985</v>
      </c>
      <c r="G72" s="407"/>
      <c r="H72" s="87"/>
      <c r="I72" s="389">
        <f t="shared" si="142"/>
        <v>8245.1677852348985</v>
      </c>
      <c r="J72" s="291">
        <f t="shared" si="152"/>
        <v>8245.1677852348985</v>
      </c>
      <c r="K72" s="291">
        <f t="shared" si="152"/>
        <v>8245.1677852348985</v>
      </c>
      <c r="L72" s="390">
        <f t="shared" si="152"/>
        <v>8245.1677852348985</v>
      </c>
      <c r="M72" s="295"/>
      <c r="N72" s="87"/>
      <c r="O72" s="389">
        <f t="shared" si="144"/>
        <v>8245.1677852348985</v>
      </c>
      <c r="P72" s="291">
        <f t="shared" ref="P72:R72" si="157">O72</f>
        <v>8245.1677852348985</v>
      </c>
      <c r="Q72" s="291">
        <f t="shared" si="157"/>
        <v>8245.1677852348985</v>
      </c>
      <c r="R72" s="390">
        <f t="shared" si="157"/>
        <v>8245.1677852348985</v>
      </c>
      <c r="S72" s="326"/>
      <c r="T72" s="381"/>
      <c r="U72" s="389">
        <f t="shared" si="146"/>
        <v>8245.1677852348985</v>
      </c>
      <c r="V72" s="291">
        <f t="shared" si="154"/>
        <v>8245.1677852348985</v>
      </c>
      <c r="W72" s="291">
        <f t="shared" si="147"/>
        <v>8245.1677852348985</v>
      </c>
      <c r="X72" s="390">
        <f t="shared" si="148"/>
        <v>8245.1677852348985</v>
      </c>
      <c r="Y72" s="61"/>
      <c r="Z72" s="61"/>
      <c r="AA72" s="389">
        <f t="shared" si="149"/>
        <v>8245.1677852348985</v>
      </c>
      <c r="AB72" s="291">
        <f t="shared" si="155"/>
        <v>8245.1677852348985</v>
      </c>
      <c r="AC72" s="291">
        <f t="shared" si="150"/>
        <v>8245.1677852348985</v>
      </c>
      <c r="AD72" s="390">
        <f t="shared" si="151"/>
        <v>8245.1677852348985</v>
      </c>
      <c r="AE72" s="61"/>
      <c r="AF72" s="560"/>
      <c r="AG72" s="84"/>
      <c r="AH72" s="84"/>
      <c r="AI72" s="84"/>
      <c r="AJ72" s="84"/>
      <c r="AK72" s="84"/>
      <c r="AL72" s="84"/>
      <c r="AM72" s="1"/>
      <c r="AN72" s="1"/>
      <c r="AO72" s="1"/>
      <c r="AP72" s="1"/>
      <c r="AQ72" s="1"/>
      <c r="AR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s="2" customFormat="1" hidden="1" outlineLevel="1">
      <c r="A73" s="39" t="s">
        <v>328</v>
      </c>
      <c r="B73" s="509"/>
      <c r="C73" s="370">
        <f t="shared" si="141"/>
        <v>7866.9767441860467</v>
      </c>
      <c r="D73" s="169">
        <f t="shared" si="141"/>
        <v>7866.9767441860467</v>
      </c>
      <c r="E73" s="169">
        <f t="shared" si="141"/>
        <v>7866.9767441860467</v>
      </c>
      <c r="F73" s="371">
        <f t="shared" si="141"/>
        <v>7866.9767441860467</v>
      </c>
      <c r="G73" s="407"/>
      <c r="H73" s="87"/>
      <c r="I73" s="389">
        <f t="shared" si="142"/>
        <v>7866.9767441860467</v>
      </c>
      <c r="J73" s="291">
        <f t="shared" si="152"/>
        <v>7866.9767441860467</v>
      </c>
      <c r="K73" s="291">
        <f t="shared" si="152"/>
        <v>7866.9767441860467</v>
      </c>
      <c r="L73" s="390">
        <f t="shared" si="152"/>
        <v>7866.9767441860467</v>
      </c>
      <c r="M73" s="295"/>
      <c r="N73" s="87"/>
      <c r="O73" s="389">
        <f t="shared" si="144"/>
        <v>7866.9767441860467</v>
      </c>
      <c r="P73" s="291">
        <f t="shared" ref="P73:R73" si="158">O73</f>
        <v>7866.9767441860467</v>
      </c>
      <c r="Q73" s="291">
        <f t="shared" si="158"/>
        <v>7866.9767441860467</v>
      </c>
      <c r="R73" s="390">
        <f t="shared" si="158"/>
        <v>7866.9767441860467</v>
      </c>
      <c r="S73" s="326"/>
      <c r="T73" s="381"/>
      <c r="U73" s="389">
        <f t="shared" si="146"/>
        <v>7866.9767441860467</v>
      </c>
      <c r="V73" s="291">
        <f t="shared" si="154"/>
        <v>7866.9767441860467</v>
      </c>
      <c r="W73" s="291">
        <f t="shared" si="147"/>
        <v>7866.9767441860467</v>
      </c>
      <c r="X73" s="390">
        <f t="shared" si="148"/>
        <v>7866.9767441860467</v>
      </c>
      <c r="Y73" s="61"/>
      <c r="Z73" s="61"/>
      <c r="AA73" s="389">
        <f t="shared" si="149"/>
        <v>7866.9767441860467</v>
      </c>
      <c r="AB73" s="291">
        <f t="shared" si="155"/>
        <v>7866.9767441860467</v>
      </c>
      <c r="AC73" s="291">
        <f t="shared" si="150"/>
        <v>7866.9767441860467</v>
      </c>
      <c r="AD73" s="390">
        <f t="shared" si="151"/>
        <v>7866.9767441860467</v>
      </c>
      <c r="AE73" s="61"/>
      <c r="AF73" s="560"/>
      <c r="AG73" s="84"/>
      <c r="AH73" s="84"/>
      <c r="AI73" s="84"/>
      <c r="AJ73" s="84"/>
      <c r="AK73" s="84"/>
      <c r="AL73" s="84"/>
      <c r="AM73" s="1"/>
      <c r="AN73" s="1"/>
      <c r="AO73" s="1"/>
      <c r="AP73" s="1"/>
      <c r="AQ73" s="1"/>
      <c r="AR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s="2" customFormat="1" hidden="1" outlineLevel="1">
      <c r="A74" s="467" t="s">
        <v>329</v>
      </c>
      <c r="B74" s="509"/>
      <c r="C74" s="372">
        <f t="shared" si="141"/>
        <v>6674.5360824742265</v>
      </c>
      <c r="D74" s="373">
        <f t="shared" si="141"/>
        <v>6674.5360824742265</v>
      </c>
      <c r="E74" s="373">
        <f t="shared" si="141"/>
        <v>6674.5360824742265</v>
      </c>
      <c r="F74" s="374">
        <f t="shared" si="141"/>
        <v>6674.5360824742265</v>
      </c>
      <c r="G74" s="407"/>
      <c r="H74" s="87"/>
      <c r="I74" s="391">
        <f t="shared" si="142"/>
        <v>6674.5360824742265</v>
      </c>
      <c r="J74" s="392">
        <f t="shared" si="152"/>
        <v>6674.5360824742265</v>
      </c>
      <c r="K74" s="392">
        <f t="shared" si="152"/>
        <v>6674.5360824742265</v>
      </c>
      <c r="L74" s="393">
        <f t="shared" si="152"/>
        <v>6674.5360824742265</v>
      </c>
      <c r="M74" s="295"/>
      <c r="N74" s="87"/>
      <c r="O74" s="391">
        <f t="shared" si="144"/>
        <v>6674.5360824742265</v>
      </c>
      <c r="P74" s="392">
        <f t="shared" ref="P74:R74" si="159">O74</f>
        <v>6674.5360824742265</v>
      </c>
      <c r="Q74" s="392">
        <f t="shared" si="159"/>
        <v>6674.5360824742265</v>
      </c>
      <c r="R74" s="393">
        <f t="shared" si="159"/>
        <v>6674.5360824742265</v>
      </c>
      <c r="S74" s="326"/>
      <c r="T74" s="381"/>
      <c r="U74" s="391">
        <f t="shared" si="146"/>
        <v>6674.5360824742265</v>
      </c>
      <c r="V74" s="392">
        <f t="shared" si="154"/>
        <v>6674.5360824742265</v>
      </c>
      <c r="W74" s="392">
        <f t="shared" si="147"/>
        <v>6674.5360824742265</v>
      </c>
      <c r="X74" s="393">
        <f t="shared" si="148"/>
        <v>6674.5360824742265</v>
      </c>
      <c r="Y74" s="61"/>
      <c r="Z74" s="61"/>
      <c r="AA74" s="391">
        <f t="shared" si="149"/>
        <v>6674.5360824742265</v>
      </c>
      <c r="AB74" s="392">
        <f t="shared" si="155"/>
        <v>6674.5360824742265</v>
      </c>
      <c r="AC74" s="392">
        <f t="shared" si="150"/>
        <v>6674.5360824742265</v>
      </c>
      <c r="AD74" s="393">
        <f t="shared" si="151"/>
        <v>6674.5360824742265</v>
      </c>
      <c r="AE74" s="61"/>
      <c r="AF74" s="560"/>
      <c r="AG74" s="84"/>
      <c r="AH74" s="84"/>
      <c r="AI74" s="84"/>
      <c r="AJ74" s="84"/>
      <c r="AK74" s="84"/>
      <c r="AL74" s="84"/>
      <c r="AM74" s="1"/>
      <c r="AN74" s="1"/>
      <c r="AO74" s="1"/>
      <c r="AP74" s="1"/>
      <c r="AQ74" s="1"/>
      <c r="AR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hidden="1" outlineLevel="1">
      <c r="A75" s="2"/>
      <c r="C75" s="290"/>
      <c r="D75" s="429"/>
      <c r="E75" s="429"/>
      <c r="F75" s="429"/>
      <c r="G75" s="511"/>
      <c r="H75" s="518"/>
      <c r="I75" s="169"/>
      <c r="J75" s="169"/>
      <c r="K75" s="169"/>
      <c r="L75" s="169"/>
      <c r="O75" s="169"/>
      <c r="P75" s="169"/>
      <c r="Q75" s="169"/>
      <c r="R75" s="169"/>
      <c r="T75" s="342"/>
      <c r="U75" s="154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299"/>
      <c r="AG75" s="2"/>
      <c r="AH75" s="2"/>
      <c r="AI75" s="2"/>
      <c r="AJ75" s="2"/>
      <c r="AK75" s="2"/>
      <c r="AL75" s="2"/>
    </row>
    <row r="76" spans="1:62" s="425" customFormat="1" hidden="1" outlineLevel="1">
      <c r="A76" s="382" t="s">
        <v>345</v>
      </c>
      <c r="B76" s="502"/>
      <c r="C76" s="343"/>
      <c r="D76" s="430"/>
      <c r="E76" s="430"/>
      <c r="F76" s="430"/>
      <c r="G76" s="512"/>
      <c r="H76" s="517"/>
      <c r="I76" s="399" t="s">
        <v>334</v>
      </c>
      <c r="J76" s="354"/>
      <c r="K76" s="354"/>
      <c r="L76" s="354"/>
      <c r="M76" s="503"/>
      <c r="N76" s="529"/>
      <c r="O76" s="399" t="s">
        <v>334</v>
      </c>
      <c r="P76" s="354"/>
      <c r="Q76" s="354"/>
      <c r="R76" s="354"/>
      <c r="S76" s="43"/>
      <c r="T76" s="561"/>
      <c r="U76" s="637"/>
      <c r="V76" s="637"/>
      <c r="W76" s="637"/>
      <c r="X76" s="637"/>
      <c r="Y76" s="637"/>
      <c r="Z76" s="637"/>
      <c r="AA76" s="637"/>
      <c r="AB76" s="637"/>
      <c r="AC76" s="637"/>
      <c r="AD76" s="637"/>
      <c r="AE76" s="637"/>
      <c r="AF76" s="562"/>
      <c r="AG76" s="356"/>
      <c r="AH76" s="356"/>
      <c r="AI76" s="356"/>
      <c r="AJ76" s="356"/>
      <c r="AK76" s="356"/>
      <c r="AL76" s="356"/>
      <c r="AM76" s="43"/>
      <c r="AN76" s="43"/>
      <c r="AO76" s="43"/>
      <c r="AP76" s="43"/>
      <c r="AQ76" s="43"/>
      <c r="AR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  <c r="BJ76" s="43"/>
    </row>
    <row r="77" spans="1:62" hidden="1" outlineLevel="1">
      <c r="A77" s="496" t="s">
        <v>327</v>
      </c>
      <c r="C77" s="378">
        <f t="shared" ref="C77:C82" si="160">C85</f>
        <v>10.166666666666666</v>
      </c>
      <c r="D77" s="431">
        <f t="shared" ref="D77:D82" si="161">C77</f>
        <v>10.166666666666666</v>
      </c>
      <c r="E77" s="431">
        <f t="shared" ref="E77:F77" si="162">D77</f>
        <v>10.166666666666666</v>
      </c>
      <c r="F77" s="432">
        <f t="shared" si="162"/>
        <v>10.166666666666666</v>
      </c>
      <c r="G77" s="511"/>
      <c r="H77" s="518"/>
      <c r="I77" s="378">
        <f>C77+1</f>
        <v>11.166666666666666</v>
      </c>
      <c r="J77" s="394">
        <f>I77</f>
        <v>11.166666666666666</v>
      </c>
      <c r="K77" s="394">
        <f t="shared" ref="K77:L77" si="163">J77</f>
        <v>11.166666666666666</v>
      </c>
      <c r="L77" s="395">
        <f t="shared" si="163"/>
        <v>11.166666666666666</v>
      </c>
      <c r="O77" s="378">
        <f>I77</f>
        <v>11.166666666666666</v>
      </c>
      <c r="P77" s="394">
        <f>O77</f>
        <v>11.166666666666666</v>
      </c>
      <c r="Q77" s="394">
        <f t="shared" ref="Q77:R77" si="164">P77</f>
        <v>11.166666666666666</v>
      </c>
      <c r="R77" s="395">
        <f t="shared" si="164"/>
        <v>11.166666666666666</v>
      </c>
      <c r="T77" s="342"/>
      <c r="U77" s="378">
        <f>O77</f>
        <v>11.166666666666666</v>
      </c>
      <c r="V77" s="394">
        <f>U77</f>
        <v>11.166666666666666</v>
      </c>
      <c r="W77" s="394">
        <f t="shared" ref="W77:W82" si="165">V77</f>
        <v>11.166666666666666</v>
      </c>
      <c r="X77" s="395">
        <f t="shared" ref="X77:X82" si="166">W77</f>
        <v>11.166666666666666</v>
      </c>
      <c r="Y77" s="154"/>
      <c r="Z77" s="154"/>
      <c r="AA77" s="378">
        <f>U77</f>
        <v>11.166666666666666</v>
      </c>
      <c r="AB77" s="394">
        <f>AA77</f>
        <v>11.166666666666666</v>
      </c>
      <c r="AC77" s="394">
        <f t="shared" ref="AC77:AC82" si="167">AB77</f>
        <v>11.166666666666666</v>
      </c>
      <c r="AD77" s="395">
        <f t="shared" ref="AD77:AD82" si="168">AC77</f>
        <v>11.166666666666666</v>
      </c>
      <c r="AE77" s="154"/>
      <c r="AF77" s="299"/>
      <c r="AG77" s="2"/>
      <c r="AH77" s="2"/>
      <c r="AI77" s="2"/>
      <c r="AJ77" s="2"/>
      <c r="AK77" s="2"/>
      <c r="AL77" s="2"/>
    </row>
    <row r="78" spans="1:62" hidden="1" outlineLevel="1">
      <c r="A78" s="39" t="s">
        <v>62</v>
      </c>
      <c r="C78" s="379">
        <f t="shared" si="160"/>
        <v>7.7666666666666666</v>
      </c>
      <c r="D78" s="429">
        <f t="shared" si="161"/>
        <v>7.7666666666666666</v>
      </c>
      <c r="E78" s="429">
        <f t="shared" ref="E78:F78" si="169">D78</f>
        <v>7.7666666666666666</v>
      </c>
      <c r="F78" s="433">
        <f t="shared" si="169"/>
        <v>7.7666666666666666</v>
      </c>
      <c r="G78" s="511"/>
      <c r="H78" s="518"/>
      <c r="I78" s="379">
        <f t="shared" ref="I78:I82" si="170">C78+1</f>
        <v>8.7666666666666657</v>
      </c>
      <c r="J78" s="290">
        <f t="shared" ref="J78:L78" si="171">I78</f>
        <v>8.7666666666666657</v>
      </c>
      <c r="K78" s="290">
        <f t="shared" si="171"/>
        <v>8.7666666666666657</v>
      </c>
      <c r="L78" s="396">
        <f t="shared" si="171"/>
        <v>8.7666666666666657</v>
      </c>
      <c r="O78" s="379">
        <f t="shared" ref="O78:O82" si="172">I78</f>
        <v>8.7666666666666657</v>
      </c>
      <c r="P78" s="290">
        <f t="shared" ref="P78:R82" si="173">O78</f>
        <v>8.7666666666666657</v>
      </c>
      <c r="Q78" s="290">
        <f t="shared" si="173"/>
        <v>8.7666666666666657</v>
      </c>
      <c r="R78" s="396">
        <f t="shared" si="173"/>
        <v>8.7666666666666657</v>
      </c>
      <c r="T78" s="342"/>
      <c r="U78" s="379">
        <f t="shared" ref="U78:U82" si="174">O78</f>
        <v>8.7666666666666657</v>
      </c>
      <c r="V78" s="290">
        <f t="shared" ref="V78:V82" si="175">U78</f>
        <v>8.7666666666666657</v>
      </c>
      <c r="W78" s="290">
        <f t="shared" si="165"/>
        <v>8.7666666666666657</v>
      </c>
      <c r="X78" s="396">
        <f t="shared" si="166"/>
        <v>8.7666666666666657</v>
      </c>
      <c r="Y78" s="154"/>
      <c r="Z78" s="154"/>
      <c r="AA78" s="379">
        <f t="shared" ref="AA78:AA82" si="176">U78</f>
        <v>8.7666666666666657</v>
      </c>
      <c r="AB78" s="290">
        <f t="shared" ref="AB78:AB82" si="177">AA78</f>
        <v>8.7666666666666657</v>
      </c>
      <c r="AC78" s="290">
        <f t="shared" si="167"/>
        <v>8.7666666666666657</v>
      </c>
      <c r="AD78" s="396">
        <f t="shared" si="168"/>
        <v>8.7666666666666657</v>
      </c>
      <c r="AE78" s="154"/>
      <c r="AF78" s="299"/>
      <c r="AG78" s="2"/>
      <c r="AH78" s="2"/>
      <c r="AI78" s="2"/>
      <c r="AJ78" s="2"/>
      <c r="AK78" s="2"/>
      <c r="AL78" s="2"/>
    </row>
    <row r="79" spans="1:62" hidden="1" outlineLevel="1">
      <c r="A79" s="39" t="s">
        <v>65</v>
      </c>
      <c r="C79" s="379">
        <f t="shared" si="160"/>
        <v>5.7666666666666666</v>
      </c>
      <c r="D79" s="429">
        <f t="shared" si="161"/>
        <v>5.7666666666666666</v>
      </c>
      <c r="E79" s="429">
        <f t="shared" ref="E79:F79" si="178">D79</f>
        <v>5.7666666666666666</v>
      </c>
      <c r="F79" s="433">
        <f t="shared" si="178"/>
        <v>5.7666666666666666</v>
      </c>
      <c r="G79" s="511"/>
      <c r="H79" s="518"/>
      <c r="I79" s="379">
        <f t="shared" si="170"/>
        <v>6.7666666666666666</v>
      </c>
      <c r="J79" s="290">
        <f t="shared" ref="J79:L79" si="179">I79</f>
        <v>6.7666666666666666</v>
      </c>
      <c r="K79" s="290">
        <f t="shared" si="179"/>
        <v>6.7666666666666666</v>
      </c>
      <c r="L79" s="396">
        <f t="shared" si="179"/>
        <v>6.7666666666666666</v>
      </c>
      <c r="O79" s="379">
        <f t="shared" si="172"/>
        <v>6.7666666666666666</v>
      </c>
      <c r="P79" s="290">
        <f t="shared" si="173"/>
        <v>6.7666666666666666</v>
      </c>
      <c r="Q79" s="290">
        <f t="shared" si="173"/>
        <v>6.7666666666666666</v>
      </c>
      <c r="R79" s="396">
        <f t="shared" si="173"/>
        <v>6.7666666666666666</v>
      </c>
      <c r="T79" s="342"/>
      <c r="U79" s="379">
        <f t="shared" si="174"/>
        <v>6.7666666666666666</v>
      </c>
      <c r="V79" s="290">
        <f t="shared" si="175"/>
        <v>6.7666666666666666</v>
      </c>
      <c r="W79" s="290">
        <f t="shared" si="165"/>
        <v>6.7666666666666666</v>
      </c>
      <c r="X79" s="396">
        <f t="shared" si="166"/>
        <v>6.7666666666666666</v>
      </c>
      <c r="Y79" s="154"/>
      <c r="Z79" s="154"/>
      <c r="AA79" s="379">
        <f t="shared" si="176"/>
        <v>6.7666666666666666</v>
      </c>
      <c r="AB79" s="290">
        <f t="shared" si="177"/>
        <v>6.7666666666666666</v>
      </c>
      <c r="AC79" s="290">
        <f t="shared" si="167"/>
        <v>6.7666666666666666</v>
      </c>
      <c r="AD79" s="396">
        <f t="shared" si="168"/>
        <v>6.7666666666666666</v>
      </c>
      <c r="AE79" s="154"/>
      <c r="AF79" s="299"/>
      <c r="AG79" s="2"/>
      <c r="AH79" s="2"/>
      <c r="AI79" s="2"/>
      <c r="AJ79" s="2"/>
      <c r="AK79" s="2"/>
      <c r="AL79" s="2"/>
    </row>
    <row r="80" spans="1:62" hidden="1" outlineLevel="1">
      <c r="A80" s="39" t="s">
        <v>66</v>
      </c>
      <c r="C80" s="379">
        <f t="shared" si="160"/>
        <v>4.9666666666666668</v>
      </c>
      <c r="D80" s="429">
        <f t="shared" si="161"/>
        <v>4.9666666666666668</v>
      </c>
      <c r="E80" s="429">
        <f t="shared" ref="E80:F80" si="180">D80</f>
        <v>4.9666666666666668</v>
      </c>
      <c r="F80" s="433">
        <f t="shared" si="180"/>
        <v>4.9666666666666668</v>
      </c>
      <c r="G80" s="511"/>
      <c r="H80" s="518"/>
      <c r="I80" s="379">
        <f t="shared" si="170"/>
        <v>5.9666666666666668</v>
      </c>
      <c r="J80" s="290">
        <f t="shared" ref="J80:L80" si="181">I80</f>
        <v>5.9666666666666668</v>
      </c>
      <c r="K80" s="290">
        <f t="shared" si="181"/>
        <v>5.9666666666666668</v>
      </c>
      <c r="L80" s="396">
        <f t="shared" si="181"/>
        <v>5.9666666666666668</v>
      </c>
      <c r="O80" s="379">
        <f t="shared" si="172"/>
        <v>5.9666666666666668</v>
      </c>
      <c r="P80" s="290">
        <f t="shared" si="173"/>
        <v>5.9666666666666668</v>
      </c>
      <c r="Q80" s="290">
        <f t="shared" si="173"/>
        <v>5.9666666666666668</v>
      </c>
      <c r="R80" s="396">
        <f t="shared" si="173"/>
        <v>5.9666666666666668</v>
      </c>
      <c r="T80" s="342"/>
      <c r="U80" s="379">
        <f t="shared" si="174"/>
        <v>5.9666666666666668</v>
      </c>
      <c r="V80" s="290">
        <f t="shared" si="175"/>
        <v>5.9666666666666668</v>
      </c>
      <c r="W80" s="290">
        <f t="shared" si="165"/>
        <v>5.9666666666666668</v>
      </c>
      <c r="X80" s="396">
        <f t="shared" si="166"/>
        <v>5.9666666666666668</v>
      </c>
      <c r="Y80" s="154"/>
      <c r="Z80" s="154"/>
      <c r="AA80" s="379">
        <f t="shared" si="176"/>
        <v>5.9666666666666668</v>
      </c>
      <c r="AB80" s="290">
        <f t="shared" si="177"/>
        <v>5.9666666666666668</v>
      </c>
      <c r="AC80" s="290">
        <f t="shared" si="167"/>
        <v>5.9666666666666668</v>
      </c>
      <c r="AD80" s="396">
        <f t="shared" si="168"/>
        <v>5.9666666666666668</v>
      </c>
      <c r="AE80" s="154"/>
      <c r="AF80" s="299"/>
      <c r="AG80" s="2"/>
      <c r="AH80" s="2"/>
      <c r="AI80" s="2"/>
      <c r="AJ80" s="2"/>
      <c r="AK80" s="2"/>
      <c r="AL80" s="2"/>
    </row>
    <row r="81" spans="1:62" hidden="1" outlineLevel="1">
      <c r="A81" s="39" t="s">
        <v>328</v>
      </c>
      <c r="C81" s="379">
        <f t="shared" si="160"/>
        <v>4.3</v>
      </c>
      <c r="D81" s="429">
        <f t="shared" si="161"/>
        <v>4.3</v>
      </c>
      <c r="E81" s="429">
        <f t="shared" ref="E81:F81" si="182">D81</f>
        <v>4.3</v>
      </c>
      <c r="F81" s="433">
        <f t="shared" si="182"/>
        <v>4.3</v>
      </c>
      <c r="G81" s="511"/>
      <c r="H81" s="518"/>
      <c r="I81" s="379">
        <f t="shared" si="170"/>
        <v>5.3</v>
      </c>
      <c r="J81" s="290">
        <f t="shared" ref="J81:L81" si="183">I81</f>
        <v>5.3</v>
      </c>
      <c r="K81" s="290">
        <f t="shared" si="183"/>
        <v>5.3</v>
      </c>
      <c r="L81" s="396">
        <f t="shared" si="183"/>
        <v>5.3</v>
      </c>
      <c r="O81" s="379">
        <f t="shared" si="172"/>
        <v>5.3</v>
      </c>
      <c r="P81" s="290">
        <f t="shared" si="173"/>
        <v>5.3</v>
      </c>
      <c r="Q81" s="290">
        <f t="shared" si="173"/>
        <v>5.3</v>
      </c>
      <c r="R81" s="396">
        <f t="shared" si="173"/>
        <v>5.3</v>
      </c>
      <c r="T81" s="342"/>
      <c r="U81" s="379">
        <f t="shared" si="174"/>
        <v>5.3</v>
      </c>
      <c r="V81" s="290">
        <f t="shared" si="175"/>
        <v>5.3</v>
      </c>
      <c r="W81" s="290">
        <f t="shared" si="165"/>
        <v>5.3</v>
      </c>
      <c r="X81" s="396">
        <f t="shared" si="166"/>
        <v>5.3</v>
      </c>
      <c r="Y81" s="154"/>
      <c r="Z81" s="154"/>
      <c r="AA81" s="379">
        <f t="shared" si="176"/>
        <v>5.3</v>
      </c>
      <c r="AB81" s="290">
        <f t="shared" si="177"/>
        <v>5.3</v>
      </c>
      <c r="AC81" s="290">
        <f t="shared" si="167"/>
        <v>5.3</v>
      </c>
      <c r="AD81" s="396">
        <f t="shared" si="168"/>
        <v>5.3</v>
      </c>
      <c r="AE81" s="154"/>
      <c r="AF81" s="299"/>
      <c r="AG81" s="2"/>
      <c r="AH81" s="2"/>
      <c r="AI81" s="2"/>
      <c r="AJ81" s="2"/>
      <c r="AK81" s="2"/>
      <c r="AL81" s="2"/>
    </row>
    <row r="82" spans="1:62" hidden="1" outlineLevel="1">
      <c r="A82" s="467" t="s">
        <v>329</v>
      </c>
      <c r="C82" s="380">
        <f t="shared" si="160"/>
        <v>3.2333333333333334</v>
      </c>
      <c r="D82" s="434">
        <f t="shared" si="161"/>
        <v>3.2333333333333334</v>
      </c>
      <c r="E82" s="434">
        <f t="shared" ref="E82:F82" si="184">D82</f>
        <v>3.2333333333333334</v>
      </c>
      <c r="F82" s="435">
        <f t="shared" si="184"/>
        <v>3.2333333333333334</v>
      </c>
      <c r="G82" s="511"/>
      <c r="H82" s="518"/>
      <c r="I82" s="380">
        <f t="shared" si="170"/>
        <v>4.2333333333333334</v>
      </c>
      <c r="J82" s="397">
        <f t="shared" ref="J82:L82" si="185">I82</f>
        <v>4.2333333333333334</v>
      </c>
      <c r="K82" s="397">
        <f t="shared" si="185"/>
        <v>4.2333333333333334</v>
      </c>
      <c r="L82" s="398">
        <f t="shared" si="185"/>
        <v>4.2333333333333334</v>
      </c>
      <c r="O82" s="380">
        <f t="shared" si="172"/>
        <v>4.2333333333333334</v>
      </c>
      <c r="P82" s="397">
        <f t="shared" si="173"/>
        <v>4.2333333333333334</v>
      </c>
      <c r="Q82" s="397">
        <f t="shared" si="173"/>
        <v>4.2333333333333334</v>
      </c>
      <c r="R82" s="398">
        <f t="shared" si="173"/>
        <v>4.2333333333333334</v>
      </c>
      <c r="T82" s="342"/>
      <c r="U82" s="380">
        <f t="shared" si="174"/>
        <v>4.2333333333333334</v>
      </c>
      <c r="V82" s="397">
        <f t="shared" si="175"/>
        <v>4.2333333333333334</v>
      </c>
      <c r="W82" s="397">
        <f t="shared" si="165"/>
        <v>4.2333333333333334</v>
      </c>
      <c r="X82" s="398">
        <f t="shared" si="166"/>
        <v>4.2333333333333334</v>
      </c>
      <c r="Y82" s="154"/>
      <c r="Z82" s="154"/>
      <c r="AA82" s="380">
        <f t="shared" si="176"/>
        <v>4.2333333333333334</v>
      </c>
      <c r="AB82" s="397">
        <f t="shared" si="177"/>
        <v>4.2333333333333334</v>
      </c>
      <c r="AC82" s="397">
        <f t="shared" si="167"/>
        <v>4.2333333333333334</v>
      </c>
      <c r="AD82" s="398">
        <f t="shared" si="168"/>
        <v>4.2333333333333334</v>
      </c>
      <c r="AE82" s="154"/>
      <c r="AF82" s="299"/>
      <c r="AG82" s="2"/>
      <c r="AH82" s="2"/>
      <c r="AI82" s="2"/>
      <c r="AJ82" s="2"/>
      <c r="AK82" s="2"/>
      <c r="AL82" s="2"/>
    </row>
    <row r="83" spans="1:62" hidden="1" outlineLevel="1">
      <c r="A83" s="2"/>
      <c r="C83" s="290"/>
      <c r="D83" s="429"/>
      <c r="E83" s="429"/>
      <c r="F83" s="429"/>
      <c r="G83" s="511"/>
      <c r="H83" s="518"/>
      <c r="I83" s="169"/>
      <c r="J83" s="169"/>
      <c r="K83" s="169"/>
      <c r="L83" s="169"/>
      <c r="O83" s="169"/>
      <c r="P83" s="169"/>
      <c r="Q83" s="169"/>
      <c r="R83" s="169"/>
      <c r="T83" s="342"/>
      <c r="U83" s="154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299"/>
      <c r="AG83" s="2"/>
      <c r="AH83" s="2"/>
      <c r="AI83" s="2"/>
      <c r="AJ83" s="2"/>
      <c r="AK83" s="2"/>
      <c r="AL83" s="2"/>
    </row>
    <row r="84" spans="1:62" s="425" customFormat="1" hidden="1" outlineLevel="1">
      <c r="A84" s="452" t="s">
        <v>346</v>
      </c>
      <c r="B84" s="502"/>
      <c r="C84" s="354"/>
      <c r="D84" s="354"/>
      <c r="E84" s="354"/>
      <c r="F84" s="354"/>
      <c r="G84" s="512"/>
      <c r="H84" s="517"/>
      <c r="I84" s="354"/>
      <c r="J84" s="354"/>
      <c r="K84" s="354"/>
      <c r="L84" s="354"/>
      <c r="M84" s="503"/>
      <c r="N84" s="529"/>
      <c r="O84" s="354"/>
      <c r="P84" s="354"/>
      <c r="Q84" s="354"/>
      <c r="R84" s="354"/>
      <c r="S84" s="43"/>
      <c r="T84" s="561"/>
      <c r="U84" s="637"/>
      <c r="V84" s="637"/>
      <c r="W84" s="637"/>
      <c r="X84" s="637"/>
      <c r="Y84" s="637"/>
      <c r="Z84" s="637"/>
      <c r="AA84" s="637"/>
      <c r="AB84" s="637"/>
      <c r="AC84" s="637"/>
      <c r="AD84" s="637"/>
      <c r="AE84" s="637"/>
      <c r="AF84" s="562"/>
      <c r="AG84" s="356"/>
      <c r="AH84" s="356"/>
      <c r="AI84" s="356"/>
      <c r="AJ84" s="356"/>
      <c r="AK84" s="356"/>
      <c r="AL84" s="356"/>
      <c r="AM84" s="43"/>
      <c r="AN84" s="43"/>
      <c r="AO84" s="43"/>
      <c r="AP84" s="43"/>
      <c r="AQ84" s="43"/>
      <c r="AR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  <c r="BJ84" s="43"/>
    </row>
    <row r="85" spans="1:62" hidden="1" outlineLevel="1">
      <c r="A85" s="496" t="s">
        <v>327</v>
      </c>
      <c r="C85" s="378">
        <f>'MPS др метрики'!E110</f>
        <v>10.166666666666666</v>
      </c>
      <c r="D85" s="431">
        <f t="shared" ref="D85:D90" si="186">C85</f>
        <v>10.166666666666666</v>
      </c>
      <c r="E85" s="431">
        <f t="shared" ref="E85:F85" si="187">D85</f>
        <v>10.166666666666666</v>
      </c>
      <c r="F85" s="431">
        <f t="shared" si="187"/>
        <v>10.166666666666666</v>
      </c>
      <c r="G85" s="511"/>
      <c r="H85" s="518"/>
      <c r="I85" s="378">
        <f t="shared" ref="I85:L90" si="188">C85</f>
        <v>10.166666666666666</v>
      </c>
      <c r="J85" s="394">
        <f t="shared" si="188"/>
        <v>10.166666666666666</v>
      </c>
      <c r="K85" s="394">
        <f t="shared" si="188"/>
        <v>10.166666666666666</v>
      </c>
      <c r="L85" s="395">
        <f t="shared" si="188"/>
        <v>10.166666666666666</v>
      </c>
      <c r="O85" s="378">
        <f t="shared" ref="O85:R90" si="189">I85</f>
        <v>10.166666666666666</v>
      </c>
      <c r="P85" s="394">
        <f t="shared" si="189"/>
        <v>10.166666666666666</v>
      </c>
      <c r="Q85" s="394">
        <f t="shared" si="189"/>
        <v>10.166666666666666</v>
      </c>
      <c r="R85" s="395">
        <f t="shared" si="189"/>
        <v>10.166666666666666</v>
      </c>
      <c r="T85" s="342"/>
      <c r="U85" s="378">
        <f t="shared" ref="U85:U90" si="190">O85</f>
        <v>10.166666666666666</v>
      </c>
      <c r="V85" s="394">
        <f t="shared" ref="V85:V90" si="191">P85</f>
        <v>10.166666666666666</v>
      </c>
      <c r="W85" s="394">
        <f t="shared" ref="W85:W90" si="192">Q85</f>
        <v>10.166666666666666</v>
      </c>
      <c r="X85" s="395">
        <f t="shared" ref="X85:X90" si="193">R85</f>
        <v>10.166666666666666</v>
      </c>
      <c r="Y85" s="154"/>
      <c r="Z85" s="154"/>
      <c r="AA85" s="378">
        <f t="shared" ref="AA85:AA90" si="194">U85</f>
        <v>10.166666666666666</v>
      </c>
      <c r="AB85" s="394">
        <f t="shared" ref="AB85:AB90" si="195">V85</f>
        <v>10.166666666666666</v>
      </c>
      <c r="AC85" s="394">
        <f t="shared" ref="AC85:AC90" si="196">W85</f>
        <v>10.166666666666666</v>
      </c>
      <c r="AD85" s="395">
        <f t="shared" ref="AD85:AD90" si="197">X85</f>
        <v>10.166666666666666</v>
      </c>
      <c r="AE85" s="154"/>
      <c r="AF85" s="299"/>
      <c r="AG85" s="2"/>
      <c r="AH85" s="2"/>
      <c r="AI85" s="2"/>
      <c r="AJ85" s="2"/>
      <c r="AK85" s="2"/>
      <c r="AL85" s="2"/>
    </row>
    <row r="86" spans="1:62" hidden="1" outlineLevel="1">
      <c r="A86" s="39" t="s">
        <v>62</v>
      </c>
      <c r="C86" s="379">
        <f>'MPS др метрики'!E111</f>
        <v>7.7666666666666666</v>
      </c>
      <c r="D86" s="429">
        <f t="shared" si="186"/>
        <v>7.7666666666666666</v>
      </c>
      <c r="E86" s="429">
        <f t="shared" ref="E86:F90" si="198">D86</f>
        <v>7.7666666666666666</v>
      </c>
      <c r="F86" s="429">
        <f t="shared" si="198"/>
        <v>7.7666666666666666</v>
      </c>
      <c r="G86" s="511"/>
      <c r="H86" s="518"/>
      <c r="I86" s="379">
        <f t="shared" si="188"/>
        <v>7.7666666666666666</v>
      </c>
      <c r="J86" s="290">
        <f t="shared" si="188"/>
        <v>7.7666666666666666</v>
      </c>
      <c r="K86" s="290">
        <f t="shared" si="188"/>
        <v>7.7666666666666666</v>
      </c>
      <c r="L86" s="396">
        <f t="shared" si="188"/>
        <v>7.7666666666666666</v>
      </c>
      <c r="O86" s="379">
        <f t="shared" si="189"/>
        <v>7.7666666666666666</v>
      </c>
      <c r="P86" s="290">
        <f t="shared" si="189"/>
        <v>7.7666666666666666</v>
      </c>
      <c r="Q86" s="290">
        <f t="shared" si="189"/>
        <v>7.7666666666666666</v>
      </c>
      <c r="R86" s="396">
        <f t="shared" si="189"/>
        <v>7.7666666666666666</v>
      </c>
      <c r="T86" s="342"/>
      <c r="U86" s="379">
        <f t="shared" si="190"/>
        <v>7.7666666666666666</v>
      </c>
      <c r="V86" s="290">
        <f t="shared" si="191"/>
        <v>7.7666666666666666</v>
      </c>
      <c r="W86" s="290">
        <f t="shared" si="192"/>
        <v>7.7666666666666666</v>
      </c>
      <c r="X86" s="396">
        <f t="shared" si="193"/>
        <v>7.7666666666666666</v>
      </c>
      <c r="Y86" s="154"/>
      <c r="Z86" s="154"/>
      <c r="AA86" s="379">
        <f t="shared" si="194"/>
        <v>7.7666666666666666</v>
      </c>
      <c r="AB86" s="290">
        <f t="shared" si="195"/>
        <v>7.7666666666666666</v>
      </c>
      <c r="AC86" s="290">
        <f t="shared" si="196"/>
        <v>7.7666666666666666</v>
      </c>
      <c r="AD86" s="396">
        <f t="shared" si="197"/>
        <v>7.7666666666666666</v>
      </c>
      <c r="AE86" s="154"/>
      <c r="AF86" s="299"/>
      <c r="AG86" s="2"/>
      <c r="AH86" s="2"/>
      <c r="AI86" s="2"/>
      <c r="AJ86" s="2"/>
      <c r="AK86" s="2"/>
      <c r="AL86" s="2"/>
    </row>
    <row r="87" spans="1:62" hidden="1" outlineLevel="1">
      <c r="A87" s="39" t="s">
        <v>65</v>
      </c>
      <c r="C87" s="379">
        <f>'MPS др метрики'!E112</f>
        <v>5.7666666666666666</v>
      </c>
      <c r="D87" s="429">
        <f t="shared" si="186"/>
        <v>5.7666666666666666</v>
      </c>
      <c r="E87" s="429">
        <f t="shared" si="198"/>
        <v>5.7666666666666666</v>
      </c>
      <c r="F87" s="429">
        <f t="shared" si="198"/>
        <v>5.7666666666666666</v>
      </c>
      <c r="G87" s="511"/>
      <c r="H87" s="518"/>
      <c r="I87" s="379">
        <f t="shared" si="188"/>
        <v>5.7666666666666666</v>
      </c>
      <c r="J87" s="290">
        <f t="shared" si="188"/>
        <v>5.7666666666666666</v>
      </c>
      <c r="K87" s="290">
        <f t="shared" si="188"/>
        <v>5.7666666666666666</v>
      </c>
      <c r="L87" s="396">
        <f t="shared" si="188"/>
        <v>5.7666666666666666</v>
      </c>
      <c r="O87" s="379">
        <f t="shared" si="189"/>
        <v>5.7666666666666666</v>
      </c>
      <c r="P87" s="290">
        <f t="shared" si="189"/>
        <v>5.7666666666666666</v>
      </c>
      <c r="Q87" s="290">
        <f t="shared" si="189"/>
        <v>5.7666666666666666</v>
      </c>
      <c r="R87" s="396">
        <f t="shared" si="189"/>
        <v>5.7666666666666666</v>
      </c>
      <c r="T87" s="342"/>
      <c r="U87" s="379">
        <f t="shared" si="190"/>
        <v>5.7666666666666666</v>
      </c>
      <c r="V87" s="290">
        <f t="shared" si="191"/>
        <v>5.7666666666666666</v>
      </c>
      <c r="W87" s="290">
        <f t="shared" si="192"/>
        <v>5.7666666666666666</v>
      </c>
      <c r="X87" s="396">
        <f t="shared" si="193"/>
        <v>5.7666666666666666</v>
      </c>
      <c r="Y87" s="154"/>
      <c r="Z87" s="154"/>
      <c r="AA87" s="379">
        <f t="shared" si="194"/>
        <v>5.7666666666666666</v>
      </c>
      <c r="AB87" s="290">
        <f t="shared" si="195"/>
        <v>5.7666666666666666</v>
      </c>
      <c r="AC87" s="290">
        <f t="shared" si="196"/>
        <v>5.7666666666666666</v>
      </c>
      <c r="AD87" s="396">
        <f t="shared" si="197"/>
        <v>5.7666666666666666</v>
      </c>
      <c r="AE87" s="154"/>
      <c r="AF87" s="299"/>
      <c r="AG87" s="2"/>
      <c r="AH87" s="2"/>
      <c r="AI87" s="2"/>
      <c r="AJ87" s="2"/>
      <c r="AK87" s="2"/>
      <c r="AL87" s="2"/>
    </row>
    <row r="88" spans="1:62" hidden="1" outlineLevel="1">
      <c r="A88" s="39" t="s">
        <v>66</v>
      </c>
      <c r="C88" s="379">
        <f>'MPS др метрики'!E113</f>
        <v>4.9666666666666668</v>
      </c>
      <c r="D88" s="429">
        <f t="shared" si="186"/>
        <v>4.9666666666666668</v>
      </c>
      <c r="E88" s="429">
        <f t="shared" si="198"/>
        <v>4.9666666666666668</v>
      </c>
      <c r="F88" s="429">
        <f t="shared" si="198"/>
        <v>4.9666666666666668</v>
      </c>
      <c r="G88" s="511"/>
      <c r="H88" s="518"/>
      <c r="I88" s="379">
        <f t="shared" si="188"/>
        <v>4.9666666666666668</v>
      </c>
      <c r="J88" s="290">
        <f t="shared" si="188"/>
        <v>4.9666666666666668</v>
      </c>
      <c r="K88" s="290">
        <f t="shared" si="188"/>
        <v>4.9666666666666668</v>
      </c>
      <c r="L88" s="396">
        <f t="shared" si="188"/>
        <v>4.9666666666666668</v>
      </c>
      <c r="O88" s="379">
        <f t="shared" si="189"/>
        <v>4.9666666666666668</v>
      </c>
      <c r="P88" s="290">
        <f t="shared" si="189"/>
        <v>4.9666666666666668</v>
      </c>
      <c r="Q88" s="290">
        <f t="shared" si="189"/>
        <v>4.9666666666666668</v>
      </c>
      <c r="R88" s="396">
        <f t="shared" si="189"/>
        <v>4.9666666666666668</v>
      </c>
      <c r="T88" s="342"/>
      <c r="U88" s="379">
        <f t="shared" si="190"/>
        <v>4.9666666666666668</v>
      </c>
      <c r="V88" s="290">
        <f t="shared" si="191"/>
        <v>4.9666666666666668</v>
      </c>
      <c r="W88" s="290">
        <f t="shared" si="192"/>
        <v>4.9666666666666668</v>
      </c>
      <c r="X88" s="396">
        <f t="shared" si="193"/>
        <v>4.9666666666666668</v>
      </c>
      <c r="Y88" s="154"/>
      <c r="Z88" s="154"/>
      <c r="AA88" s="379">
        <f t="shared" si="194"/>
        <v>4.9666666666666668</v>
      </c>
      <c r="AB88" s="290">
        <f t="shared" si="195"/>
        <v>4.9666666666666668</v>
      </c>
      <c r="AC88" s="290">
        <f t="shared" si="196"/>
        <v>4.9666666666666668</v>
      </c>
      <c r="AD88" s="396">
        <f t="shared" si="197"/>
        <v>4.9666666666666668</v>
      </c>
      <c r="AE88" s="154"/>
      <c r="AF88" s="299"/>
      <c r="AG88" s="2"/>
      <c r="AH88" s="2"/>
      <c r="AI88" s="2"/>
      <c r="AJ88" s="2"/>
      <c r="AK88" s="2"/>
      <c r="AL88" s="2"/>
    </row>
    <row r="89" spans="1:62" hidden="1" outlineLevel="1">
      <c r="A89" s="39" t="s">
        <v>328</v>
      </c>
      <c r="C89" s="379">
        <f>'MPS др метрики'!E114</f>
        <v>4.3</v>
      </c>
      <c r="D89" s="429">
        <f t="shared" si="186"/>
        <v>4.3</v>
      </c>
      <c r="E89" s="429">
        <f t="shared" si="198"/>
        <v>4.3</v>
      </c>
      <c r="F89" s="429">
        <f t="shared" si="198"/>
        <v>4.3</v>
      </c>
      <c r="G89" s="511"/>
      <c r="H89" s="518"/>
      <c r="I89" s="379">
        <f t="shared" si="188"/>
        <v>4.3</v>
      </c>
      <c r="J89" s="290">
        <f t="shared" si="188"/>
        <v>4.3</v>
      </c>
      <c r="K89" s="290">
        <f t="shared" si="188"/>
        <v>4.3</v>
      </c>
      <c r="L89" s="396">
        <f t="shared" si="188"/>
        <v>4.3</v>
      </c>
      <c r="O89" s="379">
        <f t="shared" si="189"/>
        <v>4.3</v>
      </c>
      <c r="P89" s="290">
        <f t="shared" si="189"/>
        <v>4.3</v>
      </c>
      <c r="Q89" s="290">
        <f t="shared" si="189"/>
        <v>4.3</v>
      </c>
      <c r="R89" s="396">
        <f t="shared" si="189"/>
        <v>4.3</v>
      </c>
      <c r="T89" s="342"/>
      <c r="U89" s="379">
        <f t="shared" si="190"/>
        <v>4.3</v>
      </c>
      <c r="V89" s="290">
        <f t="shared" si="191"/>
        <v>4.3</v>
      </c>
      <c r="W89" s="290">
        <f t="shared" si="192"/>
        <v>4.3</v>
      </c>
      <c r="X89" s="396">
        <f t="shared" si="193"/>
        <v>4.3</v>
      </c>
      <c r="Y89" s="154"/>
      <c r="Z89" s="154"/>
      <c r="AA89" s="379">
        <f t="shared" si="194"/>
        <v>4.3</v>
      </c>
      <c r="AB89" s="290">
        <f t="shared" si="195"/>
        <v>4.3</v>
      </c>
      <c r="AC89" s="290">
        <f t="shared" si="196"/>
        <v>4.3</v>
      </c>
      <c r="AD89" s="396">
        <f t="shared" si="197"/>
        <v>4.3</v>
      </c>
      <c r="AE89" s="154"/>
      <c r="AF89" s="299"/>
      <c r="AG89" s="2"/>
      <c r="AH89" s="2"/>
      <c r="AI89" s="2"/>
      <c r="AJ89" s="2"/>
      <c r="AK89" s="2"/>
      <c r="AL89" s="2"/>
    </row>
    <row r="90" spans="1:62" hidden="1" outlineLevel="1">
      <c r="A90" s="467" t="s">
        <v>329</v>
      </c>
      <c r="C90" s="380">
        <f>'MPS др метрики'!E115</f>
        <v>3.2333333333333334</v>
      </c>
      <c r="D90" s="434">
        <f t="shared" si="186"/>
        <v>3.2333333333333334</v>
      </c>
      <c r="E90" s="434">
        <f t="shared" si="198"/>
        <v>3.2333333333333334</v>
      </c>
      <c r="F90" s="434">
        <f t="shared" si="198"/>
        <v>3.2333333333333334</v>
      </c>
      <c r="G90" s="511"/>
      <c r="H90" s="518"/>
      <c r="I90" s="380">
        <f t="shared" si="188"/>
        <v>3.2333333333333334</v>
      </c>
      <c r="J90" s="397">
        <f t="shared" si="188"/>
        <v>3.2333333333333334</v>
      </c>
      <c r="K90" s="397">
        <f t="shared" si="188"/>
        <v>3.2333333333333334</v>
      </c>
      <c r="L90" s="398">
        <f t="shared" si="188"/>
        <v>3.2333333333333334</v>
      </c>
      <c r="O90" s="380">
        <f t="shared" si="189"/>
        <v>3.2333333333333334</v>
      </c>
      <c r="P90" s="397">
        <f t="shared" si="189"/>
        <v>3.2333333333333334</v>
      </c>
      <c r="Q90" s="397">
        <f t="shared" si="189"/>
        <v>3.2333333333333334</v>
      </c>
      <c r="R90" s="398">
        <f t="shared" si="189"/>
        <v>3.2333333333333334</v>
      </c>
      <c r="T90" s="342"/>
      <c r="U90" s="380">
        <f t="shared" si="190"/>
        <v>3.2333333333333334</v>
      </c>
      <c r="V90" s="397">
        <f t="shared" si="191"/>
        <v>3.2333333333333334</v>
      </c>
      <c r="W90" s="397">
        <f t="shared" si="192"/>
        <v>3.2333333333333334</v>
      </c>
      <c r="X90" s="398">
        <f t="shared" si="193"/>
        <v>3.2333333333333334</v>
      </c>
      <c r="Y90" s="154"/>
      <c r="Z90" s="154"/>
      <c r="AA90" s="380">
        <f t="shared" si="194"/>
        <v>3.2333333333333334</v>
      </c>
      <c r="AB90" s="397">
        <f t="shared" si="195"/>
        <v>3.2333333333333334</v>
      </c>
      <c r="AC90" s="397">
        <f t="shared" si="196"/>
        <v>3.2333333333333334</v>
      </c>
      <c r="AD90" s="398">
        <f t="shared" si="197"/>
        <v>3.2333333333333334</v>
      </c>
      <c r="AE90" s="154"/>
      <c r="AF90" s="299"/>
      <c r="AG90" s="2"/>
      <c r="AH90" s="2"/>
      <c r="AI90" s="2"/>
      <c r="AJ90" s="2"/>
      <c r="AK90" s="2"/>
      <c r="AL90" s="2"/>
    </row>
    <row r="91" spans="1:62" hidden="1" outlineLevel="1">
      <c r="A91" s="2"/>
      <c r="C91" s="169"/>
      <c r="D91" s="169"/>
      <c r="E91" s="169"/>
      <c r="F91" s="169"/>
      <c r="G91" s="407"/>
      <c r="H91" s="518"/>
      <c r="I91" s="169"/>
      <c r="J91" s="169"/>
      <c r="K91" s="169"/>
      <c r="L91" s="169"/>
      <c r="O91" s="169"/>
      <c r="P91" s="169"/>
      <c r="Q91" s="169"/>
      <c r="R91" s="169"/>
      <c r="T91" s="342"/>
      <c r="U91" s="154"/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299"/>
      <c r="AG91" s="2"/>
      <c r="AH91" s="2"/>
      <c r="AI91" s="2"/>
      <c r="AJ91" s="2"/>
      <c r="AK91" s="2"/>
      <c r="AL91" s="2"/>
    </row>
    <row r="92" spans="1:62" hidden="1" outlineLevel="1">
      <c r="A92" s="436"/>
      <c r="C92" s="169"/>
      <c r="AG92" s="2"/>
      <c r="AH92" s="2"/>
      <c r="AI92" s="2"/>
      <c r="AJ92" s="2"/>
      <c r="AK92" s="2"/>
      <c r="AL92" s="2"/>
    </row>
    <row r="93" spans="1:62" s="418" customFormat="1" ht="20" hidden="1" outlineLevel="1">
      <c r="A93" s="417" t="s">
        <v>349</v>
      </c>
      <c r="B93" s="499"/>
      <c r="C93" s="419"/>
      <c r="D93" s="420"/>
      <c r="E93" s="420"/>
      <c r="F93" s="420"/>
      <c r="G93" s="500"/>
      <c r="H93" s="499"/>
      <c r="I93" s="421"/>
      <c r="J93" s="421"/>
      <c r="K93" s="421"/>
      <c r="L93" s="421"/>
      <c r="M93" s="531"/>
      <c r="N93" s="530"/>
      <c r="O93" s="420"/>
      <c r="P93" s="420"/>
      <c r="Q93" s="420"/>
      <c r="R93" s="420"/>
      <c r="S93" s="420"/>
      <c r="T93" s="559"/>
      <c r="U93" s="420"/>
      <c r="V93" s="420"/>
      <c r="W93" s="420"/>
      <c r="X93" s="420"/>
      <c r="Y93" s="420"/>
      <c r="Z93" s="420"/>
      <c r="AA93" s="420"/>
      <c r="AB93" s="420"/>
      <c r="AC93" s="420"/>
      <c r="AD93" s="420"/>
      <c r="AE93" s="420"/>
      <c r="AF93" s="500"/>
      <c r="AG93" s="417"/>
      <c r="AH93" s="417"/>
      <c r="AI93" s="417"/>
      <c r="AJ93" s="417"/>
      <c r="AK93" s="417"/>
      <c r="AL93" s="417"/>
      <c r="AM93" s="421"/>
      <c r="AN93" s="421"/>
      <c r="AO93" s="421"/>
      <c r="AP93" s="421"/>
      <c r="AQ93" s="421"/>
      <c r="AR93" s="421"/>
      <c r="AY93" s="421"/>
      <c r="AZ93" s="421"/>
      <c r="BA93" s="421"/>
      <c r="BB93" s="421"/>
      <c r="BC93" s="421"/>
      <c r="BD93" s="421"/>
      <c r="BE93" s="421"/>
      <c r="BF93" s="421"/>
      <c r="BG93" s="421"/>
      <c r="BH93" s="421"/>
      <c r="BI93" s="421"/>
      <c r="BJ93" s="421"/>
    </row>
    <row r="94" spans="1:62" ht="20" hidden="1" outlineLevel="1">
      <c r="A94" s="87" t="s">
        <v>350</v>
      </c>
      <c r="B94" s="513"/>
      <c r="C94" s="169">
        <v>60000</v>
      </c>
      <c r="D94" s="169">
        <f>C94</f>
        <v>60000</v>
      </c>
      <c r="E94" s="169">
        <f t="shared" ref="E94:F94" si="199">D94</f>
        <v>60000</v>
      </c>
      <c r="F94" s="169">
        <f t="shared" si="199"/>
        <v>60000</v>
      </c>
      <c r="G94" s="407"/>
      <c r="I94" s="169">
        <f t="shared" ref="I94:L95" si="200">C94</f>
        <v>60000</v>
      </c>
      <c r="J94" s="169">
        <f t="shared" si="200"/>
        <v>60000</v>
      </c>
      <c r="K94" s="169">
        <f t="shared" si="200"/>
        <v>60000</v>
      </c>
      <c r="L94" s="169">
        <f t="shared" si="200"/>
        <v>60000</v>
      </c>
      <c r="M94" s="407"/>
      <c r="N94" s="552"/>
      <c r="O94" s="169">
        <f>I94</f>
        <v>60000</v>
      </c>
      <c r="P94" s="169">
        <f t="shared" ref="P94:R98" si="201">J94</f>
        <v>60000</v>
      </c>
      <c r="Q94" s="169">
        <f t="shared" si="201"/>
        <v>60000</v>
      </c>
      <c r="R94" s="169">
        <f t="shared" si="201"/>
        <v>60000</v>
      </c>
      <c r="T94" s="552"/>
      <c r="U94" s="169">
        <f>O94</f>
        <v>60000</v>
      </c>
      <c r="V94" s="169">
        <f t="shared" ref="V94:V95" si="202">P94</f>
        <v>60000</v>
      </c>
      <c r="W94" s="169">
        <f t="shared" ref="W94:W95" si="203">Q94</f>
        <v>60000</v>
      </c>
      <c r="X94" s="169">
        <f t="shared" ref="X94:X95" si="204">R94</f>
        <v>60000</v>
      </c>
      <c r="Z94" s="552"/>
      <c r="AA94" s="169">
        <f>U94</f>
        <v>60000</v>
      </c>
      <c r="AB94" s="169">
        <f t="shared" ref="AB94:AB95" si="205">V94</f>
        <v>60000</v>
      </c>
      <c r="AC94" s="169">
        <f t="shared" ref="AC94:AC95" si="206">W94</f>
        <v>60000</v>
      </c>
      <c r="AD94" s="169">
        <f t="shared" ref="AD94:AD95" si="207">X94</f>
        <v>60000</v>
      </c>
      <c r="AG94" s="13"/>
      <c r="AH94" s="13"/>
      <c r="AI94" s="13"/>
      <c r="AJ94" s="13"/>
      <c r="AK94" s="13"/>
      <c r="AL94" s="13"/>
    </row>
    <row r="95" spans="1:62" ht="20" hidden="1" outlineLevel="1">
      <c r="A95" s="87" t="s">
        <v>351</v>
      </c>
      <c r="B95" s="513"/>
      <c r="C95" s="169">
        <v>40000</v>
      </c>
      <c r="D95" s="169">
        <f>C95</f>
        <v>40000</v>
      </c>
      <c r="E95" s="169">
        <f t="shared" ref="E95" si="208">D95</f>
        <v>40000</v>
      </c>
      <c r="F95" s="169">
        <f t="shared" ref="F95:F96" si="209">E95</f>
        <v>40000</v>
      </c>
      <c r="G95" s="407"/>
      <c r="I95" s="169">
        <f t="shared" si="200"/>
        <v>40000</v>
      </c>
      <c r="J95" s="169">
        <f t="shared" si="200"/>
        <v>40000</v>
      </c>
      <c r="K95" s="169">
        <f t="shared" si="200"/>
        <v>40000</v>
      </c>
      <c r="L95" s="169">
        <f t="shared" si="200"/>
        <v>40000</v>
      </c>
      <c r="M95" s="407"/>
      <c r="N95" s="552"/>
      <c r="O95" s="169">
        <f>I95</f>
        <v>40000</v>
      </c>
      <c r="P95" s="169">
        <f t="shared" si="201"/>
        <v>40000</v>
      </c>
      <c r="Q95" s="169">
        <f t="shared" si="201"/>
        <v>40000</v>
      </c>
      <c r="R95" s="169">
        <f t="shared" si="201"/>
        <v>40000</v>
      </c>
      <c r="T95" s="552"/>
      <c r="U95" s="169">
        <f>O95</f>
        <v>40000</v>
      </c>
      <c r="V95" s="169">
        <f t="shared" si="202"/>
        <v>40000</v>
      </c>
      <c r="W95" s="169">
        <f t="shared" si="203"/>
        <v>40000</v>
      </c>
      <c r="X95" s="169">
        <f t="shared" si="204"/>
        <v>40000</v>
      </c>
      <c r="Z95" s="552"/>
      <c r="AA95" s="169">
        <f>U95</f>
        <v>40000</v>
      </c>
      <c r="AB95" s="169">
        <f t="shared" si="205"/>
        <v>40000</v>
      </c>
      <c r="AC95" s="169">
        <f t="shared" si="206"/>
        <v>40000</v>
      </c>
      <c r="AD95" s="169">
        <f t="shared" si="207"/>
        <v>40000</v>
      </c>
      <c r="AG95" s="13"/>
      <c r="AH95" s="13"/>
      <c r="AI95" s="13"/>
      <c r="AJ95" s="13"/>
      <c r="AK95" s="13"/>
      <c r="AL95" s="13"/>
    </row>
    <row r="96" spans="1:62" s="425" customFormat="1" ht="40" hidden="1" outlineLevel="1">
      <c r="A96" s="43" t="s">
        <v>352</v>
      </c>
      <c r="B96" s="514"/>
      <c r="C96" s="354">
        <v>0</v>
      </c>
      <c r="D96" s="354">
        <f>C96</f>
        <v>0</v>
      </c>
      <c r="E96" s="354">
        <f>E95</f>
        <v>40000</v>
      </c>
      <c r="F96" s="354">
        <f t="shared" si="209"/>
        <v>40000</v>
      </c>
      <c r="G96" s="515"/>
      <c r="H96" s="517"/>
      <c r="I96" s="422">
        <f>I95+I97</f>
        <v>48000</v>
      </c>
      <c r="J96" s="422">
        <f t="shared" ref="J96:L96" si="210">J95+J97</f>
        <v>48000</v>
      </c>
      <c r="K96" s="422">
        <f t="shared" si="210"/>
        <v>48000</v>
      </c>
      <c r="L96" s="422">
        <f t="shared" si="210"/>
        <v>48000</v>
      </c>
      <c r="M96" s="515"/>
      <c r="N96" s="540"/>
      <c r="O96" s="354">
        <f>I96</f>
        <v>48000</v>
      </c>
      <c r="P96" s="354">
        <f>O96</f>
        <v>48000</v>
      </c>
      <c r="Q96" s="354">
        <f t="shared" ref="Q96:R96" si="211">P96</f>
        <v>48000</v>
      </c>
      <c r="R96" s="354">
        <f t="shared" si="211"/>
        <v>48000</v>
      </c>
      <c r="S96" s="43"/>
      <c r="T96" s="540"/>
      <c r="U96" s="354">
        <f>O96</f>
        <v>48000</v>
      </c>
      <c r="V96" s="354">
        <f>U96</f>
        <v>48000</v>
      </c>
      <c r="W96" s="354">
        <f t="shared" ref="W96:W97" si="212">V96</f>
        <v>48000</v>
      </c>
      <c r="X96" s="354">
        <f t="shared" ref="X96:X97" si="213">W96</f>
        <v>48000</v>
      </c>
      <c r="Y96" s="43"/>
      <c r="Z96" s="540"/>
      <c r="AA96" s="354">
        <f>U96</f>
        <v>48000</v>
      </c>
      <c r="AB96" s="354">
        <f>AA96</f>
        <v>48000</v>
      </c>
      <c r="AC96" s="354">
        <f t="shared" ref="AC96:AC97" si="214">AB96</f>
        <v>48000</v>
      </c>
      <c r="AD96" s="354">
        <f t="shared" ref="AD96:AD97" si="215">AC96</f>
        <v>48000</v>
      </c>
      <c r="AE96" s="43"/>
      <c r="AF96" s="503"/>
      <c r="AG96" s="355"/>
      <c r="AH96" s="355"/>
      <c r="AI96" s="355"/>
      <c r="AJ96" s="355"/>
      <c r="AK96" s="355"/>
      <c r="AL96" s="355"/>
      <c r="AM96" s="43"/>
      <c r="AN96" s="43"/>
      <c r="AO96" s="43"/>
      <c r="AP96" s="43"/>
      <c r="AQ96" s="43"/>
      <c r="AR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  <c r="BJ96" s="43"/>
    </row>
    <row r="97" spans="1:62" ht="40" hidden="1" outlineLevel="1">
      <c r="B97" s="513"/>
      <c r="C97" s="169"/>
      <c r="D97" s="169"/>
      <c r="E97" s="169"/>
      <c r="F97" s="169"/>
      <c r="G97" s="407"/>
      <c r="H97" s="536" t="s">
        <v>366</v>
      </c>
      <c r="I97" s="345">
        <f>I95*I98-I95</f>
        <v>8000</v>
      </c>
      <c r="J97" s="345">
        <f>I97</f>
        <v>8000</v>
      </c>
      <c r="K97" s="345">
        <f t="shared" ref="K97:L97" si="216">J97</f>
        <v>8000</v>
      </c>
      <c r="L97" s="345">
        <f t="shared" si="216"/>
        <v>8000</v>
      </c>
      <c r="M97" s="407"/>
      <c r="N97" s="553" t="s">
        <v>353</v>
      </c>
      <c r="O97" s="345">
        <f>I97</f>
        <v>8000</v>
      </c>
      <c r="P97" s="345">
        <f>O97</f>
        <v>8000</v>
      </c>
      <c r="Q97" s="345">
        <f t="shared" ref="Q97:R97" si="217">P97</f>
        <v>8000</v>
      </c>
      <c r="R97" s="345">
        <f t="shared" si="217"/>
        <v>8000</v>
      </c>
      <c r="T97" s="553" t="s">
        <v>353</v>
      </c>
      <c r="U97" s="345">
        <f>O97</f>
        <v>8000</v>
      </c>
      <c r="V97" s="345">
        <f>U97</f>
        <v>8000</v>
      </c>
      <c r="W97" s="345">
        <f t="shared" si="212"/>
        <v>8000</v>
      </c>
      <c r="X97" s="345">
        <f t="shared" si="213"/>
        <v>8000</v>
      </c>
      <c r="Z97" s="553" t="s">
        <v>353</v>
      </c>
      <c r="AA97" s="345">
        <f>U97</f>
        <v>8000</v>
      </c>
      <c r="AB97" s="345">
        <f>AA97</f>
        <v>8000</v>
      </c>
      <c r="AC97" s="345">
        <f t="shared" si="214"/>
        <v>8000</v>
      </c>
      <c r="AD97" s="345">
        <f t="shared" si="215"/>
        <v>8000</v>
      </c>
      <c r="AG97" s="13"/>
      <c r="AH97" s="13"/>
      <c r="AI97" s="13"/>
      <c r="AJ97" s="13"/>
      <c r="AK97" s="13"/>
      <c r="AL97" s="13"/>
    </row>
    <row r="98" spans="1:62" hidden="1" outlineLevel="1">
      <c r="C98" s="2"/>
      <c r="D98" s="2"/>
      <c r="E98" s="2"/>
      <c r="F98" s="2"/>
      <c r="H98" s="537"/>
      <c r="I98" s="490">
        <v>1.2</v>
      </c>
      <c r="J98" s="490">
        <f>I98</f>
        <v>1.2</v>
      </c>
      <c r="K98" s="490">
        <f t="shared" ref="K98:L98" si="218">J98</f>
        <v>1.2</v>
      </c>
      <c r="L98" s="490">
        <f t="shared" si="218"/>
        <v>1.2</v>
      </c>
      <c r="N98" s="537"/>
      <c r="O98" s="490">
        <f>I98</f>
        <v>1.2</v>
      </c>
      <c r="P98" s="490">
        <f t="shared" si="201"/>
        <v>1.2</v>
      </c>
      <c r="Q98" s="490">
        <f t="shared" si="201"/>
        <v>1.2</v>
      </c>
      <c r="R98" s="449">
        <f t="shared" si="201"/>
        <v>1.2</v>
      </c>
      <c r="T98" s="537"/>
      <c r="U98" s="490">
        <f>O98</f>
        <v>1.2</v>
      </c>
      <c r="V98" s="490">
        <f t="shared" ref="V98" si="219">P98</f>
        <v>1.2</v>
      </c>
      <c r="W98" s="490">
        <f t="shared" ref="W98" si="220">Q98</f>
        <v>1.2</v>
      </c>
      <c r="X98" s="449">
        <f t="shared" ref="X98" si="221">R98</f>
        <v>1.2</v>
      </c>
      <c r="Z98" s="537"/>
      <c r="AA98" s="490">
        <f>U98</f>
        <v>1.2</v>
      </c>
      <c r="AB98" s="490">
        <f t="shared" ref="AB98" si="222">V98</f>
        <v>1.2</v>
      </c>
      <c r="AC98" s="490">
        <f t="shared" ref="AC98" si="223">W98</f>
        <v>1.2</v>
      </c>
      <c r="AD98" s="449">
        <f t="shared" ref="AD98" si="224">X98</f>
        <v>1.2</v>
      </c>
    </row>
    <row r="99" spans="1:62" hidden="1" outlineLevel="1">
      <c r="C99" s="2"/>
      <c r="I99" s="344" t="s">
        <v>365</v>
      </c>
      <c r="N99" s="537"/>
      <c r="O99" s="451" t="s">
        <v>354</v>
      </c>
      <c r="P99" s="450"/>
      <c r="Q99" s="450"/>
      <c r="R99" s="450"/>
      <c r="T99" s="537"/>
      <c r="U99" s="451" t="s">
        <v>354</v>
      </c>
      <c r="V99" s="450"/>
      <c r="W99" s="450"/>
      <c r="X99" s="450"/>
      <c r="Z99" s="537"/>
      <c r="AA99" s="451" t="s">
        <v>354</v>
      </c>
      <c r="AB99" s="450"/>
      <c r="AC99" s="450"/>
      <c r="AD99" s="450"/>
    </row>
    <row r="100" spans="1:62" hidden="1" outlineLevel="1">
      <c r="C100" s="2"/>
      <c r="I100" s="423"/>
      <c r="L100" s="139"/>
      <c r="Z100" s="87"/>
    </row>
    <row r="101" spans="1:62" s="418" customFormat="1" ht="20" hidden="1" outlineLevel="1">
      <c r="A101" s="417" t="s">
        <v>335</v>
      </c>
      <c r="B101" s="499"/>
      <c r="C101" s="419"/>
      <c r="D101" s="420"/>
      <c r="E101" s="420"/>
      <c r="F101" s="420"/>
      <c r="G101" s="500"/>
      <c r="H101" s="530"/>
      <c r="I101" s="421"/>
      <c r="J101" s="421"/>
      <c r="K101" s="421"/>
      <c r="L101" s="421"/>
      <c r="M101" s="531"/>
      <c r="N101" s="530"/>
      <c r="O101" s="465"/>
      <c r="P101" s="420"/>
      <c r="Q101" s="420"/>
      <c r="R101" s="420"/>
      <c r="S101" s="420"/>
      <c r="T101" s="559"/>
      <c r="U101" s="420"/>
      <c r="V101" s="420"/>
      <c r="W101" s="420"/>
      <c r="X101" s="420"/>
      <c r="Y101" s="420"/>
      <c r="Z101" s="420"/>
      <c r="AA101" s="420"/>
      <c r="AB101" s="420"/>
      <c r="AC101" s="420"/>
      <c r="AD101" s="420"/>
      <c r="AE101" s="420"/>
      <c r="AF101" s="500"/>
      <c r="AG101" s="417"/>
      <c r="AH101" s="417"/>
      <c r="AI101" s="417"/>
      <c r="AJ101" s="417"/>
      <c r="AK101" s="417"/>
      <c r="AL101" s="417"/>
      <c r="AM101" s="421"/>
      <c r="AN101" s="421"/>
      <c r="AO101" s="421"/>
      <c r="AP101" s="421"/>
      <c r="AQ101" s="421"/>
      <c r="AR101" s="421"/>
      <c r="AY101" s="421"/>
      <c r="AZ101" s="421"/>
      <c r="BA101" s="421"/>
      <c r="BB101" s="421"/>
      <c r="BC101" s="421"/>
      <c r="BD101" s="421"/>
      <c r="BE101" s="421"/>
      <c r="BF101" s="421"/>
      <c r="BG101" s="421"/>
      <c r="BH101" s="421"/>
      <c r="BI101" s="421"/>
      <c r="BJ101" s="421"/>
    </row>
    <row r="102" spans="1:62" s="437" customFormat="1" ht="20" hidden="1" outlineLevel="1">
      <c r="A102" s="260" t="s">
        <v>358</v>
      </c>
      <c r="B102" s="518"/>
      <c r="C102" s="447">
        <f>C114</f>
        <v>28150</v>
      </c>
      <c r="D102" s="447">
        <f t="shared" ref="D102:F102" si="225">D114</f>
        <v>28150</v>
      </c>
      <c r="E102" s="447">
        <f t="shared" si="225"/>
        <v>28150</v>
      </c>
      <c r="F102" s="447">
        <f t="shared" si="225"/>
        <v>28150</v>
      </c>
      <c r="G102" s="516"/>
      <c r="H102" s="538"/>
      <c r="I102" s="255">
        <f>C102</f>
        <v>28150</v>
      </c>
      <c r="J102" s="255">
        <f>I102</f>
        <v>28150</v>
      </c>
      <c r="K102" s="255">
        <f t="shared" ref="K102:L102" si="226">J102</f>
        <v>28150</v>
      </c>
      <c r="L102" s="255">
        <f t="shared" si="226"/>
        <v>28150</v>
      </c>
      <c r="M102" s="539"/>
      <c r="N102" s="554"/>
      <c r="O102" s="448">
        <f>O103+O104</f>
        <v>1825.8870762882507</v>
      </c>
      <c r="P102" s="448">
        <f t="shared" ref="P102:R102" si="227">P103+P104</f>
        <v>1825.8870762882507</v>
      </c>
      <c r="Q102" s="448">
        <f t="shared" si="227"/>
        <v>1825.8870762882507</v>
      </c>
      <c r="R102" s="448">
        <f t="shared" si="227"/>
        <v>1825.8870762882507</v>
      </c>
      <c r="S102" s="270"/>
      <c r="T102" s="264"/>
      <c r="U102" s="448">
        <f>O102</f>
        <v>1825.8870762882507</v>
      </c>
      <c r="V102" s="448">
        <f>P102</f>
        <v>1825.8870762882507</v>
      </c>
      <c r="W102" s="448">
        <f t="shared" ref="W102:Y104" si="228">Q102</f>
        <v>1825.8870762882507</v>
      </c>
      <c r="X102" s="448">
        <f t="shared" si="228"/>
        <v>1825.8870762882507</v>
      </c>
      <c r="Y102" s="270"/>
      <c r="Z102" s="260"/>
      <c r="AA102" s="255">
        <f>I102</f>
        <v>28150</v>
      </c>
      <c r="AB102" s="255">
        <f t="shared" ref="AB102:AD102" si="229">J102</f>
        <v>28150</v>
      </c>
      <c r="AC102" s="255">
        <f t="shared" si="229"/>
        <v>28150</v>
      </c>
      <c r="AD102" s="255">
        <f t="shared" si="229"/>
        <v>28150</v>
      </c>
      <c r="AE102" s="260"/>
      <c r="AF102" s="516"/>
      <c r="AG102" s="260"/>
      <c r="AH102" s="260"/>
      <c r="AI102" s="260"/>
      <c r="AJ102" s="260"/>
      <c r="AK102" s="260"/>
      <c r="AL102" s="260"/>
      <c r="AM102" s="263"/>
      <c r="AN102" s="263"/>
      <c r="AO102" s="263"/>
      <c r="AP102" s="263"/>
      <c r="AQ102" s="263"/>
      <c r="AR102" s="263"/>
      <c r="AY102" s="268" t="s">
        <v>141</v>
      </c>
      <c r="AZ102" s="263"/>
      <c r="BA102" s="263"/>
      <c r="BB102" s="263"/>
      <c r="BC102" s="263"/>
      <c r="BD102" s="263"/>
      <c r="BE102" s="263" t="s">
        <v>33</v>
      </c>
      <c r="BF102" s="263"/>
      <c r="BG102" s="263"/>
      <c r="BH102" s="263"/>
      <c r="BI102" s="263"/>
      <c r="BJ102" s="263"/>
    </row>
    <row r="103" spans="1:62" s="425" customFormat="1" ht="20" hidden="1" outlineLevel="1">
      <c r="A103" s="358" t="s">
        <v>324</v>
      </c>
      <c r="B103" s="518"/>
      <c r="C103" s="71" t="s">
        <v>141</v>
      </c>
      <c r="D103" s="71" t="s">
        <v>141</v>
      </c>
      <c r="E103" s="71" t="s">
        <v>141</v>
      </c>
      <c r="F103" s="71" t="s">
        <v>141</v>
      </c>
      <c r="G103" s="498"/>
      <c r="H103" s="540"/>
      <c r="I103" s="71" t="s">
        <v>141</v>
      </c>
      <c r="J103" s="71" t="s">
        <v>141</v>
      </c>
      <c r="K103" s="71" t="s">
        <v>141</v>
      </c>
      <c r="L103" s="71" t="s">
        <v>141</v>
      </c>
      <c r="M103" s="503"/>
      <c r="N103" s="529"/>
      <c r="O103" s="354">
        <v>0</v>
      </c>
      <c r="P103" s="354">
        <v>0</v>
      </c>
      <c r="Q103" s="354">
        <v>0</v>
      </c>
      <c r="R103" s="354">
        <v>0</v>
      </c>
      <c r="S103" s="354">
        <v>0</v>
      </c>
      <c r="T103" s="558"/>
      <c r="U103" s="354">
        <f>O103</f>
        <v>0</v>
      </c>
      <c r="V103" s="354">
        <f t="shared" ref="V103:V104" si="230">P103</f>
        <v>0</v>
      </c>
      <c r="W103" s="354">
        <f t="shared" si="228"/>
        <v>0</v>
      </c>
      <c r="X103" s="354">
        <f t="shared" si="228"/>
        <v>0</v>
      </c>
      <c r="Y103" s="354">
        <f t="shared" si="228"/>
        <v>0</v>
      </c>
      <c r="Z103" s="355"/>
      <c r="AA103" s="71" t="s">
        <v>141</v>
      </c>
      <c r="AB103" s="71" t="s">
        <v>141</v>
      </c>
      <c r="AC103" s="71" t="s">
        <v>141</v>
      </c>
      <c r="AD103" s="71" t="s">
        <v>141</v>
      </c>
      <c r="AE103" s="355"/>
      <c r="AF103" s="498"/>
      <c r="AG103" s="355"/>
      <c r="AH103" s="355"/>
      <c r="AI103" s="355"/>
      <c r="AJ103" s="355"/>
      <c r="AK103" s="355"/>
      <c r="AL103" s="355"/>
      <c r="AM103" s="43"/>
      <c r="AN103" s="43"/>
      <c r="AO103" s="43"/>
      <c r="AP103" s="43"/>
      <c r="AQ103" s="43"/>
      <c r="AR103" s="43"/>
      <c r="AY103" s="360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  <c r="BJ103" s="43"/>
    </row>
    <row r="104" spans="1:62" s="425" customFormat="1" ht="20" hidden="1" outlineLevel="1">
      <c r="A104" s="357" t="s">
        <v>486</v>
      </c>
      <c r="B104" s="518"/>
      <c r="C104" s="43"/>
      <c r="D104" s="43"/>
      <c r="E104" s="43"/>
      <c r="F104" s="43"/>
      <c r="G104" s="515"/>
      <c r="H104" s="529"/>
      <c r="I104" s="43"/>
      <c r="J104" s="43"/>
      <c r="K104" s="43"/>
      <c r="L104" s="43"/>
      <c r="M104" s="503"/>
      <c r="N104" s="529"/>
      <c r="O104" s="444">
        <f>S104</f>
        <v>1825.8870762882507</v>
      </c>
      <c r="P104" s="444">
        <f>S104</f>
        <v>1825.8870762882507</v>
      </c>
      <c r="Q104" s="444">
        <f>S104</f>
        <v>1825.8870762882507</v>
      </c>
      <c r="R104" s="444">
        <f>S104</f>
        <v>1825.8870762882507</v>
      </c>
      <c r="S104" s="444">
        <f>3000000/S20</f>
        <v>1825.8870762882507</v>
      </c>
      <c r="T104" s="517"/>
      <c r="U104" s="444">
        <f>O104</f>
        <v>1825.8870762882507</v>
      </c>
      <c r="V104" s="444">
        <f t="shared" si="230"/>
        <v>1825.8870762882507</v>
      </c>
      <c r="W104" s="444">
        <f t="shared" si="228"/>
        <v>1825.8870762882507</v>
      </c>
      <c r="X104" s="444">
        <f t="shared" si="228"/>
        <v>1825.8870762882507</v>
      </c>
      <c r="Y104" s="444">
        <f t="shared" si="228"/>
        <v>1825.8870762882507</v>
      </c>
      <c r="AA104" s="43"/>
      <c r="AB104" s="43"/>
      <c r="AC104" s="43"/>
      <c r="AD104" s="43"/>
      <c r="AF104" s="557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  <c r="BJ104" s="43"/>
    </row>
    <row r="105" spans="1:62" hidden="1" outlineLevel="1">
      <c r="A105" s="423"/>
      <c r="B105" s="518"/>
      <c r="C105" s="423"/>
      <c r="D105" s="169"/>
      <c r="E105" s="169"/>
      <c r="F105" s="169"/>
      <c r="G105" s="407"/>
      <c r="I105" s="656" t="s">
        <v>405</v>
      </c>
      <c r="N105" s="555"/>
      <c r="O105" s="344" t="s">
        <v>516</v>
      </c>
      <c r="P105" s="466"/>
      <c r="Q105" s="466"/>
      <c r="R105" s="466"/>
      <c r="S105" s="427"/>
      <c r="T105" s="518"/>
      <c r="U105" s="344" t="s">
        <v>373</v>
      </c>
      <c r="V105" s="466"/>
      <c r="W105" s="466"/>
      <c r="X105" s="466"/>
      <c r="Y105" s="427"/>
      <c r="Z105" s="423"/>
      <c r="AA105" s="656" t="s">
        <v>405</v>
      </c>
      <c r="AE105" s="423"/>
      <c r="AF105" s="504"/>
      <c r="AG105" s="423"/>
      <c r="AH105" s="423"/>
      <c r="AI105" s="423"/>
      <c r="AJ105" s="423"/>
      <c r="AK105" s="423"/>
      <c r="AL105" s="423"/>
      <c r="AM105" s="423"/>
      <c r="AN105" s="423"/>
      <c r="AO105" s="423"/>
      <c r="AP105" s="423"/>
      <c r="AQ105" s="423"/>
      <c r="AR105" s="423"/>
      <c r="AY105" s="423"/>
      <c r="BE105" s="14"/>
    </row>
    <row r="106" spans="1:62" hidden="1" outlineLevel="1">
      <c r="A106" s="273"/>
      <c r="B106" s="518"/>
      <c r="C106" s="169"/>
      <c r="D106" s="169"/>
      <c r="E106" s="169"/>
      <c r="F106" s="169"/>
      <c r="G106" s="407"/>
      <c r="N106" s="518"/>
      <c r="O106" s="353" t="s">
        <v>319</v>
      </c>
      <c r="T106" s="518"/>
      <c r="U106" s="353" t="s">
        <v>319</v>
      </c>
      <c r="Z106" s="423"/>
      <c r="AE106" s="423"/>
      <c r="AF106" s="504"/>
      <c r="AG106" s="423"/>
      <c r="AH106" s="423"/>
      <c r="AI106" s="423"/>
      <c r="AJ106" s="423"/>
      <c r="AK106" s="423"/>
      <c r="AL106" s="423"/>
      <c r="AM106" s="423"/>
      <c r="AN106" s="423"/>
      <c r="AO106" s="423"/>
      <c r="AP106" s="423"/>
      <c r="AQ106" s="423"/>
      <c r="AR106" s="423"/>
      <c r="AY106" s="423"/>
      <c r="BE106" s="14"/>
    </row>
    <row r="107" spans="1:62" hidden="1" outlineLevel="1">
      <c r="A107" s="273"/>
      <c r="B107" s="518"/>
      <c r="C107" s="169"/>
      <c r="D107" s="169"/>
      <c r="E107" s="169"/>
      <c r="F107" s="169"/>
      <c r="G107" s="407"/>
      <c r="O107" s="423"/>
      <c r="T107" s="518"/>
      <c r="U107" s="423"/>
      <c r="Z107" s="423"/>
      <c r="AA107" s="423"/>
      <c r="AB107" s="423"/>
      <c r="AC107" s="423"/>
      <c r="AD107" s="423"/>
      <c r="AE107" s="423"/>
      <c r="AF107" s="504"/>
      <c r="AG107" s="423"/>
      <c r="AH107" s="423"/>
      <c r="AI107" s="423"/>
      <c r="AJ107" s="423"/>
      <c r="AK107" s="423"/>
      <c r="AL107" s="423"/>
      <c r="AM107" s="423"/>
      <c r="AN107" s="423"/>
      <c r="AO107" s="423"/>
      <c r="AP107" s="423"/>
      <c r="AQ107" s="423"/>
      <c r="AR107" s="423"/>
      <c r="AY107" s="423"/>
      <c r="BE107" s="14"/>
    </row>
    <row r="108" spans="1:62" s="425" customFormat="1" ht="40" hidden="1" outlineLevel="1">
      <c r="A108" s="355" t="s">
        <v>356</v>
      </c>
      <c r="B108" s="382"/>
      <c r="C108" s="438">
        <f>C122</f>
        <v>1575</v>
      </c>
      <c r="D108" s="354">
        <f>C108</f>
        <v>1575</v>
      </c>
      <c r="E108" s="354">
        <f t="shared" ref="E108:F108" si="231">D108</f>
        <v>1575</v>
      </c>
      <c r="F108" s="354">
        <f t="shared" si="231"/>
        <v>1575</v>
      </c>
      <c r="G108" s="498"/>
      <c r="H108" s="541"/>
      <c r="I108" s="361">
        <v>0</v>
      </c>
      <c r="J108" s="361">
        <f>I108</f>
        <v>0</v>
      </c>
      <c r="K108" s="361">
        <f t="shared" ref="K108" si="232">J108</f>
        <v>0</v>
      </c>
      <c r="L108" s="361">
        <f t="shared" ref="L108" si="233">K108</f>
        <v>0</v>
      </c>
      <c r="M108" s="503"/>
      <c r="N108" s="529"/>
      <c r="O108" s="361">
        <v>0</v>
      </c>
      <c r="P108" s="361">
        <f>O108</f>
        <v>0</v>
      </c>
      <c r="Q108" s="361">
        <f t="shared" ref="Q108:S108" si="234">P108</f>
        <v>0</v>
      </c>
      <c r="R108" s="361">
        <f t="shared" si="234"/>
        <v>0</v>
      </c>
      <c r="S108" s="361">
        <f t="shared" si="234"/>
        <v>0</v>
      </c>
      <c r="T108" s="558"/>
      <c r="U108" s="361">
        <v>0</v>
      </c>
      <c r="V108" s="361">
        <f>U108</f>
        <v>0</v>
      </c>
      <c r="W108" s="361">
        <f t="shared" ref="W108" si="235">V108</f>
        <v>0</v>
      </c>
      <c r="X108" s="361">
        <f t="shared" ref="X108" si="236">W108</f>
        <v>0</v>
      </c>
      <c r="Y108" s="361">
        <f t="shared" ref="Y108" si="237">X108</f>
        <v>0</v>
      </c>
      <c r="Z108" s="355"/>
      <c r="AA108" s="361">
        <f>I108</f>
        <v>0</v>
      </c>
      <c r="AB108" s="361">
        <f>J108</f>
        <v>0</v>
      </c>
      <c r="AC108" s="361">
        <f>K108</f>
        <v>0</v>
      </c>
      <c r="AD108" s="361">
        <f>L108</f>
        <v>0</v>
      </c>
      <c r="AE108" s="355"/>
      <c r="AF108" s="498"/>
      <c r="AG108" s="355"/>
      <c r="AH108" s="355"/>
      <c r="AI108" s="355"/>
      <c r="AJ108" s="355"/>
      <c r="AK108" s="355"/>
      <c r="AL108" s="355"/>
      <c r="AM108" s="43"/>
      <c r="AN108" s="43"/>
      <c r="AO108" s="43"/>
      <c r="AP108" s="43"/>
      <c r="AQ108" s="43"/>
      <c r="AR108" s="43"/>
      <c r="AY108" s="463" t="s">
        <v>141</v>
      </c>
      <c r="AZ108" s="43"/>
      <c r="BA108" s="43"/>
      <c r="BB108" s="43"/>
      <c r="BC108" s="43"/>
      <c r="BD108" s="43"/>
      <c r="BE108" s="43" t="s">
        <v>33</v>
      </c>
      <c r="BF108" s="43"/>
      <c r="BG108" s="43"/>
      <c r="BH108" s="43"/>
      <c r="BI108" s="43"/>
      <c r="BJ108" s="43"/>
    </row>
    <row r="109" spans="1:62" s="440" customFormat="1" hidden="1" outlineLevel="1">
      <c r="A109" s="439"/>
      <c r="B109" s="519"/>
      <c r="C109" s="441"/>
      <c r="D109" s="442"/>
      <c r="E109" s="442"/>
      <c r="F109" s="442"/>
      <c r="G109" s="520"/>
      <c r="H109" s="542"/>
      <c r="I109" s="443"/>
      <c r="J109" s="443"/>
      <c r="K109" s="443"/>
      <c r="L109" s="443"/>
      <c r="M109" s="543"/>
      <c r="N109" s="542"/>
      <c r="O109" s="442"/>
      <c r="P109" s="442"/>
      <c r="Q109" s="442"/>
      <c r="R109" s="442"/>
      <c r="S109" s="442"/>
      <c r="T109" s="563"/>
      <c r="U109" s="442"/>
      <c r="V109" s="442"/>
      <c r="W109" s="442"/>
      <c r="X109" s="442"/>
      <c r="Y109" s="442"/>
      <c r="Z109" s="442"/>
      <c r="AA109" s="442"/>
      <c r="AB109" s="442"/>
      <c r="AC109" s="442"/>
      <c r="AD109" s="442"/>
      <c r="AE109" s="442"/>
      <c r="AF109" s="520"/>
      <c r="AG109" s="439"/>
      <c r="AH109" s="439"/>
      <c r="AI109" s="439"/>
      <c r="AJ109" s="439"/>
      <c r="AK109" s="439"/>
      <c r="AL109" s="439"/>
      <c r="AM109" s="443"/>
      <c r="AN109" s="443"/>
      <c r="AO109" s="443"/>
      <c r="AP109" s="443"/>
      <c r="AQ109" s="443"/>
      <c r="AR109" s="443"/>
      <c r="AY109" s="443"/>
      <c r="AZ109" s="443"/>
      <c r="BA109" s="443"/>
      <c r="BB109" s="443"/>
      <c r="BC109" s="443"/>
      <c r="BD109" s="443"/>
      <c r="BE109" s="443"/>
      <c r="BF109" s="443"/>
      <c r="BG109" s="443"/>
      <c r="BH109" s="443"/>
      <c r="BI109" s="443"/>
      <c r="BJ109" s="443"/>
    </row>
    <row r="110" spans="1:62" s="459" customFormat="1" ht="20" hidden="1" outlineLevel="1">
      <c r="A110" s="259" t="s">
        <v>361</v>
      </c>
      <c r="B110" s="519"/>
      <c r="C110" s="464">
        <f>C130</f>
        <v>731.26142595978058</v>
      </c>
      <c r="D110" s="464">
        <f>D130</f>
        <v>731.26142595978058</v>
      </c>
      <c r="E110" s="464">
        <f>E130</f>
        <v>731.26142595978058</v>
      </c>
      <c r="F110" s="464">
        <f>F130</f>
        <v>731.26142595978058</v>
      </c>
      <c r="G110" s="521"/>
      <c r="H110" s="71" t="s">
        <v>141</v>
      </c>
      <c r="I110" s="464">
        <f>C110</f>
        <v>731.26142595978058</v>
      </c>
      <c r="J110" s="464">
        <f t="shared" ref="J110:L110" si="238">D110</f>
        <v>731.26142595978058</v>
      </c>
      <c r="K110" s="464">
        <f t="shared" si="238"/>
        <v>731.26142595978058</v>
      </c>
      <c r="L110" s="464">
        <f t="shared" si="238"/>
        <v>731.26142595978058</v>
      </c>
      <c r="M110" s="545"/>
      <c r="N110" s="544"/>
      <c r="O110" s="460">
        <f>I110</f>
        <v>731.26142595978058</v>
      </c>
      <c r="P110" s="460">
        <f t="shared" ref="P110" si="239">J110</f>
        <v>731.26142595978058</v>
      </c>
      <c r="Q110" s="460">
        <f t="shared" ref="Q110" si="240">K110</f>
        <v>731.26142595978058</v>
      </c>
      <c r="R110" s="460">
        <f t="shared" ref="R110" si="241">L110</f>
        <v>731.26142595978058</v>
      </c>
      <c r="S110" s="638"/>
      <c r="T110" s="564"/>
      <c r="U110" s="460">
        <f>O110</f>
        <v>731.26142595978058</v>
      </c>
      <c r="V110" s="460">
        <f t="shared" ref="V110" si="242">P110</f>
        <v>731.26142595978058</v>
      </c>
      <c r="W110" s="460">
        <f t="shared" ref="W110" si="243">Q110</f>
        <v>731.26142595978058</v>
      </c>
      <c r="X110" s="460">
        <f t="shared" ref="X110" si="244">R110</f>
        <v>731.26142595978058</v>
      </c>
      <c r="Y110" s="638"/>
      <c r="Z110" s="638"/>
      <c r="AA110" s="361">
        <f>I110</f>
        <v>731.26142595978058</v>
      </c>
      <c r="AB110" s="361">
        <f>J110</f>
        <v>731.26142595978058</v>
      </c>
      <c r="AC110" s="361">
        <f>K110</f>
        <v>731.26142595978058</v>
      </c>
      <c r="AD110" s="361">
        <f>L110</f>
        <v>731.26142595978058</v>
      </c>
      <c r="AE110" s="638"/>
      <c r="AF110" s="521"/>
      <c r="AG110" s="462"/>
      <c r="AH110" s="462"/>
      <c r="AI110" s="462"/>
      <c r="AJ110" s="462"/>
      <c r="AK110" s="462"/>
      <c r="AL110" s="462"/>
      <c r="AM110" s="461"/>
      <c r="AN110" s="461"/>
      <c r="AO110" s="461"/>
      <c r="AP110" s="461"/>
      <c r="AQ110" s="461"/>
      <c r="AR110" s="461"/>
      <c r="AY110" s="461"/>
      <c r="AZ110" s="461"/>
      <c r="BA110" s="461"/>
      <c r="BB110" s="461"/>
      <c r="BC110" s="461"/>
      <c r="BD110" s="461"/>
      <c r="BE110" s="461"/>
      <c r="BF110" s="461"/>
      <c r="BG110" s="461"/>
      <c r="BH110" s="461"/>
      <c r="BI110" s="461"/>
      <c r="BJ110" s="461"/>
    </row>
    <row r="111" spans="1:62" s="440" customFormat="1" hidden="1" outlineLevel="1">
      <c r="A111" s="439"/>
      <c r="B111" s="519"/>
      <c r="C111" s="611" t="s">
        <v>407</v>
      </c>
      <c r="D111" s="442"/>
      <c r="E111" s="442"/>
      <c r="F111" s="442"/>
      <c r="G111" s="520"/>
      <c r="H111" s="542"/>
      <c r="I111" s="443"/>
      <c r="J111" s="443"/>
      <c r="K111" s="443"/>
      <c r="L111" s="443"/>
      <c r="M111" s="543"/>
      <c r="N111" s="542"/>
      <c r="O111" s="442"/>
      <c r="P111" s="442"/>
      <c r="Q111" s="442"/>
      <c r="R111" s="442"/>
      <c r="S111" s="442"/>
      <c r="T111" s="563"/>
      <c r="U111" s="442"/>
      <c r="V111" s="442"/>
      <c r="W111" s="442"/>
      <c r="X111" s="442"/>
      <c r="Y111" s="442"/>
      <c r="Z111" s="442"/>
      <c r="AA111" s="442"/>
      <c r="AB111" s="442"/>
      <c r="AC111" s="442"/>
      <c r="AD111" s="442"/>
      <c r="AE111" s="442"/>
      <c r="AF111" s="520"/>
      <c r="AG111" s="439"/>
      <c r="AH111" s="439"/>
      <c r="AI111" s="439"/>
      <c r="AJ111" s="439"/>
      <c r="AK111" s="439"/>
      <c r="AL111" s="439"/>
      <c r="AM111" s="443"/>
      <c r="AN111" s="443"/>
      <c r="AO111" s="443"/>
      <c r="AP111" s="443"/>
      <c r="AQ111" s="443"/>
      <c r="AR111" s="443"/>
      <c r="AY111" s="443"/>
      <c r="AZ111" s="443"/>
      <c r="BA111" s="443"/>
      <c r="BB111" s="443"/>
      <c r="BC111" s="443"/>
      <c r="BD111" s="443"/>
      <c r="BE111" s="443"/>
      <c r="BF111" s="443"/>
      <c r="BG111" s="443"/>
      <c r="BH111" s="443"/>
      <c r="BI111" s="443"/>
      <c r="BJ111" s="443"/>
    </row>
    <row r="112" spans="1:62" s="440" customFormat="1" hidden="1" outlineLevel="1">
      <c r="A112" s="439"/>
      <c r="B112" s="519"/>
      <c r="C112" s="441"/>
      <c r="D112" s="442"/>
      <c r="E112" s="442"/>
      <c r="F112" s="442"/>
      <c r="G112" s="520"/>
      <c r="H112" s="542"/>
      <c r="I112" s="443"/>
      <c r="J112" s="443"/>
      <c r="K112" s="443"/>
      <c r="L112" s="443"/>
      <c r="M112" s="543"/>
      <c r="N112" s="542"/>
      <c r="O112" s="442"/>
      <c r="P112" s="442"/>
      <c r="Q112" s="442"/>
      <c r="R112" s="442"/>
      <c r="S112" s="442"/>
      <c r="T112" s="563"/>
      <c r="U112" s="442"/>
      <c r="V112" s="442"/>
      <c r="W112" s="442"/>
      <c r="X112" s="442"/>
      <c r="Y112" s="442"/>
      <c r="Z112" s="442"/>
      <c r="AA112" s="442"/>
      <c r="AB112" s="442"/>
      <c r="AC112" s="442"/>
      <c r="AD112" s="442"/>
      <c r="AE112" s="442"/>
      <c r="AF112" s="520"/>
      <c r="AG112" s="439"/>
      <c r="AH112" s="439"/>
      <c r="AI112" s="439"/>
      <c r="AJ112" s="439"/>
      <c r="AK112" s="439"/>
      <c r="AL112" s="439"/>
      <c r="AM112" s="443"/>
      <c r="AN112" s="443"/>
      <c r="AO112" s="443"/>
      <c r="AP112" s="443"/>
      <c r="AQ112" s="443"/>
      <c r="AR112" s="443"/>
      <c r="AY112" s="443"/>
      <c r="AZ112" s="443"/>
      <c r="BA112" s="443"/>
      <c r="BB112" s="443"/>
      <c r="BC112" s="443"/>
      <c r="BD112" s="443"/>
      <c r="BE112" s="443"/>
      <c r="BF112" s="443"/>
      <c r="BG112" s="443"/>
      <c r="BH112" s="443"/>
      <c r="BI112" s="443"/>
      <c r="BJ112" s="443"/>
    </row>
    <row r="113" spans="1:62" s="446" customFormat="1" ht="20" hidden="1" outlineLevel="1">
      <c r="A113" s="383" t="s">
        <v>362</v>
      </c>
      <c r="B113" s="522"/>
      <c r="C113" s="384"/>
      <c r="D113" s="383"/>
      <c r="E113" s="383"/>
      <c r="F113" s="383"/>
      <c r="G113" s="523"/>
      <c r="H113" s="546"/>
      <c r="I113" s="385"/>
      <c r="J113" s="385"/>
      <c r="K113" s="385"/>
      <c r="L113" s="385"/>
      <c r="M113" s="547"/>
      <c r="N113" s="556"/>
      <c r="O113" s="385"/>
      <c r="P113" s="385"/>
      <c r="Q113" s="385"/>
      <c r="R113" s="385"/>
      <c r="S113" s="385"/>
      <c r="T113" s="565"/>
      <c r="U113" s="383"/>
      <c r="V113" s="383"/>
      <c r="W113" s="383"/>
      <c r="X113" s="383"/>
      <c r="Y113" s="383"/>
      <c r="Z113" s="383"/>
      <c r="AA113" s="383"/>
      <c r="AB113" s="383"/>
      <c r="AC113" s="383"/>
      <c r="AD113" s="383"/>
      <c r="AE113" s="383"/>
      <c r="AF113" s="523"/>
      <c r="AG113" s="383"/>
      <c r="AH113" s="383"/>
      <c r="AI113" s="383"/>
      <c r="AJ113" s="383"/>
      <c r="AK113" s="383"/>
      <c r="AL113" s="383"/>
      <c r="AM113" s="385"/>
      <c r="AN113" s="385"/>
      <c r="AO113" s="385"/>
      <c r="AP113" s="385"/>
      <c r="AQ113" s="385"/>
      <c r="AR113" s="385"/>
      <c r="AY113" s="445" t="s">
        <v>141</v>
      </c>
      <c r="AZ113" s="385"/>
      <c r="BA113" s="385"/>
      <c r="BB113" s="385"/>
      <c r="BC113" s="385"/>
      <c r="BD113" s="385"/>
      <c r="BE113" s="385" t="s">
        <v>33</v>
      </c>
      <c r="BF113" s="385"/>
      <c r="BG113" s="385"/>
      <c r="BH113" s="385"/>
      <c r="BI113" s="385"/>
      <c r="BJ113" s="385"/>
    </row>
    <row r="114" spans="1:62" s="425" customFormat="1" ht="20" hidden="1" outlineLevel="1">
      <c r="A114" s="355" t="s">
        <v>357</v>
      </c>
      <c r="B114" s="502"/>
      <c r="C114" s="354">
        <v>28150</v>
      </c>
      <c r="D114" s="354">
        <f>C114</f>
        <v>28150</v>
      </c>
      <c r="E114" s="354">
        <f t="shared" ref="E114:F114" si="245">D114</f>
        <v>28150</v>
      </c>
      <c r="F114" s="354">
        <f t="shared" si="245"/>
        <v>28150</v>
      </c>
      <c r="G114" s="515"/>
      <c r="H114" s="529"/>
      <c r="I114" s="422">
        <f>C114</f>
        <v>28150</v>
      </c>
      <c r="J114" s="354">
        <f>D114</f>
        <v>28150</v>
      </c>
      <c r="K114" s="354">
        <f>E114</f>
        <v>28150</v>
      </c>
      <c r="L114" s="354">
        <f>F114</f>
        <v>28150</v>
      </c>
      <c r="M114" s="515"/>
      <c r="N114" s="529"/>
      <c r="O114" s="422">
        <f>I114</f>
        <v>28150</v>
      </c>
      <c r="P114" s="354">
        <f>J114</f>
        <v>28150</v>
      </c>
      <c r="Q114" s="354">
        <f>K114</f>
        <v>28150</v>
      </c>
      <c r="R114" s="354">
        <f>L114</f>
        <v>28150</v>
      </c>
      <c r="T114" s="517"/>
      <c r="AF114" s="557"/>
      <c r="AZ114" s="43"/>
      <c r="BA114" s="43"/>
      <c r="BB114" s="43"/>
      <c r="BC114" s="43"/>
      <c r="BD114" s="43"/>
      <c r="BE114" s="43" t="s">
        <v>33</v>
      </c>
      <c r="BF114" s="43"/>
      <c r="BG114" s="43"/>
      <c r="BH114" s="43"/>
      <c r="BI114" s="43"/>
      <c r="BJ114" s="43"/>
    </row>
    <row r="115" spans="1:62" s="425" customFormat="1" ht="20" hidden="1" outlineLevel="1">
      <c r="A115" s="358" t="s">
        <v>323</v>
      </c>
      <c r="B115" s="71"/>
      <c r="C115" s="71" t="s">
        <v>146</v>
      </c>
      <c r="D115" s="354"/>
      <c r="E115" s="354"/>
      <c r="F115" s="354"/>
      <c r="G115" s="515"/>
      <c r="H115" s="71" t="s">
        <v>141</v>
      </c>
      <c r="I115" s="71" t="s">
        <v>141</v>
      </c>
      <c r="J115" s="354"/>
      <c r="K115" s="354"/>
      <c r="L115" s="354"/>
      <c r="M115" s="515"/>
      <c r="N115" s="71" t="s">
        <v>141</v>
      </c>
      <c r="O115" s="71" t="s">
        <v>141</v>
      </c>
      <c r="P115" s="354"/>
      <c r="Q115" s="354"/>
      <c r="R115" s="354"/>
      <c r="S115" s="640">
        <v>0</v>
      </c>
      <c r="T115" s="517"/>
      <c r="AF115" s="557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  <c r="BJ115" s="43"/>
    </row>
    <row r="116" spans="1:62" ht="20" hidden="1" outlineLevel="1">
      <c r="A116" s="80" t="s">
        <v>284</v>
      </c>
      <c r="B116" s="518"/>
      <c r="C116" s="71" t="s">
        <v>146</v>
      </c>
      <c r="D116" s="169"/>
      <c r="E116" s="169"/>
      <c r="F116" s="169"/>
      <c r="G116" s="407"/>
      <c r="H116" s="518"/>
      <c r="N116" s="518"/>
      <c r="S116" s="423"/>
      <c r="T116" s="518"/>
      <c r="U116" s="423"/>
      <c r="V116" s="423"/>
      <c r="W116" s="423"/>
      <c r="X116" s="423"/>
      <c r="Y116" s="423"/>
      <c r="Z116" s="423"/>
      <c r="AA116" s="423"/>
      <c r="AB116" s="423"/>
      <c r="AC116" s="423"/>
      <c r="AD116" s="423"/>
      <c r="AE116" s="423"/>
      <c r="AF116" s="504"/>
      <c r="AG116" s="423"/>
      <c r="AH116" s="423"/>
      <c r="AI116" s="423"/>
      <c r="AJ116" s="423"/>
      <c r="AK116" s="423"/>
      <c r="AL116" s="423"/>
      <c r="AM116" s="423"/>
      <c r="AN116" s="423"/>
      <c r="AO116" s="423"/>
      <c r="AP116" s="423"/>
      <c r="AQ116" s="423"/>
      <c r="AR116" s="423"/>
      <c r="AY116" s="423"/>
      <c r="BE116" s="14"/>
    </row>
    <row r="117" spans="1:62" ht="20" hidden="1" outlineLevel="1">
      <c r="A117" s="80" t="s">
        <v>285</v>
      </c>
      <c r="B117" s="518"/>
      <c r="C117" s="71" t="s">
        <v>146</v>
      </c>
      <c r="D117" s="169"/>
      <c r="E117" s="169"/>
      <c r="F117" s="169"/>
      <c r="G117" s="407"/>
      <c r="H117" s="518"/>
      <c r="N117" s="518"/>
      <c r="S117" s="423"/>
      <c r="T117" s="518"/>
      <c r="U117" s="423"/>
      <c r="V117" s="423"/>
      <c r="W117" s="423"/>
      <c r="X117" s="423"/>
      <c r="Y117" s="423"/>
      <c r="Z117" s="423"/>
      <c r="AA117" s="423"/>
      <c r="AB117" s="423"/>
      <c r="AC117" s="423"/>
      <c r="AD117" s="423"/>
      <c r="AE117" s="423"/>
      <c r="AF117" s="504"/>
      <c r="AG117" s="423"/>
      <c r="AH117" s="423"/>
      <c r="AI117" s="423"/>
      <c r="AJ117" s="423"/>
      <c r="AK117" s="423"/>
      <c r="AL117" s="423"/>
      <c r="AM117" s="423"/>
      <c r="AN117" s="423"/>
      <c r="AO117" s="423"/>
      <c r="AP117" s="423"/>
      <c r="AQ117" s="423"/>
      <c r="AR117" s="423"/>
      <c r="AY117" s="423"/>
      <c r="BE117" s="14"/>
    </row>
    <row r="118" spans="1:62" ht="20" hidden="1" outlineLevel="1">
      <c r="A118" s="80" t="s">
        <v>320</v>
      </c>
      <c r="B118" s="518"/>
      <c r="C118" s="71" t="s">
        <v>146</v>
      </c>
      <c r="D118" s="169"/>
      <c r="E118" s="169"/>
      <c r="F118" s="169"/>
      <c r="G118" s="407"/>
      <c r="H118" s="518"/>
      <c r="N118" s="518"/>
      <c r="S118" s="423"/>
      <c r="T118" s="518"/>
      <c r="U118" s="423"/>
      <c r="V118" s="423"/>
      <c r="W118" s="423"/>
      <c r="X118" s="423"/>
      <c r="Y118" s="423"/>
      <c r="Z118" s="423"/>
      <c r="AA118" s="423"/>
      <c r="AB118" s="423"/>
      <c r="AC118" s="423"/>
      <c r="AD118" s="423"/>
      <c r="AE118" s="423"/>
      <c r="AF118" s="504"/>
      <c r="AG118" s="423"/>
      <c r="AH118" s="423"/>
      <c r="AI118" s="423"/>
      <c r="AJ118" s="423"/>
      <c r="AK118" s="423"/>
      <c r="AL118" s="423"/>
      <c r="AM118" s="423"/>
      <c r="AN118" s="423"/>
      <c r="AO118" s="423"/>
      <c r="AP118" s="423"/>
      <c r="AQ118" s="423"/>
      <c r="AR118" s="423"/>
      <c r="AY118" s="423"/>
      <c r="BE118" s="14"/>
    </row>
    <row r="119" spans="1:62" s="425" customFormat="1" ht="20" hidden="1" outlineLevel="1">
      <c r="A119" s="357" t="s">
        <v>321</v>
      </c>
      <c r="B119" s="71" t="s">
        <v>141</v>
      </c>
      <c r="C119" s="71" t="s">
        <v>146</v>
      </c>
      <c r="D119" s="354"/>
      <c r="E119" s="354"/>
      <c r="F119" s="354"/>
      <c r="G119" s="515"/>
      <c r="H119" s="71" t="s">
        <v>141</v>
      </c>
      <c r="I119" s="71" t="s">
        <v>141</v>
      </c>
      <c r="J119" s="43"/>
      <c r="K119" s="43"/>
      <c r="L119" s="43"/>
      <c r="M119" s="503"/>
      <c r="N119" s="71" t="s">
        <v>141</v>
      </c>
      <c r="O119" s="71" t="s">
        <v>141</v>
      </c>
      <c r="P119" s="43"/>
      <c r="Q119" s="43"/>
      <c r="R119" s="43"/>
      <c r="S119" s="43"/>
      <c r="T119" s="517"/>
      <c r="AF119" s="557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  <c r="BJ119" s="43"/>
    </row>
    <row r="120" spans="1:62" ht="20" hidden="1" outlineLevel="1">
      <c r="A120" s="632" t="s">
        <v>418</v>
      </c>
      <c r="B120" s="518"/>
      <c r="C120" s="71" t="s">
        <v>146</v>
      </c>
      <c r="D120" s="169"/>
      <c r="E120" s="169"/>
      <c r="F120" s="169"/>
      <c r="G120" s="407"/>
      <c r="H120" s="518"/>
      <c r="N120" s="518"/>
      <c r="T120" s="518"/>
      <c r="U120" s="423"/>
      <c r="V120" s="423"/>
      <c r="W120" s="423"/>
      <c r="X120" s="423"/>
      <c r="Y120" s="423"/>
      <c r="Z120" s="423"/>
      <c r="AA120" s="423"/>
      <c r="AB120" s="423"/>
      <c r="AC120" s="423"/>
      <c r="AD120" s="423"/>
      <c r="AE120" s="423"/>
      <c r="AF120" s="504"/>
      <c r="AG120" s="423"/>
      <c r="AH120" s="423"/>
      <c r="AI120" s="423"/>
      <c r="AJ120" s="423"/>
      <c r="AK120" s="423"/>
      <c r="AL120" s="423"/>
      <c r="AM120" s="423"/>
      <c r="AN120" s="423"/>
      <c r="AO120" s="423"/>
      <c r="AP120" s="423"/>
      <c r="AQ120" s="423"/>
      <c r="AR120" s="423"/>
      <c r="AY120" s="423"/>
      <c r="BE120" s="14"/>
    </row>
    <row r="121" spans="1:62" hidden="1" outlineLevel="1">
      <c r="A121" s="273"/>
      <c r="B121" s="518"/>
      <c r="C121" s="169"/>
      <c r="D121" s="169"/>
      <c r="E121" s="169"/>
      <c r="F121" s="169"/>
      <c r="G121" s="407"/>
      <c r="H121" s="518"/>
      <c r="N121" s="518"/>
      <c r="T121" s="518"/>
      <c r="U121" s="423"/>
      <c r="V121" s="423"/>
      <c r="W121" s="423"/>
      <c r="X121" s="423"/>
      <c r="Y121" s="423"/>
      <c r="Z121" s="423"/>
      <c r="AA121" s="423"/>
      <c r="AB121" s="423"/>
      <c r="AC121" s="423"/>
      <c r="AD121" s="423"/>
      <c r="AE121" s="423"/>
      <c r="AF121" s="504"/>
      <c r="AG121" s="423"/>
      <c r="AH121" s="423"/>
      <c r="AI121" s="423"/>
      <c r="AJ121" s="423"/>
      <c r="AK121" s="423"/>
      <c r="AL121" s="423"/>
      <c r="AM121" s="423"/>
      <c r="AN121" s="423"/>
      <c r="AO121" s="423"/>
      <c r="AP121" s="423"/>
      <c r="AQ121" s="423"/>
      <c r="AR121" s="423"/>
      <c r="AY121" s="423"/>
      <c r="BE121" s="14"/>
    </row>
    <row r="122" spans="1:62" s="425" customFormat="1" ht="27" hidden="1" customHeight="1" outlineLevel="1">
      <c r="A122" s="355" t="s">
        <v>355</v>
      </c>
      <c r="B122" s="502"/>
      <c r="C122" s="354">
        <v>1575</v>
      </c>
      <c r="D122" s="354">
        <f>C122</f>
        <v>1575</v>
      </c>
      <c r="E122" s="354">
        <f t="shared" ref="E122:G122" si="246">D122</f>
        <v>1575</v>
      </c>
      <c r="F122" s="354">
        <f t="shared" si="246"/>
        <v>1575</v>
      </c>
      <c r="G122" s="515">
        <f t="shared" si="246"/>
        <v>1575</v>
      </c>
      <c r="H122" s="529"/>
      <c r="I122" s="438">
        <f>C122</f>
        <v>1575</v>
      </c>
      <c r="J122" s="354">
        <f>D122</f>
        <v>1575</v>
      </c>
      <c r="K122" s="354">
        <f>E122</f>
        <v>1575</v>
      </c>
      <c r="L122" s="354">
        <f>F122</f>
        <v>1575</v>
      </c>
      <c r="M122" s="515"/>
      <c r="N122" s="529"/>
      <c r="O122" s="438">
        <f>I122</f>
        <v>1575</v>
      </c>
      <c r="P122" s="354">
        <f>J122</f>
        <v>1575</v>
      </c>
      <c r="Q122" s="354">
        <f>K122</f>
        <v>1575</v>
      </c>
      <c r="R122" s="354">
        <f>L122</f>
        <v>1575</v>
      </c>
      <c r="S122" s="43"/>
      <c r="T122" s="517"/>
      <c r="AF122" s="557"/>
      <c r="AZ122" s="43"/>
      <c r="BA122" s="43"/>
      <c r="BB122" s="43"/>
      <c r="BC122" s="43"/>
      <c r="BD122" s="43"/>
      <c r="BE122" s="43" t="s">
        <v>33</v>
      </c>
      <c r="BF122" s="43"/>
      <c r="BG122" s="43"/>
      <c r="BH122" s="43"/>
      <c r="BI122" s="43"/>
      <c r="BJ122" s="43"/>
    </row>
    <row r="123" spans="1:62" hidden="1" outlineLevel="1">
      <c r="A123" s="359"/>
      <c r="B123" s="518"/>
      <c r="D123" s="169"/>
      <c r="E123" s="169"/>
      <c r="F123" s="169"/>
      <c r="G123" s="407"/>
      <c r="O123" s="423"/>
      <c r="T123" s="518"/>
      <c r="U123" s="423"/>
      <c r="V123" s="423"/>
      <c r="W123" s="423"/>
      <c r="X123" s="423"/>
      <c r="Y123" s="423"/>
      <c r="Z123" s="423"/>
      <c r="AA123" s="423"/>
      <c r="AB123" s="423"/>
      <c r="AC123" s="423"/>
      <c r="AD123" s="423"/>
      <c r="AE123" s="423"/>
      <c r="AF123" s="504"/>
      <c r="AG123" s="423"/>
      <c r="AH123" s="423"/>
      <c r="AI123" s="423"/>
      <c r="AJ123" s="423"/>
      <c r="AK123" s="423"/>
      <c r="AL123" s="423"/>
      <c r="AM123" s="423"/>
      <c r="AN123" s="423"/>
      <c r="AO123" s="423"/>
      <c r="AP123" s="423"/>
      <c r="AQ123" s="423"/>
      <c r="AR123" s="423"/>
      <c r="AY123" s="423"/>
    </row>
    <row r="124" spans="1:62" ht="20" hidden="1" outlineLevel="1">
      <c r="A124" s="355" t="s">
        <v>369</v>
      </c>
      <c r="B124" s="581" t="s">
        <v>141</v>
      </c>
      <c r="C124" s="423"/>
      <c r="D124" s="423"/>
      <c r="E124" s="423"/>
      <c r="F124" s="423"/>
      <c r="G124" s="407"/>
      <c r="N124" s="581" t="s">
        <v>141</v>
      </c>
      <c r="O124" s="423"/>
      <c r="T124" s="581" t="s">
        <v>141</v>
      </c>
      <c r="U124" s="423"/>
      <c r="V124" s="423"/>
      <c r="W124" s="423"/>
      <c r="X124" s="423"/>
      <c r="Y124" s="423"/>
      <c r="Z124" s="423"/>
      <c r="AA124" s="423"/>
      <c r="AB124" s="423"/>
      <c r="AC124" s="423"/>
      <c r="AD124" s="423"/>
      <c r="AE124" s="423"/>
      <c r="AF124" s="504"/>
      <c r="AG124" s="423"/>
      <c r="AH124" s="423"/>
      <c r="AI124" s="423"/>
      <c r="AJ124" s="423"/>
      <c r="AK124" s="423"/>
      <c r="AL124" s="423"/>
      <c r="AM124" s="423"/>
      <c r="AN124" s="423"/>
      <c r="AO124" s="423"/>
      <c r="AP124" s="423"/>
      <c r="AQ124" s="423"/>
      <c r="AR124" s="423"/>
      <c r="AY124" s="423"/>
    </row>
    <row r="125" spans="1:62" ht="20" hidden="1" outlineLevel="1">
      <c r="A125" s="355" t="s">
        <v>370</v>
      </c>
      <c r="B125" s="581" t="s">
        <v>141</v>
      </c>
      <c r="C125" s="423"/>
      <c r="D125" s="423"/>
      <c r="E125" s="423"/>
      <c r="F125" s="423"/>
      <c r="G125" s="407"/>
      <c r="N125" s="581" t="s">
        <v>141</v>
      </c>
      <c r="O125" s="423"/>
      <c r="T125" s="581" t="s">
        <v>141</v>
      </c>
      <c r="U125" s="423"/>
      <c r="V125" s="423"/>
      <c r="W125" s="423"/>
      <c r="X125" s="423"/>
      <c r="Y125" s="423"/>
      <c r="Z125" s="423"/>
      <c r="AA125" s="423"/>
      <c r="AB125" s="423"/>
      <c r="AC125" s="423"/>
      <c r="AD125" s="423"/>
      <c r="AE125" s="423"/>
      <c r="AF125" s="504"/>
      <c r="AG125" s="423"/>
      <c r="AH125" s="423"/>
      <c r="AI125" s="423"/>
      <c r="AJ125" s="423"/>
      <c r="AK125" s="423"/>
      <c r="AL125" s="423"/>
      <c r="AM125" s="423"/>
      <c r="AN125" s="423"/>
      <c r="AO125" s="423"/>
      <c r="AP125" s="423"/>
      <c r="AQ125" s="423"/>
      <c r="AR125" s="423"/>
      <c r="AY125" s="423"/>
    </row>
    <row r="126" spans="1:62" hidden="1" outlineLevel="1">
      <c r="A126" s="359"/>
      <c r="B126" s="611" t="s">
        <v>406</v>
      </c>
      <c r="D126" s="169"/>
      <c r="E126" s="169"/>
      <c r="F126" s="169"/>
      <c r="G126" s="407"/>
      <c r="O126" s="423"/>
      <c r="T126" s="518"/>
      <c r="U126" s="423"/>
      <c r="V126" s="423"/>
      <c r="W126" s="423"/>
      <c r="X126" s="423"/>
      <c r="Y126" s="423"/>
      <c r="Z126" s="423"/>
      <c r="AA126" s="423"/>
      <c r="AB126" s="423"/>
      <c r="AC126" s="423"/>
      <c r="AD126" s="423"/>
      <c r="AE126" s="423"/>
      <c r="AF126" s="504"/>
      <c r="AG126" s="423"/>
      <c r="AH126" s="423"/>
      <c r="AI126" s="423"/>
      <c r="AJ126" s="423"/>
      <c r="AK126" s="423"/>
      <c r="AL126" s="423"/>
      <c r="AM126" s="423"/>
      <c r="AN126" s="423"/>
      <c r="AO126" s="423"/>
      <c r="AP126" s="423"/>
      <c r="AQ126" s="423"/>
      <c r="AR126" s="423"/>
      <c r="AY126" s="423"/>
    </row>
    <row r="127" spans="1:62" s="456" customFormat="1" ht="20" hidden="1" outlineLevel="1">
      <c r="A127" s="455" t="s">
        <v>360</v>
      </c>
      <c r="B127" s="524"/>
      <c r="C127" s="457"/>
      <c r="D127" s="458"/>
      <c r="E127" s="458"/>
      <c r="F127" s="458"/>
      <c r="G127" s="525"/>
      <c r="H127" s="548"/>
      <c r="I127" s="457"/>
      <c r="J127" s="457"/>
      <c r="K127" s="457"/>
      <c r="L127" s="457"/>
      <c r="M127" s="549"/>
      <c r="N127" s="548"/>
      <c r="P127" s="457"/>
      <c r="Q127" s="457"/>
      <c r="R127" s="457"/>
      <c r="S127" s="457"/>
      <c r="T127" s="524"/>
      <c r="AF127" s="566"/>
      <c r="AZ127" s="457"/>
      <c r="BA127" s="457"/>
      <c r="BB127" s="457"/>
      <c r="BC127" s="457"/>
      <c r="BD127" s="457"/>
      <c r="BE127" s="457"/>
      <c r="BF127" s="457"/>
      <c r="BG127" s="457"/>
      <c r="BH127" s="457"/>
      <c r="BI127" s="457"/>
      <c r="BJ127" s="457"/>
    </row>
    <row r="128" spans="1:62" s="2" customFormat="1" hidden="1" outlineLevel="1">
      <c r="A128" s="15" t="s">
        <v>359</v>
      </c>
      <c r="B128" s="526">
        <v>400000</v>
      </c>
      <c r="C128" s="526">
        <v>400000</v>
      </c>
      <c r="D128" s="526">
        <v>400000</v>
      </c>
      <c r="E128" s="526">
        <v>400000</v>
      </c>
      <c r="F128" s="526">
        <v>400000</v>
      </c>
      <c r="G128" s="295"/>
      <c r="H128" s="87"/>
      <c r="I128" s="1"/>
      <c r="J128" s="1"/>
      <c r="K128" s="1"/>
      <c r="L128" s="1"/>
      <c r="M128" s="295"/>
      <c r="N128" s="87"/>
      <c r="O128" s="1"/>
      <c r="P128" s="1"/>
      <c r="Q128" s="1"/>
      <c r="R128" s="1"/>
      <c r="S128" s="1"/>
      <c r="T128" s="87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295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s="2" customFormat="1" hidden="1" outlineLevel="1">
      <c r="A129" s="15" t="s">
        <v>371</v>
      </c>
      <c r="B129" s="15">
        <v>547</v>
      </c>
      <c r="C129" s="15">
        <v>547</v>
      </c>
      <c r="D129" s="15">
        <v>547</v>
      </c>
      <c r="E129" s="15">
        <v>547</v>
      </c>
      <c r="F129" s="15">
        <v>547</v>
      </c>
      <c r="G129" s="295"/>
      <c r="H129" s="87"/>
      <c r="I129" s="1"/>
      <c r="J129" s="1"/>
      <c r="K129" s="1"/>
      <c r="L129" s="1"/>
      <c r="M129" s="295"/>
      <c r="N129" s="87"/>
      <c r="O129" s="1"/>
      <c r="P129" s="1"/>
      <c r="Q129" s="1"/>
      <c r="R129" s="1"/>
      <c r="S129" s="1"/>
      <c r="T129" s="87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295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ht="20" hidden="1" outlineLevel="1">
      <c r="A130" s="1" t="s">
        <v>372</v>
      </c>
      <c r="B130" s="527">
        <f>B128/B129</f>
        <v>731.26142595978058</v>
      </c>
      <c r="C130" s="527">
        <f>C128/C129</f>
        <v>731.26142595978058</v>
      </c>
      <c r="D130" s="527">
        <f t="shared" ref="D130:F130" si="247">D128/D129</f>
        <v>731.26142595978058</v>
      </c>
      <c r="E130" s="527">
        <f t="shared" si="247"/>
        <v>731.26142595978058</v>
      </c>
      <c r="F130" s="527">
        <f t="shared" si="247"/>
        <v>731.26142595978058</v>
      </c>
    </row>
    <row r="131" spans="1:62" hidden="1" outlineLevel="1"/>
    <row r="132" spans="1:62" hidden="1" outlineLevel="1"/>
    <row r="133" spans="1:62" hidden="1" outlineLevel="1"/>
    <row r="134" spans="1:62" collapsed="1"/>
  </sheetData>
  <mergeCells count="3">
    <mergeCell ref="T1:AF1"/>
    <mergeCell ref="T2:Y2"/>
    <mergeCell ref="Z2:AE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59CFF-7D53-7347-9E36-1394251406F2}">
  <dimension ref="A1:N130"/>
  <sheetViews>
    <sheetView topLeftCell="A36" zoomScale="110" zoomScaleNormal="110" workbookViewId="0">
      <selection activeCell="H58" sqref="H58"/>
    </sheetView>
  </sheetViews>
  <sheetFormatPr baseColWidth="10" defaultRowHeight="16"/>
  <cols>
    <col min="1" max="1" width="49.6640625" customWidth="1"/>
    <col min="2" max="2" width="13.5" customWidth="1"/>
    <col min="3" max="5" width="16.1640625" customWidth="1"/>
    <col min="7" max="7" width="12" customWidth="1"/>
    <col min="8" max="8" width="19.5" customWidth="1"/>
    <col min="9" max="9" width="15.5" customWidth="1"/>
    <col min="10" max="10" width="16" customWidth="1"/>
  </cols>
  <sheetData>
    <row r="1" spans="1:1">
      <c r="A1" t="s">
        <v>216</v>
      </c>
    </row>
    <row r="3" spans="1:1" s="769" customFormat="1" ht="26">
      <c r="A3" s="769" t="s">
        <v>489</v>
      </c>
    </row>
    <row r="25" spans="1:9" ht="17" customHeight="1">
      <c r="A25" s="715" t="s">
        <v>452</v>
      </c>
      <c r="B25" s="705"/>
      <c r="C25" s="701">
        <v>2026</v>
      </c>
      <c r="D25" s="701">
        <v>2026</v>
      </c>
      <c r="E25" s="701">
        <v>2026</v>
      </c>
      <c r="F25" s="701">
        <v>2026</v>
      </c>
      <c r="G25" s="701">
        <v>2026</v>
      </c>
      <c r="H25" s="7" t="s">
        <v>482</v>
      </c>
    </row>
    <row r="26" spans="1:9" ht="17" customHeight="1">
      <c r="A26" s="705" t="s">
        <v>458</v>
      </c>
      <c r="B26" s="705"/>
      <c r="C26" s="701" t="s">
        <v>453</v>
      </c>
      <c r="D26" s="701" t="s">
        <v>454</v>
      </c>
      <c r="E26" s="701" t="s">
        <v>455</v>
      </c>
      <c r="F26" s="701" t="s">
        <v>456</v>
      </c>
      <c r="G26" s="701" t="s">
        <v>457</v>
      </c>
      <c r="H26" s="7"/>
    </row>
    <row r="27" spans="1:9" ht="17" customHeight="1">
      <c r="A27" s="705"/>
      <c r="B27" s="700"/>
      <c r="C27" s="701">
        <v>1</v>
      </c>
      <c r="D27" s="701">
        <v>2</v>
      </c>
      <c r="E27" s="701">
        <v>3</v>
      </c>
      <c r="F27" s="701">
        <v>4</v>
      </c>
      <c r="G27" s="701">
        <v>5</v>
      </c>
      <c r="H27" s="7"/>
    </row>
    <row r="28" spans="1:9" ht="17" customHeight="1">
      <c r="A28" s="705"/>
      <c r="B28" s="700"/>
      <c r="C28" s="701">
        <v>1</v>
      </c>
      <c r="D28" s="701">
        <v>1</v>
      </c>
      <c r="E28" s="701">
        <v>1</v>
      </c>
      <c r="F28" s="701">
        <v>2</v>
      </c>
      <c r="G28" s="701">
        <v>2</v>
      </c>
      <c r="H28" s="7"/>
    </row>
    <row r="29" spans="1:9" ht="28" customHeight="1">
      <c r="A29" s="710" t="s">
        <v>460</v>
      </c>
      <c r="B29" s="711" t="s">
        <v>461</v>
      </c>
      <c r="C29" s="709">
        <v>29.2</v>
      </c>
      <c r="D29" s="709">
        <v>37.4</v>
      </c>
      <c r="E29" s="709">
        <v>47.1</v>
      </c>
      <c r="F29" s="709">
        <v>23.3</v>
      </c>
      <c r="G29" s="709">
        <v>42.7</v>
      </c>
      <c r="H29" s="713">
        <f>AVERAGE(D29:G29)</f>
        <v>37.625</v>
      </c>
      <c r="I29" s="707"/>
    </row>
    <row r="30" spans="1:9" ht="28" customHeight="1">
      <c r="A30" s="716" t="s">
        <v>481</v>
      </c>
      <c r="B30" s="717"/>
      <c r="C30" s="718">
        <f>C31+C32</f>
        <v>11.6</v>
      </c>
      <c r="D30" s="718">
        <f t="shared" ref="D30" si="0">D31+D32</f>
        <v>13.8</v>
      </c>
      <c r="E30" s="718">
        <f t="shared" ref="E30" si="1">E31+E32</f>
        <v>13.4</v>
      </c>
      <c r="F30" s="718">
        <f t="shared" ref="F30" si="2">F31+F32</f>
        <v>9.6</v>
      </c>
      <c r="G30" s="718">
        <f t="shared" ref="G30" si="3">G31+G32</f>
        <v>16.899999999999999</v>
      </c>
      <c r="H30" s="792">
        <f>AVERAGE(D30:G30)</f>
        <v>13.425000000000001</v>
      </c>
      <c r="I30" s="707"/>
    </row>
    <row r="31" spans="1:9" ht="28" customHeight="1">
      <c r="A31" s="706" t="s">
        <v>470</v>
      </c>
      <c r="B31" s="702" t="s">
        <v>461</v>
      </c>
      <c r="C31" s="703">
        <v>4.3</v>
      </c>
      <c r="D31" s="703">
        <v>4.7</v>
      </c>
      <c r="E31" s="703">
        <v>6.2</v>
      </c>
      <c r="F31" s="703">
        <v>3.3</v>
      </c>
      <c r="G31" s="703">
        <v>8.4</v>
      </c>
      <c r="H31" s="792">
        <f>AVERAGE(D31:G31)</f>
        <v>5.65</v>
      </c>
    </row>
    <row r="32" spans="1:9" ht="28" customHeight="1">
      <c r="A32" s="706" t="s">
        <v>471</v>
      </c>
      <c r="B32" s="702" t="s">
        <v>461</v>
      </c>
      <c r="C32" s="703">
        <v>7.3</v>
      </c>
      <c r="D32" s="703">
        <v>9.1</v>
      </c>
      <c r="E32" s="703">
        <v>7.2</v>
      </c>
      <c r="F32" s="703">
        <v>6.3</v>
      </c>
      <c r="G32" s="703">
        <v>8.5</v>
      </c>
      <c r="H32" s="792">
        <f>AVERAGE(D32:G32)</f>
        <v>7.7750000000000004</v>
      </c>
      <c r="I32" s="707"/>
    </row>
    <row r="33" spans="1:14" ht="26" customHeight="1">
      <c r="A33" s="716" t="s">
        <v>480</v>
      </c>
      <c r="B33" s="196"/>
      <c r="C33" s="718">
        <f>C34+C35</f>
        <v>15.399999999999999</v>
      </c>
      <c r="D33" s="718">
        <f t="shared" ref="D33" si="4">D34+D35</f>
        <v>21.6</v>
      </c>
      <c r="E33" s="718">
        <f t="shared" ref="E33" si="5">E34+E35</f>
        <v>27.5</v>
      </c>
      <c r="F33" s="718">
        <f t="shared" ref="F33" si="6">F34+F35</f>
        <v>13.799999999999999</v>
      </c>
      <c r="G33" s="718">
        <f t="shared" ref="G33" si="7">G34+G35</f>
        <v>26.2</v>
      </c>
      <c r="H33" s="719">
        <f>AVERAGE(D33:G33)</f>
        <v>22.274999999999999</v>
      </c>
      <c r="I33" s="707"/>
    </row>
    <row r="34" spans="1:14" ht="26" customHeight="1">
      <c r="A34" s="706" t="s">
        <v>468</v>
      </c>
      <c r="B34" s="702" t="s">
        <v>461</v>
      </c>
      <c r="C34" s="703">
        <v>12.1</v>
      </c>
      <c r="D34" s="703">
        <v>17.2</v>
      </c>
      <c r="E34" s="703">
        <v>22.8</v>
      </c>
      <c r="F34" s="703">
        <v>11.2</v>
      </c>
      <c r="G34" s="703">
        <v>21</v>
      </c>
    </row>
    <row r="35" spans="1:14" ht="26" customHeight="1">
      <c r="A35" s="706" t="s">
        <v>469</v>
      </c>
      <c r="B35" s="702" t="s">
        <v>461</v>
      </c>
      <c r="C35" s="703">
        <v>3.3</v>
      </c>
      <c r="D35" s="703">
        <v>4.4000000000000004</v>
      </c>
      <c r="E35" s="703">
        <v>4.7</v>
      </c>
      <c r="F35" s="703">
        <v>2.6</v>
      </c>
      <c r="G35" s="703">
        <v>5.2</v>
      </c>
    </row>
    <row r="36" spans="1:14" s="196" customFormat="1" ht="15" customHeight="1">
      <c r="A36" s="716" t="s">
        <v>490</v>
      </c>
      <c r="C36" s="771">
        <f>C29-C30-C33</f>
        <v>2.2000000000000028</v>
      </c>
      <c r="D36" s="771">
        <f t="shared" ref="D36:G36" si="8">D29-D30-D33</f>
        <v>1.9999999999999964</v>
      </c>
      <c r="E36" s="771">
        <f t="shared" si="8"/>
        <v>6.2000000000000028</v>
      </c>
      <c r="F36" s="771">
        <f t="shared" si="8"/>
        <v>-9.9999999999997868E-2</v>
      </c>
      <c r="G36" s="771">
        <f t="shared" si="8"/>
        <v>-0.39999999999999503</v>
      </c>
    </row>
    <row r="37" spans="1:14" ht="15" customHeight="1">
      <c r="H37" t="s">
        <v>479</v>
      </c>
      <c r="J37" t="s">
        <v>485</v>
      </c>
    </row>
    <row r="38" spans="1:14" ht="15" customHeight="1">
      <c r="A38" s="715" t="s">
        <v>452</v>
      </c>
      <c r="B38" s="705"/>
      <c r="C38" s="701">
        <v>2026</v>
      </c>
      <c r="D38" s="701">
        <v>2026</v>
      </c>
      <c r="E38" s="701">
        <v>2026</v>
      </c>
      <c r="F38" s="701">
        <v>2026</v>
      </c>
      <c r="G38" s="701">
        <v>2026</v>
      </c>
      <c r="H38" t="s">
        <v>492</v>
      </c>
      <c r="I38" t="s">
        <v>478</v>
      </c>
      <c r="J38" t="s">
        <v>478</v>
      </c>
    </row>
    <row r="39" spans="1:14" ht="15" customHeight="1">
      <c r="A39" s="705" t="s">
        <v>458</v>
      </c>
      <c r="B39" s="705"/>
      <c r="C39" s="701" t="s">
        <v>453</v>
      </c>
      <c r="D39" s="701" t="s">
        <v>454</v>
      </c>
      <c r="E39" s="701" t="s">
        <v>455</v>
      </c>
      <c r="F39" s="701" t="s">
        <v>456</v>
      </c>
      <c r="G39" s="701" t="s">
        <v>457</v>
      </c>
    </row>
    <row r="40" spans="1:14" ht="15" customHeight="1">
      <c r="A40" s="705"/>
      <c r="B40" s="700"/>
      <c r="C40" s="701">
        <v>1</v>
      </c>
      <c r="D40" s="701">
        <v>2</v>
      </c>
      <c r="E40" s="701">
        <v>3</v>
      </c>
      <c r="F40" s="701">
        <v>4</v>
      </c>
      <c r="G40" s="701">
        <v>5</v>
      </c>
    </row>
    <row r="41" spans="1:14" ht="15" customHeight="1">
      <c r="A41" s="705"/>
      <c r="B41" s="700"/>
      <c r="C41" s="701">
        <v>1</v>
      </c>
      <c r="D41" s="701">
        <v>1</v>
      </c>
      <c r="E41" s="701">
        <v>1</v>
      </c>
      <c r="F41" s="701">
        <v>2</v>
      </c>
      <c r="G41" s="701">
        <v>2</v>
      </c>
      <c r="N41" s="712">
        <f>F43-E87</f>
        <v>-2.3999999999999986</v>
      </c>
    </row>
    <row r="42" spans="1:14">
      <c r="A42" s="710" t="s">
        <v>459</v>
      </c>
      <c r="B42" s="711"/>
      <c r="C42" s="709">
        <v>59.5</v>
      </c>
      <c r="D42" s="709">
        <v>72</v>
      </c>
      <c r="E42" s="709">
        <v>94.6</v>
      </c>
      <c r="F42" s="709">
        <v>43.1</v>
      </c>
      <c r="G42" s="709">
        <v>82.7</v>
      </c>
      <c r="K42" s="612" t="s">
        <v>477</v>
      </c>
    </row>
    <row r="43" spans="1:14">
      <c r="A43" s="710" t="s">
        <v>460</v>
      </c>
      <c r="B43" s="711" t="s">
        <v>461</v>
      </c>
      <c r="C43" s="709">
        <v>29.2</v>
      </c>
      <c r="D43" s="709">
        <v>37.4</v>
      </c>
      <c r="E43" s="709">
        <v>47.1</v>
      </c>
      <c r="F43" s="709">
        <v>23.3</v>
      </c>
      <c r="G43" s="709">
        <v>42.7</v>
      </c>
      <c r="H43" s="713">
        <f>AVERAGE(D43:G43)</f>
        <v>37.625</v>
      </c>
      <c r="I43" s="726">
        <f>AVERAGE(C43:F43)</f>
        <v>34.25</v>
      </c>
      <c r="J43" s="727">
        <f>F87</f>
        <v>28.150000000000002</v>
      </c>
      <c r="K43" s="712">
        <f>C43-B87</f>
        <v>5.0999999999999979</v>
      </c>
      <c r="L43" s="712">
        <f>D43-C87</f>
        <v>9.5999999999999979</v>
      </c>
      <c r="M43" s="712">
        <f>E43-D87</f>
        <v>12.100000000000001</v>
      </c>
    </row>
    <row r="44" spans="1:14">
      <c r="A44" s="716" t="s">
        <v>462</v>
      </c>
      <c r="B44" s="717" t="s">
        <v>461</v>
      </c>
      <c r="C44" s="718">
        <v>1.6</v>
      </c>
      <c r="D44" s="718">
        <v>1.5</v>
      </c>
      <c r="E44" s="718">
        <v>1.7</v>
      </c>
      <c r="F44" s="718">
        <v>1.5</v>
      </c>
      <c r="G44" s="718">
        <v>1.5</v>
      </c>
      <c r="H44" s="713">
        <f>AVERAGE(D44:G44)</f>
        <v>1.55</v>
      </c>
    </row>
    <row r="46" spans="1:14">
      <c r="A46" s="706" t="s">
        <v>463</v>
      </c>
      <c r="B46" s="702" t="s">
        <v>464</v>
      </c>
      <c r="C46" s="703">
        <v>9.1999999999999993</v>
      </c>
      <c r="D46" s="703">
        <v>13.7</v>
      </c>
      <c r="E46" s="703">
        <v>12</v>
      </c>
      <c r="F46" s="703">
        <v>8.6999999999999993</v>
      </c>
      <c r="G46" s="703">
        <v>7.5</v>
      </c>
    </row>
    <row r="47" spans="1:14" ht="30">
      <c r="A47" s="716" t="s">
        <v>465</v>
      </c>
      <c r="B47" s="717" t="s">
        <v>461</v>
      </c>
      <c r="C47" s="718">
        <v>2</v>
      </c>
      <c r="D47" s="718">
        <v>1.4</v>
      </c>
      <c r="E47" s="718">
        <v>1.7</v>
      </c>
      <c r="F47" s="718">
        <v>2.4</v>
      </c>
      <c r="G47" s="718">
        <v>2.5</v>
      </c>
      <c r="H47" s="719">
        <f>AVERAGE(D47:G47)</f>
        <v>2</v>
      </c>
    </row>
    <row r="48" spans="1:14">
      <c r="A48" s="706"/>
      <c r="B48" s="702"/>
      <c r="C48" s="714"/>
      <c r="D48" s="714"/>
      <c r="E48" s="714"/>
      <c r="F48" s="714"/>
      <c r="G48" s="714"/>
    </row>
    <row r="50" spans="1:11">
      <c r="A50" s="706" t="s">
        <v>466</v>
      </c>
      <c r="B50" s="702" t="s">
        <v>467</v>
      </c>
      <c r="C50" s="704">
        <v>671</v>
      </c>
      <c r="D50" s="704">
        <v>556</v>
      </c>
      <c r="E50" s="704">
        <v>490</v>
      </c>
      <c r="F50" s="704">
        <v>895</v>
      </c>
      <c r="G50" s="704">
        <v>441</v>
      </c>
    </row>
    <row r="51" spans="1:11" ht="30">
      <c r="A51" s="716" t="s">
        <v>468</v>
      </c>
      <c r="B51" s="717" t="s">
        <v>461</v>
      </c>
      <c r="C51" s="718">
        <v>12.1</v>
      </c>
      <c r="D51" s="718">
        <v>17.2</v>
      </c>
      <c r="E51" s="718">
        <v>22.8</v>
      </c>
      <c r="F51" s="718">
        <v>11.2</v>
      </c>
      <c r="G51" s="718">
        <v>21</v>
      </c>
    </row>
    <row r="52" spans="1:11" ht="30">
      <c r="A52" s="716" t="s">
        <v>469</v>
      </c>
      <c r="B52" s="717" t="s">
        <v>461</v>
      </c>
      <c r="C52" s="718">
        <v>3.3</v>
      </c>
      <c r="D52" s="718">
        <v>4.4000000000000004</v>
      </c>
      <c r="E52" s="718">
        <v>4.7</v>
      </c>
      <c r="F52" s="718">
        <v>2.6</v>
      </c>
      <c r="G52" s="718">
        <v>5.2</v>
      </c>
    </row>
    <row r="53" spans="1:11">
      <c r="A53" s="716" t="s">
        <v>470</v>
      </c>
      <c r="B53" s="717" t="s">
        <v>461</v>
      </c>
      <c r="C53" s="718">
        <v>4.3</v>
      </c>
      <c r="D53" s="718">
        <v>4.7</v>
      </c>
      <c r="E53" s="718">
        <v>6.2</v>
      </c>
      <c r="F53" s="718">
        <v>3.3</v>
      </c>
      <c r="G53" s="718">
        <v>8.4</v>
      </c>
    </row>
    <row r="54" spans="1:11">
      <c r="A54" s="716" t="s">
        <v>471</v>
      </c>
      <c r="B54" s="717" t="s">
        <v>461</v>
      </c>
      <c r="C54" s="718">
        <v>7.3</v>
      </c>
      <c r="D54" s="718">
        <v>9.1</v>
      </c>
      <c r="E54" s="718">
        <v>7.2</v>
      </c>
      <c r="F54" s="718">
        <v>6.3</v>
      </c>
      <c r="G54" s="718">
        <v>8.5</v>
      </c>
    </row>
    <row r="55" spans="1:11">
      <c r="A55" s="706" t="s">
        <v>472</v>
      </c>
      <c r="B55" s="702" t="s">
        <v>473</v>
      </c>
      <c r="C55" s="703">
        <v>18.3</v>
      </c>
      <c r="D55" s="703">
        <v>14.2</v>
      </c>
      <c r="E55" s="703">
        <v>11.9</v>
      </c>
      <c r="F55" s="703">
        <v>24.4</v>
      </c>
      <c r="G55" s="703">
        <v>13.7</v>
      </c>
    </row>
    <row r="56" spans="1:11">
      <c r="A56" s="706" t="s">
        <v>474</v>
      </c>
      <c r="B56" s="702" t="s">
        <v>461</v>
      </c>
      <c r="C56" s="703">
        <v>27.3</v>
      </c>
      <c r="D56" s="703">
        <v>25.5</v>
      </c>
      <c r="E56" s="703">
        <v>24.2</v>
      </c>
      <c r="F56" s="703">
        <v>27.3</v>
      </c>
      <c r="G56" s="703">
        <v>31.2</v>
      </c>
    </row>
    <row r="58" spans="1:11">
      <c r="A58" s="722" t="s">
        <v>475</v>
      </c>
      <c r="B58" s="724" t="s">
        <v>476</v>
      </c>
      <c r="C58" s="723">
        <v>34</v>
      </c>
      <c r="D58" s="723">
        <v>207</v>
      </c>
      <c r="E58" s="723">
        <v>238</v>
      </c>
      <c r="F58" s="723">
        <v>226</v>
      </c>
      <c r="G58" s="723">
        <v>177</v>
      </c>
      <c r="H58" s="725">
        <f>AVERAGE(D58:G58)</f>
        <v>212</v>
      </c>
      <c r="J58">
        <f>2.7*30</f>
        <v>81</v>
      </c>
      <c r="K58" t="s">
        <v>495</v>
      </c>
    </row>
    <row r="60" spans="1:11" ht="30">
      <c r="A60" s="710" t="s">
        <v>484</v>
      </c>
      <c r="B60" s="711"/>
      <c r="C60" s="721">
        <f>SUM(C51:C54)+C47</f>
        <v>29</v>
      </c>
      <c r="D60" s="721">
        <f t="shared" ref="D60:G60" si="9">SUM(D51:D54)+D47</f>
        <v>36.799999999999997</v>
      </c>
      <c r="E60" s="721">
        <f t="shared" si="9"/>
        <v>42.600000000000009</v>
      </c>
      <c r="F60" s="721">
        <f t="shared" si="9"/>
        <v>25.799999999999997</v>
      </c>
      <c r="G60" s="721">
        <f t="shared" si="9"/>
        <v>45.6</v>
      </c>
    </row>
    <row r="61" spans="1:11">
      <c r="A61" s="710" t="s">
        <v>483</v>
      </c>
      <c r="B61" s="711"/>
      <c r="C61" s="720">
        <f>C43+SUM(C51:C54)+C44+C47</f>
        <v>59.800000000000004</v>
      </c>
      <c r="D61" s="720">
        <f t="shared" ref="D61:G61" si="10">D43+SUM(D51:D54)+D44+D47</f>
        <v>75.7</v>
      </c>
      <c r="E61" s="720">
        <f t="shared" si="10"/>
        <v>91.4</v>
      </c>
      <c r="F61" s="720">
        <f t="shared" si="10"/>
        <v>50.6</v>
      </c>
      <c r="G61" s="720">
        <f t="shared" si="10"/>
        <v>89.800000000000011</v>
      </c>
    </row>
    <row r="64" spans="1:11" s="769" customFormat="1" ht="26">
      <c r="A64" s="769" t="s">
        <v>488</v>
      </c>
    </row>
    <row r="76" spans="1:6">
      <c r="A76" s="172"/>
      <c r="B76" s="701">
        <v>2026</v>
      </c>
      <c r="C76" s="701">
        <v>2026</v>
      </c>
      <c r="D76" s="701">
        <v>2026</v>
      </c>
      <c r="E76" s="701">
        <v>2026</v>
      </c>
    </row>
    <row r="77" spans="1:6">
      <c r="A77" s="172"/>
      <c r="B77" s="701" t="s">
        <v>453</v>
      </c>
      <c r="C77" s="701" t="s">
        <v>454</v>
      </c>
      <c r="D77" s="701" t="s">
        <v>455</v>
      </c>
      <c r="E77" s="701" t="s">
        <v>456</v>
      </c>
    </row>
    <row r="78" spans="1:6">
      <c r="A78" s="173" t="s">
        <v>217</v>
      </c>
      <c r="B78" s="174">
        <v>36900000</v>
      </c>
      <c r="C78" s="174"/>
      <c r="D78" s="174"/>
      <c r="E78" s="174"/>
      <c r="F78" s="175"/>
    </row>
    <row r="79" spans="1:6">
      <c r="A79" s="176" t="s">
        <v>218</v>
      </c>
      <c r="B79" s="172"/>
      <c r="C79" s="172"/>
      <c r="D79" s="172"/>
      <c r="E79" s="172"/>
      <c r="F79" s="177"/>
    </row>
    <row r="80" spans="1:6">
      <c r="A80" s="176"/>
      <c r="B80" s="172"/>
      <c r="C80" s="172"/>
      <c r="D80" s="172"/>
      <c r="E80" s="172"/>
      <c r="F80" s="177"/>
    </row>
    <row r="81" spans="1:9">
      <c r="A81" s="176" t="s">
        <v>219</v>
      </c>
      <c r="B81" s="172">
        <v>754</v>
      </c>
      <c r="C81" s="172"/>
      <c r="D81" s="172"/>
      <c r="E81" s="172"/>
      <c r="F81" s="177"/>
    </row>
    <row r="82" spans="1:9">
      <c r="A82" s="176" t="s">
        <v>220</v>
      </c>
      <c r="B82" s="172">
        <v>10974</v>
      </c>
      <c r="C82" s="172"/>
      <c r="D82" s="172"/>
      <c r="E82" s="172"/>
      <c r="F82" s="177"/>
    </row>
    <row r="83" spans="1:9">
      <c r="A83" s="176"/>
      <c r="B83" s="172"/>
      <c r="C83" s="172"/>
      <c r="D83" s="172"/>
      <c r="E83" s="172"/>
      <c r="F83" s="177"/>
    </row>
    <row r="84" spans="1:9">
      <c r="A84" s="178" t="s">
        <v>221</v>
      </c>
      <c r="B84" s="172">
        <v>24100</v>
      </c>
      <c r="C84" s="172">
        <v>27800</v>
      </c>
      <c r="D84" s="172">
        <v>35000</v>
      </c>
      <c r="E84" s="172">
        <v>25700</v>
      </c>
      <c r="F84" s="179">
        <f>AVERAGE(B84:E84)</f>
        <v>28150</v>
      </c>
      <c r="G84" s="612" t="s">
        <v>409</v>
      </c>
      <c r="H84" s="180" t="s">
        <v>408</v>
      </c>
      <c r="I84" s="180"/>
    </row>
    <row r="85" spans="1:9">
      <c r="A85" s="181" t="s">
        <v>222</v>
      </c>
      <c r="B85" s="182">
        <v>1600</v>
      </c>
      <c r="C85" s="182">
        <v>1500</v>
      </c>
      <c r="D85" s="182">
        <v>1700</v>
      </c>
      <c r="E85" s="182">
        <v>1500</v>
      </c>
      <c r="F85" s="183">
        <f>AVERAGE(B85:E85)</f>
        <v>1575</v>
      </c>
    </row>
    <row r="86" spans="1:9">
      <c r="A86" s="172"/>
      <c r="B86" s="172"/>
      <c r="C86" s="172"/>
      <c r="D86" s="172"/>
      <c r="E86" s="172"/>
      <c r="F86" s="172"/>
    </row>
    <row r="87" spans="1:9">
      <c r="A87" s="172"/>
      <c r="B87" s="708">
        <v>24.1</v>
      </c>
      <c r="C87" s="708">
        <v>27.8</v>
      </c>
      <c r="D87" s="708">
        <v>35</v>
      </c>
      <c r="E87" s="708">
        <v>25.7</v>
      </c>
      <c r="F87" s="177">
        <f>AVERAGE(B87:E87)</f>
        <v>28.150000000000002</v>
      </c>
    </row>
    <row r="88" spans="1:9" s="769" customFormat="1" ht="26">
      <c r="A88" s="769" t="s">
        <v>63</v>
      </c>
    </row>
    <row r="89" spans="1:9">
      <c r="A89" s="7" t="s">
        <v>410</v>
      </c>
      <c r="B89" s="172"/>
      <c r="C89" s="172"/>
      <c r="D89" s="172"/>
      <c r="E89" s="172"/>
      <c r="F89" s="172"/>
    </row>
    <row r="90" spans="1:9">
      <c r="A90" s="184" t="s">
        <v>64</v>
      </c>
      <c r="B90" s="184" t="s">
        <v>63</v>
      </c>
      <c r="C90" s="185" t="s">
        <v>197</v>
      </c>
      <c r="D90" s="172"/>
      <c r="E90" s="172"/>
      <c r="F90" s="172"/>
    </row>
    <row r="91" spans="1:9">
      <c r="A91" s="176" t="s">
        <v>62</v>
      </c>
      <c r="B91" s="186">
        <v>58146</v>
      </c>
      <c r="C91" s="177" t="s">
        <v>146</v>
      </c>
      <c r="D91" s="172"/>
      <c r="E91" s="172"/>
      <c r="F91" s="172"/>
    </row>
    <row r="92" spans="1:9">
      <c r="A92" s="176" t="s">
        <v>65</v>
      </c>
      <c r="B92" s="186">
        <v>35293.5</v>
      </c>
      <c r="C92" s="177" t="s">
        <v>146</v>
      </c>
      <c r="D92" s="172"/>
      <c r="E92" s="172"/>
      <c r="F92" s="172"/>
    </row>
    <row r="93" spans="1:9">
      <c r="A93" s="176" t="s">
        <v>66</v>
      </c>
      <c r="B93" s="186">
        <v>22557</v>
      </c>
      <c r="C93" s="177" t="s">
        <v>146</v>
      </c>
      <c r="D93" s="172"/>
      <c r="E93" s="172"/>
      <c r="F93" s="172"/>
    </row>
    <row r="94" spans="1:9">
      <c r="A94" s="187" t="s">
        <v>31</v>
      </c>
      <c r="B94" s="188">
        <v>14103</v>
      </c>
      <c r="C94" s="189" t="s">
        <v>146</v>
      </c>
      <c r="D94" s="172"/>
      <c r="E94" s="172"/>
      <c r="F94" s="172"/>
    </row>
    <row r="95" spans="1:9">
      <c r="A95" s="172"/>
      <c r="B95" s="172"/>
      <c r="C95" s="172"/>
      <c r="D95" s="172"/>
      <c r="E95" s="172"/>
      <c r="F95" s="172"/>
    </row>
    <row r="97" spans="1:5">
      <c r="A97" s="7" t="s">
        <v>326</v>
      </c>
    </row>
    <row r="109" spans="1:5">
      <c r="A109" s="184" t="s">
        <v>64</v>
      </c>
      <c r="B109" s="366" t="s">
        <v>330</v>
      </c>
      <c r="C109" s="366" t="s">
        <v>63</v>
      </c>
      <c r="D109" s="185" t="s">
        <v>197</v>
      </c>
      <c r="E109" s="375" t="s">
        <v>331</v>
      </c>
    </row>
    <row r="110" spans="1:5">
      <c r="A110" s="193" t="s">
        <v>327</v>
      </c>
      <c r="B110">
        <v>2751</v>
      </c>
      <c r="C110" s="186">
        <v>110725</v>
      </c>
      <c r="D110" s="177">
        <v>305</v>
      </c>
      <c r="E110" s="376">
        <f>D110/30</f>
        <v>10.166666666666666</v>
      </c>
    </row>
    <row r="111" spans="1:5">
      <c r="A111" s="176" t="s">
        <v>62</v>
      </c>
      <c r="B111">
        <v>4113</v>
      </c>
      <c r="C111" s="186">
        <v>70053</v>
      </c>
      <c r="D111" s="177">
        <v>233</v>
      </c>
      <c r="E111" s="376">
        <f t="shared" ref="E111:E115" si="11">D111/30</f>
        <v>7.7666666666666666</v>
      </c>
    </row>
    <row r="112" spans="1:5">
      <c r="A112" s="176" t="s">
        <v>65</v>
      </c>
      <c r="B112">
        <v>2344</v>
      </c>
      <c r="C112" s="186">
        <v>47443</v>
      </c>
      <c r="D112" s="177">
        <v>173</v>
      </c>
      <c r="E112" s="376">
        <f t="shared" si="11"/>
        <v>5.7666666666666666</v>
      </c>
    </row>
    <row r="113" spans="1:5">
      <c r="A113" s="176" t="s">
        <v>66</v>
      </c>
      <c r="B113">
        <v>1058</v>
      </c>
      <c r="C113" s="186">
        <v>40951</v>
      </c>
      <c r="D113" s="177">
        <v>149</v>
      </c>
      <c r="E113" s="376">
        <f t="shared" si="11"/>
        <v>4.9666666666666668</v>
      </c>
    </row>
    <row r="114" spans="1:5">
      <c r="A114" s="176" t="s">
        <v>328</v>
      </c>
      <c r="B114">
        <v>722</v>
      </c>
      <c r="C114" s="186">
        <v>33828</v>
      </c>
      <c r="D114" s="177">
        <v>129</v>
      </c>
      <c r="E114" s="376">
        <f t="shared" si="11"/>
        <v>4.3</v>
      </c>
    </row>
    <row r="115" spans="1:5">
      <c r="A115" s="187" t="s">
        <v>329</v>
      </c>
      <c r="B115" s="201">
        <v>5362</v>
      </c>
      <c r="C115" s="188">
        <v>21581</v>
      </c>
      <c r="D115" s="189">
        <v>97</v>
      </c>
      <c r="E115" s="377">
        <f t="shared" si="11"/>
        <v>3.2333333333333334</v>
      </c>
    </row>
    <row r="118" spans="1:5">
      <c r="C118" s="6" t="s">
        <v>421</v>
      </c>
    </row>
    <row r="119" spans="1:5">
      <c r="A119" s="375" t="s">
        <v>397</v>
      </c>
      <c r="B119" s="601" t="s">
        <v>396</v>
      </c>
      <c r="C119" s="606" t="s">
        <v>415</v>
      </c>
      <c r="D119" s="613"/>
      <c r="E119" s="614"/>
    </row>
    <row r="120" spans="1:5">
      <c r="A120" s="604"/>
      <c r="B120" s="194" t="s">
        <v>395</v>
      </c>
      <c r="C120" s="193" t="s">
        <v>395</v>
      </c>
      <c r="E120" s="194"/>
    </row>
    <row r="121" spans="1:5">
      <c r="A121" s="604" t="s">
        <v>392</v>
      </c>
      <c r="B121" s="602">
        <v>8000</v>
      </c>
      <c r="C121" s="193"/>
      <c r="E121" s="194"/>
    </row>
    <row r="122" spans="1:5">
      <c r="A122" s="604" t="s">
        <v>391</v>
      </c>
      <c r="B122" s="602">
        <v>15000</v>
      </c>
      <c r="C122" s="193"/>
      <c r="E122" s="194"/>
    </row>
    <row r="123" spans="1:5">
      <c r="A123" s="610" t="s">
        <v>393</v>
      </c>
      <c r="B123" s="602">
        <v>20000</v>
      </c>
      <c r="C123" s="607">
        <v>13000</v>
      </c>
      <c r="D123" s="166">
        <v>30000</v>
      </c>
      <c r="E123" s="608">
        <v>70000</v>
      </c>
    </row>
    <row r="124" spans="1:5">
      <c r="A124" s="604"/>
      <c r="B124" s="194"/>
      <c r="C124" s="193" t="s">
        <v>399</v>
      </c>
      <c r="D124" t="s">
        <v>400</v>
      </c>
      <c r="E124" s="194" t="s">
        <v>47</v>
      </c>
    </row>
    <row r="125" spans="1:5">
      <c r="A125" s="605" t="s">
        <v>394</v>
      </c>
      <c r="B125" s="603">
        <v>3000</v>
      </c>
      <c r="C125" s="198"/>
      <c r="D125" s="201"/>
      <c r="E125" s="609"/>
    </row>
    <row r="127" spans="1:5">
      <c r="A127" s="620" t="s">
        <v>416</v>
      </c>
      <c r="B127" s="9"/>
      <c r="C127" s="621">
        <f>C123/2</f>
        <v>6500</v>
      </c>
      <c r="D127" s="621">
        <f>D123/2</f>
        <v>15000</v>
      </c>
      <c r="E127" s="621">
        <f>E123/2</f>
        <v>35000</v>
      </c>
    </row>
    <row r="129" spans="1:5">
      <c r="A129" s="7" t="s">
        <v>398</v>
      </c>
      <c r="B129" s="600">
        <v>30000</v>
      </c>
      <c r="C129" s="140" t="s">
        <v>411</v>
      </c>
      <c r="D129" s="140"/>
      <c r="E129" s="140"/>
    </row>
    <row r="130" spans="1:5">
      <c r="B130" t="s">
        <v>412</v>
      </c>
    </row>
  </sheetData>
  <hyperlinks>
    <hyperlink ref="C118" r:id="rId1" xr:uid="{1271F866-5557-A14A-880F-7E1BBFCAB950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01C1F-47DE-1144-A843-D31F1564C291}">
  <sheetPr>
    <tabColor theme="0"/>
  </sheetPr>
  <dimension ref="A1:BC86"/>
  <sheetViews>
    <sheetView zoomScale="90" zoomScaleNormal="90" workbookViewId="0">
      <pane xSplit="1" ySplit="3" topLeftCell="B16" activePane="bottomRight" state="frozen"/>
      <selection pane="topRight" activeCell="B1" sqref="B1"/>
      <selection pane="bottomLeft" activeCell="A4" sqref="A4"/>
      <selection pane="bottomRight" activeCell="C19" sqref="C19"/>
    </sheetView>
  </sheetViews>
  <sheetFormatPr baseColWidth="10" defaultRowHeight="19"/>
  <cols>
    <col min="1" max="1" width="48.83203125" style="1" customWidth="1"/>
    <col min="2" max="2" width="19.33203125" style="2" customWidth="1"/>
    <col min="3" max="7" width="19.33203125" style="1" customWidth="1"/>
    <col min="8" max="13" width="17" style="1" customWidth="1"/>
    <col min="14" max="14" width="16.33203125" style="1" customWidth="1"/>
    <col min="15" max="19" width="17" style="1" customWidth="1"/>
    <col min="20" max="25" width="14.33203125" style="1" customWidth="1"/>
    <col min="26" max="30" width="11.83203125" style="1" customWidth="1"/>
    <col min="31" max="31" width="13.83203125" style="1" customWidth="1"/>
    <col min="32" max="32" width="19.6640625" style="1" customWidth="1"/>
    <col min="33" max="37" width="17" style="1" customWidth="1"/>
    <col min="38" max="43" width="10.83203125" style="334"/>
    <col min="44" max="55" width="17" style="1" customWidth="1"/>
    <col min="56" max="16384" width="10.83203125" style="334"/>
  </cols>
  <sheetData>
    <row r="1" spans="1:55" s="332" customFormat="1" ht="20" thickBot="1">
      <c r="A1" s="126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R1" s="85"/>
      <c r="AS1" s="85"/>
      <c r="AT1" s="85"/>
      <c r="AU1" s="85"/>
      <c r="AV1" s="85"/>
      <c r="AW1" s="85"/>
      <c r="AX1" s="85"/>
      <c r="AY1" s="85"/>
      <c r="AZ1" s="85"/>
      <c r="BA1" s="85"/>
      <c r="BB1" s="85"/>
      <c r="BC1" s="85"/>
    </row>
    <row r="2" spans="1:55" s="332" customFormat="1">
      <c r="A2" s="126"/>
      <c r="B2" s="306" t="s">
        <v>43</v>
      </c>
      <c r="C2" s="307"/>
      <c r="D2" s="308"/>
      <c r="E2" s="308"/>
      <c r="F2" s="308"/>
      <c r="G2" s="308"/>
      <c r="H2" s="319" t="s">
        <v>42</v>
      </c>
      <c r="I2" s="320"/>
      <c r="J2" s="321"/>
      <c r="K2" s="321"/>
      <c r="L2" s="321"/>
      <c r="M2" s="321"/>
      <c r="N2" s="319" t="s">
        <v>40</v>
      </c>
      <c r="O2" s="320"/>
      <c r="P2" s="321"/>
      <c r="Q2" s="321"/>
      <c r="R2" s="321"/>
      <c r="S2" s="322"/>
      <c r="T2" s="309" t="s">
        <v>170</v>
      </c>
      <c r="U2" s="310"/>
      <c r="V2" s="310"/>
      <c r="W2" s="310"/>
      <c r="X2" s="310"/>
      <c r="Y2" s="310"/>
      <c r="Z2" s="311" t="s">
        <v>44</v>
      </c>
      <c r="AA2" s="312"/>
      <c r="AB2" s="313"/>
      <c r="AC2" s="313"/>
      <c r="AD2" s="313"/>
      <c r="AE2" s="314"/>
      <c r="AF2" s="134" t="s">
        <v>41</v>
      </c>
      <c r="AG2" s="85"/>
      <c r="AH2" s="86"/>
      <c r="AI2" s="86"/>
      <c r="AJ2" s="86"/>
      <c r="AK2" s="86"/>
    </row>
    <row r="3" spans="1:55" s="333" customFormat="1" ht="140">
      <c r="A3" s="127" t="s">
        <v>39</v>
      </c>
      <c r="B3" s="304" t="s">
        <v>127</v>
      </c>
      <c r="C3" s="287" t="s">
        <v>37</v>
      </c>
      <c r="D3" s="287" t="s">
        <v>214</v>
      </c>
      <c r="E3" s="287" t="s">
        <v>210</v>
      </c>
      <c r="F3" s="287" t="s">
        <v>209</v>
      </c>
      <c r="G3" s="305" t="s">
        <v>34</v>
      </c>
      <c r="H3" s="294" t="s">
        <v>127</v>
      </c>
      <c r="I3" s="1" t="s">
        <v>301</v>
      </c>
      <c r="J3" s="1" t="s">
        <v>302</v>
      </c>
      <c r="K3" s="1" t="s">
        <v>303</v>
      </c>
      <c r="L3" s="1" t="s">
        <v>304</v>
      </c>
      <c r="M3" s="1" t="s">
        <v>34</v>
      </c>
      <c r="N3" s="330" t="s">
        <v>127</v>
      </c>
      <c r="O3" s="1" t="s">
        <v>301</v>
      </c>
      <c r="P3" s="1" t="s">
        <v>302</v>
      </c>
      <c r="Q3" s="1" t="s">
        <v>303</v>
      </c>
      <c r="R3" s="1" t="s">
        <v>304</v>
      </c>
      <c r="S3" s="331" t="s">
        <v>34</v>
      </c>
      <c r="T3" s="146" t="s">
        <v>127</v>
      </c>
      <c r="U3" s="1" t="s">
        <v>301</v>
      </c>
      <c r="V3" s="1" t="s">
        <v>302</v>
      </c>
      <c r="W3" s="1" t="s">
        <v>303</v>
      </c>
      <c r="X3" s="1" t="s">
        <v>304</v>
      </c>
      <c r="Y3" s="76" t="s">
        <v>34</v>
      </c>
      <c r="Z3" s="75" t="s">
        <v>127</v>
      </c>
      <c r="AA3" s="1" t="s">
        <v>301</v>
      </c>
      <c r="AB3" s="1" t="s">
        <v>302</v>
      </c>
      <c r="AC3" s="1" t="s">
        <v>303</v>
      </c>
      <c r="AD3" s="1" t="s">
        <v>304</v>
      </c>
      <c r="AE3" s="78" t="s">
        <v>34</v>
      </c>
      <c r="AF3" s="77" t="s">
        <v>127</v>
      </c>
      <c r="AG3" s="1" t="s">
        <v>301</v>
      </c>
      <c r="AH3" s="1" t="s">
        <v>302</v>
      </c>
      <c r="AI3" s="1" t="s">
        <v>303</v>
      </c>
      <c r="AJ3" s="1" t="s">
        <v>304</v>
      </c>
      <c r="AK3" s="76" t="s">
        <v>34</v>
      </c>
    </row>
    <row r="4" spans="1:55" ht="20">
      <c r="A4" s="87" t="s">
        <v>45</v>
      </c>
      <c r="B4" s="280">
        <v>1</v>
      </c>
      <c r="C4" s="1">
        <f>'База селлеров'!B63</f>
        <v>79000</v>
      </c>
      <c r="D4" s="1">
        <f>'База селлеров'!C63</f>
        <v>33000</v>
      </c>
      <c r="E4" s="1">
        <f>'База селлеров'!D63</f>
        <v>13000</v>
      </c>
      <c r="F4" s="1">
        <f>'База селлеров'!E63</f>
        <v>247000</v>
      </c>
      <c r="G4" s="13">
        <f>SUM(C4:F4)</f>
        <v>372000</v>
      </c>
      <c r="H4" s="296">
        <f>B4</f>
        <v>1</v>
      </c>
      <c r="I4" s="1">
        <f>C4</f>
        <v>79000</v>
      </c>
      <c r="J4" s="1">
        <f>D4</f>
        <v>33000</v>
      </c>
      <c r="K4" s="1">
        <f>E4</f>
        <v>13000</v>
      </c>
      <c r="L4" s="1">
        <f>F4</f>
        <v>247000</v>
      </c>
      <c r="M4" s="13">
        <f>SUM(I4:L4)</f>
        <v>372000</v>
      </c>
      <c r="N4" s="296">
        <f>H4</f>
        <v>1</v>
      </c>
      <c r="O4" s="1">
        <f>I4</f>
        <v>79000</v>
      </c>
      <c r="P4" s="1">
        <f>J4</f>
        <v>33000</v>
      </c>
      <c r="Q4" s="1">
        <f>K4</f>
        <v>13000</v>
      </c>
      <c r="R4" s="1">
        <f>L4</f>
        <v>247000</v>
      </c>
      <c r="S4" s="297">
        <f>SUM(O4:R4)</f>
        <v>372000</v>
      </c>
      <c r="Z4" s="28"/>
      <c r="AE4" s="24"/>
      <c r="AG4" s="1">
        <f>O4</f>
        <v>79000</v>
      </c>
      <c r="AH4" s="1">
        <f>P4</f>
        <v>33000</v>
      </c>
      <c r="AI4" s="1">
        <f>Q4</f>
        <v>13000</v>
      </c>
      <c r="AJ4" s="1">
        <f>R4</f>
        <v>247000</v>
      </c>
      <c r="AK4" s="1">
        <f>S4</f>
        <v>372000</v>
      </c>
      <c r="AR4" s="334"/>
      <c r="AS4" s="334"/>
      <c r="AT4" s="334"/>
      <c r="AU4" s="334"/>
      <c r="AV4" s="334"/>
      <c r="AW4" s="334"/>
      <c r="AX4" s="334"/>
      <c r="AY4" s="334"/>
      <c r="AZ4" s="334"/>
      <c r="BA4" s="334"/>
      <c r="BB4" s="334"/>
      <c r="BC4" s="334"/>
    </row>
    <row r="5" spans="1:55" ht="20">
      <c r="A5" s="128" t="s">
        <v>300</v>
      </c>
      <c r="B5" s="281">
        <v>0.8</v>
      </c>
      <c r="C5" s="1">
        <f>C4*$B$5</f>
        <v>63200</v>
      </c>
      <c r="D5" s="1">
        <f t="shared" ref="D5:F5" si="0">D4*$B$5</f>
        <v>26400</v>
      </c>
      <c r="E5" s="1">
        <f t="shared" si="0"/>
        <v>10400</v>
      </c>
      <c r="F5" s="1">
        <f t="shared" si="0"/>
        <v>197600</v>
      </c>
      <c r="G5" s="13">
        <f>SUM(C5:F5)</f>
        <v>297600</v>
      </c>
      <c r="H5" s="298">
        <f>B5</f>
        <v>0.8</v>
      </c>
      <c r="I5" s="1">
        <f>C5</f>
        <v>63200</v>
      </c>
      <c r="J5" s="1">
        <f t="shared" ref="J5:L5" si="1">D5</f>
        <v>26400</v>
      </c>
      <c r="K5" s="1">
        <f t="shared" si="1"/>
        <v>10400</v>
      </c>
      <c r="L5" s="1">
        <f t="shared" si="1"/>
        <v>197600</v>
      </c>
      <c r="M5" s="13">
        <f>SUM(I5:L5)</f>
        <v>297600</v>
      </c>
      <c r="N5" s="298">
        <f>H5</f>
        <v>0.8</v>
      </c>
      <c r="O5" s="1">
        <f>I5</f>
        <v>63200</v>
      </c>
      <c r="P5" s="1">
        <f t="shared" ref="P5" si="2">J5</f>
        <v>26400</v>
      </c>
      <c r="Q5" s="1">
        <f t="shared" ref="Q5" si="3">K5</f>
        <v>10400</v>
      </c>
      <c r="R5" s="1">
        <f t="shared" ref="R5" si="4">L5</f>
        <v>197600</v>
      </c>
      <c r="S5" s="297">
        <f>SUM(O5:R5)</f>
        <v>297600</v>
      </c>
      <c r="Z5" s="28"/>
      <c r="AE5" s="24"/>
      <c r="AG5" s="1">
        <f>AG4</f>
        <v>79000</v>
      </c>
      <c r="AH5" s="1">
        <f t="shared" ref="AH5:AK5" si="5">AH4</f>
        <v>33000</v>
      </c>
      <c r="AI5" s="1">
        <f t="shared" si="5"/>
        <v>13000</v>
      </c>
      <c r="AJ5" s="1">
        <f t="shared" si="5"/>
        <v>247000</v>
      </c>
      <c r="AK5" s="1">
        <f t="shared" si="5"/>
        <v>372000</v>
      </c>
      <c r="AR5" s="334"/>
      <c r="AS5" s="334"/>
      <c r="AT5" s="334"/>
      <c r="AU5" s="334"/>
      <c r="AV5" s="334"/>
      <c r="AW5" s="334"/>
      <c r="AX5" s="334"/>
      <c r="AY5" s="334"/>
      <c r="AZ5" s="334"/>
      <c r="BA5" s="334"/>
      <c r="BB5" s="334"/>
      <c r="BC5" s="334"/>
    </row>
    <row r="6" spans="1:55" ht="20">
      <c r="A6" s="87" t="s">
        <v>0</v>
      </c>
      <c r="B6" s="284"/>
      <c r="C6" s="285"/>
      <c r="D6" s="285"/>
      <c r="E6" s="285"/>
      <c r="F6" s="285"/>
      <c r="G6" s="285"/>
      <c r="H6" s="296"/>
      <c r="I6" s="154"/>
      <c r="J6" s="154"/>
      <c r="K6" s="154"/>
      <c r="L6" s="154"/>
      <c r="M6" s="154"/>
      <c r="N6" s="87"/>
      <c r="S6" s="295"/>
      <c r="Z6" s="28"/>
      <c r="AE6" s="24"/>
      <c r="AR6" s="334"/>
      <c r="AS6" s="334"/>
      <c r="AT6" s="334"/>
      <c r="AU6" s="334"/>
      <c r="AV6" s="334"/>
      <c r="AW6" s="334"/>
      <c r="AX6" s="334"/>
      <c r="AY6" s="334"/>
      <c r="AZ6" s="334"/>
      <c r="BA6" s="334"/>
      <c r="BB6" s="334"/>
      <c r="BC6" s="334"/>
    </row>
    <row r="7" spans="1:55" ht="20">
      <c r="A7" s="87" t="s">
        <v>55</v>
      </c>
      <c r="B7" s="280"/>
      <c r="G7" s="13"/>
      <c r="H7" s="296"/>
      <c r="N7" s="87"/>
      <c r="S7" s="295"/>
      <c r="Z7" s="28"/>
      <c r="AE7" s="24"/>
      <c r="AR7" s="334"/>
      <c r="AS7" s="334"/>
      <c r="AT7" s="334"/>
      <c r="AU7" s="334"/>
      <c r="AV7" s="334"/>
      <c r="AW7" s="334"/>
      <c r="AX7" s="334"/>
      <c r="AY7" s="334"/>
      <c r="AZ7" s="334"/>
      <c r="BA7" s="334"/>
      <c r="BB7" s="334"/>
      <c r="BC7" s="334"/>
    </row>
    <row r="8" spans="1:55" ht="20">
      <c r="A8" s="87" t="s">
        <v>53</v>
      </c>
      <c r="B8" s="280"/>
      <c r="G8" s="13"/>
      <c r="H8" s="296"/>
      <c r="N8" s="87"/>
      <c r="S8" s="295"/>
      <c r="Z8" s="28"/>
      <c r="AE8" s="24"/>
      <c r="AR8" s="334"/>
      <c r="AS8" s="334"/>
      <c r="AT8" s="334"/>
      <c r="AU8" s="334"/>
      <c r="AV8" s="334"/>
      <c r="AW8" s="334"/>
      <c r="AX8" s="334"/>
      <c r="AY8" s="334"/>
      <c r="AZ8" s="334"/>
      <c r="BA8" s="334"/>
      <c r="BB8" s="334"/>
      <c r="BC8" s="334"/>
    </row>
    <row r="9" spans="1:55" ht="20">
      <c r="A9" s="87" t="s">
        <v>38</v>
      </c>
      <c r="B9" s="280"/>
      <c r="G9" s="13"/>
      <c r="H9" s="296"/>
      <c r="N9" s="87"/>
      <c r="S9" s="295"/>
      <c r="Z9" s="28"/>
      <c r="AE9" s="24"/>
      <c r="AR9" s="334"/>
      <c r="AS9" s="334"/>
      <c r="AT9" s="334"/>
      <c r="AU9" s="334"/>
      <c r="AV9" s="334"/>
      <c r="AW9" s="334"/>
      <c r="AX9" s="334"/>
      <c r="AY9" s="334"/>
      <c r="AZ9" s="334"/>
      <c r="BA9" s="334"/>
      <c r="BB9" s="334"/>
      <c r="BC9" s="334"/>
    </row>
    <row r="10" spans="1:55" ht="20">
      <c r="A10" s="87" t="s">
        <v>124</v>
      </c>
      <c r="B10" s="284"/>
      <c r="C10" s="285"/>
      <c r="D10" s="285"/>
      <c r="E10" s="285"/>
      <c r="F10" s="285"/>
      <c r="G10" s="285"/>
      <c r="H10" s="296"/>
      <c r="I10" s="154"/>
      <c r="J10" s="154"/>
      <c r="K10" s="154"/>
      <c r="L10" s="154"/>
      <c r="M10" s="154"/>
      <c r="N10" s="87"/>
      <c r="S10" s="295"/>
      <c r="Z10" s="28"/>
      <c r="AE10" s="24"/>
      <c r="AR10" s="334"/>
      <c r="AS10" s="334"/>
      <c r="AT10" s="334"/>
      <c r="AU10" s="334"/>
      <c r="AV10" s="334"/>
      <c r="AW10" s="334"/>
      <c r="AX10" s="334"/>
      <c r="AY10" s="334"/>
      <c r="AZ10" s="334"/>
      <c r="BA10" s="334"/>
      <c r="BB10" s="334"/>
      <c r="BC10" s="334"/>
    </row>
    <row r="11" spans="1:55" ht="20">
      <c r="A11" s="158" t="s">
        <v>299</v>
      </c>
      <c r="B11" s="282">
        <v>0.8</v>
      </c>
      <c r="C11" s="154">
        <f>$C$5*B11</f>
        <v>50560</v>
      </c>
      <c r="D11" s="154">
        <f>$D$5*B11</f>
        <v>21120</v>
      </c>
      <c r="E11" s="154">
        <f>$E$5*B11</f>
        <v>8320</v>
      </c>
      <c r="F11" s="154">
        <f>$F$5*B11</f>
        <v>158080</v>
      </c>
      <c r="G11" s="279">
        <f>SUM(C11:F11)</f>
        <v>238080</v>
      </c>
      <c r="H11" s="300">
        <f>B11</f>
        <v>0.8</v>
      </c>
      <c r="I11" s="154">
        <f>$I$5*H11</f>
        <v>50560</v>
      </c>
      <c r="J11" s="154">
        <f>$J$5*H11</f>
        <v>21120</v>
      </c>
      <c r="K11" s="154">
        <f>$K$5*H11</f>
        <v>8320</v>
      </c>
      <c r="L11" s="154">
        <f>$L$5*H11</f>
        <v>158080</v>
      </c>
      <c r="M11" s="279">
        <f>SUM(I11:L11)</f>
        <v>238080</v>
      </c>
      <c r="N11" s="87" t="s">
        <v>1</v>
      </c>
      <c r="O11" s="1" t="s">
        <v>1</v>
      </c>
      <c r="P11" s="1" t="s">
        <v>1</v>
      </c>
      <c r="Q11" s="1" t="s">
        <v>1</v>
      </c>
      <c r="R11" s="1" t="s">
        <v>1</v>
      </c>
      <c r="S11" s="295"/>
      <c r="T11" s="154"/>
      <c r="U11" s="154"/>
      <c r="V11" s="154"/>
      <c r="W11" s="154"/>
      <c r="X11" s="154"/>
      <c r="Y11" s="154"/>
      <c r="Z11" s="28"/>
      <c r="AE11" s="24"/>
      <c r="AR11" s="334"/>
      <c r="AS11" s="334"/>
      <c r="AT11" s="334"/>
      <c r="AU11" s="334"/>
      <c r="AV11" s="334"/>
      <c r="AW11" s="334"/>
      <c r="AX11" s="334"/>
      <c r="AY11" s="334"/>
      <c r="AZ11" s="334"/>
      <c r="BA11" s="334"/>
      <c r="BB11" s="334"/>
      <c r="BC11" s="334"/>
    </row>
    <row r="12" spans="1:55" ht="20">
      <c r="A12" s="158" t="s">
        <v>171</v>
      </c>
      <c r="B12" s="283">
        <f>B11</f>
        <v>0.8</v>
      </c>
      <c r="C12" s="154">
        <f>$C$11*B12</f>
        <v>40448</v>
      </c>
      <c r="D12" s="154">
        <f>$D$11*B12</f>
        <v>16896</v>
      </c>
      <c r="E12" s="154">
        <f>$E$11*B12</f>
        <v>6656</v>
      </c>
      <c r="F12" s="154">
        <f>$F$11*B12</f>
        <v>126464</v>
      </c>
      <c r="G12" s="279">
        <f t="shared" ref="G12:G16" si="6">SUM(C12:F12)</f>
        <v>190464</v>
      </c>
      <c r="H12" s="296">
        <f t="shared" ref="H12:H15" si="7">B12</f>
        <v>0.8</v>
      </c>
      <c r="I12" s="154">
        <f t="shared" ref="I12:I16" si="8">$I$5*H12</f>
        <v>50560</v>
      </c>
      <c r="J12" s="154">
        <f t="shared" ref="J12:J16" si="9">$J$5*H12</f>
        <v>21120</v>
      </c>
      <c r="K12" s="154">
        <f t="shared" ref="K12:K16" si="10">$K$5*H12</f>
        <v>8320</v>
      </c>
      <c r="L12" s="154">
        <f t="shared" ref="L12:L16" si="11">$L$5*H12</f>
        <v>158080</v>
      </c>
      <c r="M12" s="279">
        <f t="shared" ref="M12:M16" si="12">SUM(I12:L12)</f>
        <v>238080</v>
      </c>
      <c r="N12" s="87" t="s">
        <v>1</v>
      </c>
      <c r="O12" s="1" t="s">
        <v>1</v>
      </c>
      <c r="P12" s="1" t="s">
        <v>1</v>
      </c>
      <c r="Q12" s="1" t="s">
        <v>1</v>
      </c>
      <c r="R12" s="1" t="s">
        <v>1</v>
      </c>
      <c r="S12" s="295"/>
      <c r="T12" s="154"/>
      <c r="U12" s="154"/>
      <c r="V12" s="154"/>
      <c r="W12" s="154"/>
      <c r="X12" s="154"/>
      <c r="Y12" s="154"/>
      <c r="Z12" s="28"/>
      <c r="AE12" s="24"/>
      <c r="AR12" s="334"/>
      <c r="AS12" s="334"/>
      <c r="AT12" s="334"/>
      <c r="AU12" s="334"/>
      <c r="AV12" s="334"/>
      <c r="AW12" s="334"/>
      <c r="AX12" s="334"/>
      <c r="AY12" s="334"/>
      <c r="AZ12" s="334"/>
      <c r="BA12" s="334"/>
      <c r="BB12" s="334"/>
      <c r="BC12" s="334"/>
    </row>
    <row r="13" spans="1:55" ht="20">
      <c r="A13" s="158" t="s">
        <v>211</v>
      </c>
      <c r="B13" s="283">
        <f>'Воронка MPS_обработано'!L10</f>
        <v>0.4</v>
      </c>
      <c r="C13" s="154">
        <f t="shared" ref="C13:C15" si="13">$C$11*B13</f>
        <v>20224</v>
      </c>
      <c r="D13" s="154">
        <f t="shared" ref="D13:D15" si="14">$D$11*B13</f>
        <v>8448</v>
      </c>
      <c r="E13" s="154">
        <f t="shared" ref="E13:E15" si="15">$E$11*B13</f>
        <v>3328</v>
      </c>
      <c r="F13" s="154">
        <f t="shared" ref="F13:F15" si="16">$F$11*B13</f>
        <v>63232</v>
      </c>
      <c r="G13" s="279">
        <f t="shared" si="6"/>
        <v>95232</v>
      </c>
      <c r="H13" s="296">
        <f t="shared" si="7"/>
        <v>0.4</v>
      </c>
      <c r="I13" s="154">
        <f t="shared" si="8"/>
        <v>25280</v>
      </c>
      <c r="J13" s="154">
        <f t="shared" si="9"/>
        <v>10560</v>
      </c>
      <c r="K13" s="154">
        <f t="shared" si="10"/>
        <v>4160</v>
      </c>
      <c r="L13" s="154">
        <f t="shared" si="11"/>
        <v>79040</v>
      </c>
      <c r="M13" s="279">
        <f t="shared" si="12"/>
        <v>119040</v>
      </c>
      <c r="N13" s="87" t="s">
        <v>1</v>
      </c>
      <c r="O13" s="1" t="s">
        <v>1</v>
      </c>
      <c r="P13" s="1" t="s">
        <v>1</v>
      </c>
      <c r="Q13" s="1" t="s">
        <v>1</v>
      </c>
      <c r="R13" s="1" t="s">
        <v>1</v>
      </c>
      <c r="S13" s="295"/>
      <c r="T13" s="154"/>
      <c r="U13" s="154"/>
      <c r="V13" s="154"/>
      <c r="W13" s="154"/>
      <c r="X13" s="154"/>
      <c r="Y13" s="154"/>
      <c r="Z13" s="28"/>
      <c r="AE13" s="24"/>
      <c r="AR13" s="334"/>
      <c r="AS13" s="334"/>
      <c r="AT13" s="334"/>
      <c r="AU13" s="334"/>
      <c r="AV13" s="334"/>
      <c r="AW13" s="334"/>
      <c r="AX13" s="334"/>
      <c r="AY13" s="334"/>
      <c r="AZ13" s="334"/>
      <c r="BA13" s="334"/>
      <c r="BB13" s="334"/>
      <c r="BC13" s="334"/>
    </row>
    <row r="14" spans="1:55" ht="20">
      <c r="A14" s="158" t="s">
        <v>212</v>
      </c>
      <c r="B14" s="156">
        <f>'Воронка MPS_обработано'!L11</f>
        <v>0.29799999999999999</v>
      </c>
      <c r="C14" s="154">
        <f t="shared" si="13"/>
        <v>15066.88</v>
      </c>
      <c r="D14" s="154">
        <f t="shared" si="14"/>
        <v>6293.7599999999993</v>
      </c>
      <c r="E14" s="154">
        <f t="shared" si="15"/>
        <v>2479.3599999999997</v>
      </c>
      <c r="F14" s="154">
        <f t="shared" si="16"/>
        <v>47107.839999999997</v>
      </c>
      <c r="G14" s="279">
        <f t="shared" si="6"/>
        <v>70947.839999999997</v>
      </c>
      <c r="H14" s="296">
        <f t="shared" si="7"/>
        <v>0.29799999999999999</v>
      </c>
      <c r="I14" s="154">
        <f t="shared" si="8"/>
        <v>18833.599999999999</v>
      </c>
      <c r="J14" s="154">
        <f t="shared" si="9"/>
        <v>7867.2</v>
      </c>
      <c r="K14" s="154">
        <f t="shared" si="10"/>
        <v>3099.2</v>
      </c>
      <c r="L14" s="154">
        <f t="shared" si="11"/>
        <v>58884.799999999996</v>
      </c>
      <c r="M14" s="279">
        <f t="shared" si="12"/>
        <v>88684.799999999988</v>
      </c>
      <c r="N14" s="87" t="s">
        <v>1</v>
      </c>
      <c r="O14" s="1" t="s">
        <v>1</v>
      </c>
      <c r="P14" s="1" t="s">
        <v>1</v>
      </c>
      <c r="Q14" s="1" t="s">
        <v>1</v>
      </c>
      <c r="R14" s="1" t="s">
        <v>1</v>
      </c>
      <c r="S14" s="295"/>
      <c r="T14" s="154"/>
      <c r="U14" s="154"/>
      <c r="V14" s="154"/>
      <c r="W14" s="154"/>
      <c r="X14" s="154"/>
      <c r="Y14" s="154"/>
      <c r="Z14" s="28"/>
      <c r="AE14" s="24"/>
      <c r="AR14" s="334"/>
      <c r="AS14" s="334"/>
      <c r="AT14" s="334"/>
      <c r="AU14" s="334"/>
      <c r="AV14" s="334"/>
      <c r="AW14" s="334"/>
      <c r="AX14" s="334"/>
      <c r="AY14" s="334"/>
      <c r="AZ14" s="334"/>
      <c r="BA14" s="334"/>
      <c r="BB14" s="334"/>
      <c r="BC14" s="334"/>
    </row>
    <row r="15" spans="1:55" ht="20">
      <c r="A15" s="158" t="s">
        <v>213</v>
      </c>
      <c r="B15" s="156">
        <f>'Воронка MPS_обработано'!L12</f>
        <v>0.45500000000000002</v>
      </c>
      <c r="C15" s="154">
        <f t="shared" si="13"/>
        <v>23004.799999999999</v>
      </c>
      <c r="D15" s="154">
        <f t="shared" si="14"/>
        <v>9609.6</v>
      </c>
      <c r="E15" s="154">
        <f t="shared" si="15"/>
        <v>3785.6</v>
      </c>
      <c r="F15" s="154">
        <f t="shared" si="16"/>
        <v>71926.400000000009</v>
      </c>
      <c r="G15" s="279">
        <f t="shared" si="6"/>
        <v>108326.40000000001</v>
      </c>
      <c r="H15" s="296">
        <f t="shared" si="7"/>
        <v>0.45500000000000002</v>
      </c>
      <c r="I15" s="154">
        <f t="shared" si="8"/>
        <v>28756</v>
      </c>
      <c r="J15" s="154">
        <f t="shared" si="9"/>
        <v>12012</v>
      </c>
      <c r="K15" s="154">
        <f t="shared" si="10"/>
        <v>4732</v>
      </c>
      <c r="L15" s="154">
        <f t="shared" si="11"/>
        <v>89908</v>
      </c>
      <c r="M15" s="279">
        <f t="shared" si="12"/>
        <v>135408</v>
      </c>
      <c r="N15" s="87" t="s">
        <v>1</v>
      </c>
      <c r="O15" s="1" t="s">
        <v>1</v>
      </c>
      <c r="P15" s="1" t="s">
        <v>1</v>
      </c>
      <c r="Q15" s="1" t="s">
        <v>1</v>
      </c>
      <c r="R15" s="1" t="s">
        <v>1</v>
      </c>
      <c r="S15" s="295"/>
      <c r="T15" s="154"/>
      <c r="U15" s="154"/>
      <c r="V15" s="154"/>
      <c r="W15" s="154"/>
      <c r="X15" s="154"/>
      <c r="Y15" s="154"/>
      <c r="Z15" s="28"/>
      <c r="AE15" s="24"/>
      <c r="AR15" s="334"/>
      <c r="AS15" s="334"/>
      <c r="AT15" s="334"/>
      <c r="AU15" s="334"/>
      <c r="AV15" s="334"/>
      <c r="AW15" s="334"/>
      <c r="AX15" s="334"/>
      <c r="AY15" s="334"/>
      <c r="AZ15" s="334"/>
      <c r="BA15" s="334"/>
      <c r="BB15" s="334"/>
      <c r="BC15" s="334"/>
    </row>
    <row r="16" spans="1:55" ht="20">
      <c r="A16" s="128" t="s">
        <v>292</v>
      </c>
      <c r="B16" s="157">
        <f>'Воронка MPS_обработано'!L14</f>
        <v>8.5384615384615392E-2</v>
      </c>
      <c r="C16" s="154">
        <f>$C$11*B16</f>
        <v>4317.0461538461541</v>
      </c>
      <c r="D16" s="154">
        <f>$D$11*B16</f>
        <v>1803.323076923077</v>
      </c>
      <c r="E16" s="154">
        <f>$E$11*B16</f>
        <v>710.40000000000009</v>
      </c>
      <c r="F16" s="154">
        <f>$F$11*B16</f>
        <v>13497.6</v>
      </c>
      <c r="G16" s="279">
        <f t="shared" si="6"/>
        <v>20328.369230769233</v>
      </c>
      <c r="H16" s="302">
        <f>B16*1.15</f>
        <v>9.819230769230769E-2</v>
      </c>
      <c r="I16" s="154">
        <f t="shared" si="8"/>
        <v>6205.7538461538461</v>
      </c>
      <c r="J16" s="154">
        <f t="shared" si="9"/>
        <v>2592.2769230769231</v>
      </c>
      <c r="K16" s="154">
        <f t="shared" si="10"/>
        <v>1021.1999999999999</v>
      </c>
      <c r="L16" s="154">
        <f t="shared" si="11"/>
        <v>19402.8</v>
      </c>
      <c r="M16" s="279">
        <f t="shared" si="12"/>
        <v>29222.030769230769</v>
      </c>
      <c r="N16" s="328">
        <f>'Воронка Селлер as is'!F12</f>
        <v>1.7475398710553106E-2</v>
      </c>
      <c r="O16" s="154">
        <f>$N$16*O5</f>
        <v>1104.4451985069563</v>
      </c>
      <c r="P16" s="154">
        <f t="shared" ref="P16:R16" si="17">$N$16*P5</f>
        <v>461.35052595860196</v>
      </c>
      <c r="Q16" s="154">
        <f t="shared" si="17"/>
        <v>181.74414658975229</v>
      </c>
      <c r="R16" s="154">
        <f t="shared" si="17"/>
        <v>3453.1387852052935</v>
      </c>
      <c r="S16" s="301">
        <f>SUM(O16:R16)</f>
        <v>5200.6786562606039</v>
      </c>
      <c r="T16" s="154"/>
      <c r="U16" s="154"/>
      <c r="V16" s="154"/>
      <c r="W16" s="154"/>
      <c r="X16" s="154"/>
      <c r="Y16" s="154"/>
      <c r="Z16" s="28"/>
      <c r="AE16" s="2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</row>
    <row r="17" spans="1:55" s="335" customFormat="1" ht="55" customHeight="1" thickBot="1">
      <c r="A17" s="130" t="s">
        <v>293</v>
      </c>
      <c r="B17" s="88"/>
      <c r="C17" s="88"/>
      <c r="D17" s="88"/>
      <c r="E17" s="88"/>
      <c r="F17" s="88"/>
      <c r="G17" s="327"/>
      <c r="H17" s="323" t="s">
        <v>294</v>
      </c>
      <c r="I17" s="88"/>
      <c r="J17" s="303"/>
      <c r="L17" s="303"/>
      <c r="M17" s="293"/>
      <c r="N17" s="91"/>
      <c r="O17" s="88"/>
      <c r="P17" s="88"/>
      <c r="Q17" s="88"/>
      <c r="R17" s="88"/>
      <c r="S17" s="329"/>
      <c r="T17" s="88"/>
      <c r="U17" s="88"/>
      <c r="V17" s="88"/>
      <c r="W17" s="88"/>
      <c r="X17" s="88"/>
      <c r="Y17" s="88"/>
      <c r="Z17" s="133"/>
      <c r="AA17" s="88"/>
      <c r="AB17" s="88"/>
      <c r="AC17" s="88"/>
      <c r="AD17" s="88"/>
      <c r="AE17" s="131"/>
      <c r="AF17" s="132"/>
      <c r="AG17" s="88"/>
      <c r="AH17" s="88"/>
      <c r="AI17" s="88"/>
      <c r="AJ17" s="88"/>
      <c r="AK17" s="88"/>
    </row>
    <row r="18" spans="1:55" ht="22" customHeight="1" thickBot="1">
      <c r="C18" s="334"/>
      <c r="N18" s="80"/>
      <c r="AF18" s="80"/>
    </row>
    <row r="19" spans="1:55" s="336" customFormat="1" ht="22" customHeight="1">
      <c r="A19" s="90" t="s">
        <v>310</v>
      </c>
      <c r="B19" s="147"/>
      <c r="C19" s="155" t="e">
        <f>(C16*C68*C30)+(C16*C69*C31)+(C16*C70*C32)+(C16*C39)</f>
        <v>#REF!</v>
      </c>
      <c r="D19" s="155" t="e">
        <f>(D16*D68*D30)+(D16*D69*D31)+(D16*D70*D32)+(D16*D39)</f>
        <v>#REF!</v>
      </c>
      <c r="E19" s="155" t="e">
        <f>(E16*E68*E30)+(E16*E69*E31)+(E16*E70*E32)+(E16*E39)</f>
        <v>#REF!</v>
      </c>
      <c r="F19" s="155" t="e">
        <f>(F16*F68*F30)+(F16*F69*F31)+(F16*F70*F32)+(F16*F39)</f>
        <v>#REF!</v>
      </c>
      <c r="G19" s="159" t="e">
        <f>(G16*G68*G30)+(G16*G69*G31)+(G16*G70*G32)+(G16*G39)</f>
        <v>#REF!</v>
      </c>
      <c r="H19" s="137"/>
      <c r="I19" s="155" t="e">
        <f>(I16*I68*I30)+(I16*I69*I31)+(I16*I70*I32)+(I16*I39)</f>
        <v>#REF!</v>
      </c>
      <c r="J19" s="155" t="e">
        <f>(J16*J68*J30)+(J16*J69*J31)+(J16*J70*J32)+(J16*J39)</f>
        <v>#REF!</v>
      </c>
      <c r="K19" s="155" t="e">
        <f>(K16*K68*K30)+(K16*K69*K31)+(K16*K70*K32)+(K16*K39)</f>
        <v>#REF!</v>
      </c>
      <c r="L19" s="155" t="e">
        <f>(L16*L68*L30)+(L16*L69*L31)+(L16*L70*L32)+(L16*L39)</f>
        <v>#REF!</v>
      </c>
      <c r="M19" s="159" t="e">
        <f>SUM(I19:L19)</f>
        <v>#REF!</v>
      </c>
      <c r="N19" s="149"/>
      <c r="O19" s="155" t="e">
        <f>(O16*O68*O30)+(O16*O69*O31)+(O16*O70*O32)+(O16*O39)</f>
        <v>#REF!</v>
      </c>
      <c r="P19" s="155" t="e">
        <f>(P16*P68*P30)+(P16*P69*P31)+(P16*P70*P32)+(P16*P39)</f>
        <v>#REF!</v>
      </c>
      <c r="Q19" s="155" t="e">
        <f>(Q16*Q68*Q30)+(Q16*Q69*Q31)+(Q16*Q70*Q32)+(Q16*Q39)</f>
        <v>#REF!</v>
      </c>
      <c r="R19" s="155" t="e">
        <f>(R16*R68*R30)+(R16*R69*R31)+(R16*R70*R32)+(R16*R39)</f>
        <v>#REF!</v>
      </c>
      <c r="S19" s="159" t="e">
        <f>SUM(O19:R19)</f>
        <v>#REF!</v>
      </c>
      <c r="T19" s="153"/>
      <c r="U19" s="153"/>
      <c r="V19" s="153"/>
      <c r="W19" s="153"/>
      <c r="X19" s="153"/>
      <c r="Y19" s="153"/>
      <c r="Z19" s="137"/>
      <c r="AA19" s="137"/>
      <c r="AB19" s="137"/>
      <c r="AC19" s="137"/>
      <c r="AD19" s="137"/>
      <c r="AE19" s="137"/>
      <c r="AF19" s="149"/>
      <c r="AG19" s="137"/>
      <c r="AH19" s="137"/>
      <c r="AI19" s="137"/>
      <c r="AJ19" s="137"/>
      <c r="AK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</row>
    <row r="20" spans="1:55" s="337" customFormat="1" ht="22" customHeight="1">
      <c r="A20" s="92" t="s">
        <v>283</v>
      </c>
      <c r="B20" s="257"/>
      <c r="C20" s="275" t="e">
        <f>C19-(C16*C39)</f>
        <v>#REF!</v>
      </c>
      <c r="D20" s="275" t="e">
        <f>D19-(D16*D39)</f>
        <v>#REF!</v>
      </c>
      <c r="E20" s="275" t="e">
        <f>E19-(E16*E39)</f>
        <v>#REF!</v>
      </c>
      <c r="F20" s="275" t="e">
        <f>F19-(F16*F39)</f>
        <v>#REF!</v>
      </c>
      <c r="G20" s="276" t="e">
        <f>G19-(G16*G39)</f>
        <v>#REF!</v>
      </c>
      <c r="H20" s="25"/>
      <c r="I20" s="275" t="e">
        <f>I19-(I16*I39)</f>
        <v>#REF!</v>
      </c>
      <c r="J20" s="275" t="e">
        <f>J19-(J16*J39)</f>
        <v>#REF!</v>
      </c>
      <c r="K20" s="275" t="e">
        <f>K19-(K16*K39)</f>
        <v>#REF!</v>
      </c>
      <c r="L20" s="275" t="e">
        <f>L19-(L16*L39)</f>
        <v>#REF!</v>
      </c>
      <c r="M20" s="276" t="e">
        <f t="shared" ref="M20:M24" si="18">SUM(I20:L20)</f>
        <v>#REF!</v>
      </c>
      <c r="N20" s="277"/>
      <c r="O20" s="275" t="e">
        <f>O19-(O16*O39)</f>
        <v>#REF!</v>
      </c>
      <c r="P20" s="275" t="e">
        <f>P19-(P16*P39)</f>
        <v>#REF!</v>
      </c>
      <c r="Q20" s="275" t="e">
        <f>Q19-(Q16*Q39)</f>
        <v>#REF!</v>
      </c>
      <c r="R20" s="275" t="e">
        <f>R19-(R16*R39)</f>
        <v>#REF!</v>
      </c>
      <c r="S20" s="276" t="e">
        <f t="shared" ref="S20:S24" si="19">SUM(O20:R20)</f>
        <v>#REF!</v>
      </c>
      <c r="T20" s="258"/>
      <c r="U20" s="258"/>
      <c r="V20" s="258"/>
      <c r="W20" s="258"/>
      <c r="X20" s="258"/>
      <c r="Y20" s="258"/>
      <c r="Z20" s="25"/>
      <c r="AA20" s="25"/>
      <c r="AB20" s="25"/>
      <c r="AC20" s="25"/>
      <c r="AD20" s="25"/>
      <c r="AE20" s="25"/>
      <c r="AF20" s="277"/>
      <c r="AG20" s="25"/>
      <c r="AH20" s="25"/>
      <c r="AI20" s="25"/>
      <c r="AJ20" s="25"/>
      <c r="AK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</row>
    <row r="21" spans="1:55" s="337" customFormat="1" ht="22" customHeight="1">
      <c r="A21" s="92" t="s">
        <v>307</v>
      </c>
      <c r="B21" s="257"/>
      <c r="C21" s="275">
        <f>C16*C42</f>
        <v>121524849.23076923</v>
      </c>
      <c r="D21" s="275">
        <f>D16*D42</f>
        <v>50763544.615384616</v>
      </c>
      <c r="E21" s="275">
        <f>E16*E42</f>
        <v>19997760.000000004</v>
      </c>
      <c r="F21" s="275">
        <f>F16*F42</f>
        <v>379957440</v>
      </c>
      <c r="G21" s="275">
        <f>G16*G42</f>
        <v>572243593.84615386</v>
      </c>
      <c r="H21" s="25"/>
      <c r="I21" s="275">
        <f>I16*I42</f>
        <v>174691970.76923075</v>
      </c>
      <c r="J21" s="275">
        <f>J16*J42</f>
        <v>72972595.384615391</v>
      </c>
      <c r="K21" s="275">
        <f>K16*K42</f>
        <v>28746779.999999996</v>
      </c>
      <c r="L21" s="275">
        <f>L16*L42</f>
        <v>546188820</v>
      </c>
      <c r="M21" s="275">
        <f t="shared" si="18"/>
        <v>822600166.15384614</v>
      </c>
      <c r="N21" s="277"/>
      <c r="O21" s="275">
        <f>O16*O42</f>
        <v>10363377.445990274</v>
      </c>
      <c r="P21" s="275">
        <f>P16*P42</f>
        <v>4329005.7685782155</v>
      </c>
      <c r="Q21" s="275">
        <f>Q16*Q42</f>
        <v>1705365.9088338425</v>
      </c>
      <c r="R21" s="275">
        <f>R16*R42</f>
        <v>32401952.267843008</v>
      </c>
      <c r="S21" s="275">
        <f t="shared" si="19"/>
        <v>48799701.391245335</v>
      </c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77"/>
      <c r="AG21" s="25"/>
      <c r="AH21" s="25"/>
      <c r="AI21" s="25"/>
      <c r="AJ21" s="25"/>
      <c r="AK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</row>
    <row r="22" spans="1:55" s="337" customFormat="1" ht="22" customHeight="1">
      <c r="A22" s="92" t="s">
        <v>308</v>
      </c>
      <c r="B22" s="257"/>
      <c r="C22" s="275">
        <f>C16*C48</f>
        <v>6799347.692307693</v>
      </c>
      <c r="D22" s="275">
        <f>D16*D48</f>
        <v>2840233.8461538465</v>
      </c>
      <c r="E22" s="275">
        <f>E16*E48</f>
        <v>1118880.0000000002</v>
      </c>
      <c r="F22" s="275">
        <f>F16*F48</f>
        <v>21258720</v>
      </c>
      <c r="G22" s="275">
        <f>G16*G48</f>
        <v>32017181.53846154</v>
      </c>
      <c r="H22" s="25"/>
      <c r="I22" s="275">
        <f>I16*I48</f>
        <v>9774062.307692308</v>
      </c>
      <c r="J22" s="275">
        <f>J16*J48</f>
        <v>4082836.153846154</v>
      </c>
      <c r="K22" s="275">
        <f>K16*K48</f>
        <v>1608390</v>
      </c>
      <c r="L22" s="275">
        <f>L16*L48</f>
        <v>30559410</v>
      </c>
      <c r="M22" s="275">
        <f t="shared" si="18"/>
        <v>46024698.461538464</v>
      </c>
      <c r="N22" s="277"/>
      <c r="O22" s="275">
        <f>O16*O48</f>
        <v>1739501.1876484563</v>
      </c>
      <c r="P22" s="275">
        <f>P16*P48</f>
        <v>726627.07838479814</v>
      </c>
      <c r="Q22" s="275">
        <f>Q16*Q48</f>
        <v>286247.03087885986</v>
      </c>
      <c r="R22" s="275">
        <f>R16*R48</f>
        <v>5438693.5866983375</v>
      </c>
      <c r="S22" s="275">
        <f t="shared" si="19"/>
        <v>8191068.8836104516</v>
      </c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77"/>
      <c r="AG22" s="25"/>
      <c r="AH22" s="25"/>
      <c r="AI22" s="25"/>
      <c r="AJ22" s="25"/>
      <c r="AK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</row>
    <row r="23" spans="1:55" s="337" customFormat="1" ht="22" customHeight="1">
      <c r="A23" s="92" t="s">
        <v>309</v>
      </c>
      <c r="B23" s="257"/>
      <c r="C23" s="275"/>
      <c r="D23" s="275"/>
      <c r="E23" s="275"/>
      <c r="F23" s="275"/>
      <c r="G23" s="275"/>
      <c r="H23" s="25"/>
      <c r="I23" s="275"/>
      <c r="J23" s="275"/>
      <c r="K23" s="275"/>
      <c r="L23" s="275"/>
      <c r="M23" s="275"/>
      <c r="N23" s="277"/>
      <c r="O23" s="275"/>
      <c r="P23" s="275"/>
      <c r="Q23" s="275"/>
      <c r="R23" s="275"/>
      <c r="S23" s="27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77"/>
      <c r="AG23" s="25"/>
      <c r="AH23" s="25"/>
      <c r="AI23" s="25"/>
      <c r="AJ23" s="25"/>
      <c r="AK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</row>
    <row r="24" spans="1:55" s="338" customFormat="1" ht="21" thickBot="1">
      <c r="A24" s="150" t="s">
        <v>291</v>
      </c>
      <c r="B24" s="151"/>
      <c r="C24" s="274" t="e">
        <f>C19-C21-C22</f>
        <v>#REF!</v>
      </c>
      <c r="D24" s="274" t="e">
        <f t="shared" ref="D24:G24" si="20">D19-D21-D22</f>
        <v>#REF!</v>
      </c>
      <c r="E24" s="274" t="e">
        <f t="shared" si="20"/>
        <v>#REF!</v>
      </c>
      <c r="F24" s="274" t="e">
        <f t="shared" si="20"/>
        <v>#REF!</v>
      </c>
      <c r="G24" s="278" t="e">
        <f t="shared" si="20"/>
        <v>#REF!</v>
      </c>
      <c r="H24" s="152"/>
      <c r="I24" s="274" t="e">
        <f>I19-I21-I22</f>
        <v>#REF!</v>
      </c>
      <c r="J24" s="274" t="e">
        <f t="shared" ref="J24" si="21">J19-J21-J22</f>
        <v>#REF!</v>
      </c>
      <c r="K24" s="274" t="e">
        <f t="shared" ref="K24" si="22">K19-K21-K22</f>
        <v>#REF!</v>
      </c>
      <c r="L24" s="274" t="e">
        <f t="shared" ref="L24" si="23">L19-L21-L22</f>
        <v>#REF!</v>
      </c>
      <c r="M24" s="278" t="e">
        <f t="shared" si="18"/>
        <v>#REF!</v>
      </c>
      <c r="N24" s="152"/>
      <c r="O24" s="274" t="e">
        <f>O19-O21-O22</f>
        <v>#REF!</v>
      </c>
      <c r="P24" s="274" t="e">
        <f t="shared" ref="P24" si="24">P19-P21-P22</f>
        <v>#REF!</v>
      </c>
      <c r="Q24" s="274" t="e">
        <f t="shared" ref="Q24" si="25">Q19-Q21-Q22</f>
        <v>#REF!</v>
      </c>
      <c r="R24" s="274" t="e">
        <f t="shared" ref="R24" si="26">R19-R21-R22</f>
        <v>#REF!</v>
      </c>
      <c r="S24" s="278" t="e">
        <f t="shared" si="19"/>
        <v>#REF!</v>
      </c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R24" s="152"/>
      <c r="AS24" s="152"/>
      <c r="AT24" s="152"/>
      <c r="AU24" s="152"/>
      <c r="AV24" s="152"/>
      <c r="AW24" s="152"/>
      <c r="AX24" s="152"/>
      <c r="AY24" s="152"/>
      <c r="AZ24" s="152"/>
      <c r="BA24" s="152"/>
      <c r="BB24" s="152"/>
      <c r="BC24" s="152"/>
    </row>
    <row r="25" spans="1:55">
      <c r="C25" s="139" t="s">
        <v>306</v>
      </c>
    </row>
    <row r="26" spans="1:55">
      <c r="C26" s="139" t="s">
        <v>305</v>
      </c>
    </row>
    <row r="27" spans="1:55" ht="20">
      <c r="A27" s="13" t="s">
        <v>295</v>
      </c>
      <c r="B27" s="61"/>
      <c r="C27" s="13"/>
      <c r="D27" s="13"/>
      <c r="E27" s="13"/>
      <c r="F27" s="13"/>
      <c r="G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spans="1:55" s="339" customFormat="1" ht="20">
      <c r="A28" s="260" t="s">
        <v>279</v>
      </c>
      <c r="B28" s="261"/>
      <c r="C28" s="269" t="s">
        <v>280</v>
      </c>
      <c r="D28" s="262"/>
      <c r="E28" s="262"/>
      <c r="F28" s="262"/>
      <c r="G28" s="262"/>
      <c r="H28" s="263"/>
      <c r="I28" s="263"/>
      <c r="J28" s="263"/>
      <c r="K28" s="263"/>
      <c r="L28" s="263"/>
      <c r="M28" s="263"/>
      <c r="N28" s="263"/>
      <c r="O28" s="262"/>
      <c r="P28" s="262"/>
      <c r="Q28" s="262"/>
      <c r="R28" s="262"/>
      <c r="S28" s="262"/>
      <c r="T28" s="262"/>
      <c r="U28" s="262"/>
      <c r="V28" s="262"/>
      <c r="W28" s="262"/>
      <c r="X28" s="262"/>
      <c r="Y28" s="262"/>
      <c r="Z28" s="260"/>
      <c r="AA28" s="260"/>
      <c r="AB28" s="260"/>
      <c r="AC28" s="260"/>
      <c r="AD28" s="260"/>
      <c r="AE28" s="260"/>
      <c r="AF28" s="263"/>
      <c r="AG28" s="263"/>
      <c r="AH28" s="263"/>
      <c r="AI28" s="263"/>
      <c r="AJ28" s="263"/>
      <c r="AK28" s="263"/>
      <c r="AR28" s="263"/>
      <c r="AS28" s="263"/>
      <c r="AT28" s="263"/>
      <c r="AU28" s="263"/>
      <c r="AV28" s="263"/>
      <c r="AW28" s="263"/>
      <c r="AX28" s="263"/>
      <c r="AY28" s="263"/>
      <c r="AZ28" s="263"/>
      <c r="BA28" s="263"/>
      <c r="BB28" s="263"/>
      <c r="BC28" s="263"/>
    </row>
    <row r="29" spans="1:55" ht="20">
      <c r="A29" s="87" t="s">
        <v>128</v>
      </c>
      <c r="C29" s="334" t="s">
        <v>296</v>
      </c>
      <c r="O29" s="334"/>
    </row>
    <row r="30" spans="1:55">
      <c r="A30" s="89" t="s">
        <v>62</v>
      </c>
      <c r="C30" s="169" t="e">
        <f>C81/2</f>
        <v>#REF!</v>
      </c>
      <c r="D30" s="169" t="e">
        <f t="shared" ref="D30:G30" si="27">D81/2</f>
        <v>#REF!</v>
      </c>
      <c r="E30" s="169" t="e">
        <f t="shared" si="27"/>
        <v>#REF!</v>
      </c>
      <c r="F30" s="169" t="e">
        <f t="shared" si="27"/>
        <v>#REF!</v>
      </c>
      <c r="G30" s="169" t="e">
        <f t="shared" si="27"/>
        <v>#REF!</v>
      </c>
      <c r="H30" s="334"/>
      <c r="I30" s="169" t="e">
        <f>C30+C34*(I33-C33)</f>
        <v>#REF!</v>
      </c>
      <c r="J30" s="169" t="e">
        <f>D30+D34*(J33-D33)</f>
        <v>#REF!</v>
      </c>
      <c r="K30" s="169" t="e">
        <f>E30+E34*(K33-E33)</f>
        <v>#REF!</v>
      </c>
      <c r="L30" s="169" t="e">
        <f>F30+F34*(L33-F33)</f>
        <v>#REF!</v>
      </c>
      <c r="O30" s="169" t="e">
        <f>I30</f>
        <v>#REF!</v>
      </c>
      <c r="P30" s="169" t="e">
        <f>J30</f>
        <v>#REF!</v>
      </c>
      <c r="Q30" s="169" t="e">
        <f>K30</f>
        <v>#REF!</v>
      </c>
      <c r="R30" s="169" t="e">
        <f>L30</f>
        <v>#REF!</v>
      </c>
      <c r="T30" s="154"/>
      <c r="U30" s="154"/>
      <c r="V30" s="154"/>
      <c r="W30" s="154"/>
      <c r="X30" s="154"/>
      <c r="Y30" s="154"/>
      <c r="Z30" s="15"/>
      <c r="AA30" s="15"/>
      <c r="AB30" s="15"/>
      <c r="AC30" s="15"/>
      <c r="AD30" s="15"/>
      <c r="AE30" s="15"/>
    </row>
    <row r="31" spans="1:55">
      <c r="A31" s="89" t="s">
        <v>65</v>
      </c>
      <c r="C31" s="169" t="e">
        <f t="shared" ref="C31:G32" si="28">C82/2</f>
        <v>#REF!</v>
      </c>
      <c r="D31" s="169" t="e">
        <f t="shared" si="28"/>
        <v>#REF!</v>
      </c>
      <c r="E31" s="169" t="e">
        <f t="shared" si="28"/>
        <v>#REF!</v>
      </c>
      <c r="F31" s="169" t="e">
        <f t="shared" si="28"/>
        <v>#REF!</v>
      </c>
      <c r="G31" s="169" t="e">
        <f t="shared" si="28"/>
        <v>#REF!</v>
      </c>
      <c r="H31" s="334"/>
      <c r="I31" s="169" t="e">
        <f t="shared" ref="I31:L32" si="29">C31+C35*(H34-C34)</f>
        <v>#REF!</v>
      </c>
      <c r="J31" s="169" t="e">
        <f t="shared" si="29"/>
        <v>#REF!</v>
      </c>
      <c r="K31" s="169" t="e">
        <f t="shared" si="29"/>
        <v>#REF!</v>
      </c>
      <c r="L31" s="169" t="e">
        <f t="shared" si="29"/>
        <v>#REF!</v>
      </c>
      <c r="O31" s="169" t="e">
        <f t="shared" ref="O31:O32" si="30">I31</f>
        <v>#REF!</v>
      </c>
      <c r="P31" s="169" t="e">
        <f t="shared" ref="P31:P32" si="31">J31</f>
        <v>#REF!</v>
      </c>
      <c r="Q31" s="169" t="e">
        <f t="shared" ref="Q31:Q32" si="32">K31</f>
        <v>#REF!</v>
      </c>
      <c r="R31" s="169" t="e">
        <f t="shared" ref="R31:R32" si="33">L31</f>
        <v>#REF!</v>
      </c>
      <c r="T31" s="154"/>
      <c r="U31" s="154"/>
      <c r="V31" s="154"/>
      <c r="W31" s="154"/>
      <c r="X31" s="154"/>
      <c r="Y31" s="154"/>
      <c r="Z31" s="15"/>
      <c r="AA31" s="15"/>
      <c r="AB31" s="15"/>
      <c r="AC31" s="15"/>
      <c r="AD31" s="15"/>
      <c r="AE31" s="15"/>
    </row>
    <row r="32" spans="1:55">
      <c r="A32" s="89" t="s">
        <v>66</v>
      </c>
      <c r="C32" s="169" t="e">
        <f t="shared" si="28"/>
        <v>#REF!</v>
      </c>
      <c r="D32" s="169" t="e">
        <f t="shared" si="28"/>
        <v>#REF!</v>
      </c>
      <c r="E32" s="169" t="e">
        <f t="shared" si="28"/>
        <v>#REF!</v>
      </c>
      <c r="F32" s="169" t="e">
        <f t="shared" si="28"/>
        <v>#REF!</v>
      </c>
      <c r="G32" s="169" t="e">
        <f t="shared" si="28"/>
        <v>#REF!</v>
      </c>
      <c r="H32" s="334"/>
      <c r="I32" s="169" t="e">
        <f t="shared" si="29"/>
        <v>#REF!</v>
      </c>
      <c r="J32" s="169" t="e">
        <f t="shared" si="29"/>
        <v>#REF!</v>
      </c>
      <c r="K32" s="169" t="e">
        <f t="shared" si="29"/>
        <v>#REF!</v>
      </c>
      <c r="L32" s="169" t="e">
        <f t="shared" si="29"/>
        <v>#REF!</v>
      </c>
      <c r="O32" s="169" t="e">
        <f t="shared" si="30"/>
        <v>#REF!</v>
      </c>
      <c r="P32" s="169" t="e">
        <f t="shared" si="31"/>
        <v>#REF!</v>
      </c>
      <c r="Q32" s="169" t="e">
        <f t="shared" si="32"/>
        <v>#REF!</v>
      </c>
      <c r="R32" s="169" t="e">
        <f t="shared" si="33"/>
        <v>#REF!</v>
      </c>
      <c r="T32" s="154"/>
      <c r="U32" s="154"/>
      <c r="V32" s="154"/>
      <c r="W32" s="154"/>
      <c r="X32" s="154"/>
      <c r="Y32" s="154"/>
      <c r="Z32" s="15"/>
      <c r="AA32" s="15"/>
      <c r="AB32" s="15"/>
      <c r="AC32" s="15"/>
      <c r="AD32" s="15"/>
      <c r="AE32" s="15"/>
    </row>
    <row r="33" spans="1:55" ht="20">
      <c r="A33" s="170" t="s">
        <v>197</v>
      </c>
      <c r="B33" s="71" t="s">
        <v>141</v>
      </c>
      <c r="C33" s="71">
        <v>4</v>
      </c>
      <c r="D33" s="71">
        <v>4</v>
      </c>
      <c r="E33" s="71">
        <v>4</v>
      </c>
      <c r="F33" s="71">
        <v>4</v>
      </c>
      <c r="G33" s="71">
        <v>4</v>
      </c>
      <c r="H33" s="334"/>
      <c r="I33" s="71">
        <v>5</v>
      </c>
      <c r="J33" s="71">
        <v>5</v>
      </c>
      <c r="K33" s="71">
        <v>5</v>
      </c>
      <c r="L33" s="71">
        <v>5</v>
      </c>
      <c r="O33" s="169"/>
      <c r="P33" s="169"/>
      <c r="Q33" s="169"/>
      <c r="R33" s="169"/>
      <c r="Z33" s="15"/>
      <c r="AA33" s="15"/>
      <c r="AB33" s="15"/>
      <c r="AC33" s="15"/>
      <c r="AD33" s="15"/>
      <c r="AE33" s="15"/>
    </row>
    <row r="34" spans="1:55" ht="20">
      <c r="A34" s="171" t="s">
        <v>275</v>
      </c>
      <c r="B34" s="71" t="s">
        <v>141</v>
      </c>
      <c r="C34" s="255" t="e">
        <f>C30/C33</f>
        <v>#REF!</v>
      </c>
      <c r="D34" s="255" t="e">
        <f t="shared" ref="D34:G34" si="34">D30/D33</f>
        <v>#REF!</v>
      </c>
      <c r="E34" s="255" t="e">
        <f t="shared" si="34"/>
        <v>#REF!</v>
      </c>
      <c r="F34" s="255" t="e">
        <f t="shared" si="34"/>
        <v>#REF!</v>
      </c>
      <c r="G34" s="255" t="e">
        <f t="shared" si="34"/>
        <v>#REF!</v>
      </c>
      <c r="Z34" s="15"/>
      <c r="AA34" s="15"/>
      <c r="AB34" s="15"/>
      <c r="AC34" s="15"/>
      <c r="AD34" s="15"/>
      <c r="AE34" s="15"/>
    </row>
    <row r="35" spans="1:55" ht="20">
      <c r="A35" s="171" t="s">
        <v>62</v>
      </c>
      <c r="B35" s="71" t="s">
        <v>141</v>
      </c>
      <c r="C35" s="255"/>
      <c r="Z35" s="15"/>
      <c r="AA35" s="15"/>
      <c r="AB35" s="15"/>
      <c r="AC35" s="15"/>
      <c r="AD35" s="15"/>
      <c r="AE35" s="15"/>
    </row>
    <row r="36" spans="1:55" ht="20">
      <c r="A36" s="171" t="s">
        <v>65</v>
      </c>
      <c r="B36" s="71" t="s">
        <v>141</v>
      </c>
      <c r="C36" s="255"/>
      <c r="Z36" s="15"/>
      <c r="AA36" s="15"/>
      <c r="AB36" s="15"/>
      <c r="AC36" s="15"/>
      <c r="AD36" s="15"/>
      <c r="AE36" s="15"/>
    </row>
    <row r="37" spans="1:55" ht="20">
      <c r="A37" s="171" t="s">
        <v>66</v>
      </c>
      <c r="B37" s="71" t="s">
        <v>141</v>
      </c>
      <c r="C37" s="255"/>
      <c r="Z37" s="15"/>
      <c r="AA37" s="15"/>
      <c r="AB37" s="15"/>
      <c r="AC37" s="15"/>
      <c r="AD37" s="15"/>
      <c r="AE37" s="15"/>
    </row>
    <row r="38" spans="1:55">
      <c r="A38" s="89"/>
      <c r="C38" s="169"/>
      <c r="Z38" s="15"/>
      <c r="AA38" s="15"/>
      <c r="AB38" s="15"/>
      <c r="AC38" s="15"/>
      <c r="AD38" s="15"/>
      <c r="AE38" s="15"/>
    </row>
    <row r="39" spans="1:55" s="339" customFormat="1" ht="20">
      <c r="A39" s="264" t="s">
        <v>130</v>
      </c>
      <c r="B39" s="265"/>
      <c r="C39" s="270">
        <v>60000</v>
      </c>
      <c r="D39" s="270">
        <f>C39</f>
        <v>60000</v>
      </c>
      <c r="E39" s="270">
        <f t="shared" ref="E39:G39" si="35">D39</f>
        <v>60000</v>
      </c>
      <c r="F39" s="270">
        <f t="shared" si="35"/>
        <v>60000</v>
      </c>
      <c r="G39" s="270">
        <f t="shared" si="35"/>
        <v>60000</v>
      </c>
      <c r="H39" s="263"/>
      <c r="I39" s="270">
        <f>C39</f>
        <v>60000</v>
      </c>
      <c r="J39" s="270">
        <f>D39</f>
        <v>60000</v>
      </c>
      <c r="K39" s="270">
        <f>E39</f>
        <v>60000</v>
      </c>
      <c r="L39" s="270">
        <f>F39</f>
        <v>60000</v>
      </c>
      <c r="M39" s="270"/>
      <c r="N39" s="266"/>
      <c r="O39" s="270">
        <f>I39</f>
        <v>60000</v>
      </c>
      <c r="P39" s="270">
        <f>J39</f>
        <v>60000</v>
      </c>
      <c r="Q39" s="270">
        <f>K39</f>
        <v>60000</v>
      </c>
      <c r="R39" s="270">
        <f>L39</f>
        <v>60000</v>
      </c>
      <c r="S39" s="263"/>
      <c r="T39" s="263"/>
      <c r="U39" s="263"/>
      <c r="V39" s="263"/>
      <c r="W39" s="263"/>
      <c r="X39" s="263"/>
      <c r="Y39" s="263"/>
      <c r="Z39" s="260"/>
      <c r="AA39" s="260"/>
      <c r="AB39" s="260"/>
      <c r="AC39" s="260"/>
      <c r="AD39" s="260"/>
      <c r="AE39" s="260"/>
      <c r="AF39" s="263"/>
      <c r="AG39" s="263"/>
      <c r="AH39" s="263"/>
      <c r="AI39" s="263"/>
      <c r="AJ39" s="263"/>
      <c r="AK39" s="263"/>
      <c r="AR39" s="263"/>
      <c r="AS39" s="263"/>
      <c r="AT39" s="263"/>
      <c r="AU39" s="263"/>
      <c r="AV39" s="263"/>
      <c r="AW39" s="263"/>
      <c r="AX39" s="263"/>
      <c r="AY39" s="263"/>
      <c r="AZ39" s="263"/>
      <c r="BA39" s="263"/>
      <c r="BB39" s="263"/>
      <c r="BC39" s="263"/>
    </row>
    <row r="40" spans="1:55">
      <c r="C40" s="2"/>
    </row>
    <row r="41" spans="1:55" s="339" customFormat="1" ht="20">
      <c r="A41" s="260" t="s">
        <v>312</v>
      </c>
      <c r="B41" s="267"/>
      <c r="C41" s="261" t="s">
        <v>281</v>
      </c>
      <c r="D41" s="260"/>
      <c r="E41" s="260"/>
      <c r="F41" s="260"/>
      <c r="G41" s="260"/>
      <c r="H41" s="268"/>
      <c r="I41" s="263"/>
      <c r="J41" s="263"/>
      <c r="K41" s="263"/>
      <c r="L41" s="263"/>
      <c r="M41" s="263"/>
      <c r="N41" s="263"/>
      <c r="O41" s="263"/>
      <c r="P41" s="263"/>
      <c r="Q41" s="263"/>
      <c r="R41" s="263"/>
      <c r="S41" s="263"/>
      <c r="T41" s="260"/>
      <c r="U41" s="260"/>
      <c r="V41" s="260"/>
      <c r="W41" s="260"/>
      <c r="X41" s="260"/>
      <c r="Y41" s="260"/>
      <c r="Z41" s="260"/>
      <c r="AA41" s="260"/>
      <c r="AB41" s="260"/>
      <c r="AC41" s="260"/>
      <c r="AD41" s="260"/>
      <c r="AE41" s="260"/>
      <c r="AF41" s="263"/>
      <c r="AG41" s="263"/>
      <c r="AH41" s="263"/>
      <c r="AI41" s="263"/>
      <c r="AJ41" s="263"/>
      <c r="AK41" s="263"/>
      <c r="AR41" s="268" t="s">
        <v>141</v>
      </c>
      <c r="AS41" s="263"/>
      <c r="AT41" s="263"/>
      <c r="AU41" s="263"/>
      <c r="AV41" s="263"/>
      <c r="AW41" s="263"/>
      <c r="AX41" s="263" t="s">
        <v>33</v>
      </c>
      <c r="AY41" s="263"/>
      <c r="AZ41" s="263"/>
      <c r="BA41" s="263"/>
      <c r="BB41" s="263"/>
      <c r="BC41" s="263"/>
    </row>
    <row r="42" spans="1:55" ht="20">
      <c r="A42" s="1" t="s">
        <v>215</v>
      </c>
      <c r="C42" s="169">
        <v>28150</v>
      </c>
      <c r="D42" s="169">
        <f>C42</f>
        <v>28150</v>
      </c>
      <c r="E42" s="169">
        <f t="shared" ref="E42:G42" si="36">D42</f>
        <v>28150</v>
      </c>
      <c r="F42" s="169">
        <f t="shared" si="36"/>
        <v>28150</v>
      </c>
      <c r="G42" s="169">
        <f t="shared" si="36"/>
        <v>28150</v>
      </c>
      <c r="I42" s="340">
        <f>C42</f>
        <v>28150</v>
      </c>
      <c r="J42" s="169">
        <f>D42</f>
        <v>28150</v>
      </c>
      <c r="K42" s="169">
        <f>E42</f>
        <v>28150</v>
      </c>
      <c r="L42" s="169">
        <f>F42</f>
        <v>28150</v>
      </c>
      <c r="M42" s="169"/>
      <c r="O42" s="341">
        <f>I42/3</f>
        <v>9383.3333333333339</v>
      </c>
      <c r="P42" s="341">
        <f t="shared" ref="P42:R42" si="37">J42/3</f>
        <v>9383.3333333333339</v>
      </c>
      <c r="Q42" s="341">
        <f t="shared" si="37"/>
        <v>9383.3333333333339</v>
      </c>
      <c r="R42" s="341">
        <f t="shared" si="37"/>
        <v>9383.3333333333339</v>
      </c>
      <c r="T42" s="334"/>
      <c r="U42" s="14" t="s">
        <v>33</v>
      </c>
      <c r="V42" s="14" t="s">
        <v>33</v>
      </c>
      <c r="W42" s="14" t="s">
        <v>33</v>
      </c>
      <c r="X42" s="14" t="s">
        <v>33</v>
      </c>
      <c r="Y42" s="14" t="s">
        <v>33</v>
      </c>
      <c r="AA42" s="14" t="s">
        <v>33</v>
      </c>
      <c r="AB42" s="14" t="s">
        <v>33</v>
      </c>
      <c r="AC42" s="14" t="s">
        <v>33</v>
      </c>
      <c r="AD42" s="14" t="s">
        <v>33</v>
      </c>
      <c r="AE42" s="14" t="s">
        <v>33</v>
      </c>
      <c r="AR42" s="256" t="s">
        <v>141</v>
      </c>
      <c r="AX42" s="14" t="s">
        <v>33</v>
      </c>
    </row>
    <row r="43" spans="1:55" ht="20">
      <c r="A43" s="80" t="s">
        <v>284</v>
      </c>
      <c r="B43" s="334"/>
      <c r="C43" s="71" t="s">
        <v>141</v>
      </c>
      <c r="D43" s="169"/>
      <c r="E43" s="169"/>
      <c r="F43" s="169"/>
      <c r="G43" s="169"/>
      <c r="O43" s="2" t="s">
        <v>311</v>
      </c>
      <c r="T43" s="334"/>
      <c r="U43" s="14"/>
      <c r="V43" s="14"/>
      <c r="W43" s="14"/>
      <c r="X43" s="14"/>
      <c r="Y43" s="14"/>
      <c r="AA43" s="14"/>
      <c r="AB43" s="14"/>
      <c r="AC43" s="14"/>
      <c r="AD43" s="14"/>
      <c r="AE43" s="14"/>
      <c r="AR43" s="256"/>
      <c r="AX43" s="14"/>
    </row>
    <row r="44" spans="1:55" ht="20">
      <c r="A44" s="80" t="s">
        <v>285</v>
      </c>
      <c r="B44" s="334"/>
      <c r="C44" s="71" t="s">
        <v>141</v>
      </c>
      <c r="D44" s="169"/>
      <c r="E44" s="169"/>
      <c r="F44" s="169"/>
      <c r="G44" s="169"/>
      <c r="T44" s="334"/>
      <c r="U44" s="14"/>
      <c r="V44" s="14"/>
      <c r="W44" s="14"/>
      <c r="X44" s="14"/>
      <c r="Y44" s="14"/>
      <c r="AA44" s="14"/>
      <c r="AB44" s="14"/>
      <c r="AC44" s="14"/>
      <c r="AD44" s="14"/>
      <c r="AE44" s="14"/>
      <c r="AR44" s="256"/>
      <c r="AX44" s="14"/>
    </row>
    <row r="45" spans="1:55" ht="20">
      <c r="A45" s="80" t="s">
        <v>286</v>
      </c>
      <c r="B45" s="334"/>
      <c r="C45" s="71" t="s">
        <v>141</v>
      </c>
      <c r="D45" s="169"/>
      <c r="E45" s="169"/>
      <c r="F45" s="169"/>
      <c r="G45" s="169"/>
      <c r="T45" s="334"/>
      <c r="U45" s="14"/>
      <c r="V45" s="14"/>
      <c r="W45" s="14"/>
      <c r="X45" s="14"/>
      <c r="Y45" s="14"/>
      <c r="AA45" s="14"/>
      <c r="AB45" s="14"/>
      <c r="AC45" s="14"/>
      <c r="AD45" s="14"/>
      <c r="AE45" s="14"/>
      <c r="AR45" s="256"/>
      <c r="AX45" s="14"/>
    </row>
    <row r="46" spans="1:55" ht="20">
      <c r="A46" s="273" t="s">
        <v>287</v>
      </c>
      <c r="B46" s="334"/>
      <c r="C46" s="71" t="s">
        <v>141</v>
      </c>
      <c r="D46" s="169"/>
      <c r="E46" s="169"/>
      <c r="F46" s="169"/>
      <c r="G46" s="169"/>
      <c r="T46" s="334"/>
      <c r="U46" s="14"/>
      <c r="V46" s="14"/>
      <c r="W46" s="14"/>
      <c r="X46" s="14"/>
      <c r="Y46" s="14"/>
      <c r="AA46" s="14"/>
      <c r="AB46" s="14"/>
      <c r="AC46" s="14"/>
      <c r="AD46" s="14"/>
      <c r="AE46" s="14"/>
      <c r="AR46" s="256"/>
      <c r="AX46" s="14"/>
    </row>
    <row r="47" spans="1:55" ht="20">
      <c r="A47" s="273" t="s">
        <v>288</v>
      </c>
      <c r="B47" s="334"/>
      <c r="C47" s="71" t="s">
        <v>141</v>
      </c>
      <c r="D47" s="169"/>
      <c r="E47" s="169"/>
      <c r="F47" s="169"/>
      <c r="G47" s="169"/>
      <c r="T47" s="334"/>
      <c r="U47" s="14"/>
      <c r="V47" s="14"/>
      <c r="W47" s="14"/>
      <c r="X47" s="14"/>
      <c r="Y47" s="14"/>
      <c r="AA47" s="14"/>
      <c r="AB47" s="14"/>
      <c r="AC47" s="14"/>
      <c r="AD47" s="14"/>
      <c r="AE47" s="14"/>
      <c r="AR47" s="256"/>
      <c r="AX47" s="14"/>
    </row>
    <row r="48" spans="1:55" ht="20">
      <c r="A48" s="1" t="s">
        <v>199</v>
      </c>
      <c r="C48" s="169">
        <v>1575</v>
      </c>
      <c r="D48" s="169">
        <f>C48</f>
        <v>1575</v>
      </c>
      <c r="E48" s="169">
        <f t="shared" ref="E48:G48" si="38">D48</f>
        <v>1575</v>
      </c>
      <c r="F48" s="169">
        <f t="shared" si="38"/>
        <v>1575</v>
      </c>
      <c r="G48" s="169">
        <f t="shared" si="38"/>
        <v>1575</v>
      </c>
      <c r="I48" s="340">
        <f>C48</f>
        <v>1575</v>
      </c>
      <c r="J48" s="169">
        <f>D48</f>
        <v>1575</v>
      </c>
      <c r="K48" s="169">
        <f>E48</f>
        <v>1575</v>
      </c>
      <c r="L48" s="169">
        <f>F48</f>
        <v>1575</v>
      </c>
      <c r="M48" s="169"/>
      <c r="O48" s="340">
        <f>I48</f>
        <v>1575</v>
      </c>
      <c r="P48" s="169">
        <f>J48</f>
        <v>1575</v>
      </c>
      <c r="Q48" s="169">
        <f>K48</f>
        <v>1575</v>
      </c>
      <c r="R48" s="169">
        <f>L48</f>
        <v>1575</v>
      </c>
      <c r="T48" s="334"/>
      <c r="U48" s="71" t="s">
        <v>141</v>
      </c>
      <c r="V48" s="71" t="s">
        <v>141</v>
      </c>
      <c r="W48" s="71" t="s">
        <v>141</v>
      </c>
      <c r="X48" s="71" t="s">
        <v>141</v>
      </c>
      <c r="Y48" s="71" t="s">
        <v>141</v>
      </c>
      <c r="AA48" s="71" t="s">
        <v>141</v>
      </c>
      <c r="AB48" s="71" t="s">
        <v>141</v>
      </c>
      <c r="AC48" s="71" t="s">
        <v>141</v>
      </c>
      <c r="AD48" s="71" t="s">
        <v>141</v>
      </c>
      <c r="AE48" s="71" t="s">
        <v>141</v>
      </c>
      <c r="AR48" s="256" t="s">
        <v>141</v>
      </c>
      <c r="AX48" s="14" t="s">
        <v>33</v>
      </c>
    </row>
    <row r="49" spans="1:55">
      <c r="C49" s="169"/>
      <c r="D49" s="169"/>
      <c r="E49" s="169"/>
      <c r="F49" s="169"/>
      <c r="G49" s="169"/>
    </row>
    <row r="50" spans="1:55" s="339" customFormat="1" ht="20">
      <c r="A50" s="260" t="s">
        <v>313</v>
      </c>
      <c r="B50" s="267"/>
      <c r="C50" s="261" t="s">
        <v>281</v>
      </c>
      <c r="D50" s="260"/>
      <c r="E50" s="260"/>
      <c r="F50" s="260"/>
      <c r="G50" s="260"/>
      <c r="H50" s="268"/>
      <c r="I50" s="263"/>
      <c r="J50" s="263"/>
      <c r="K50" s="263"/>
      <c r="L50" s="263"/>
      <c r="M50" s="263"/>
      <c r="N50" s="263"/>
      <c r="O50" s="263"/>
      <c r="P50" s="263"/>
      <c r="Q50" s="263"/>
      <c r="R50" s="263"/>
      <c r="S50" s="263"/>
      <c r="T50" s="260"/>
      <c r="U50" s="260"/>
      <c r="V50" s="260"/>
      <c r="W50" s="260"/>
      <c r="X50" s="260"/>
      <c r="Y50" s="260"/>
      <c r="Z50" s="260"/>
      <c r="AA50" s="260"/>
      <c r="AB50" s="260"/>
      <c r="AC50" s="260"/>
      <c r="AD50" s="260"/>
      <c r="AE50" s="260"/>
      <c r="AF50" s="263"/>
      <c r="AG50" s="263"/>
      <c r="AH50" s="263"/>
      <c r="AI50" s="263"/>
      <c r="AJ50" s="263"/>
      <c r="AK50" s="263"/>
      <c r="AR50" s="268" t="s">
        <v>141</v>
      </c>
      <c r="AS50" s="263"/>
      <c r="AT50" s="263"/>
      <c r="AU50" s="263"/>
      <c r="AV50" s="263"/>
      <c r="AW50" s="263"/>
      <c r="AX50" s="263" t="s">
        <v>33</v>
      </c>
      <c r="AY50" s="263"/>
      <c r="AZ50" s="263"/>
      <c r="BA50" s="263"/>
      <c r="BB50" s="263"/>
      <c r="BC50" s="263"/>
    </row>
    <row r="51" spans="1:55">
      <c r="C51" s="169"/>
      <c r="D51" s="169"/>
      <c r="E51" s="169"/>
      <c r="F51" s="169"/>
      <c r="G51" s="169"/>
    </row>
    <row r="52" spans="1:55">
      <c r="C52" s="169"/>
      <c r="D52" s="169"/>
      <c r="E52" s="169"/>
      <c r="F52" s="169"/>
      <c r="G52" s="169"/>
    </row>
    <row r="53" spans="1:55" s="339" customFormat="1" ht="20">
      <c r="A53" s="260" t="s">
        <v>289</v>
      </c>
      <c r="B53" s="267"/>
      <c r="C53" s="261" t="s">
        <v>290</v>
      </c>
      <c r="D53" s="260"/>
      <c r="E53" s="260"/>
      <c r="F53" s="260"/>
      <c r="G53" s="260"/>
      <c r="H53" s="268" t="s">
        <v>141</v>
      </c>
      <c r="I53" s="263"/>
      <c r="J53" s="263"/>
      <c r="K53" s="263"/>
      <c r="L53" s="263"/>
      <c r="M53" s="263"/>
      <c r="N53" s="263"/>
      <c r="O53" s="263"/>
      <c r="P53" s="263"/>
      <c r="Q53" s="263"/>
      <c r="R53" s="263"/>
      <c r="S53" s="263"/>
      <c r="T53" s="260"/>
      <c r="U53" s="260"/>
      <c r="V53" s="260"/>
      <c r="W53" s="260"/>
      <c r="X53" s="260"/>
      <c r="Y53" s="260"/>
      <c r="Z53" s="260"/>
      <c r="AA53" s="260"/>
      <c r="AB53" s="260"/>
      <c r="AC53" s="260"/>
      <c r="AD53" s="260"/>
      <c r="AE53" s="260"/>
      <c r="AF53" s="263"/>
      <c r="AG53" s="263"/>
      <c r="AH53" s="263"/>
      <c r="AI53" s="263"/>
      <c r="AJ53" s="263"/>
      <c r="AK53" s="263"/>
      <c r="AR53" s="268" t="s">
        <v>141</v>
      </c>
      <c r="AS53" s="263"/>
      <c r="AT53" s="263"/>
      <c r="AU53" s="263"/>
      <c r="AV53" s="263"/>
      <c r="AW53" s="263"/>
      <c r="AX53" s="263" t="s">
        <v>33</v>
      </c>
      <c r="AY53" s="263"/>
      <c r="AZ53" s="263"/>
      <c r="BA53" s="263"/>
      <c r="BB53" s="263"/>
      <c r="BC53" s="263"/>
    </row>
    <row r="54" spans="1:55" ht="20">
      <c r="C54" s="71" t="s">
        <v>141</v>
      </c>
      <c r="D54" s="169"/>
      <c r="E54" s="169"/>
      <c r="F54" s="169"/>
      <c r="G54" s="169"/>
    </row>
    <row r="55" spans="1:55">
      <c r="D55" s="169"/>
      <c r="E55" s="169"/>
      <c r="F55" s="169"/>
      <c r="G55" s="169"/>
    </row>
    <row r="56" spans="1:55" ht="20">
      <c r="A56" s="13" t="s">
        <v>61</v>
      </c>
      <c r="B56" s="61"/>
      <c r="C56" s="169" t="e">
        <f>'База селлеров'!#REF!</f>
        <v>#REF!</v>
      </c>
      <c r="D56" s="169" t="e">
        <f>C56</f>
        <v>#REF!</v>
      </c>
      <c r="E56" s="169" t="e">
        <f t="shared" ref="E56:G56" si="39">D56</f>
        <v>#REF!</v>
      </c>
      <c r="F56" s="169" t="e">
        <f t="shared" si="39"/>
        <v>#REF!</v>
      </c>
      <c r="G56" s="169" t="e">
        <f t="shared" si="39"/>
        <v>#REF!</v>
      </c>
      <c r="Z56" s="13"/>
      <c r="AA56" s="13"/>
      <c r="AB56" s="13"/>
      <c r="AC56" s="13"/>
      <c r="AD56" s="13"/>
      <c r="AE56" s="13"/>
    </row>
    <row r="57" spans="1:55" ht="20">
      <c r="A57" s="13" t="s">
        <v>142</v>
      </c>
      <c r="B57" s="61"/>
      <c r="Z57" s="13"/>
      <c r="AA57" s="13"/>
      <c r="AB57" s="13"/>
      <c r="AC57" s="13"/>
      <c r="AD57" s="13"/>
      <c r="AE57" s="13"/>
    </row>
    <row r="58" spans="1:55" ht="20">
      <c r="A58" s="13" t="s">
        <v>129</v>
      </c>
      <c r="B58" s="61"/>
      <c r="C58" s="13"/>
      <c r="D58" s="13"/>
      <c r="E58" s="13"/>
      <c r="F58" s="13"/>
      <c r="G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spans="1:55" ht="20">
      <c r="A59" s="15" t="s">
        <v>62</v>
      </c>
      <c r="B59" s="15"/>
      <c r="C59" s="71" t="s">
        <v>141</v>
      </c>
      <c r="D59" s="13"/>
      <c r="E59" s="13"/>
      <c r="F59" s="13"/>
      <c r="G59" s="13"/>
      <c r="T59" s="13"/>
      <c r="U59" s="13"/>
      <c r="V59" s="13"/>
      <c r="W59" s="13"/>
      <c r="X59" s="13"/>
      <c r="Y59" s="13"/>
      <c r="Z59" s="15"/>
      <c r="AA59" s="15"/>
      <c r="AB59" s="15"/>
      <c r="AC59" s="15"/>
      <c r="AD59" s="15"/>
      <c r="AE59" s="15"/>
    </row>
    <row r="60" spans="1:55" ht="20">
      <c r="A60" s="15" t="s">
        <v>65</v>
      </c>
      <c r="B60" s="15"/>
      <c r="C60" s="71" t="s">
        <v>141</v>
      </c>
      <c r="D60" s="13"/>
      <c r="E60" s="13"/>
      <c r="F60" s="13"/>
      <c r="G60" s="13"/>
      <c r="T60" s="13"/>
      <c r="U60" s="13"/>
      <c r="V60" s="13"/>
      <c r="W60" s="13"/>
      <c r="X60" s="13"/>
      <c r="Y60" s="13"/>
      <c r="Z60" s="15"/>
      <c r="AA60" s="15"/>
      <c r="AB60" s="15"/>
      <c r="AC60" s="15"/>
      <c r="AD60" s="15"/>
      <c r="AE60" s="15"/>
    </row>
    <row r="61" spans="1:55" ht="20">
      <c r="A61" s="15" t="s">
        <v>66</v>
      </c>
      <c r="B61" s="15"/>
      <c r="C61" s="71" t="s">
        <v>141</v>
      </c>
      <c r="D61" s="13"/>
      <c r="E61" s="13"/>
      <c r="F61" s="13"/>
      <c r="G61" s="13"/>
      <c r="T61" s="13"/>
      <c r="U61" s="13"/>
      <c r="V61" s="13"/>
      <c r="W61" s="13"/>
      <c r="X61" s="13"/>
      <c r="Y61" s="13"/>
      <c r="Z61" s="15"/>
      <c r="AA61" s="15"/>
      <c r="AB61" s="15"/>
      <c r="AC61" s="15"/>
      <c r="AD61" s="15"/>
      <c r="AE61" s="15"/>
    </row>
    <row r="62" spans="1:55" ht="20">
      <c r="A62" s="15" t="s">
        <v>31</v>
      </c>
      <c r="B62" s="15"/>
      <c r="C62" s="71" t="s">
        <v>141</v>
      </c>
      <c r="D62" s="13"/>
      <c r="E62" s="13"/>
      <c r="F62" s="13"/>
      <c r="G62" s="13"/>
      <c r="T62" s="13"/>
      <c r="U62" s="13"/>
      <c r="V62" s="13"/>
      <c r="W62" s="13"/>
      <c r="X62" s="13"/>
      <c r="Y62" s="13"/>
      <c r="Z62" s="15"/>
      <c r="AA62" s="15"/>
      <c r="AB62" s="15"/>
      <c r="AC62" s="15"/>
      <c r="AD62" s="15"/>
      <c r="AE62" s="15"/>
    </row>
    <row r="64" spans="1:55" ht="20">
      <c r="A64" s="13" t="s">
        <v>67</v>
      </c>
      <c r="B64" s="61"/>
      <c r="C64" s="71" t="s">
        <v>141</v>
      </c>
      <c r="D64" s="13"/>
      <c r="E64" s="13"/>
      <c r="F64" s="13"/>
      <c r="G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spans="1:31" ht="20">
      <c r="A65" s="13" t="s">
        <v>113</v>
      </c>
      <c r="B65" s="61"/>
      <c r="C65" s="71" t="s">
        <v>141</v>
      </c>
      <c r="D65" s="13"/>
      <c r="E65" s="13"/>
      <c r="F65" s="13"/>
      <c r="G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7" spans="1:31" ht="40">
      <c r="A67" s="13" t="s">
        <v>144</v>
      </c>
      <c r="B67" s="61"/>
      <c r="C67" s="13"/>
      <c r="D67" s="13"/>
      <c r="E67" s="13"/>
      <c r="F67" s="13"/>
      <c r="G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spans="1:31">
      <c r="A68" s="15" t="s">
        <v>62</v>
      </c>
      <c r="B68" s="15"/>
      <c r="C68" s="73">
        <f>'База селлеров'!B39</f>
        <v>7.5010916349572705E-3</v>
      </c>
      <c r="D68" s="73">
        <f>'База селлеров'!C39</f>
        <v>2.0520050125313282E-2</v>
      </c>
      <c r="E68" s="138">
        <f>'База селлеров'!D39</f>
        <v>1.3273030313552554E-2</v>
      </c>
      <c r="F68" s="138">
        <f>'База селлеров'!E39</f>
        <v>1.3273030313552554E-2</v>
      </c>
      <c r="G68" s="138">
        <f>'База селлеров'!F39</f>
        <v>1.3273030313552554E-2</v>
      </c>
      <c r="I68" s="74">
        <f>C68</f>
        <v>7.5010916349572705E-3</v>
      </c>
      <c r="J68" s="74">
        <f>D68</f>
        <v>2.0520050125313282E-2</v>
      </c>
      <c r="K68" s="74">
        <f>E68</f>
        <v>1.3273030313552554E-2</v>
      </c>
      <c r="L68" s="74">
        <f>F68</f>
        <v>1.3273030313552554E-2</v>
      </c>
      <c r="M68" s="74"/>
      <c r="N68" s="15"/>
      <c r="O68" s="74">
        <f>I68</f>
        <v>7.5010916349572705E-3</v>
      </c>
      <c r="P68" s="74">
        <f>J68</f>
        <v>2.0520050125313282E-2</v>
      </c>
      <c r="Q68" s="74">
        <f>K68</f>
        <v>1.3273030313552554E-2</v>
      </c>
      <c r="R68" s="74">
        <f>L68</f>
        <v>1.3273030313552554E-2</v>
      </c>
      <c r="Z68" s="15"/>
      <c r="AA68" s="15"/>
      <c r="AB68" s="15"/>
      <c r="AC68" s="15"/>
      <c r="AD68" s="15"/>
      <c r="AE68" s="15"/>
    </row>
    <row r="69" spans="1:31">
      <c r="A69" s="15" t="s">
        <v>65</v>
      </c>
      <c r="B69" s="15"/>
      <c r="C69" s="73">
        <f>'База селлеров'!B40</f>
        <v>0.10531158380637515</v>
      </c>
      <c r="D69" s="73">
        <f>'База селлеров'!C40</f>
        <v>0.15202067669172933</v>
      </c>
      <c r="E69" s="138">
        <f>'База селлеров'!D40</f>
        <v>0.12602000069446856</v>
      </c>
      <c r="F69" s="138">
        <f>'База селлеров'!E40</f>
        <v>0.12602000069446856</v>
      </c>
      <c r="G69" s="138">
        <f>'База селлеров'!F40</f>
        <v>0.12602000069446856</v>
      </c>
      <c r="I69" s="74">
        <f t="shared" ref="I69:I71" si="40">C69</f>
        <v>0.10531158380637515</v>
      </c>
      <c r="J69" s="74">
        <f t="shared" ref="J69:L71" si="41">D69</f>
        <v>0.15202067669172933</v>
      </c>
      <c r="K69" s="74">
        <f t="shared" si="41"/>
        <v>0.12602000069446856</v>
      </c>
      <c r="L69" s="74">
        <f t="shared" si="41"/>
        <v>0.12602000069446856</v>
      </c>
      <c r="M69" s="74"/>
      <c r="N69" s="15"/>
      <c r="O69" s="74">
        <f t="shared" ref="O69:O71" si="42">I69</f>
        <v>0.10531158380637515</v>
      </c>
      <c r="P69" s="74">
        <f t="shared" ref="P69:R71" si="43">J69</f>
        <v>0.15202067669172933</v>
      </c>
      <c r="Q69" s="74">
        <f t="shared" si="43"/>
        <v>0.12602000069446856</v>
      </c>
      <c r="R69" s="74">
        <f t="shared" si="43"/>
        <v>0.12602000069446856</v>
      </c>
      <c r="Z69" s="15"/>
      <c r="AA69" s="15"/>
      <c r="AB69" s="15"/>
      <c r="AC69" s="15"/>
      <c r="AD69" s="15"/>
      <c r="AE69" s="15"/>
    </row>
    <row r="70" spans="1:31">
      <c r="A70" s="15" t="s">
        <v>66</v>
      </c>
      <c r="B70" s="15"/>
      <c r="C70" s="73">
        <f>'База селлеров'!B41</f>
        <v>0.88707816106294057</v>
      </c>
      <c r="D70" s="73">
        <f>'База селлеров'!C41</f>
        <v>0.82573621553884713</v>
      </c>
      <c r="E70" s="138">
        <f>'База селлеров'!D41</f>
        <v>0.85988228757942986</v>
      </c>
      <c r="F70" s="138">
        <f>'База селлеров'!E41</f>
        <v>0.85988228757942986</v>
      </c>
      <c r="G70" s="138">
        <f>'База селлеров'!F41</f>
        <v>0.85988228757942986</v>
      </c>
      <c r="I70" s="74">
        <f t="shared" si="40"/>
        <v>0.88707816106294057</v>
      </c>
      <c r="J70" s="74">
        <f t="shared" si="41"/>
        <v>0.82573621553884713</v>
      </c>
      <c r="K70" s="74">
        <f t="shared" si="41"/>
        <v>0.85988228757942986</v>
      </c>
      <c r="L70" s="74">
        <f t="shared" si="41"/>
        <v>0.85988228757942986</v>
      </c>
      <c r="M70" s="74"/>
      <c r="N70" s="15"/>
      <c r="O70" s="74">
        <f t="shared" si="42"/>
        <v>0.88707816106294057</v>
      </c>
      <c r="P70" s="74">
        <f t="shared" si="43"/>
        <v>0.82573621553884713</v>
      </c>
      <c r="Q70" s="74">
        <f t="shared" si="43"/>
        <v>0.85988228757942986</v>
      </c>
      <c r="R70" s="74">
        <f t="shared" si="43"/>
        <v>0.85988228757942986</v>
      </c>
      <c r="Z70" s="15"/>
      <c r="AA70" s="15"/>
      <c r="AB70" s="15"/>
      <c r="AC70" s="15"/>
      <c r="AD70" s="15"/>
      <c r="AE70" s="15"/>
    </row>
    <row r="71" spans="1:31">
      <c r="A71" s="15" t="s">
        <v>31</v>
      </c>
      <c r="B71" s="15"/>
      <c r="C71" s="73">
        <f>'База селлеров'!B42</f>
        <v>0</v>
      </c>
      <c r="D71" s="73">
        <f>'База селлеров'!C42</f>
        <v>0</v>
      </c>
      <c r="E71" s="138">
        <f>'База селлеров'!D42</f>
        <v>0</v>
      </c>
      <c r="F71" s="138">
        <f>'База селлеров'!E42</f>
        <v>0</v>
      </c>
      <c r="G71" s="138">
        <f>'База селлеров'!F42</f>
        <v>0</v>
      </c>
      <c r="I71" s="74">
        <f t="shared" si="40"/>
        <v>0</v>
      </c>
      <c r="J71" s="74">
        <f t="shared" si="41"/>
        <v>0</v>
      </c>
      <c r="K71" s="74">
        <f t="shared" si="41"/>
        <v>0</v>
      </c>
      <c r="L71" s="74">
        <f t="shared" si="41"/>
        <v>0</v>
      </c>
      <c r="M71" s="74"/>
      <c r="N71" s="15"/>
      <c r="O71" s="74">
        <f t="shared" si="42"/>
        <v>0</v>
      </c>
      <c r="P71" s="74">
        <f t="shared" si="43"/>
        <v>0</v>
      </c>
      <c r="Q71" s="74">
        <f t="shared" si="43"/>
        <v>0</v>
      </c>
      <c r="R71" s="74">
        <f t="shared" si="43"/>
        <v>0</v>
      </c>
      <c r="Z71" s="15"/>
      <c r="AA71" s="15"/>
      <c r="AB71" s="15"/>
      <c r="AC71" s="15"/>
      <c r="AD71" s="15"/>
      <c r="AE71" s="15"/>
    </row>
    <row r="72" spans="1:31">
      <c r="A72" s="15"/>
      <c r="B72" s="15"/>
      <c r="C72" s="73"/>
      <c r="D72" s="73"/>
      <c r="E72" s="271" t="s">
        <v>282</v>
      </c>
      <c r="F72" s="73"/>
      <c r="G72" s="73"/>
      <c r="N72" s="15"/>
      <c r="O72" s="73"/>
      <c r="P72" s="73"/>
      <c r="Z72" s="15"/>
      <c r="AA72" s="15"/>
      <c r="AB72" s="15"/>
      <c r="AC72" s="15"/>
      <c r="AD72" s="15"/>
      <c r="AE72" s="15"/>
    </row>
    <row r="73" spans="1:31" ht="60">
      <c r="A73" s="13" t="s">
        <v>145</v>
      </c>
      <c r="B73" s="15"/>
      <c r="C73" s="73"/>
      <c r="D73" s="73"/>
      <c r="E73" s="73"/>
      <c r="F73" s="73"/>
      <c r="G73" s="73"/>
      <c r="N73" s="15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15"/>
      <c r="AA73" s="15"/>
      <c r="AB73" s="15"/>
      <c r="AC73" s="15"/>
      <c r="AD73" s="15"/>
      <c r="AE73" s="15"/>
    </row>
    <row r="74" spans="1:31" ht="20">
      <c r="A74" s="15" t="s">
        <v>62</v>
      </c>
      <c r="B74" s="15"/>
      <c r="C74" s="71" t="s">
        <v>141</v>
      </c>
      <c r="N74" s="15"/>
      <c r="O74" s="160"/>
      <c r="P74" s="160"/>
      <c r="Q74" s="160"/>
      <c r="R74" s="160"/>
      <c r="S74" s="160"/>
      <c r="Z74" s="15"/>
      <c r="AA74" s="15"/>
      <c r="AB74" s="15"/>
      <c r="AC74" s="15"/>
      <c r="AD74" s="15"/>
      <c r="AE74" s="15"/>
    </row>
    <row r="75" spans="1:31" ht="20">
      <c r="A75" s="15" t="s">
        <v>65</v>
      </c>
      <c r="B75" s="15"/>
      <c r="C75" s="71" t="s">
        <v>141</v>
      </c>
      <c r="N75" s="15"/>
      <c r="O75" s="160"/>
      <c r="P75" s="160"/>
      <c r="Q75" s="160"/>
      <c r="R75" s="160"/>
      <c r="S75" s="160"/>
      <c r="Z75" s="15"/>
      <c r="AA75" s="15"/>
      <c r="AB75" s="15"/>
      <c r="AC75" s="15"/>
      <c r="AD75" s="15"/>
      <c r="AE75" s="15"/>
    </row>
    <row r="76" spans="1:31" ht="20">
      <c r="A76" s="15" t="s">
        <v>66</v>
      </c>
      <c r="B76" s="15"/>
      <c r="C76" s="71" t="s">
        <v>141</v>
      </c>
      <c r="N76" s="15"/>
      <c r="O76" s="160"/>
      <c r="P76" s="160"/>
      <c r="Q76" s="160"/>
      <c r="R76" s="160"/>
      <c r="S76" s="160"/>
      <c r="Z76" s="15"/>
      <c r="AA76" s="15"/>
      <c r="AB76" s="15"/>
      <c r="AC76" s="15"/>
      <c r="AD76" s="15"/>
      <c r="AE76" s="15"/>
    </row>
    <row r="77" spans="1:31" ht="20">
      <c r="A77" s="15" t="s">
        <v>31</v>
      </c>
      <c r="B77" s="15"/>
      <c r="C77" s="71" t="s">
        <v>141</v>
      </c>
      <c r="N77" s="15"/>
      <c r="O77" s="160"/>
      <c r="P77" s="160"/>
      <c r="Q77" s="160"/>
      <c r="R77" s="160"/>
      <c r="S77" s="160"/>
      <c r="Z77" s="15"/>
      <c r="AA77" s="15"/>
      <c r="AB77" s="15"/>
      <c r="AC77" s="15"/>
      <c r="AD77" s="15"/>
      <c r="AE77" s="15"/>
    </row>
    <row r="78" spans="1:31">
      <c r="O78" s="73"/>
      <c r="P78" s="73"/>
      <c r="Q78" s="73"/>
      <c r="R78" s="73"/>
      <c r="S78" s="73"/>
    </row>
    <row r="79" spans="1:31">
      <c r="A79" s="18" t="s">
        <v>277</v>
      </c>
      <c r="C79" s="18" t="s">
        <v>278</v>
      </c>
      <c r="D79" s="18"/>
      <c r="E79" s="18"/>
      <c r="F79" s="18"/>
      <c r="G79" s="18"/>
      <c r="N79" s="18"/>
      <c r="O79" s="73"/>
      <c r="P79" s="73"/>
      <c r="Q79" s="73"/>
      <c r="R79" s="73"/>
      <c r="S79" s="73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spans="1:31">
      <c r="A80" s="15" t="s">
        <v>64</v>
      </c>
      <c r="B80" s="15"/>
      <c r="D80" s="15"/>
      <c r="E80" s="15"/>
      <c r="F80" s="15"/>
      <c r="G80" s="15"/>
      <c r="N80" s="18"/>
      <c r="O80" s="73"/>
      <c r="P80" s="73"/>
      <c r="Q80" s="73"/>
      <c r="R80" s="73"/>
      <c r="S80" s="73"/>
      <c r="T80" s="18"/>
      <c r="U80" s="18"/>
      <c r="V80" s="18"/>
      <c r="W80" s="18"/>
      <c r="X80" s="18"/>
      <c r="Y80" s="18"/>
      <c r="Z80" s="15"/>
      <c r="AA80" s="15"/>
      <c r="AB80" s="15"/>
      <c r="AC80" s="15"/>
      <c r="AD80" s="15"/>
      <c r="AE80" s="15"/>
    </row>
    <row r="81" spans="1:31">
      <c r="A81" s="15" t="s">
        <v>62</v>
      </c>
      <c r="B81" s="15"/>
      <c r="C81" s="292" t="e">
        <f>'База селлеров'!#REF!</f>
        <v>#REF!</v>
      </c>
      <c r="D81" s="292" t="e">
        <f>C81</f>
        <v>#REF!</v>
      </c>
      <c r="E81" s="292" t="e">
        <f t="shared" ref="E81:G81" si="44">D81</f>
        <v>#REF!</v>
      </c>
      <c r="F81" s="292" t="e">
        <f t="shared" si="44"/>
        <v>#REF!</v>
      </c>
      <c r="G81" s="292" t="e">
        <f t="shared" si="44"/>
        <v>#REF!</v>
      </c>
      <c r="I81" s="291" t="e">
        <f>C81</f>
        <v>#REF!</v>
      </c>
      <c r="J81" s="291" t="e">
        <f>D81</f>
        <v>#REF!</v>
      </c>
      <c r="K81" s="291" t="e">
        <f>E81</f>
        <v>#REF!</v>
      </c>
      <c r="L81" s="291" t="e">
        <f>F81</f>
        <v>#REF!</v>
      </c>
      <c r="N81" s="18"/>
      <c r="O81" s="291" t="e">
        <f>I81</f>
        <v>#REF!</v>
      </c>
      <c r="P81" s="291" t="e">
        <f>J81</f>
        <v>#REF!</v>
      </c>
      <c r="Q81" s="291" t="e">
        <f>K81</f>
        <v>#REF!</v>
      </c>
      <c r="R81" s="291" t="e">
        <f>L81</f>
        <v>#REF!</v>
      </c>
      <c r="S81" s="73"/>
      <c r="T81" s="18"/>
      <c r="U81" s="18"/>
      <c r="V81" s="18"/>
      <c r="W81" s="18"/>
      <c r="X81" s="18"/>
      <c r="Y81" s="18"/>
      <c r="Z81" s="15"/>
      <c r="AA81" s="15"/>
      <c r="AB81" s="15"/>
      <c r="AC81" s="15"/>
      <c r="AD81" s="15"/>
      <c r="AE81" s="15"/>
    </row>
    <row r="82" spans="1:31">
      <c r="A82" s="15" t="s">
        <v>65</v>
      </c>
      <c r="B82" s="15"/>
      <c r="C82" s="292" t="e">
        <f>'База селлеров'!#REF!</f>
        <v>#REF!</v>
      </c>
      <c r="D82" s="292" t="e">
        <f t="shared" ref="D82:G82" si="45">C82</f>
        <v>#REF!</v>
      </c>
      <c r="E82" s="292" t="e">
        <f t="shared" si="45"/>
        <v>#REF!</v>
      </c>
      <c r="F82" s="292" t="e">
        <f t="shared" si="45"/>
        <v>#REF!</v>
      </c>
      <c r="G82" s="292" t="e">
        <f t="shared" si="45"/>
        <v>#REF!</v>
      </c>
      <c r="I82" s="291" t="e">
        <f t="shared" ref="I82:I84" si="46">C82</f>
        <v>#REF!</v>
      </c>
      <c r="J82" s="291" t="e">
        <f t="shared" ref="J82:L84" si="47">D82</f>
        <v>#REF!</v>
      </c>
      <c r="K82" s="291" t="e">
        <f t="shared" si="47"/>
        <v>#REF!</v>
      </c>
      <c r="L82" s="291" t="e">
        <f t="shared" si="47"/>
        <v>#REF!</v>
      </c>
      <c r="N82" s="18"/>
      <c r="O82" s="291" t="e">
        <f t="shared" ref="O82:O84" si="48">I82</f>
        <v>#REF!</v>
      </c>
      <c r="P82" s="291" t="e">
        <f t="shared" ref="P82:R84" si="49">J82</f>
        <v>#REF!</v>
      </c>
      <c r="Q82" s="291" t="e">
        <f t="shared" si="49"/>
        <v>#REF!</v>
      </c>
      <c r="R82" s="291" t="e">
        <f t="shared" si="49"/>
        <v>#REF!</v>
      </c>
      <c r="S82" s="73"/>
      <c r="T82" s="18"/>
      <c r="U82" s="18"/>
      <c r="V82" s="18"/>
      <c r="W82" s="18"/>
      <c r="X82" s="18"/>
      <c r="Y82" s="18"/>
      <c r="Z82" s="15"/>
      <c r="AA82" s="15"/>
      <c r="AB82" s="15"/>
      <c r="AC82" s="15"/>
      <c r="AD82" s="15"/>
      <c r="AE82" s="15"/>
    </row>
    <row r="83" spans="1:31">
      <c r="A83" s="15" t="s">
        <v>66</v>
      </c>
      <c r="B83" s="15"/>
      <c r="C83" s="292" t="e">
        <f>'База селлеров'!#REF!</f>
        <v>#REF!</v>
      </c>
      <c r="D83" s="292" t="e">
        <f t="shared" ref="D83:G83" si="50">C83</f>
        <v>#REF!</v>
      </c>
      <c r="E83" s="292" t="e">
        <f t="shared" si="50"/>
        <v>#REF!</v>
      </c>
      <c r="F83" s="292" t="e">
        <f t="shared" si="50"/>
        <v>#REF!</v>
      </c>
      <c r="G83" s="292" t="e">
        <f t="shared" si="50"/>
        <v>#REF!</v>
      </c>
      <c r="I83" s="291" t="e">
        <f t="shared" si="46"/>
        <v>#REF!</v>
      </c>
      <c r="J83" s="291" t="e">
        <f t="shared" si="47"/>
        <v>#REF!</v>
      </c>
      <c r="K83" s="291" t="e">
        <f t="shared" si="47"/>
        <v>#REF!</v>
      </c>
      <c r="L83" s="291" t="e">
        <f t="shared" si="47"/>
        <v>#REF!</v>
      </c>
      <c r="N83" s="18"/>
      <c r="O83" s="291" t="e">
        <f t="shared" si="48"/>
        <v>#REF!</v>
      </c>
      <c r="P83" s="291" t="e">
        <f t="shared" si="49"/>
        <v>#REF!</v>
      </c>
      <c r="Q83" s="291" t="e">
        <f t="shared" si="49"/>
        <v>#REF!</v>
      </c>
      <c r="R83" s="291" t="e">
        <f t="shared" si="49"/>
        <v>#REF!</v>
      </c>
      <c r="S83" s="73"/>
      <c r="T83" s="18"/>
      <c r="U83" s="18"/>
      <c r="V83" s="18"/>
      <c r="W83" s="18"/>
      <c r="X83" s="18"/>
      <c r="Y83" s="18"/>
      <c r="Z83" s="15"/>
      <c r="AA83" s="15"/>
      <c r="AB83" s="15"/>
      <c r="AC83" s="15"/>
      <c r="AD83" s="15"/>
      <c r="AE83" s="15"/>
    </row>
    <row r="84" spans="1:31">
      <c r="A84" s="15" t="s">
        <v>31</v>
      </c>
      <c r="B84" s="15"/>
      <c r="C84" s="292" t="e">
        <f>'База селлеров'!#REF!</f>
        <v>#REF!</v>
      </c>
      <c r="D84" s="292" t="e">
        <f t="shared" ref="D84:G85" si="51">C84</f>
        <v>#REF!</v>
      </c>
      <c r="E84" s="292" t="e">
        <f t="shared" si="51"/>
        <v>#REF!</v>
      </c>
      <c r="F84" s="292" t="e">
        <f t="shared" si="51"/>
        <v>#REF!</v>
      </c>
      <c r="G84" s="292" t="e">
        <f t="shared" si="51"/>
        <v>#REF!</v>
      </c>
      <c r="I84" s="291" t="e">
        <f t="shared" si="46"/>
        <v>#REF!</v>
      </c>
      <c r="J84" s="291" t="e">
        <f t="shared" si="47"/>
        <v>#REF!</v>
      </c>
      <c r="K84" s="291" t="e">
        <f t="shared" si="47"/>
        <v>#REF!</v>
      </c>
      <c r="L84" s="291" t="e">
        <f t="shared" si="47"/>
        <v>#REF!</v>
      </c>
      <c r="N84" s="18"/>
      <c r="O84" s="291" t="e">
        <f t="shared" si="48"/>
        <v>#REF!</v>
      </c>
      <c r="P84" s="291" t="e">
        <f t="shared" si="49"/>
        <v>#REF!</v>
      </c>
      <c r="Q84" s="291" t="e">
        <f t="shared" si="49"/>
        <v>#REF!</v>
      </c>
      <c r="R84" s="291" t="e">
        <f t="shared" si="49"/>
        <v>#REF!</v>
      </c>
      <c r="S84" s="73"/>
      <c r="T84" s="18"/>
      <c r="U84" s="18"/>
      <c r="V84" s="18"/>
      <c r="W84" s="18"/>
      <c r="X84" s="18"/>
      <c r="Y84" s="18"/>
      <c r="Z84" s="15"/>
      <c r="AA84" s="15"/>
      <c r="AB84" s="15"/>
      <c r="AC84" s="15"/>
      <c r="AD84" s="15"/>
      <c r="AE84" s="15"/>
    </row>
    <row r="85" spans="1:31">
      <c r="B85" s="139"/>
      <c r="C85" s="21" t="e">
        <f>'База селлеров'!#REF!</f>
        <v>#REF!</v>
      </c>
      <c r="D85" s="292" t="e">
        <f t="shared" si="51"/>
        <v>#REF!</v>
      </c>
      <c r="E85" s="292" t="e">
        <f t="shared" ref="E85" si="52">D85</f>
        <v>#REF!</v>
      </c>
      <c r="F85" s="292" t="e">
        <f t="shared" ref="F85" si="53">E85</f>
        <v>#REF!</v>
      </c>
      <c r="G85" s="292" t="e">
        <f t="shared" ref="G85" si="54">F85</f>
        <v>#REF!</v>
      </c>
      <c r="O85" s="73"/>
      <c r="P85" s="73"/>
      <c r="Q85" s="73"/>
      <c r="R85" s="73"/>
      <c r="S85" s="73"/>
      <c r="T85" s="18"/>
      <c r="U85" s="18"/>
      <c r="V85" s="18"/>
      <c r="W85" s="18"/>
      <c r="X85" s="18"/>
      <c r="Y85" s="18"/>
      <c r="Z85" s="84"/>
      <c r="AA85" s="84"/>
      <c r="AB85" s="84"/>
      <c r="AC85" s="84"/>
      <c r="AD85" s="84"/>
      <c r="AE85" s="84"/>
    </row>
    <row r="86" spans="1:31">
      <c r="C86" s="272" t="s">
        <v>276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E91F-9855-E142-8E07-3455258BDEC9}">
  <dimension ref="A1:F9"/>
  <sheetViews>
    <sheetView workbookViewId="0">
      <selection activeCell="F16" sqref="F16"/>
    </sheetView>
  </sheetViews>
  <sheetFormatPr baseColWidth="10" defaultRowHeight="16"/>
  <cols>
    <col min="1" max="1" width="14.1640625" customWidth="1"/>
  </cols>
  <sheetData>
    <row r="1" spans="1:6" ht="21">
      <c r="A1" s="190" t="s">
        <v>223</v>
      </c>
    </row>
    <row r="4" spans="1:6">
      <c r="A4" t="s">
        <v>224</v>
      </c>
      <c r="E4" t="s">
        <v>225</v>
      </c>
    </row>
    <row r="5" spans="1:6">
      <c r="A5" s="191"/>
      <c r="B5" s="79"/>
      <c r="C5" s="192" t="s">
        <v>226</v>
      </c>
      <c r="E5" s="191"/>
      <c r="F5" s="192" t="s">
        <v>226</v>
      </c>
    </row>
    <row r="6" spans="1:6">
      <c r="A6" s="193" t="s">
        <v>227</v>
      </c>
      <c r="B6">
        <v>22953</v>
      </c>
      <c r="C6" s="194"/>
      <c r="E6" s="193">
        <v>30000</v>
      </c>
      <c r="F6" s="194"/>
    </row>
    <row r="7" spans="1:6">
      <c r="A7" s="195" t="s">
        <v>228</v>
      </c>
      <c r="B7" s="196">
        <v>184</v>
      </c>
      <c r="C7" s="197">
        <f>B7/B6</f>
        <v>8.0163813009192699E-3</v>
      </c>
      <c r="E7" s="198">
        <v>1200</v>
      </c>
      <c r="F7" s="199">
        <f>E7/E6</f>
        <v>0.04</v>
      </c>
    </row>
    <row r="8" spans="1:6">
      <c r="A8" s="193" t="s">
        <v>229</v>
      </c>
      <c r="B8">
        <v>170</v>
      </c>
      <c r="C8" s="200">
        <f>B8/B6</f>
        <v>7.4064392454145428E-3</v>
      </c>
    </row>
    <row r="9" spans="1:6">
      <c r="A9" s="198" t="s">
        <v>230</v>
      </c>
      <c r="B9" s="201">
        <v>320</v>
      </c>
      <c r="C9" s="202">
        <f>B9/B6</f>
        <v>1.3941532697250904E-2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37FE-B2D5-E149-81D5-4DFF5ECFF894}">
  <dimension ref="A1:D46"/>
  <sheetViews>
    <sheetView workbookViewId="0">
      <selection activeCell="B23" sqref="B23:B36"/>
    </sheetView>
  </sheetViews>
  <sheetFormatPr baseColWidth="10" defaultRowHeight="16" outlineLevelRow="1"/>
  <cols>
    <col min="2" max="2" width="18.6640625" customWidth="1"/>
    <col min="3" max="3" width="28.1640625" customWidth="1"/>
  </cols>
  <sheetData>
    <row r="1" spans="1:3">
      <c r="B1" s="62" t="s">
        <v>621</v>
      </c>
      <c r="C1" s="62" t="s">
        <v>622</v>
      </c>
    </row>
    <row r="2" spans="1:3" hidden="1" outlineLevel="1">
      <c r="A2" s="62">
        <v>0</v>
      </c>
      <c r="B2" s="63">
        <v>44896</v>
      </c>
      <c r="C2">
        <v>7681</v>
      </c>
    </row>
    <row r="3" spans="1:3" hidden="1" outlineLevel="1">
      <c r="A3" s="62">
        <v>1</v>
      </c>
      <c r="B3" s="63">
        <v>44927</v>
      </c>
      <c r="C3">
        <v>3316</v>
      </c>
    </row>
    <row r="4" spans="1:3" hidden="1" outlineLevel="1">
      <c r="A4" s="62">
        <v>2</v>
      </c>
      <c r="B4" s="63">
        <v>44958</v>
      </c>
      <c r="C4">
        <v>2563</v>
      </c>
    </row>
    <row r="5" spans="1:3" hidden="1" outlineLevel="1">
      <c r="A5" s="62">
        <v>3</v>
      </c>
      <c r="B5" s="63">
        <v>44986</v>
      </c>
      <c r="C5">
        <v>4132</v>
      </c>
    </row>
    <row r="6" spans="1:3" hidden="1" outlineLevel="1">
      <c r="A6" s="62">
        <v>4</v>
      </c>
      <c r="B6" s="63">
        <v>45017</v>
      </c>
      <c r="C6">
        <v>5348</v>
      </c>
    </row>
    <row r="7" spans="1:3" hidden="1" outlineLevel="1">
      <c r="A7" s="62">
        <v>5</v>
      </c>
      <c r="B7" s="63">
        <v>45047</v>
      </c>
      <c r="C7">
        <v>3648</v>
      </c>
    </row>
    <row r="8" spans="1:3" hidden="1" outlineLevel="1">
      <c r="A8" s="62">
        <v>6</v>
      </c>
      <c r="B8" s="63">
        <v>45078</v>
      </c>
      <c r="C8">
        <v>3928</v>
      </c>
    </row>
    <row r="9" spans="1:3" hidden="1" outlineLevel="1">
      <c r="A9" s="62">
        <v>7</v>
      </c>
      <c r="B9" s="63">
        <v>45108</v>
      </c>
      <c r="C9">
        <v>5442</v>
      </c>
    </row>
    <row r="10" spans="1:3" hidden="1" outlineLevel="1">
      <c r="A10" s="62">
        <v>8</v>
      </c>
      <c r="B10" s="63">
        <v>45139</v>
      </c>
      <c r="C10">
        <v>5611</v>
      </c>
    </row>
    <row r="11" spans="1:3" hidden="1" outlineLevel="1">
      <c r="A11" s="62">
        <v>9</v>
      </c>
      <c r="B11" s="63">
        <v>45170</v>
      </c>
      <c r="C11">
        <v>8145</v>
      </c>
    </row>
    <row r="12" spans="1:3" hidden="1" outlineLevel="1">
      <c r="A12" s="62">
        <v>10</v>
      </c>
      <c r="B12" s="63">
        <v>45200</v>
      </c>
      <c r="C12">
        <v>15005</v>
      </c>
    </row>
    <row r="13" spans="1:3" hidden="1" outlineLevel="1">
      <c r="A13" s="62">
        <v>11</v>
      </c>
      <c r="B13" s="63">
        <v>45231</v>
      </c>
      <c r="C13">
        <v>14516</v>
      </c>
    </row>
    <row r="14" spans="1:3" hidden="1" outlineLevel="1">
      <c r="A14" s="62">
        <v>12</v>
      </c>
      <c r="B14" s="63">
        <v>45261</v>
      </c>
      <c r="C14">
        <v>15219</v>
      </c>
    </row>
    <row r="15" spans="1:3" hidden="1" outlineLevel="1">
      <c r="A15" s="62">
        <v>13</v>
      </c>
      <c r="B15" s="63">
        <v>45292</v>
      </c>
      <c r="C15">
        <v>15699</v>
      </c>
    </row>
    <row r="16" spans="1:3" hidden="1" outlineLevel="1">
      <c r="A16" s="62">
        <v>14</v>
      </c>
      <c r="B16" s="63">
        <v>45323</v>
      </c>
      <c r="C16">
        <v>15828</v>
      </c>
    </row>
    <row r="17" spans="1:4" hidden="1" outlineLevel="1">
      <c r="A17" s="62">
        <v>15</v>
      </c>
      <c r="B17" s="63">
        <v>45352</v>
      </c>
      <c r="C17">
        <v>19550</v>
      </c>
    </row>
    <row r="18" spans="1:4" hidden="1" outlineLevel="1">
      <c r="A18" s="62">
        <v>16</v>
      </c>
      <c r="B18" s="63">
        <v>45383</v>
      </c>
      <c r="C18">
        <v>23957</v>
      </c>
    </row>
    <row r="19" spans="1:4" hidden="1" outlineLevel="1">
      <c r="A19" s="62">
        <v>17</v>
      </c>
      <c r="B19" s="63">
        <v>45413</v>
      </c>
      <c r="C19">
        <v>16345</v>
      </c>
    </row>
    <row r="20" spans="1:4" hidden="1" outlineLevel="1">
      <c r="A20" s="62">
        <v>18</v>
      </c>
      <c r="B20" s="63">
        <v>45444</v>
      </c>
      <c r="C20">
        <v>17561</v>
      </c>
    </row>
    <row r="21" spans="1:4" hidden="1" outlineLevel="1">
      <c r="A21" s="62">
        <v>19</v>
      </c>
      <c r="B21" s="63">
        <v>45474</v>
      </c>
      <c r="C21">
        <v>21733</v>
      </c>
    </row>
    <row r="22" spans="1:4" hidden="1" outlineLevel="1">
      <c r="A22" s="62">
        <v>20</v>
      </c>
      <c r="B22" s="63">
        <v>45505</v>
      </c>
      <c r="C22">
        <v>17441</v>
      </c>
    </row>
    <row r="23" spans="1:4" collapsed="1">
      <c r="A23" s="1247">
        <v>21</v>
      </c>
      <c r="B23" s="1248">
        <v>45536</v>
      </c>
      <c r="C23" s="196">
        <v>21672</v>
      </c>
      <c r="D23" t="s">
        <v>626</v>
      </c>
    </row>
    <row r="24" spans="1:4">
      <c r="A24" s="1247">
        <v>22</v>
      </c>
      <c r="B24" s="1248">
        <v>45566</v>
      </c>
      <c r="C24" s="196">
        <v>23713</v>
      </c>
    </row>
    <row r="25" spans="1:4">
      <c r="A25" s="1247">
        <v>23</v>
      </c>
      <c r="B25" s="1248">
        <v>45597</v>
      </c>
      <c r="C25" s="196">
        <v>18293</v>
      </c>
    </row>
    <row r="26" spans="1:4">
      <c r="A26" s="1247">
        <v>24</v>
      </c>
      <c r="B26" s="1248">
        <v>45627</v>
      </c>
      <c r="C26" s="196">
        <v>20253</v>
      </c>
    </row>
    <row r="27" spans="1:4">
      <c r="A27" s="1247">
        <v>25</v>
      </c>
      <c r="B27" s="1248">
        <v>45658</v>
      </c>
      <c r="C27" s="196">
        <v>20565</v>
      </c>
    </row>
    <row r="28" spans="1:4">
      <c r="A28" s="1247">
        <v>26</v>
      </c>
      <c r="B28" s="1248">
        <v>45689</v>
      </c>
      <c r="C28" s="196">
        <v>16601</v>
      </c>
    </row>
    <row r="29" spans="1:4">
      <c r="A29" s="1247">
        <v>27</v>
      </c>
      <c r="B29" s="1248">
        <v>45717</v>
      </c>
      <c r="C29" s="196">
        <v>17991</v>
      </c>
    </row>
    <row r="30" spans="1:4">
      <c r="A30" s="1247">
        <v>28</v>
      </c>
      <c r="B30" s="1248">
        <v>45748</v>
      </c>
      <c r="C30" s="196">
        <v>19009</v>
      </c>
    </row>
    <row r="31" spans="1:4">
      <c r="A31" s="1247">
        <v>29</v>
      </c>
      <c r="B31" s="1248">
        <v>45778</v>
      </c>
      <c r="C31" s="196">
        <v>11202</v>
      </c>
    </row>
    <row r="32" spans="1:4">
      <c r="A32" s="1247">
        <v>30</v>
      </c>
      <c r="B32" s="1248">
        <v>45809</v>
      </c>
      <c r="C32" s="196">
        <v>10974</v>
      </c>
    </row>
    <row r="33" spans="1:3">
      <c r="A33" s="1247">
        <v>31</v>
      </c>
      <c r="B33" s="1248">
        <v>45839</v>
      </c>
      <c r="C33" s="196">
        <v>12220</v>
      </c>
    </row>
    <row r="34" spans="1:3">
      <c r="A34" s="1247">
        <v>32</v>
      </c>
      <c r="B34" s="1248">
        <v>45870</v>
      </c>
      <c r="C34" s="196">
        <v>10221</v>
      </c>
    </row>
    <row r="35" spans="1:3">
      <c r="A35" s="1247">
        <v>33</v>
      </c>
      <c r="B35" s="1248">
        <v>45901</v>
      </c>
      <c r="C35" s="196">
        <v>12400</v>
      </c>
    </row>
    <row r="36" spans="1:3">
      <c r="A36" s="1247">
        <v>34</v>
      </c>
      <c r="B36" s="1248">
        <v>45931</v>
      </c>
      <c r="C36" s="196">
        <v>14106</v>
      </c>
    </row>
    <row r="37" spans="1:3">
      <c r="A37" s="1247">
        <v>35</v>
      </c>
      <c r="B37" s="1248">
        <v>45962</v>
      </c>
      <c r="C37" s="196">
        <v>9114</v>
      </c>
    </row>
    <row r="38" spans="1:3">
      <c r="A38" s="1247">
        <v>36</v>
      </c>
      <c r="B38" s="1248">
        <v>45992</v>
      </c>
      <c r="C38" s="196">
        <v>10351</v>
      </c>
    </row>
    <row r="39" spans="1:3">
      <c r="A39" s="62">
        <v>37</v>
      </c>
      <c r="B39" s="63">
        <v>46023</v>
      </c>
      <c r="C39">
        <v>9700</v>
      </c>
    </row>
    <row r="40" spans="1:3">
      <c r="A40" s="62">
        <v>38</v>
      </c>
      <c r="B40" s="63">
        <v>46054</v>
      </c>
      <c r="C40">
        <v>8357</v>
      </c>
    </row>
    <row r="41" spans="1:3">
      <c r="A41" s="62">
        <v>39</v>
      </c>
      <c r="B41" s="63">
        <v>46082</v>
      </c>
      <c r="C41">
        <v>9371</v>
      </c>
    </row>
    <row r="42" spans="1:3">
      <c r="A42" s="62">
        <v>40</v>
      </c>
      <c r="B42" s="63">
        <v>46113</v>
      </c>
      <c r="C42">
        <v>12607</v>
      </c>
    </row>
    <row r="43" spans="1:3">
      <c r="A43" s="62">
        <v>41</v>
      </c>
      <c r="B43" s="63">
        <v>46143</v>
      </c>
      <c r="C43">
        <v>7980</v>
      </c>
    </row>
    <row r="44" spans="1:3">
      <c r="A44" s="62">
        <v>42</v>
      </c>
      <c r="B44" s="63">
        <v>46174</v>
      </c>
      <c r="C44">
        <v>9156</v>
      </c>
    </row>
    <row r="46" spans="1:3">
      <c r="B46" s="7" t="s">
        <v>627</v>
      </c>
      <c r="C46" s="1249">
        <f>AVERAGE(C23:C38)</f>
        <v>15542.8125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C0FD-7393-1745-9AF4-81796922DD53}">
  <dimension ref="A1:P50"/>
  <sheetViews>
    <sheetView workbookViewId="0">
      <selection activeCell="F14" sqref="F14"/>
    </sheetView>
  </sheetViews>
  <sheetFormatPr baseColWidth="10" defaultRowHeight="16"/>
  <cols>
    <col min="1" max="1" width="21.5" customWidth="1"/>
    <col min="2" max="2" width="35.6640625" style="5" customWidth="1"/>
    <col min="3" max="3" width="23" customWidth="1"/>
    <col min="4" max="4" width="25.6640625" customWidth="1"/>
    <col min="5" max="5" width="13.83203125" customWidth="1"/>
    <col min="6" max="6" width="12" customWidth="1"/>
    <col min="7" max="11" width="18" customWidth="1"/>
    <col min="12" max="12" width="18.1640625" customWidth="1"/>
  </cols>
  <sheetData>
    <row r="1" spans="1:13">
      <c r="A1" s="936" t="s">
        <v>555</v>
      </c>
    </row>
    <row r="2" spans="1:13" s="317" customFormat="1">
      <c r="A2" s="315" t="s">
        <v>231</v>
      </c>
      <c r="B2" s="316"/>
    </row>
    <row r="3" spans="1:13">
      <c r="A3" s="191"/>
      <c r="B3" s="203"/>
      <c r="C3" s="79"/>
      <c r="D3" s="204" t="s">
        <v>232</v>
      </c>
      <c r="E3" s="191" t="s">
        <v>233</v>
      </c>
      <c r="F3" s="192" t="s">
        <v>233</v>
      </c>
      <c r="G3" s="205">
        <v>46054</v>
      </c>
      <c r="H3" s="205">
        <v>46054</v>
      </c>
      <c r="I3" s="205">
        <v>46082</v>
      </c>
      <c r="J3" s="205">
        <v>46082</v>
      </c>
      <c r="K3" s="205">
        <v>46113</v>
      </c>
      <c r="L3" s="205"/>
    </row>
    <row r="4" spans="1:13" s="208" customFormat="1" ht="32">
      <c r="A4" s="206" t="s">
        <v>234</v>
      </c>
      <c r="B4" s="207" t="s">
        <v>235</v>
      </c>
      <c r="C4" s="208" t="s">
        <v>226</v>
      </c>
      <c r="E4" s="209">
        <v>68103.666666666672</v>
      </c>
      <c r="F4" s="210"/>
      <c r="G4" s="208">
        <v>69572</v>
      </c>
      <c r="I4" s="208">
        <v>68231</v>
      </c>
      <c r="K4" s="208">
        <v>66508</v>
      </c>
    </row>
    <row r="5" spans="1:13" s="208" customFormat="1">
      <c r="A5" s="206" t="s">
        <v>236</v>
      </c>
      <c r="B5" s="207" t="s">
        <v>237</v>
      </c>
      <c r="C5" s="208" t="s">
        <v>238</v>
      </c>
      <c r="D5" s="208" t="s">
        <v>239</v>
      </c>
      <c r="E5" s="209">
        <v>5894</v>
      </c>
      <c r="F5" s="211">
        <v>8.6995852377086444E-2</v>
      </c>
      <c r="G5" s="208">
        <v>4442</v>
      </c>
      <c r="H5" s="212">
        <f>G5/G4</f>
        <v>6.3847524866325528E-2</v>
      </c>
      <c r="I5" s="208">
        <v>5093</v>
      </c>
      <c r="J5" s="212">
        <f>I5/I4</f>
        <v>7.464349049552256E-2</v>
      </c>
      <c r="K5" s="208">
        <v>8147</v>
      </c>
      <c r="L5" s="212"/>
      <c r="M5" s="213"/>
    </row>
    <row r="6" spans="1:13" s="208" customFormat="1">
      <c r="A6" s="206" t="s">
        <v>240</v>
      </c>
      <c r="B6" s="207" t="s">
        <v>241</v>
      </c>
      <c r="C6" s="208" t="s">
        <v>242</v>
      </c>
      <c r="D6" s="208" t="s">
        <v>239</v>
      </c>
      <c r="E6" s="209">
        <v>966</v>
      </c>
      <c r="F6" s="211">
        <v>1.4216249784894589E-2</v>
      </c>
      <c r="G6" s="208">
        <v>906</v>
      </c>
      <c r="H6" s="212">
        <f>G6/G4</f>
        <v>1.3022480308169953E-2</v>
      </c>
      <c r="I6" s="208">
        <v>856</v>
      </c>
      <c r="J6" s="212">
        <f>I6/I4</f>
        <v>1.2545617094868901E-2</v>
      </c>
      <c r="K6" s="208">
        <v>1136</v>
      </c>
      <c r="L6" s="212"/>
      <c r="M6" s="213"/>
    </row>
    <row r="7" spans="1:13" s="208" customFormat="1">
      <c r="A7" s="214" t="s">
        <v>243</v>
      </c>
      <c r="B7" s="634" t="s">
        <v>244</v>
      </c>
      <c r="C7" s="208" t="s">
        <v>245</v>
      </c>
      <c r="D7" s="635" t="s">
        <v>246</v>
      </c>
      <c r="E7" s="215">
        <v>250.66666666666666</v>
      </c>
      <c r="F7" s="216">
        <v>0.25381320402315999</v>
      </c>
      <c r="G7" s="208">
        <v>199</v>
      </c>
      <c r="H7" s="212">
        <f>G7/G$6</f>
        <v>0.2196467991169978</v>
      </c>
      <c r="I7" s="208">
        <v>191</v>
      </c>
      <c r="J7" s="212">
        <f>I7/I$6</f>
        <v>0.22313084112149534</v>
      </c>
      <c r="K7" s="208">
        <v>362</v>
      </c>
      <c r="L7" s="212"/>
      <c r="M7" s="213"/>
    </row>
    <row r="8" spans="1:13" s="208" customFormat="1">
      <c r="A8" s="217" t="s">
        <v>247</v>
      </c>
      <c r="B8" s="218" t="s">
        <v>248</v>
      </c>
      <c r="C8" s="208" t="s">
        <v>249</v>
      </c>
      <c r="D8" s="636" t="s">
        <v>246</v>
      </c>
      <c r="E8" s="219">
        <v>218.33333333333334</v>
      </c>
      <c r="F8" s="220">
        <v>0.22552123393466092</v>
      </c>
      <c r="G8" s="208">
        <v>200</v>
      </c>
      <c r="H8" s="212">
        <f>G8/G$6</f>
        <v>0.22075055187637968</v>
      </c>
      <c r="I8" s="208">
        <v>192</v>
      </c>
      <c r="J8" s="212">
        <f>I8/I$6</f>
        <v>0.22429906542056074</v>
      </c>
      <c r="K8" s="208">
        <v>263</v>
      </c>
      <c r="L8" s="212"/>
      <c r="M8" s="213"/>
    </row>
    <row r="9" spans="1:13" s="208" customFormat="1">
      <c r="A9" s="214" t="s">
        <v>250</v>
      </c>
      <c r="B9" s="634" t="s">
        <v>251</v>
      </c>
      <c r="C9" s="208" t="s">
        <v>252</v>
      </c>
      <c r="D9" t="s">
        <v>270</v>
      </c>
      <c r="E9" s="215">
        <v>151</v>
      </c>
      <c r="F9" s="216">
        <v>2.5619273837801201E-2</v>
      </c>
      <c r="G9" s="208">
        <v>134</v>
      </c>
      <c r="H9" s="212">
        <f>G9/G$5</f>
        <v>3.0166591625393965E-2</v>
      </c>
      <c r="I9" s="208">
        <v>146</v>
      </c>
      <c r="J9" s="212">
        <f>I9/I$5</f>
        <v>2.8666797565285687E-2</v>
      </c>
      <c r="K9" s="208">
        <v>173</v>
      </c>
      <c r="L9" s="212"/>
      <c r="M9" s="213"/>
    </row>
    <row r="10" spans="1:13" s="208" customFormat="1">
      <c r="A10" s="206" t="s">
        <v>253</v>
      </c>
      <c r="B10" s="207" t="s">
        <v>254</v>
      </c>
      <c r="C10" s="208" t="s">
        <v>255</v>
      </c>
      <c r="D10" t="s">
        <v>270</v>
      </c>
      <c r="E10" s="209">
        <v>71.666666666666671</v>
      </c>
      <c r="F10" s="211">
        <v>1.3210092717146257E-2</v>
      </c>
      <c r="G10" s="208">
        <v>79</v>
      </c>
      <c r="H10" s="212">
        <f>G10/G$5</f>
        <v>1.7784781629896444E-2</v>
      </c>
      <c r="I10" s="208">
        <v>70</v>
      </c>
      <c r="J10" s="212">
        <f>I10/I$5</f>
        <v>1.3744354997054781E-2</v>
      </c>
      <c r="K10" s="208">
        <v>66</v>
      </c>
      <c r="L10" s="212"/>
      <c r="M10" s="213"/>
    </row>
    <row r="11" spans="1:13" s="208" customFormat="1" ht="32">
      <c r="A11" s="206" t="s">
        <v>256</v>
      </c>
      <c r="B11" s="207" t="s">
        <v>257</v>
      </c>
      <c r="C11" s="208" t="s">
        <v>258</v>
      </c>
      <c r="D11" t="s">
        <v>270</v>
      </c>
      <c r="E11" s="209">
        <v>31.333333333333332</v>
      </c>
      <c r="F11" s="211">
        <v>5.1173516914485573E-3</v>
      </c>
      <c r="G11" s="208">
        <v>20</v>
      </c>
      <c r="H11" s="212">
        <f>G11/G$5</f>
        <v>4.5024763619990991E-3</v>
      </c>
      <c r="I11" s="208">
        <v>24</v>
      </c>
      <c r="J11" s="212">
        <f>I11/I$5</f>
        <v>4.7123502847044967E-3</v>
      </c>
      <c r="K11" s="208">
        <v>50</v>
      </c>
      <c r="L11" s="212"/>
      <c r="M11" s="213"/>
    </row>
    <row r="12" spans="1:13" ht="17">
      <c r="A12" s="221" t="s">
        <v>259</v>
      </c>
      <c r="B12" s="222" t="s">
        <v>260</v>
      </c>
      <c r="C12" s="201"/>
      <c r="D12" s="201" t="s">
        <v>270</v>
      </c>
      <c r="E12" s="223">
        <f>E11+E10</f>
        <v>103</v>
      </c>
      <c r="F12" s="934">
        <f>E12/E5</f>
        <v>1.7475398710553106E-2</v>
      </c>
      <c r="H12" s="224"/>
      <c r="J12" s="224"/>
      <c r="L12" s="224"/>
      <c r="M12" s="224"/>
    </row>
    <row r="13" spans="1:13" ht="64">
      <c r="D13" s="599" t="s">
        <v>297</v>
      </c>
      <c r="E13" s="324"/>
      <c r="F13" s="324"/>
      <c r="G13" s="324"/>
      <c r="H13" s="224"/>
      <c r="J13" s="926"/>
      <c r="M13" s="224"/>
    </row>
    <row r="14" spans="1:13">
      <c r="A14" s="936" t="s">
        <v>557</v>
      </c>
      <c r="E14" s="324"/>
      <c r="F14" s="324">
        <f>E9/E7</f>
        <v>0.60239361702127658</v>
      </c>
      <c r="G14" s="224" t="s">
        <v>638</v>
      </c>
      <c r="J14" s="926"/>
      <c r="M14" s="224"/>
    </row>
    <row r="15" spans="1:13">
      <c r="A15" s="937">
        <v>0.01</v>
      </c>
      <c r="B15" s="192" t="s">
        <v>556</v>
      </c>
      <c r="E15" s="324"/>
      <c r="F15" s="324"/>
      <c r="H15" s="224"/>
      <c r="J15" s="926"/>
      <c r="M15" s="224"/>
    </row>
    <row r="16" spans="1:13">
      <c r="A16" s="938">
        <v>1.2999999999999999E-2</v>
      </c>
      <c r="B16" s="609" t="s">
        <v>554</v>
      </c>
      <c r="E16" s="324"/>
      <c r="F16" s="324"/>
      <c r="H16" s="224"/>
      <c r="J16" s="926"/>
      <c r="M16" s="224"/>
    </row>
    <row r="17" spans="1:16">
      <c r="E17" s="324"/>
      <c r="F17" s="324"/>
      <c r="H17" s="224"/>
      <c r="J17" s="926"/>
      <c r="M17" s="224"/>
    </row>
    <row r="18" spans="1:16">
      <c r="E18" s="324"/>
      <c r="F18" s="324"/>
      <c r="H18" s="224"/>
      <c r="J18" s="926"/>
      <c r="M18" s="224"/>
    </row>
    <row r="19" spans="1:16">
      <c r="E19" s="324"/>
      <c r="F19" s="324"/>
      <c r="H19" s="224"/>
      <c r="J19" s="926"/>
      <c r="M19" s="224"/>
    </row>
    <row r="20" spans="1:16" s="317" customFormat="1">
      <c r="A20" s="315" t="s">
        <v>298</v>
      </c>
      <c r="B20" s="316"/>
      <c r="J20" s="927" t="s">
        <v>548</v>
      </c>
      <c r="K20" s="928">
        <f>L5</f>
        <v>0</v>
      </c>
      <c r="L20"/>
    </row>
    <row r="21" spans="1:16">
      <c r="A21" s="191"/>
      <c r="B21" s="203">
        <v>0</v>
      </c>
      <c r="C21" s="79">
        <v>1</v>
      </c>
      <c r="D21" s="79">
        <v>2</v>
      </c>
      <c r="E21" s="79">
        <v>3</v>
      </c>
      <c r="F21" s="79">
        <v>4</v>
      </c>
      <c r="G21" s="79">
        <v>5</v>
      </c>
      <c r="H21" s="79">
        <v>6</v>
      </c>
      <c r="J21" s="929" t="s">
        <v>549</v>
      </c>
      <c r="K21" s="930">
        <v>1.7000000000000001E-2</v>
      </c>
      <c r="L21" t="s">
        <v>550</v>
      </c>
      <c r="M21" s="224"/>
    </row>
    <row r="22" spans="1:16">
      <c r="A22" s="198" t="s">
        <v>261</v>
      </c>
      <c r="B22" s="225">
        <v>1</v>
      </c>
      <c r="C22" s="226">
        <v>0.44721791257173082</v>
      </c>
      <c r="D22" s="226">
        <v>0.28408527909392306</v>
      </c>
      <c r="E22" s="226">
        <v>0.29794572957484949</v>
      </c>
      <c r="F22" s="226">
        <v>0.22764628183055638</v>
      </c>
      <c r="G22" s="226">
        <v>0.18555068226120858</v>
      </c>
      <c r="H22" s="199">
        <v>1.3157894736842099E-2</v>
      </c>
      <c r="M22" s="224"/>
    </row>
    <row r="23" spans="1:16">
      <c r="A23" s="191" t="s">
        <v>262</v>
      </c>
      <c r="B23" s="318">
        <v>2.4556037800691102</v>
      </c>
      <c r="C23" s="227"/>
      <c r="D23" s="227"/>
      <c r="E23" s="227"/>
      <c r="F23" s="227"/>
      <c r="G23" s="227"/>
      <c r="H23" s="227"/>
      <c r="J23" s="927" t="s">
        <v>551</v>
      </c>
      <c r="K23" s="928">
        <f>M5</f>
        <v>0</v>
      </c>
      <c r="M23" s="224"/>
    </row>
    <row r="24" spans="1:16">
      <c r="A24" s="193" t="s">
        <v>263</v>
      </c>
      <c r="B24" s="228">
        <v>3164</v>
      </c>
      <c r="C24" s="227"/>
      <c r="D24" s="227"/>
      <c r="E24" s="227"/>
      <c r="F24" s="227"/>
      <c r="G24" s="227"/>
      <c r="H24" s="227"/>
      <c r="J24" s="931" t="s">
        <v>552</v>
      </c>
      <c r="K24" s="932">
        <v>0.01</v>
      </c>
      <c r="L24" t="s">
        <v>553</v>
      </c>
      <c r="M24" s="224"/>
    </row>
    <row r="25" spans="1:16">
      <c r="A25" s="198" t="s">
        <v>264</v>
      </c>
      <c r="B25" s="229">
        <v>7769.5303601386649</v>
      </c>
      <c r="C25" s="227"/>
      <c r="D25" s="227"/>
      <c r="E25" s="227"/>
      <c r="F25" s="227"/>
      <c r="G25" s="227"/>
      <c r="H25" s="227"/>
      <c r="J25" s="198"/>
      <c r="K25" s="933">
        <v>1.2999999999999999E-2</v>
      </c>
      <c r="L25" t="s">
        <v>554</v>
      </c>
      <c r="M25" s="224"/>
    </row>
    <row r="26" spans="1:16">
      <c r="H26" s="224"/>
      <c r="M26" s="224"/>
    </row>
    <row r="27" spans="1:16">
      <c r="A27" s="935" t="s">
        <v>555</v>
      </c>
      <c r="H27" s="224"/>
      <c r="M27" s="224"/>
    </row>
    <row r="28" spans="1:16" s="317" customFormat="1">
      <c r="A28" s="315" t="s">
        <v>265</v>
      </c>
    </row>
    <row r="29" spans="1:16">
      <c r="A29" s="191"/>
      <c r="B29" s="79"/>
      <c r="C29" s="79"/>
      <c r="D29" s="79" t="s">
        <v>232</v>
      </c>
      <c r="E29" s="191" t="s">
        <v>233</v>
      </c>
      <c r="F29" s="192" t="s">
        <v>233</v>
      </c>
      <c r="G29" s="63">
        <v>45597</v>
      </c>
      <c r="H29" s="63">
        <v>45627</v>
      </c>
      <c r="I29" s="63">
        <v>45658</v>
      </c>
      <c r="J29" s="63">
        <v>45689</v>
      </c>
      <c r="K29" s="63">
        <v>45717</v>
      </c>
      <c r="L29" s="63">
        <v>45597</v>
      </c>
      <c r="M29" s="63">
        <v>45627</v>
      </c>
      <c r="N29" s="63">
        <v>45658</v>
      </c>
      <c r="O29" s="63">
        <v>45689</v>
      </c>
      <c r="P29" s="63">
        <v>45717</v>
      </c>
    </row>
    <row r="30" spans="1:16" ht="34">
      <c r="A30" s="193" t="s">
        <v>234</v>
      </c>
      <c r="B30" s="5" t="s">
        <v>235</v>
      </c>
      <c r="E30" s="230">
        <f>AVERAGE(G30:K30)</f>
        <v>54137.2</v>
      </c>
      <c r="F30" s="210"/>
      <c r="G30">
        <v>56279</v>
      </c>
      <c r="H30">
        <v>54069</v>
      </c>
      <c r="I30">
        <v>53183</v>
      </c>
      <c r="J30">
        <v>52711</v>
      </c>
      <c r="K30">
        <v>54444</v>
      </c>
    </row>
    <row r="31" spans="1:16" ht="17">
      <c r="A31" s="193" t="s">
        <v>266</v>
      </c>
      <c r="B31" s="5" t="s">
        <v>237</v>
      </c>
      <c r="C31" t="s">
        <v>267</v>
      </c>
      <c r="D31" t="s">
        <v>239</v>
      </c>
      <c r="E31" s="230">
        <f>AVERAGE(G31:K31)</f>
        <v>3784.8</v>
      </c>
      <c r="F31" s="211">
        <v>6.997723125728636E-2</v>
      </c>
      <c r="G31">
        <v>3521</v>
      </c>
      <c r="H31">
        <v>3767</v>
      </c>
      <c r="I31">
        <v>4195</v>
      </c>
      <c r="J31">
        <v>3480</v>
      </c>
      <c r="K31">
        <v>3961</v>
      </c>
      <c r="L31" s="227">
        <v>6.2563300698306651E-2</v>
      </c>
      <c r="M31" s="227">
        <v>6.967023617969631E-2</v>
      </c>
      <c r="N31" s="227">
        <v>7.8878589022808046E-2</v>
      </c>
      <c r="O31" s="227">
        <v>6.6020375253742103E-2</v>
      </c>
      <c r="P31" s="227">
        <v>7.2753655131878633E-2</v>
      </c>
    </row>
    <row r="32" spans="1:16">
      <c r="A32" s="231" t="s">
        <v>240</v>
      </c>
      <c r="B32" s="232" t="s">
        <v>241</v>
      </c>
      <c r="C32" s="208" t="s">
        <v>242</v>
      </c>
      <c r="D32" s="208" t="s">
        <v>239</v>
      </c>
      <c r="E32" s="233" t="s">
        <v>146</v>
      </c>
      <c r="F32" s="234" t="s">
        <v>146</v>
      </c>
      <c r="L32" s="227"/>
      <c r="M32" s="227"/>
      <c r="N32" s="227"/>
      <c r="O32" s="227"/>
      <c r="P32" s="227"/>
    </row>
    <row r="33" spans="1:16">
      <c r="A33" s="325" t="s">
        <v>268</v>
      </c>
      <c r="B33" s="218" t="s">
        <v>244</v>
      </c>
      <c r="C33" t="s">
        <v>269</v>
      </c>
      <c r="D33" t="s">
        <v>270</v>
      </c>
      <c r="E33" s="235">
        <f>AVERAGE(G33:K33)</f>
        <v>963</v>
      </c>
      <c r="F33" s="216">
        <v>0.25441623613151598</v>
      </c>
      <c r="G33">
        <v>855</v>
      </c>
      <c r="H33">
        <v>1005</v>
      </c>
      <c r="I33">
        <v>1043</v>
      </c>
      <c r="J33">
        <v>892</v>
      </c>
      <c r="K33">
        <v>1020</v>
      </c>
      <c r="L33" s="227">
        <v>0.24282874183470604</v>
      </c>
      <c r="M33" s="227">
        <v>0.26679054950889303</v>
      </c>
      <c r="N33" s="227">
        <v>0.24862932061978546</v>
      </c>
      <c r="O33" s="227">
        <v>0.25632183908045975</v>
      </c>
      <c r="P33" s="227">
        <v>0.25751072961373389</v>
      </c>
    </row>
    <row r="34" spans="1:16">
      <c r="A34" s="325" t="s">
        <v>271</v>
      </c>
      <c r="B34" s="218" t="s">
        <v>248</v>
      </c>
      <c r="C34" t="s">
        <v>272</v>
      </c>
      <c r="D34" t="s">
        <v>270</v>
      </c>
      <c r="E34" s="236">
        <f>AVERAGE(G34:K34)</f>
        <v>575.6</v>
      </c>
      <c r="F34" s="237">
        <v>0.15247576666048568</v>
      </c>
      <c r="G34">
        <v>564</v>
      </c>
      <c r="H34">
        <v>629</v>
      </c>
      <c r="I34">
        <v>643</v>
      </c>
      <c r="J34">
        <v>541</v>
      </c>
      <c r="K34">
        <v>501</v>
      </c>
      <c r="L34" s="227">
        <v>0.16018176654359556</v>
      </c>
      <c r="M34" s="227">
        <v>0.16697637377223254</v>
      </c>
      <c r="N34" s="227">
        <v>0.15327771156138259</v>
      </c>
      <c r="O34" s="227">
        <v>0.15545977011494252</v>
      </c>
      <c r="P34" s="227">
        <v>0.12648321131027518</v>
      </c>
    </row>
    <row r="35" spans="1:16">
      <c r="A35" s="193" t="s">
        <v>273</v>
      </c>
      <c r="B35" s="207" t="s">
        <v>251</v>
      </c>
      <c r="C35" t="s">
        <v>252</v>
      </c>
      <c r="D35" t="s">
        <v>270</v>
      </c>
      <c r="E35" s="235">
        <f>AVERAGE(G35:K35)</f>
        <v>103.8</v>
      </c>
      <c r="F35" s="216">
        <v>2.7300142362110619E-2</v>
      </c>
      <c r="G35">
        <v>129</v>
      </c>
      <c r="H35">
        <v>104</v>
      </c>
      <c r="I35">
        <v>93</v>
      </c>
      <c r="J35">
        <v>39</v>
      </c>
      <c r="K35">
        <v>154</v>
      </c>
      <c r="L35" s="227">
        <v>3.6637318943481968E-2</v>
      </c>
      <c r="M35" s="227">
        <v>2.760817626758694E-2</v>
      </c>
      <c r="N35" s="227">
        <v>2.2169249106078665E-2</v>
      </c>
      <c r="O35" s="227">
        <v>1.1206896551724138E-2</v>
      </c>
      <c r="P35" s="227">
        <v>3.8879070941681394E-2</v>
      </c>
    </row>
    <row r="36" spans="1:16" ht="17">
      <c r="A36" s="238" t="s">
        <v>274</v>
      </c>
      <c r="B36" s="239" t="s">
        <v>260</v>
      </c>
      <c r="C36" s="201" t="s">
        <v>258</v>
      </c>
      <c r="D36" s="201" t="s">
        <v>270</v>
      </c>
      <c r="E36" s="240">
        <f>AVERAGE(G36:K36)</f>
        <v>29</v>
      </c>
      <c r="F36" s="241">
        <v>7.6274840913832746E-3</v>
      </c>
      <c r="G36">
        <v>36</v>
      </c>
      <c r="H36">
        <v>29</v>
      </c>
      <c r="I36">
        <v>26</v>
      </c>
      <c r="J36">
        <v>11</v>
      </c>
      <c r="K36">
        <v>43</v>
      </c>
      <c r="L36" s="227">
        <v>1.0224368077250781E-2</v>
      </c>
      <c r="M36" s="227">
        <v>7.6984337669232811E-3</v>
      </c>
      <c r="N36" s="227">
        <v>6.1978545887961863E-3</v>
      </c>
      <c r="O36" s="227">
        <v>3.160919540229885E-3</v>
      </c>
      <c r="P36" s="227">
        <v>1.0855844483716234E-2</v>
      </c>
    </row>
    <row r="37" spans="1:16">
      <c r="E37" s="491" t="s">
        <v>368</v>
      </c>
    </row>
    <row r="38" spans="1:16">
      <c r="A38" s="242"/>
      <c r="B38" s="243"/>
      <c r="C38" s="242"/>
      <c r="D38" s="242"/>
      <c r="E38" s="242"/>
      <c r="F38" s="242"/>
      <c r="G38" s="242"/>
      <c r="H38" s="242"/>
    </row>
    <row r="39" spans="1:16">
      <c r="A39" s="244"/>
      <c r="B39" s="245">
        <v>0</v>
      </c>
      <c r="C39" s="246">
        <v>1</v>
      </c>
      <c r="D39" s="246">
        <v>2</v>
      </c>
      <c r="E39" s="246">
        <v>3</v>
      </c>
      <c r="F39" s="246">
        <v>4</v>
      </c>
      <c r="G39" s="246">
        <v>5</v>
      </c>
      <c r="H39" s="246">
        <v>6</v>
      </c>
    </row>
    <row r="40" spans="1:16" ht="17">
      <c r="A40" s="247" t="s">
        <v>261</v>
      </c>
      <c r="B40" s="248" t="s">
        <v>146</v>
      </c>
      <c r="C40" s="249" t="s">
        <v>146</v>
      </c>
      <c r="D40" s="249" t="s">
        <v>146</v>
      </c>
      <c r="E40" s="249" t="s">
        <v>146</v>
      </c>
      <c r="F40" s="249" t="s">
        <v>146</v>
      </c>
      <c r="G40" s="249" t="s">
        <v>146</v>
      </c>
      <c r="H40" s="248" t="s">
        <v>146</v>
      </c>
    </row>
    <row r="41" spans="1:16" ht="17">
      <c r="A41" s="250" t="s">
        <v>262</v>
      </c>
      <c r="B41" s="251" t="s">
        <v>146</v>
      </c>
      <c r="C41" s="252"/>
      <c r="D41" s="252"/>
      <c r="E41" s="252"/>
      <c r="F41" s="252"/>
      <c r="G41" s="252"/>
      <c r="H41" s="252"/>
    </row>
    <row r="42" spans="1:16" ht="17">
      <c r="A42" s="193" t="s">
        <v>263</v>
      </c>
      <c r="B42" s="251" t="s">
        <v>146</v>
      </c>
      <c r="C42" s="252"/>
      <c r="D42" s="252"/>
      <c r="E42" s="252"/>
      <c r="F42" s="252"/>
      <c r="G42" s="252"/>
      <c r="H42" s="252"/>
    </row>
    <row r="43" spans="1:16" ht="17">
      <c r="A43" s="247" t="s">
        <v>264</v>
      </c>
      <c r="B43" s="248" t="s">
        <v>146</v>
      </c>
      <c r="C43" s="252"/>
      <c r="D43" s="252"/>
      <c r="E43" s="252"/>
      <c r="F43" s="252">
        <f>E35/E34</f>
        <v>0.18033356497567754</v>
      </c>
      <c r="G43" s="224" t="s">
        <v>638</v>
      </c>
      <c r="H43" s="252"/>
    </row>
    <row r="44" spans="1:16">
      <c r="A44" s="242"/>
      <c r="B44" s="243"/>
      <c r="C44" s="242"/>
      <c r="D44" s="242"/>
      <c r="E44" s="242"/>
      <c r="F44" s="242"/>
      <c r="G44" s="242"/>
      <c r="H44" s="242"/>
    </row>
    <row r="45" spans="1:16" ht="18">
      <c r="A45" s="253"/>
      <c r="B45" s="243"/>
      <c r="C45" s="242"/>
      <c r="D45" s="242"/>
      <c r="E45" s="242"/>
      <c r="F45" s="242"/>
      <c r="G45" s="242"/>
      <c r="H45" s="242"/>
    </row>
    <row r="46" spans="1:16" ht="18">
      <c r="A46" s="254"/>
    </row>
    <row r="48" spans="1:16" ht="18">
      <c r="A48" s="254" t="s">
        <v>623</v>
      </c>
    </row>
    <row r="49" spans="1:1" ht="18">
      <c r="A49" s="254" t="s">
        <v>624</v>
      </c>
    </row>
    <row r="50" spans="1:1" ht="18">
      <c r="A50" s="254" t="s">
        <v>625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44B37-2C9E-5048-8903-9883E4216AC5}">
  <dimension ref="A1:N46"/>
  <sheetViews>
    <sheetView workbookViewId="0">
      <selection activeCell="Q3" sqref="Q1:Q1048576"/>
    </sheetView>
  </sheetViews>
  <sheetFormatPr baseColWidth="10" defaultColWidth="8.83203125" defaultRowHeight="16"/>
  <cols>
    <col min="2" max="2" width="12.5" customWidth="1"/>
    <col min="3" max="3" width="19" customWidth="1"/>
    <col min="4" max="4" width="24.6640625" customWidth="1"/>
    <col min="5" max="5" width="13.5" customWidth="1"/>
    <col min="6" max="6" width="16.33203125" customWidth="1"/>
    <col min="9" max="9" width="15.83203125" customWidth="1"/>
  </cols>
  <sheetData>
    <row r="1" spans="1:14">
      <c r="B1" s="62" t="s">
        <v>114</v>
      </c>
      <c r="C1" s="62" t="s">
        <v>115</v>
      </c>
      <c r="D1" s="62" t="s">
        <v>116</v>
      </c>
      <c r="E1" s="62" t="s">
        <v>117</v>
      </c>
      <c r="F1" s="62" t="s">
        <v>118</v>
      </c>
      <c r="I1" s="62" t="s">
        <v>114</v>
      </c>
      <c r="J1" s="62" t="s">
        <v>119</v>
      </c>
      <c r="K1" s="62" t="s">
        <v>120</v>
      </c>
      <c r="L1" s="62" t="s">
        <v>121</v>
      </c>
      <c r="M1" s="62" t="s">
        <v>122</v>
      </c>
      <c r="N1" s="62" t="s">
        <v>123</v>
      </c>
    </row>
    <row r="2" spans="1:14">
      <c r="A2" s="62">
        <v>0</v>
      </c>
      <c r="B2" s="63">
        <v>44896</v>
      </c>
      <c r="C2">
        <v>0.52317327766179544</v>
      </c>
      <c r="D2">
        <v>0.47494780793319408</v>
      </c>
      <c r="E2">
        <v>0</v>
      </c>
      <c r="F2">
        <v>0</v>
      </c>
      <c r="H2" s="62">
        <v>0</v>
      </c>
      <c r="I2" s="63">
        <v>44896</v>
      </c>
      <c r="J2">
        <v>2506</v>
      </c>
      <c r="K2">
        <v>2275</v>
      </c>
      <c r="L2">
        <v>0</v>
      </c>
      <c r="M2">
        <v>4790</v>
      </c>
      <c r="N2">
        <v>0</v>
      </c>
    </row>
    <row r="3" spans="1:14">
      <c r="A3" s="62">
        <v>1</v>
      </c>
      <c r="B3" s="63">
        <v>44927</v>
      </c>
      <c r="C3">
        <v>0.48473520249221191</v>
      </c>
      <c r="D3">
        <v>0.42866043613707172</v>
      </c>
      <c r="E3">
        <v>0</v>
      </c>
      <c r="F3">
        <v>0</v>
      </c>
      <c r="H3" s="62">
        <v>1</v>
      </c>
      <c r="I3" s="63">
        <v>44927</v>
      </c>
      <c r="J3">
        <v>778</v>
      </c>
      <c r="K3">
        <v>688</v>
      </c>
      <c r="L3">
        <v>0</v>
      </c>
      <c r="M3">
        <v>1605</v>
      </c>
      <c r="N3">
        <v>0</v>
      </c>
    </row>
    <row r="4" spans="1:14">
      <c r="A4" s="62">
        <v>2</v>
      </c>
      <c r="B4" s="63">
        <v>44958</v>
      </c>
      <c r="C4">
        <v>0.49058295964125559</v>
      </c>
      <c r="D4">
        <v>0.4295964125560538</v>
      </c>
      <c r="E4">
        <v>0</v>
      </c>
      <c r="F4">
        <v>0</v>
      </c>
      <c r="H4" s="62">
        <v>2</v>
      </c>
      <c r="I4" s="63">
        <v>44958</v>
      </c>
      <c r="J4">
        <v>547</v>
      </c>
      <c r="K4">
        <v>479</v>
      </c>
      <c r="L4">
        <v>0</v>
      </c>
      <c r="M4">
        <v>1115</v>
      </c>
      <c r="N4">
        <v>0</v>
      </c>
    </row>
    <row r="5" spans="1:14">
      <c r="A5" s="62">
        <v>3</v>
      </c>
      <c r="B5" s="63">
        <v>44986</v>
      </c>
      <c r="C5">
        <v>0.40740740740740738</v>
      </c>
      <c r="D5">
        <v>0.27805417357656159</v>
      </c>
      <c r="E5">
        <v>0</v>
      </c>
      <c r="F5">
        <v>0</v>
      </c>
      <c r="H5" s="62">
        <v>3</v>
      </c>
      <c r="I5" s="63">
        <v>44986</v>
      </c>
      <c r="J5">
        <v>737</v>
      </c>
      <c r="K5">
        <v>503</v>
      </c>
      <c r="L5">
        <v>0</v>
      </c>
      <c r="M5">
        <v>1809</v>
      </c>
      <c r="N5">
        <v>0</v>
      </c>
    </row>
    <row r="6" spans="1:14">
      <c r="A6" s="62">
        <v>4</v>
      </c>
      <c r="B6" s="63">
        <v>45017</v>
      </c>
      <c r="C6">
        <v>0.34640810929925081</v>
      </c>
      <c r="D6">
        <v>0.21507271925958571</v>
      </c>
      <c r="E6">
        <v>0</v>
      </c>
      <c r="F6">
        <v>0</v>
      </c>
      <c r="H6" s="62">
        <v>4</v>
      </c>
      <c r="I6" s="63">
        <v>45017</v>
      </c>
      <c r="J6">
        <v>786</v>
      </c>
      <c r="K6">
        <v>488</v>
      </c>
      <c r="L6">
        <v>0</v>
      </c>
      <c r="M6">
        <v>2269</v>
      </c>
      <c r="N6">
        <v>0</v>
      </c>
    </row>
    <row r="7" spans="1:14">
      <c r="A7" s="62">
        <v>5</v>
      </c>
      <c r="B7" s="63">
        <v>45047</v>
      </c>
      <c r="C7">
        <v>0.29070691024622719</v>
      </c>
      <c r="D7">
        <v>0.1850675138999206</v>
      </c>
      <c r="E7">
        <v>0</v>
      </c>
      <c r="F7">
        <v>0</v>
      </c>
      <c r="H7" s="62">
        <v>5</v>
      </c>
      <c r="I7" s="63">
        <v>45047</v>
      </c>
      <c r="J7">
        <v>366</v>
      </c>
      <c r="K7">
        <v>233</v>
      </c>
      <c r="L7">
        <v>0</v>
      </c>
      <c r="M7">
        <v>1259</v>
      </c>
      <c r="N7">
        <v>0</v>
      </c>
    </row>
    <row r="8" spans="1:14">
      <c r="A8" s="62">
        <v>6</v>
      </c>
      <c r="B8" s="63">
        <v>45078</v>
      </c>
      <c r="C8">
        <v>0.3112208892025406</v>
      </c>
      <c r="D8">
        <v>0.24841213832039519</v>
      </c>
      <c r="E8">
        <v>0</v>
      </c>
      <c r="F8">
        <v>0</v>
      </c>
      <c r="H8" s="62">
        <v>6</v>
      </c>
      <c r="I8" s="63">
        <v>45078</v>
      </c>
      <c r="J8">
        <v>441</v>
      </c>
      <c r="K8">
        <v>352</v>
      </c>
      <c r="L8">
        <v>0</v>
      </c>
      <c r="M8">
        <v>1417</v>
      </c>
      <c r="N8">
        <v>0</v>
      </c>
    </row>
    <row r="9" spans="1:14">
      <c r="A9" s="62">
        <v>7</v>
      </c>
      <c r="B9" s="63">
        <v>45108</v>
      </c>
      <c r="C9">
        <v>0.31468531468531469</v>
      </c>
      <c r="D9">
        <v>0.39429800968262507</v>
      </c>
      <c r="E9">
        <v>0</v>
      </c>
      <c r="F9">
        <v>0</v>
      </c>
      <c r="H9" s="62">
        <v>7</v>
      </c>
      <c r="I9" s="63">
        <v>45108</v>
      </c>
      <c r="J9">
        <v>585</v>
      </c>
      <c r="K9">
        <v>733</v>
      </c>
      <c r="L9">
        <v>0</v>
      </c>
      <c r="M9">
        <v>1859</v>
      </c>
      <c r="N9">
        <v>0</v>
      </c>
    </row>
    <row r="10" spans="1:14">
      <c r="A10" s="62">
        <v>8</v>
      </c>
      <c r="B10" s="63">
        <v>45139</v>
      </c>
      <c r="C10">
        <v>0.27371273712737132</v>
      </c>
      <c r="D10">
        <v>0.36720867208672092</v>
      </c>
      <c r="E10">
        <v>0</v>
      </c>
      <c r="F10">
        <v>1.309846431797651E-2</v>
      </c>
      <c r="H10" s="62">
        <v>8</v>
      </c>
      <c r="I10" s="63">
        <v>45139</v>
      </c>
      <c r="J10">
        <v>606</v>
      </c>
      <c r="K10">
        <v>813</v>
      </c>
      <c r="L10">
        <v>0</v>
      </c>
      <c r="M10">
        <v>2214</v>
      </c>
      <c r="N10">
        <v>29</v>
      </c>
    </row>
    <row r="11" spans="1:14">
      <c r="A11" s="62">
        <v>9</v>
      </c>
      <c r="B11" s="63">
        <v>45170</v>
      </c>
      <c r="C11">
        <v>0.24294960702727689</v>
      </c>
      <c r="D11">
        <v>0.2387887193712436</v>
      </c>
      <c r="E11">
        <v>0</v>
      </c>
      <c r="F11">
        <v>5.1317614424410539E-2</v>
      </c>
      <c r="H11" s="62">
        <v>9</v>
      </c>
      <c r="I11" s="63">
        <v>45170</v>
      </c>
      <c r="J11">
        <v>1051</v>
      </c>
      <c r="K11">
        <v>1033</v>
      </c>
      <c r="L11">
        <v>0</v>
      </c>
      <c r="M11">
        <v>4326</v>
      </c>
      <c r="N11">
        <v>222</v>
      </c>
    </row>
    <row r="12" spans="1:14">
      <c r="A12" s="62">
        <v>10</v>
      </c>
      <c r="B12" s="63">
        <v>45200</v>
      </c>
      <c r="C12">
        <v>0.38375314861460957</v>
      </c>
      <c r="D12">
        <v>0.2306045340050378</v>
      </c>
      <c r="E12">
        <v>0</v>
      </c>
      <c r="F12">
        <v>4.2191435768261967E-2</v>
      </c>
      <c r="H12" s="62">
        <v>10</v>
      </c>
      <c r="I12" s="63">
        <v>45200</v>
      </c>
      <c r="J12">
        <v>3047</v>
      </c>
      <c r="K12">
        <v>1831</v>
      </c>
      <c r="L12">
        <v>0</v>
      </c>
      <c r="M12">
        <v>7940</v>
      </c>
      <c r="N12">
        <v>335</v>
      </c>
    </row>
    <row r="13" spans="1:14">
      <c r="A13" s="62">
        <v>11</v>
      </c>
      <c r="B13" s="63">
        <v>45231</v>
      </c>
      <c r="C13">
        <v>0.3466644261468661</v>
      </c>
      <c r="D13">
        <v>0.2239959670643589</v>
      </c>
      <c r="E13">
        <v>0</v>
      </c>
      <c r="F13">
        <v>3.461603091917325E-2</v>
      </c>
      <c r="H13" s="62">
        <v>11</v>
      </c>
      <c r="I13" s="63">
        <v>45231</v>
      </c>
      <c r="J13">
        <v>2063</v>
      </c>
      <c r="K13">
        <v>1333</v>
      </c>
      <c r="L13">
        <v>0</v>
      </c>
      <c r="M13">
        <v>5951</v>
      </c>
      <c r="N13">
        <v>206</v>
      </c>
    </row>
    <row r="14" spans="1:14">
      <c r="A14" s="62">
        <v>12</v>
      </c>
      <c r="B14" s="63">
        <v>45261</v>
      </c>
      <c r="C14">
        <v>0.39618609238862401</v>
      </c>
      <c r="D14">
        <v>0.2064770672365609</v>
      </c>
      <c r="E14">
        <v>0</v>
      </c>
      <c r="F14">
        <v>2.663159625184942E-2</v>
      </c>
      <c r="H14" s="62">
        <v>12</v>
      </c>
      <c r="I14" s="63">
        <v>45261</v>
      </c>
      <c r="J14">
        <v>2410</v>
      </c>
      <c r="K14">
        <v>1256</v>
      </c>
      <c r="L14">
        <v>0</v>
      </c>
      <c r="M14">
        <v>6083</v>
      </c>
      <c r="N14">
        <v>162</v>
      </c>
    </row>
    <row r="15" spans="1:14">
      <c r="A15" s="62">
        <v>13</v>
      </c>
      <c r="B15" s="63">
        <v>45292</v>
      </c>
      <c r="C15">
        <v>0.38477431659249839</v>
      </c>
      <c r="D15">
        <v>0.23219961856325491</v>
      </c>
      <c r="E15">
        <v>0</v>
      </c>
      <c r="F15">
        <v>3.5600762873490149E-2</v>
      </c>
      <c r="H15" s="62">
        <v>13</v>
      </c>
      <c r="I15" s="63">
        <v>45292</v>
      </c>
      <c r="J15">
        <v>2421</v>
      </c>
      <c r="K15">
        <v>1461</v>
      </c>
      <c r="L15">
        <v>0</v>
      </c>
      <c r="M15">
        <v>6292</v>
      </c>
      <c r="N15">
        <v>224</v>
      </c>
    </row>
    <row r="16" spans="1:14">
      <c r="A16" s="62">
        <v>14</v>
      </c>
      <c r="B16" s="63">
        <v>45323</v>
      </c>
      <c r="C16">
        <v>0.35522151898734178</v>
      </c>
      <c r="D16">
        <v>0.24541139240506329</v>
      </c>
      <c r="E16">
        <v>0</v>
      </c>
      <c r="F16">
        <v>3.212025316455696E-2</v>
      </c>
      <c r="H16" s="62">
        <v>14</v>
      </c>
      <c r="I16" s="63">
        <v>45323</v>
      </c>
      <c r="J16">
        <v>2245</v>
      </c>
      <c r="K16">
        <v>1551</v>
      </c>
      <c r="L16">
        <v>0</v>
      </c>
      <c r="M16">
        <v>6320</v>
      </c>
      <c r="N16">
        <v>203</v>
      </c>
    </row>
    <row r="17" spans="1:14">
      <c r="A17" s="62">
        <v>15</v>
      </c>
      <c r="B17" s="63">
        <v>45352</v>
      </c>
      <c r="C17">
        <v>0.39979641175722103</v>
      </c>
      <c r="D17">
        <v>0.2245832803155618</v>
      </c>
      <c r="E17">
        <v>0</v>
      </c>
      <c r="F17">
        <v>2.4557831785214399E-2</v>
      </c>
      <c r="H17" s="62">
        <v>15</v>
      </c>
      <c r="I17" s="63">
        <v>45352</v>
      </c>
      <c r="J17">
        <v>3142</v>
      </c>
      <c r="K17">
        <v>1765</v>
      </c>
      <c r="L17">
        <v>0</v>
      </c>
      <c r="M17">
        <v>7859</v>
      </c>
      <c r="N17">
        <v>193</v>
      </c>
    </row>
    <row r="18" spans="1:14">
      <c r="A18" s="62">
        <v>16</v>
      </c>
      <c r="B18" s="63">
        <v>45383</v>
      </c>
      <c r="C18">
        <v>0.39657585872725309</v>
      </c>
      <c r="D18">
        <v>0.16033164638742331</v>
      </c>
      <c r="E18">
        <v>0</v>
      </c>
      <c r="F18">
        <v>1.690535156670615E-2</v>
      </c>
      <c r="H18" s="62">
        <v>16</v>
      </c>
      <c r="I18" s="63">
        <v>45383</v>
      </c>
      <c r="J18">
        <v>3683</v>
      </c>
      <c r="K18">
        <v>1489</v>
      </c>
      <c r="L18">
        <v>0</v>
      </c>
      <c r="M18">
        <v>9287</v>
      </c>
      <c r="N18">
        <v>157</v>
      </c>
    </row>
    <row r="19" spans="1:14">
      <c r="A19" s="62">
        <v>17</v>
      </c>
      <c r="B19" s="63">
        <v>45413</v>
      </c>
      <c r="C19">
        <v>0.29031085257225958</v>
      </c>
      <c r="D19">
        <v>0.1577894928194874</v>
      </c>
      <c r="E19">
        <v>0</v>
      </c>
      <c r="F19">
        <v>2.3995637156880571E-2</v>
      </c>
      <c r="H19" s="62">
        <v>17</v>
      </c>
      <c r="I19" s="63">
        <v>45413</v>
      </c>
      <c r="J19">
        <v>1597</v>
      </c>
      <c r="K19">
        <v>868</v>
      </c>
      <c r="L19">
        <v>0</v>
      </c>
      <c r="M19">
        <v>5501</v>
      </c>
      <c r="N19">
        <v>132</v>
      </c>
    </row>
    <row r="20" spans="1:14">
      <c r="A20" s="62">
        <v>18</v>
      </c>
      <c r="B20" s="63">
        <v>45444</v>
      </c>
      <c r="C20">
        <v>0.26909722222222221</v>
      </c>
      <c r="D20">
        <v>0.16631944444444441</v>
      </c>
      <c r="E20">
        <v>0</v>
      </c>
      <c r="F20">
        <v>1.7013888888888891E-2</v>
      </c>
      <c r="H20" s="62">
        <v>18</v>
      </c>
      <c r="I20" s="63">
        <v>45444</v>
      </c>
      <c r="J20">
        <v>1550</v>
      </c>
      <c r="K20">
        <v>958</v>
      </c>
      <c r="L20">
        <v>0</v>
      </c>
      <c r="M20">
        <v>5760</v>
      </c>
      <c r="N20">
        <v>98</v>
      </c>
    </row>
    <row r="21" spans="1:14">
      <c r="A21" s="62">
        <v>19</v>
      </c>
      <c r="B21" s="63">
        <v>45474</v>
      </c>
      <c r="C21">
        <v>0.37830006439150032</v>
      </c>
      <c r="D21">
        <v>0.216677398583387</v>
      </c>
      <c r="E21">
        <v>0</v>
      </c>
      <c r="F21">
        <v>1.835157759175789E-2</v>
      </c>
      <c r="H21" s="62">
        <v>19</v>
      </c>
      <c r="I21" s="63">
        <v>45474</v>
      </c>
      <c r="J21">
        <v>2350</v>
      </c>
      <c r="K21">
        <v>1346</v>
      </c>
      <c r="L21">
        <v>0</v>
      </c>
      <c r="M21">
        <v>6212</v>
      </c>
      <c r="N21">
        <v>114</v>
      </c>
    </row>
    <row r="22" spans="1:14">
      <c r="A22" s="62">
        <v>20</v>
      </c>
      <c r="B22" s="63">
        <v>45505</v>
      </c>
      <c r="C22">
        <v>0.29905098212315162</v>
      </c>
      <c r="D22">
        <v>0.2015007724564114</v>
      </c>
      <c r="E22">
        <v>0</v>
      </c>
      <c r="F22">
        <v>2.2511586846170821E-2</v>
      </c>
      <c r="H22" s="62">
        <v>20</v>
      </c>
      <c r="I22" s="63">
        <v>45505</v>
      </c>
      <c r="J22">
        <v>1355</v>
      </c>
      <c r="K22">
        <v>913</v>
      </c>
      <c r="L22">
        <v>0</v>
      </c>
      <c r="M22">
        <v>4531</v>
      </c>
      <c r="N22">
        <v>102</v>
      </c>
    </row>
    <row r="23" spans="1:14">
      <c r="A23" s="62">
        <v>21</v>
      </c>
      <c r="B23" s="63">
        <v>45536</v>
      </c>
      <c r="C23">
        <v>0.25826598089639968</v>
      </c>
      <c r="D23">
        <v>0.16972814107274059</v>
      </c>
      <c r="E23">
        <v>0</v>
      </c>
      <c r="F23">
        <v>2.4981631153563551E-2</v>
      </c>
      <c r="H23" s="62">
        <v>21</v>
      </c>
      <c r="I23" s="63">
        <v>45536</v>
      </c>
      <c r="J23">
        <v>1406</v>
      </c>
      <c r="K23">
        <v>924</v>
      </c>
      <c r="L23">
        <v>0</v>
      </c>
      <c r="M23">
        <v>5444</v>
      </c>
      <c r="N23">
        <v>136</v>
      </c>
    </row>
    <row r="24" spans="1:14">
      <c r="A24" s="62">
        <v>22</v>
      </c>
      <c r="B24" s="63">
        <v>45566</v>
      </c>
      <c r="C24">
        <v>0.30654761904761912</v>
      </c>
      <c r="D24">
        <v>0.18347338935574231</v>
      </c>
      <c r="E24">
        <v>0</v>
      </c>
      <c r="F24">
        <v>2.5210084033613449E-2</v>
      </c>
      <c r="H24" s="62">
        <v>22</v>
      </c>
      <c r="I24" s="63">
        <v>45566</v>
      </c>
      <c r="J24">
        <v>1751</v>
      </c>
      <c r="K24">
        <v>1048</v>
      </c>
      <c r="L24">
        <v>0</v>
      </c>
      <c r="M24">
        <v>5712</v>
      </c>
      <c r="N24">
        <v>144</v>
      </c>
    </row>
    <row r="25" spans="1:14">
      <c r="A25" s="62">
        <v>23</v>
      </c>
      <c r="B25" s="63">
        <v>45597</v>
      </c>
      <c r="C25">
        <v>0.24273902904388381</v>
      </c>
      <c r="D25">
        <v>0.16005935976256089</v>
      </c>
      <c r="E25">
        <v>0</v>
      </c>
      <c r="F25">
        <v>2.310790756836973E-2</v>
      </c>
      <c r="H25" s="62">
        <v>23</v>
      </c>
      <c r="I25" s="63">
        <v>45597</v>
      </c>
      <c r="J25">
        <v>1145</v>
      </c>
      <c r="K25">
        <v>755</v>
      </c>
      <c r="L25">
        <v>0</v>
      </c>
      <c r="M25">
        <v>4717</v>
      </c>
      <c r="N25">
        <v>109</v>
      </c>
    </row>
    <row r="26" spans="1:14">
      <c r="A26" s="62">
        <v>24</v>
      </c>
      <c r="B26" s="63">
        <v>45627</v>
      </c>
      <c r="C26">
        <v>0.26682224815246991</v>
      </c>
      <c r="D26">
        <v>0.16705562038117461</v>
      </c>
      <c r="E26">
        <v>0</v>
      </c>
      <c r="F26">
        <v>2.6059898872034231E-2</v>
      </c>
      <c r="H26" s="62">
        <v>24</v>
      </c>
      <c r="I26" s="63">
        <v>45627</v>
      </c>
      <c r="J26">
        <v>1372</v>
      </c>
      <c r="K26">
        <v>859</v>
      </c>
      <c r="L26">
        <v>0</v>
      </c>
      <c r="M26">
        <v>5142</v>
      </c>
      <c r="N26">
        <v>134</v>
      </c>
    </row>
    <row r="27" spans="1:14">
      <c r="A27" s="62">
        <v>25</v>
      </c>
      <c r="B27" s="63">
        <v>45658</v>
      </c>
      <c r="C27">
        <v>0.24859287054408999</v>
      </c>
      <c r="D27">
        <v>0.1532833020637899</v>
      </c>
      <c r="E27">
        <v>0</v>
      </c>
      <c r="F27">
        <v>2.1763602251407131E-2</v>
      </c>
      <c r="H27" s="62">
        <v>25</v>
      </c>
      <c r="I27" s="63">
        <v>45658</v>
      </c>
      <c r="J27">
        <v>1325</v>
      </c>
      <c r="K27">
        <v>817</v>
      </c>
      <c r="L27">
        <v>0</v>
      </c>
      <c r="M27">
        <v>5330</v>
      </c>
      <c r="N27">
        <v>116</v>
      </c>
    </row>
    <row r="28" spans="1:14">
      <c r="A28" s="62">
        <v>26</v>
      </c>
      <c r="B28" s="63">
        <v>45689</v>
      </c>
      <c r="C28">
        <v>0.25638210266264072</v>
      </c>
      <c r="D28">
        <v>0.15536645621740319</v>
      </c>
      <c r="E28">
        <v>0</v>
      </c>
      <c r="F28">
        <v>2.7998902003842991E-2</v>
      </c>
      <c r="H28" s="62">
        <v>26</v>
      </c>
      <c r="I28" s="63">
        <v>45689</v>
      </c>
      <c r="J28">
        <v>934</v>
      </c>
      <c r="K28">
        <v>566</v>
      </c>
      <c r="L28">
        <v>0</v>
      </c>
      <c r="M28">
        <v>3643</v>
      </c>
      <c r="N28">
        <v>102</v>
      </c>
    </row>
    <row r="29" spans="1:14">
      <c r="A29" s="62">
        <v>27</v>
      </c>
      <c r="B29" s="63">
        <v>45717</v>
      </c>
      <c r="C29">
        <v>0.25739089629282019</v>
      </c>
      <c r="D29">
        <v>0.1264664476771469</v>
      </c>
      <c r="E29">
        <v>0</v>
      </c>
      <c r="F29">
        <v>2.6278742374472079E-2</v>
      </c>
      <c r="H29" s="62">
        <v>27</v>
      </c>
      <c r="I29" s="63">
        <v>45717</v>
      </c>
      <c r="J29">
        <v>1097</v>
      </c>
      <c r="K29">
        <v>539</v>
      </c>
      <c r="L29">
        <v>0</v>
      </c>
      <c r="M29">
        <v>4262</v>
      </c>
      <c r="N29">
        <v>112</v>
      </c>
    </row>
    <row r="30" spans="1:14">
      <c r="A30" s="62">
        <v>28</v>
      </c>
      <c r="B30" s="63">
        <v>45748</v>
      </c>
      <c r="C30">
        <v>0.31634485855410871</v>
      </c>
      <c r="D30">
        <v>0.1084418500224517</v>
      </c>
      <c r="E30">
        <v>0</v>
      </c>
      <c r="F30">
        <v>1.6614279299506061E-2</v>
      </c>
      <c r="H30" s="62">
        <v>28</v>
      </c>
      <c r="I30" s="63">
        <v>45748</v>
      </c>
      <c r="J30">
        <v>1409</v>
      </c>
      <c r="K30">
        <v>483</v>
      </c>
      <c r="L30">
        <v>0</v>
      </c>
      <c r="M30">
        <v>4454</v>
      </c>
      <c r="N30">
        <v>74</v>
      </c>
    </row>
    <row r="31" spans="1:14">
      <c r="A31" s="62">
        <v>29</v>
      </c>
      <c r="B31" s="63">
        <v>45778</v>
      </c>
      <c r="C31">
        <v>0.19230769230769229</v>
      </c>
      <c r="D31">
        <v>9.0365944734876774E-2</v>
      </c>
      <c r="E31">
        <v>0</v>
      </c>
      <c r="F31">
        <v>1.568334578043316E-2</v>
      </c>
      <c r="H31" s="62">
        <v>29</v>
      </c>
      <c r="I31" s="63">
        <v>45778</v>
      </c>
      <c r="J31">
        <v>515</v>
      </c>
      <c r="K31">
        <v>242</v>
      </c>
      <c r="L31">
        <v>0</v>
      </c>
      <c r="M31">
        <v>2678</v>
      </c>
      <c r="N31">
        <v>42</v>
      </c>
    </row>
    <row r="32" spans="1:14">
      <c r="A32" s="62">
        <v>30</v>
      </c>
      <c r="B32" s="63">
        <v>45809</v>
      </c>
      <c r="C32">
        <v>0.19392123287671231</v>
      </c>
      <c r="D32">
        <v>8.3476027397260275E-2</v>
      </c>
      <c r="E32">
        <v>0</v>
      </c>
      <c r="F32">
        <v>1.7123287671232879E-2</v>
      </c>
      <c r="H32" s="62">
        <v>30</v>
      </c>
      <c r="I32" s="63">
        <v>45809</v>
      </c>
      <c r="J32">
        <v>453</v>
      </c>
      <c r="K32">
        <v>195</v>
      </c>
      <c r="L32">
        <v>0</v>
      </c>
      <c r="M32">
        <v>2336</v>
      </c>
      <c r="N32">
        <v>40</v>
      </c>
    </row>
    <row r="33" spans="1:14">
      <c r="A33" s="62">
        <v>31</v>
      </c>
      <c r="B33" s="63">
        <v>45839</v>
      </c>
      <c r="C33">
        <v>0.26991317478293703</v>
      </c>
      <c r="D33">
        <v>9.6262740656851642E-2</v>
      </c>
      <c r="E33">
        <v>7.5500188750471874E-4</v>
      </c>
      <c r="F33">
        <v>1.9630049075122689E-2</v>
      </c>
      <c r="H33" s="62">
        <v>31</v>
      </c>
      <c r="I33" s="63">
        <v>45839</v>
      </c>
      <c r="J33">
        <v>715</v>
      </c>
      <c r="K33">
        <v>255</v>
      </c>
      <c r="L33">
        <v>2</v>
      </c>
      <c r="M33">
        <v>2649</v>
      </c>
      <c r="N33">
        <v>52</v>
      </c>
    </row>
    <row r="34" spans="1:14">
      <c r="A34" s="62">
        <v>32</v>
      </c>
      <c r="B34" s="63">
        <v>45870</v>
      </c>
      <c r="C34">
        <v>0.19503722084367239</v>
      </c>
      <c r="D34">
        <v>8.2878411910669969E-2</v>
      </c>
      <c r="E34">
        <v>1.786600496277916E-2</v>
      </c>
      <c r="F34">
        <v>2.0347394540942931E-2</v>
      </c>
      <c r="H34" s="62">
        <v>32</v>
      </c>
      <c r="I34" s="63">
        <v>45870</v>
      </c>
      <c r="J34">
        <v>393</v>
      </c>
      <c r="K34">
        <v>167</v>
      </c>
      <c r="L34">
        <v>36</v>
      </c>
      <c r="M34">
        <v>2015</v>
      </c>
      <c r="N34">
        <v>41</v>
      </c>
    </row>
    <row r="35" spans="1:14">
      <c r="A35" s="62">
        <v>33</v>
      </c>
      <c r="B35" s="63">
        <v>45901</v>
      </c>
      <c r="C35">
        <v>0.1248741188318228</v>
      </c>
      <c r="D35">
        <v>7.3514602215508554E-2</v>
      </c>
      <c r="E35">
        <v>1.1581067472306141E-2</v>
      </c>
      <c r="F35">
        <v>1.7875125881168179E-2</v>
      </c>
      <c r="H35" s="62">
        <v>33</v>
      </c>
      <c r="I35" s="63">
        <v>45901</v>
      </c>
      <c r="J35">
        <v>496</v>
      </c>
      <c r="K35">
        <v>292</v>
      </c>
      <c r="L35">
        <v>46</v>
      </c>
      <c r="M35">
        <v>3972</v>
      </c>
      <c r="N35">
        <v>71</v>
      </c>
    </row>
    <row r="36" spans="1:14">
      <c r="A36" s="62">
        <v>34</v>
      </c>
      <c r="B36" s="63">
        <v>45931</v>
      </c>
      <c r="C36">
        <v>0.1675353685778109</v>
      </c>
      <c r="D36">
        <v>7.5452965996525193E-2</v>
      </c>
      <c r="E36">
        <v>4.7158103747828254E-3</v>
      </c>
      <c r="F36">
        <v>1.0176222387689249E-2</v>
      </c>
      <c r="H36" s="62">
        <v>34</v>
      </c>
      <c r="I36" s="63">
        <v>45931</v>
      </c>
      <c r="J36">
        <v>675</v>
      </c>
      <c r="K36">
        <v>304</v>
      </c>
      <c r="L36">
        <v>19</v>
      </c>
      <c r="M36">
        <v>4029</v>
      </c>
      <c r="N36">
        <v>41</v>
      </c>
    </row>
    <row r="37" spans="1:14">
      <c r="A37" s="62">
        <v>35</v>
      </c>
      <c r="B37" s="63">
        <v>45962</v>
      </c>
      <c r="C37">
        <v>0.14640883977900551</v>
      </c>
      <c r="D37">
        <v>7.4980268350434101E-2</v>
      </c>
      <c r="E37">
        <v>7.8926598263614842E-3</v>
      </c>
      <c r="F37">
        <v>1.3417521704814519E-2</v>
      </c>
      <c r="H37" s="62">
        <v>35</v>
      </c>
      <c r="I37" s="63">
        <v>45962</v>
      </c>
      <c r="J37">
        <v>371</v>
      </c>
      <c r="K37">
        <v>190</v>
      </c>
      <c r="L37">
        <v>20</v>
      </c>
      <c r="M37">
        <v>2534</v>
      </c>
      <c r="N37">
        <v>34</v>
      </c>
    </row>
    <row r="38" spans="1:14">
      <c r="A38" s="62">
        <v>36</v>
      </c>
      <c r="B38" s="63">
        <v>45992</v>
      </c>
      <c r="C38">
        <v>0.1263440860215054</v>
      </c>
      <c r="D38">
        <v>0.1095430107526882</v>
      </c>
      <c r="E38">
        <v>4.7043010752688174E-3</v>
      </c>
      <c r="F38">
        <v>1.0080645161290321E-2</v>
      </c>
      <c r="H38" s="62">
        <v>36</v>
      </c>
      <c r="I38" s="63">
        <v>45992</v>
      </c>
      <c r="J38">
        <v>376</v>
      </c>
      <c r="K38">
        <v>326</v>
      </c>
      <c r="L38">
        <v>14</v>
      </c>
      <c r="M38">
        <v>2976</v>
      </c>
      <c r="N38">
        <v>30</v>
      </c>
    </row>
    <row r="39" spans="1:14" s="66" customFormat="1">
      <c r="A39" s="64">
        <v>37</v>
      </c>
      <c r="B39" s="65">
        <v>46023</v>
      </c>
      <c r="C39" s="66">
        <v>0.1228457799381352</v>
      </c>
      <c r="D39" s="66">
        <v>0.13698630136986301</v>
      </c>
      <c r="E39" s="66">
        <v>6.1864781263809114E-3</v>
      </c>
      <c r="F39" s="66">
        <v>1.016349977905435E-2</v>
      </c>
      <c r="H39" s="64">
        <v>37</v>
      </c>
      <c r="I39" s="65">
        <v>46023</v>
      </c>
      <c r="J39" s="66">
        <v>278</v>
      </c>
      <c r="K39" s="66">
        <v>310</v>
      </c>
      <c r="L39" s="66">
        <v>14</v>
      </c>
      <c r="M39" s="66">
        <v>2263</v>
      </c>
      <c r="N39" s="66">
        <v>23</v>
      </c>
    </row>
    <row r="40" spans="1:14" s="66" customFormat="1">
      <c r="A40" s="64">
        <v>38</v>
      </c>
      <c r="B40" s="65">
        <v>46054</v>
      </c>
      <c r="C40" s="66">
        <v>0.1255946717411989</v>
      </c>
      <c r="D40" s="66">
        <v>0.13320647002854419</v>
      </c>
      <c r="E40" s="66">
        <v>2.85442435775452E-3</v>
      </c>
      <c r="F40" s="66">
        <v>1.04662226450999E-2</v>
      </c>
      <c r="H40" s="64">
        <v>38</v>
      </c>
      <c r="I40" s="65">
        <v>46054</v>
      </c>
      <c r="J40" s="66">
        <v>264</v>
      </c>
      <c r="K40" s="66">
        <v>280</v>
      </c>
      <c r="L40" s="66">
        <v>6</v>
      </c>
      <c r="M40" s="66">
        <v>2102</v>
      </c>
      <c r="N40" s="66">
        <v>22</v>
      </c>
    </row>
    <row r="41" spans="1:14" s="66" customFormat="1">
      <c r="A41" s="64">
        <v>39</v>
      </c>
      <c r="B41" s="65">
        <v>46082</v>
      </c>
      <c r="C41" s="66">
        <v>0.1342031686859273</v>
      </c>
      <c r="D41" s="66">
        <v>0.15517241379310351</v>
      </c>
      <c r="E41" s="66">
        <v>6.9897483690587138E-3</v>
      </c>
      <c r="F41" s="66">
        <v>1.3047530288909599E-2</v>
      </c>
      <c r="H41" s="64">
        <v>39</v>
      </c>
      <c r="I41" s="65">
        <v>46082</v>
      </c>
      <c r="J41" s="66">
        <v>288</v>
      </c>
      <c r="K41" s="66">
        <v>333</v>
      </c>
      <c r="L41" s="66">
        <v>15</v>
      </c>
      <c r="M41" s="66">
        <v>2146</v>
      </c>
      <c r="N41" s="66">
        <v>28</v>
      </c>
    </row>
    <row r="42" spans="1:14" s="66" customFormat="1">
      <c r="A42" s="64">
        <v>40</v>
      </c>
      <c r="B42" s="65">
        <v>46113</v>
      </c>
      <c r="C42" s="66">
        <v>0.21121416526138281</v>
      </c>
      <c r="D42" s="66">
        <v>0.15851602023608771</v>
      </c>
      <c r="E42" s="66">
        <v>2.951096121416526E-3</v>
      </c>
      <c r="F42" s="66">
        <v>3.7942664418212481E-3</v>
      </c>
      <c r="H42" s="64">
        <v>40</v>
      </c>
      <c r="I42" s="65">
        <v>46113</v>
      </c>
      <c r="J42" s="66">
        <v>501</v>
      </c>
      <c r="K42" s="66">
        <v>376</v>
      </c>
      <c r="L42" s="66">
        <v>7</v>
      </c>
      <c r="M42" s="66">
        <v>2372</v>
      </c>
      <c r="N42" s="66">
        <v>9</v>
      </c>
    </row>
    <row r="43" spans="1:14" s="66" customFormat="1">
      <c r="A43" s="64">
        <v>41</v>
      </c>
      <c r="B43" s="65">
        <v>46143</v>
      </c>
      <c r="C43" s="66">
        <v>0.1087087087087087</v>
      </c>
      <c r="D43" s="66">
        <v>0.1705705705705706</v>
      </c>
      <c r="E43" s="66">
        <v>4.8048048048048048E-2</v>
      </c>
      <c r="F43" s="66">
        <v>9.0090090090090089E-3</v>
      </c>
      <c r="H43" s="64">
        <v>41</v>
      </c>
      <c r="I43" s="65">
        <v>46143</v>
      </c>
      <c r="J43" s="66">
        <v>181</v>
      </c>
      <c r="K43" s="66">
        <v>284</v>
      </c>
      <c r="L43" s="66">
        <v>80</v>
      </c>
      <c r="M43" s="66">
        <v>1665</v>
      </c>
      <c r="N43" s="66">
        <v>15</v>
      </c>
    </row>
    <row r="44" spans="1:14">
      <c r="A44" s="62">
        <v>42</v>
      </c>
      <c r="B44" s="63">
        <v>46174</v>
      </c>
      <c r="C44">
        <v>0.10444444444444451</v>
      </c>
      <c r="D44">
        <v>0.1822222222222222</v>
      </c>
      <c r="E44">
        <v>7.1111111111111111E-2</v>
      </c>
      <c r="F44">
        <v>8.8888888888888889E-3</v>
      </c>
      <c r="H44" s="62">
        <v>42</v>
      </c>
      <c r="I44" s="63">
        <v>46174</v>
      </c>
      <c r="J44">
        <v>47</v>
      </c>
      <c r="K44">
        <v>82</v>
      </c>
      <c r="L44">
        <v>32</v>
      </c>
      <c r="M44">
        <v>450</v>
      </c>
      <c r="N44">
        <v>4</v>
      </c>
    </row>
    <row r="46" spans="1:14">
      <c r="C46" s="67">
        <f>AVERAGE(C39:C43)</f>
        <v>0.14051329886707059</v>
      </c>
      <c r="D46" s="67">
        <f>AVERAGE(D39:D43)</f>
        <v>0.15089035519963379</v>
      </c>
      <c r="J46" s="68">
        <f>AVERAGE(J39:J43)</f>
        <v>302.39999999999998</v>
      </c>
      <c r="K46" s="68">
        <f>AVERAGE(K39:K43)</f>
        <v>316.60000000000002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A8B89-CF3D-F64F-A07A-1E59C11791E6}">
  <dimension ref="A1:AR39"/>
  <sheetViews>
    <sheetView workbookViewId="0">
      <selection activeCell="AH39" sqref="AH39"/>
    </sheetView>
  </sheetViews>
  <sheetFormatPr baseColWidth="10" defaultColWidth="8.83203125" defaultRowHeight="16"/>
  <cols>
    <col min="2" max="2" width="11.1640625" customWidth="1"/>
    <col min="12" max="12" width="8.83203125" style="140"/>
    <col min="24" max="24" width="10.5" customWidth="1"/>
    <col min="34" max="34" width="8.83203125" style="140"/>
  </cols>
  <sheetData>
    <row r="1" spans="1:44">
      <c r="B1" t="s">
        <v>168</v>
      </c>
      <c r="X1" t="s">
        <v>167</v>
      </c>
    </row>
    <row r="2" spans="1:44" s="5" customFormat="1" ht="80">
      <c r="B2" s="141" t="s">
        <v>147</v>
      </c>
      <c r="C2" s="141" t="s">
        <v>148</v>
      </c>
      <c r="D2" s="141" t="s">
        <v>149</v>
      </c>
      <c r="E2" s="141" t="s">
        <v>150</v>
      </c>
      <c r="F2" s="141" t="s">
        <v>151</v>
      </c>
      <c r="G2" s="141" t="s">
        <v>152</v>
      </c>
      <c r="H2" s="141" t="s">
        <v>153</v>
      </c>
      <c r="I2" s="141" t="s">
        <v>154</v>
      </c>
      <c r="J2" s="141" t="s">
        <v>155</v>
      </c>
      <c r="K2" s="141" t="s">
        <v>156</v>
      </c>
      <c r="L2" s="144" t="s">
        <v>157</v>
      </c>
      <c r="M2" s="141" t="s">
        <v>158</v>
      </c>
      <c r="N2" s="141" t="s">
        <v>159</v>
      </c>
      <c r="O2" s="141" t="s">
        <v>160</v>
      </c>
      <c r="P2" s="141" t="s">
        <v>161</v>
      </c>
      <c r="Q2" s="141" t="s">
        <v>162</v>
      </c>
      <c r="R2" s="141" t="s">
        <v>163</v>
      </c>
      <c r="S2" s="141" t="s">
        <v>164</v>
      </c>
      <c r="T2" s="141" t="s">
        <v>165</v>
      </c>
      <c r="U2" s="141" t="s">
        <v>166</v>
      </c>
      <c r="V2" s="5" t="s">
        <v>126</v>
      </c>
      <c r="X2" s="141" t="s">
        <v>147</v>
      </c>
      <c r="Y2" s="141" t="s">
        <v>148</v>
      </c>
      <c r="Z2" s="141" t="s">
        <v>149</v>
      </c>
      <c r="AA2" s="141" t="s">
        <v>150</v>
      </c>
      <c r="AB2" s="141" t="s">
        <v>151</v>
      </c>
      <c r="AC2" s="141" t="s">
        <v>152</v>
      </c>
      <c r="AD2" s="141" t="s">
        <v>153</v>
      </c>
      <c r="AE2" s="141" t="s">
        <v>154</v>
      </c>
      <c r="AF2" s="141" t="s">
        <v>155</v>
      </c>
      <c r="AG2" s="141" t="s">
        <v>156</v>
      </c>
      <c r="AH2" s="144" t="s">
        <v>157</v>
      </c>
      <c r="AI2" s="141" t="s">
        <v>158</v>
      </c>
      <c r="AJ2" s="141" t="s">
        <v>159</v>
      </c>
      <c r="AK2" s="141" t="s">
        <v>160</v>
      </c>
      <c r="AL2" s="141" t="s">
        <v>161</v>
      </c>
      <c r="AM2" s="141" t="s">
        <v>162</v>
      </c>
      <c r="AN2" s="141" t="s">
        <v>163</v>
      </c>
      <c r="AO2" s="141" t="s">
        <v>164</v>
      </c>
      <c r="AP2" s="141" t="s">
        <v>165</v>
      </c>
      <c r="AQ2" s="141" t="s">
        <v>166</v>
      </c>
      <c r="AR2" s="5" t="s">
        <v>126</v>
      </c>
    </row>
    <row r="3" spans="1:44">
      <c r="A3" s="62">
        <v>0</v>
      </c>
      <c r="B3" s="63">
        <v>45139</v>
      </c>
      <c r="J3">
        <v>15000</v>
      </c>
      <c r="W3" s="62">
        <v>0</v>
      </c>
      <c r="X3" s="63">
        <v>45139</v>
      </c>
      <c r="AF3">
        <v>3</v>
      </c>
    </row>
    <row r="4" spans="1:44">
      <c r="A4" s="62">
        <v>1</v>
      </c>
      <c r="B4" s="63">
        <v>45170</v>
      </c>
      <c r="J4">
        <v>335000</v>
      </c>
      <c r="W4" s="62">
        <v>1</v>
      </c>
      <c r="X4" s="63">
        <v>45170</v>
      </c>
      <c r="AF4">
        <v>67</v>
      </c>
    </row>
    <row r="5" spans="1:44">
      <c r="A5" s="62">
        <v>2</v>
      </c>
      <c r="B5" s="63">
        <v>45200</v>
      </c>
      <c r="J5">
        <v>630000</v>
      </c>
      <c r="W5" s="62">
        <v>2</v>
      </c>
      <c r="X5" s="63">
        <v>45200</v>
      </c>
      <c r="AF5">
        <v>126</v>
      </c>
    </row>
    <row r="6" spans="1:44">
      <c r="A6" s="62">
        <v>3</v>
      </c>
      <c r="B6" s="63">
        <v>45231</v>
      </c>
      <c r="J6">
        <v>695000</v>
      </c>
      <c r="W6" s="62">
        <v>3</v>
      </c>
      <c r="X6" s="63">
        <v>45231</v>
      </c>
      <c r="AF6">
        <v>139</v>
      </c>
    </row>
    <row r="7" spans="1:44">
      <c r="A7" s="62">
        <v>4</v>
      </c>
      <c r="B7" s="63">
        <v>45261</v>
      </c>
      <c r="I7">
        <v>48000</v>
      </c>
      <c r="J7">
        <v>720000</v>
      </c>
      <c r="W7" s="62">
        <v>4</v>
      </c>
      <c r="X7" s="63">
        <v>45261</v>
      </c>
      <c r="AE7">
        <v>1</v>
      </c>
      <c r="AF7">
        <v>144</v>
      </c>
    </row>
    <row r="8" spans="1:44">
      <c r="A8" s="62">
        <v>5</v>
      </c>
      <c r="B8" s="63">
        <v>45292</v>
      </c>
      <c r="I8">
        <v>48000</v>
      </c>
      <c r="J8">
        <v>720000</v>
      </c>
      <c r="W8" s="62">
        <v>5</v>
      </c>
      <c r="X8" s="63">
        <v>45292</v>
      </c>
      <c r="AE8">
        <v>1</v>
      </c>
      <c r="AF8">
        <v>144</v>
      </c>
    </row>
    <row r="9" spans="1:44">
      <c r="A9" s="62">
        <v>6</v>
      </c>
      <c r="B9" s="63">
        <v>45323</v>
      </c>
      <c r="I9">
        <v>96000</v>
      </c>
      <c r="J9">
        <v>840000</v>
      </c>
      <c r="W9" s="62">
        <v>6</v>
      </c>
      <c r="X9" s="63">
        <v>45323</v>
      </c>
      <c r="AE9">
        <v>2</v>
      </c>
      <c r="AF9">
        <v>168</v>
      </c>
    </row>
    <row r="10" spans="1:44">
      <c r="A10" s="62">
        <v>7</v>
      </c>
      <c r="B10" s="63">
        <v>45352</v>
      </c>
      <c r="I10">
        <v>48000</v>
      </c>
      <c r="J10">
        <v>940000</v>
      </c>
      <c r="W10" s="62">
        <v>7</v>
      </c>
      <c r="X10" s="63">
        <v>45352</v>
      </c>
      <c r="AE10">
        <v>1</v>
      </c>
      <c r="AF10">
        <v>188</v>
      </c>
    </row>
    <row r="11" spans="1:44">
      <c r="A11" s="62">
        <v>8</v>
      </c>
      <c r="B11" s="63">
        <v>45383</v>
      </c>
      <c r="I11">
        <v>48000</v>
      </c>
      <c r="J11">
        <v>760000</v>
      </c>
      <c r="W11" s="62">
        <v>8</v>
      </c>
      <c r="X11" s="63">
        <v>45383</v>
      </c>
      <c r="AE11">
        <v>1</v>
      </c>
      <c r="AF11">
        <v>152</v>
      </c>
    </row>
    <row r="12" spans="1:44">
      <c r="A12" s="62">
        <v>9</v>
      </c>
      <c r="B12" s="63">
        <v>45413</v>
      </c>
      <c r="I12">
        <v>48000</v>
      </c>
      <c r="J12">
        <v>625000</v>
      </c>
      <c r="W12" s="62">
        <v>9</v>
      </c>
      <c r="X12" s="63">
        <v>45413</v>
      </c>
      <c r="AE12">
        <v>1</v>
      </c>
      <c r="AF12">
        <v>125</v>
      </c>
    </row>
    <row r="13" spans="1:44">
      <c r="A13" s="62">
        <v>10</v>
      </c>
      <c r="B13" s="63">
        <v>45444</v>
      </c>
      <c r="I13">
        <v>48000</v>
      </c>
      <c r="J13">
        <v>550000</v>
      </c>
      <c r="W13" s="62">
        <v>10</v>
      </c>
      <c r="X13" s="63">
        <v>45444</v>
      </c>
      <c r="AE13">
        <v>1</v>
      </c>
      <c r="AF13">
        <v>110</v>
      </c>
    </row>
    <row r="14" spans="1:44">
      <c r="A14" s="62">
        <v>11</v>
      </c>
      <c r="B14" s="63">
        <v>45474</v>
      </c>
      <c r="J14">
        <v>570000</v>
      </c>
      <c r="K14">
        <v>45000</v>
      </c>
      <c r="W14" s="62">
        <v>11</v>
      </c>
      <c r="X14" s="63">
        <v>45474</v>
      </c>
      <c r="AF14">
        <v>114</v>
      </c>
      <c r="AG14">
        <v>6</v>
      </c>
    </row>
    <row r="15" spans="1:44">
      <c r="A15" s="62">
        <v>12</v>
      </c>
      <c r="B15" s="63">
        <v>45505</v>
      </c>
      <c r="I15">
        <v>48000</v>
      </c>
      <c r="J15">
        <v>520000</v>
      </c>
      <c r="K15">
        <v>67500</v>
      </c>
      <c r="W15" s="62">
        <v>12</v>
      </c>
      <c r="X15" s="63">
        <v>45505</v>
      </c>
      <c r="AE15">
        <v>1</v>
      </c>
      <c r="AF15">
        <v>104</v>
      </c>
      <c r="AG15">
        <v>9</v>
      </c>
    </row>
    <row r="16" spans="1:44">
      <c r="A16" s="62">
        <v>13</v>
      </c>
      <c r="B16" s="63">
        <v>45536</v>
      </c>
      <c r="J16">
        <v>525000</v>
      </c>
      <c r="K16">
        <v>45000</v>
      </c>
      <c r="W16" s="62">
        <v>13</v>
      </c>
      <c r="X16" s="63">
        <v>45536</v>
      </c>
      <c r="AF16">
        <v>105</v>
      </c>
      <c r="AG16">
        <v>6</v>
      </c>
    </row>
    <row r="17" spans="1:43">
      <c r="A17" s="62">
        <v>14</v>
      </c>
      <c r="B17" s="63">
        <v>45566</v>
      </c>
      <c r="C17">
        <v>300</v>
      </c>
      <c r="E17">
        <v>30000</v>
      </c>
      <c r="F17">
        <v>1056000</v>
      </c>
      <c r="J17">
        <v>375000</v>
      </c>
      <c r="K17">
        <v>30000</v>
      </c>
      <c r="W17" s="62">
        <v>14</v>
      </c>
      <c r="X17" s="63">
        <v>45566</v>
      </c>
      <c r="Y17">
        <v>3</v>
      </c>
      <c r="AA17">
        <v>1</v>
      </c>
      <c r="AB17">
        <v>22</v>
      </c>
      <c r="AF17">
        <v>75</v>
      </c>
      <c r="AG17">
        <v>4</v>
      </c>
    </row>
    <row r="18" spans="1:43">
      <c r="A18" s="62">
        <v>15</v>
      </c>
      <c r="B18" s="63">
        <v>45597</v>
      </c>
      <c r="D18">
        <v>100500</v>
      </c>
      <c r="F18">
        <v>2016000</v>
      </c>
      <c r="H18">
        <v>160000</v>
      </c>
      <c r="J18">
        <v>185000</v>
      </c>
      <c r="K18">
        <v>30000</v>
      </c>
      <c r="W18" s="62">
        <v>15</v>
      </c>
      <c r="X18" s="63">
        <v>45597</v>
      </c>
      <c r="Z18">
        <v>5</v>
      </c>
      <c r="AB18">
        <v>42</v>
      </c>
      <c r="AD18">
        <v>16</v>
      </c>
      <c r="AF18">
        <v>37</v>
      </c>
      <c r="AG18">
        <v>4</v>
      </c>
    </row>
    <row r="19" spans="1:43">
      <c r="A19" s="62">
        <v>16</v>
      </c>
      <c r="B19" s="63">
        <v>45627</v>
      </c>
      <c r="D19">
        <v>20100</v>
      </c>
      <c r="F19">
        <v>1632000</v>
      </c>
      <c r="G19">
        <v>107997</v>
      </c>
      <c r="H19">
        <v>140000</v>
      </c>
      <c r="J19">
        <v>140000</v>
      </c>
      <c r="W19" s="62">
        <v>16</v>
      </c>
      <c r="X19" s="63">
        <v>45627</v>
      </c>
      <c r="Z19">
        <v>1</v>
      </c>
      <c r="AB19">
        <v>34</v>
      </c>
      <c r="AC19">
        <v>3</v>
      </c>
      <c r="AD19">
        <v>14</v>
      </c>
      <c r="AF19">
        <v>28</v>
      </c>
    </row>
    <row r="20" spans="1:43">
      <c r="A20" s="62">
        <v>17</v>
      </c>
      <c r="B20" s="63">
        <v>45658</v>
      </c>
      <c r="D20">
        <v>20100</v>
      </c>
      <c r="E20">
        <v>30000</v>
      </c>
      <c r="F20">
        <v>1872000</v>
      </c>
      <c r="H20">
        <v>140000</v>
      </c>
      <c r="J20">
        <v>105000</v>
      </c>
      <c r="W20" s="62">
        <v>17</v>
      </c>
      <c r="X20" s="63">
        <v>45658</v>
      </c>
      <c r="Z20">
        <v>1</v>
      </c>
      <c r="AA20">
        <v>1</v>
      </c>
      <c r="AB20">
        <v>39</v>
      </c>
      <c r="AD20">
        <v>14</v>
      </c>
      <c r="AF20">
        <v>21</v>
      </c>
    </row>
    <row r="21" spans="1:43">
      <c r="A21" s="62">
        <v>18</v>
      </c>
      <c r="B21" s="63">
        <v>45689</v>
      </c>
      <c r="D21">
        <v>80400</v>
      </c>
      <c r="E21">
        <v>60000</v>
      </c>
      <c r="F21">
        <v>528000</v>
      </c>
      <c r="G21">
        <v>107997</v>
      </c>
      <c r="H21">
        <v>140000</v>
      </c>
      <c r="J21">
        <v>95000</v>
      </c>
      <c r="W21" s="62">
        <v>18</v>
      </c>
      <c r="X21" s="63">
        <v>45689</v>
      </c>
      <c r="Z21">
        <v>4</v>
      </c>
      <c r="AA21">
        <v>2</v>
      </c>
      <c r="AB21">
        <v>11</v>
      </c>
      <c r="AC21">
        <v>3</v>
      </c>
      <c r="AD21">
        <v>14</v>
      </c>
      <c r="AF21">
        <v>19</v>
      </c>
    </row>
    <row r="22" spans="1:43">
      <c r="A22" s="62">
        <v>19</v>
      </c>
      <c r="B22" s="63">
        <v>45717</v>
      </c>
      <c r="D22">
        <v>80400</v>
      </c>
      <c r="E22">
        <v>60000</v>
      </c>
      <c r="F22">
        <v>192000</v>
      </c>
      <c r="G22">
        <v>251993</v>
      </c>
      <c r="H22">
        <v>270000</v>
      </c>
      <c r="J22">
        <v>65000</v>
      </c>
      <c r="N22">
        <v>125958</v>
      </c>
      <c r="Q22">
        <v>115942</v>
      </c>
      <c r="W22" s="62">
        <v>19</v>
      </c>
      <c r="X22" s="63">
        <v>45717</v>
      </c>
      <c r="Z22">
        <v>4</v>
      </c>
      <c r="AA22">
        <v>2</v>
      </c>
      <c r="AB22">
        <v>4</v>
      </c>
      <c r="AC22">
        <v>7</v>
      </c>
      <c r="AD22">
        <v>27</v>
      </c>
      <c r="AF22">
        <v>13</v>
      </c>
      <c r="AJ22">
        <v>42</v>
      </c>
      <c r="AM22">
        <v>58</v>
      </c>
    </row>
    <row r="23" spans="1:43">
      <c r="A23" s="62">
        <v>20</v>
      </c>
      <c r="B23" s="63">
        <v>45748</v>
      </c>
      <c r="D23">
        <v>40200</v>
      </c>
      <c r="E23">
        <v>60000</v>
      </c>
      <c r="F23">
        <v>96000</v>
      </c>
      <c r="H23">
        <v>190000</v>
      </c>
      <c r="J23">
        <v>50000</v>
      </c>
      <c r="N23">
        <v>212929</v>
      </c>
      <c r="Q23">
        <v>75962</v>
      </c>
      <c r="W23" s="62">
        <v>20</v>
      </c>
      <c r="X23" s="63">
        <v>45748</v>
      </c>
      <c r="Z23">
        <v>2</v>
      </c>
      <c r="AA23">
        <v>2</v>
      </c>
      <c r="AB23">
        <v>2</v>
      </c>
      <c r="AD23">
        <v>19</v>
      </c>
      <c r="AF23">
        <v>10</v>
      </c>
      <c r="AJ23">
        <v>71</v>
      </c>
      <c r="AM23">
        <v>38</v>
      </c>
    </row>
    <row r="24" spans="1:43">
      <c r="A24" s="62">
        <v>21</v>
      </c>
      <c r="B24" s="63">
        <v>45778</v>
      </c>
      <c r="D24">
        <v>40200</v>
      </c>
      <c r="F24">
        <v>96000</v>
      </c>
      <c r="G24">
        <v>35999</v>
      </c>
      <c r="H24">
        <v>190000</v>
      </c>
      <c r="J24">
        <v>50000</v>
      </c>
      <c r="N24">
        <v>203932</v>
      </c>
      <c r="Q24">
        <v>71964</v>
      </c>
      <c r="W24" s="62">
        <v>21</v>
      </c>
      <c r="X24" s="63">
        <v>45778</v>
      </c>
      <c r="Z24">
        <v>2</v>
      </c>
      <c r="AB24">
        <v>2</v>
      </c>
      <c r="AC24">
        <v>1</v>
      </c>
      <c r="AD24">
        <v>19</v>
      </c>
      <c r="AF24">
        <v>10</v>
      </c>
      <c r="AJ24">
        <v>68</v>
      </c>
      <c r="AM24">
        <v>36</v>
      </c>
    </row>
    <row r="25" spans="1:43">
      <c r="A25" s="62">
        <v>22</v>
      </c>
      <c r="B25" s="63">
        <v>45809</v>
      </c>
      <c r="D25">
        <v>80400</v>
      </c>
      <c r="F25">
        <v>48000</v>
      </c>
      <c r="H25">
        <v>160000</v>
      </c>
      <c r="J25">
        <v>40000</v>
      </c>
      <c r="N25">
        <v>143952</v>
      </c>
      <c r="O25">
        <v>29990</v>
      </c>
      <c r="P25">
        <v>9995</v>
      </c>
      <c r="Q25">
        <v>65967</v>
      </c>
      <c r="T25">
        <v>44985</v>
      </c>
      <c r="U25">
        <v>3998</v>
      </c>
      <c r="W25" s="62">
        <v>22</v>
      </c>
      <c r="X25" s="63">
        <v>45809</v>
      </c>
      <c r="Z25">
        <v>4</v>
      </c>
      <c r="AB25">
        <v>1</v>
      </c>
      <c r="AD25">
        <v>16</v>
      </c>
      <c r="AF25">
        <v>8</v>
      </c>
      <c r="AJ25">
        <v>48</v>
      </c>
      <c r="AK25">
        <v>10</v>
      </c>
      <c r="AL25">
        <v>5</v>
      </c>
      <c r="AM25">
        <v>33</v>
      </c>
      <c r="AP25">
        <v>15</v>
      </c>
      <c r="AQ25">
        <v>2</v>
      </c>
    </row>
    <row r="26" spans="1:43">
      <c r="A26" s="62">
        <v>23</v>
      </c>
      <c r="B26" s="63">
        <v>45839</v>
      </c>
      <c r="D26">
        <v>60300</v>
      </c>
      <c r="E26">
        <v>60000</v>
      </c>
      <c r="F26">
        <v>96000</v>
      </c>
      <c r="H26">
        <v>170000</v>
      </c>
      <c r="J26">
        <v>40000</v>
      </c>
      <c r="O26">
        <v>83972</v>
      </c>
      <c r="P26">
        <v>45977</v>
      </c>
      <c r="T26">
        <v>161946</v>
      </c>
      <c r="W26" s="62">
        <v>23</v>
      </c>
      <c r="X26" s="63">
        <v>45839</v>
      </c>
      <c r="Z26">
        <v>3</v>
      </c>
      <c r="AA26">
        <v>2</v>
      </c>
      <c r="AB26">
        <v>2</v>
      </c>
      <c r="AD26">
        <v>17</v>
      </c>
      <c r="AF26">
        <v>8</v>
      </c>
      <c r="AK26">
        <v>28</v>
      </c>
      <c r="AL26">
        <v>23</v>
      </c>
      <c r="AP26">
        <v>54</v>
      </c>
    </row>
    <row r="27" spans="1:43">
      <c r="A27" s="62">
        <v>24</v>
      </c>
      <c r="B27" s="63">
        <v>45870</v>
      </c>
      <c r="E27">
        <v>30000</v>
      </c>
      <c r="H27">
        <v>80000</v>
      </c>
      <c r="J27">
        <v>40000</v>
      </c>
      <c r="O27">
        <v>83972</v>
      </c>
      <c r="P27">
        <v>41979</v>
      </c>
      <c r="T27">
        <v>188937</v>
      </c>
      <c r="W27" s="62">
        <v>24</v>
      </c>
      <c r="X27" s="63">
        <v>45870</v>
      </c>
      <c r="AA27">
        <v>1</v>
      </c>
      <c r="AD27">
        <v>8</v>
      </c>
      <c r="AF27">
        <v>8</v>
      </c>
      <c r="AK27">
        <v>28</v>
      </c>
      <c r="AL27">
        <v>21</v>
      </c>
      <c r="AP27">
        <v>63</v>
      </c>
    </row>
    <row r="28" spans="1:43">
      <c r="A28" s="62">
        <v>25</v>
      </c>
      <c r="B28" s="63">
        <v>45901</v>
      </c>
      <c r="D28">
        <v>20100</v>
      </c>
      <c r="F28">
        <v>48000</v>
      </c>
      <c r="H28">
        <v>80000</v>
      </c>
      <c r="J28">
        <v>30000</v>
      </c>
      <c r="M28">
        <v>162000</v>
      </c>
      <c r="O28">
        <v>86971</v>
      </c>
      <c r="P28">
        <v>39980</v>
      </c>
      <c r="S28">
        <v>5243</v>
      </c>
      <c r="T28">
        <v>191936</v>
      </c>
      <c r="W28" s="62">
        <v>25</v>
      </c>
      <c r="X28" s="63">
        <v>45901</v>
      </c>
      <c r="Z28">
        <v>1</v>
      </c>
      <c r="AB28">
        <v>1</v>
      </c>
      <c r="AD28">
        <v>8</v>
      </c>
      <c r="AF28">
        <v>6</v>
      </c>
      <c r="AI28">
        <v>54</v>
      </c>
      <c r="AK28">
        <v>29</v>
      </c>
      <c r="AL28">
        <v>20</v>
      </c>
      <c r="AO28">
        <v>7</v>
      </c>
      <c r="AP28">
        <v>64</v>
      </c>
    </row>
    <row r="29" spans="1:43">
      <c r="A29" s="62">
        <v>26</v>
      </c>
      <c r="B29" s="63">
        <v>45931</v>
      </c>
      <c r="D29">
        <v>40200</v>
      </c>
      <c r="F29">
        <v>192000</v>
      </c>
      <c r="H29">
        <v>50000</v>
      </c>
      <c r="J29">
        <v>25000</v>
      </c>
      <c r="M29">
        <v>834000</v>
      </c>
      <c r="O29">
        <v>77974</v>
      </c>
      <c r="P29">
        <v>39980</v>
      </c>
      <c r="R29">
        <v>19992</v>
      </c>
      <c r="S29">
        <v>9737</v>
      </c>
      <c r="T29">
        <v>227924</v>
      </c>
      <c r="W29" s="62">
        <v>26</v>
      </c>
      <c r="X29" s="63">
        <v>45931</v>
      </c>
      <c r="Z29">
        <v>2</v>
      </c>
      <c r="AB29">
        <v>4</v>
      </c>
      <c r="AD29">
        <v>5</v>
      </c>
      <c r="AF29">
        <v>5</v>
      </c>
      <c r="AI29">
        <v>278</v>
      </c>
      <c r="AK29">
        <v>26</v>
      </c>
      <c r="AL29">
        <v>20</v>
      </c>
      <c r="AN29">
        <v>8</v>
      </c>
      <c r="AO29">
        <v>13</v>
      </c>
      <c r="AP29">
        <v>76</v>
      </c>
    </row>
    <row r="30" spans="1:43">
      <c r="A30" s="62">
        <v>27</v>
      </c>
      <c r="B30" s="63">
        <v>45962</v>
      </c>
      <c r="D30">
        <v>20100</v>
      </c>
      <c r="F30">
        <v>288000</v>
      </c>
      <c r="H30">
        <v>40000</v>
      </c>
      <c r="J30">
        <v>20000</v>
      </c>
      <c r="M30">
        <v>975000</v>
      </c>
      <c r="O30">
        <v>77974</v>
      </c>
      <c r="P30">
        <v>31984</v>
      </c>
      <c r="R30">
        <v>37485</v>
      </c>
      <c r="T30">
        <v>197934</v>
      </c>
      <c r="W30" s="62">
        <v>27</v>
      </c>
      <c r="X30" s="63">
        <v>45962</v>
      </c>
      <c r="Z30">
        <v>1</v>
      </c>
      <c r="AB30">
        <v>6</v>
      </c>
      <c r="AD30">
        <v>4</v>
      </c>
      <c r="AF30">
        <v>4</v>
      </c>
      <c r="AI30">
        <v>325</v>
      </c>
      <c r="AK30">
        <v>26</v>
      </c>
      <c r="AL30">
        <v>16</v>
      </c>
      <c r="AN30">
        <v>15</v>
      </c>
      <c r="AP30">
        <v>66</v>
      </c>
    </row>
    <row r="31" spans="1:43">
      <c r="A31" s="62">
        <v>28</v>
      </c>
      <c r="B31" s="63">
        <v>45992</v>
      </c>
      <c r="D31">
        <v>20100</v>
      </c>
      <c r="F31">
        <v>184529.96</v>
      </c>
      <c r="H31">
        <v>10000</v>
      </c>
      <c r="J31">
        <v>17024.8</v>
      </c>
      <c r="L31" s="140">
        <v>167844.6</v>
      </c>
      <c r="M31">
        <v>934466.69</v>
      </c>
      <c r="O31">
        <v>70976</v>
      </c>
      <c r="P31">
        <v>25987</v>
      </c>
      <c r="R31">
        <v>24391.119999999999</v>
      </c>
      <c r="T31">
        <v>217456.73</v>
      </c>
      <c r="W31" s="62">
        <v>28</v>
      </c>
      <c r="X31" s="63">
        <v>45992</v>
      </c>
      <c r="Z31">
        <v>1</v>
      </c>
      <c r="AB31">
        <v>6</v>
      </c>
      <c r="AD31">
        <v>1</v>
      </c>
      <c r="AF31">
        <v>4</v>
      </c>
      <c r="AH31" s="140">
        <v>54</v>
      </c>
      <c r="AI31">
        <v>329</v>
      </c>
      <c r="AK31">
        <v>24</v>
      </c>
      <c r="AL31">
        <v>13</v>
      </c>
      <c r="AN31">
        <v>10</v>
      </c>
      <c r="AP31">
        <v>74</v>
      </c>
    </row>
    <row r="32" spans="1:43" s="140" customFormat="1">
      <c r="A32" s="142">
        <v>29</v>
      </c>
      <c r="B32" s="143">
        <v>46023</v>
      </c>
      <c r="D32" s="140">
        <v>20100</v>
      </c>
      <c r="F32" s="140">
        <v>233105.99</v>
      </c>
      <c r="J32" s="140">
        <v>15000</v>
      </c>
      <c r="L32" s="140">
        <v>622092.50000000012</v>
      </c>
      <c r="M32" s="140">
        <v>894472.48999999987</v>
      </c>
      <c r="O32" s="140">
        <v>83089.13</v>
      </c>
      <c r="R32" s="140">
        <v>33194.81</v>
      </c>
      <c r="T32" s="140">
        <v>213944.3</v>
      </c>
      <c r="W32" s="142">
        <v>29</v>
      </c>
      <c r="X32" s="143">
        <v>46023</v>
      </c>
      <c r="Z32" s="140">
        <v>1</v>
      </c>
      <c r="AB32" s="140">
        <v>7</v>
      </c>
      <c r="AF32" s="140">
        <v>3</v>
      </c>
      <c r="AH32" s="140">
        <v>208</v>
      </c>
      <c r="AI32" s="140">
        <v>341</v>
      </c>
      <c r="AK32" s="140">
        <v>33</v>
      </c>
      <c r="AN32" s="140">
        <v>13</v>
      </c>
      <c r="AP32" s="140">
        <v>76</v>
      </c>
    </row>
    <row r="33" spans="1:44" s="140" customFormat="1">
      <c r="A33" s="142">
        <v>30</v>
      </c>
      <c r="B33" s="143">
        <v>46054</v>
      </c>
      <c r="F33" s="140">
        <v>151499.66</v>
      </c>
      <c r="I33" s="140">
        <v>48000</v>
      </c>
      <c r="J33" s="140">
        <v>15000</v>
      </c>
      <c r="L33" s="140">
        <v>583326.00999999989</v>
      </c>
      <c r="M33" s="140">
        <v>852573.53999999992</v>
      </c>
      <c r="O33" s="140">
        <v>84413.87000000001</v>
      </c>
      <c r="R33" s="140">
        <v>19992</v>
      </c>
      <c r="T33" s="140">
        <v>177148.99</v>
      </c>
      <c r="W33" s="142">
        <v>30</v>
      </c>
      <c r="X33" s="143">
        <v>46054</v>
      </c>
      <c r="AB33" s="140">
        <v>5</v>
      </c>
      <c r="AE33" s="140">
        <v>1</v>
      </c>
      <c r="AF33" s="140">
        <v>3</v>
      </c>
      <c r="AH33" s="140">
        <v>202</v>
      </c>
      <c r="AI33" s="140">
        <v>331</v>
      </c>
      <c r="AK33" s="140">
        <v>35</v>
      </c>
      <c r="AN33" s="140">
        <v>8</v>
      </c>
      <c r="AP33" s="140">
        <v>71</v>
      </c>
    </row>
    <row r="34" spans="1:44" s="140" customFormat="1">
      <c r="A34" s="142">
        <v>31</v>
      </c>
      <c r="B34" s="143">
        <v>46082</v>
      </c>
      <c r="F34" s="140">
        <v>26974.68</v>
      </c>
      <c r="J34" s="140">
        <v>10012.75</v>
      </c>
      <c r="L34" s="140">
        <v>669344.91999999993</v>
      </c>
      <c r="M34" s="140">
        <v>842216.02999999991</v>
      </c>
      <c r="O34" s="140">
        <v>71863.89</v>
      </c>
      <c r="R34" s="140">
        <v>22991</v>
      </c>
      <c r="T34" s="140">
        <v>202310.26</v>
      </c>
      <c r="W34" s="142">
        <v>31</v>
      </c>
      <c r="X34" s="143">
        <v>46082</v>
      </c>
      <c r="AB34" s="140">
        <v>2</v>
      </c>
      <c r="AF34" s="140">
        <v>3</v>
      </c>
      <c r="AH34" s="140">
        <v>234</v>
      </c>
      <c r="AI34" s="140">
        <v>324</v>
      </c>
      <c r="AK34" s="140">
        <v>30</v>
      </c>
      <c r="AN34" s="140">
        <v>9</v>
      </c>
      <c r="AP34" s="140">
        <v>76</v>
      </c>
    </row>
    <row r="35" spans="1:44" s="140" customFormat="1">
      <c r="A35" s="142">
        <v>32</v>
      </c>
      <c r="B35" s="143">
        <v>46113</v>
      </c>
      <c r="D35" s="140">
        <v>20100</v>
      </c>
      <c r="J35" s="140">
        <v>6433.75</v>
      </c>
      <c r="L35" s="140">
        <v>655249.57999999973</v>
      </c>
      <c r="M35" s="140">
        <v>911338.04999999993</v>
      </c>
      <c r="O35" s="140">
        <v>96695.4</v>
      </c>
      <c r="R35" s="140">
        <v>15494</v>
      </c>
      <c r="T35" s="140">
        <v>232764.62</v>
      </c>
      <c r="W35" s="142">
        <v>32</v>
      </c>
      <c r="X35" s="143">
        <v>46113</v>
      </c>
      <c r="Z35" s="140">
        <v>1</v>
      </c>
      <c r="AF35" s="140">
        <v>2</v>
      </c>
      <c r="AH35" s="140">
        <v>251</v>
      </c>
      <c r="AI35" s="140">
        <v>346</v>
      </c>
      <c r="AK35" s="140">
        <v>40</v>
      </c>
      <c r="AN35" s="140">
        <v>6</v>
      </c>
      <c r="AP35" s="140">
        <v>84</v>
      </c>
    </row>
    <row r="36" spans="1:44">
      <c r="A36" s="62">
        <v>33</v>
      </c>
      <c r="B36" s="63">
        <v>46143</v>
      </c>
      <c r="L36" s="140">
        <v>45733.16</v>
      </c>
      <c r="M36">
        <v>75328.759999999995</v>
      </c>
      <c r="T36">
        <v>15892.6</v>
      </c>
      <c r="W36" s="62">
        <v>33</v>
      </c>
      <c r="X36" s="63">
        <v>46143</v>
      </c>
      <c r="AH36" s="140">
        <v>17</v>
      </c>
      <c r="AI36">
        <v>31</v>
      </c>
      <c r="AP36">
        <v>6</v>
      </c>
    </row>
    <row r="37" spans="1:44">
      <c r="B37" t="s">
        <v>169</v>
      </c>
      <c r="C37">
        <f>SUM(C32:C35)</f>
        <v>0</v>
      </c>
      <c r="D37">
        <f>SUM(D32:D35)</f>
        <v>40200</v>
      </c>
      <c r="E37">
        <f t="shared" ref="E37:T37" si="0">SUM(E32:E35)</f>
        <v>0</v>
      </c>
      <c r="F37">
        <f t="shared" si="0"/>
        <v>411580.33</v>
      </c>
      <c r="G37">
        <f t="shared" si="0"/>
        <v>0</v>
      </c>
      <c r="H37">
        <f t="shared" si="0"/>
        <v>0</v>
      </c>
      <c r="I37">
        <f t="shared" si="0"/>
        <v>48000</v>
      </c>
      <c r="J37">
        <f t="shared" si="0"/>
        <v>46446.5</v>
      </c>
      <c r="K37">
        <f t="shared" si="0"/>
        <v>0</v>
      </c>
      <c r="L37" s="140">
        <f t="shared" si="0"/>
        <v>2530013.0099999998</v>
      </c>
      <c r="M37">
        <f t="shared" si="0"/>
        <v>3500600.1099999994</v>
      </c>
      <c r="N37">
        <f t="shared" si="0"/>
        <v>0</v>
      </c>
      <c r="O37">
        <f t="shared" si="0"/>
        <v>336062.29000000004</v>
      </c>
      <c r="P37">
        <f t="shared" si="0"/>
        <v>0</v>
      </c>
      <c r="Q37">
        <f t="shared" si="0"/>
        <v>0</v>
      </c>
      <c r="R37">
        <f t="shared" si="0"/>
        <v>91671.81</v>
      </c>
      <c r="S37">
        <f t="shared" si="0"/>
        <v>0</v>
      </c>
      <c r="T37">
        <f t="shared" si="0"/>
        <v>826168.17</v>
      </c>
      <c r="V37">
        <f>SUM(D37:T37)</f>
        <v>7830742.2199999988</v>
      </c>
      <c r="X37" t="s">
        <v>169</v>
      </c>
      <c r="Y37">
        <f>SUM(Y32:Y35)</f>
        <v>0</v>
      </c>
      <c r="Z37">
        <f>SUM(Z32:Z35)</f>
        <v>2</v>
      </c>
      <c r="AA37">
        <f t="shared" ref="AA37:AP37" si="1">SUM(AA32:AA35)</f>
        <v>0</v>
      </c>
      <c r="AB37">
        <f t="shared" si="1"/>
        <v>14</v>
      </c>
      <c r="AC37">
        <f t="shared" si="1"/>
        <v>0</v>
      </c>
      <c r="AD37">
        <f t="shared" si="1"/>
        <v>0</v>
      </c>
      <c r="AE37">
        <f t="shared" si="1"/>
        <v>1</v>
      </c>
      <c r="AF37">
        <f t="shared" si="1"/>
        <v>11</v>
      </c>
      <c r="AG37">
        <f t="shared" si="1"/>
        <v>0</v>
      </c>
      <c r="AH37" s="140">
        <f t="shared" si="1"/>
        <v>895</v>
      </c>
      <c r="AI37">
        <f t="shared" si="1"/>
        <v>1342</v>
      </c>
      <c r="AJ37">
        <f t="shared" si="1"/>
        <v>0</v>
      </c>
      <c r="AK37">
        <f t="shared" si="1"/>
        <v>138</v>
      </c>
      <c r="AL37">
        <f t="shared" si="1"/>
        <v>0</v>
      </c>
      <c r="AM37">
        <f t="shared" si="1"/>
        <v>0</v>
      </c>
      <c r="AN37">
        <f t="shared" si="1"/>
        <v>36</v>
      </c>
      <c r="AO37">
        <f t="shared" si="1"/>
        <v>0</v>
      </c>
      <c r="AP37">
        <f t="shared" si="1"/>
        <v>307</v>
      </c>
      <c r="AR37">
        <f>SUM(Z37:AP37)</f>
        <v>2746</v>
      </c>
    </row>
    <row r="39" spans="1:44">
      <c r="L39" s="145">
        <f>L37/V37</f>
        <v>0.32308725519507653</v>
      </c>
      <c r="AH39" s="145">
        <f>AH37/AR37</f>
        <v>0.32592862345229423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BAB3F-4473-104D-9448-0BEBC2F8392D}">
  <dimension ref="A1:E44"/>
  <sheetViews>
    <sheetView workbookViewId="0">
      <selection activeCell="A21" sqref="A21"/>
    </sheetView>
  </sheetViews>
  <sheetFormatPr baseColWidth="10" defaultRowHeight="16"/>
  <cols>
    <col min="1" max="1" width="54.5" customWidth="1"/>
    <col min="2" max="2" width="68.1640625" customWidth="1"/>
    <col min="3" max="3" width="20.6640625" customWidth="1"/>
  </cols>
  <sheetData>
    <row r="1" spans="1:5" ht="34">
      <c r="A1" s="8" t="s">
        <v>15</v>
      </c>
      <c r="B1" t="s">
        <v>14</v>
      </c>
      <c r="C1" s="4"/>
      <c r="E1" t="s">
        <v>16</v>
      </c>
    </row>
    <row r="2" spans="1:5">
      <c r="A2" s="8"/>
      <c r="B2" t="s">
        <v>19</v>
      </c>
      <c r="C2" s="4"/>
    </row>
    <row r="3" spans="1:5">
      <c r="A3" s="8"/>
      <c r="B3" s="7" t="s">
        <v>20</v>
      </c>
      <c r="C3" s="4"/>
    </row>
    <row r="4" spans="1:5">
      <c r="A4" s="5"/>
      <c r="B4" t="s">
        <v>5</v>
      </c>
      <c r="C4" s="4"/>
    </row>
    <row r="5" spans="1:5">
      <c r="B5" t="s">
        <v>6</v>
      </c>
    </row>
    <row r="6" spans="1:5">
      <c r="A6" t="s">
        <v>18</v>
      </c>
      <c r="B6" t="s">
        <v>21</v>
      </c>
    </row>
    <row r="8" spans="1:5">
      <c r="A8" s="7" t="s">
        <v>3</v>
      </c>
      <c r="B8" s="6" t="s">
        <v>9</v>
      </c>
      <c r="C8" s="4" t="s">
        <v>8</v>
      </c>
    </row>
    <row r="9" spans="1:5">
      <c r="A9" s="9"/>
      <c r="B9" s="9" t="s">
        <v>13</v>
      </c>
      <c r="C9" s="9" t="s">
        <v>30</v>
      </c>
    </row>
    <row r="10" spans="1:5">
      <c r="A10" s="9" t="s">
        <v>10</v>
      </c>
      <c r="B10" s="9">
        <v>36400</v>
      </c>
      <c r="C10" s="9">
        <v>34500</v>
      </c>
    </row>
    <row r="11" spans="1:5">
      <c r="A11" s="9" t="s">
        <v>11</v>
      </c>
      <c r="B11" s="9">
        <v>36200</v>
      </c>
      <c r="C11" s="9">
        <v>28300</v>
      </c>
    </row>
    <row r="12" spans="1:5">
      <c r="A12" s="9" t="s">
        <v>12</v>
      </c>
      <c r="B12" s="9">
        <v>4880</v>
      </c>
      <c r="C12" s="9">
        <v>4100</v>
      </c>
    </row>
    <row r="13" spans="1:5">
      <c r="A13" s="9" t="s">
        <v>31</v>
      </c>
      <c r="B13" s="9">
        <v>1730</v>
      </c>
      <c r="C13" s="9">
        <v>12400</v>
      </c>
    </row>
    <row r="14" spans="1:5">
      <c r="A14" s="9"/>
      <c r="B14" s="9">
        <f>SUM(B10:B13)</f>
        <v>79210</v>
      </c>
      <c r="C14" s="9">
        <f>SUM(C10:C13)</f>
        <v>79300</v>
      </c>
    </row>
    <row r="15" spans="1:5">
      <c r="A15" s="11" t="s">
        <v>4</v>
      </c>
      <c r="B15" s="12" t="s">
        <v>33</v>
      </c>
    </row>
    <row r="17" spans="1:2">
      <c r="A17" s="11" t="s">
        <v>7</v>
      </c>
      <c r="B17" s="12" t="s">
        <v>32</v>
      </c>
    </row>
    <row r="18" spans="1:2">
      <c r="B18" t="s">
        <v>17</v>
      </c>
    </row>
    <row r="20" spans="1:2">
      <c r="A20" t="s">
        <v>28</v>
      </c>
    </row>
    <row r="21" spans="1:2">
      <c r="A21" s="6" t="s">
        <v>27</v>
      </c>
    </row>
    <row r="23" spans="1:2" ht="19">
      <c r="A23" s="10" t="s">
        <v>22</v>
      </c>
      <c r="B23" t="s">
        <v>23</v>
      </c>
    </row>
    <row r="24" spans="1:2" ht="19">
      <c r="A24" s="10" t="s">
        <v>24</v>
      </c>
      <c r="B24" t="s">
        <v>25</v>
      </c>
    </row>
    <row r="25" spans="1:2" ht="19">
      <c r="A25" s="10" t="s">
        <v>26</v>
      </c>
      <c r="B25" t="s">
        <v>29</v>
      </c>
    </row>
    <row r="30" spans="1:2">
      <c r="A30" s="7" t="s">
        <v>69</v>
      </c>
    </row>
    <row r="32" spans="1:2" s="140" customFormat="1">
      <c r="A32" s="166" t="s">
        <v>203</v>
      </c>
      <c r="B32" s="168">
        <f>60000-43000</f>
        <v>17000</v>
      </c>
    </row>
    <row r="33" spans="1:2">
      <c r="B33" s="165" t="s">
        <v>204</v>
      </c>
    </row>
    <row r="34" spans="1:2">
      <c r="B34" s="165"/>
    </row>
    <row r="35" spans="1:2" s="140" customFormat="1">
      <c r="A35" s="166" t="s">
        <v>208</v>
      </c>
      <c r="B35" s="167" t="s">
        <v>207</v>
      </c>
    </row>
    <row r="36" spans="1:2">
      <c r="A36" t="s">
        <v>200</v>
      </c>
      <c r="B36">
        <v>100000</v>
      </c>
    </row>
    <row r="37" spans="1:2">
      <c r="A37" t="s">
        <v>201</v>
      </c>
      <c r="B37" s="7">
        <v>7100</v>
      </c>
    </row>
    <row r="38" spans="1:2">
      <c r="A38" t="s">
        <v>205</v>
      </c>
      <c r="B38" s="7">
        <v>60000</v>
      </c>
    </row>
    <row r="40" spans="1:2">
      <c r="B40" t="s">
        <v>206</v>
      </c>
    </row>
    <row r="41" spans="1:2">
      <c r="B41" t="s">
        <v>202</v>
      </c>
    </row>
    <row r="42" spans="1:2">
      <c r="B42">
        <v>58146</v>
      </c>
    </row>
    <row r="43" spans="1:2">
      <c r="B43">
        <v>35293.5</v>
      </c>
    </row>
    <row r="44" spans="1:2">
      <c r="B44">
        <v>22557</v>
      </c>
    </row>
  </sheetData>
  <hyperlinks>
    <hyperlink ref="B8" r:id="rId1" xr:uid="{B1C72D04-7547-6744-A07F-F25F768086EB}"/>
    <hyperlink ref="A21" r:id="rId2" xr:uid="{12C71B04-CEDE-1646-A3CC-D3794ED288A7}"/>
    <hyperlink ref="B35" r:id="rId3" xr:uid="{A0557143-F48A-E04A-B3C9-F9DE8A166287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CF46-2F93-1D4F-8971-E0665D52E954}">
  <dimension ref="A1:E20"/>
  <sheetViews>
    <sheetView workbookViewId="0">
      <selection activeCell="F20" sqref="F20"/>
    </sheetView>
  </sheetViews>
  <sheetFormatPr baseColWidth="10" defaultRowHeight="19"/>
  <cols>
    <col min="1" max="1" width="46.1640625" style="15" customWidth="1"/>
    <col min="2" max="2" width="54.5" style="15" customWidth="1"/>
    <col min="3" max="3" width="30.33203125" style="15" customWidth="1"/>
    <col min="4" max="4" width="26.6640625" style="15" customWidth="1"/>
    <col min="5" max="5" width="23.83203125" style="15" customWidth="1"/>
    <col min="6" max="6" width="83.5" style="15" customWidth="1"/>
    <col min="7" max="7" width="38.33203125" style="15" customWidth="1"/>
    <col min="8" max="16384" width="10.83203125" style="15"/>
  </cols>
  <sheetData>
    <row r="1" spans="1:5">
      <c r="A1" s="136" t="s">
        <v>173</v>
      </c>
      <c r="B1" s="136" t="s">
        <v>64</v>
      </c>
      <c r="C1" s="136" t="s">
        <v>190</v>
      </c>
      <c r="D1" s="18"/>
      <c r="E1" s="18" t="s">
        <v>196</v>
      </c>
    </row>
    <row r="2" spans="1:5" ht="60">
      <c r="A2" s="17" t="s">
        <v>195</v>
      </c>
      <c r="B2" s="17" t="s">
        <v>62</v>
      </c>
      <c r="C2" s="3" t="s">
        <v>191</v>
      </c>
      <c r="D2" s="3" t="s">
        <v>48</v>
      </c>
    </row>
    <row r="3" spans="1:5" ht="60">
      <c r="B3" s="17" t="s">
        <v>65</v>
      </c>
      <c r="C3" s="3" t="s">
        <v>192</v>
      </c>
      <c r="D3" s="3" t="s">
        <v>49</v>
      </c>
    </row>
    <row r="4" spans="1:5" ht="60">
      <c r="A4" s="17"/>
      <c r="B4" s="17" t="s">
        <v>66</v>
      </c>
      <c r="C4" s="3" t="s">
        <v>193</v>
      </c>
      <c r="D4" s="3" t="s">
        <v>35</v>
      </c>
    </row>
    <row r="5" spans="1:5" ht="40">
      <c r="A5" s="17"/>
      <c r="B5" s="17" t="s">
        <v>31</v>
      </c>
      <c r="C5" s="3" t="s">
        <v>194</v>
      </c>
      <c r="D5" s="3" t="s">
        <v>36</v>
      </c>
    </row>
    <row r="8" spans="1:5">
      <c r="A8" s="164" t="s">
        <v>188</v>
      </c>
      <c r="B8" s="164" t="s">
        <v>180</v>
      </c>
    </row>
    <row r="9" spans="1:5">
      <c r="A9" s="164"/>
      <c r="B9" s="164" t="s">
        <v>185</v>
      </c>
    </row>
    <row r="10" spans="1:5">
      <c r="A10" s="164" t="s">
        <v>189</v>
      </c>
      <c r="B10" s="164" t="s">
        <v>186</v>
      </c>
    </row>
    <row r="11" spans="1:5">
      <c r="B11" s="164"/>
    </row>
    <row r="12" spans="1:5">
      <c r="B12" s="164" t="s">
        <v>187</v>
      </c>
    </row>
    <row r="14" spans="1:5">
      <c r="A14" s="18" t="s">
        <v>174</v>
      </c>
      <c r="B14" s="162" t="s">
        <v>182</v>
      </c>
    </row>
    <row r="15" spans="1:5">
      <c r="A15" s="15" t="s">
        <v>175</v>
      </c>
      <c r="B15" s="163" t="s">
        <v>176</v>
      </c>
    </row>
    <row r="16" spans="1:5">
      <c r="A16" s="15" t="s">
        <v>178</v>
      </c>
      <c r="B16" s="163" t="s">
        <v>184</v>
      </c>
    </row>
    <row r="17" spans="1:2" ht="40">
      <c r="A17" s="135" t="s">
        <v>179</v>
      </c>
      <c r="B17" s="163" t="s">
        <v>146</v>
      </c>
    </row>
    <row r="18" spans="1:2">
      <c r="A18" s="15" t="s">
        <v>177</v>
      </c>
      <c r="B18" s="163" t="s">
        <v>183</v>
      </c>
    </row>
    <row r="20" spans="1:2">
      <c r="A20" s="18" t="s">
        <v>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Гипотезы_v3</vt:lpstr>
      <vt:lpstr>Саммари</vt:lpstr>
      <vt:lpstr>Гипотезы_v2</vt:lpstr>
      <vt:lpstr>Вопросы</vt:lpstr>
      <vt:lpstr>тесты</vt:lpstr>
      <vt:lpstr>База селлеров</vt:lpstr>
      <vt:lpstr>Воронка MPS_обработано</vt:lpstr>
      <vt:lpstr>Воронка MPS_исх</vt:lpstr>
      <vt:lpstr>Гипотезы_v1</vt:lpstr>
      <vt:lpstr>MPS др метрики</vt:lpstr>
      <vt:lpstr>Гипотезы_драфт</vt:lpstr>
      <vt:lpstr>Пилот Точка</vt:lpstr>
      <vt:lpstr>MAU Селлер as is</vt:lpstr>
      <vt:lpstr>Воронка Селлер as is</vt:lpstr>
      <vt:lpstr>Селлер апи_исх</vt:lpstr>
      <vt:lpstr>Селлер оплаты_исх</vt:lpstr>
      <vt:lpstr>рабоч</vt:lpstr>
      <vt:lpstr>пересечь базы как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balabaeva</dc:creator>
  <cp:lastModifiedBy>y balabaeva</cp:lastModifiedBy>
  <dcterms:created xsi:type="dcterms:W3CDTF">2026-05-26T07:29:26Z</dcterms:created>
  <dcterms:modified xsi:type="dcterms:W3CDTF">2026-07-02T16:08:13Z</dcterms:modified>
</cp:coreProperties>
</file>