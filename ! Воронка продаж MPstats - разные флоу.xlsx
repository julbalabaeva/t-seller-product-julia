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.balabaeva/Desktop/Селлер/! MPStats/Воронка/"/>
    </mc:Choice>
  </mc:AlternateContent>
  <xr:revisionPtr revIDLastSave="0" documentId="13_ncr:1_{AF191FA1-45CA-B845-A301-25985734CA61}" xr6:coauthVersionLast="47" xr6:coauthVersionMax="47" xr10:uidLastSave="{00000000-0000-0000-0000-000000000000}"/>
  <bookViews>
    <workbookView xWindow="40" yWindow="580" windowWidth="29820" windowHeight="16880" xr2:uid="{041A7F1C-756F-014C-8317-A22146C33BA3}"/>
  </bookViews>
  <sheets>
    <sheet name="Гипотезы" sheetId="17" r:id="rId1"/>
    <sheet name="Гипотезы_драфт" sheetId="7" state="hidden" r:id="rId2"/>
    <sheet name="База селлеров" sheetId="6" r:id="rId3"/>
    <sheet name="Вопросы" sheetId="10" r:id="rId4"/>
    <sheet name="MPS др метрики" sheetId="15" r:id="rId5"/>
    <sheet name="Воронка MPS_обработано" sheetId="1" r:id="rId6"/>
    <sheet name="Воронка MPS_исх" sheetId="8" r:id="rId7"/>
    <sheet name="Пилот Точка" sheetId="16" r:id="rId8"/>
    <sheet name="Воронка Селлер as is" sheetId="5" r:id="rId9"/>
    <sheet name="Селлер апи_исх" sheetId="9" r:id="rId10"/>
    <sheet name="Селлер оплаты_исх" sheetId="12" r:id="rId11"/>
    <sheet name="рабоч" sheetId="2" r:id="rId12"/>
    <sheet name="пересечь базы как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" i="17" l="1"/>
  <c r="AA108" i="17"/>
  <c r="AD46" i="17"/>
  <c r="AC46" i="17"/>
  <c r="AB46" i="17"/>
  <c r="AA46" i="17"/>
  <c r="V108" i="17"/>
  <c r="W108" i="17" s="1"/>
  <c r="X108" i="17" s="1"/>
  <c r="Y108" i="17" s="1"/>
  <c r="Y103" i="17"/>
  <c r="V103" i="17"/>
  <c r="W103" i="17"/>
  <c r="X103" i="17"/>
  <c r="U103" i="17"/>
  <c r="V98" i="17"/>
  <c r="AB98" i="17" s="1"/>
  <c r="C54" i="6"/>
  <c r="B54" i="6"/>
  <c r="D53" i="6"/>
  <c r="D52" i="6"/>
  <c r="D51" i="6"/>
  <c r="G17" i="6"/>
  <c r="C22" i="6"/>
  <c r="C27" i="6" s="1"/>
  <c r="D42" i="17" s="1"/>
  <c r="J42" i="17" s="1"/>
  <c r="P42" i="17" s="1"/>
  <c r="B22" i="6"/>
  <c r="B27" i="6" s="1"/>
  <c r="C42" i="17" s="1"/>
  <c r="I42" i="17" s="1"/>
  <c r="O42" i="17" s="1"/>
  <c r="G42" i="6"/>
  <c r="D71" i="15"/>
  <c r="E71" i="15"/>
  <c r="C71" i="15"/>
  <c r="J108" i="17"/>
  <c r="K108" i="17" s="1"/>
  <c r="L108" i="17" s="1"/>
  <c r="AD108" i="17" s="1"/>
  <c r="B130" i="17"/>
  <c r="D130" i="17"/>
  <c r="D110" i="17" s="1"/>
  <c r="J110" i="17" s="1"/>
  <c r="P110" i="17" s="1"/>
  <c r="V110" i="17" s="1"/>
  <c r="E130" i="17"/>
  <c r="E110" i="17" s="1"/>
  <c r="K110" i="17" s="1"/>
  <c r="Q110" i="17" s="1"/>
  <c r="W110" i="17" s="1"/>
  <c r="F130" i="17"/>
  <c r="F110" i="17" s="1"/>
  <c r="L110" i="17" s="1"/>
  <c r="R110" i="17" s="1"/>
  <c r="X110" i="17" s="1"/>
  <c r="C130" i="17"/>
  <c r="C110" i="17" s="1"/>
  <c r="I110" i="17" s="1"/>
  <c r="O110" i="17" s="1"/>
  <c r="U110" i="17" s="1"/>
  <c r="P108" i="17"/>
  <c r="Q108" i="17" s="1"/>
  <c r="R108" i="17" s="1"/>
  <c r="S108" i="17" s="1"/>
  <c r="C108" i="17"/>
  <c r="C102" i="17"/>
  <c r="I102" i="17" s="1"/>
  <c r="E55" i="15"/>
  <c r="C86" i="17" s="1"/>
  <c r="D86" i="17" s="1"/>
  <c r="E86" i="17" s="1"/>
  <c r="F86" i="17" s="1"/>
  <c r="L86" i="17" s="1"/>
  <c r="R86" i="17" s="1"/>
  <c r="X86" i="17" s="1"/>
  <c r="AD86" i="17" s="1"/>
  <c r="E56" i="15"/>
  <c r="C87" i="17" s="1"/>
  <c r="D87" i="17" s="1"/>
  <c r="E87" i="17" s="1"/>
  <c r="F87" i="17" s="1"/>
  <c r="L87" i="17" s="1"/>
  <c r="R87" i="17" s="1"/>
  <c r="X87" i="17" s="1"/>
  <c r="AD87" i="17" s="1"/>
  <c r="E57" i="15"/>
  <c r="C88" i="17" s="1"/>
  <c r="D88" i="17" s="1"/>
  <c r="E88" i="17" s="1"/>
  <c r="F88" i="17" s="1"/>
  <c r="L88" i="17" s="1"/>
  <c r="R88" i="17" s="1"/>
  <c r="X88" i="17" s="1"/>
  <c r="AD88" i="17" s="1"/>
  <c r="E58" i="15"/>
  <c r="C89" i="17" s="1"/>
  <c r="D89" i="17" s="1"/>
  <c r="E89" i="17" s="1"/>
  <c r="F89" i="17" s="1"/>
  <c r="L89" i="17" s="1"/>
  <c r="R89" i="17" s="1"/>
  <c r="X89" i="17" s="1"/>
  <c r="AD89" i="17" s="1"/>
  <c r="E59" i="15"/>
  <c r="C90" i="17" s="1"/>
  <c r="D90" i="17" s="1"/>
  <c r="E90" i="17" s="1"/>
  <c r="F90" i="17" s="1"/>
  <c r="L90" i="17" s="1"/>
  <c r="R90" i="17" s="1"/>
  <c r="X90" i="17" s="1"/>
  <c r="AD90" i="17" s="1"/>
  <c r="E54" i="15"/>
  <c r="C85" i="17" s="1"/>
  <c r="D85" i="17" s="1"/>
  <c r="E85" i="17" s="1"/>
  <c r="F85" i="17" s="1"/>
  <c r="L85" i="17" s="1"/>
  <c r="R85" i="17" s="1"/>
  <c r="X85" i="17" s="1"/>
  <c r="AD85" i="17" s="1"/>
  <c r="C66" i="17"/>
  <c r="I66" i="17" s="1"/>
  <c r="J66" i="17" s="1"/>
  <c r="K66" i="17" s="1"/>
  <c r="L66" i="17" s="1"/>
  <c r="C62" i="17"/>
  <c r="D62" i="17" s="1"/>
  <c r="E62" i="17" s="1"/>
  <c r="F62" i="17" s="1"/>
  <c r="C63" i="17"/>
  <c r="C54" i="17" s="1"/>
  <c r="C64" i="17"/>
  <c r="C65" i="17"/>
  <c r="I65" i="17" s="1"/>
  <c r="J65" i="17" s="1"/>
  <c r="K65" i="17" s="1"/>
  <c r="L65" i="17" s="1"/>
  <c r="C61" i="17"/>
  <c r="D61" i="17" s="1"/>
  <c r="E61" i="17" s="1"/>
  <c r="F61" i="17" s="1"/>
  <c r="O98" i="17"/>
  <c r="U98" i="17" s="1"/>
  <c r="AA98" i="17" s="1"/>
  <c r="J98" i="17"/>
  <c r="P98" i="17" s="1"/>
  <c r="I95" i="17"/>
  <c r="O95" i="17" s="1"/>
  <c r="U95" i="17" s="1"/>
  <c r="AA95" i="17" s="1"/>
  <c r="D95" i="17"/>
  <c r="E95" i="17" s="1"/>
  <c r="F95" i="17" s="1"/>
  <c r="D39" i="7"/>
  <c r="L46" i="17"/>
  <c r="R46" i="17" s="1"/>
  <c r="K46" i="17"/>
  <c r="Q46" i="17" s="1"/>
  <c r="J46" i="17"/>
  <c r="P46" i="17" s="1"/>
  <c r="I46" i="17"/>
  <c r="O46" i="17" s="1"/>
  <c r="I122" i="17"/>
  <c r="O122" i="17" s="1"/>
  <c r="D122" i="17"/>
  <c r="J122" i="17" s="1"/>
  <c r="P122" i="17" s="1"/>
  <c r="I114" i="17"/>
  <c r="O114" i="17" s="1"/>
  <c r="D114" i="17"/>
  <c r="J114" i="17" s="1"/>
  <c r="P114" i="17" s="1"/>
  <c r="I94" i="17"/>
  <c r="O94" i="17" s="1"/>
  <c r="U94" i="17" s="1"/>
  <c r="AA94" i="17" s="1"/>
  <c r="D94" i="17"/>
  <c r="J94" i="17" s="1"/>
  <c r="P94" i="17" s="1"/>
  <c r="V94" i="17" s="1"/>
  <c r="AB94" i="17" s="1"/>
  <c r="N18" i="17"/>
  <c r="B19" i="17" s="1"/>
  <c r="B15" i="17"/>
  <c r="H15" i="17" s="1"/>
  <c r="Z15" i="17" s="1"/>
  <c r="B14" i="17"/>
  <c r="H14" i="17" s="1"/>
  <c r="Z14" i="17" s="1"/>
  <c r="H13" i="17"/>
  <c r="Z13" i="17" s="1"/>
  <c r="H6" i="17"/>
  <c r="N6" i="17" s="1"/>
  <c r="T6" i="17" s="1"/>
  <c r="H4" i="17"/>
  <c r="N4" i="17" s="1"/>
  <c r="D54" i="6" l="1"/>
  <c r="AD110" i="17"/>
  <c r="J102" i="17"/>
  <c r="AA102" i="17"/>
  <c r="AC110" i="17"/>
  <c r="AA110" i="17"/>
  <c r="AB108" i="17"/>
  <c r="Z6" i="17"/>
  <c r="AB110" i="17"/>
  <c r="AC108" i="17"/>
  <c r="B102" i="17"/>
  <c r="D102" i="17"/>
  <c r="D108" i="17"/>
  <c r="E108" i="17" s="1"/>
  <c r="F108" i="17" s="1"/>
  <c r="H19" i="17"/>
  <c r="Z19" i="17" s="1"/>
  <c r="F69" i="17"/>
  <c r="J89" i="17"/>
  <c r="P89" i="17" s="1"/>
  <c r="V89" i="17" s="1"/>
  <c r="AB89" i="17" s="1"/>
  <c r="C72" i="17"/>
  <c r="I72" i="17" s="1"/>
  <c r="K88" i="17"/>
  <c r="Q88" i="17" s="1"/>
  <c r="W88" i="17" s="1"/>
  <c r="AC88" i="17" s="1"/>
  <c r="J88" i="17"/>
  <c r="P88" i="17" s="1"/>
  <c r="V88" i="17" s="1"/>
  <c r="AB88" i="17" s="1"/>
  <c r="F70" i="17"/>
  <c r="D66" i="17"/>
  <c r="E66" i="17" s="1"/>
  <c r="F66" i="17" s="1"/>
  <c r="F74" i="17" s="1"/>
  <c r="K87" i="17"/>
  <c r="Q87" i="17" s="1"/>
  <c r="W87" i="17" s="1"/>
  <c r="AC87" i="17" s="1"/>
  <c r="E70" i="17"/>
  <c r="D70" i="17"/>
  <c r="J86" i="17"/>
  <c r="P86" i="17" s="1"/>
  <c r="V86" i="17" s="1"/>
  <c r="AB86" i="17" s="1"/>
  <c r="C70" i="17"/>
  <c r="I70" i="17" s="1"/>
  <c r="K85" i="17"/>
  <c r="Q85" i="17" s="1"/>
  <c r="W85" i="17" s="1"/>
  <c r="AC85" i="17" s="1"/>
  <c r="I86" i="17"/>
  <c r="O86" i="17" s="1"/>
  <c r="U86" i="17" s="1"/>
  <c r="AA86" i="17" s="1"/>
  <c r="I87" i="17"/>
  <c r="O87" i="17" s="1"/>
  <c r="U87" i="17" s="1"/>
  <c r="AA87" i="17" s="1"/>
  <c r="C73" i="17"/>
  <c r="I73" i="17" s="1"/>
  <c r="J90" i="17"/>
  <c r="P90" i="17" s="1"/>
  <c r="V90" i="17" s="1"/>
  <c r="AB90" i="17" s="1"/>
  <c r="J85" i="17"/>
  <c r="P85" i="17" s="1"/>
  <c r="V85" i="17" s="1"/>
  <c r="AB85" i="17" s="1"/>
  <c r="C74" i="17"/>
  <c r="I74" i="17" s="1"/>
  <c r="C71" i="17"/>
  <c r="I71" i="17" s="1"/>
  <c r="K89" i="17"/>
  <c r="Q89" i="17" s="1"/>
  <c r="W89" i="17" s="1"/>
  <c r="AC89" i="17" s="1"/>
  <c r="I88" i="17"/>
  <c r="O88" i="17" s="1"/>
  <c r="U88" i="17" s="1"/>
  <c r="AA88" i="17" s="1"/>
  <c r="E69" i="17"/>
  <c r="I89" i="17"/>
  <c r="O89" i="17" s="1"/>
  <c r="U89" i="17" s="1"/>
  <c r="AA89" i="17" s="1"/>
  <c r="J87" i="17"/>
  <c r="P87" i="17" s="1"/>
  <c r="V87" i="17" s="1"/>
  <c r="AB87" i="17" s="1"/>
  <c r="I63" i="17"/>
  <c r="J63" i="17" s="1"/>
  <c r="K63" i="17" s="1"/>
  <c r="L63" i="17" s="1"/>
  <c r="D69" i="17"/>
  <c r="I90" i="17"/>
  <c r="O90" i="17" s="1"/>
  <c r="U90" i="17" s="1"/>
  <c r="AA90" i="17" s="1"/>
  <c r="I62" i="17"/>
  <c r="J62" i="17" s="1"/>
  <c r="K62" i="17" s="1"/>
  <c r="L62" i="17" s="1"/>
  <c r="I85" i="17"/>
  <c r="O85" i="17" s="1"/>
  <c r="U85" i="17" s="1"/>
  <c r="AA85" i="17" s="1"/>
  <c r="I64" i="17"/>
  <c r="J64" i="17" s="1"/>
  <c r="K64" i="17" s="1"/>
  <c r="L64" i="17" s="1"/>
  <c r="C69" i="17"/>
  <c r="I69" i="17" s="1"/>
  <c r="K90" i="17"/>
  <c r="Q90" i="17" s="1"/>
  <c r="W90" i="17" s="1"/>
  <c r="AC90" i="17" s="1"/>
  <c r="K86" i="17"/>
  <c r="Q86" i="17" s="1"/>
  <c r="W86" i="17" s="1"/>
  <c r="AC86" i="17" s="1"/>
  <c r="I61" i="17"/>
  <c r="J61" i="17" s="1"/>
  <c r="K61" i="17" s="1"/>
  <c r="L61" i="17" s="1"/>
  <c r="R61" i="17" s="1"/>
  <c r="X61" i="17" s="1"/>
  <c r="AD61" i="17" s="1"/>
  <c r="C79" i="17"/>
  <c r="C78" i="17"/>
  <c r="C82" i="17"/>
  <c r="C77" i="17"/>
  <c r="C81" i="17"/>
  <c r="C80" i="17"/>
  <c r="D64" i="17"/>
  <c r="D63" i="17"/>
  <c r="D65" i="17"/>
  <c r="O65" i="17"/>
  <c r="U65" i="17" s="1"/>
  <c r="AA65" i="17" s="1"/>
  <c r="C57" i="17"/>
  <c r="C52" i="17"/>
  <c r="C56" i="17"/>
  <c r="E52" i="17"/>
  <c r="D52" i="17"/>
  <c r="F52" i="17"/>
  <c r="O66" i="17"/>
  <c r="U66" i="17" s="1"/>
  <c r="AA66" i="17" s="1"/>
  <c r="P66" i="17"/>
  <c r="V66" i="17" s="1"/>
  <c r="AB66" i="17" s="1"/>
  <c r="Q66" i="17"/>
  <c r="W66" i="17" s="1"/>
  <c r="AC66" i="17" s="1"/>
  <c r="R66" i="17"/>
  <c r="X66" i="17" s="1"/>
  <c r="AD66" i="17" s="1"/>
  <c r="I97" i="17"/>
  <c r="E96" i="17"/>
  <c r="K98" i="17"/>
  <c r="Q98" i="17" s="1"/>
  <c r="W98" i="17" s="1"/>
  <c r="AC98" i="17" s="1"/>
  <c r="D96" i="17"/>
  <c r="L95" i="17"/>
  <c r="J95" i="17"/>
  <c r="K95" i="17"/>
  <c r="C55" i="17"/>
  <c r="D53" i="17"/>
  <c r="C53" i="17"/>
  <c r="E94" i="17"/>
  <c r="E122" i="17"/>
  <c r="E114" i="17"/>
  <c r="E102" i="17" s="1"/>
  <c r="K102" i="17" l="1"/>
  <c r="AB102" i="17"/>
  <c r="O97" i="17"/>
  <c r="J97" i="17"/>
  <c r="K97" i="17" s="1"/>
  <c r="L97" i="17" s="1"/>
  <c r="R95" i="17"/>
  <c r="X95" i="17" s="1"/>
  <c r="AD95" i="17" s="1"/>
  <c r="I96" i="17"/>
  <c r="O96" i="17" s="1"/>
  <c r="J73" i="17"/>
  <c r="K73" i="17" s="1"/>
  <c r="L73" i="17" s="1"/>
  <c r="O73" i="17"/>
  <c r="J70" i="17"/>
  <c r="K70" i="17" s="1"/>
  <c r="L70" i="17" s="1"/>
  <c r="O70" i="17"/>
  <c r="J71" i="17"/>
  <c r="K71" i="17" s="1"/>
  <c r="L71" i="17" s="1"/>
  <c r="O71" i="17"/>
  <c r="J72" i="17"/>
  <c r="K72" i="17" s="1"/>
  <c r="L72" i="17" s="1"/>
  <c r="O72" i="17"/>
  <c r="J69" i="17"/>
  <c r="K69" i="17" s="1"/>
  <c r="L69" i="17" s="1"/>
  <c r="O69" i="17"/>
  <c r="J74" i="17"/>
  <c r="K74" i="17" s="1"/>
  <c r="L74" i="17" s="1"/>
  <c r="O74" i="17"/>
  <c r="D57" i="17"/>
  <c r="E74" i="17"/>
  <c r="F57" i="17"/>
  <c r="E57" i="17"/>
  <c r="D74" i="17"/>
  <c r="E64" i="17"/>
  <c r="E55" i="17" s="1"/>
  <c r="D72" i="17"/>
  <c r="D80" i="17"/>
  <c r="E80" i="17" s="1"/>
  <c r="F80" i="17" s="1"/>
  <c r="I80" i="17"/>
  <c r="I55" i="17" s="1"/>
  <c r="J55" i="17" s="1"/>
  <c r="K55" i="17" s="1"/>
  <c r="L55" i="17" s="1"/>
  <c r="D77" i="17"/>
  <c r="E77" i="17" s="1"/>
  <c r="F77" i="17" s="1"/>
  <c r="I77" i="17"/>
  <c r="I52" i="17" s="1"/>
  <c r="J52" i="17" s="1"/>
  <c r="D79" i="17"/>
  <c r="E79" i="17" s="1"/>
  <c r="F79" i="17" s="1"/>
  <c r="I79" i="17"/>
  <c r="I54" i="17" s="1"/>
  <c r="J54" i="17" s="1"/>
  <c r="K54" i="17" s="1"/>
  <c r="L54" i="17" s="1"/>
  <c r="O63" i="17"/>
  <c r="U63" i="17" s="1"/>
  <c r="AA63" i="17" s="1"/>
  <c r="P61" i="17"/>
  <c r="V61" i="17" s="1"/>
  <c r="AB61" i="17" s="1"/>
  <c r="E65" i="17"/>
  <c r="E56" i="17" s="1"/>
  <c r="D73" i="17"/>
  <c r="D81" i="17"/>
  <c r="E81" i="17" s="1"/>
  <c r="F81" i="17" s="1"/>
  <c r="I81" i="17"/>
  <c r="I56" i="17" s="1"/>
  <c r="J56" i="17" s="1"/>
  <c r="K56" i="17" s="1"/>
  <c r="L56" i="17" s="1"/>
  <c r="D82" i="17"/>
  <c r="E82" i="17" s="1"/>
  <c r="F82" i="17" s="1"/>
  <c r="I82" i="17"/>
  <c r="I57" i="17" s="1"/>
  <c r="J57" i="17" s="1"/>
  <c r="K57" i="17" s="1"/>
  <c r="L57" i="17" s="1"/>
  <c r="D78" i="17"/>
  <c r="E78" i="17" s="1"/>
  <c r="F78" i="17" s="1"/>
  <c r="I78" i="17"/>
  <c r="I53" i="17" s="1"/>
  <c r="J53" i="17" s="1"/>
  <c r="K53" i="17" s="1"/>
  <c r="L53" i="17" s="1"/>
  <c r="Q61" i="17"/>
  <c r="W61" i="17" s="1"/>
  <c r="AC61" i="17" s="1"/>
  <c r="O62" i="17"/>
  <c r="U62" i="17" s="1"/>
  <c r="AA62" i="17" s="1"/>
  <c r="O61" i="17"/>
  <c r="U61" i="17" s="1"/>
  <c r="AA61" i="17" s="1"/>
  <c r="E63" i="17"/>
  <c r="D71" i="17"/>
  <c r="O64" i="17"/>
  <c r="U64" i="17" s="1"/>
  <c r="AA64" i="17" s="1"/>
  <c r="D54" i="17"/>
  <c r="D55" i="17"/>
  <c r="D56" i="17"/>
  <c r="Q95" i="17"/>
  <c r="W95" i="17" s="1"/>
  <c r="AC95" i="17" s="1"/>
  <c r="P95" i="17"/>
  <c r="V95" i="17" s="1"/>
  <c r="AB95" i="17" s="1"/>
  <c r="L98" i="17"/>
  <c r="P65" i="17"/>
  <c r="V65" i="17" s="1"/>
  <c r="AB65" i="17" s="1"/>
  <c r="P64" i="17"/>
  <c r="V64" i="17" s="1"/>
  <c r="AB64" i="17" s="1"/>
  <c r="P62" i="17"/>
  <c r="V62" i="17" s="1"/>
  <c r="AB62" i="17" s="1"/>
  <c r="E53" i="17"/>
  <c r="F94" i="17"/>
  <c r="K94" i="17"/>
  <c r="Q94" i="17" s="1"/>
  <c r="W94" i="17" s="1"/>
  <c r="AC94" i="17" s="1"/>
  <c r="F114" i="17"/>
  <c r="F102" i="17" s="1"/>
  <c r="K114" i="17"/>
  <c r="Q114" i="17" s="1"/>
  <c r="F122" i="17"/>
  <c r="K122" i="17"/>
  <c r="Q122" i="17" s="1"/>
  <c r="P63" i="17"/>
  <c r="V63" i="17" s="1"/>
  <c r="AB63" i="17" s="1"/>
  <c r="P71" i="17" l="1"/>
  <c r="Q71" i="17" s="1"/>
  <c r="R71" i="17" s="1"/>
  <c r="U71" i="17"/>
  <c r="P70" i="17"/>
  <c r="Q70" i="17" s="1"/>
  <c r="R70" i="17" s="1"/>
  <c r="U70" i="17"/>
  <c r="P72" i="17"/>
  <c r="Q72" i="17" s="1"/>
  <c r="R72" i="17" s="1"/>
  <c r="U72" i="17"/>
  <c r="P73" i="17"/>
  <c r="Q73" i="17" s="1"/>
  <c r="R73" i="17" s="1"/>
  <c r="U73" i="17"/>
  <c r="P74" i="17"/>
  <c r="Q74" i="17" s="1"/>
  <c r="R74" i="17" s="1"/>
  <c r="U74" i="17"/>
  <c r="P96" i="17"/>
  <c r="Q96" i="17" s="1"/>
  <c r="R96" i="17" s="1"/>
  <c r="U96" i="17"/>
  <c r="P69" i="17"/>
  <c r="Q69" i="17" s="1"/>
  <c r="R69" i="17" s="1"/>
  <c r="U69" i="17"/>
  <c r="L102" i="17"/>
  <c r="AD102" i="17" s="1"/>
  <c r="AC102" i="17"/>
  <c r="P97" i="17"/>
  <c r="Q97" i="17" s="1"/>
  <c r="R97" i="17" s="1"/>
  <c r="U97" i="17"/>
  <c r="O77" i="17"/>
  <c r="O80" i="17"/>
  <c r="O79" i="17"/>
  <c r="O78" i="17"/>
  <c r="O82" i="17"/>
  <c r="O81" i="17"/>
  <c r="J96" i="17"/>
  <c r="K96" i="17"/>
  <c r="F63" i="17"/>
  <c r="F71" i="17" s="1"/>
  <c r="E71" i="17"/>
  <c r="J82" i="17"/>
  <c r="K82" i="17" s="1"/>
  <c r="L82" i="17" s="1"/>
  <c r="J80" i="17"/>
  <c r="K80" i="17" s="1"/>
  <c r="L80" i="17" s="1"/>
  <c r="J79" i="17"/>
  <c r="K79" i="17" s="1"/>
  <c r="L79" i="17" s="1"/>
  <c r="J77" i="17"/>
  <c r="K77" i="17" s="1"/>
  <c r="L77" i="17" s="1"/>
  <c r="J81" i="17"/>
  <c r="K81" i="17" s="1"/>
  <c r="L81" i="17" s="1"/>
  <c r="F65" i="17"/>
  <c r="F73" i="17" s="1"/>
  <c r="E73" i="17"/>
  <c r="J78" i="17"/>
  <c r="K78" i="17" s="1"/>
  <c r="L78" i="17" s="1"/>
  <c r="E54" i="17"/>
  <c r="F64" i="17"/>
  <c r="F72" i="17" s="1"/>
  <c r="E72" i="17"/>
  <c r="R98" i="17"/>
  <c r="X98" i="17" s="1"/>
  <c r="AD98" i="17" s="1"/>
  <c r="F96" i="17"/>
  <c r="Q63" i="17"/>
  <c r="W63" i="17" s="1"/>
  <c r="AC63" i="17" s="1"/>
  <c r="L94" i="17"/>
  <c r="R94" i="17" s="1"/>
  <c r="X94" i="17" s="1"/>
  <c r="AD94" i="17" s="1"/>
  <c r="G122" i="17"/>
  <c r="L122" i="17"/>
  <c r="R122" i="17" s="1"/>
  <c r="L114" i="17"/>
  <c r="R114" i="17" s="1"/>
  <c r="Q64" i="17"/>
  <c r="W64" i="17" s="1"/>
  <c r="AC64" i="17" s="1"/>
  <c r="Q65" i="17"/>
  <c r="W65" i="17" s="1"/>
  <c r="AC65" i="17" s="1"/>
  <c r="Q62" i="17"/>
  <c r="W62" i="17" s="1"/>
  <c r="AC62" i="17" s="1"/>
  <c r="F53" i="17"/>
  <c r="V73" i="17" l="1"/>
  <c r="W73" i="17" s="1"/>
  <c r="X73" i="17" s="1"/>
  <c r="AA73" i="17"/>
  <c r="AB73" i="17" s="1"/>
  <c r="AC73" i="17" s="1"/>
  <c r="AD73" i="17" s="1"/>
  <c r="V72" i="17"/>
  <c r="W72" i="17" s="1"/>
  <c r="X72" i="17" s="1"/>
  <c r="AA72" i="17"/>
  <c r="AB72" i="17" s="1"/>
  <c r="AC72" i="17" s="1"/>
  <c r="AD72" i="17" s="1"/>
  <c r="V74" i="17"/>
  <c r="W74" i="17" s="1"/>
  <c r="X74" i="17" s="1"/>
  <c r="AA74" i="17"/>
  <c r="AB74" i="17" s="1"/>
  <c r="AC74" i="17" s="1"/>
  <c r="AD74" i="17" s="1"/>
  <c r="V97" i="17"/>
  <c r="W97" i="17" s="1"/>
  <c r="X97" i="17" s="1"/>
  <c r="AA97" i="17"/>
  <c r="AB97" i="17" s="1"/>
  <c r="AC97" i="17" s="1"/>
  <c r="AD97" i="17" s="1"/>
  <c r="P81" i="17"/>
  <c r="Q81" i="17" s="1"/>
  <c r="R81" i="17" s="1"/>
  <c r="U81" i="17"/>
  <c r="V69" i="17"/>
  <c r="W69" i="17" s="1"/>
  <c r="X69" i="17" s="1"/>
  <c r="AA69" i="17"/>
  <c r="AB69" i="17" s="1"/>
  <c r="AC69" i="17" s="1"/>
  <c r="AD69" i="17" s="1"/>
  <c r="V71" i="17"/>
  <c r="W71" i="17" s="1"/>
  <c r="X71" i="17" s="1"/>
  <c r="AA71" i="17"/>
  <c r="AB71" i="17" s="1"/>
  <c r="AC71" i="17" s="1"/>
  <c r="AD71" i="17" s="1"/>
  <c r="P78" i="17"/>
  <c r="Q78" i="17" s="1"/>
  <c r="R78" i="17" s="1"/>
  <c r="U78" i="17"/>
  <c r="V96" i="17"/>
  <c r="W96" i="17" s="1"/>
  <c r="X96" i="17" s="1"/>
  <c r="AA96" i="17"/>
  <c r="AB96" i="17" s="1"/>
  <c r="AC96" i="17" s="1"/>
  <c r="AD96" i="17" s="1"/>
  <c r="P79" i="17"/>
  <c r="Q79" i="17" s="1"/>
  <c r="R79" i="17" s="1"/>
  <c r="U79" i="17"/>
  <c r="P80" i="17"/>
  <c r="Q80" i="17" s="1"/>
  <c r="R80" i="17" s="1"/>
  <c r="U80" i="17"/>
  <c r="P77" i="17"/>
  <c r="Q77" i="17" s="1"/>
  <c r="R77" i="17" s="1"/>
  <c r="U77" i="17"/>
  <c r="V70" i="17"/>
  <c r="W70" i="17" s="1"/>
  <c r="X70" i="17" s="1"/>
  <c r="AA70" i="17"/>
  <c r="AB70" i="17" s="1"/>
  <c r="AC70" i="17" s="1"/>
  <c r="AD70" i="17" s="1"/>
  <c r="P82" i="17"/>
  <c r="Q82" i="17" s="1"/>
  <c r="R82" i="17" s="1"/>
  <c r="U82" i="17"/>
  <c r="L96" i="17"/>
  <c r="K52" i="17"/>
  <c r="L52" i="17" s="1"/>
  <c r="O52" i="17"/>
  <c r="O55" i="17"/>
  <c r="O57" i="17"/>
  <c r="O53" i="17"/>
  <c r="O56" i="17"/>
  <c r="O54" i="17"/>
  <c r="F54" i="17"/>
  <c r="F56" i="17"/>
  <c r="F55" i="17"/>
  <c r="R65" i="17"/>
  <c r="X65" i="17" s="1"/>
  <c r="AD65" i="17" s="1"/>
  <c r="R64" i="17"/>
  <c r="X64" i="17" s="1"/>
  <c r="AD64" i="17" s="1"/>
  <c r="R62" i="17"/>
  <c r="X62" i="17" s="1"/>
  <c r="AD62" i="17" s="1"/>
  <c r="R63" i="17"/>
  <c r="X63" i="17" s="1"/>
  <c r="AD63" i="17" s="1"/>
  <c r="V78" i="17" l="1"/>
  <c r="W78" i="17" s="1"/>
  <c r="X78" i="17" s="1"/>
  <c r="AA78" i="17"/>
  <c r="AB78" i="17" s="1"/>
  <c r="AC78" i="17" s="1"/>
  <c r="AD78" i="17" s="1"/>
  <c r="V77" i="17"/>
  <c r="W77" i="17" s="1"/>
  <c r="X77" i="17" s="1"/>
  <c r="AA77" i="17"/>
  <c r="AB77" i="17" s="1"/>
  <c r="AC77" i="17" s="1"/>
  <c r="AD77" i="17" s="1"/>
  <c r="P53" i="17"/>
  <c r="Q53" i="17" s="1"/>
  <c r="R53" i="17" s="1"/>
  <c r="U53" i="17"/>
  <c r="V80" i="17"/>
  <c r="W80" i="17" s="1"/>
  <c r="X80" i="17" s="1"/>
  <c r="AA80" i="17"/>
  <c r="AB80" i="17" s="1"/>
  <c r="AC80" i="17" s="1"/>
  <c r="AD80" i="17" s="1"/>
  <c r="P57" i="17"/>
  <c r="Q57" i="17" s="1"/>
  <c r="R57" i="17" s="1"/>
  <c r="U57" i="17"/>
  <c r="V82" i="17"/>
  <c r="W82" i="17" s="1"/>
  <c r="X82" i="17" s="1"/>
  <c r="AA82" i="17"/>
  <c r="AB82" i="17" s="1"/>
  <c r="AC82" i="17" s="1"/>
  <c r="AD82" i="17" s="1"/>
  <c r="P54" i="17"/>
  <c r="Q54" i="17" s="1"/>
  <c r="R54" i="17" s="1"/>
  <c r="U54" i="17"/>
  <c r="P56" i="17"/>
  <c r="Q56" i="17" s="1"/>
  <c r="R56" i="17" s="1"/>
  <c r="U56" i="17"/>
  <c r="V81" i="17"/>
  <c r="W81" i="17" s="1"/>
  <c r="X81" i="17" s="1"/>
  <c r="AA81" i="17"/>
  <c r="AB81" i="17" s="1"/>
  <c r="AC81" i="17" s="1"/>
  <c r="AD81" i="17" s="1"/>
  <c r="P55" i="17"/>
  <c r="Q55" i="17" s="1"/>
  <c r="R55" i="17" s="1"/>
  <c r="U55" i="17"/>
  <c r="V79" i="17"/>
  <c r="W79" i="17" s="1"/>
  <c r="X79" i="17" s="1"/>
  <c r="AA79" i="17"/>
  <c r="AB79" i="17" s="1"/>
  <c r="AC79" i="17" s="1"/>
  <c r="AD79" i="17" s="1"/>
  <c r="P52" i="17"/>
  <c r="Q52" i="17" s="1"/>
  <c r="R52" i="17" s="1"/>
  <c r="U52" i="17"/>
  <c r="F11" i="5"/>
  <c r="V53" i="17" l="1"/>
  <c r="W53" i="17" s="1"/>
  <c r="X53" i="17" s="1"/>
  <c r="AA53" i="17"/>
  <c r="AB53" i="17" s="1"/>
  <c r="AC53" i="17" s="1"/>
  <c r="AD53" i="17" s="1"/>
  <c r="V57" i="17"/>
  <c r="W57" i="17" s="1"/>
  <c r="X57" i="17" s="1"/>
  <c r="AA57" i="17"/>
  <c r="AB57" i="17" s="1"/>
  <c r="AC57" i="17" s="1"/>
  <c r="AD57" i="17" s="1"/>
  <c r="V52" i="17"/>
  <c r="W52" i="17" s="1"/>
  <c r="X52" i="17" s="1"/>
  <c r="AA52" i="17"/>
  <c r="AB52" i="17" s="1"/>
  <c r="AC52" i="17" s="1"/>
  <c r="AD52" i="17" s="1"/>
  <c r="V55" i="17"/>
  <c r="W55" i="17" s="1"/>
  <c r="X55" i="17" s="1"/>
  <c r="AA55" i="17"/>
  <c r="AB55" i="17" s="1"/>
  <c r="AC55" i="17" s="1"/>
  <c r="AD55" i="17" s="1"/>
  <c r="V56" i="17"/>
  <c r="W56" i="17" s="1"/>
  <c r="X56" i="17" s="1"/>
  <c r="AA56" i="17"/>
  <c r="AB56" i="17" s="1"/>
  <c r="AC56" i="17" s="1"/>
  <c r="AD56" i="17" s="1"/>
  <c r="V54" i="17"/>
  <c r="W54" i="17" s="1"/>
  <c r="X54" i="17" s="1"/>
  <c r="AA54" i="17"/>
  <c r="AB54" i="17" s="1"/>
  <c r="AC54" i="17" s="1"/>
  <c r="AD54" i="17" s="1"/>
  <c r="N16" i="7"/>
  <c r="C85" i="7" l="1"/>
  <c r="D85" i="7" s="1"/>
  <c r="E85" i="7" s="1"/>
  <c r="F85" i="7" s="1"/>
  <c r="G85" i="7" s="1"/>
  <c r="I48" i="7"/>
  <c r="O48" i="7" s="1"/>
  <c r="I42" i="7"/>
  <c r="O42" i="7" s="1"/>
  <c r="I39" i="7"/>
  <c r="O39" i="7" s="1"/>
  <c r="H5" i="7"/>
  <c r="N5" i="7" s="1"/>
  <c r="H11" i="7"/>
  <c r="H4" i="7"/>
  <c r="N4" i="7" s="1"/>
  <c r="C82" i="7"/>
  <c r="C31" i="7" s="1"/>
  <c r="C83" i="7"/>
  <c r="C32" i="7" s="1"/>
  <c r="I32" i="7" s="1"/>
  <c r="O32" i="7" s="1"/>
  <c r="C84" i="7"/>
  <c r="I84" i="7" s="1"/>
  <c r="O84" i="7" s="1"/>
  <c r="C81" i="7"/>
  <c r="C30" i="7" s="1"/>
  <c r="D48" i="7"/>
  <c r="E48" i="7" s="1"/>
  <c r="F48" i="7" s="1"/>
  <c r="G48" i="7" s="1"/>
  <c r="D42" i="7"/>
  <c r="E42" i="7" s="1"/>
  <c r="F42" i="7" s="1"/>
  <c r="G42" i="7" s="1"/>
  <c r="E30" i="5"/>
  <c r="E29" i="5"/>
  <c r="E28" i="5"/>
  <c r="E27" i="5"/>
  <c r="E25" i="5"/>
  <c r="E24" i="5"/>
  <c r="E11" i="5"/>
  <c r="J10" i="5"/>
  <c r="H10" i="5"/>
  <c r="J9" i="5"/>
  <c r="H9" i="5"/>
  <c r="J8" i="5"/>
  <c r="H8" i="5"/>
  <c r="J7" i="5"/>
  <c r="H7" i="5"/>
  <c r="J6" i="5"/>
  <c r="H6" i="5"/>
  <c r="J5" i="5"/>
  <c r="H5" i="5"/>
  <c r="J4" i="5"/>
  <c r="H4" i="5"/>
  <c r="C9" i="16"/>
  <c r="C8" i="16"/>
  <c r="F7" i="16"/>
  <c r="C7" i="16"/>
  <c r="L48" i="7" l="1"/>
  <c r="R48" i="7" s="1"/>
  <c r="I82" i="7"/>
  <c r="O82" i="7" s="1"/>
  <c r="K48" i="7"/>
  <c r="Q48" i="7" s="1"/>
  <c r="I83" i="7"/>
  <c r="O83" i="7" s="1"/>
  <c r="K42" i="7"/>
  <c r="Q42" i="7" s="1"/>
  <c r="J42" i="7"/>
  <c r="P42" i="7" s="1"/>
  <c r="L42" i="7"/>
  <c r="R42" i="7" s="1"/>
  <c r="J48" i="7"/>
  <c r="P48" i="7" s="1"/>
  <c r="I81" i="7"/>
  <c r="O81" i="7" s="1"/>
  <c r="F29" i="15"/>
  <c r="F28" i="15"/>
  <c r="B32" i="2"/>
  <c r="B12" i="7" l="1"/>
  <c r="H12" i="7" s="1"/>
  <c r="B13" i="7"/>
  <c r="H13" i="7" s="1"/>
  <c r="AH39" i="12" l="1"/>
  <c r="L39" i="12"/>
  <c r="AP37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AR37" i="12" s="1"/>
  <c r="Y37" i="12"/>
  <c r="C37" i="12"/>
  <c r="V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D37" i="12"/>
  <c r="D84" i="7"/>
  <c r="C34" i="7"/>
  <c r="D71" i="7"/>
  <c r="J71" i="7" s="1"/>
  <c r="P71" i="7" s="1"/>
  <c r="E71" i="7"/>
  <c r="K71" i="7" s="1"/>
  <c r="Q71" i="7" s="1"/>
  <c r="F71" i="7"/>
  <c r="L71" i="7" s="1"/>
  <c r="R71" i="7" s="1"/>
  <c r="G71" i="7"/>
  <c r="C71" i="7"/>
  <c r="I71" i="7" s="1"/>
  <c r="O71" i="7" s="1"/>
  <c r="G19" i="6"/>
  <c r="G20" i="6"/>
  <c r="G21" i="6"/>
  <c r="G18" i="6"/>
  <c r="E9" i="6"/>
  <c r="D9" i="6"/>
  <c r="C9" i="6"/>
  <c r="B9" i="6"/>
  <c r="D42" i="6" l="1"/>
  <c r="E42" i="6"/>
  <c r="B38" i="6"/>
  <c r="C38" i="6"/>
  <c r="G22" i="6"/>
  <c r="G27" i="6" s="1"/>
  <c r="I30" i="7"/>
  <c r="O30" i="7" s="1"/>
  <c r="I31" i="7"/>
  <c r="O31" i="7" s="1"/>
  <c r="E84" i="7"/>
  <c r="J84" i="7"/>
  <c r="P84" i="7" s="1"/>
  <c r="E39" i="7"/>
  <c r="J39" i="7"/>
  <c r="P39" i="7" s="1"/>
  <c r="D81" i="7"/>
  <c r="J81" i="7" s="1"/>
  <c r="P81" i="7" s="1"/>
  <c r="D83" i="7"/>
  <c r="J83" i="7" s="1"/>
  <c r="P83" i="7" s="1"/>
  <c r="D82" i="7"/>
  <c r="J82" i="7" s="1"/>
  <c r="P82" i="7" s="1"/>
  <c r="F42" i="6"/>
  <c r="E27" i="6" l="1"/>
  <c r="F27" i="6"/>
  <c r="D27" i="6"/>
  <c r="F39" i="7"/>
  <c r="K39" i="7"/>
  <c r="Q39" i="7" s="1"/>
  <c r="F84" i="7"/>
  <c r="K84" i="7"/>
  <c r="Q84" i="7" s="1"/>
  <c r="E82" i="7"/>
  <c r="K82" i="7" s="1"/>
  <c r="Q82" i="7" s="1"/>
  <c r="D31" i="7"/>
  <c r="E83" i="7"/>
  <c r="K83" i="7" s="1"/>
  <c r="Q83" i="7" s="1"/>
  <c r="D32" i="7"/>
  <c r="J32" i="7" s="1"/>
  <c r="P32" i="7" s="1"/>
  <c r="E81" i="7"/>
  <c r="K81" i="7" s="1"/>
  <c r="Q81" i="7" s="1"/>
  <c r="D30" i="7"/>
  <c r="D14" i="1"/>
  <c r="J14" i="1" s="1"/>
  <c r="N12" i="1"/>
  <c r="M12" i="1"/>
  <c r="J11" i="1"/>
  <c r="J12" i="1"/>
  <c r="J9" i="1"/>
  <c r="K10" i="1"/>
  <c r="K13" i="1" s="1"/>
  <c r="C56" i="7"/>
  <c r="G29" i="6"/>
  <c r="F29" i="6" s="1"/>
  <c r="G69" i="7" s="1"/>
  <c r="C28" i="6"/>
  <c r="C39" i="6" s="1"/>
  <c r="K46" i="9"/>
  <c r="J46" i="9"/>
  <c r="D46" i="9"/>
  <c r="C46" i="9"/>
  <c r="E11" i="1"/>
  <c r="E13" i="1" s="1"/>
  <c r="F12" i="1"/>
  <c r="H12" i="1" s="1"/>
  <c r="H14" i="1" s="1"/>
  <c r="F5" i="6"/>
  <c r="F9" i="6" s="1"/>
  <c r="D38" i="6" l="1"/>
  <c r="E42" i="17"/>
  <c r="K42" i="17" s="1"/>
  <c r="Q42" i="17" s="1"/>
  <c r="E38" i="6"/>
  <c r="F42" i="17"/>
  <c r="L42" i="17" s="1"/>
  <c r="R42" i="17" s="1"/>
  <c r="D68" i="7"/>
  <c r="J68" i="7" s="1"/>
  <c r="P68" i="7" s="1"/>
  <c r="D43" i="17"/>
  <c r="J43" i="17" s="1"/>
  <c r="P43" i="17" s="1"/>
  <c r="B18" i="17"/>
  <c r="B16" i="7"/>
  <c r="H16" i="7" s="1"/>
  <c r="B17" i="17"/>
  <c r="B15" i="7"/>
  <c r="H15" i="7" s="1"/>
  <c r="B16" i="17"/>
  <c r="B14" i="7"/>
  <c r="H14" i="7" s="1"/>
  <c r="D34" i="7"/>
  <c r="J30" i="7" s="1"/>
  <c r="P30" i="7" s="1"/>
  <c r="G84" i="7"/>
  <c r="L84" i="7"/>
  <c r="R84" i="7" s="1"/>
  <c r="G39" i="7"/>
  <c r="L39" i="7"/>
  <c r="R39" i="7" s="1"/>
  <c r="F81" i="7"/>
  <c r="L81" i="7" s="1"/>
  <c r="R81" i="7" s="1"/>
  <c r="E30" i="7"/>
  <c r="F83" i="7"/>
  <c r="L83" i="7" s="1"/>
  <c r="R83" i="7" s="1"/>
  <c r="E32" i="7"/>
  <c r="K32" i="7" s="1"/>
  <c r="Q32" i="7" s="1"/>
  <c r="F82" i="7"/>
  <c r="L82" i="7" s="1"/>
  <c r="R82" i="7" s="1"/>
  <c r="E31" i="7"/>
  <c r="D56" i="7"/>
  <c r="E56" i="7" s="1"/>
  <c r="F56" i="7" s="1"/>
  <c r="G56" i="7" s="1"/>
  <c r="E29" i="6"/>
  <c r="E40" i="6" s="1"/>
  <c r="D29" i="6"/>
  <c r="D40" i="6" s="1"/>
  <c r="G28" i="6"/>
  <c r="C30" i="6"/>
  <c r="C41" i="6" s="1"/>
  <c r="C29" i="6"/>
  <c r="C40" i="6" s="1"/>
  <c r="B28" i="6"/>
  <c r="B39" i="6" s="1"/>
  <c r="G31" i="6"/>
  <c r="G30" i="6"/>
  <c r="B30" i="6"/>
  <c r="B41" i="6" s="1"/>
  <c r="B29" i="6"/>
  <c r="B40" i="6" s="1"/>
  <c r="G12" i="1"/>
  <c r="G14" i="1" s="1"/>
  <c r="D12" i="1"/>
  <c r="D9" i="1"/>
  <c r="D10" i="1" s="1"/>
  <c r="C43" i="6" l="1"/>
  <c r="B43" i="6"/>
  <c r="F69" i="7"/>
  <c r="L69" i="7" s="1"/>
  <c r="R69" i="7" s="1"/>
  <c r="F44" i="17"/>
  <c r="L44" i="17" s="1"/>
  <c r="R44" i="17" s="1"/>
  <c r="C68" i="7"/>
  <c r="I68" i="7" s="1"/>
  <c r="O68" i="7" s="1"/>
  <c r="C43" i="17"/>
  <c r="I43" i="17" s="1"/>
  <c r="O43" i="17" s="1"/>
  <c r="C69" i="7"/>
  <c r="I69" i="7" s="1"/>
  <c r="O69" i="7" s="1"/>
  <c r="C44" i="17"/>
  <c r="I44" i="17" s="1"/>
  <c r="O44" i="17" s="1"/>
  <c r="AA44" i="17" s="1"/>
  <c r="C70" i="7"/>
  <c r="I70" i="7" s="1"/>
  <c r="O70" i="7" s="1"/>
  <c r="C45" i="17"/>
  <c r="I45" i="17" s="1"/>
  <c r="O45" i="17" s="1"/>
  <c r="E69" i="7"/>
  <c r="K69" i="7" s="1"/>
  <c r="Q69" i="7" s="1"/>
  <c r="E44" i="17"/>
  <c r="K44" i="17" s="1"/>
  <c r="Q44" i="17" s="1"/>
  <c r="D69" i="7"/>
  <c r="J69" i="7" s="1"/>
  <c r="P69" i="7" s="1"/>
  <c r="D44" i="17"/>
  <c r="J44" i="17" s="1"/>
  <c r="P44" i="17" s="1"/>
  <c r="AB44" i="17" s="1"/>
  <c r="D70" i="7"/>
  <c r="J70" i="7" s="1"/>
  <c r="P70" i="7" s="1"/>
  <c r="D45" i="17"/>
  <c r="J45" i="17" s="1"/>
  <c r="P45" i="17" s="1"/>
  <c r="H17" i="17"/>
  <c r="Z17" i="17" s="1"/>
  <c r="H16" i="17"/>
  <c r="Z16" i="17" s="1"/>
  <c r="H18" i="17"/>
  <c r="Z18" i="17" s="1"/>
  <c r="J31" i="7"/>
  <c r="P31" i="7" s="1"/>
  <c r="E34" i="7"/>
  <c r="K30" i="7" s="1"/>
  <c r="Q30" i="7" s="1"/>
  <c r="G82" i="7"/>
  <c r="F31" i="7"/>
  <c r="G83" i="7"/>
  <c r="F32" i="7"/>
  <c r="L32" i="7" s="1"/>
  <c r="R32" i="7" s="1"/>
  <c r="G81" i="7"/>
  <c r="F30" i="7"/>
  <c r="E30" i="6"/>
  <c r="F30" i="6"/>
  <c r="G70" i="7" s="1"/>
  <c r="D30" i="6"/>
  <c r="F28" i="6"/>
  <c r="G68" i="7" s="1"/>
  <c r="E28" i="6"/>
  <c r="E39" i="6" s="1"/>
  <c r="D28" i="6"/>
  <c r="F8" i="1"/>
  <c r="M14" i="1" s="1"/>
  <c r="E8" i="1"/>
  <c r="D11" i="1"/>
  <c r="AA43" i="17" l="1"/>
  <c r="AA42" i="17"/>
  <c r="AB42" i="17"/>
  <c r="AB43" i="17"/>
  <c r="E43" i="17"/>
  <c r="K43" i="17" s="1"/>
  <c r="Q43" i="17" s="1"/>
  <c r="D39" i="6"/>
  <c r="F45" i="17"/>
  <c r="L45" i="17" s="1"/>
  <c r="R45" i="17" s="1"/>
  <c r="E41" i="6"/>
  <c r="E43" i="6" s="1"/>
  <c r="E45" i="6" s="1"/>
  <c r="E45" i="17"/>
  <c r="K45" i="17" s="1"/>
  <c r="Q45" i="17" s="1"/>
  <c r="D41" i="6"/>
  <c r="F40" i="6"/>
  <c r="G40" i="6"/>
  <c r="G41" i="6"/>
  <c r="G39" i="6"/>
  <c r="L8" i="1"/>
  <c r="L9" i="1" s="1"/>
  <c r="L14" i="1"/>
  <c r="N14" i="1"/>
  <c r="K31" i="7"/>
  <c r="Q31" i="7" s="1"/>
  <c r="G30" i="7"/>
  <c r="G32" i="7"/>
  <c r="F34" i="7"/>
  <c r="L31" i="7" s="1"/>
  <c r="R31" i="7" s="1"/>
  <c r="G31" i="7"/>
  <c r="D4" i="17"/>
  <c r="E68" i="7"/>
  <c r="K68" i="7" s="1"/>
  <c r="Q68" i="7" s="1"/>
  <c r="F68" i="7"/>
  <c r="L68" i="7" s="1"/>
  <c r="R68" i="7" s="1"/>
  <c r="D4" i="7"/>
  <c r="E70" i="7"/>
  <c r="K70" i="7" s="1"/>
  <c r="Q70" i="7" s="1"/>
  <c r="F70" i="7"/>
  <c r="L70" i="7" s="1"/>
  <c r="R70" i="7" s="1"/>
  <c r="E9" i="1"/>
  <c r="E10" i="1" s="1"/>
  <c r="K8" i="1"/>
  <c r="F9" i="1"/>
  <c r="F4" i="17" l="1"/>
  <c r="E47" i="6"/>
  <c r="F5" i="17" s="1"/>
  <c r="F43" i="17"/>
  <c r="L43" i="17" s="1"/>
  <c r="R43" i="17" s="1"/>
  <c r="AD43" i="17"/>
  <c r="AD42" i="17"/>
  <c r="AC43" i="17"/>
  <c r="AC42" i="17"/>
  <c r="AC44" i="17"/>
  <c r="AD44" i="17"/>
  <c r="G43" i="6"/>
  <c r="D43" i="6"/>
  <c r="D45" i="6" s="1"/>
  <c r="F41" i="6"/>
  <c r="F39" i="6"/>
  <c r="J4" i="17"/>
  <c r="P4" i="17" s="1"/>
  <c r="D6" i="17"/>
  <c r="K9" i="1"/>
  <c r="K14" i="1"/>
  <c r="F34" i="17"/>
  <c r="L4" i="17"/>
  <c r="F6" i="17"/>
  <c r="L30" i="7"/>
  <c r="R30" i="7" s="1"/>
  <c r="D5" i="7"/>
  <c r="J4" i="7"/>
  <c r="P4" i="7" s="1"/>
  <c r="AH4" i="7" s="1"/>
  <c r="G34" i="7"/>
  <c r="F4" i="7"/>
  <c r="C4" i="17"/>
  <c r="C14" i="2"/>
  <c r="B14" i="2"/>
  <c r="E4" i="17" l="1"/>
  <c r="D47" i="6"/>
  <c r="E5" i="17" s="1"/>
  <c r="G4" i="17"/>
  <c r="E4" i="7"/>
  <c r="F43" i="6"/>
  <c r="AO4" i="17"/>
  <c r="V4" i="17"/>
  <c r="V6" i="17" s="1"/>
  <c r="V18" i="17" s="1"/>
  <c r="AB4" i="17"/>
  <c r="AB6" i="17" s="1"/>
  <c r="K5" i="17"/>
  <c r="E34" i="17"/>
  <c r="D13" i="17"/>
  <c r="D12" i="17" s="1"/>
  <c r="D19" i="17" s="1"/>
  <c r="J6" i="17"/>
  <c r="C6" i="17"/>
  <c r="I4" i="17"/>
  <c r="O4" i="17" s="1"/>
  <c r="L5" i="17"/>
  <c r="L34" i="17" s="1"/>
  <c r="L6" i="17"/>
  <c r="F13" i="17"/>
  <c r="F12" i="17" s="1"/>
  <c r="R4" i="17"/>
  <c r="F5" i="7"/>
  <c r="L4" i="7"/>
  <c r="R4" i="7" s="1"/>
  <c r="AJ4" i="7" s="1"/>
  <c r="D11" i="7"/>
  <c r="J5" i="7"/>
  <c r="P5" i="7" s="1"/>
  <c r="P16" i="7" s="1"/>
  <c r="E5" i="7"/>
  <c r="K4" i="7"/>
  <c r="Q4" i="7" s="1"/>
  <c r="AI4" i="7" s="1"/>
  <c r="C4" i="7"/>
  <c r="I4" i="7" s="1"/>
  <c r="AH5" i="7"/>
  <c r="K4" i="17" l="1"/>
  <c r="Q4" i="17" s="1"/>
  <c r="E6" i="17"/>
  <c r="AB16" i="17"/>
  <c r="AB15" i="17"/>
  <c r="AB13" i="17"/>
  <c r="AB18" i="17" s="1"/>
  <c r="AB14" i="17"/>
  <c r="AB17" i="17"/>
  <c r="AN4" i="17"/>
  <c r="U4" i="17"/>
  <c r="AA4" i="17"/>
  <c r="X4" i="17"/>
  <c r="AD4" i="17" s="1"/>
  <c r="V30" i="17"/>
  <c r="V20" i="17"/>
  <c r="M4" i="17"/>
  <c r="J15" i="17"/>
  <c r="J14" i="17"/>
  <c r="J13" i="17"/>
  <c r="J18" i="17" s="1"/>
  <c r="P6" i="17"/>
  <c r="P18" i="17" s="1"/>
  <c r="J17" i="17"/>
  <c r="J16" i="17"/>
  <c r="D15" i="17"/>
  <c r="D14" i="17"/>
  <c r="D18" i="17"/>
  <c r="D17" i="17"/>
  <c r="D16" i="17"/>
  <c r="C13" i="17"/>
  <c r="C12" i="17" s="1"/>
  <c r="I6" i="17"/>
  <c r="Q5" i="17"/>
  <c r="Q34" i="17" s="1"/>
  <c r="K34" i="17"/>
  <c r="R5" i="17"/>
  <c r="R34" i="17" s="1"/>
  <c r="F19" i="17"/>
  <c r="AQ4" i="17"/>
  <c r="AQ6" i="17" s="1"/>
  <c r="S4" i="17"/>
  <c r="AR4" i="17" s="1"/>
  <c r="AR6" i="17" s="1"/>
  <c r="F14" i="17"/>
  <c r="F15" i="17"/>
  <c r="F17" i="17"/>
  <c r="F16" i="17"/>
  <c r="F18" i="17"/>
  <c r="L15" i="17"/>
  <c r="L16" i="17"/>
  <c r="L17" i="17"/>
  <c r="R6" i="17"/>
  <c r="L14" i="17"/>
  <c r="L13" i="17"/>
  <c r="M4" i="7"/>
  <c r="O4" i="7"/>
  <c r="S4" i="7" s="1"/>
  <c r="P22" i="7"/>
  <c r="P21" i="7"/>
  <c r="P19" i="7"/>
  <c r="E11" i="7"/>
  <c r="K5" i="7"/>
  <c r="Q5" i="7" s="1"/>
  <c r="Q16" i="7" s="1"/>
  <c r="J12" i="7"/>
  <c r="J13" i="7"/>
  <c r="J15" i="7"/>
  <c r="J14" i="7"/>
  <c r="J11" i="7"/>
  <c r="J16" i="7"/>
  <c r="D15" i="7"/>
  <c r="D13" i="7"/>
  <c r="D16" i="7"/>
  <c r="D19" i="7" s="1"/>
  <c r="D14" i="7"/>
  <c r="D12" i="7"/>
  <c r="F11" i="7"/>
  <c r="L5" i="7"/>
  <c r="R5" i="7" s="1"/>
  <c r="R16" i="7" s="1"/>
  <c r="AJ5" i="7"/>
  <c r="C5" i="7"/>
  <c r="G4" i="7"/>
  <c r="AI5" i="7"/>
  <c r="E13" i="17" l="1"/>
  <c r="K6" i="17"/>
  <c r="AP4" i="17"/>
  <c r="W4" i="17"/>
  <c r="AC4" i="17"/>
  <c r="AB12" i="17"/>
  <c r="AB19" i="17" s="1"/>
  <c r="AB20" i="17" s="1"/>
  <c r="AB29" i="17" s="1"/>
  <c r="G6" i="17"/>
  <c r="AD5" i="17"/>
  <c r="AD34" i="17" s="1"/>
  <c r="AD6" i="17"/>
  <c r="Y4" i="17"/>
  <c r="U6" i="17"/>
  <c r="AA6" i="17"/>
  <c r="V26" i="17"/>
  <c r="V23" i="17"/>
  <c r="V27" i="17"/>
  <c r="V31" i="17"/>
  <c r="V34" i="17"/>
  <c r="V24" i="17"/>
  <c r="V25" i="17"/>
  <c r="X5" i="17"/>
  <c r="X34" i="17" s="1"/>
  <c r="X6" i="17"/>
  <c r="X18" i="17" s="1"/>
  <c r="C19" i="17"/>
  <c r="B12" i="17"/>
  <c r="I13" i="17"/>
  <c r="I18" i="17" s="1"/>
  <c r="O6" i="17"/>
  <c r="O18" i="17" s="1"/>
  <c r="I14" i="17"/>
  <c r="I15" i="17"/>
  <c r="I17" i="17"/>
  <c r="I16" i="17"/>
  <c r="D34" i="17"/>
  <c r="D20" i="17"/>
  <c r="C15" i="17"/>
  <c r="C14" i="17"/>
  <c r="C17" i="17"/>
  <c r="C16" i="17"/>
  <c r="C18" i="17"/>
  <c r="G13" i="17"/>
  <c r="P20" i="17"/>
  <c r="P30" i="17"/>
  <c r="J12" i="17"/>
  <c r="J19" i="17" s="1"/>
  <c r="J20" i="17" s="1"/>
  <c r="J29" i="17" s="1"/>
  <c r="AG4" i="7"/>
  <c r="AG5" i="7" s="1"/>
  <c r="M6" i="17"/>
  <c r="L18" i="17"/>
  <c r="F20" i="17"/>
  <c r="F23" i="17" s="1"/>
  <c r="L12" i="17"/>
  <c r="L19" i="17" s="1"/>
  <c r="R18" i="17"/>
  <c r="R30" i="17" s="1"/>
  <c r="R22" i="7"/>
  <c r="R21" i="7"/>
  <c r="R19" i="7"/>
  <c r="P24" i="7"/>
  <c r="P20" i="7"/>
  <c r="Q21" i="7"/>
  <c r="Q22" i="7"/>
  <c r="Q19" i="7"/>
  <c r="F16" i="7"/>
  <c r="F14" i="7"/>
  <c r="F12" i="7"/>
  <c r="F15" i="7"/>
  <c r="F13" i="7"/>
  <c r="I5" i="7"/>
  <c r="K12" i="7"/>
  <c r="K13" i="7"/>
  <c r="K14" i="7"/>
  <c r="K15" i="7"/>
  <c r="K16" i="7"/>
  <c r="K11" i="7"/>
  <c r="J22" i="7"/>
  <c r="J19" i="7"/>
  <c r="J21" i="7"/>
  <c r="L14" i="7"/>
  <c r="L12" i="7"/>
  <c r="L15" i="7"/>
  <c r="L11" i="7"/>
  <c r="L13" i="7"/>
  <c r="L16" i="7"/>
  <c r="D22" i="7"/>
  <c r="D21" i="7"/>
  <c r="E16" i="7"/>
  <c r="E14" i="7"/>
  <c r="E12" i="7"/>
  <c r="E15" i="7"/>
  <c r="E13" i="7"/>
  <c r="G5" i="7"/>
  <c r="C11" i="7"/>
  <c r="C16" i="7" s="1"/>
  <c r="C19" i="7" s="1"/>
  <c r="C20" i="7" s="1"/>
  <c r="AK4" i="7"/>
  <c r="AB30" i="17" l="1"/>
  <c r="AB27" i="17"/>
  <c r="AB34" i="17"/>
  <c r="AB26" i="17"/>
  <c r="AB23" i="17"/>
  <c r="AC6" i="17"/>
  <c r="AC5" i="17"/>
  <c r="AC34" i="17" s="1"/>
  <c r="G15" i="17"/>
  <c r="AB24" i="17"/>
  <c r="AB22" i="17" s="1"/>
  <c r="W6" i="17"/>
  <c r="W18" i="17" s="1"/>
  <c r="W5" i="17"/>
  <c r="W34" i="17" s="1"/>
  <c r="AB25" i="17"/>
  <c r="AB31" i="17"/>
  <c r="K13" i="17"/>
  <c r="Q6" i="17"/>
  <c r="Q18" i="17" s="1"/>
  <c r="K16" i="17"/>
  <c r="M16" i="17" s="1"/>
  <c r="K17" i="17"/>
  <c r="M17" i="17" s="1"/>
  <c r="K14" i="17"/>
  <c r="M14" i="17" s="1"/>
  <c r="K15" i="17"/>
  <c r="M15" i="17" s="1"/>
  <c r="AE4" i="17"/>
  <c r="AF4" i="17" s="1"/>
  <c r="E12" i="17"/>
  <c r="E14" i="17"/>
  <c r="G14" i="17" s="1"/>
  <c r="E18" i="17"/>
  <c r="G18" i="17" s="1"/>
  <c r="E16" i="17"/>
  <c r="G16" i="17" s="1"/>
  <c r="E15" i="17"/>
  <c r="E17" i="17"/>
  <c r="G17" i="17" s="1"/>
  <c r="M13" i="17"/>
  <c r="D30" i="17"/>
  <c r="D31" i="17"/>
  <c r="D29" i="17"/>
  <c r="X30" i="17"/>
  <c r="X20" i="17"/>
  <c r="AA13" i="17"/>
  <c r="AA12" i="17" s="1"/>
  <c r="AA17" i="17"/>
  <c r="AA16" i="17"/>
  <c r="AA14" i="17"/>
  <c r="AA15" i="17"/>
  <c r="V22" i="17"/>
  <c r="U18" i="17"/>
  <c r="AD14" i="17"/>
  <c r="AD16" i="17"/>
  <c r="AD13" i="17"/>
  <c r="AD18" i="17" s="1"/>
  <c r="AD17" i="17"/>
  <c r="AD15" i="17"/>
  <c r="AD12" i="17"/>
  <c r="AD19" i="17" s="1"/>
  <c r="AB28" i="17"/>
  <c r="F26" i="17"/>
  <c r="F31" i="17"/>
  <c r="F30" i="17"/>
  <c r="F29" i="17"/>
  <c r="I12" i="17"/>
  <c r="I19" i="17" s="1"/>
  <c r="I20" i="17" s="1"/>
  <c r="I29" i="17" s="1"/>
  <c r="S6" i="17"/>
  <c r="F24" i="17"/>
  <c r="F27" i="17"/>
  <c r="F25" i="17"/>
  <c r="J27" i="17"/>
  <c r="J25" i="17"/>
  <c r="J31" i="17"/>
  <c r="J23" i="17"/>
  <c r="J24" i="17"/>
  <c r="J34" i="17"/>
  <c r="J26" i="17"/>
  <c r="J30" i="17"/>
  <c r="C34" i="17"/>
  <c r="G34" i="17" s="1"/>
  <c r="C20" i="17"/>
  <c r="O20" i="17"/>
  <c r="O30" i="17"/>
  <c r="D24" i="17"/>
  <c r="D23" i="17"/>
  <c r="D25" i="17"/>
  <c r="D26" i="17"/>
  <c r="D27" i="17"/>
  <c r="P34" i="17"/>
  <c r="P31" i="17"/>
  <c r="P25" i="17"/>
  <c r="P23" i="17"/>
  <c r="P24" i="17"/>
  <c r="P27" i="17"/>
  <c r="P26" i="17"/>
  <c r="R20" i="17"/>
  <c r="R31" i="17" s="1"/>
  <c r="Q20" i="7"/>
  <c r="Q24" i="7"/>
  <c r="R24" i="7"/>
  <c r="R20" i="7"/>
  <c r="O5" i="7"/>
  <c r="M5" i="7"/>
  <c r="L22" i="7"/>
  <c r="L21" i="7"/>
  <c r="L19" i="7"/>
  <c r="E22" i="7"/>
  <c r="E19" i="7"/>
  <c r="E21" i="7"/>
  <c r="I13" i="7"/>
  <c r="M13" i="7" s="1"/>
  <c r="I11" i="7"/>
  <c r="M11" i="7" s="1"/>
  <c r="I14" i="7"/>
  <c r="M14" i="7" s="1"/>
  <c r="I15" i="7"/>
  <c r="M15" i="7" s="1"/>
  <c r="I16" i="7"/>
  <c r="M16" i="7" s="1"/>
  <c r="I12" i="7"/>
  <c r="M12" i="7" s="1"/>
  <c r="J20" i="7"/>
  <c r="J24" i="7"/>
  <c r="D20" i="7"/>
  <c r="D24" i="7"/>
  <c r="K21" i="7"/>
  <c r="K22" i="7"/>
  <c r="K19" i="7"/>
  <c r="F22" i="7"/>
  <c r="F19" i="7"/>
  <c r="F21" i="7"/>
  <c r="C13" i="7"/>
  <c r="G13" i="7" s="1"/>
  <c r="C12" i="7"/>
  <c r="C14" i="7"/>
  <c r="G14" i="7" s="1"/>
  <c r="G11" i="7"/>
  <c r="C15" i="7"/>
  <c r="G15" i="7" s="1"/>
  <c r="AK5" i="7"/>
  <c r="Y6" i="17" l="1"/>
  <c r="E19" i="17"/>
  <c r="G19" i="17" s="1"/>
  <c r="G12" i="17"/>
  <c r="W30" i="17"/>
  <c r="W20" i="17"/>
  <c r="Q20" i="17"/>
  <c r="Q30" i="17"/>
  <c r="S30" i="17" s="1"/>
  <c r="AC14" i="17"/>
  <c r="AE14" i="17" s="1"/>
  <c r="AF14" i="17" s="1"/>
  <c r="AC15" i="17"/>
  <c r="AE15" i="17" s="1"/>
  <c r="AF15" i="17" s="1"/>
  <c r="AC16" i="17"/>
  <c r="AE16" i="17" s="1"/>
  <c r="AF16" i="17" s="1"/>
  <c r="AC13" i="17"/>
  <c r="AE13" i="17" s="1"/>
  <c r="AF13" i="17" s="1"/>
  <c r="AC17" i="17"/>
  <c r="AE17" i="17" s="1"/>
  <c r="AF17" i="17" s="1"/>
  <c r="K18" i="17"/>
  <c r="M18" i="17" s="1"/>
  <c r="K12" i="17"/>
  <c r="E20" i="17"/>
  <c r="S18" i="17"/>
  <c r="AE6" i="17"/>
  <c r="AF6" i="17" s="1"/>
  <c r="AB32" i="17"/>
  <c r="AB36" i="17" s="1"/>
  <c r="H12" i="17"/>
  <c r="Z12" i="17" s="1"/>
  <c r="AA19" i="17"/>
  <c r="C30" i="17"/>
  <c r="C31" i="17"/>
  <c r="C29" i="17"/>
  <c r="AA18" i="17"/>
  <c r="Y18" i="17"/>
  <c r="U20" i="17"/>
  <c r="U30" i="17"/>
  <c r="Y30" i="17" s="1"/>
  <c r="AD20" i="17"/>
  <c r="AD29" i="17" s="1"/>
  <c r="X27" i="17"/>
  <c r="X26" i="17"/>
  <c r="X31" i="17"/>
  <c r="X23" i="17"/>
  <c r="X25" i="17"/>
  <c r="X24" i="17"/>
  <c r="F28" i="17"/>
  <c r="D28" i="17"/>
  <c r="F22" i="17"/>
  <c r="P22" i="17"/>
  <c r="D22" i="17"/>
  <c r="J22" i="17"/>
  <c r="I24" i="17"/>
  <c r="I31" i="17"/>
  <c r="I30" i="17"/>
  <c r="I27" i="17"/>
  <c r="I23" i="17"/>
  <c r="I34" i="17"/>
  <c r="M34" i="17" s="1"/>
  <c r="I26" i="17"/>
  <c r="I25" i="17"/>
  <c r="J28" i="17"/>
  <c r="O34" i="17"/>
  <c r="S34" i="17" s="1"/>
  <c r="O31" i="17"/>
  <c r="O26" i="17"/>
  <c r="O23" i="17"/>
  <c r="O25" i="17"/>
  <c r="O24" i="17"/>
  <c r="O27" i="17"/>
  <c r="C25" i="17"/>
  <c r="C23" i="17"/>
  <c r="C27" i="17"/>
  <c r="C26" i="17"/>
  <c r="C24" i="17"/>
  <c r="G20" i="17"/>
  <c r="L20" i="17"/>
  <c r="R27" i="17"/>
  <c r="R24" i="17"/>
  <c r="R23" i="17"/>
  <c r="R25" i="17"/>
  <c r="R26" i="17"/>
  <c r="S20" i="17"/>
  <c r="S104" i="17" s="1"/>
  <c r="S5" i="7"/>
  <c r="O16" i="7"/>
  <c r="F24" i="7"/>
  <c r="F20" i="7"/>
  <c r="K20" i="7"/>
  <c r="K24" i="7"/>
  <c r="E20" i="7"/>
  <c r="E24" i="7"/>
  <c r="L20" i="7"/>
  <c r="L24" i="7"/>
  <c r="I22" i="7"/>
  <c r="M22" i="7" s="1"/>
  <c r="I19" i="7"/>
  <c r="M19" i="7" s="1"/>
  <c r="I21" i="7"/>
  <c r="M21" i="7" s="1"/>
  <c r="C21" i="7"/>
  <c r="C22" i="7"/>
  <c r="G16" i="7"/>
  <c r="G12" i="7"/>
  <c r="X22" i="17" l="1"/>
  <c r="Q26" i="17"/>
  <c r="S26" i="17" s="1"/>
  <c r="Q25" i="17"/>
  <c r="S25" i="17" s="1"/>
  <c r="Q24" i="17"/>
  <c r="S24" i="17" s="1"/>
  <c r="Q31" i="17"/>
  <c r="S31" i="17" s="1"/>
  <c r="Q23" i="17"/>
  <c r="S23" i="17" s="1"/>
  <c r="Q27" i="17"/>
  <c r="S27" i="17" s="1"/>
  <c r="K19" i="17"/>
  <c r="M12" i="17"/>
  <c r="W27" i="17"/>
  <c r="W24" i="17"/>
  <c r="W26" i="17"/>
  <c r="W25" i="17"/>
  <c r="W31" i="17"/>
  <c r="W23" i="17"/>
  <c r="G27" i="17"/>
  <c r="G25" i="17"/>
  <c r="E30" i="17"/>
  <c r="G30" i="17" s="1"/>
  <c r="E31" i="17"/>
  <c r="G31" i="17" s="1"/>
  <c r="E26" i="17"/>
  <c r="G26" i="17" s="1"/>
  <c r="E29" i="17"/>
  <c r="G29" i="17" s="1"/>
  <c r="E23" i="17"/>
  <c r="E24" i="17"/>
  <c r="G24" i="17" s="1"/>
  <c r="E27" i="17"/>
  <c r="E25" i="17"/>
  <c r="AC18" i="17"/>
  <c r="AC12" i="17"/>
  <c r="J32" i="17"/>
  <c r="J36" i="17" s="1"/>
  <c r="AA20" i="17"/>
  <c r="AA29" i="17" s="1"/>
  <c r="AE18" i="17"/>
  <c r="AF18" i="17" s="1"/>
  <c r="U27" i="17"/>
  <c r="U26" i="17"/>
  <c r="U31" i="17"/>
  <c r="Y20" i="17"/>
  <c r="U24" i="17"/>
  <c r="Y24" i="17" s="1"/>
  <c r="U34" i="17"/>
  <c r="Y34" i="17" s="1"/>
  <c r="U25" i="17"/>
  <c r="Y25" i="17" s="1"/>
  <c r="U23" i="17"/>
  <c r="L30" i="17"/>
  <c r="L29" i="17"/>
  <c r="R104" i="17"/>
  <c r="Y104" i="17"/>
  <c r="P104" i="17"/>
  <c r="Q104" i="17"/>
  <c r="O104" i="17"/>
  <c r="AD23" i="17"/>
  <c r="AD25" i="17"/>
  <c r="AD24" i="17"/>
  <c r="AD27" i="17"/>
  <c r="AD30" i="17"/>
  <c r="AD26" i="17"/>
  <c r="AD31" i="17"/>
  <c r="D32" i="17"/>
  <c r="D36" i="17" s="1"/>
  <c r="F32" i="17"/>
  <c r="F36" i="17" s="1"/>
  <c r="C28" i="17"/>
  <c r="C22" i="17"/>
  <c r="G23" i="17"/>
  <c r="I28" i="17"/>
  <c r="O22" i="17"/>
  <c r="I22" i="17"/>
  <c r="L31" i="17"/>
  <c r="R22" i="17"/>
  <c r="L23" i="17"/>
  <c r="L25" i="17"/>
  <c r="L27" i="17"/>
  <c r="L24" i="17"/>
  <c r="L26" i="17"/>
  <c r="S16" i="7"/>
  <c r="O22" i="7"/>
  <c r="S22" i="7" s="1"/>
  <c r="O21" i="7"/>
  <c r="S21" i="7" s="1"/>
  <c r="O19" i="7"/>
  <c r="C24" i="7"/>
  <c r="I20" i="7"/>
  <c r="M20" i="7" s="1"/>
  <c r="I24" i="7"/>
  <c r="M24" i="7" s="1"/>
  <c r="G22" i="7"/>
  <c r="G19" i="7"/>
  <c r="G21" i="7"/>
  <c r="Y27" i="17" l="1"/>
  <c r="K20" i="17"/>
  <c r="M19" i="17"/>
  <c r="W22" i="17"/>
  <c r="G28" i="17"/>
  <c r="Q22" i="17"/>
  <c r="S22" i="17" s="1"/>
  <c r="AC19" i="17"/>
  <c r="AE19" i="17" s="1"/>
  <c r="AF19" i="17" s="1"/>
  <c r="AE12" i="17"/>
  <c r="AF12" i="17" s="1"/>
  <c r="Y31" i="17"/>
  <c r="E22" i="17"/>
  <c r="Y26" i="17"/>
  <c r="E28" i="17"/>
  <c r="AD22" i="17"/>
  <c r="O102" i="17"/>
  <c r="U104" i="17"/>
  <c r="Q102" i="17"/>
  <c r="W104" i="17"/>
  <c r="P102" i="17"/>
  <c r="V104" i="17"/>
  <c r="AD28" i="17"/>
  <c r="R102" i="17"/>
  <c r="X104" i="17"/>
  <c r="U22" i="17"/>
  <c r="Y23" i="17"/>
  <c r="AA27" i="17"/>
  <c r="AA34" i="17"/>
  <c r="AE34" i="17" s="1"/>
  <c r="AF34" i="17" s="1"/>
  <c r="AA24" i="17"/>
  <c r="AA26" i="17"/>
  <c r="AA25" i="17"/>
  <c r="AA23" i="17"/>
  <c r="AA31" i="17"/>
  <c r="AA30" i="17"/>
  <c r="I32" i="17"/>
  <c r="I36" i="17" s="1"/>
  <c r="L28" i="17"/>
  <c r="C32" i="17"/>
  <c r="L22" i="17"/>
  <c r="O20" i="7"/>
  <c r="S20" i="7" s="1"/>
  <c r="S19" i="7"/>
  <c r="O24" i="7"/>
  <c r="S24" i="7" s="1"/>
  <c r="G24" i="7"/>
  <c r="G20" i="7"/>
  <c r="AC20" i="17" l="1"/>
  <c r="AC29" i="17"/>
  <c r="AC27" i="17"/>
  <c r="AE27" i="17" s="1"/>
  <c r="AF27" i="17" s="1"/>
  <c r="AC23" i="17"/>
  <c r="AE23" i="17" s="1"/>
  <c r="AF23" i="17" s="1"/>
  <c r="AC24" i="17"/>
  <c r="AE24" i="17" s="1"/>
  <c r="AF24" i="17" s="1"/>
  <c r="AC26" i="17"/>
  <c r="AE26" i="17" s="1"/>
  <c r="AF26" i="17" s="1"/>
  <c r="AC31" i="17"/>
  <c r="AC25" i="17"/>
  <c r="AE25" i="17" s="1"/>
  <c r="AF25" i="17" s="1"/>
  <c r="AC30" i="17"/>
  <c r="AE30" i="17" s="1"/>
  <c r="AF30" i="17" s="1"/>
  <c r="E32" i="17"/>
  <c r="E36" i="17" s="1"/>
  <c r="AE31" i="17"/>
  <c r="AF31" i="17" s="1"/>
  <c r="AD32" i="17"/>
  <c r="AD36" i="17" s="1"/>
  <c r="G22" i="17"/>
  <c r="AE20" i="17"/>
  <c r="AF20" i="17" s="1"/>
  <c r="K29" i="17"/>
  <c r="K30" i="17"/>
  <c r="M30" i="17" s="1"/>
  <c r="K23" i="17"/>
  <c r="K24" i="17"/>
  <c r="M24" i="17" s="1"/>
  <c r="K25" i="17"/>
  <c r="M25" i="17" s="1"/>
  <c r="K26" i="17"/>
  <c r="M26" i="17" s="1"/>
  <c r="K31" i="17"/>
  <c r="M31" i="17" s="1"/>
  <c r="K27" i="17"/>
  <c r="M27" i="17" s="1"/>
  <c r="M20" i="17"/>
  <c r="AA22" i="17"/>
  <c r="X102" i="17"/>
  <c r="X29" i="17" s="1"/>
  <c r="X28" i="17" s="1"/>
  <c r="X32" i="17" s="1"/>
  <c r="X36" i="17" s="1"/>
  <c r="R29" i="17"/>
  <c r="R28" i="17" s="1"/>
  <c r="R32" i="17" s="1"/>
  <c r="R36" i="17" s="1"/>
  <c r="V102" i="17"/>
  <c r="V29" i="17" s="1"/>
  <c r="V28" i="17" s="1"/>
  <c r="V32" i="17" s="1"/>
  <c r="V36" i="17" s="1"/>
  <c r="P29" i="17"/>
  <c r="P28" i="17" s="1"/>
  <c r="P32" i="17" s="1"/>
  <c r="P36" i="17" s="1"/>
  <c r="W102" i="17"/>
  <c r="W29" i="17" s="1"/>
  <c r="W28" i="17" s="1"/>
  <c r="W32" i="17" s="1"/>
  <c r="W36" i="17" s="1"/>
  <c r="Q29" i="17"/>
  <c r="Q28" i="17" s="1"/>
  <c r="Q32" i="17" s="1"/>
  <c r="Q36" i="17" s="1"/>
  <c r="Y22" i="17"/>
  <c r="U102" i="17"/>
  <c r="U29" i="17" s="1"/>
  <c r="O29" i="17"/>
  <c r="AA28" i="17"/>
  <c r="C36" i="17"/>
  <c r="L32" i="17"/>
  <c r="K28" i="17" l="1"/>
  <c r="M28" i="17" s="1"/>
  <c r="M29" i="17"/>
  <c r="K22" i="17"/>
  <c r="M23" i="17"/>
  <c r="G32" i="17"/>
  <c r="G36" i="17"/>
  <c r="AC22" i="17"/>
  <c r="AC28" i="17"/>
  <c r="AE28" i="17" s="1"/>
  <c r="AE29" i="17"/>
  <c r="Y29" i="17"/>
  <c r="AF29" i="17" s="1"/>
  <c r="U28" i="17"/>
  <c r="O28" i="17"/>
  <c r="S29" i="17"/>
  <c r="AA32" i="17"/>
  <c r="L36" i="17"/>
  <c r="AC32" i="17" l="1"/>
  <c r="AC36" i="17" s="1"/>
  <c r="AE22" i="17"/>
  <c r="AF22" i="17" s="1"/>
  <c r="K32" i="17"/>
  <c r="M22" i="17"/>
  <c r="AA36" i="17"/>
  <c r="AE36" i="17" s="1"/>
  <c r="AE32" i="17"/>
  <c r="O32" i="17"/>
  <c r="S28" i="17"/>
  <c r="Y28" i="17"/>
  <c r="AF28" i="17" s="1"/>
  <c r="U32" i="17"/>
  <c r="K36" i="17" l="1"/>
  <c r="M36" i="17" s="1"/>
  <c r="M32" i="17"/>
  <c r="U36" i="17"/>
  <c r="Y36" i="17" s="1"/>
  <c r="Y32" i="17"/>
  <c r="O36" i="17"/>
  <c r="S36" i="17" s="1"/>
  <c r="S32" i="17"/>
  <c r="AF32" i="17"/>
  <c r="AF36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B4" authorId="0" shapeId="0" xr:uid="{C46D54B3-153B-A441-A8CB-4EFC33D72D9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 очищенная база от пересечений с МПС и Точкой</t>
        </r>
      </text>
    </comment>
    <comment ref="E4" authorId="0" shapeId="0" xr:uid="{94D683AE-040C-B244-8A33-0D27EA52C64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бизнес-модель Карины</t>
        </r>
      </text>
    </comment>
    <comment ref="F4" authorId="0" shapeId="0" xr:uid="{8FA2FE6C-FE90-DE4D-A3B7-9EBDB120828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бизнес-модель Карины
</t>
        </r>
      </text>
    </comment>
    <comment ref="E5" authorId="0" shapeId="0" xr:uid="{8E4D695C-4298-A84C-9BD2-55538FA588C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базы сегмента  - придут за МПС</t>
        </r>
      </text>
    </comment>
    <comment ref="F5" authorId="0" shapeId="0" xr:uid="{6B25C655-0F06-E04A-B8D0-48E6C9FBDF90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из базы сегмента  - придут за МПС
</t>
        </r>
      </text>
    </comment>
    <comment ref="B6" authorId="0" shapeId="0" xr:uid="{72A9BD99-1AD8-A449-9155-F6BE6128EF3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H6" authorId="0" shapeId="0" xr:uid="{98F19D7E-61D9-514E-A2AD-A246CF46C8D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N6" authorId="0" shapeId="0" xr:uid="{F0C609D3-64B0-6D4B-81A5-4878FA5EC62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B13" authorId="0" shapeId="0" xr:uid="{FD9B0191-2FF1-A94F-A3F1-FBF1F31A47B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H13" authorId="0" shapeId="0" xr:uid="{9E9DA740-818D-3E41-84E3-B8800CDBA14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H18" authorId="0" shapeId="0" xr:uid="{64703ACD-44C0-064B-8EF2-19AD1C8F9A0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экспертно +15% к базовой CR первой покупки MPS - за счет механизма автосписания с РКО по окончанию тариала.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нужно уточнить гипотезу
</t>
        </r>
        <r>
          <rPr>
            <sz val="10"/>
            <color rgb="FF000000"/>
            <rFont val="Tahoma"/>
            <family val="2"/>
            <charset val="204"/>
          </rPr>
          <t xml:space="preserve">1) есть ли данные: LT до фичи авто списаний после триала и LT как стало после?
</t>
        </r>
        <r>
          <rPr>
            <sz val="10"/>
            <color rgb="FF000000"/>
            <rFont val="Tahoma"/>
            <family val="2"/>
            <charset val="204"/>
          </rPr>
          <t xml:space="preserve">2) есть ли опыт такой фичи в других продуктах Т?
</t>
        </r>
        <r>
          <rPr>
            <sz val="10"/>
            <color rgb="FF000000"/>
            <rFont val="Tahoma"/>
            <family val="2"/>
            <charset val="204"/>
          </rPr>
          <t>3) есть ли бенчи?</t>
        </r>
      </text>
    </comment>
    <comment ref="N18" authorId="0" shapeId="0" xr:uid="{7AAA653A-C58E-254B-BC0D-77D4B9AB938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текущий CR (усредненный янв-мар 2026)</t>
        </r>
      </text>
    </comment>
    <comment ref="B19" authorId="0" shapeId="0" xr:uid="{9B70D630-5EB8-E244-9B66-53B08C486FD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CR - digital канал Т</t>
        </r>
      </text>
    </comment>
    <comment ref="H19" authorId="0" shapeId="0" xr:uid="{BC9274FD-640A-8548-B8EA-D1863FA24AA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CR - digital канал Т</t>
        </r>
      </text>
    </comment>
    <comment ref="G29" authorId="0" shapeId="0" xr:uid="{5A6FC237-6CA0-4B4E-9A95-A2C633B8BA4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нужно вычесть маркетинг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тут маркетинг + продажи (данные в только продажи - не дали МПС)
</t>
        </r>
      </text>
    </comment>
    <comment ref="M29" authorId="0" shapeId="0" xr:uid="{1957B9A6-2CD5-B94C-8C2E-87DC582FBC9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нужно вычесть маркетинг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тут маркетинг + продажи (данные в только продажи - не дали МПС)
</t>
        </r>
      </text>
    </comment>
    <comment ref="S29" authorId="0" shapeId="0" xr:uid="{22197E83-05FF-6E47-9B58-EF5E3DC1FFD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если закладываем внешний маркетинг Т (медиа, тг каналы)</t>
        </r>
      </text>
    </comment>
    <comment ref="Y29" authorId="0" shapeId="0" xr:uid="{F5893E7A-485B-C541-BECD-E0DEB1336CA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если закладываем внешний маркетинг Т (медиа, тг каналы)</t>
        </r>
      </text>
    </comment>
    <comment ref="AE29" authorId="0" shapeId="0" xr:uid="{9CCAF946-9D6C-DD44-98F5-CC44CEBD366A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нужно вычесть маркетинг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тут маркетинг + продажи (данные в только продажи - не дали МПС)
</t>
        </r>
      </text>
    </comment>
    <comment ref="A30" authorId="0" shapeId="0" xr:uid="{AEF78201-0265-8446-B76D-9E3A055086B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вероятно выставленеи счетов, коммуникации</t>
        </r>
      </text>
    </comment>
    <comment ref="A31" authorId="0" shapeId="0" xr:uid="{E6A9F625-BB82-2440-8384-71D1B0A437C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пока взяли расходы Селлера
</t>
        </r>
        <r>
          <rPr>
            <sz val="10"/>
            <color rgb="FF000000"/>
            <rFont val="Tahoma"/>
            <family val="2"/>
            <charset val="204"/>
          </rPr>
          <t>уточняем у МПС</t>
        </r>
      </text>
    </comment>
    <comment ref="C34" authorId="0" shapeId="0" xr:uid="{42C47714-343C-534E-827E-D46A1FEDCE7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уже получаем доход с др продуктов Банка</t>
        </r>
      </text>
    </comment>
    <comment ref="E34" authorId="0" shapeId="0" xr:uid="{BA12244A-F59D-854F-9FD8-F16B510A310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из расчета на кол-во клиентво в инкременте (из бизнес модели Крины) - клиенты проснулись  в РКО из-за МПС</t>
        </r>
      </text>
    </comment>
    <comment ref="F34" authorId="0" shapeId="0" xr:uid="{DE82055E-3302-F144-876F-38EF3DC5E13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из расчета на кол-во клиентво в инкременте (из бизнес модели Крины) - клиенты открвли  РКО из-за МПС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M34" authorId="0" shapeId="0" xr:uid="{9425B734-61DF-824C-8958-4441295DF93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LTV тарифов МПС выше на за счет ковенант</t>
        </r>
      </text>
    </comment>
    <comment ref="S34" authorId="0" shapeId="0" xr:uid="{005DCD0D-27A7-E647-9687-0657EF591DF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по клиентам с тарифом MPS LTV выше на 30% за счет ковенант)</t>
        </r>
      </text>
    </comment>
    <comment ref="Y34" authorId="0" shapeId="0" xr:uid="{97BC6FD5-312B-6345-B21E-A90435DFC8A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по клиентам с тарифом MPS LTV выше на 30% за счет ковенант)</t>
        </r>
      </text>
    </comment>
    <comment ref="AE34" authorId="0" shapeId="0" xr:uid="{056E6F85-5E1A-694E-8812-A425064D387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гипотеза - LTV тарифов МПС выше на за счет ковенант</t>
        </r>
      </text>
    </comment>
    <comment ref="E43" authorId="0" shapeId="0" xr:uid="{EB17106D-D815-6C42-A11B-2BAE9A9DFA8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уточнить по сегменту (сейчас ср по 1 и 2 сегменту)</t>
        </r>
      </text>
    </comment>
    <comment ref="H50" authorId="0" shapeId="0" xr:uid="{39462A09-8B01-8741-8BC0-0F7B04862B43}">
      <text>
        <r>
          <rPr>
            <b/>
            <sz val="10"/>
            <color rgb="FF000000"/>
            <rFont val="Tahoma"/>
            <family val="2"/>
            <charset val="204"/>
          </rPr>
          <t xml:space="preserve">y balabaeva:
</t>
        </r>
        <r>
          <rPr>
            <sz val="10"/>
            <color rgb="FF000000"/>
            <rFont val="Tahoma"/>
            <family val="2"/>
            <charset val="204"/>
          </rPr>
          <t xml:space="preserve">as is в Селлере - 35% оплат- досписания </t>
        </r>
        <r>
          <rPr>
            <sz val="10"/>
            <color rgb="FF000000"/>
            <rFont val="Calibri"/>
            <family val="2"/>
          </rPr>
          <t>с РКО  при недостатке средств в конце мес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Пока предположила LT </t>
        </r>
        <r>
          <rPr>
            <sz val="10"/>
            <color rgb="FF000000"/>
            <rFont val="Calibri"/>
            <family val="2"/>
          </rPr>
          <t xml:space="preserve">экспертно </t>
        </r>
        <r>
          <rPr>
            <sz val="10"/>
            <color rgb="FF000000"/>
            <rFont val="Calibri"/>
            <family val="2"/>
          </rPr>
          <t xml:space="preserve"> + 1</t>
        </r>
        <r>
          <rPr>
            <sz val="10"/>
            <color rgb="FF000000"/>
            <rFont val="Calibri"/>
            <family val="2"/>
          </rPr>
          <t xml:space="preserve"> мес к </t>
        </r>
        <r>
          <rPr>
            <sz val="10"/>
            <color rgb="FF000000"/>
            <rFont val="Calibri"/>
            <family val="2"/>
          </rPr>
          <t>LT MPS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Какк уточнить гипотезу:
</t>
        </r>
        <r>
          <rPr>
            <sz val="10"/>
            <color rgb="FF000000"/>
            <rFont val="Calibri"/>
            <family val="2"/>
            <scheme val="minor"/>
          </rPr>
          <t>1</t>
        </r>
        <r>
          <rPr>
            <sz val="10"/>
            <color rgb="FF000000"/>
            <rFont val="Calibri"/>
            <family val="2"/>
            <scheme val="minor"/>
          </rPr>
          <t>)</t>
        </r>
        <r>
          <rPr>
            <sz val="10"/>
            <color rgb="FF000000"/>
            <rFont val="Calibri"/>
            <family val="2"/>
            <scheme val="minor"/>
          </rPr>
          <t xml:space="preserve"> как изменилось </t>
        </r>
        <r>
          <rPr>
            <sz val="10"/>
            <color rgb="FF000000"/>
            <rFont val="Calibri"/>
            <family val="2"/>
            <scheme val="minor"/>
          </rPr>
          <t xml:space="preserve">LT </t>
        </r>
        <r>
          <rPr>
            <sz val="10"/>
            <color rgb="FF000000"/>
            <rFont val="Calibri"/>
            <family val="2"/>
            <scheme val="minor"/>
          </rPr>
          <t xml:space="preserve">в Селлере после фичи досписания? (если не было запущено так изначлаьно)
</t>
        </r>
        <r>
          <rPr>
            <sz val="10"/>
            <color rgb="FF000000"/>
            <rFont val="Calibri"/>
            <family val="2"/>
            <scheme val="minor"/>
          </rPr>
          <t>2</t>
        </r>
        <r>
          <rPr>
            <sz val="10"/>
            <color rgb="FF000000"/>
            <rFont val="Calibri"/>
            <family val="2"/>
            <scheme val="minor"/>
          </rPr>
          <t>) Бенчи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  <comment ref="H97" authorId="0" shapeId="0" xr:uid="{2CDF66BA-433E-C74D-A9F4-06384C3E7E0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N97" authorId="0" shapeId="0" xr:uid="{E94293C4-BC30-C54E-B6B2-8D98F752920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T97" authorId="0" shapeId="0" xr:uid="{69F0D3F4-D08B-2D4E-8E84-5B0F0A4D48EE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Z97" authorId="0" shapeId="0" xr:uid="{71CA7FF0-75C6-AF46-A8E7-24F36F7E375B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Карина - уточнит как ковенанты влияют на LTV в др продуктах Т</t>
        </r>
      </text>
    </comment>
    <comment ref="C110" authorId="0" shapeId="0" xr:uid="{2D6C09CB-F382-8545-B8AD-63A42DD81F1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это расходы селлер на 1 платящего. нужны расходы от МПС</t>
        </r>
      </text>
    </comment>
    <comment ref="A122" authorId="0" shapeId="0" xr:uid="{88CB6E72-DD60-844F-99CB-D3CBB0167AC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тут по названию - расходы на коммуникации , повторное выставление счетов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B4" authorId="0" shapeId="0" xr:uid="{47482E29-A895-604D-9313-DCCDB694D6A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не очищенная база от пересечений с МПС и Точкой</t>
        </r>
      </text>
    </comment>
    <comment ref="B5" authorId="0" shapeId="0" xr:uid="{928C2AD4-1FDB-7444-A250-E89F672CCA4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</t>
        </r>
        <r>
          <rPr>
            <sz val="10"/>
            <color rgb="FF000000"/>
            <rFont val="Tahoma"/>
            <family val="2"/>
            <charset val="204"/>
          </rPr>
          <t xml:space="preserve">80%
</t>
        </r>
      </text>
    </comment>
    <comment ref="H5" authorId="0" shapeId="0" xr:uid="{2547434C-3994-8348-AC1D-62BA13B7CC1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N5" authorId="0" shapeId="0" xr:uid="{1F68CA02-32B1-DE47-A716-5A679A2BC79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сейчас уже коснулись половины базы, гипотеза - с маркетингом коснемся не менее 80%
</t>
        </r>
      </text>
    </comment>
    <comment ref="B11" authorId="0" shapeId="0" xr:uid="{10DD0A4A-BE9B-B140-A0A1-29785054AD27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Наша база - все ЦА </t>
        </r>
        <r>
          <rPr>
            <sz val="10"/>
            <color rgb="FF000000"/>
            <rFont val="Tahoma"/>
            <family val="2"/>
            <charset val="204"/>
          </rPr>
          <t>(</t>
        </r>
        <r>
          <rPr>
            <sz val="10"/>
            <color rgb="FF000000"/>
            <rFont val="Tahoma"/>
            <family val="2"/>
            <charset val="204"/>
          </rPr>
          <t xml:space="preserve">есть обороты на МП). 
</t>
        </r>
        <r>
          <rPr>
            <sz val="10"/>
            <color rgb="FF000000"/>
            <rFont val="Tahoma"/>
            <family val="2"/>
            <charset val="204"/>
          </rPr>
          <t>Как считает</t>
        </r>
        <r>
          <rPr>
            <sz val="10"/>
            <color rgb="FF000000"/>
            <rFont val="Tahoma"/>
            <family val="2"/>
            <charset val="204"/>
          </rPr>
          <t xml:space="preserve"> </t>
        </r>
        <r>
          <rPr>
            <sz val="10"/>
            <color rgb="FF000000"/>
            <rFont val="Tahoma"/>
            <family val="2"/>
            <charset val="204"/>
          </rPr>
          <t xml:space="preserve">ЦА </t>
        </r>
        <r>
          <rPr>
            <sz val="10"/>
            <color rgb="FF000000"/>
            <rFont val="Tahoma"/>
            <family val="2"/>
            <charset val="204"/>
          </rPr>
          <t>MPS</t>
        </r>
        <r>
          <rPr>
            <sz val="10"/>
            <color rgb="FF000000"/>
            <rFont val="Tahoma"/>
            <family val="2"/>
            <charset val="204"/>
          </rPr>
          <t xml:space="preserve">:
</t>
        </r>
        <r>
          <rPr>
            <sz val="10"/>
            <color rgb="FF000000"/>
            <rFont val="Calibri"/>
            <family val="2"/>
            <scheme val="minor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  <scheme val="minor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  <scheme val="minor"/>
          </rPr>
          <t>- селлер - есть рега на МП (озон вб яндекс)</t>
        </r>
      </text>
    </comment>
    <comment ref="H11" authorId="0" shapeId="0" xr:uid="{4CCD312E-FDD6-EA42-A7E5-89F58F636A4F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- довзонились до ЦА. 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Наша база - все ЦА (есть обороты на МП). 
</t>
        </r>
        <r>
          <rPr>
            <sz val="10"/>
            <color rgb="FF000000"/>
            <rFont val="Tahoma"/>
            <family val="2"/>
            <charset val="204"/>
          </rPr>
          <t xml:space="preserve">Как считает ЦА MPS:
</t>
        </r>
        <r>
          <rPr>
            <sz val="10"/>
            <color rgb="FF000000"/>
            <rFont val="Calibri"/>
            <family val="2"/>
          </rPr>
          <t xml:space="preserve">- 150 -000 - есть для старта
</t>
        </r>
        <r>
          <rPr>
            <sz val="10"/>
            <color rgb="FF000000"/>
            <rFont val="Calibri"/>
            <family val="2"/>
          </rPr>
          <t xml:space="preserve">- в теч 2 мес планирует начать торговать
</t>
        </r>
        <r>
          <rPr>
            <sz val="10"/>
            <color rgb="FF000000"/>
            <rFont val="Calibri"/>
            <family val="2"/>
          </rPr>
          <t>- селлер - есть рега на МП (озон вб яндекс)</t>
        </r>
      </text>
    </comment>
    <comment ref="H16" authorId="0" shapeId="0" xr:uid="{4097A085-4558-7B47-BF57-157F1C16A9B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гипотеза </t>
        </r>
        <r>
          <rPr>
            <sz val="10"/>
            <color rgb="FF000000"/>
            <rFont val="Tahoma"/>
            <family val="2"/>
            <charset val="204"/>
          </rPr>
          <t xml:space="preserve">+X% </t>
        </r>
        <r>
          <rPr>
            <sz val="10"/>
            <color rgb="FF000000"/>
            <rFont val="Tahoma"/>
            <family val="2"/>
            <charset val="204"/>
          </rPr>
          <t xml:space="preserve">к базовой </t>
        </r>
        <r>
          <rPr>
            <sz val="10"/>
            <color rgb="FF000000"/>
            <rFont val="Tahoma"/>
            <family val="2"/>
            <charset val="204"/>
          </rPr>
          <t xml:space="preserve">CR </t>
        </r>
        <r>
          <rPr>
            <sz val="10"/>
            <color rgb="FF000000"/>
            <rFont val="Tahoma"/>
            <family val="2"/>
            <charset val="204"/>
          </rPr>
          <t xml:space="preserve">первой покупки </t>
        </r>
        <r>
          <rPr>
            <sz val="10"/>
            <color rgb="FF000000"/>
            <rFont val="Tahoma"/>
            <family val="2"/>
            <charset val="204"/>
          </rPr>
          <t xml:space="preserve">MPS </t>
        </r>
        <r>
          <rPr>
            <sz val="10"/>
            <color rgb="FF000000"/>
            <rFont val="Tahoma"/>
            <family val="2"/>
            <charset val="204"/>
          </rPr>
          <t>- за счет механизма автосписания с РКО по окончанию тариала</t>
        </r>
      </text>
    </comment>
    <comment ref="N16" authorId="0" shapeId="0" xr:uid="{7D685ED1-8044-7C4E-8901-79A1320D1159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текущий </t>
        </r>
        <r>
          <rPr>
            <sz val="10"/>
            <color rgb="FF000000"/>
            <rFont val="Tahoma"/>
            <family val="2"/>
            <charset val="204"/>
          </rPr>
          <t xml:space="preserve">CR </t>
        </r>
        <r>
          <rPr>
            <sz val="10"/>
            <color rgb="FF000000"/>
            <rFont val="Tahoma"/>
            <family val="2"/>
            <charset val="204"/>
          </rPr>
          <t>(усредненный янв-мар 2026)</t>
        </r>
      </text>
    </comment>
    <comment ref="H17" authorId="0" shapeId="0" xr:uid="{651A71A5-CB9A-5D4C-B30B-C99E5738257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b/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as is </t>
        </r>
        <r>
          <rPr>
            <sz val="10"/>
            <color rgb="FF000000"/>
            <rFont val="Tahoma"/>
            <family val="2"/>
            <charset val="204"/>
          </rPr>
          <t xml:space="preserve">в Селлере - 35% оплат- авто списания </t>
        </r>
        <r>
          <rPr>
            <sz val="10"/>
            <color rgb="FF000000"/>
            <rFont val="Calibri"/>
            <family val="2"/>
            <scheme val="minor"/>
          </rPr>
          <t xml:space="preserve">с РКО </t>
        </r>
        <r>
          <rPr>
            <sz val="10"/>
            <color rgb="FF000000"/>
            <rFont val="Calibri"/>
            <family val="2"/>
            <scheme val="minor"/>
          </rPr>
          <t>частичные</t>
        </r>
        <r>
          <rPr>
            <sz val="10"/>
            <color rgb="FF000000"/>
            <rFont val="Calibri"/>
            <family val="2"/>
            <scheme val="minor"/>
          </rPr>
          <t xml:space="preserve"> при недостатке средств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для гипотезы нужно </t>
        </r>
        <r>
          <rPr>
            <sz val="10"/>
            <color rgb="FF000000"/>
            <rFont val="Tahoma"/>
            <family val="2"/>
            <charset val="204"/>
          </rPr>
          <t xml:space="preserve">LT </t>
        </r>
        <r>
          <rPr>
            <sz val="10"/>
            <color rgb="FF000000"/>
            <rFont val="Tahoma"/>
            <family val="2"/>
            <charset val="204"/>
          </rPr>
          <t xml:space="preserve">от </t>
        </r>
        <r>
          <rPr>
            <sz val="10"/>
            <color rgb="FF000000"/>
            <rFont val="Tahoma"/>
            <family val="2"/>
            <charset val="204"/>
          </rPr>
          <t>MPStats</t>
        </r>
        <r>
          <rPr>
            <sz val="10"/>
            <color rgb="FF000000"/>
            <rFont val="Tahoma"/>
            <family val="2"/>
            <charset val="204"/>
          </rPr>
          <t xml:space="preserve"> (доход на 1 клиента в мес и пердположить на сколько месяцев больше даст механизм </t>
        </r>
        <r>
          <rPr>
            <sz val="10"/>
            <color rgb="FF000000"/>
            <rFont val="Tahoma"/>
            <family val="2"/>
            <charset val="204"/>
          </rPr>
          <t xml:space="preserve">T -&gt; </t>
        </r>
        <r>
          <rPr>
            <sz val="10"/>
            <color rgb="FF000000"/>
            <rFont val="Tahoma"/>
            <family val="2"/>
            <charset val="204"/>
          </rPr>
          <t xml:space="preserve">новый </t>
        </r>
        <r>
          <rPr>
            <sz val="10"/>
            <color rgb="FF000000"/>
            <rFont val="Tahoma"/>
            <family val="2"/>
            <charset val="204"/>
          </rPr>
          <t xml:space="preserve">LTV) -- </t>
        </r>
        <r>
          <rPr>
            <sz val="10"/>
            <color rgb="FF000000"/>
            <rFont val="Tahoma"/>
            <family val="2"/>
            <charset val="204"/>
          </rPr>
          <t xml:space="preserve">Данные не дают. 
</t>
        </r>
        <r>
          <rPr>
            <sz val="10"/>
            <color rgb="FF000000"/>
            <rFont val="Tahoma"/>
            <family val="2"/>
            <charset val="204"/>
          </rPr>
          <t xml:space="preserve">Пока предположила  </t>
        </r>
        <r>
          <rPr>
            <sz val="10"/>
            <color rgb="FF000000"/>
            <rFont val="Tahoma"/>
            <family val="2"/>
            <charset val="204"/>
          </rPr>
          <t>LT</t>
        </r>
        <r>
          <rPr>
            <sz val="10"/>
            <color rgb="FF000000"/>
            <rFont val="Tahoma"/>
            <family val="2"/>
            <charset val="204"/>
          </rPr>
          <t xml:space="preserve"> </t>
        </r>
        <r>
          <rPr>
            <sz val="10"/>
            <color rgb="FF000000"/>
            <rFont val="Calibri"/>
            <family val="2"/>
            <scheme val="minor"/>
          </rPr>
          <t>экспертно. И заложила рост +</t>
        </r>
        <r>
          <rPr>
            <sz val="10"/>
            <color rgb="FF000000"/>
            <rFont val="Calibri"/>
            <family val="2"/>
            <scheme val="minor"/>
          </rPr>
          <t xml:space="preserve">X </t>
        </r>
        <r>
          <rPr>
            <sz val="10"/>
            <color rgb="FF000000"/>
            <rFont val="Calibri"/>
            <family val="2"/>
            <scheme val="minor"/>
          </rPr>
          <t xml:space="preserve">мес. </t>
        </r>
      </text>
    </comment>
    <comment ref="C33" authorId="0" shapeId="0" xr:uid="{25E353EC-3120-AB43-865A-A883832EE3D8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нет реальных данных по </t>
        </r>
        <r>
          <rPr>
            <sz val="10"/>
            <color rgb="FF000000"/>
            <rFont val="Tahoma"/>
            <family val="2"/>
            <charset val="204"/>
          </rPr>
          <t>MPStats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 balabaeva</author>
  </authors>
  <commentList>
    <comment ref="E2" authorId="0" shapeId="0" xr:uid="{9B9CF1BF-D00C-0B41-B6DA-DB3501EB554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F2" authorId="0" shapeId="0" xr:uid="{B0AD466A-4421-844E-A067-2899A17991A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G2" authorId="0" shapeId="0" xr:uid="{FF0DB9A2-7151-1547-A657-A82309B87F82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H2" authorId="0" shapeId="0" xr:uid="{5792192D-DF30-C54F-84A7-A02F188C448C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K2" authorId="0" shapeId="0" xr:uid="{2E187968-2B72-0648-8E9F-C23EC4F36411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 xml:space="preserve"> квалиф. лид, согласились на демо-втречу</t>
        </r>
      </text>
    </comment>
    <comment ref="L2" authorId="0" shapeId="0" xr:uid="{59E561C1-F6C1-4A47-8A76-C265979AA773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ОТП = квалиф лид, не согласились на демо
</t>
        </r>
      </text>
    </comment>
    <comment ref="M2" authorId="0" shapeId="0" xr:uid="{D0F2E80A-BC79-F448-9FE3-FAB322B93955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знают про MPStats, высокая вероятность покупки - доля 15,2% от ОТП</t>
        </r>
      </text>
    </comment>
    <comment ref="N2" authorId="0" shapeId="0" xr:uid="{451985BF-826D-B74A-B1D4-3C3352E4D13D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"не послали" - доля 84,8%</t>
        </r>
      </text>
    </comment>
    <comment ref="C8" authorId="0" shapeId="0" xr:uid="{DDEAC26C-4DA0-E541-94D4-AC0FBFE428F4}">
      <text>
        <r>
          <rPr>
            <b/>
            <sz val="10"/>
            <color rgb="FF000000"/>
            <rFont val="Tahoma"/>
            <family val="2"/>
            <charset val="204"/>
          </rPr>
          <t>y balabaeva: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1"/>
            <color rgb="FF000000"/>
            <rFont val="Calibri"/>
            <family val="2"/>
            <scheme val="minor"/>
          </rPr>
          <t xml:space="preserve">Квалификация ЦА </t>
        </r>
        <r>
          <rPr>
            <sz val="11"/>
            <color rgb="FF000000"/>
            <rFont val="Calibri"/>
            <family val="2"/>
            <scheme val="minor"/>
          </rPr>
          <t>MPSTats</t>
        </r>
        <r>
          <rPr>
            <sz val="11"/>
            <color rgb="FF000000"/>
            <rFont val="Calibri"/>
            <family val="2"/>
            <scheme val="minor"/>
          </rPr>
          <t xml:space="preserve"> 
</t>
        </r>
        <r>
          <rPr>
            <sz val="11"/>
            <color rgb="FF000000"/>
            <rFont val="Calibri"/>
            <family val="2"/>
            <scheme val="minor"/>
          </rPr>
          <t xml:space="preserve">- 150 000 - есть для старта
</t>
        </r>
        <r>
          <rPr>
            <sz val="11"/>
            <color rgb="FF000000"/>
            <rFont val="Calibri"/>
            <family val="2"/>
            <scheme val="minor"/>
          </rPr>
          <t xml:space="preserve">- в теч 2 мес планирует начать торговать на МП
</t>
        </r>
        <r>
          <rPr>
            <sz val="11"/>
            <color rgb="FF000000"/>
            <rFont val="Calibri"/>
            <family val="2"/>
            <scheme val="minor"/>
          </rPr>
          <t xml:space="preserve">- селлер - есть рега на МП (озон вб яндекс)
</t>
        </r>
        <r>
          <rPr>
            <sz val="11"/>
            <color rgb="FF000000"/>
            <rFont val="Calibri"/>
            <family val="2"/>
            <scheme val="minor"/>
          </rPr>
          <t xml:space="preserve">
</t>
        </r>
        <r>
          <rPr>
            <sz val="11"/>
            <color rgb="FF000000"/>
            <rFont val="Calibri"/>
            <family val="2"/>
            <scheme val="minor"/>
          </rPr>
          <t>Хантеры =  квалиф. лид, согласились на демо-втречу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ОТП = квалиф лид, не согласились на демо</t>
        </r>
      </text>
    </comment>
  </commentList>
</comments>
</file>

<file path=xl/sharedStrings.xml><?xml version="1.0" encoding="utf-8"?>
<sst xmlns="http://schemas.openxmlformats.org/spreadsheetml/2006/main" count="1052" uniqueCount="458">
  <si>
    <t>Оставление API ключа</t>
  </si>
  <si>
    <t>-</t>
  </si>
  <si>
    <t>AS IS</t>
  </si>
  <si>
    <t>кол- во селлеров  Т - сегменты по оборотам</t>
  </si>
  <si>
    <t>сколько остается за вычетом пересчений с МПС и Точкой?</t>
  </si>
  <si>
    <t>преза от Н: S - 515 тыс, М - 31,5 , L - 1,8</t>
  </si>
  <si>
    <t>это типа малый средний и большой ибзнес?</t>
  </si>
  <si>
    <t>какому сегменту - какой тариф продавать?</t>
  </si>
  <si>
    <t>Саша - уточняю по фильтрам</t>
  </si>
  <si>
    <t xml:space="preserve">https://proteus.tcsbank.ru/superset/dashboard/35207/?native_filters_key=6UD6_31FByJJBSkeo1OjteN2ZrhDe0UXwiQb27k-OI1_2btiTS-ROCrKRUs0NQiB </t>
  </si>
  <si>
    <t>S</t>
  </si>
  <si>
    <t>Core</t>
  </si>
  <si>
    <t>M</t>
  </si>
  <si>
    <t>t segment (апр 26)</t>
  </si>
  <si>
    <t>MPStsts за счет S, а M (2-3 тыс) и L (100)</t>
  </si>
  <si>
    <t xml:space="preserve">какие сегменты по обороту имелись ввиду: хотим раскачать за счет  S </t>
  </si>
  <si>
    <t xml:space="preserve">по этому отчету похоже на правду https://proteus.tcsbank.ru/superset/dashboard/46771/?native_filters_key=i_cpHlkPJC3wQAO8lt2_Tg8N-LHsXqmC68he0NAQEyNRwaKHgbBgPwIpTLJmR6wH </t>
  </si>
  <si>
    <t>см текущие данные Селлер</t>
  </si>
  <si>
    <t>сегменты селлеров SE</t>
  </si>
  <si>
    <t>Саша: SE до 100 млн годового оборота, ME 100млн-1млрд, LE &gt;1млрд</t>
  </si>
  <si>
    <t>Карина: s до 120 млн в год, m до 16 млрд, по le нет верхнего порога</t>
  </si>
  <si>
    <t>S - до 100 тыс, Core - 2 млн, M больше 2 млн</t>
  </si>
  <si>
    <t xml:space="preserve">t_segment </t>
  </si>
  <si>
    <t>по выплатам</t>
  </si>
  <si>
    <r>
      <t>receipt_seller_segment</t>
    </r>
    <r>
      <rPr>
        <sz val="15"/>
        <color rgb="FF3F4350"/>
        <rFont val="Arial"/>
        <family val="2"/>
      </rPr>
      <t xml:space="preserve"> </t>
    </r>
  </si>
  <si>
    <t>по внешним чековым данным</t>
  </si>
  <si>
    <t>mnpl_segment</t>
  </si>
  <si>
    <t>https://proteus.tcsbank.ru/superset/dashboard/35207/?native_filters_key=aLN1Xx1yD5vdgsrx8uoA0pvrJEUqFxG78QxXMsGytEGq4tZDfgeCUsezc9HMrNwl</t>
  </si>
  <si>
    <t>Отчет по базе селлеров</t>
  </si>
  <si>
    <t>маниплэйс, старый источник внешних данных по оборотам, данные получались парсингом, невалиден начиная с 2025-09-01</t>
  </si>
  <si>
    <t>по чекам (апр 26)</t>
  </si>
  <si>
    <t>Unk</t>
  </si>
  <si>
    <t>Карина в целом опредялеят?</t>
  </si>
  <si>
    <t>Карина?</t>
  </si>
  <si>
    <t>Все сегменты</t>
  </si>
  <si>
    <t>Сегмент 3. Спящие клиенты в Т (нет транзакций по РКО)</t>
  </si>
  <si>
    <t>Сегмент 4. Клиенты без РКО в Т - Рынок</t>
  </si>
  <si>
    <t>Сегмент 1.  Активные клиенты в Т с выплатами от МП. 1 приоритет</t>
  </si>
  <si>
    <t xml:space="preserve">Активация триала </t>
  </si>
  <si>
    <t>Воронка</t>
  </si>
  <si>
    <t>А. Гипотеза. Digital канал + Биллинг Т</t>
  </si>
  <si>
    <t>B. Гипотеза. Sales канал Т + Биллинг Т</t>
  </si>
  <si>
    <t>С. Гипотеза. Sales канал MPS + Биллинг Т</t>
  </si>
  <si>
    <t>D. Гипотеза. Sales канал MPS + Биллинг MPS</t>
  </si>
  <si>
    <t>F. Гипотеза. Digital +  Sales канал Т + Биллинг Т</t>
  </si>
  <si>
    <t>База селлеров</t>
  </si>
  <si>
    <t>TO BE - убрать пересечение баз с MPS и Точкой</t>
  </si>
  <si>
    <t>Корпоративный</t>
  </si>
  <si>
    <t xml:space="preserve">Сегмент 1.  Активные клиенты в Т с выплатами от МП. </t>
  </si>
  <si>
    <t>Сегмент 2. Активные клиенты в Т, но  без выплат от МП на РКО</t>
  </si>
  <si>
    <t>Оффер демо встречи</t>
  </si>
  <si>
    <t>Согласились на демо встречу</t>
  </si>
  <si>
    <t>Демо встреча состоялась</t>
  </si>
  <si>
    <t>доля Хантеры-40%, ОТП - 60%, Самоходы - Unk</t>
  </si>
  <si>
    <t>Триала выдан</t>
  </si>
  <si>
    <t>Лиды (заявка на сайте MPS/ первое посещение Селлера)</t>
  </si>
  <si>
    <t xml:space="preserve">Оффер триала </t>
  </si>
  <si>
    <t>Дозвон sales (продажа без демо)</t>
  </si>
  <si>
    <t>Комментарий к воронке</t>
  </si>
  <si>
    <t>Из них: горячие</t>
  </si>
  <si>
    <t>Из них: заинтересованные</t>
  </si>
  <si>
    <t>40% соглашаются на встречу = Хантеры, 60% не соглашаются = ОТП</t>
  </si>
  <si>
    <t>Ср чек первой покупки</t>
  </si>
  <si>
    <t>10 + млн</t>
  </si>
  <si>
    <t>LTV</t>
  </si>
  <si>
    <t>Сегмент по обороту</t>
  </si>
  <si>
    <t>1-10 млн</t>
  </si>
  <si>
    <t>менее 1 млн</t>
  </si>
  <si>
    <t>Ср время от лида до первой покупки</t>
  </si>
  <si>
    <t>Сегмент по статусу активности</t>
  </si>
  <si>
    <t>в нашем отчете Селлер  - по чековым данным</t>
  </si>
  <si>
    <t>Квалификация лидов (звонок КЦ) - ЦА</t>
  </si>
  <si>
    <t xml:space="preserve">Mpstats все лиды   </t>
  </si>
  <si>
    <t>Хантеры (демо)</t>
  </si>
  <si>
    <t>ОТП (звонок, без демо)</t>
  </si>
  <si>
    <t>сейчас выдают триал всем автоматом после реги лида</t>
  </si>
  <si>
    <t xml:space="preserve">демо состоялось = 29,8% от квалиф. лидов </t>
  </si>
  <si>
    <t>дозвон = 45,5% от квалиф. лидов . Из них: Горячие  - доля 15,2% (знают про MPStats, высок.  вероятность покупки), Заинтересованные - доля 84,8% (не послали)</t>
  </si>
  <si>
    <t>Хантеры - 0,7% сквозной СR от лидов; ОТП - 0,41% сквозной СR от лидов или 6,85% от звонка  (горячие 34% - от звонка, заинтересован - 2% от звонка)</t>
  </si>
  <si>
    <t>1 флоу</t>
  </si>
  <si>
    <t>2 флоу</t>
  </si>
  <si>
    <t xml:space="preserve">Mpstats Самоходы (оплатили сами без демо и звонка) </t>
  </si>
  <si>
    <t>Оплата тарифа</t>
  </si>
  <si>
    <t>Общий флоу</t>
  </si>
  <si>
    <t>Выставлние счета</t>
  </si>
  <si>
    <t>Не считают в воронке</t>
  </si>
  <si>
    <t>Воронка продаж: ОТП и Хантеры — средние CR за фев / апр / май 2026</t>
  </si>
  <si>
    <t>Только CR. Среднее по фев/апр/май (март исключён — акция демо-доступов размыла конверсии; лист сам усредняет эти 3 месяца). Источник цифр — лист «Ретро для июня».</t>
  </si>
  <si>
    <t>ХАНТЕРЫ (встречи)</t>
  </si>
  <si>
    <t>СРЕДНЕЕ (Февраль/Апрель/Май)</t>
  </si>
  <si>
    <t>CR лид → квал</t>
  </si>
  <si>
    <t>13%</t>
  </si>
  <si>
    <t>CR квал → встреча</t>
  </si>
  <si>
    <t>29,8%</t>
  </si>
  <si>
    <t>CR встреча → счёт</t>
  </si>
  <si>
    <t>20%</t>
  </si>
  <si>
    <t>CR счёт → оплата</t>
  </si>
  <si>
    <t>90%</t>
  </si>
  <si>
    <t>Сквозной CR лид → оплата</t>
  </si>
  <si>
    <t>ОТП (звонки) — 2 корзины</t>
  </si>
  <si>
    <t>СРЕДНЕЕ</t>
  </si>
  <si>
    <t>CR квал → звонок</t>
  </si>
  <si>
    <t>45,5%</t>
  </si>
  <si>
    <t xml:space="preserve">  доля → корзина ГОРЯЧИЕ</t>
  </si>
  <si>
    <t>15,2%</t>
  </si>
  <si>
    <t xml:space="preserve">  доля → корзина ЗАИНТЕРЕС.</t>
  </si>
  <si>
    <t>84,8%</t>
  </si>
  <si>
    <t xml:space="preserve">  конв. ГОРЯЧИЕ → оплата</t>
  </si>
  <si>
    <t>34%</t>
  </si>
  <si>
    <t xml:space="preserve">  конв. ЗАИНТЕРЕС → оплата</t>
  </si>
  <si>
    <t>2%</t>
  </si>
  <si>
    <t>CR звонок → оплата (итог 2 корзин)</t>
  </si>
  <si>
    <t>6,85%</t>
  </si>
  <si>
    <t>0,41%</t>
  </si>
  <si>
    <t>Повторная покупка</t>
  </si>
  <si>
    <t>CR повторной покупки</t>
  </si>
  <si>
    <t>Гранулярность</t>
  </si>
  <si>
    <t>CR API</t>
  </si>
  <si>
    <t>CR Активация</t>
  </si>
  <si>
    <t>CR Налоги</t>
  </si>
  <si>
    <t>CR Себестоимость</t>
  </si>
  <si>
    <t>API</t>
  </si>
  <si>
    <t>Активации</t>
  </si>
  <si>
    <t>Налоги</t>
  </si>
  <si>
    <t>Реги</t>
  </si>
  <si>
    <t>Себестоимость</t>
  </si>
  <si>
    <t>Активация в Селлере</t>
  </si>
  <si>
    <t>Сегмент 1+ Сегмент 2</t>
  </si>
  <si>
    <t>Всего</t>
  </si>
  <si>
    <t>Переменные</t>
  </si>
  <si>
    <t>LTV по сегментам</t>
  </si>
  <si>
    <t>Ср чек первой покупки по сегментам</t>
  </si>
  <si>
    <t>LTV (другие продукты Банка)</t>
  </si>
  <si>
    <t xml:space="preserve">Распределение кол-ва селлеров по сегментам по оборотам </t>
  </si>
  <si>
    <t>Воронка DIGITAL</t>
  </si>
  <si>
    <t>https://jira.tcsbank.ru/browse/ECA-2046</t>
  </si>
  <si>
    <t>MPST</t>
  </si>
  <si>
    <t>Саша</t>
  </si>
  <si>
    <t>Карина</t>
  </si>
  <si>
    <t>Юля</t>
  </si>
  <si>
    <t>Флоу</t>
  </si>
  <si>
    <t>Воронка от 1го этапа  - лиды</t>
  </si>
  <si>
    <t>большая часть продаж - через счет, но есть и для ФЛ способы оплаты. Хантеры: 20% от демо - выставление счета</t>
  </si>
  <si>
    <t>MPS?</t>
  </si>
  <si>
    <t>Через какое время</t>
  </si>
  <si>
    <t>Всего селлеров</t>
  </si>
  <si>
    <t xml:space="preserve">Кол-во селлеров по сегментам по оборотам в Т-Банке </t>
  </si>
  <si>
    <t>Кол-во селлеров по сегментам по оборотам в Т-Банке (за искл пересечений с MPStast и Точкой)</t>
  </si>
  <si>
    <t>?</t>
  </si>
  <si>
    <t>real_transaction_dttm</t>
  </si>
  <si>
    <t>&lt;NULL&gt;</t>
  </si>
  <si>
    <t>NEW М-тариф 3 месяца</t>
  </si>
  <si>
    <t>NEW М-тариф 6 месяцев</t>
  </si>
  <si>
    <t>NEW М-тариф год</t>
  </si>
  <si>
    <t>NEW М-тариф год ИУ</t>
  </si>
  <si>
    <t>NEW М-тариф месяц</t>
  </si>
  <si>
    <t>OLD М-тариф год</t>
  </si>
  <si>
    <t>OLD М-тариф месяц</t>
  </si>
  <si>
    <t>OLD Тариф с Маркетгуру месяц</t>
  </si>
  <si>
    <t>Досписание</t>
  </si>
  <si>
    <t>М-тариф месяц ИУ</t>
  </si>
  <si>
    <t>Свой тариф</t>
  </si>
  <si>
    <t>Свой тариф Автоотзывы</t>
  </si>
  <si>
    <t>Свой тариф Автоотзывы ИУ</t>
  </si>
  <si>
    <t>Свой тариф ИУ</t>
  </si>
  <si>
    <t>Свой тариф Магви</t>
  </si>
  <si>
    <t>Свой тариф Магви ИУ</t>
  </si>
  <si>
    <t>Свой тариф Фин.Аналитика</t>
  </si>
  <si>
    <t>Свой тариф Фин.Аналитика ИУ</t>
  </si>
  <si>
    <t>кол-во</t>
  </si>
  <si>
    <t>рубли</t>
  </si>
  <si>
    <t>за период</t>
  </si>
  <si>
    <r>
      <t xml:space="preserve">E. Гипотеза. Digital +  </t>
    </r>
    <r>
      <rPr>
        <b/>
        <sz val="14"/>
        <color theme="1"/>
        <rFont val="Calibri (Основной текст)"/>
        <charset val="204"/>
      </rPr>
      <t>Sales канал MPS</t>
    </r>
    <r>
      <rPr>
        <b/>
        <sz val="14"/>
        <color theme="1"/>
        <rFont val="Calibri"/>
        <family val="2"/>
        <scheme val="minor"/>
      </rPr>
      <t xml:space="preserve"> + Биллинг Т</t>
    </r>
  </si>
  <si>
    <t>/Оффер демо встречи</t>
  </si>
  <si>
    <t>Воронка от 2 этапа - квалифицированные лиды</t>
  </si>
  <si>
    <t>ID</t>
  </si>
  <si>
    <t>Получить от MPStasts кол-во</t>
  </si>
  <si>
    <t>активный платный тариф MPStats</t>
  </si>
  <si>
    <t>исключаем из воронки</t>
  </si>
  <si>
    <t>нет пересечений</t>
  </si>
  <si>
    <t xml:space="preserve">был ранее платный тариф MPStats </t>
  </si>
  <si>
    <t>нет активного платного тарифа MPStats / не было ранее, но есть непротухший API</t>
  </si>
  <si>
    <t>ИБ?</t>
  </si>
  <si>
    <t>в разрезе по сегментам по обороту и активности</t>
  </si>
  <si>
    <t>решение</t>
  </si>
  <si>
    <t>ЦА</t>
  </si>
  <si>
    <t>вероятно незаинтересованный - снижаем CR в воронке</t>
  </si>
  <si>
    <t>какой компнаии передаем =сотрудник кто будет обрабтывать?</t>
  </si>
  <si>
    <t>NDA с ЮЛ на эту передачу данных с компанией - подписанный (наверно скан)</t>
  </si>
  <si>
    <t>Дата Т Банк - загружаем, ссылка и пароль - разные каналы (почта, тг/смс)</t>
  </si>
  <si>
    <t>1-2 дня</t>
  </si>
  <si>
    <t>Лиза/Карина?</t>
  </si>
  <si>
    <t>Сегмент по активности Т</t>
  </si>
  <si>
    <t>Сегмент 1.</t>
  </si>
  <si>
    <t xml:space="preserve">Сегмент 2. </t>
  </si>
  <si>
    <t xml:space="preserve">Сегмент 3. </t>
  </si>
  <si>
    <t xml:space="preserve">Сегмент 4. </t>
  </si>
  <si>
    <t>ИНН/ОГРН</t>
  </si>
  <si>
    <t>Есть АПИ</t>
  </si>
  <si>
    <t>LT</t>
  </si>
  <si>
    <t>В воронке имеет сымсл оставлять сначала АПИ потом триал иначе будут оставлять в МПСтатс, наша база для  для Селелр и ОБ не будет пополняться как раньше (сейчас можно взять триал без АПИ)</t>
  </si>
  <si>
    <t>Содержание (продление, удержание)</t>
  </si>
  <si>
    <t>кост на 1 сейлза</t>
  </si>
  <si>
    <t>кост на 1 РКО</t>
  </si>
  <si>
    <t>X</t>
  </si>
  <si>
    <t>Косты на маркетинг на 1 клиента с РКО</t>
  </si>
  <si>
    <t>разница не очищенный - очищенный доход Npv-PV (но что входит в неочищенный неизвестно, вероятно маркетинг)</t>
  </si>
  <si>
    <t>NPV РКО и др</t>
  </si>
  <si>
    <t>идея - заложить расходы пропорционально на Тариф?</t>
  </si>
  <si>
    <t>https://proteus.tcsbank.ru/superset/dashboard/50759/?native_filters_key=N1EflRdRl3eeD4pGUhCGkab9qHa_Xovcdedg2EUhsrPb6m9J-vOOQNoVLOXMOQ1R</t>
  </si>
  <si>
    <t>Косты сейлзов</t>
  </si>
  <si>
    <t>Сегмент 4. Клиенты без РКО в Т - Рынок. Открыли РКО</t>
  </si>
  <si>
    <t>Сегмент 3. Спящие клиенты в Т (нет транзакций по РКО). Проснулись</t>
  </si>
  <si>
    <t>//Согласились на демо встречу</t>
  </si>
  <si>
    <t>//Демо встреча состоялась</t>
  </si>
  <si>
    <t>/Дозвон sales (кто не согласился на демо)</t>
  </si>
  <si>
    <t xml:space="preserve">Сегмент 2. Активные клиенты в Т., но  без выплат от МП на РКО. </t>
  </si>
  <si>
    <t>CAC (расходы на продажи с маркетингом)</t>
  </si>
  <si>
    <t xml:space="preserve"> https://wiki.tcsbank.ru/pages/viewpage.action?pageId=8507435153 </t>
  </si>
  <si>
    <t>усредненные</t>
  </si>
  <si>
    <t>ФОТ (ком персонал + маркетинг)</t>
  </si>
  <si>
    <t>CAC (аллокация)</t>
  </si>
  <si>
    <t>Кол-во новых клиентов</t>
  </si>
  <si>
    <t>Кол-во активных клиентов</t>
  </si>
  <si>
    <t>CAC (продажи и маркетинг)</t>
  </si>
  <si>
    <t>LTV (удельные расходы на продление и удержание)</t>
  </si>
  <si>
    <t>Пилот Точка - тариф со скидкой 50%</t>
  </si>
  <si>
    <t>Факт</t>
  </si>
  <si>
    <t>План</t>
  </si>
  <si>
    <t>CR</t>
  </si>
  <si>
    <t>регистрации</t>
  </si>
  <si>
    <t>покупка МПС</t>
  </si>
  <si>
    <t>ОРС</t>
  </si>
  <si>
    <t>ОРС - upd</t>
  </si>
  <si>
    <t>DIGITAL</t>
  </si>
  <si>
    <t xml:space="preserve">сейчас CR рассчитан </t>
  </si>
  <si>
    <t>ср в мес</t>
  </si>
  <si>
    <t>cnt_untouched</t>
  </si>
  <si>
    <t>база селлеров - активные с выплатами на МП</t>
  </si>
  <si>
    <t>cnt_visits</t>
  </si>
  <si>
    <t xml:space="preserve">Лизы - визиты селлеров в Селлер </t>
  </si>
  <si>
    <t>CR_untouched_visits</t>
  </si>
  <si>
    <t>от базы селлеров</t>
  </si>
  <si>
    <t>cnt_first_visits</t>
  </si>
  <si>
    <t>Лиды - первый визит селлера в Селлер</t>
  </si>
  <si>
    <t>CR_untouched_first_visit</t>
  </si>
  <si>
    <t>cnt_api</t>
  </si>
  <si>
    <r>
      <t xml:space="preserve">оставил АПИ </t>
    </r>
    <r>
      <rPr>
        <sz val="11"/>
        <color theme="1"/>
        <rFont val="Calibri (Основной текст)"/>
        <charset val="204"/>
      </rPr>
      <t>(без ограничений по времени)</t>
    </r>
  </si>
  <si>
    <t>CR_first_visit_api</t>
  </si>
  <si>
    <t>от первого визита</t>
  </si>
  <si>
    <t>cnt_act</t>
  </si>
  <si>
    <t>активировался</t>
  </si>
  <si>
    <t>CR_first_visit_act</t>
  </si>
  <si>
    <t>cnt_trial</t>
  </si>
  <si>
    <r>
      <t>триал</t>
    </r>
    <r>
      <rPr>
        <sz val="11"/>
        <color theme="1"/>
        <rFont val="Calibri (Основной текст)"/>
        <charset val="204"/>
      </rPr>
      <t xml:space="preserve"> (по ЦД во время триала)</t>
    </r>
  </si>
  <si>
    <t>CR_visit_trial</t>
  </si>
  <si>
    <t>cnt_payment_after_trial</t>
  </si>
  <si>
    <t>оплата после траила - не отменил</t>
  </si>
  <si>
    <t>CR_visit_payment_after_trial</t>
  </si>
  <si>
    <t>cnt_payment</t>
  </si>
  <si>
    <t>отменил триал - позже оплата/ не брал триал</t>
  </si>
  <si>
    <t>CR_visit_payment</t>
  </si>
  <si>
    <t>payments всего</t>
  </si>
  <si>
    <t>оплат всего</t>
  </si>
  <si>
    <t>RETENTION_AVG</t>
  </si>
  <si>
    <t>LT_AVG, мес</t>
  </si>
  <si>
    <t>PV_AVG_PER_CLIENT_MONTHLY, руб</t>
  </si>
  <si>
    <t>LTV, руб</t>
  </si>
  <si>
    <t>SALES</t>
  </si>
  <si>
    <t>visits</t>
  </si>
  <si>
    <t>CR_untouched_visit</t>
  </si>
  <si>
    <t>api</t>
  </si>
  <si>
    <t>CR_visit_api</t>
  </si>
  <si>
    <t>от визитов</t>
  </si>
  <si>
    <t>act</t>
  </si>
  <si>
    <t>CR_visit_act</t>
  </si>
  <si>
    <t>trials</t>
  </si>
  <si>
    <t>payments</t>
  </si>
  <si>
    <t>все сегменты в мес</t>
  </si>
  <si>
    <t xml:space="preserve">неизвестно - дозрешие данные или нет </t>
  </si>
  <si>
    <t xml:space="preserve">LTV </t>
  </si>
  <si>
    <t xml:space="preserve">MPStats (за май 25-апр 26) </t>
  </si>
  <si>
    <t xml:space="preserve">LTV (тарифы MPStats) </t>
  </si>
  <si>
    <t>as is MPS но с учетом скидки 50%</t>
  </si>
  <si>
    <t>as is MPS (ср янв апр 2026)</t>
  </si>
  <si>
    <t>уточнить по сегменту (сейчас ср по 1 и 2 сегменту)</t>
  </si>
  <si>
    <t>Доход от тарифов MPStats</t>
  </si>
  <si>
    <t>- Звонки КЦ</t>
  </si>
  <si>
    <t>- Звонки sales</t>
  </si>
  <si>
    <t>- демо sales</t>
  </si>
  <si>
    <t>- маркетинг</t>
  </si>
  <si>
    <t>- триал (входит?)</t>
  </si>
  <si>
    <t>Расход на 1 день триала на 1 клиента</t>
  </si>
  <si>
    <t xml:space="preserve">as is MPS </t>
  </si>
  <si>
    <t>Доход - расход</t>
  </si>
  <si>
    <t>Первая покупка тарифа MPS</t>
  </si>
  <si>
    <t>Повторные покупки тарифа MPS</t>
  </si>
  <si>
    <t>CR в Т-Банке выше</t>
  </si>
  <si>
    <t>Данные для расчета</t>
  </si>
  <si>
    <t>нужно понять итоговоый согласованный размер скидки</t>
  </si>
  <si>
    <t>но вообще абсолюты - от всех визитов cnt_visits - Заход и действие в 1 месяц, но не обязательно первый заход</t>
  </si>
  <si>
    <t>Общее</t>
  </si>
  <si>
    <t>Квалификация лидов (дозвон КЦ) - ЦА</t>
  </si>
  <si>
    <t>Лиды (визииты Селлер)</t>
  </si>
  <si>
    <t>Сегмент 1.  Активные селлеры в Т с выплатами от МП. 1 приоритет</t>
  </si>
  <si>
    <t xml:space="preserve">Сегмент 2. Активные селлеры в Т., но  без выплат от МП </t>
  </si>
  <si>
    <t>Сегмент 3. Спящие селлеры в Т (нет транзакций по РКО)</t>
  </si>
  <si>
    <t>Сегмент 4. Селлеры без РКО в Т - Рынок</t>
  </si>
  <si>
    <t>добавить самоходов</t>
  </si>
  <si>
    <t>логика дохода от др продуктов??</t>
  </si>
  <si>
    <t>Расход на привлечение MPStats</t>
  </si>
  <si>
    <t>Расход на содержание MPStats</t>
  </si>
  <si>
    <t>Расходы по др продуктам Т-Банк</t>
  </si>
  <si>
    <t>Доход Т-Банк  всего (тарифы + др продукты)</t>
  </si>
  <si>
    <t>гипотза - расходы в 3 раза ниже чем у MPStats с sales</t>
  </si>
  <si>
    <t>Расход на 1 клиента - тарифы MPStats</t>
  </si>
  <si>
    <t>Расход на 1 клиента - др продукты Т-Банка</t>
  </si>
  <si>
    <t>Гипотеза 1. Sales MPS + Биллинг MPS</t>
  </si>
  <si>
    <t>Гипотеза 2. Sales MPS + Биллинг Т</t>
  </si>
  <si>
    <t>Гипотеза 5. Digital +  Sales канал Т + Биллинг Т</t>
  </si>
  <si>
    <t>Гипотеза 6. Sales канал Т + Биллинг Т</t>
  </si>
  <si>
    <t>Увеличение базы - влияние MPStast</t>
  </si>
  <si>
    <t>внутренний маркетинг считается бесплатным каналом</t>
  </si>
  <si>
    <t>- Демо sales</t>
  </si>
  <si>
    <t>- Маркетинг</t>
  </si>
  <si>
    <t>- Триал (входит?)</t>
  </si>
  <si>
    <t>-Продажи</t>
  </si>
  <si>
    <t>- Продажи</t>
  </si>
  <si>
    <t>Лиды (визиты Селлер)</t>
  </si>
  <si>
    <t>LTV MPStats (за май 2025-апрель 2026) - v2 очищенные</t>
  </si>
  <si>
    <t>&gt;100 млн</t>
  </si>
  <si>
    <t>без оборотов</t>
  </si>
  <si>
    <t>связь с селлером не найдена</t>
  </si>
  <si>
    <t>Клиентов</t>
  </si>
  <si>
    <t>LT мес</t>
  </si>
  <si>
    <t>LTV  - тарифы MPStats</t>
  </si>
  <si>
    <t>За 1 мес LT</t>
  </si>
  <si>
    <t>гипотеза: +1 мес к LT (за счет досписания с РКО на след мес при недостатке ДС)</t>
  </si>
  <si>
    <t>Расходы</t>
  </si>
  <si>
    <t>Квалификация лидов (Не дозвон КЦ)</t>
  </si>
  <si>
    <t>Покупка тарифа MPS (основной канал)</t>
  </si>
  <si>
    <t>Покупка тарифа MPS (самоходы)</t>
  </si>
  <si>
    <t>Покупка тарифа MPS (всего)</t>
  </si>
  <si>
    <t xml:space="preserve">Продление и удержание </t>
  </si>
  <si>
    <t>Запросы к API маркетплейсы</t>
  </si>
  <si>
    <t xml:space="preserve">Доходы: Тарифы MPStats </t>
  </si>
  <si>
    <t xml:space="preserve">Расходы: Тарифы MPStats </t>
  </si>
  <si>
    <t>NPV: тарифы MPStats</t>
  </si>
  <si>
    <t>LT гипотеза: тарифы MPStats</t>
  </si>
  <si>
    <t xml:space="preserve">LT as is: MPStats ( май 25-апр 26) </t>
  </si>
  <si>
    <t xml:space="preserve">LTV as is: MPStats ( май 25-апр 26) </t>
  </si>
  <si>
    <t>LTV гипотеза: тарифы MPStats</t>
  </si>
  <si>
    <t xml:space="preserve">LTV: другие продукты Банка </t>
  </si>
  <si>
    <t>LTV: другие продукты Банка (PV)</t>
  </si>
  <si>
    <t>LTV: другие продукты Банка (NPV)</t>
  </si>
  <si>
    <t>LTV гипотеза: другие продукты Банка (NPV). Влияние MPStas</t>
  </si>
  <si>
    <t>доп LTV</t>
  </si>
  <si>
    <t xml:space="preserve">гипотеза - LTV выше на X за счет ковенант </t>
  </si>
  <si>
    <t>Расходы as is: содержание (продление, удержание)</t>
  </si>
  <si>
    <t>Расходы гипотеза: содержание (продление, удержание)</t>
  </si>
  <si>
    <t>CAC (продажи + марктеинг)</t>
  </si>
  <si>
    <t>CAC гипотеза: привлечение</t>
  </si>
  <si>
    <t>Расходы на API в мес. </t>
  </si>
  <si>
    <t>Расходы as is: запросы API Селлер</t>
  </si>
  <si>
    <t>Расходы гипотеза: запросы API</t>
  </si>
  <si>
    <t>Расходы as is: MPStats (ср янв апр 2026)</t>
  </si>
  <si>
    <t xml:space="preserve"> LT выше (досписания-люготный период)</t>
  </si>
  <si>
    <t>NPV: всего</t>
  </si>
  <si>
    <t>гипотеза - LTV выше на X (за счет ковенант)</t>
  </si>
  <si>
    <t>доп LTV выше (ковенанты)</t>
  </si>
  <si>
    <t>NPV доп: продукты Т-Банк (влияние MPStats)</t>
  </si>
  <si>
    <t>act и api - нужно от первых визитов</t>
  </si>
  <si>
    <t>Расходы as is: запросы API 1 день триала</t>
  </si>
  <si>
    <t>Расходы as is: запросы API на 1 плятящего</t>
  </si>
  <si>
    <t>Количество платящих пользователей в мес. </t>
  </si>
  <si>
    <t>Расходы на API в мес. на 1 платящего пользователя</t>
  </si>
  <si>
    <t>гипотеза - если будет внешний маркетинг (3 млн на медиа и тг каналы)-- Закладывать?</t>
  </si>
  <si>
    <t>Тема</t>
  </si>
  <si>
    <t>Что</t>
  </si>
  <si>
    <t>Кто</t>
  </si>
  <si>
    <t>Катя</t>
  </si>
  <si>
    <t>дали 17 июн</t>
  </si>
  <si>
    <t>LTV по сегментам - дозревший? -- пересчитали 17 июн + дали новую сегментацию</t>
  </si>
  <si>
    <t>Костя</t>
  </si>
  <si>
    <t>Пересечение баз Т и MPS</t>
  </si>
  <si>
    <t>рапределение по сегментам по обортам</t>
  </si>
  <si>
    <t>Т-Бнак</t>
  </si>
  <si>
    <t>автосписания</t>
  </si>
  <si>
    <t>досписания</t>
  </si>
  <si>
    <r>
      <t xml:space="preserve">Для конверсии в варианте с биллингом Т.  </t>
    </r>
    <r>
      <rPr>
        <sz val="12"/>
        <color rgb="FFFF0000"/>
        <rFont val="Calibri (Основной текст)"/>
        <charset val="204"/>
      </rPr>
      <t xml:space="preserve">Сколько досписания при недостатке ДС к LT? </t>
    </r>
  </si>
  <si>
    <r>
      <t xml:space="preserve">Пока опираемся на 50% - </t>
    </r>
    <r>
      <rPr>
        <sz val="12"/>
        <color rgb="FFFF0000"/>
        <rFont val="Calibri (Основной текст)"/>
        <charset val="204"/>
      </rPr>
      <t>изменится?</t>
    </r>
  </si>
  <si>
    <t>28 тыс - продажи+маркетинг</t>
  </si>
  <si>
    <t>гипотеза - сколько дают ковенанты к LT</t>
  </si>
  <si>
    <t>Юля/Никита/Лиза</t>
  </si>
  <si>
    <t xml:space="preserve">Добавить в базу - селлеры без оборота? </t>
  </si>
  <si>
    <t>WB</t>
  </si>
  <si>
    <t>Озон</t>
  </si>
  <si>
    <t>Весь МПС</t>
  </si>
  <si>
    <t>Отдельные блоки</t>
  </si>
  <si>
    <t>1 мес</t>
  </si>
  <si>
    <t xml:space="preserve"> БЫЛО</t>
  </si>
  <si>
    <t>Тарифы</t>
  </si>
  <si>
    <t>Ср чек</t>
  </si>
  <si>
    <t>База</t>
  </si>
  <si>
    <t>Средний</t>
  </si>
  <si>
    <t>Гипотеза 3.Digital + Биллинг Т</t>
  </si>
  <si>
    <t>Конверсии</t>
  </si>
  <si>
    <t>без учета пересечений баз с MPStats (нет данных)</t>
  </si>
  <si>
    <t>скидка 50% от тарифов MPS</t>
  </si>
  <si>
    <t>нужна разбивка</t>
  </si>
  <si>
    <t>нужны данные MPS</t>
  </si>
  <si>
    <t>нужны данные MPS (должно быть больше)</t>
  </si>
  <si>
    <t>триал вкл?</t>
  </si>
  <si>
    <t>где разбивка?</t>
  </si>
  <si>
    <t>LTV MPStats (за май 2025-апрель 2026) - v1 исх</t>
  </si>
  <si>
    <t>нет данных пока (можно посчиать в начале/сер июля)</t>
  </si>
  <si>
    <t>оптимисчтино</t>
  </si>
  <si>
    <t>ОБСУЖДЕНИЕ</t>
  </si>
  <si>
    <t xml:space="preserve">https://unidraw.io/app/board/a099d59523c3e8ff1926?allow_guest=true </t>
  </si>
  <si>
    <t>СТАЛО (с июня 26)</t>
  </si>
  <si>
    <t>для Т (скидка 50%)</t>
  </si>
  <si>
    <t>ИТОГО: база для воронки</t>
  </si>
  <si>
    <t>- Триал (если входит в САС)</t>
  </si>
  <si>
    <t>конверсии ориентировочные - Опалат, апи, тариал</t>
  </si>
  <si>
    <t>ALL</t>
  </si>
  <si>
    <t xml:space="preserve">https://mpstats.io/tariffs </t>
  </si>
  <si>
    <t>Распределение селлеров по сегментам по оборотам в Т-Банке (акт РКО/ не утиль Озони ВБ)</t>
  </si>
  <si>
    <t>проверить в реальности какое число без оборотов - оставляют апи/ активруются потом /покупают? --- почти нет</t>
  </si>
  <si>
    <r>
      <t xml:space="preserve">Для конверсии в варианте с биллингом Т. </t>
    </r>
    <r>
      <rPr>
        <sz val="12"/>
        <color rgb="FFFF0000"/>
        <rFont val="Calibri (Основной текст)"/>
        <charset val="204"/>
      </rPr>
      <t>Сколько дают автосписания после триала к LT и CR в оплату? Учесть  CR триал</t>
    </r>
  </si>
  <si>
    <t>https://jira.tcsbank.ru/browse/ECA-2058</t>
  </si>
  <si>
    <r>
      <t xml:space="preserve">пока взяла экспертно. Карина уточнит - </t>
    </r>
    <r>
      <rPr>
        <sz val="12"/>
        <color rgb="FF0070C0"/>
        <rFont val="Calibri (Основной текст)"/>
        <charset val="204"/>
      </rPr>
      <t>в др продуктах Т какой рез?- Саша: сложно перенести на наш кейс (пока у нас даже нет условий)</t>
    </r>
  </si>
  <si>
    <t>будем ли мы использовать внешний маркетинг?</t>
  </si>
  <si>
    <r>
      <t xml:space="preserve">если да - 3 млн (медиа+тг каналы). Внутренний маркетинг считается условно беспралтным. </t>
    </r>
    <r>
      <rPr>
        <sz val="12"/>
        <color rgb="FF0070C0"/>
        <rFont val="Calibri (Основной текст)"/>
        <charset val="204"/>
      </rPr>
      <t>По предварительной бизнес модели - имеет сымсл + нужно понять финальный оффер. Обсудить</t>
    </r>
  </si>
  <si>
    <t>Финальная скидка на тарифы, оффер Т</t>
  </si>
  <si>
    <t>10-100 млн</t>
  </si>
  <si>
    <t>Сегмент по статусу активности (только WB/Ozon, без Яндекс маркета)</t>
  </si>
  <si>
    <t>База клиентов для Селлера из сегмента 3 и 4 = CR  из модели Карины (проснулись/открыли РКО)</t>
  </si>
  <si>
    <r>
      <t xml:space="preserve">Распределение по сегментам - пересчитать. </t>
    </r>
    <r>
      <rPr>
        <sz val="12"/>
        <color theme="1"/>
        <rFont val="Calibri (Основной текст)"/>
        <charset val="204"/>
      </rPr>
      <t>+ добавить новую сегментацию &gt;100 млн</t>
    </r>
  </si>
  <si>
    <t>Селелры без оборотов: заходят в Селлер, после оставляют АПИ (без ограничений по времени)</t>
  </si>
  <si>
    <t>февраль</t>
  </si>
  <si>
    <t>март</t>
  </si>
  <si>
    <t>аперль</t>
  </si>
  <si>
    <t>ср</t>
  </si>
  <si>
    <t>Заходы в Селлер</t>
  </si>
  <si>
    <t>Оставили АПИ</t>
  </si>
  <si>
    <t>в то время как "селлеры с оборотами" оставляют АПИ - 25%</t>
  </si>
  <si>
    <t>Зачем: нам нужно учесть в расходах.</t>
  </si>
  <si>
    <r>
      <t>Что ожидаем:</t>
    </r>
    <r>
      <rPr>
        <sz val="12"/>
        <color rgb="FF222222"/>
        <rFont val="Calibri"/>
        <family val="2"/>
        <scheme val="minor"/>
      </rPr>
      <t> необходима разбивка СAC – </t>
    </r>
    <r>
      <rPr>
        <u/>
        <sz val="12"/>
        <color rgb="FF222222"/>
        <rFont val="Calibri"/>
        <family val="2"/>
        <scheme val="minor"/>
      </rPr>
      <t>как минимум</t>
    </r>
    <r>
      <rPr>
        <sz val="12"/>
        <color rgb="FF222222"/>
        <rFont val="Calibri"/>
        <family val="2"/>
        <scheme val="minor"/>
      </rPr>
      <t> на «продажи» и  «маркетинг», «триал» (если входит). Зачем: нам нужно вычесть ваши расходы на маркетинг и применить другие расходы на триал. Если есть данные по подкатегориям (звонки КЦ, звонки sales, демо sales) – то по ним тоже. Зачем: рассчитать вариант, когда часть коммуникаций - через Т-Банк.</t>
    </r>
  </si>
  <si>
    <t>Что ожидаем: стоимость 1 дня триала на любого клиента. Зачем: нам нужно учесть в расходах стоимость триала - мы еще думаем какое количество дней это должно быть. Вопрос: Обсуждали что триал выдается всем клиентам автоматом после заявки на сайте. А какая доля от всех лидов активруют/используют триал (т.е. есть расходы)?</t>
  </si>
  <si>
    <t>Из них - придут за MPStats из модели Карины</t>
  </si>
  <si>
    <t>ALL Digital</t>
  </si>
  <si>
    <t>ALL Sales</t>
  </si>
  <si>
    <t xml:space="preserve">ALL </t>
  </si>
  <si>
    <t xml:space="preserve">Привлечение </t>
  </si>
  <si>
    <t>Sales (&gt;1 млн оборот)</t>
  </si>
  <si>
    <t>Digital (до 1 млн оборот)</t>
  </si>
  <si>
    <r>
      <t xml:space="preserve">Гипотеза 4. Digital +  </t>
    </r>
    <r>
      <rPr>
        <b/>
        <sz val="14"/>
        <color theme="1"/>
        <rFont val="Calibri (Основной текст)"/>
        <charset val="204"/>
      </rPr>
      <t>Sales MPS</t>
    </r>
    <r>
      <rPr>
        <b/>
        <sz val="14"/>
        <color theme="1"/>
        <rFont val="Calibri"/>
        <family val="2"/>
        <scheme val="minor"/>
      </rPr>
      <t xml:space="preserve"> (крупные) + Биллинг Т</t>
    </r>
  </si>
  <si>
    <r>
      <t xml:space="preserve">от какой базы считаем воронку. какой базе продаем, какие сегменты - какие тарифы (за вычетом пересечений баз: есть тариф - исключаем, есть апи и нет тарифа - низкая вреоятность покупки) - </t>
    </r>
    <r>
      <rPr>
        <sz val="12"/>
        <color rgb="FFFF0000"/>
        <rFont val="Calibri (Основной текст)"/>
        <charset val="204"/>
      </rPr>
      <t>не хотят</t>
    </r>
    <r>
      <rPr>
        <sz val="12"/>
        <color rgb="FFFF0000"/>
        <rFont val="Calibri"/>
        <family val="2"/>
        <scheme val="minor"/>
      </rPr>
      <t xml:space="preserve"> делать пересечение (юр блокеры/долго)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</si>
</sst>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#,##0\ &quot;₽&quot;;[Red]\-#,##0\ &quot;₽&quot;"/>
    <numFmt numFmtId="44" formatCode="_-* #,##0.00\ &quot;₽&quot;_-;\-* #,##0.00\ &quot;₽&quot;_-;_-* &quot;-&quot;??\ &quot;₽&quot;_-;_-@_-"/>
    <numFmt numFmtId="164" formatCode="0.0%"/>
    <numFmt numFmtId="165" formatCode="yyyy\-mm\-dd"/>
    <numFmt numFmtId="166" formatCode="_-* #,##0\ &quot;₽&quot;_-;\-* #,##0\ &quot;₽&quot;_-;_-* &quot;-&quot;??\ &quot;₽&quot;_-;_-@_-"/>
    <numFmt numFmtId="167" formatCode="yyyy\-mm\-dd\ hh:mm:ss"/>
    <numFmt numFmtId="168" formatCode="0.0"/>
    <numFmt numFmtId="169" formatCode="#,##0\ &quot;₽&quot;"/>
    <numFmt numFmtId="170" formatCode="_-* #,##0.0\ &quot;₽&quot;_-;\-* #,##0.0\ &quot;₽&quot;_-;_-* &quot;-&quot;?\ &quot;₽&quot;_-;_-@_-"/>
  </numFmts>
  <fonts count="65" x14ac:knownFonts="1">
    <font>
      <sz val="12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2"/>
      <color rgb="FFFF0000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5"/>
      <color rgb="FF3F4350"/>
      <name val="Arial"/>
      <family val="2"/>
    </font>
    <font>
      <b/>
      <sz val="15"/>
      <color rgb="FF3F4350"/>
      <name val="Arial"/>
      <family val="2"/>
    </font>
    <font>
      <sz val="12"/>
      <color theme="1"/>
      <name val="Calibri"/>
      <family val="2"/>
      <charset val="204"/>
      <scheme val="minor"/>
    </font>
    <font>
      <sz val="14"/>
      <color rgb="FFFF0000"/>
      <name val="Calibri"/>
      <family val="2"/>
      <scheme val="minor"/>
    </font>
    <font>
      <sz val="14"/>
      <color theme="0" tint="-0.49998474074526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4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0"/>
      <color rgb="FF000000"/>
      <name val="Calibri"/>
      <family val="2"/>
    </font>
    <font>
      <b/>
      <sz val="14"/>
      <color theme="1"/>
      <name val="Calibri (Основной текст)"/>
      <charset val="204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C00000"/>
      <name val="Calibri"/>
      <family val="2"/>
      <scheme val="minor"/>
    </font>
    <font>
      <i/>
      <sz val="12"/>
      <color rgb="FFC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1"/>
      <name val="Calibri (Основной текст)"/>
      <charset val="204"/>
    </font>
    <font>
      <b/>
      <sz val="11"/>
      <color indexed="8"/>
      <name val="Calibri"/>
      <family val="2"/>
      <scheme val="minor"/>
    </font>
    <font>
      <sz val="14"/>
      <color rgb="FF172B4D"/>
      <name val="Roboto"/>
    </font>
    <font>
      <i/>
      <sz val="11"/>
      <color theme="1"/>
      <name val="Calibri (Основной текст)"/>
      <charset val="204"/>
    </font>
    <font>
      <i/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4"/>
      <color rgb="FFC00000"/>
      <name val="Calibri"/>
      <family val="2"/>
      <charset val="204"/>
      <scheme val="minor"/>
    </font>
    <font>
      <sz val="14"/>
      <color theme="5" tint="-0.249977111117893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name val="Calibri"/>
      <family val="2"/>
      <scheme val="minor"/>
    </font>
    <font>
      <sz val="12"/>
      <color theme="5" tint="-0.499984740745262"/>
      <name val="Calibri"/>
      <family val="2"/>
      <charset val="204"/>
      <scheme val="minor"/>
    </font>
    <font>
      <b/>
      <sz val="14"/>
      <color theme="9" tint="-0.249977111117893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FF0000"/>
      <name val="Calibri (Основной текст)"/>
      <charset val="204"/>
    </font>
    <font>
      <sz val="11"/>
      <color theme="2" tint="-0.89999084444715716"/>
      <name val="Calibri"/>
      <family val="2"/>
      <scheme val="minor"/>
    </font>
    <font>
      <sz val="12"/>
      <color rgb="FFC00000"/>
      <name val="Calibri"/>
      <family val="2"/>
      <charset val="204"/>
      <scheme val="minor"/>
    </font>
    <font>
      <b/>
      <sz val="14"/>
      <color rgb="FFC00000"/>
      <name val="Calibri"/>
      <family val="2"/>
      <scheme val="minor"/>
    </font>
    <font>
      <sz val="14"/>
      <color rgb="FF0070C0"/>
      <name val="Calibri"/>
      <family val="2"/>
      <scheme val="minor"/>
    </font>
    <font>
      <sz val="12"/>
      <color rgb="FF0070C0"/>
      <name val="Calibri (Основной текст)"/>
      <charset val="204"/>
    </font>
    <font>
      <i/>
      <sz val="14"/>
      <color rgb="FF0070C0"/>
      <name val="Calibri"/>
      <family val="2"/>
      <scheme val="minor"/>
    </font>
    <font>
      <sz val="14"/>
      <color theme="2" tint="-0.499984740745262"/>
      <name val="Calibri"/>
      <family val="2"/>
      <scheme val="minor"/>
    </font>
    <font>
      <sz val="12"/>
      <color theme="1"/>
      <name val="Calibri (Основной текст)"/>
      <charset val="204"/>
    </font>
    <font>
      <sz val="14"/>
      <color theme="2" tint="-0.749992370372631"/>
      <name val="Calibri"/>
      <family val="2"/>
      <scheme val="minor"/>
    </font>
    <font>
      <sz val="12"/>
      <color theme="2" tint="-0.749992370372631"/>
      <name val="Calibri"/>
      <family val="2"/>
      <scheme val="minor"/>
    </font>
    <font>
      <sz val="12"/>
      <color rgb="FF222222"/>
      <name val="Calibri"/>
      <family val="2"/>
      <scheme val="minor"/>
    </font>
    <font>
      <u/>
      <sz val="12"/>
      <color rgb="FF22222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7BF50"/>
        <bgColor rgb="FF17BF50"/>
      </patternFill>
    </fill>
    <fill>
      <patternFill patternType="solid">
        <fgColor rgb="FFEAF7EE"/>
        <bgColor rgb="FFEAF7EE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4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736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vertical="top" wrapText="1"/>
    </xf>
    <xf numFmtId="0" fontId="5" fillId="0" borderId="0" xfId="0" applyFont="1"/>
    <xf numFmtId="0" fontId="0" fillId="0" borderId="0" xfId="0" applyAlignment="1">
      <alignment wrapText="1"/>
    </xf>
    <xf numFmtId="0" fontId="6" fillId="0" borderId="0" xfId="1"/>
    <xf numFmtId="0" fontId="7" fillId="0" borderId="0" xfId="0" applyFont="1"/>
    <xf numFmtId="0" fontId="7" fillId="0" borderId="0" xfId="0" applyFont="1" applyAlignment="1">
      <alignment wrapText="1"/>
    </xf>
    <xf numFmtId="0" fontId="0" fillId="0" borderId="1" xfId="0" applyBorder="1"/>
    <xf numFmtId="0" fontId="9" fillId="0" borderId="0" xfId="0" applyFont="1"/>
    <xf numFmtId="0" fontId="7" fillId="4" borderId="0" xfId="0" applyFont="1" applyFill="1"/>
    <xf numFmtId="0" fontId="0" fillId="4" borderId="0" xfId="0" applyFill="1"/>
    <xf numFmtId="0" fontId="2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0" borderId="0" xfId="0" applyFont="1"/>
    <xf numFmtId="0" fontId="1" fillId="0" borderId="3" xfId="0" applyFont="1" applyBorder="1" applyAlignment="1">
      <alignment vertical="top" wrapText="1"/>
    </xf>
    <xf numFmtId="0" fontId="1" fillId="0" borderId="1" xfId="0" applyFont="1" applyBorder="1"/>
    <xf numFmtId="0" fontId="2" fillId="0" borderId="0" xfId="0" applyFont="1"/>
    <xf numFmtId="0" fontId="2" fillId="0" borderId="4" xfId="0" applyFont="1" applyBorder="1" applyAlignment="1">
      <alignment vertical="top" wrapText="1"/>
    </xf>
    <xf numFmtId="0" fontId="12" fillId="4" borderId="1" xfId="0" applyFont="1" applyFill="1" applyBorder="1"/>
    <xf numFmtId="0" fontId="1" fillId="7" borderId="0" xfId="0" applyFont="1" applyFill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1" fillId="0" borderId="10" xfId="0" applyFont="1" applyBorder="1" applyAlignment="1">
      <alignment vertical="top" wrapText="1"/>
    </xf>
    <xf numFmtId="0" fontId="1" fillId="6" borderId="0" xfId="0" applyFont="1" applyFill="1" applyAlignment="1">
      <alignment vertical="top" wrapText="1"/>
    </xf>
    <xf numFmtId="0" fontId="2" fillId="8" borderId="0" xfId="0" applyFont="1" applyFill="1"/>
    <xf numFmtId="0" fontId="1" fillId="8" borderId="0" xfId="0" applyFont="1" applyFill="1"/>
    <xf numFmtId="0" fontId="1" fillId="0" borderId="9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9" xfId="0" applyFont="1" applyBorder="1" applyAlignment="1">
      <alignment horizontal="right" vertical="top" wrapText="1"/>
    </xf>
    <xf numFmtId="164" fontId="1" fillId="0" borderId="9" xfId="0" applyNumberFormat="1" applyFont="1" applyBorder="1" applyAlignment="1">
      <alignment horizontal="right" vertical="top"/>
    </xf>
    <xf numFmtId="164" fontId="1" fillId="0" borderId="0" xfId="2" applyNumberFormat="1" applyFont="1" applyFill="1" applyBorder="1" applyAlignment="1">
      <alignment horizontal="right" vertical="top"/>
    </xf>
    <xf numFmtId="0" fontId="12" fillId="0" borderId="9" xfId="0" applyFont="1" applyBorder="1" applyAlignment="1">
      <alignment horizontal="right" vertical="top" wrapText="1"/>
    </xf>
    <xf numFmtId="164" fontId="1" fillId="0" borderId="0" xfId="2" applyNumberFormat="1" applyFont="1" applyFill="1" applyBorder="1" applyAlignment="1">
      <alignment horizontal="right" vertical="top" wrapText="1"/>
    </xf>
    <xf numFmtId="0" fontId="12" fillId="0" borderId="10" xfId="0" applyFont="1" applyBorder="1" applyAlignment="1">
      <alignment horizontal="right" vertical="top" wrapText="1"/>
    </xf>
    <xf numFmtId="0" fontId="1" fillId="0" borderId="10" xfId="0" applyFont="1" applyBorder="1" applyAlignment="1">
      <alignment horizontal="right" vertical="top" wrapText="1"/>
    </xf>
    <xf numFmtId="164" fontId="12" fillId="0" borderId="0" xfId="2" applyNumberFormat="1" applyFont="1" applyFill="1" applyBorder="1" applyAlignment="1">
      <alignment horizontal="right" vertical="top" wrapText="1"/>
    </xf>
    <xf numFmtId="0" fontId="1" fillId="5" borderId="9" xfId="0" applyFont="1" applyFill="1" applyBorder="1" applyAlignment="1">
      <alignment vertical="top"/>
    </xf>
    <xf numFmtId="0" fontId="1" fillId="0" borderId="9" xfId="0" applyFont="1" applyBorder="1" applyAlignment="1">
      <alignment vertical="top"/>
    </xf>
    <xf numFmtId="0" fontId="1" fillId="6" borderId="9" xfId="0" applyFont="1" applyFill="1" applyBorder="1" applyAlignment="1">
      <alignment vertical="top"/>
    </xf>
    <xf numFmtId="0" fontId="1" fillId="3" borderId="9" xfId="0" applyFont="1" applyFill="1" applyBorder="1" applyAlignment="1">
      <alignment horizontal="left" vertical="top"/>
    </xf>
    <xf numFmtId="0" fontId="1" fillId="2" borderId="9" xfId="0" applyFont="1" applyFill="1" applyBorder="1" applyAlignment="1">
      <alignment vertical="top"/>
    </xf>
    <xf numFmtId="0" fontId="1" fillId="2" borderId="0" xfId="0" applyFont="1" applyFill="1" applyAlignment="1">
      <alignment vertical="top" wrapText="1"/>
    </xf>
    <xf numFmtId="0" fontId="16" fillId="9" borderId="15" xfId="0" applyFont="1" applyFill="1" applyBorder="1" applyAlignment="1">
      <alignment horizontal="left" vertical="center"/>
    </xf>
    <xf numFmtId="0" fontId="16" fillId="9" borderId="15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0" borderId="15" xfId="0" applyBorder="1" applyAlignment="1">
      <alignment horizontal="left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10" borderId="15" xfId="0" applyFont="1" applyFill="1" applyBorder="1" applyAlignment="1">
      <alignment horizontal="left" vertical="center"/>
    </xf>
    <xf numFmtId="10" fontId="17" fillId="10" borderId="15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10" borderId="15" xfId="0" applyFill="1" applyBorder="1" applyAlignment="1">
      <alignment horizontal="left" vertical="center"/>
    </xf>
    <xf numFmtId="0" fontId="0" fillId="10" borderId="15" xfId="0" applyFill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5" xfId="0" applyFont="1" applyBorder="1" applyAlignment="1">
      <alignment horizontal="center" vertical="center"/>
    </xf>
    <xf numFmtId="0" fontId="17" fillId="10" borderId="15" xfId="0" applyFont="1" applyFill="1" applyBorder="1" applyAlignment="1">
      <alignment horizontal="center" vertical="center"/>
    </xf>
    <xf numFmtId="9" fontId="12" fillId="0" borderId="9" xfId="0" applyNumberFormat="1" applyFont="1" applyBorder="1" applyAlignment="1">
      <alignment horizontal="right" vertical="top" wrapText="1"/>
    </xf>
    <xf numFmtId="0" fontId="1" fillId="0" borderId="1" xfId="0" applyFont="1" applyBorder="1" applyAlignment="1">
      <alignment vertical="top"/>
    </xf>
    <xf numFmtId="0" fontId="2" fillId="0" borderId="0" xfId="0" applyFont="1" applyAlignment="1">
      <alignment vertical="top"/>
    </xf>
    <xf numFmtId="0" fontId="19" fillId="0" borderId="1" xfId="0" applyFont="1" applyBorder="1" applyAlignment="1">
      <alignment horizontal="center" vertical="top"/>
    </xf>
    <xf numFmtId="165" fontId="0" fillId="0" borderId="0" xfId="0" applyNumberFormat="1"/>
    <xf numFmtId="0" fontId="19" fillId="11" borderId="1" xfId="0" applyFont="1" applyFill="1" applyBorder="1" applyAlignment="1">
      <alignment horizontal="center" vertical="top"/>
    </xf>
    <xf numFmtId="165" fontId="0" fillId="11" borderId="0" xfId="0" applyNumberFormat="1" applyFill="1"/>
    <xf numFmtId="0" fontId="0" fillId="11" borderId="0" xfId="0" applyFill="1"/>
    <xf numFmtId="164" fontId="0" fillId="11" borderId="0" xfId="2" applyNumberFormat="1" applyFont="1" applyFill="1"/>
    <xf numFmtId="1" fontId="0" fillId="11" borderId="0" xfId="2" applyNumberFormat="1" applyFont="1" applyFill="1"/>
    <xf numFmtId="164" fontId="1" fillId="0" borderId="0" xfId="2" applyNumberFormat="1" applyFont="1"/>
    <xf numFmtId="164" fontId="1" fillId="0" borderId="1" xfId="2" applyNumberFormat="1" applyFont="1" applyBorder="1"/>
    <xf numFmtId="0" fontId="1" fillId="4" borderId="0" xfId="0" applyFont="1" applyFill="1" applyAlignment="1">
      <alignment vertical="top" wrapText="1"/>
    </xf>
    <xf numFmtId="0" fontId="18" fillId="0" borderId="0" xfId="0" applyFont="1"/>
    <xf numFmtId="164" fontId="1" fillId="0" borderId="0" xfId="2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0" fontId="1" fillId="12" borderId="16" xfId="0" applyFont="1" applyFill="1" applyBorder="1" applyAlignment="1">
      <alignment vertical="top" wrapText="1"/>
    </xf>
    <xf numFmtId="0" fontId="1" fillId="0" borderId="11" xfId="0" applyFont="1" applyBorder="1" applyAlignment="1">
      <alignment vertical="top" wrapText="1"/>
    </xf>
    <xf numFmtId="0" fontId="1" fillId="12" borderId="11" xfId="0" applyFont="1" applyFill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0" fillId="0" borderId="4" xfId="0" applyBorder="1"/>
    <xf numFmtId="0" fontId="1" fillId="0" borderId="0" xfId="0" quotePrefix="1" applyFont="1" applyAlignment="1">
      <alignment vertical="top" wrapText="1"/>
    </xf>
    <xf numFmtId="0" fontId="1" fillId="14" borderId="0" xfId="0" applyFont="1" applyFill="1"/>
    <xf numFmtId="0" fontId="21" fillId="14" borderId="0" xfId="0" applyFont="1" applyFill="1" applyAlignment="1">
      <alignment vertical="top"/>
    </xf>
    <xf numFmtId="0" fontId="2" fillId="14" borderId="0" xfId="0" applyFont="1" applyFill="1"/>
    <xf numFmtId="0" fontId="18" fillId="0" borderId="0" xfId="0" applyFont="1" applyAlignment="1">
      <alignment vertical="top" wrapText="1"/>
    </xf>
    <xf numFmtId="0" fontId="1" fillId="0" borderId="18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1" fillId="0" borderId="19" xfId="0" applyFont="1" applyBorder="1" applyAlignment="1">
      <alignment vertical="top" wrapText="1"/>
    </xf>
    <xf numFmtId="0" fontId="1" fillId="0" borderId="21" xfId="0" applyFont="1" applyBorder="1" applyAlignment="1">
      <alignment vertical="top" wrapText="1"/>
    </xf>
    <xf numFmtId="0" fontId="1" fillId="0" borderId="19" xfId="0" applyFont="1" applyBorder="1"/>
    <xf numFmtId="0" fontId="2" fillId="6" borderId="17" xfId="0" applyFont="1" applyFill="1" applyBorder="1" applyAlignment="1">
      <alignment vertical="top" wrapText="1"/>
    </xf>
    <xf numFmtId="0" fontId="1" fillId="0" borderId="20" xfId="0" applyFont="1" applyBorder="1" applyAlignment="1">
      <alignment vertical="top" wrapText="1"/>
    </xf>
    <xf numFmtId="0" fontId="2" fillId="6" borderId="19" xfId="0" applyFont="1" applyFill="1" applyBorder="1" applyAlignment="1">
      <alignment vertical="top" wrapText="1"/>
    </xf>
    <xf numFmtId="0" fontId="22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3" fillId="0" borderId="0" xfId="1" applyFont="1" applyAlignment="1">
      <alignment vertical="top"/>
    </xf>
    <xf numFmtId="0" fontId="2" fillId="5" borderId="9" xfId="0" applyFont="1" applyFill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9" fontId="1" fillId="0" borderId="9" xfId="0" applyNumberFormat="1" applyFont="1" applyBorder="1" applyAlignment="1">
      <alignment horizontal="right" vertical="top"/>
    </xf>
    <xf numFmtId="164" fontId="1" fillId="0" borderId="9" xfId="2" applyNumberFormat="1" applyFont="1" applyFill="1" applyBorder="1" applyAlignment="1">
      <alignment horizontal="right" vertical="top"/>
    </xf>
    <xf numFmtId="164" fontId="1" fillId="0" borderId="9" xfId="0" applyNumberFormat="1" applyFont="1" applyBorder="1" applyAlignment="1">
      <alignment horizontal="right" vertical="top" wrapText="1"/>
    </xf>
    <xf numFmtId="164" fontId="12" fillId="0" borderId="9" xfId="0" applyNumberFormat="1" applyFont="1" applyBorder="1" applyAlignment="1">
      <alignment horizontal="right" vertical="top" wrapText="1"/>
    </xf>
    <xf numFmtId="0" fontId="2" fillId="6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9" fontId="12" fillId="0" borderId="0" xfId="0" applyNumberFormat="1" applyFont="1" applyAlignment="1">
      <alignment horizontal="right" vertical="top" wrapText="1"/>
    </xf>
    <xf numFmtId="164" fontId="1" fillId="0" borderId="0" xfId="0" applyNumberFormat="1" applyFont="1" applyAlignment="1">
      <alignment horizontal="right" vertical="top"/>
    </xf>
    <xf numFmtId="0" fontId="12" fillId="0" borderId="0" xfId="0" applyFont="1" applyAlignment="1">
      <alignment horizontal="right" vertical="top" wrapText="1"/>
    </xf>
    <xf numFmtId="164" fontId="1" fillId="0" borderId="0" xfId="0" applyNumberFormat="1" applyFont="1" applyAlignment="1">
      <alignment horizontal="right" vertical="top" wrapText="1"/>
    </xf>
    <xf numFmtId="9" fontId="1" fillId="0" borderId="0" xfId="0" applyNumberFormat="1" applyFont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10" fontId="1" fillId="0" borderId="0" xfId="0" applyNumberFormat="1" applyFont="1" applyAlignment="1">
      <alignment horizontal="right" vertical="top" wrapText="1"/>
    </xf>
    <xf numFmtId="9" fontId="1" fillId="5" borderId="9" xfId="0" applyNumberFormat="1" applyFont="1" applyFill="1" applyBorder="1" applyAlignment="1">
      <alignment horizontal="right" vertical="top" wrapText="1"/>
    </xf>
    <xf numFmtId="164" fontId="1" fillId="5" borderId="0" xfId="0" applyNumberFormat="1" applyFont="1" applyFill="1" applyAlignment="1">
      <alignment horizontal="right" vertical="top" wrapText="1"/>
    </xf>
    <xf numFmtId="164" fontId="1" fillId="5" borderId="0" xfId="2" applyNumberFormat="1" applyFont="1" applyFill="1" applyBorder="1" applyAlignment="1">
      <alignment horizontal="right" vertical="top" wrapText="1"/>
    </xf>
    <xf numFmtId="164" fontId="12" fillId="0" borderId="0" xfId="0" applyNumberFormat="1" applyFont="1" applyAlignment="1">
      <alignment horizontal="right" vertical="top" wrapText="1"/>
    </xf>
    <xf numFmtId="0" fontId="2" fillId="5" borderId="0" xfId="0" applyFont="1" applyFill="1" applyAlignment="1">
      <alignment horizontal="left" vertical="top" wrapText="1"/>
    </xf>
    <xf numFmtId="9" fontId="1" fillId="5" borderId="0" xfId="0" applyNumberFormat="1" applyFont="1" applyFill="1" applyAlignment="1">
      <alignment horizontal="right" vertical="top"/>
    </xf>
    <xf numFmtId="9" fontId="1" fillId="0" borderId="0" xfId="0" applyNumberFormat="1" applyFont="1" applyAlignment="1">
      <alignment horizontal="right" vertical="top"/>
    </xf>
    <xf numFmtId="9" fontId="1" fillId="5" borderId="0" xfId="0" applyNumberFormat="1" applyFont="1" applyFill="1" applyAlignment="1">
      <alignment horizontal="right" vertical="top" wrapText="1"/>
    </xf>
    <xf numFmtId="164" fontId="12" fillId="0" borderId="10" xfId="0" applyNumberFormat="1" applyFont="1" applyBorder="1" applyAlignment="1">
      <alignment horizontal="right" vertical="top" wrapText="1"/>
    </xf>
    <xf numFmtId="164" fontId="1" fillId="0" borderId="0" xfId="2" applyNumberFormat="1" applyFont="1" applyBorder="1" applyAlignment="1">
      <alignment horizontal="right" vertical="top" wrapText="1"/>
    </xf>
    <xf numFmtId="164" fontId="1" fillId="0" borderId="0" xfId="2" applyNumberFormat="1" applyFont="1" applyBorder="1"/>
    <xf numFmtId="10" fontId="2" fillId="0" borderId="0" xfId="0" applyNumberFormat="1" applyFont="1" applyAlignment="1">
      <alignment horizontal="right" vertical="top" wrapText="1"/>
    </xf>
    <xf numFmtId="10" fontId="2" fillId="0" borderId="9" xfId="0" applyNumberFormat="1" applyFont="1" applyBorder="1" applyAlignment="1">
      <alignment horizontal="right" vertical="top" wrapText="1"/>
    </xf>
    <xf numFmtId="164" fontId="2" fillId="0" borderId="0" xfId="0" applyNumberFormat="1" applyFont="1" applyAlignment="1">
      <alignment horizontal="right" vertical="top" wrapText="1"/>
    </xf>
    <xf numFmtId="0" fontId="1" fillId="0" borderId="17" xfId="0" applyFont="1" applyBorder="1" applyAlignment="1">
      <alignment vertical="top" wrapText="1"/>
    </xf>
    <xf numFmtId="0" fontId="2" fillId="0" borderId="22" xfId="0" applyFont="1" applyBorder="1" applyAlignment="1">
      <alignment vertical="top" wrapText="1"/>
    </xf>
    <xf numFmtId="0" fontId="1" fillId="5" borderId="19" xfId="0" applyFont="1" applyFill="1" applyBorder="1" applyAlignment="1">
      <alignment vertical="top" wrapText="1"/>
    </xf>
    <xf numFmtId="0" fontId="1" fillId="7" borderId="19" xfId="0" applyFont="1" applyFill="1" applyBorder="1" applyAlignment="1">
      <alignment vertical="top" wrapText="1"/>
    </xf>
    <xf numFmtId="0" fontId="1" fillId="5" borderId="20" xfId="0" applyFont="1" applyFill="1" applyBorder="1" applyAlignment="1">
      <alignment vertical="top" wrapText="1"/>
    </xf>
    <xf numFmtId="0" fontId="1" fillId="0" borderId="24" xfId="0" applyFont="1" applyBorder="1" applyAlignment="1">
      <alignment vertical="top" wrapText="1"/>
    </xf>
    <xf numFmtId="0" fontId="1" fillId="0" borderId="21" xfId="0" quotePrefix="1" applyFont="1" applyBorder="1" applyAlignment="1">
      <alignment vertical="top" wrapText="1"/>
    </xf>
    <xf numFmtId="0" fontId="1" fillId="0" borderId="23" xfId="0" applyFont="1" applyBorder="1" applyAlignment="1">
      <alignment vertical="top" wrapText="1"/>
    </xf>
    <xf numFmtId="0" fontId="2" fillId="0" borderId="18" xfId="0" applyFont="1" applyBorder="1" applyAlignment="1">
      <alignment vertical="top"/>
    </xf>
    <xf numFmtId="0" fontId="1" fillId="0" borderId="0" xfId="0" applyFont="1" applyAlignment="1">
      <alignment wrapText="1"/>
    </xf>
    <xf numFmtId="1" fontId="1" fillId="0" borderId="1" xfId="0" applyNumberFormat="1" applyFont="1" applyBorder="1"/>
    <xf numFmtId="0" fontId="2" fillId="0" borderId="1" xfId="0" applyFont="1" applyBorder="1"/>
    <xf numFmtId="0" fontId="1" fillId="6" borderId="18" xfId="0" applyFont="1" applyFill="1" applyBorder="1" applyAlignment="1">
      <alignment vertical="top" wrapText="1"/>
    </xf>
    <xf numFmtId="164" fontId="1" fillId="2" borderId="0" xfId="2" applyNumberFormat="1" applyFont="1" applyFill="1" applyAlignment="1">
      <alignment vertical="top" wrapText="1"/>
    </xf>
    <xf numFmtId="0" fontId="18" fillId="0" borderId="0" xfId="0" applyFont="1" applyAlignment="1">
      <alignment vertical="top"/>
    </xf>
    <xf numFmtId="0" fontId="0" fillId="3" borderId="0" xfId="0" applyFill="1"/>
    <xf numFmtId="0" fontId="19" fillId="0" borderId="1" xfId="0" applyFont="1" applyBorder="1" applyAlignment="1">
      <alignment horizontal="center" vertical="top" wrapText="1"/>
    </xf>
    <xf numFmtId="0" fontId="19" fillId="3" borderId="1" xfId="0" applyFont="1" applyFill="1" applyBorder="1" applyAlignment="1">
      <alignment horizontal="center" vertical="top"/>
    </xf>
    <xf numFmtId="165" fontId="0" fillId="3" borderId="0" xfId="0" applyNumberFormat="1" applyFill="1"/>
    <xf numFmtId="0" fontId="19" fillId="3" borderId="1" xfId="0" applyFont="1" applyFill="1" applyBorder="1" applyAlignment="1">
      <alignment horizontal="center" vertical="top" wrapText="1"/>
    </xf>
    <xf numFmtId="9" fontId="0" fillId="3" borderId="0" xfId="2" applyFont="1" applyFill="1"/>
    <xf numFmtId="0" fontId="1" fillId="12" borderId="11" xfId="0" applyFont="1" applyFill="1" applyBorder="1" applyAlignment="1">
      <alignment vertical="top"/>
    </xf>
    <xf numFmtId="0" fontId="1" fillId="6" borderId="18" xfId="0" applyFont="1" applyFill="1" applyBorder="1" applyAlignment="1">
      <alignment vertical="top"/>
    </xf>
    <xf numFmtId="0" fontId="2" fillId="7" borderId="0" xfId="0" applyFont="1" applyFill="1" applyAlignment="1">
      <alignment vertical="top"/>
    </xf>
    <xf numFmtId="0" fontId="1" fillId="6" borderId="18" xfId="0" quotePrefix="1" applyFont="1" applyFill="1" applyBorder="1" applyAlignment="1">
      <alignment vertical="top" wrapText="1"/>
    </xf>
    <xf numFmtId="0" fontId="2" fillId="6" borderId="20" xfId="0" applyFont="1" applyFill="1" applyBorder="1" applyAlignment="1">
      <alignment vertical="top" wrapText="1"/>
    </xf>
    <xf numFmtId="0" fontId="1" fillId="6" borderId="21" xfId="0" applyFont="1" applyFill="1" applyBorder="1" applyAlignment="1">
      <alignment vertical="top"/>
    </xf>
    <xf numFmtId="0" fontId="1" fillId="6" borderId="21" xfId="0" applyFont="1" applyFill="1" applyBorder="1" applyAlignment="1">
      <alignment vertical="top" wrapText="1"/>
    </xf>
    <xf numFmtId="1" fontId="1" fillId="6" borderId="18" xfId="0" applyNumberFormat="1" applyFont="1" applyFill="1" applyBorder="1" applyAlignment="1">
      <alignment vertical="top" wrapText="1"/>
    </xf>
    <xf numFmtId="1" fontId="1" fillId="0" borderId="0" xfId="0" applyNumberFormat="1" applyFont="1" applyAlignment="1">
      <alignment vertical="top" wrapText="1"/>
    </xf>
    <xf numFmtId="166" fontId="1" fillId="6" borderId="18" xfId="0" applyNumberFormat="1" applyFont="1" applyFill="1" applyBorder="1" applyAlignment="1">
      <alignment vertical="top" wrapText="1"/>
    </xf>
    <xf numFmtId="164" fontId="1" fillId="0" borderId="9" xfId="2" applyNumberFormat="1" applyFont="1" applyBorder="1" applyAlignment="1">
      <alignment vertical="top" wrapText="1"/>
    </xf>
    <xf numFmtId="164" fontId="1" fillId="0" borderId="9" xfId="2" applyNumberFormat="1" applyFont="1" applyBorder="1" applyAlignment="1">
      <alignment vertical="top"/>
    </xf>
    <xf numFmtId="0" fontId="1" fillId="3" borderId="19" xfId="0" applyFont="1" applyFill="1" applyBorder="1" applyAlignment="1">
      <alignment vertical="top" wrapText="1"/>
    </xf>
    <xf numFmtId="166" fontId="2" fillId="6" borderId="18" xfId="0" applyNumberFormat="1" applyFont="1" applyFill="1" applyBorder="1" applyAlignment="1">
      <alignment vertical="top" wrapText="1"/>
    </xf>
    <xf numFmtId="164" fontId="1" fillId="0" borderId="0" xfId="2" applyNumberFormat="1" applyFont="1" applyFill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6" fillId="0" borderId="0" xfId="0" applyFont="1"/>
    <xf numFmtId="0" fontId="27" fillId="0" borderId="0" xfId="0" applyFont="1"/>
    <xf numFmtId="0" fontId="11" fillId="0" borderId="0" xfId="0" applyFont="1"/>
    <xf numFmtId="0" fontId="28" fillId="0" borderId="0" xfId="0" applyFont="1"/>
    <xf numFmtId="0" fontId="7" fillId="3" borderId="0" xfId="0" applyFont="1" applyFill="1"/>
    <xf numFmtId="0" fontId="6" fillId="3" borderId="0" xfId="1" applyFill="1"/>
    <xf numFmtId="0" fontId="28" fillId="3" borderId="0" xfId="0" applyFont="1" applyFill="1"/>
    <xf numFmtId="166" fontId="1" fillId="0" borderId="0" xfId="0" applyNumberFormat="1" applyFont="1" applyAlignment="1">
      <alignment vertical="top" wrapText="1"/>
    </xf>
    <xf numFmtId="0" fontId="2" fillId="4" borderId="19" xfId="0" applyFont="1" applyFill="1" applyBorder="1"/>
    <xf numFmtId="0" fontId="1" fillId="4" borderId="19" xfId="0" applyFont="1" applyFill="1" applyBorder="1"/>
    <xf numFmtId="0" fontId="22" fillId="0" borderId="0" xfId="0" applyFont="1"/>
    <xf numFmtId="0" fontId="22" fillId="0" borderId="3" xfId="0" applyFont="1" applyBorder="1"/>
    <xf numFmtId="0" fontId="22" fillId="0" borderId="4" xfId="0" applyFont="1" applyBorder="1"/>
    <xf numFmtId="0" fontId="22" fillId="0" borderId="5" xfId="0" applyFont="1" applyBorder="1"/>
    <xf numFmtId="0" fontId="22" fillId="0" borderId="9" xfId="0" applyFont="1" applyBorder="1"/>
    <xf numFmtId="0" fontId="22" fillId="0" borderId="10" xfId="0" applyFont="1" applyBorder="1"/>
    <xf numFmtId="0" fontId="7" fillId="5" borderId="9" xfId="0" applyFont="1" applyFill="1" applyBorder="1"/>
    <xf numFmtId="0" fontId="7" fillId="5" borderId="10" xfId="0" applyFont="1" applyFill="1" applyBorder="1"/>
    <xf numFmtId="0" fontId="30" fillId="0" borderId="0" xfId="0" applyFont="1"/>
    <xf numFmtId="0" fontId="7" fillId="5" borderId="6" xfId="0" applyFont="1" applyFill="1" applyBorder="1"/>
    <xf numFmtId="0" fontId="22" fillId="0" borderId="7" xfId="0" applyFont="1" applyBorder="1"/>
    <xf numFmtId="0" fontId="7" fillId="5" borderId="8" xfId="0" applyFont="1" applyFill="1" applyBorder="1"/>
    <xf numFmtId="1" fontId="31" fillId="0" borderId="0" xfId="0" applyNumberFormat="1" applyFont="1"/>
    <xf numFmtId="1" fontId="22" fillId="0" borderId="0" xfId="0" applyNumberFormat="1" applyFont="1"/>
    <xf numFmtId="0" fontId="7" fillId="0" borderId="3" xfId="0" applyFont="1" applyBorder="1"/>
    <xf numFmtId="0" fontId="7" fillId="0" borderId="5" xfId="0" applyFont="1" applyBorder="1"/>
    <xf numFmtId="166" fontId="22" fillId="0" borderId="0" xfId="0" applyNumberFormat="1" applyFont="1"/>
    <xf numFmtId="0" fontId="22" fillId="0" borderId="6" xfId="0" applyFont="1" applyBorder="1"/>
    <xf numFmtId="166" fontId="22" fillId="0" borderId="7" xfId="0" applyNumberFormat="1" applyFont="1" applyBorder="1"/>
    <xf numFmtId="0" fontId="22" fillId="0" borderId="8" xfId="0" applyFont="1" applyBorder="1"/>
    <xf numFmtId="0" fontId="32" fillId="0" borderId="0" xfId="0" applyFont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5" borderId="9" xfId="0" applyFill="1" applyBorder="1"/>
    <xf numFmtId="0" fontId="0" fillId="5" borderId="0" xfId="0" applyFill="1"/>
    <xf numFmtId="164" fontId="0" fillId="5" borderId="10" xfId="2" applyNumberFormat="1" applyFont="1" applyFill="1" applyBorder="1"/>
    <xf numFmtId="0" fontId="0" fillId="0" borderId="6" xfId="0" applyBorder="1"/>
    <xf numFmtId="9" fontId="0" fillId="0" borderId="8" xfId="2" applyFont="1" applyBorder="1"/>
    <xf numFmtId="164" fontId="0" fillId="0" borderId="10" xfId="2" applyNumberFormat="1" applyFont="1" applyBorder="1"/>
    <xf numFmtId="0" fontId="0" fillId="0" borderId="7" xfId="0" applyBorder="1"/>
    <xf numFmtId="164" fontId="0" fillId="0" borderId="8" xfId="2" applyNumberFormat="1" applyFont="1" applyBorder="1"/>
    <xf numFmtId="0" fontId="0" fillId="0" borderId="4" xfId="0" applyBorder="1" applyAlignment="1">
      <alignment wrapText="1"/>
    </xf>
    <xf numFmtId="0" fontId="33" fillId="0" borderId="4" xfId="0" applyFont="1" applyBorder="1"/>
    <xf numFmtId="167" fontId="0" fillId="0" borderId="0" xfId="0" applyNumberFormat="1"/>
    <xf numFmtId="0" fontId="33" fillId="0" borderId="9" xfId="0" applyFont="1" applyBorder="1"/>
    <xf numFmtId="0" fontId="33" fillId="0" borderId="0" xfId="0" applyFont="1" applyAlignment="1">
      <alignment wrapText="1"/>
    </xf>
    <xf numFmtId="0" fontId="33" fillId="0" borderId="0" xfId="0" applyFont="1"/>
    <xf numFmtId="1" fontId="19" fillId="0" borderId="9" xfId="0" applyNumberFormat="1" applyFont="1" applyBorder="1"/>
    <xf numFmtId="0" fontId="19" fillId="0" borderId="10" xfId="0" applyFont="1" applyBorder="1"/>
    <xf numFmtId="164" fontId="19" fillId="0" borderId="10" xfId="2" applyNumberFormat="1" applyFont="1" applyFill="1" applyBorder="1"/>
    <xf numFmtId="164" fontId="33" fillId="0" borderId="0" xfId="2" applyNumberFormat="1" applyFont="1" applyFill="1" applyBorder="1"/>
    <xf numFmtId="1" fontId="33" fillId="0" borderId="0" xfId="0" applyNumberFormat="1" applyFont="1"/>
    <xf numFmtId="0" fontId="33" fillId="5" borderId="9" xfId="0" applyFont="1" applyFill="1" applyBorder="1"/>
    <xf numFmtId="1" fontId="19" fillId="5" borderId="9" xfId="0" applyNumberFormat="1" applyFont="1" applyFill="1" applyBorder="1"/>
    <xf numFmtId="164" fontId="19" fillId="5" borderId="10" xfId="2" applyNumberFormat="1" applyFont="1" applyFill="1" applyBorder="1"/>
    <xf numFmtId="0" fontId="33" fillId="6" borderId="9" xfId="0" applyFont="1" applyFill="1" applyBorder="1"/>
    <xf numFmtId="0" fontId="33" fillId="6" borderId="0" xfId="0" applyFont="1" applyFill="1" applyAlignment="1">
      <alignment wrapText="1"/>
    </xf>
    <xf numFmtId="1" fontId="19" fillId="6" borderId="9" xfId="0" applyNumberFormat="1" applyFont="1" applyFill="1" applyBorder="1"/>
    <xf numFmtId="164" fontId="19" fillId="6" borderId="10" xfId="2" applyNumberFormat="1" applyFont="1" applyFill="1" applyBorder="1"/>
    <xf numFmtId="0" fontId="0" fillId="6" borderId="6" xfId="0" applyFill="1" applyBorder="1"/>
    <xf numFmtId="0" fontId="0" fillId="6" borderId="7" xfId="0" applyFill="1" applyBorder="1" applyAlignment="1">
      <alignment wrapText="1"/>
    </xf>
    <xf numFmtId="1" fontId="36" fillId="6" borderId="6" xfId="0" applyNumberFormat="1" applyFont="1" applyFill="1" applyBorder="1"/>
    <xf numFmtId="164" fontId="36" fillId="6" borderId="8" xfId="2" applyNumberFormat="1" applyFont="1" applyFill="1" applyBorder="1"/>
    <xf numFmtId="164" fontId="0" fillId="0" borderId="0" xfId="2" applyNumberFormat="1" applyFont="1" applyBorder="1"/>
    <xf numFmtId="9" fontId="0" fillId="0" borderId="7" xfId="2" applyFont="1" applyBorder="1" applyAlignment="1">
      <alignment wrapText="1"/>
    </xf>
    <xf numFmtId="9" fontId="0" fillId="0" borderId="7" xfId="2" applyFont="1" applyBorder="1"/>
    <xf numFmtId="9" fontId="0" fillId="0" borderId="0" xfId="2" applyFont="1" applyBorder="1"/>
    <xf numFmtId="1" fontId="0" fillId="0" borderId="10" xfId="2" applyNumberFormat="1" applyFont="1" applyBorder="1" applyAlignment="1">
      <alignment wrapText="1"/>
    </xf>
    <xf numFmtId="1" fontId="0" fillId="0" borderId="8" xfId="2" applyNumberFormat="1" applyFont="1" applyBorder="1" applyAlignment="1">
      <alignment wrapText="1"/>
    </xf>
    <xf numFmtId="1" fontId="36" fillId="0" borderId="9" xfId="0" applyNumberFormat="1" applyFont="1" applyBorder="1"/>
    <xf numFmtId="0" fontId="33" fillId="3" borderId="9" xfId="0" applyFont="1" applyFill="1" applyBorder="1"/>
    <xf numFmtId="0" fontId="33" fillId="3" borderId="0" xfId="0" applyFont="1" applyFill="1" applyAlignment="1">
      <alignment wrapText="1"/>
    </xf>
    <xf numFmtId="1" fontId="36" fillId="3" borderId="9" xfId="0" applyNumberFormat="1" applyFont="1" applyFill="1" applyBorder="1"/>
    <xf numFmtId="164" fontId="19" fillId="3" borderId="10" xfId="2" applyNumberFormat="1" applyFont="1" applyFill="1" applyBorder="1"/>
    <xf numFmtId="1" fontId="36" fillId="5" borderId="9" xfId="0" applyNumberFormat="1" applyFont="1" applyFill="1" applyBorder="1"/>
    <xf numFmtId="1" fontId="36" fillId="4" borderId="9" xfId="0" applyNumberFormat="1" applyFont="1" applyFill="1" applyBorder="1"/>
    <xf numFmtId="164" fontId="19" fillId="4" borderId="10" xfId="2" applyNumberFormat="1" applyFont="1" applyFill="1" applyBorder="1"/>
    <xf numFmtId="0" fontId="0" fillId="4" borderId="6" xfId="0" applyFill="1" applyBorder="1"/>
    <xf numFmtId="0" fontId="0" fillId="4" borderId="7" xfId="0" applyFill="1" applyBorder="1" applyAlignment="1">
      <alignment wrapText="1"/>
    </xf>
    <xf numFmtId="1" fontId="36" fillId="4" borderId="6" xfId="0" applyNumberFormat="1" applyFont="1" applyFill="1" applyBorder="1"/>
    <xf numFmtId="164" fontId="19" fillId="4" borderId="8" xfId="2" applyNumberFormat="1" applyFont="1" applyFill="1" applyBorder="1"/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0" fontId="0" fillId="0" borderId="3" xfId="0" applyBorder="1" applyAlignment="1">
      <alignment horizontal="right"/>
    </xf>
    <xf numFmtId="0" fontId="0" fillId="0" borderId="5" xfId="0" applyBorder="1" applyAlignment="1">
      <alignment horizontal="right" wrapText="1"/>
    </xf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9" fontId="0" fillId="3" borderId="8" xfId="2" applyFont="1" applyFill="1" applyBorder="1" applyAlignment="1">
      <alignment horizontal="right" wrapText="1"/>
    </xf>
    <xf numFmtId="9" fontId="0" fillId="3" borderId="7" xfId="2" applyFont="1" applyFill="1" applyBorder="1" applyAlignment="1">
      <alignment horizontal="right" wrapText="1"/>
    </xf>
    <xf numFmtId="0" fontId="0" fillId="0" borderId="9" xfId="0" applyBorder="1" applyAlignment="1">
      <alignment horizontal="right"/>
    </xf>
    <xf numFmtId="9" fontId="0" fillId="3" borderId="10" xfId="2" applyFont="1" applyFill="1" applyBorder="1" applyAlignment="1">
      <alignment horizontal="right" wrapText="1"/>
    </xf>
    <xf numFmtId="9" fontId="0" fillId="0" borderId="0" xfId="2" applyFont="1" applyBorder="1" applyAlignment="1">
      <alignment horizontal="right"/>
    </xf>
    <xf numFmtId="0" fontId="37" fillId="0" borderId="0" xfId="0" applyFont="1" applyAlignment="1">
      <alignment horizontal="right"/>
    </xf>
    <xf numFmtId="0" fontId="37" fillId="0" borderId="0" xfId="0" applyFont="1"/>
    <xf numFmtId="166" fontId="1" fillId="4" borderId="0" xfId="0" applyNumberFormat="1" applyFont="1" applyFill="1" applyAlignment="1">
      <alignment vertical="top" wrapText="1"/>
    </xf>
    <xf numFmtId="0" fontId="20" fillId="13" borderId="0" xfId="0" applyFont="1" applyFill="1" applyAlignment="1">
      <alignment vertical="top" wrapText="1"/>
    </xf>
    <xf numFmtId="0" fontId="1" fillId="6" borderId="0" xfId="0" applyFont="1" applyFill="1" applyAlignment="1">
      <alignment vertical="top"/>
    </xf>
    <xf numFmtId="1" fontId="1" fillId="6" borderId="0" xfId="0" applyNumberFormat="1" applyFont="1" applyFill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2" fillId="14" borderId="0" xfId="0" applyFont="1" applyFill="1" applyAlignment="1">
      <alignment vertical="top" wrapText="1"/>
    </xf>
    <xf numFmtId="0" fontId="1" fillId="14" borderId="0" xfId="0" applyFont="1" applyFill="1" applyAlignment="1">
      <alignment vertical="top"/>
    </xf>
    <xf numFmtId="1" fontId="1" fillId="14" borderId="0" xfId="0" applyNumberFormat="1" applyFont="1" applyFill="1" applyAlignment="1">
      <alignment vertical="top" wrapText="1"/>
    </xf>
    <xf numFmtId="0" fontId="1" fillId="14" borderId="0" xfId="0" applyFont="1" applyFill="1" applyAlignment="1">
      <alignment vertical="top" wrapText="1"/>
    </xf>
    <xf numFmtId="0" fontId="2" fillId="14" borderId="19" xfId="0" applyFont="1" applyFill="1" applyBorder="1" applyAlignment="1">
      <alignment vertical="top" wrapText="1"/>
    </xf>
    <xf numFmtId="0" fontId="20" fillId="14" borderId="0" xfId="0" applyFont="1" applyFill="1" applyAlignment="1">
      <alignment vertical="top"/>
    </xf>
    <xf numFmtId="0" fontId="20" fillId="14" borderId="0" xfId="0" applyFont="1" applyFill="1" applyAlignment="1">
      <alignment vertical="top" wrapText="1"/>
    </xf>
    <xf numFmtId="0" fontId="2" fillId="14" borderId="0" xfId="0" applyFont="1" applyFill="1" applyAlignment="1">
      <alignment vertical="top"/>
    </xf>
    <xf numFmtId="0" fontId="20" fillId="15" borderId="0" xfId="0" applyFont="1" applyFill="1" applyAlignment="1">
      <alignment vertical="top" wrapText="1"/>
    </xf>
    <xf numFmtId="1" fontId="1" fillId="14" borderId="0" xfId="0" applyNumberFormat="1" applyFont="1" applyFill="1" applyAlignment="1">
      <alignment vertical="top"/>
    </xf>
    <xf numFmtId="166" fontId="1" fillId="14" borderId="0" xfId="0" applyNumberFormat="1" applyFont="1" applyFill="1" applyAlignment="1">
      <alignment vertical="top" wrapText="1"/>
    </xf>
    <xf numFmtId="164" fontId="12" fillId="0" borderId="0" xfId="2" applyNumberFormat="1" applyFont="1" applyAlignment="1">
      <alignment vertical="top"/>
    </xf>
    <xf numFmtId="0" fontId="12" fillId="0" borderId="0" xfId="0" applyFont="1" applyAlignment="1">
      <alignment vertical="top"/>
    </xf>
    <xf numFmtId="0" fontId="20" fillId="0" borderId="0" xfId="0" quotePrefix="1" applyFont="1" applyAlignment="1">
      <alignment vertical="top" wrapText="1"/>
    </xf>
    <xf numFmtId="166" fontId="1" fillId="6" borderId="21" xfId="0" applyNumberFormat="1" applyFont="1" applyFill="1" applyBorder="1" applyAlignment="1">
      <alignment vertical="top" wrapText="1"/>
    </xf>
    <xf numFmtId="166" fontId="1" fillId="6" borderId="0" xfId="0" applyNumberFormat="1" applyFont="1" applyFill="1" applyAlignment="1">
      <alignment vertical="top" wrapText="1"/>
    </xf>
    <xf numFmtId="166" fontId="2" fillId="6" borderId="0" xfId="0" applyNumberFormat="1" applyFont="1" applyFill="1" applyAlignment="1">
      <alignment vertical="top" wrapText="1"/>
    </xf>
    <xf numFmtId="0" fontId="1" fillId="6" borderId="0" xfId="0" quotePrefix="1" applyFont="1" applyFill="1" applyAlignment="1">
      <alignment vertical="top" wrapText="1"/>
    </xf>
    <xf numFmtId="166" fontId="2" fillId="6" borderId="21" xfId="0" applyNumberFormat="1" applyFont="1" applyFill="1" applyBorder="1" applyAlignment="1">
      <alignment vertical="top" wrapText="1"/>
    </xf>
    <xf numFmtId="1" fontId="2" fillId="0" borderId="0" xfId="0" applyNumberFormat="1" applyFont="1" applyAlignment="1">
      <alignment vertical="top" wrapText="1"/>
    </xf>
    <xf numFmtId="164" fontId="1" fillId="0" borderId="9" xfId="0" applyNumberFormat="1" applyFont="1" applyBorder="1" applyAlignment="1">
      <alignment vertical="top"/>
    </xf>
    <xf numFmtId="164" fontId="1" fillId="7" borderId="9" xfId="0" applyNumberFormat="1" applyFont="1" applyFill="1" applyBorder="1" applyAlignment="1">
      <alignment vertical="top"/>
    </xf>
    <xf numFmtId="164" fontId="1" fillId="7" borderId="9" xfId="0" applyNumberFormat="1" applyFont="1" applyFill="1" applyBorder="1" applyAlignment="1">
      <alignment vertical="top" wrapText="1"/>
    </xf>
    <xf numFmtId="164" fontId="1" fillId="0" borderId="9" xfId="0" applyNumberFormat="1" applyFont="1" applyBorder="1" applyAlignment="1">
      <alignment vertical="top" wrapText="1"/>
    </xf>
    <xf numFmtId="164" fontId="12" fillId="0" borderId="9" xfId="0" applyNumberFormat="1" applyFont="1" applyBorder="1" applyAlignment="1">
      <alignment vertical="top"/>
    </xf>
    <xf numFmtId="1" fontId="12" fillId="0" borderId="0" xfId="0" applyNumberFormat="1" applyFont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0" fontId="1" fillId="0" borderId="8" xfId="0" applyFont="1" applyBorder="1" applyAlignment="1">
      <alignment vertical="top" wrapText="1"/>
    </xf>
    <xf numFmtId="164" fontId="1" fillId="0" borderId="10" xfId="0" applyNumberFormat="1" applyFont="1" applyBorder="1" applyAlignment="1">
      <alignment vertical="top" wrapText="1"/>
    </xf>
    <xf numFmtId="168" fontId="1" fillId="0" borderId="0" xfId="0" applyNumberFormat="1" applyFont="1" applyAlignment="1">
      <alignment vertical="top" wrapText="1"/>
    </xf>
    <xf numFmtId="169" fontId="1" fillId="0" borderId="0" xfId="0" applyNumberFormat="1" applyFont="1" applyAlignment="1">
      <alignment vertical="top" wrapText="1"/>
    </xf>
    <xf numFmtId="166" fontId="1" fillId="7" borderId="0" xfId="0" applyNumberFormat="1" applyFont="1" applyFill="1"/>
    <xf numFmtId="9" fontId="1" fillId="0" borderId="21" xfId="2" applyFont="1" applyBorder="1" applyAlignment="1">
      <alignment vertical="top" wrapText="1"/>
    </xf>
    <xf numFmtId="0" fontId="1" fillId="12" borderId="19" xfId="0" applyFont="1" applyFill="1" applyBorder="1" applyAlignment="1">
      <alignment vertical="top" wrapText="1"/>
    </xf>
    <xf numFmtId="0" fontId="1" fillId="0" borderId="28" xfId="0" applyFont="1" applyBorder="1" applyAlignment="1">
      <alignment vertical="top" wrapText="1"/>
    </xf>
    <xf numFmtId="164" fontId="1" fillId="0" borderId="19" xfId="0" applyNumberFormat="1" applyFont="1" applyBorder="1" applyAlignment="1">
      <alignment vertical="top" wrapText="1"/>
    </xf>
    <xf numFmtId="0" fontId="2" fillId="0" borderId="28" xfId="0" applyFont="1" applyBorder="1" applyAlignment="1">
      <alignment vertical="top" wrapText="1"/>
    </xf>
    <xf numFmtId="164" fontId="1" fillId="7" borderId="19" xfId="0" applyNumberFormat="1" applyFont="1" applyFill="1" applyBorder="1" applyAlignment="1">
      <alignment vertical="top"/>
    </xf>
    <xf numFmtId="1" fontId="1" fillId="0" borderId="28" xfId="0" applyNumberFormat="1" applyFont="1" applyBorder="1" applyAlignment="1">
      <alignment vertical="top" wrapText="1"/>
    </xf>
    <xf numFmtId="164" fontId="1" fillId="7" borderId="19" xfId="0" applyNumberFormat="1" applyFont="1" applyFill="1" applyBorder="1" applyAlignment="1">
      <alignment vertical="top" wrapText="1"/>
    </xf>
    <xf numFmtId="1" fontId="2" fillId="0" borderId="28" xfId="0" applyNumberFormat="1" applyFont="1" applyBorder="1" applyAlignment="1">
      <alignment vertical="top" wrapText="1"/>
    </xf>
    <xf numFmtId="164" fontId="1" fillId="12" borderId="19" xfId="0" applyNumberFormat="1" applyFont="1" applyFill="1" applyBorder="1" applyAlignment="1">
      <alignment vertical="top" wrapText="1"/>
    </xf>
    <xf numFmtId="9" fontId="1" fillId="0" borderId="21" xfId="0" applyNumberFormat="1" applyFont="1" applyBorder="1" applyAlignment="1">
      <alignment vertical="top" wrapText="1"/>
    </xf>
    <xf numFmtId="0" fontId="1" fillId="12" borderId="6" xfId="0" applyFont="1" applyFill="1" applyBorder="1" applyAlignment="1">
      <alignment vertical="top"/>
    </xf>
    <xf numFmtId="0" fontId="2" fillId="0" borderId="7" xfId="0" applyFont="1" applyBorder="1" applyAlignment="1">
      <alignment vertical="top" wrapText="1"/>
    </xf>
    <xf numFmtId="0" fontId="2" fillId="6" borderId="16" xfId="0" applyFont="1" applyFill="1" applyBorder="1" applyAlignment="1">
      <alignment vertical="top"/>
    </xf>
    <xf numFmtId="0" fontId="1" fillId="6" borderId="11" xfId="0" applyFont="1" applyFill="1" applyBorder="1" applyAlignment="1">
      <alignment vertical="top" wrapText="1"/>
    </xf>
    <xf numFmtId="0" fontId="2" fillId="6" borderId="11" xfId="0" applyFont="1" applyFill="1" applyBorder="1" applyAlignment="1">
      <alignment vertical="top" wrapText="1"/>
    </xf>
    <xf numFmtId="0" fontId="2" fillId="3" borderId="18" xfId="0" applyFont="1" applyFill="1" applyBorder="1" applyAlignment="1">
      <alignment vertical="top"/>
    </xf>
    <xf numFmtId="0" fontId="2" fillId="3" borderId="18" xfId="0" applyFont="1" applyFill="1" applyBorder="1" applyAlignment="1">
      <alignment vertical="top" wrapText="1"/>
    </xf>
    <xf numFmtId="0" fontId="2" fillId="2" borderId="25" xfId="0" applyFont="1" applyFill="1" applyBorder="1" applyAlignment="1">
      <alignment vertical="top"/>
    </xf>
    <xf numFmtId="0" fontId="1" fillId="2" borderId="18" xfId="0" applyFont="1" applyFill="1" applyBorder="1" applyAlignment="1">
      <alignment vertical="top" wrapText="1"/>
    </xf>
    <xf numFmtId="0" fontId="2" fillId="2" borderId="18" xfId="0" applyFont="1" applyFill="1" applyBorder="1" applyAlignment="1">
      <alignment vertical="top" wrapText="1"/>
    </xf>
    <xf numFmtId="0" fontId="2" fillId="2" borderId="26" xfId="0" applyFont="1" applyFill="1" applyBorder="1" applyAlignment="1">
      <alignment vertical="top" wrapText="1"/>
    </xf>
    <xf numFmtId="0" fontId="34" fillId="16" borderId="0" xfId="0" applyFont="1" applyFill="1"/>
    <xf numFmtId="0" fontId="0" fillId="16" borderId="0" xfId="0" applyFill="1" applyAlignment="1">
      <alignment wrapText="1"/>
    </xf>
    <xf numFmtId="0" fontId="0" fillId="16" borderId="0" xfId="0" applyFill="1"/>
    <xf numFmtId="168" fontId="0" fillId="0" borderId="5" xfId="2" applyNumberFormat="1" applyFont="1" applyBorder="1" applyAlignment="1">
      <alignment wrapText="1"/>
    </xf>
    <xf numFmtId="0" fontId="2" fillId="6" borderId="31" xfId="0" applyFont="1" applyFill="1" applyBorder="1" applyAlignment="1">
      <alignment vertical="top"/>
    </xf>
    <xf numFmtId="0" fontId="1" fillId="6" borderId="32" xfId="0" applyFont="1" applyFill="1" applyBorder="1" applyAlignment="1">
      <alignment vertical="top" wrapText="1"/>
    </xf>
    <xf numFmtId="0" fontId="2" fillId="6" borderId="32" xfId="0" applyFont="1" applyFill="1" applyBorder="1" applyAlignment="1">
      <alignment vertical="top" wrapText="1"/>
    </xf>
    <xf numFmtId="0" fontId="2" fillId="6" borderId="33" xfId="0" applyFont="1" applyFill="1" applyBorder="1" applyAlignment="1">
      <alignment vertical="top" wrapText="1"/>
    </xf>
    <xf numFmtId="0" fontId="12" fillId="12" borderId="20" xfId="0" applyFont="1" applyFill="1" applyBorder="1" applyAlignment="1">
      <alignment vertical="top" wrapText="1"/>
    </xf>
    <xf numFmtId="9" fontId="0" fillId="0" borderId="0" xfId="2" applyFont="1"/>
    <xf numFmtId="0" fontId="0" fillId="6" borderId="9" xfId="0" applyFill="1" applyBorder="1"/>
    <xf numFmtId="164" fontId="1" fillId="0" borderId="0" xfId="2" applyNumberFormat="1" applyFont="1" applyBorder="1" applyAlignment="1">
      <alignment vertical="top" wrapText="1"/>
    </xf>
    <xf numFmtId="2" fontId="1" fillId="0" borderId="21" xfId="2" applyNumberFormat="1" applyFont="1" applyBorder="1" applyAlignment="1">
      <alignment vertical="top" wrapText="1"/>
    </xf>
    <xf numFmtId="164" fontId="1" fillId="0" borderId="19" xfId="2" applyNumberFormat="1" applyFont="1" applyBorder="1" applyAlignment="1">
      <alignment vertical="top" wrapText="1"/>
    </xf>
    <xf numFmtId="0" fontId="1" fillId="0" borderId="29" xfId="0" applyFont="1" applyBorder="1" applyAlignment="1">
      <alignment vertical="top" wrapText="1"/>
    </xf>
    <xf numFmtId="0" fontId="1" fillId="12" borderId="35" xfId="0" applyFont="1" applyFill="1" applyBorder="1" applyAlignment="1">
      <alignment vertical="top" wrapText="1"/>
    </xf>
    <xf numFmtId="0" fontId="1" fillId="0" borderId="36" xfId="0" applyFont="1" applyBorder="1" applyAlignment="1">
      <alignment vertical="top" wrapText="1"/>
    </xf>
    <xf numFmtId="0" fontId="40" fillId="0" borderId="18" xfId="0" applyFont="1" applyBorder="1"/>
    <xf numFmtId="0" fontId="40" fillId="0" borderId="4" xfId="0" applyFont="1" applyBorder="1"/>
    <xf numFmtId="0" fontId="40" fillId="0" borderId="0" xfId="0" applyFont="1"/>
    <xf numFmtId="0" fontId="40" fillId="0" borderId="21" xfId="0" applyFont="1" applyBorder="1"/>
    <xf numFmtId="0" fontId="40" fillId="6" borderId="18" xfId="0" applyFont="1" applyFill="1" applyBorder="1"/>
    <xf numFmtId="0" fontId="40" fillId="6" borderId="0" xfId="0" applyFont="1" applyFill="1"/>
    <xf numFmtId="0" fontId="40" fillId="6" borderId="21" xfId="0" applyFont="1" applyFill="1" applyBorder="1"/>
    <xf numFmtId="0" fontId="40" fillId="14" borderId="0" xfId="0" applyFont="1" applyFill="1"/>
    <xf numFmtId="166" fontId="40" fillId="0" borderId="0" xfId="0" applyNumberFormat="1" applyFont="1"/>
    <xf numFmtId="166" fontId="41" fillId="2" borderId="0" xfId="0" applyNumberFormat="1" applyFont="1" applyFill="1"/>
    <xf numFmtId="1" fontId="1" fillId="0" borderId="19" xfId="0" applyNumberFormat="1" applyFont="1" applyBorder="1" applyAlignment="1">
      <alignment vertical="top" wrapText="1"/>
    </xf>
    <xf numFmtId="168" fontId="1" fillId="2" borderId="0" xfId="0" applyNumberFormat="1" applyFont="1" applyFill="1" applyAlignment="1">
      <alignment vertical="top" wrapText="1"/>
    </xf>
    <xf numFmtId="0" fontId="42" fillId="0" borderId="0" xfId="0" applyFont="1" applyAlignment="1">
      <alignment vertical="top"/>
    </xf>
    <xf numFmtId="166" fontId="42" fillId="4" borderId="0" xfId="0" applyNumberFormat="1" applyFont="1" applyFill="1" applyAlignment="1">
      <alignment vertical="top" wrapText="1"/>
    </xf>
    <xf numFmtId="1" fontId="12" fillId="0" borderId="28" xfId="0" applyNumberFormat="1" applyFont="1" applyBorder="1" applyAlignment="1">
      <alignment vertical="top" wrapText="1"/>
    </xf>
    <xf numFmtId="0" fontId="1" fillId="0" borderId="32" xfId="0" applyFont="1" applyBorder="1" applyAlignment="1">
      <alignment vertical="top" wrapText="1"/>
    </xf>
    <xf numFmtId="0" fontId="1" fillId="0" borderId="33" xfId="0" applyFont="1" applyBorder="1" applyAlignment="1">
      <alignment vertical="top" wrapText="1"/>
    </xf>
    <xf numFmtId="0" fontId="12" fillId="0" borderId="19" xfId="0" applyFont="1" applyBorder="1" applyAlignment="1">
      <alignment vertical="top" wrapText="1"/>
    </xf>
    <xf numFmtId="0" fontId="44" fillId="0" borderId="28" xfId="0" applyFont="1" applyBorder="1" applyAlignment="1">
      <alignment vertical="top" wrapText="1"/>
    </xf>
    <xf numFmtId="164" fontId="12" fillId="0" borderId="19" xfId="0" applyNumberFormat="1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0" xfId="0" applyFont="1" applyAlignment="1">
      <alignment horizontal="left" vertical="top"/>
    </xf>
    <xf numFmtId="166" fontId="1" fillId="2" borderId="0" xfId="0" applyNumberFormat="1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2" borderId="0" xfId="0" applyFont="1" applyFill="1" applyAlignment="1">
      <alignment vertical="top"/>
    </xf>
    <xf numFmtId="0" fontId="21" fillId="2" borderId="0" xfId="0" quotePrefix="1" applyFont="1" applyFill="1" applyAlignment="1">
      <alignment vertical="top" wrapText="1"/>
    </xf>
    <xf numFmtId="0" fontId="2" fillId="2" borderId="0" xfId="0" quotePrefix="1" applyFont="1" applyFill="1" applyAlignment="1">
      <alignment vertical="top" wrapText="1"/>
    </xf>
    <xf numFmtId="0" fontId="21" fillId="0" borderId="0" xfId="0" quotePrefix="1" applyFont="1" applyAlignment="1">
      <alignment vertical="top" wrapText="1"/>
    </xf>
    <xf numFmtId="0" fontId="20" fillId="2" borderId="0" xfId="0" applyFont="1" applyFill="1" applyAlignment="1">
      <alignment vertical="top" wrapText="1"/>
    </xf>
    <xf numFmtId="44" fontId="1" fillId="2" borderId="0" xfId="0" applyNumberFormat="1" applyFont="1" applyFill="1" applyAlignment="1">
      <alignment vertical="top" wrapText="1"/>
    </xf>
    <xf numFmtId="164" fontId="1" fillId="0" borderId="0" xfId="2" applyNumberFormat="1" applyFont="1" applyFill="1" applyBorder="1" applyAlignment="1">
      <alignment vertical="top" wrapText="1"/>
    </xf>
    <xf numFmtId="1" fontId="1" fillId="0" borderId="21" xfId="0" applyNumberFormat="1" applyFont="1" applyBorder="1" applyAlignment="1">
      <alignment vertical="top" wrapText="1"/>
    </xf>
    <xf numFmtId="1" fontId="2" fillId="0" borderId="29" xfId="0" applyNumberFormat="1" applyFont="1" applyBorder="1" applyAlignment="1">
      <alignment vertical="top" wrapText="1"/>
    </xf>
    <xf numFmtId="164" fontId="1" fillId="0" borderId="20" xfId="2" applyNumberFormat="1" applyFont="1" applyBorder="1" applyAlignment="1">
      <alignment vertical="top" wrapText="1"/>
    </xf>
    <xf numFmtId="0" fontId="7" fillId="0" borderId="4" xfId="0" applyFont="1" applyBorder="1"/>
    <xf numFmtId="166" fontId="1" fillId="0" borderId="3" xfId="0" applyNumberFormat="1" applyFont="1" applyBorder="1" applyAlignment="1">
      <alignment vertical="top" wrapText="1"/>
    </xf>
    <xf numFmtId="166" fontId="1" fillId="0" borderId="4" xfId="0" applyNumberFormat="1" applyFont="1" applyBorder="1" applyAlignment="1">
      <alignment vertical="top" wrapText="1"/>
    </xf>
    <xf numFmtId="166" fontId="1" fillId="0" borderId="5" xfId="0" applyNumberFormat="1" applyFont="1" applyBorder="1" applyAlignment="1">
      <alignment vertical="top" wrapText="1"/>
    </xf>
    <xf numFmtId="166" fontId="1" fillId="0" borderId="9" xfId="0" applyNumberFormat="1" applyFont="1" applyBorder="1" applyAlignment="1">
      <alignment vertical="top" wrapText="1"/>
    </xf>
    <xf numFmtId="166" fontId="1" fillId="0" borderId="10" xfId="0" applyNumberFormat="1" applyFont="1" applyBorder="1" applyAlignment="1">
      <alignment vertical="top" wrapText="1"/>
    </xf>
    <xf numFmtId="166" fontId="1" fillId="0" borderId="6" xfId="0" applyNumberFormat="1" applyFont="1" applyBorder="1" applyAlignment="1">
      <alignment vertical="top" wrapText="1"/>
    </xf>
    <xf numFmtId="166" fontId="1" fillId="0" borderId="7" xfId="0" applyNumberFormat="1" applyFont="1" applyBorder="1" applyAlignment="1">
      <alignment vertical="top" wrapText="1"/>
    </xf>
    <xf numFmtId="166" fontId="1" fillId="0" borderId="8" xfId="0" applyNumberFormat="1" applyFont="1" applyBorder="1" applyAlignment="1">
      <alignment vertical="top" wrapText="1"/>
    </xf>
    <xf numFmtId="0" fontId="7" fillId="0" borderId="12" xfId="0" applyFont="1" applyBorder="1"/>
    <xf numFmtId="168" fontId="0" fillId="0" borderId="13" xfId="0" applyNumberFormat="1" applyBorder="1"/>
    <xf numFmtId="168" fontId="0" fillId="0" borderId="14" xfId="0" applyNumberFormat="1" applyBorder="1"/>
    <xf numFmtId="168" fontId="1" fillId="0" borderId="3" xfId="0" applyNumberFormat="1" applyFont="1" applyBorder="1" applyAlignment="1">
      <alignment vertical="top" wrapText="1"/>
    </xf>
    <xf numFmtId="168" fontId="1" fillId="0" borderId="9" xfId="0" applyNumberFormat="1" applyFont="1" applyBorder="1" applyAlignment="1">
      <alignment vertical="top" wrapText="1"/>
    </xf>
    <xf numFmtId="168" fontId="1" fillId="0" borderId="6" xfId="0" applyNumberFormat="1" applyFont="1" applyBorder="1" applyAlignment="1">
      <alignment vertical="top" wrapText="1"/>
    </xf>
    <xf numFmtId="0" fontId="2" fillId="0" borderId="19" xfId="0" applyFont="1" applyBorder="1" applyAlignment="1">
      <alignment vertical="top"/>
    </xf>
    <xf numFmtId="0" fontId="2" fillId="2" borderId="19" xfId="0" applyFont="1" applyFill="1" applyBorder="1" applyAlignment="1">
      <alignment vertical="top"/>
    </xf>
    <xf numFmtId="0" fontId="2" fillId="17" borderId="0" xfId="0" applyFont="1" applyFill="1" applyAlignment="1">
      <alignment vertical="top" wrapText="1"/>
    </xf>
    <xf numFmtId="0" fontId="1" fillId="17" borderId="0" xfId="0" applyFont="1" applyFill="1" applyAlignment="1">
      <alignment vertical="top"/>
    </xf>
    <xf numFmtId="0" fontId="1" fillId="17" borderId="0" xfId="0" applyFont="1" applyFill="1" applyAlignment="1">
      <alignment vertical="top" wrapText="1"/>
    </xf>
    <xf numFmtId="169" fontId="1" fillId="0" borderId="3" xfId="0" applyNumberFormat="1" applyFont="1" applyBorder="1" applyAlignment="1">
      <alignment vertical="top" wrapText="1"/>
    </xf>
    <xf numFmtId="169" fontId="1" fillId="0" borderId="4" xfId="0" applyNumberFormat="1" applyFont="1" applyBorder="1" applyAlignment="1">
      <alignment vertical="top" wrapText="1"/>
    </xf>
    <xf numFmtId="169" fontId="1" fillId="0" borderId="5" xfId="0" applyNumberFormat="1" applyFont="1" applyBorder="1" applyAlignment="1">
      <alignment vertical="top" wrapText="1"/>
    </xf>
    <xf numFmtId="169" fontId="1" fillId="0" borderId="9" xfId="0" applyNumberFormat="1" applyFont="1" applyBorder="1" applyAlignment="1">
      <alignment vertical="top" wrapText="1"/>
    </xf>
    <xf numFmtId="169" fontId="1" fillId="0" borderId="10" xfId="0" applyNumberFormat="1" applyFont="1" applyBorder="1" applyAlignment="1">
      <alignment vertical="top" wrapText="1"/>
    </xf>
    <xf numFmtId="169" fontId="1" fillId="0" borderId="6" xfId="0" applyNumberFormat="1" applyFont="1" applyBorder="1" applyAlignment="1">
      <alignment vertical="top" wrapText="1"/>
    </xf>
    <xf numFmtId="169" fontId="1" fillId="0" borderId="7" xfId="0" applyNumberFormat="1" applyFont="1" applyBorder="1" applyAlignment="1">
      <alignment vertical="top" wrapText="1"/>
    </xf>
    <xf numFmtId="169" fontId="1" fillId="0" borderId="8" xfId="0" applyNumberFormat="1" applyFont="1" applyBorder="1" applyAlignment="1">
      <alignment vertical="top" wrapText="1"/>
    </xf>
    <xf numFmtId="168" fontId="1" fillId="0" borderId="4" xfId="0" applyNumberFormat="1" applyFont="1" applyBorder="1" applyAlignment="1">
      <alignment vertical="top" wrapText="1"/>
    </xf>
    <xf numFmtId="168" fontId="1" fillId="0" borderId="5" xfId="0" applyNumberFormat="1" applyFont="1" applyBorder="1" applyAlignment="1">
      <alignment vertical="top" wrapText="1"/>
    </xf>
    <xf numFmtId="168" fontId="1" fillId="0" borderId="10" xfId="0" applyNumberFormat="1" applyFont="1" applyBorder="1" applyAlignment="1">
      <alignment vertical="top" wrapText="1"/>
    </xf>
    <xf numFmtId="168" fontId="1" fillId="0" borderId="7" xfId="0" applyNumberFormat="1" applyFont="1" applyBorder="1" applyAlignment="1">
      <alignment vertical="top" wrapText="1"/>
    </xf>
    <xf numFmtId="168" fontId="1" fillId="0" borderId="8" xfId="0" applyNumberFormat="1" applyFont="1" applyBorder="1" applyAlignment="1">
      <alignment vertical="top" wrapText="1"/>
    </xf>
    <xf numFmtId="0" fontId="42" fillId="2" borderId="0" xfId="0" applyFont="1" applyFill="1" applyAlignment="1">
      <alignment vertical="top"/>
    </xf>
    <xf numFmtId="1" fontId="1" fillId="0" borderId="0" xfId="0" applyNumberFormat="1" applyFont="1" applyAlignment="1">
      <alignment vertical="top"/>
    </xf>
    <xf numFmtId="164" fontId="12" fillId="0" borderId="0" xfId="2" applyNumberFormat="1" applyFont="1" applyBorder="1" applyAlignment="1">
      <alignment vertical="top"/>
    </xf>
    <xf numFmtId="164" fontId="1" fillId="0" borderId="9" xfId="2" applyNumberFormat="1" applyFont="1" applyFill="1" applyBorder="1" applyAlignment="1">
      <alignment vertical="top" wrapText="1"/>
    </xf>
    <xf numFmtId="164" fontId="1" fillId="0" borderId="6" xfId="2" applyNumberFormat="1" applyFont="1" applyFill="1" applyBorder="1" applyAlignment="1">
      <alignment vertical="top" wrapText="1"/>
    </xf>
    <xf numFmtId="164" fontId="1" fillId="0" borderId="7" xfId="2" applyNumberFormat="1" applyFont="1" applyFill="1" applyBorder="1" applyAlignment="1">
      <alignment vertical="top" wrapText="1"/>
    </xf>
    <xf numFmtId="164" fontId="1" fillId="7" borderId="0" xfId="2" applyNumberFormat="1" applyFont="1" applyFill="1" applyBorder="1" applyAlignment="1">
      <alignment vertical="top" wrapText="1"/>
    </xf>
    <xf numFmtId="166" fontId="2" fillId="0" borderId="28" xfId="0" applyNumberFormat="1" applyFont="1" applyBorder="1" applyAlignment="1">
      <alignment vertical="top" wrapText="1"/>
    </xf>
    <xf numFmtId="166" fontId="1" fillId="0" borderId="28" xfId="0" applyNumberFormat="1" applyFont="1" applyBorder="1" applyAlignment="1">
      <alignment vertical="top" wrapText="1"/>
    </xf>
    <xf numFmtId="164" fontId="1" fillId="0" borderId="3" xfId="0" applyNumberFormat="1" applyFont="1" applyBorder="1" applyAlignment="1">
      <alignment vertical="top" wrapText="1"/>
    </xf>
    <xf numFmtId="164" fontId="1" fillId="0" borderId="4" xfId="0" applyNumberFormat="1" applyFont="1" applyBorder="1" applyAlignment="1">
      <alignment vertical="top" wrapText="1"/>
    </xf>
    <xf numFmtId="164" fontId="1" fillId="0" borderId="5" xfId="0" applyNumberFormat="1" applyFont="1" applyBorder="1" applyAlignment="1">
      <alignment vertical="top" wrapText="1"/>
    </xf>
    <xf numFmtId="0" fontId="1" fillId="12" borderId="37" xfId="0" applyFont="1" applyFill="1" applyBorder="1" applyAlignment="1">
      <alignment vertical="top" wrapText="1"/>
    </xf>
    <xf numFmtId="0" fontId="1" fillId="0" borderId="39" xfId="0" applyFont="1" applyBorder="1" applyAlignment="1">
      <alignment vertical="top" wrapText="1"/>
    </xf>
    <xf numFmtId="166" fontId="40" fillId="0" borderId="3" xfId="0" applyNumberFormat="1" applyFont="1" applyBorder="1" applyAlignment="1">
      <alignment vertical="top"/>
    </xf>
    <xf numFmtId="166" fontId="40" fillId="0" borderId="9" xfId="0" applyNumberFormat="1" applyFont="1" applyBorder="1" applyAlignment="1">
      <alignment vertical="top"/>
    </xf>
    <xf numFmtId="166" fontId="40" fillId="0" borderId="6" xfId="0" applyNumberFormat="1" applyFont="1" applyBorder="1" applyAlignment="1">
      <alignment vertical="top"/>
    </xf>
    <xf numFmtId="0" fontId="1" fillId="18" borderId="19" xfId="0" applyFont="1" applyFill="1" applyBorder="1" applyAlignment="1">
      <alignment vertical="top" wrapText="1"/>
    </xf>
    <xf numFmtId="0" fontId="45" fillId="20" borderId="0" xfId="0" applyFont="1" applyFill="1" applyAlignment="1">
      <alignment vertical="top" wrapText="1"/>
    </xf>
    <xf numFmtId="0" fontId="46" fillId="20" borderId="0" xfId="0" applyFont="1" applyFill="1" applyAlignment="1">
      <alignment vertical="top"/>
    </xf>
    <xf numFmtId="1" fontId="46" fillId="20" borderId="0" xfId="0" applyNumberFormat="1" applyFont="1" applyFill="1" applyAlignment="1">
      <alignment vertical="top"/>
    </xf>
    <xf numFmtId="1" fontId="46" fillId="20" borderId="0" xfId="0" applyNumberFormat="1" applyFont="1" applyFill="1" applyAlignment="1">
      <alignment vertical="top" wrapText="1"/>
    </xf>
    <xf numFmtId="0" fontId="46" fillId="20" borderId="0" xfId="0" applyFont="1" applyFill="1" applyAlignment="1">
      <alignment vertical="top" wrapText="1"/>
    </xf>
    <xf numFmtId="166" fontId="40" fillId="2" borderId="0" xfId="0" applyNumberFormat="1" applyFont="1" applyFill="1" applyAlignment="1">
      <alignment vertical="top"/>
    </xf>
    <xf numFmtId="0" fontId="40" fillId="0" borderId="0" xfId="0" applyFont="1" applyAlignment="1">
      <alignment vertical="top"/>
    </xf>
    <xf numFmtId="0" fontId="40" fillId="0" borderId="7" xfId="0" applyFont="1" applyBorder="1" applyAlignment="1">
      <alignment vertical="top"/>
    </xf>
    <xf numFmtId="0" fontId="40" fillId="2" borderId="0" xfId="0" applyFont="1" applyFill="1" applyAlignment="1">
      <alignment vertical="top"/>
    </xf>
    <xf numFmtId="166" fontId="1" fillId="0" borderId="4" xfId="0" applyNumberFormat="1" applyFont="1" applyBorder="1" applyAlignment="1">
      <alignment vertical="top"/>
    </xf>
    <xf numFmtId="166" fontId="1" fillId="0" borderId="0" xfId="0" applyNumberFormat="1" applyFont="1" applyAlignment="1">
      <alignment vertical="top"/>
    </xf>
    <xf numFmtId="166" fontId="1" fillId="0" borderId="7" xfId="0" applyNumberFormat="1" applyFont="1" applyBorder="1" applyAlignment="1">
      <alignment vertical="top"/>
    </xf>
    <xf numFmtId="168" fontId="1" fillId="0" borderId="0" xfId="0" applyNumberFormat="1" applyFont="1" applyAlignment="1">
      <alignment vertical="top"/>
    </xf>
    <xf numFmtId="168" fontId="1" fillId="2" borderId="0" xfId="0" applyNumberFormat="1" applyFont="1" applyFill="1" applyAlignment="1">
      <alignment vertical="top"/>
    </xf>
    <xf numFmtId="168" fontId="1" fillId="0" borderId="4" xfId="0" applyNumberFormat="1" applyFont="1" applyBorder="1" applyAlignment="1">
      <alignment vertical="top"/>
    </xf>
    <xf numFmtId="168" fontId="1" fillId="0" borderId="5" xfId="0" applyNumberFormat="1" applyFont="1" applyBorder="1" applyAlignment="1">
      <alignment vertical="top"/>
    </xf>
    <xf numFmtId="168" fontId="1" fillId="0" borderId="10" xfId="0" applyNumberFormat="1" applyFont="1" applyBorder="1" applyAlignment="1">
      <alignment vertical="top"/>
    </xf>
    <xf numFmtId="168" fontId="1" fillId="0" borderId="7" xfId="0" applyNumberFormat="1" applyFont="1" applyBorder="1" applyAlignment="1">
      <alignment vertical="top"/>
    </xf>
    <xf numFmtId="168" fontId="1" fillId="0" borderId="8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0" fontId="40" fillId="14" borderId="0" xfId="0" applyFont="1" applyFill="1" applyAlignment="1">
      <alignment vertical="top"/>
    </xf>
    <xf numFmtId="166" fontId="1" fillId="2" borderId="0" xfId="0" applyNumberFormat="1" applyFont="1" applyFill="1" applyAlignment="1">
      <alignment vertical="top"/>
    </xf>
    <xf numFmtId="0" fontId="45" fillId="0" borderId="0" xfId="0" applyFont="1" applyAlignment="1">
      <alignment vertical="top" wrapText="1"/>
    </xf>
    <xf numFmtId="0" fontId="46" fillId="0" borderId="0" xfId="0" applyFont="1" applyAlignment="1">
      <alignment vertical="top"/>
    </xf>
    <xf numFmtId="1" fontId="46" fillId="0" borderId="0" xfId="0" applyNumberFormat="1" applyFont="1" applyAlignment="1">
      <alignment vertical="top"/>
    </xf>
    <xf numFmtId="1" fontId="46" fillId="0" borderId="0" xfId="0" applyNumberFormat="1" applyFont="1" applyAlignment="1">
      <alignment vertical="top" wrapText="1"/>
    </xf>
    <xf numFmtId="0" fontId="46" fillId="0" borderId="0" xfId="0" applyFont="1" applyAlignment="1">
      <alignment vertical="top" wrapText="1"/>
    </xf>
    <xf numFmtId="166" fontId="42" fillId="2" borderId="0" xfId="0" applyNumberFormat="1" applyFont="1" applyFill="1" applyAlignment="1">
      <alignment vertical="top"/>
    </xf>
    <xf numFmtId="0" fontId="20" fillId="21" borderId="0" xfId="0" applyFont="1" applyFill="1" applyAlignment="1">
      <alignment vertical="top" wrapText="1"/>
    </xf>
    <xf numFmtId="0" fontId="40" fillId="17" borderId="0" xfId="0" applyFont="1" applyFill="1" applyAlignment="1">
      <alignment vertical="top"/>
    </xf>
    <xf numFmtId="166" fontId="1" fillId="4" borderId="0" xfId="0" applyNumberFormat="1" applyFont="1" applyFill="1" applyAlignment="1">
      <alignment vertical="top"/>
    </xf>
    <xf numFmtId="166" fontId="47" fillId="4" borderId="0" xfId="0" applyNumberFormat="1" applyFont="1" applyFill="1" applyAlignment="1">
      <alignment vertical="top" wrapText="1"/>
    </xf>
    <xf numFmtId="168" fontId="47" fillId="4" borderId="0" xfId="0" applyNumberFormat="1" applyFont="1" applyFill="1" applyAlignment="1">
      <alignment vertical="top" wrapText="1"/>
    </xf>
    <xf numFmtId="0" fontId="47" fillId="0" borderId="0" xfId="0" applyFont="1" applyAlignment="1">
      <alignment vertical="top" wrapText="1"/>
    </xf>
    <xf numFmtId="0" fontId="47" fillId="0" borderId="0" xfId="0" applyFont="1" applyAlignment="1">
      <alignment vertical="top"/>
    </xf>
    <xf numFmtId="0" fontId="2" fillId="2" borderId="0" xfId="0" applyFont="1" applyFill="1" applyAlignment="1">
      <alignment vertical="top"/>
    </xf>
    <xf numFmtId="0" fontId="1" fillId="18" borderId="20" xfId="0" applyFont="1" applyFill="1" applyBorder="1" applyAlignment="1">
      <alignment vertical="top" wrapText="1"/>
    </xf>
    <xf numFmtId="0" fontId="40" fillId="0" borderId="21" xfId="0" applyFont="1" applyBorder="1" applyAlignment="1">
      <alignment vertical="top"/>
    </xf>
    <xf numFmtId="0" fontId="2" fillId="22" borderId="0" xfId="0" applyFont="1" applyFill="1" applyAlignment="1">
      <alignment vertical="top" wrapText="1"/>
    </xf>
    <xf numFmtId="0" fontId="40" fillId="22" borderId="0" xfId="0" applyFont="1" applyFill="1" applyAlignment="1">
      <alignment vertical="top"/>
    </xf>
    <xf numFmtId="0" fontId="1" fillId="22" borderId="0" xfId="0" applyFont="1" applyFill="1" applyAlignment="1">
      <alignment vertical="top" wrapText="1"/>
    </xf>
    <xf numFmtId="166" fontId="1" fillId="22" borderId="0" xfId="0" applyNumberFormat="1" applyFont="1" applyFill="1" applyAlignment="1">
      <alignment vertical="top" wrapText="1"/>
    </xf>
    <xf numFmtId="0" fontId="46" fillId="7" borderId="0" xfId="0" applyFont="1" applyFill="1" applyAlignment="1">
      <alignment vertical="top"/>
    </xf>
    <xf numFmtId="6" fontId="1" fillId="7" borderId="0" xfId="0" applyNumberFormat="1" applyFont="1" applyFill="1" applyAlignment="1">
      <alignment vertical="top" wrapText="1"/>
    </xf>
    <xf numFmtId="0" fontId="46" fillId="7" borderId="0" xfId="0" applyFont="1" applyFill="1" applyAlignment="1">
      <alignment vertical="top" wrapText="1"/>
    </xf>
    <xf numFmtId="0" fontId="45" fillId="7" borderId="0" xfId="0" applyFont="1" applyFill="1" applyAlignment="1">
      <alignment vertical="top" wrapText="1"/>
    </xf>
    <xf numFmtId="0" fontId="20" fillId="23" borderId="0" xfId="0" applyFont="1" applyFill="1" applyAlignment="1">
      <alignment vertical="top" wrapText="1"/>
    </xf>
    <xf numFmtId="6" fontId="1" fillId="4" borderId="0" xfId="0" applyNumberFormat="1" applyFont="1" applyFill="1" applyAlignment="1">
      <alignment vertical="top" wrapText="1"/>
    </xf>
    <xf numFmtId="1" fontId="18" fillId="20" borderId="0" xfId="0" applyNumberFormat="1" applyFont="1" applyFill="1" applyAlignment="1">
      <alignment vertical="top" wrapText="1"/>
    </xf>
    <xf numFmtId="166" fontId="47" fillId="0" borderId="0" xfId="0" applyNumberFormat="1" applyFont="1" applyAlignment="1">
      <alignment vertical="top"/>
    </xf>
    <xf numFmtId="0" fontId="1" fillId="0" borderId="6" xfId="0" applyFont="1" applyBorder="1" applyAlignment="1">
      <alignment vertical="top"/>
    </xf>
    <xf numFmtId="0" fontId="2" fillId="0" borderId="38" xfId="0" applyFont="1" applyBorder="1" applyAlignment="1">
      <alignment vertical="top" wrapText="1"/>
    </xf>
    <xf numFmtId="164" fontId="1" fillId="0" borderId="19" xfId="2" applyNumberFormat="1" applyFont="1" applyFill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164" fontId="1" fillId="0" borderId="19" xfId="0" applyNumberFormat="1" applyFont="1" applyBorder="1" applyAlignment="1">
      <alignment vertical="top"/>
    </xf>
    <xf numFmtId="164" fontId="12" fillId="0" borderId="19" xfId="0" applyNumberFormat="1" applyFont="1" applyBorder="1" applyAlignment="1">
      <alignment vertical="top"/>
    </xf>
    <xf numFmtId="1" fontId="12" fillId="0" borderId="28" xfId="2" applyNumberFormat="1" applyFont="1" applyBorder="1" applyAlignment="1">
      <alignment vertical="top" wrapText="1"/>
    </xf>
    <xf numFmtId="1" fontId="1" fillId="0" borderId="20" xfId="0" applyNumberFormat="1" applyFont="1" applyBorder="1" applyAlignment="1">
      <alignment vertical="top" wrapText="1"/>
    </xf>
    <xf numFmtId="164" fontId="1" fillId="19" borderId="17" xfId="2" applyNumberFormat="1" applyFont="1" applyFill="1" applyBorder="1" applyAlignment="1">
      <alignment vertical="top"/>
    </xf>
    <xf numFmtId="169" fontId="1" fillId="19" borderId="18" xfId="0" applyNumberFormat="1" applyFont="1" applyFill="1" applyBorder="1" applyAlignment="1">
      <alignment vertical="top" wrapText="1"/>
    </xf>
    <xf numFmtId="166" fontId="2" fillId="19" borderId="27" xfId="0" applyNumberFormat="1" applyFont="1" applyFill="1" applyBorder="1" applyAlignment="1">
      <alignment vertical="top" wrapText="1"/>
    </xf>
    <xf numFmtId="164" fontId="1" fillId="0" borderId="19" xfId="2" applyNumberFormat="1" applyFont="1" applyFill="1" applyBorder="1" applyAlignment="1">
      <alignment vertical="top"/>
    </xf>
    <xf numFmtId="166" fontId="2" fillId="4" borderId="28" xfId="0" applyNumberFormat="1" applyFont="1" applyFill="1" applyBorder="1" applyAlignment="1">
      <alignment vertical="top" wrapText="1"/>
    </xf>
    <xf numFmtId="0" fontId="2" fillId="19" borderId="17" xfId="0" applyFont="1" applyFill="1" applyBorder="1" applyAlignment="1">
      <alignment vertical="top" wrapText="1"/>
    </xf>
    <xf numFmtId="0" fontId="1" fillId="19" borderId="18" xfId="0" applyFont="1" applyFill="1" applyBorder="1" applyAlignment="1">
      <alignment vertical="top" wrapText="1"/>
    </xf>
    <xf numFmtId="0" fontId="40" fillId="19" borderId="18" xfId="0" applyFont="1" applyFill="1" applyBorder="1" applyAlignment="1">
      <alignment vertical="top"/>
    </xf>
    <xf numFmtId="164" fontId="1" fillId="19" borderId="17" xfId="0" applyNumberFormat="1" applyFont="1" applyFill="1" applyBorder="1" applyAlignment="1">
      <alignment vertical="top" wrapText="1"/>
    </xf>
    <xf numFmtId="164" fontId="1" fillId="19" borderId="17" xfId="2" applyNumberFormat="1" applyFont="1" applyFill="1" applyBorder="1" applyAlignment="1">
      <alignment vertical="top" wrapText="1"/>
    </xf>
    <xf numFmtId="0" fontId="1" fillId="0" borderId="19" xfId="0" quotePrefix="1" applyFont="1" applyBorder="1" applyAlignment="1">
      <alignment vertical="top" wrapText="1"/>
    </xf>
    <xf numFmtId="166" fontId="1" fillId="0" borderId="5" xfId="0" applyNumberFormat="1" applyFont="1" applyBorder="1" applyAlignment="1">
      <alignment vertical="top"/>
    </xf>
    <xf numFmtId="166" fontId="1" fillId="0" borderId="10" xfId="0" applyNumberFormat="1" applyFont="1" applyBorder="1" applyAlignment="1">
      <alignment vertical="top"/>
    </xf>
    <xf numFmtId="166" fontId="1" fillId="0" borderId="8" xfId="0" applyNumberFormat="1" applyFont="1" applyBorder="1" applyAlignment="1">
      <alignment vertical="top"/>
    </xf>
    <xf numFmtId="0" fontId="40" fillId="7" borderId="0" xfId="0" applyFont="1" applyFill="1" applyAlignment="1">
      <alignment vertical="top"/>
    </xf>
    <xf numFmtId="2" fontId="47" fillId="4" borderId="0" xfId="0" applyNumberFormat="1" applyFont="1" applyFill="1" applyAlignment="1">
      <alignment vertical="top" wrapText="1"/>
    </xf>
    <xf numFmtId="0" fontId="48" fillId="0" borderId="0" xfId="0" applyFont="1"/>
    <xf numFmtId="166" fontId="1" fillId="19" borderId="11" xfId="0" applyNumberFormat="1" applyFont="1" applyFill="1" applyBorder="1" applyAlignment="1">
      <alignment vertical="top" wrapText="1"/>
    </xf>
    <xf numFmtId="0" fontId="1" fillId="19" borderId="11" xfId="0" applyFont="1" applyFill="1" applyBorder="1" applyAlignment="1">
      <alignment vertical="top" wrapText="1"/>
    </xf>
    <xf numFmtId="0" fontId="1" fillId="19" borderId="11" xfId="0" quotePrefix="1" applyFont="1" applyFill="1" applyBorder="1" applyAlignment="1">
      <alignment vertical="top" wrapText="1"/>
    </xf>
    <xf numFmtId="0" fontId="40" fillId="19" borderId="11" xfId="0" applyFont="1" applyFill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19" borderId="30" xfId="0" applyFont="1" applyFill="1" applyBorder="1" applyAlignment="1">
      <alignment vertical="top"/>
    </xf>
    <xf numFmtId="0" fontId="2" fillId="2" borderId="28" xfId="0" applyFont="1" applyFill="1" applyBorder="1" applyAlignment="1">
      <alignment vertical="top" wrapText="1"/>
    </xf>
    <xf numFmtId="0" fontId="46" fillId="20" borderId="19" xfId="0" applyFont="1" applyFill="1" applyBorder="1" applyAlignment="1">
      <alignment vertical="top"/>
    </xf>
    <xf numFmtId="1" fontId="46" fillId="20" borderId="28" xfId="0" applyNumberFormat="1" applyFont="1" applyFill="1" applyBorder="1" applyAlignment="1">
      <alignment vertical="top" wrapText="1"/>
    </xf>
    <xf numFmtId="164" fontId="1" fillId="0" borderId="36" xfId="2" applyNumberFormat="1" applyFont="1" applyFill="1" applyBorder="1" applyAlignment="1">
      <alignment vertical="top" wrapText="1"/>
    </xf>
    <xf numFmtId="0" fontId="1" fillId="2" borderId="19" xfId="0" applyFont="1" applyFill="1" applyBorder="1" applyAlignment="1">
      <alignment vertical="top"/>
    </xf>
    <xf numFmtId="0" fontId="1" fillId="2" borderId="28" xfId="0" applyFont="1" applyFill="1" applyBorder="1" applyAlignment="1">
      <alignment vertical="top" wrapText="1"/>
    </xf>
    <xf numFmtId="0" fontId="40" fillId="0" borderId="28" xfId="0" applyFont="1" applyBorder="1" applyAlignment="1">
      <alignment vertical="top"/>
    </xf>
    <xf numFmtId="0" fontId="1" fillId="7" borderId="19" xfId="0" applyFont="1" applyFill="1" applyBorder="1" applyAlignment="1">
      <alignment vertical="top"/>
    </xf>
    <xf numFmtId="170" fontId="2" fillId="7" borderId="0" xfId="0" applyNumberFormat="1" applyFont="1" applyFill="1" applyAlignment="1">
      <alignment vertical="top"/>
    </xf>
    <xf numFmtId="0" fontId="2" fillId="7" borderId="28" xfId="0" applyFont="1" applyFill="1" applyBorder="1" applyAlignment="1">
      <alignment vertical="top"/>
    </xf>
    <xf numFmtId="0" fontId="1" fillId="0" borderId="28" xfId="0" applyFont="1" applyBorder="1" applyAlignment="1">
      <alignment vertical="top"/>
    </xf>
    <xf numFmtId="0" fontId="18" fillId="0" borderId="19" xfId="0" applyFont="1" applyBorder="1" applyAlignment="1">
      <alignment vertical="top"/>
    </xf>
    <xf numFmtId="166" fontId="1" fillId="0" borderId="28" xfId="0" applyNumberFormat="1" applyFont="1" applyBorder="1" applyAlignment="1">
      <alignment vertical="top"/>
    </xf>
    <xf numFmtId="168" fontId="1" fillId="0" borderId="28" xfId="0" applyNumberFormat="1" applyFont="1" applyBorder="1" applyAlignment="1">
      <alignment vertical="top"/>
    </xf>
    <xf numFmtId="168" fontId="1" fillId="2" borderId="28" xfId="0" applyNumberFormat="1" applyFont="1" applyFill="1" applyBorder="1" applyAlignment="1">
      <alignment vertical="top"/>
    </xf>
    <xf numFmtId="0" fontId="20" fillId="0" borderId="19" xfId="0" applyFont="1" applyBorder="1" applyAlignment="1">
      <alignment vertical="top"/>
    </xf>
    <xf numFmtId="0" fontId="20" fillId="2" borderId="19" xfId="0" applyFont="1" applyFill="1" applyBorder="1" applyAlignment="1">
      <alignment vertical="top"/>
    </xf>
    <xf numFmtId="166" fontId="1" fillId="2" borderId="28" xfId="0" applyNumberFormat="1" applyFont="1" applyFill="1" applyBorder="1" applyAlignment="1">
      <alignment vertical="top" wrapText="1"/>
    </xf>
    <xf numFmtId="0" fontId="2" fillId="14" borderId="28" xfId="0" applyFont="1" applyFill="1" applyBorder="1" applyAlignment="1">
      <alignment vertical="top" wrapText="1"/>
    </xf>
    <xf numFmtId="0" fontId="40" fillId="2" borderId="19" xfId="0" applyFont="1" applyFill="1" applyBorder="1" applyAlignment="1">
      <alignment vertical="top"/>
    </xf>
    <xf numFmtId="0" fontId="40" fillId="0" borderId="19" xfId="0" applyFont="1" applyBorder="1" applyAlignment="1">
      <alignment vertical="top"/>
    </xf>
    <xf numFmtId="0" fontId="46" fillId="0" borderId="19" xfId="0" applyFont="1" applyBorder="1" applyAlignment="1">
      <alignment vertical="top"/>
    </xf>
    <xf numFmtId="1" fontId="46" fillId="0" borderId="28" xfId="0" applyNumberFormat="1" applyFont="1" applyBorder="1" applyAlignment="1">
      <alignment vertical="top" wrapText="1"/>
    </xf>
    <xf numFmtId="1" fontId="46" fillId="7" borderId="28" xfId="0" applyNumberFormat="1" applyFont="1" applyFill="1" applyBorder="1" applyAlignment="1">
      <alignment vertical="top" wrapText="1"/>
    </xf>
    <xf numFmtId="0" fontId="2" fillId="17" borderId="19" xfId="0" applyFont="1" applyFill="1" applyBorder="1" applyAlignment="1">
      <alignment vertical="top"/>
    </xf>
    <xf numFmtId="0" fontId="2" fillId="17" borderId="28" xfId="0" applyFont="1" applyFill="1" applyBorder="1" applyAlignment="1">
      <alignment vertical="top" wrapText="1"/>
    </xf>
    <xf numFmtId="0" fontId="40" fillId="22" borderId="19" xfId="0" applyFont="1" applyFill="1" applyBorder="1" applyAlignment="1">
      <alignment vertical="top"/>
    </xf>
    <xf numFmtId="166" fontId="1" fillId="22" borderId="28" xfId="0" applyNumberFormat="1" applyFont="1" applyFill="1" applyBorder="1" applyAlignment="1">
      <alignment vertical="top" wrapText="1"/>
    </xf>
    <xf numFmtId="6" fontId="1" fillId="0" borderId="0" xfId="0" applyNumberFormat="1" applyFont="1"/>
    <xf numFmtId="6" fontId="1" fillId="0" borderId="0" xfId="0" applyNumberFormat="1" applyFont="1" applyAlignment="1">
      <alignment vertical="top"/>
    </xf>
    <xf numFmtId="0" fontId="1" fillId="19" borderId="30" xfId="0" applyFont="1" applyFill="1" applyBorder="1" applyAlignment="1">
      <alignment vertical="top" wrapText="1"/>
    </xf>
    <xf numFmtId="0" fontId="1" fillId="2" borderId="19" xfId="0" applyFont="1" applyFill="1" applyBorder="1" applyAlignment="1">
      <alignment vertical="top" wrapText="1"/>
    </xf>
    <xf numFmtId="0" fontId="46" fillId="20" borderId="19" xfId="0" applyFont="1" applyFill="1" applyBorder="1" applyAlignment="1">
      <alignment vertical="top" wrapText="1"/>
    </xf>
    <xf numFmtId="0" fontId="46" fillId="20" borderId="28" xfId="0" applyFont="1" applyFill="1" applyBorder="1" applyAlignment="1">
      <alignment vertical="top" wrapText="1"/>
    </xf>
    <xf numFmtId="164" fontId="1" fillId="0" borderId="28" xfId="0" applyNumberFormat="1" applyFont="1" applyBorder="1" applyAlignment="1">
      <alignment vertical="top" wrapText="1"/>
    </xf>
    <xf numFmtId="0" fontId="1" fillId="4" borderId="19" xfId="0" applyFont="1" applyFill="1" applyBorder="1" applyAlignment="1">
      <alignment vertical="top" wrapText="1"/>
    </xf>
    <xf numFmtId="170" fontId="1" fillId="7" borderId="0" xfId="0" applyNumberFormat="1" applyFont="1" applyFill="1" applyAlignment="1">
      <alignment vertical="top" wrapText="1"/>
    </xf>
    <xf numFmtId="0" fontId="1" fillId="7" borderId="28" xfId="0" applyFont="1" applyFill="1" applyBorder="1" applyAlignment="1">
      <alignment vertical="top" wrapText="1"/>
    </xf>
    <xf numFmtId="0" fontId="47" fillId="4" borderId="19" xfId="0" applyFont="1" applyFill="1" applyBorder="1" applyAlignment="1">
      <alignment vertical="top" wrapText="1"/>
    </xf>
    <xf numFmtId="0" fontId="47" fillId="0" borderId="19" xfId="0" applyFont="1" applyBorder="1" applyAlignment="1">
      <alignment vertical="top" wrapText="1"/>
    </xf>
    <xf numFmtId="0" fontId="20" fillId="15" borderId="19" xfId="0" applyFont="1" applyFill="1" applyBorder="1" applyAlignment="1">
      <alignment vertical="top" wrapText="1"/>
    </xf>
    <xf numFmtId="0" fontId="1" fillId="14" borderId="28" xfId="0" applyFont="1" applyFill="1" applyBorder="1" applyAlignment="1">
      <alignment vertical="top" wrapText="1"/>
    </xf>
    <xf numFmtId="0" fontId="20" fillId="2" borderId="19" xfId="0" applyFont="1" applyFill="1" applyBorder="1" applyAlignment="1">
      <alignment vertical="top" wrapText="1"/>
    </xf>
    <xf numFmtId="0" fontId="20" fillId="23" borderId="19" xfId="0" applyFont="1" applyFill="1" applyBorder="1" applyAlignment="1">
      <alignment vertical="top" wrapText="1"/>
    </xf>
    <xf numFmtId="0" fontId="46" fillId="0" borderId="19" xfId="0" applyFont="1" applyBorder="1" applyAlignment="1">
      <alignment vertical="top" wrapText="1"/>
    </xf>
    <xf numFmtId="0" fontId="46" fillId="0" borderId="28" xfId="0" applyFont="1" applyBorder="1" applyAlignment="1">
      <alignment vertical="top" wrapText="1"/>
    </xf>
    <xf numFmtId="0" fontId="46" fillId="7" borderId="19" xfId="0" applyFont="1" applyFill="1" applyBorder="1" applyAlignment="1">
      <alignment vertical="top" wrapText="1"/>
    </xf>
    <xf numFmtId="0" fontId="46" fillId="7" borderId="28" xfId="0" applyFont="1" applyFill="1" applyBorder="1" applyAlignment="1">
      <alignment vertical="top" wrapText="1"/>
    </xf>
    <xf numFmtId="0" fontId="20" fillId="21" borderId="19" xfId="0" applyFont="1" applyFill="1" applyBorder="1" applyAlignment="1">
      <alignment vertical="top" wrapText="1"/>
    </xf>
    <xf numFmtId="0" fontId="1" fillId="17" borderId="28" xfId="0" applyFont="1" applyFill="1" applyBorder="1" applyAlignment="1">
      <alignment vertical="top" wrapText="1"/>
    </xf>
    <xf numFmtId="0" fontId="1" fillId="22" borderId="19" xfId="0" applyFont="1" applyFill="1" applyBorder="1" applyAlignment="1">
      <alignment vertical="top" wrapText="1"/>
    </xf>
    <xf numFmtId="0" fontId="1" fillId="22" borderId="28" xfId="0" applyFont="1" applyFill="1" applyBorder="1" applyAlignment="1">
      <alignment vertical="top" wrapText="1"/>
    </xf>
    <xf numFmtId="0" fontId="1" fillId="19" borderId="30" xfId="0" quotePrefix="1" applyFont="1" applyFill="1" applyBorder="1" applyAlignment="1">
      <alignment vertical="top" wrapText="1"/>
    </xf>
    <xf numFmtId="0" fontId="2" fillId="7" borderId="19" xfId="0" applyFont="1" applyFill="1" applyBorder="1" applyAlignment="1">
      <alignment vertical="top"/>
    </xf>
    <xf numFmtId="0" fontId="20" fillId="0" borderId="19" xfId="0" applyFont="1" applyBorder="1" applyAlignment="1">
      <alignment vertical="top" wrapText="1"/>
    </xf>
    <xf numFmtId="0" fontId="47" fillId="2" borderId="19" xfId="0" applyFont="1" applyFill="1" applyBorder="1" applyAlignment="1">
      <alignment vertical="top" wrapText="1"/>
    </xf>
    <xf numFmtId="0" fontId="1" fillId="14" borderId="19" xfId="0" applyFont="1" applyFill="1" applyBorder="1" applyAlignment="1">
      <alignment vertical="top" wrapText="1"/>
    </xf>
    <xf numFmtId="1" fontId="18" fillId="0" borderId="19" xfId="0" applyNumberFormat="1" applyFont="1" applyBorder="1" applyAlignment="1">
      <alignment vertical="top" wrapText="1"/>
    </xf>
    <xf numFmtId="0" fontId="1" fillId="17" borderId="19" xfId="0" applyFont="1" applyFill="1" applyBorder="1" applyAlignment="1">
      <alignment vertical="top" wrapText="1"/>
    </xf>
    <xf numFmtId="0" fontId="40" fillId="2" borderId="28" xfId="0" applyFont="1" applyFill="1" applyBorder="1" applyAlignment="1">
      <alignment vertical="top"/>
    </xf>
    <xf numFmtId="0" fontId="2" fillId="2" borderId="19" xfId="0" applyFont="1" applyFill="1" applyBorder="1" applyAlignment="1">
      <alignment vertical="top" wrapText="1"/>
    </xf>
    <xf numFmtId="1" fontId="46" fillId="20" borderId="19" xfId="0" applyNumberFormat="1" applyFont="1" applyFill="1" applyBorder="1" applyAlignment="1">
      <alignment vertical="top" wrapText="1"/>
    </xf>
    <xf numFmtId="0" fontId="2" fillId="0" borderId="28" xfId="0" applyFont="1" applyBorder="1" applyAlignment="1">
      <alignment vertical="top"/>
    </xf>
    <xf numFmtId="1" fontId="1" fillId="2" borderId="19" xfId="0" applyNumberFormat="1" applyFont="1" applyFill="1" applyBorder="1" applyAlignment="1">
      <alignment vertical="top" wrapText="1"/>
    </xf>
    <xf numFmtId="1" fontId="1" fillId="2" borderId="28" xfId="0" applyNumberFormat="1" applyFont="1" applyFill="1" applyBorder="1" applyAlignment="1">
      <alignment vertical="top" wrapText="1"/>
    </xf>
    <xf numFmtId="1" fontId="46" fillId="0" borderId="19" xfId="0" applyNumberFormat="1" applyFont="1" applyBorder="1" applyAlignment="1">
      <alignment vertical="top" wrapText="1"/>
    </xf>
    <xf numFmtId="1" fontId="46" fillId="7" borderId="19" xfId="0" applyNumberFormat="1" applyFont="1" applyFill="1" applyBorder="1" applyAlignment="1">
      <alignment vertical="top" wrapText="1"/>
    </xf>
    <xf numFmtId="0" fontId="2" fillId="17" borderId="19" xfId="0" applyFont="1" applyFill="1" applyBorder="1" applyAlignment="1">
      <alignment vertical="top" wrapText="1"/>
    </xf>
    <xf numFmtId="0" fontId="40" fillId="22" borderId="28" xfId="0" applyFont="1" applyFill="1" applyBorder="1" applyAlignment="1">
      <alignment vertical="top"/>
    </xf>
    <xf numFmtId="1" fontId="1" fillId="19" borderId="17" xfId="0" applyNumberFormat="1" applyFont="1" applyFill="1" applyBorder="1" applyAlignment="1">
      <alignment vertical="top" wrapText="1"/>
    </xf>
    <xf numFmtId="0" fontId="2" fillId="19" borderId="30" xfId="0" applyFont="1" applyFill="1" applyBorder="1" applyAlignment="1">
      <alignment vertical="top" wrapText="1"/>
    </xf>
    <xf numFmtId="0" fontId="2" fillId="19" borderId="40" xfId="0" applyFont="1" applyFill="1" applyBorder="1" applyAlignment="1">
      <alignment vertical="top" wrapText="1"/>
    </xf>
    <xf numFmtId="0" fontId="1" fillId="19" borderId="40" xfId="0" applyFont="1" applyFill="1" applyBorder="1" applyAlignment="1">
      <alignment vertical="top"/>
    </xf>
    <xf numFmtId="166" fontId="1" fillId="19" borderId="41" xfId="0" applyNumberFormat="1" applyFont="1" applyFill="1" applyBorder="1" applyAlignment="1">
      <alignment vertical="top" wrapText="1"/>
    </xf>
    <xf numFmtId="166" fontId="43" fillId="19" borderId="42" xfId="0" applyNumberFormat="1" applyFont="1" applyFill="1" applyBorder="1" applyAlignment="1">
      <alignment vertical="top" wrapText="1"/>
    </xf>
    <xf numFmtId="0" fontId="1" fillId="19" borderId="40" xfId="0" applyFont="1" applyFill="1" applyBorder="1" applyAlignment="1">
      <alignment vertical="top" wrapText="1"/>
    </xf>
    <xf numFmtId="0" fontId="1" fillId="19" borderId="40" xfId="0" quotePrefix="1" applyFont="1" applyFill="1" applyBorder="1" applyAlignment="1">
      <alignment vertical="top" wrapText="1"/>
    </xf>
    <xf numFmtId="0" fontId="1" fillId="19" borderId="41" xfId="0" applyFont="1" applyFill="1" applyBorder="1" applyAlignment="1">
      <alignment vertical="top" wrapText="1"/>
    </xf>
    <xf numFmtId="0" fontId="1" fillId="19" borderId="41" xfId="0" quotePrefix="1" applyFont="1" applyFill="1" applyBorder="1" applyAlignment="1">
      <alignment vertical="top" wrapText="1"/>
    </xf>
    <xf numFmtId="0" fontId="40" fillId="19" borderId="41" xfId="0" applyFont="1" applyFill="1" applyBorder="1" applyAlignment="1">
      <alignment vertical="top"/>
    </xf>
    <xf numFmtId="0" fontId="2" fillId="0" borderId="31" xfId="0" applyFont="1" applyBorder="1" applyAlignment="1">
      <alignment vertical="top" wrapText="1"/>
    </xf>
    <xf numFmtId="0" fontId="1" fillId="12" borderId="31" xfId="0" applyFont="1" applyFill="1" applyBorder="1" applyAlignment="1">
      <alignment vertical="top"/>
    </xf>
    <xf numFmtId="0" fontId="40" fillId="0" borderId="32" xfId="0" applyFont="1" applyBorder="1" applyAlignment="1">
      <alignment vertical="top"/>
    </xf>
    <xf numFmtId="166" fontId="49" fillId="19" borderId="34" xfId="0" applyNumberFormat="1" applyFont="1" applyFill="1" applyBorder="1" applyAlignment="1">
      <alignment vertical="top" wrapText="1"/>
    </xf>
    <xf numFmtId="166" fontId="49" fillId="19" borderId="42" xfId="0" applyNumberFormat="1" applyFont="1" applyFill="1" applyBorder="1" applyAlignment="1">
      <alignment vertical="top" wrapText="1"/>
    </xf>
    <xf numFmtId="0" fontId="2" fillId="0" borderId="17" xfId="0" applyFont="1" applyBorder="1" applyAlignment="1">
      <alignment vertical="top"/>
    </xf>
    <xf numFmtId="0" fontId="40" fillId="0" borderId="4" xfId="0" applyFont="1" applyBorder="1" applyAlignment="1">
      <alignment vertical="top"/>
    </xf>
    <xf numFmtId="0" fontId="40" fillId="4" borderId="19" xfId="0" applyFont="1" applyFill="1" applyBorder="1" applyAlignment="1">
      <alignment vertical="top"/>
    </xf>
    <xf numFmtId="0" fontId="7" fillId="0" borderId="0" xfId="0" applyFont="1" applyAlignment="1">
      <alignment vertical="top" wrapText="1"/>
    </xf>
    <xf numFmtId="0" fontId="23" fillId="0" borderId="0" xfId="1" applyFont="1" applyAlignment="1">
      <alignment vertical="top" wrapText="1"/>
    </xf>
    <xf numFmtId="0" fontId="22" fillId="7" borderId="0" xfId="0" applyFont="1" applyFill="1" applyAlignment="1">
      <alignment vertical="top"/>
    </xf>
    <xf numFmtId="0" fontId="7" fillId="4" borderId="0" xfId="0" applyFont="1" applyFill="1" applyAlignment="1">
      <alignment vertical="top" wrapText="1"/>
    </xf>
    <xf numFmtId="0" fontId="7" fillId="4" borderId="0" xfId="0" applyFont="1" applyFill="1" applyAlignment="1">
      <alignment vertical="top"/>
    </xf>
    <xf numFmtId="0" fontId="51" fillId="0" borderId="0" xfId="0" applyFont="1" applyAlignment="1">
      <alignment vertical="top"/>
    </xf>
    <xf numFmtId="0" fontId="7" fillId="6" borderId="0" xfId="0" applyFont="1" applyFill="1" applyAlignment="1">
      <alignment vertical="top"/>
    </xf>
    <xf numFmtId="0" fontId="7" fillId="6" borderId="0" xfId="0" applyFont="1" applyFill="1" applyAlignment="1">
      <alignment vertical="top" wrapText="1"/>
    </xf>
    <xf numFmtId="0" fontId="22" fillId="2" borderId="0" xfId="0" applyFont="1" applyFill="1" applyAlignment="1">
      <alignment vertical="top"/>
    </xf>
    <xf numFmtId="0" fontId="22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/>
    </xf>
    <xf numFmtId="0" fontId="7" fillId="4" borderId="3" xfId="0" applyFont="1" applyFill="1" applyBorder="1" applyAlignment="1">
      <alignment vertical="top" wrapText="1"/>
    </xf>
    <xf numFmtId="0" fontId="22" fillId="0" borderId="5" xfId="0" applyFont="1" applyBorder="1" applyAlignment="1">
      <alignment vertical="top" wrapText="1"/>
    </xf>
    <xf numFmtId="0" fontId="7" fillId="4" borderId="9" xfId="0" quotePrefix="1" applyFont="1" applyFill="1" applyBorder="1" applyAlignment="1">
      <alignment vertical="top" wrapText="1"/>
    </xf>
    <xf numFmtId="0" fontId="22" fillId="0" borderId="9" xfId="0" quotePrefix="1" applyFont="1" applyBorder="1" applyAlignment="1">
      <alignment vertical="top" wrapText="1"/>
    </xf>
    <xf numFmtId="0" fontId="22" fillId="0" borderId="10" xfId="0" applyFont="1" applyBorder="1" applyAlignment="1">
      <alignment vertical="top" wrapText="1"/>
    </xf>
    <xf numFmtId="0" fontId="50" fillId="4" borderId="6" xfId="0" quotePrefix="1" applyFont="1" applyFill="1" applyBorder="1" applyAlignment="1">
      <alignment vertical="top" wrapText="1"/>
    </xf>
    <xf numFmtId="0" fontId="22" fillId="0" borderId="8" xfId="0" applyFont="1" applyBorder="1" applyAlignment="1">
      <alignment vertical="top" wrapText="1"/>
    </xf>
    <xf numFmtId="0" fontId="53" fillId="0" borderId="0" xfId="0" applyFont="1" applyAlignment="1">
      <alignment wrapText="1"/>
    </xf>
    <xf numFmtId="0" fontId="7" fillId="24" borderId="0" xfId="0" applyFont="1" applyFill="1"/>
    <xf numFmtId="0" fontId="7" fillId="24" borderId="5" xfId="0" applyFont="1" applyFill="1" applyBorder="1"/>
    <xf numFmtId="0" fontId="7" fillId="24" borderId="10" xfId="0" applyFont="1" applyFill="1" applyBorder="1"/>
    <xf numFmtId="0" fontId="0" fillId="24" borderId="8" xfId="0" applyFill="1" applyBorder="1"/>
    <xf numFmtId="0" fontId="0" fillId="0" borderId="13" xfId="0" applyBorder="1"/>
    <xf numFmtId="0" fontId="0" fillId="0" borderId="14" xfId="0" applyBorder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10" xfId="0" applyFont="1" applyFill="1" applyBorder="1"/>
    <xf numFmtId="0" fontId="0" fillId="0" borderId="8" xfId="0" applyBorder="1"/>
    <xf numFmtId="0" fontId="7" fillId="0" borderId="13" xfId="0" applyFont="1" applyBorder="1"/>
    <xf numFmtId="0" fontId="41" fillId="0" borderId="19" xfId="0" applyFont="1" applyBorder="1" applyAlignment="1">
      <alignment vertical="top"/>
    </xf>
    <xf numFmtId="0" fontId="54" fillId="0" borderId="0" xfId="0" applyFont="1"/>
    <xf numFmtId="0" fontId="0" fillId="3" borderId="4" xfId="0" applyFill="1" applyBorder="1"/>
    <xf numFmtId="0" fontId="0" fillId="3" borderId="5" xfId="0" applyFill="1" applyBorder="1"/>
    <xf numFmtId="0" fontId="2" fillId="0" borderId="10" xfId="0" applyFont="1" applyBorder="1" applyAlignment="1">
      <alignment vertical="top" wrapText="1"/>
    </xf>
    <xf numFmtId="1" fontId="1" fillId="0" borderId="9" xfId="0" applyNumberFormat="1" applyFont="1" applyBorder="1" applyAlignment="1">
      <alignment vertical="top" wrapText="1"/>
    </xf>
    <xf numFmtId="164" fontId="2" fillId="0" borderId="19" xfId="2" applyNumberFormat="1" applyFont="1" applyBorder="1" applyAlignment="1">
      <alignment vertical="top"/>
    </xf>
    <xf numFmtId="164" fontId="2" fillId="4" borderId="19" xfId="0" applyNumberFormat="1" applyFont="1" applyFill="1" applyBorder="1" applyAlignment="1">
      <alignment vertical="top" wrapText="1"/>
    </xf>
    <xf numFmtId="164" fontId="2" fillId="0" borderId="19" xfId="2" applyNumberFormat="1" applyFont="1" applyBorder="1" applyAlignment="1">
      <alignment vertical="top" wrapText="1"/>
    </xf>
    <xf numFmtId="0" fontId="7" fillId="0" borderId="1" xfId="0" applyFont="1" applyBorder="1"/>
    <xf numFmtId="0" fontId="0" fillId="6" borderId="1" xfId="0" applyFill="1" applyBorder="1"/>
    <xf numFmtId="0" fontId="55" fillId="0" borderId="0" xfId="0" applyFont="1"/>
    <xf numFmtId="0" fontId="1" fillId="3" borderId="0" xfId="0" applyFont="1" applyFill="1"/>
    <xf numFmtId="0" fontId="2" fillId="3" borderId="0" xfId="0" applyFont="1" applyFill="1"/>
    <xf numFmtId="0" fontId="56" fillId="0" borderId="0" xfId="0" applyFont="1" applyAlignment="1">
      <alignment vertical="top" wrapText="1"/>
    </xf>
    <xf numFmtId="0" fontId="56" fillId="0" borderId="0" xfId="0" applyFont="1" applyAlignment="1">
      <alignment vertical="top"/>
    </xf>
    <xf numFmtId="9" fontId="56" fillId="0" borderId="0" xfId="0" applyNumberFormat="1" applyFont="1" applyAlignment="1">
      <alignment vertical="top"/>
    </xf>
    <xf numFmtId="164" fontId="56" fillId="0" borderId="0" xfId="0" applyNumberFormat="1" applyFont="1" applyAlignment="1">
      <alignment vertical="top"/>
    </xf>
    <xf numFmtId="0" fontId="2" fillId="3" borderId="6" xfId="0" applyFont="1" applyFill="1" applyBorder="1"/>
    <xf numFmtId="1" fontId="2" fillId="0" borderId="21" xfId="0" applyNumberFormat="1" applyFont="1" applyBorder="1" applyAlignment="1">
      <alignment vertical="top" wrapText="1"/>
    </xf>
    <xf numFmtId="0" fontId="1" fillId="12" borderId="32" xfId="0" applyFont="1" applyFill="1" applyBorder="1" applyAlignment="1">
      <alignment vertical="top"/>
    </xf>
    <xf numFmtId="0" fontId="21" fillId="7" borderId="0" xfId="0" quotePrefix="1" applyFont="1" applyFill="1" applyAlignment="1">
      <alignment vertical="top" wrapText="1"/>
    </xf>
    <xf numFmtId="0" fontId="50" fillId="4" borderId="9" xfId="0" quotePrefix="1" applyFont="1" applyFill="1" applyBorder="1" applyAlignment="1">
      <alignment vertical="top" wrapText="1"/>
    </xf>
    <xf numFmtId="0" fontId="33" fillId="5" borderId="0" xfId="0" applyFont="1" applyFill="1" applyAlignment="1">
      <alignment wrapText="1"/>
    </xf>
    <xf numFmtId="0" fontId="38" fillId="0" borderId="0" xfId="0" applyFont="1"/>
    <xf numFmtId="0" fontId="39" fillId="0" borderId="0" xfId="0" applyFont="1"/>
    <xf numFmtId="1" fontId="1" fillId="2" borderId="0" xfId="0" applyNumberFormat="1" applyFont="1" applyFill="1" applyAlignment="1">
      <alignment vertical="top" wrapText="1"/>
    </xf>
    <xf numFmtId="1" fontId="46" fillId="7" borderId="0" xfId="0" applyNumberFormat="1" applyFont="1" applyFill="1" applyAlignment="1">
      <alignment vertical="top" wrapText="1"/>
    </xf>
    <xf numFmtId="166" fontId="2" fillId="19" borderId="18" xfId="0" applyNumberFormat="1" applyFont="1" applyFill="1" applyBorder="1" applyAlignment="1">
      <alignment vertical="top" wrapText="1"/>
    </xf>
    <xf numFmtId="166" fontId="49" fillId="19" borderId="11" xfId="0" applyNumberFormat="1" applyFont="1" applyFill="1" applyBorder="1" applyAlignment="1">
      <alignment vertical="top" wrapText="1"/>
    </xf>
    <xf numFmtId="166" fontId="49" fillId="19" borderId="41" xfId="0" applyNumberFormat="1" applyFont="1" applyFill="1" applyBorder="1" applyAlignment="1">
      <alignment vertical="top" wrapText="1"/>
    </xf>
    <xf numFmtId="44" fontId="40" fillId="2" borderId="0" xfId="0" applyNumberFormat="1" applyFont="1" applyFill="1" applyAlignment="1">
      <alignment vertical="top"/>
    </xf>
    <xf numFmtId="0" fontId="12" fillId="0" borderId="28" xfId="0" applyFont="1" applyBorder="1" applyAlignment="1">
      <alignment vertical="top" wrapText="1"/>
    </xf>
    <xf numFmtId="0" fontId="6" fillId="0" borderId="0" xfId="1" applyAlignment="1">
      <alignment vertical="top"/>
    </xf>
    <xf numFmtId="0" fontId="22" fillId="6" borderId="0" xfId="0" applyFont="1" applyFill="1" applyAlignment="1">
      <alignment vertical="top" wrapText="1"/>
    </xf>
    <xf numFmtId="0" fontId="22" fillId="7" borderId="0" xfId="0" applyFont="1" applyFill="1" applyAlignment="1">
      <alignment vertical="top" wrapText="1"/>
    </xf>
    <xf numFmtId="0" fontId="58" fillId="0" borderId="0" xfId="0" applyFont="1"/>
    <xf numFmtId="0" fontId="1" fillId="7" borderId="1" xfId="0" applyFont="1" applyFill="1" applyBorder="1"/>
    <xf numFmtId="168" fontId="1" fillId="0" borderId="0" xfId="0" applyNumberFormat="1" applyFont="1"/>
    <xf numFmtId="1" fontId="1" fillId="0" borderId="1" xfId="0" applyNumberFormat="1" applyFont="1" applyBorder="1" applyAlignment="1">
      <alignment vertical="top" wrapText="1"/>
    </xf>
    <xf numFmtId="0" fontId="56" fillId="0" borderId="0" xfId="0" applyFont="1"/>
    <xf numFmtId="1" fontId="1" fillId="3" borderId="0" xfId="0" applyNumberFormat="1" applyFont="1" applyFill="1"/>
    <xf numFmtId="1" fontId="59" fillId="3" borderId="0" xfId="0" applyNumberFormat="1" applyFont="1" applyFill="1"/>
    <xf numFmtId="9" fontId="1" fillId="0" borderId="9" xfId="0" applyNumberFormat="1" applyFont="1" applyBorder="1" applyAlignment="1">
      <alignment vertical="top" wrapText="1"/>
    </xf>
    <xf numFmtId="9" fontId="1" fillId="0" borderId="0" xfId="0" applyNumberFormat="1" applyFont="1" applyAlignment="1">
      <alignment vertical="top" wrapText="1"/>
    </xf>
    <xf numFmtId="164" fontId="1" fillId="0" borderId="1" xfId="2" applyNumberFormat="1" applyFont="1" applyFill="1" applyBorder="1"/>
    <xf numFmtId="164" fontId="1" fillId="0" borderId="1" xfId="0" applyNumberFormat="1" applyFont="1" applyBorder="1" applyAlignment="1">
      <alignment vertical="top" wrapText="1"/>
    </xf>
    <xf numFmtId="0" fontId="61" fillId="0" borderId="0" xfId="0" applyFont="1"/>
    <xf numFmtId="9" fontId="1" fillId="0" borderId="1" xfId="2" applyFont="1" applyBorder="1"/>
    <xf numFmtId="0" fontId="62" fillId="6" borderId="0" xfId="0" applyFont="1" applyFill="1" applyAlignment="1">
      <alignment vertical="top" wrapText="1"/>
    </xf>
    <xf numFmtId="0" fontId="63" fillId="0" borderId="0" xfId="0" applyFont="1"/>
    <xf numFmtId="0" fontId="64" fillId="0" borderId="0" xfId="0" applyFont="1" applyAlignment="1">
      <alignment wrapText="1"/>
    </xf>
    <xf numFmtId="0" fontId="62" fillId="0" borderId="0" xfId="0" applyFont="1" applyAlignment="1">
      <alignment vertical="top" wrapText="1"/>
    </xf>
    <xf numFmtId="0" fontId="41" fillId="0" borderId="0" xfId="0" applyFont="1" applyAlignment="1">
      <alignment vertical="top"/>
    </xf>
    <xf numFmtId="0" fontId="2" fillId="7" borderId="4" xfId="0" applyFont="1" applyFill="1" applyBorder="1" applyAlignment="1">
      <alignment vertical="top"/>
    </xf>
    <xf numFmtId="0" fontId="1" fillId="7" borderId="4" xfId="0" applyFont="1" applyFill="1" applyBorder="1" applyAlignment="1">
      <alignment vertical="top" wrapText="1"/>
    </xf>
    <xf numFmtId="0" fontId="2" fillId="7" borderId="4" xfId="0" applyFont="1" applyFill="1" applyBorder="1" applyAlignment="1">
      <alignment vertical="top" wrapText="1"/>
    </xf>
    <xf numFmtId="0" fontId="2" fillId="7" borderId="5" xfId="0" applyFont="1" applyFill="1" applyBorder="1" applyAlignment="1">
      <alignment vertical="top" wrapText="1"/>
    </xf>
    <xf numFmtId="0" fontId="2" fillId="7" borderId="3" xfId="0" applyFont="1" applyFill="1" applyBorder="1" applyAlignment="1">
      <alignment vertical="top"/>
    </xf>
    <xf numFmtId="0" fontId="56" fillId="0" borderId="0" xfId="0" applyFont="1" applyAlignment="1">
      <alignment wrapText="1"/>
    </xf>
    <xf numFmtId="1" fontId="56" fillId="0" borderId="0" xfId="0" applyNumberFormat="1" applyFont="1"/>
    <xf numFmtId="9" fontId="56" fillId="0" borderId="0" xfId="0" applyNumberFormat="1" applyFont="1"/>
    <xf numFmtId="0" fontId="2" fillId="0" borderId="27" xfId="0" applyFont="1" applyBorder="1" applyAlignment="1">
      <alignment vertical="top" wrapText="1"/>
    </xf>
    <xf numFmtId="0" fontId="1" fillId="12" borderId="17" xfId="0" applyFont="1" applyFill="1" applyBorder="1" applyAlignment="1">
      <alignment vertical="top"/>
    </xf>
    <xf numFmtId="0" fontId="1" fillId="0" borderId="26" xfId="0" applyFont="1" applyBorder="1" applyAlignment="1">
      <alignment vertical="top" wrapText="1"/>
    </xf>
    <xf numFmtId="0" fontId="1" fillId="12" borderId="25" xfId="0" applyFont="1" applyFill="1" applyBorder="1" applyAlignment="1">
      <alignment vertical="top"/>
    </xf>
    <xf numFmtId="0" fontId="12" fillId="0" borderId="0" xfId="0" applyFont="1" applyAlignment="1">
      <alignment vertical="top" wrapText="1"/>
    </xf>
    <xf numFmtId="0" fontId="44" fillId="0" borderId="0" xfId="0" applyFont="1" applyAlignment="1">
      <alignment vertical="top" wrapText="1"/>
    </xf>
    <xf numFmtId="1" fontId="1" fillId="0" borderId="23" xfId="0" applyNumberFormat="1" applyFont="1" applyBorder="1" applyAlignment="1">
      <alignment vertical="top" wrapText="1"/>
    </xf>
    <xf numFmtId="0" fontId="2" fillId="3" borderId="22" xfId="0" applyFont="1" applyFill="1" applyBorder="1" applyAlignment="1">
      <alignment vertical="top"/>
    </xf>
    <xf numFmtId="0" fontId="1" fillId="3" borderId="4" xfId="0" applyFont="1" applyFill="1" applyBorder="1" applyAlignment="1">
      <alignment vertical="top" wrapText="1"/>
    </xf>
    <xf numFmtId="0" fontId="2" fillId="3" borderId="4" xfId="0" applyFont="1" applyFill="1" applyBorder="1" applyAlignment="1">
      <alignment vertical="top" wrapText="1"/>
    </xf>
    <xf numFmtId="0" fontId="2" fillId="3" borderId="38" xfId="0" applyFont="1" applyFill="1" applyBorder="1" applyAlignment="1">
      <alignment vertical="top" wrapText="1"/>
    </xf>
    <xf numFmtId="0" fontId="2" fillId="3" borderId="17" xfId="0" applyFont="1" applyFill="1" applyBorder="1" applyAlignment="1">
      <alignment vertical="top"/>
    </xf>
    <xf numFmtId="0" fontId="1" fillId="3" borderId="18" xfId="0" applyFont="1" applyFill="1" applyBorder="1" applyAlignment="1">
      <alignment vertical="top" wrapText="1"/>
    </xf>
    <xf numFmtId="166" fontId="2" fillId="0" borderId="0" xfId="0" applyNumberFormat="1" applyFont="1" applyAlignment="1">
      <alignment vertical="top" wrapText="1"/>
    </xf>
    <xf numFmtId="166" fontId="2" fillId="4" borderId="0" xfId="0" applyNumberFormat="1" applyFont="1" applyFill="1" applyAlignment="1">
      <alignment vertical="top" wrapText="1"/>
    </xf>
    <xf numFmtId="164" fontId="1" fillId="19" borderId="30" xfId="2" applyNumberFormat="1" applyFont="1" applyFill="1" applyBorder="1" applyAlignment="1">
      <alignment vertical="top"/>
    </xf>
    <xf numFmtId="166" fontId="2" fillId="19" borderId="34" xfId="0" applyNumberFormat="1" applyFont="1" applyFill="1" applyBorder="1" applyAlignment="1">
      <alignment vertical="top" wrapText="1"/>
    </xf>
    <xf numFmtId="164" fontId="1" fillId="19" borderId="30" xfId="0" applyNumberFormat="1" applyFont="1" applyFill="1" applyBorder="1" applyAlignment="1">
      <alignment vertical="top" wrapText="1"/>
    </xf>
    <xf numFmtId="164" fontId="1" fillId="19" borderId="30" xfId="2" applyNumberFormat="1" applyFont="1" applyFill="1" applyBorder="1" applyAlignment="1">
      <alignment vertical="top" wrapText="1"/>
    </xf>
    <xf numFmtId="166" fontId="2" fillId="19" borderId="11" xfId="0" applyNumberFormat="1" applyFont="1" applyFill="1" applyBorder="1" applyAlignment="1">
      <alignment vertical="top" wrapText="1"/>
    </xf>
    <xf numFmtId="1" fontId="1" fillId="19" borderId="30" xfId="0" applyNumberFormat="1" applyFont="1" applyFill="1" applyBorder="1" applyAlignment="1">
      <alignment vertical="top" wrapText="1"/>
    </xf>
    <xf numFmtId="166" fontId="43" fillId="19" borderId="34" xfId="0" applyNumberFormat="1" applyFont="1" applyFill="1" applyBorder="1" applyAlignment="1">
      <alignment vertical="top" wrapText="1"/>
    </xf>
    <xf numFmtId="0" fontId="1" fillId="19" borderId="11" xfId="0" applyFont="1" applyFill="1" applyBorder="1" applyAlignment="1">
      <alignment vertical="top"/>
    </xf>
    <xf numFmtId="0" fontId="1" fillId="0" borderId="27" xfId="0" applyFont="1" applyBorder="1" applyAlignment="1">
      <alignment vertical="top" wrapText="1"/>
    </xf>
    <xf numFmtId="166" fontId="49" fillId="19" borderId="46" xfId="0" applyNumberFormat="1" applyFont="1" applyFill="1" applyBorder="1" applyAlignment="1">
      <alignment vertical="top" wrapText="1"/>
    </xf>
    <xf numFmtId="1" fontId="2" fillId="0" borderId="10" xfId="0" applyNumberFormat="1" applyFont="1" applyBorder="1" applyAlignment="1">
      <alignment vertical="top" wrapText="1"/>
    </xf>
    <xf numFmtId="1" fontId="12" fillId="0" borderId="10" xfId="2" applyNumberFormat="1" applyFont="1" applyBorder="1" applyAlignment="1">
      <alignment vertical="top" wrapText="1"/>
    </xf>
    <xf numFmtId="1" fontId="2" fillId="0" borderId="24" xfId="0" applyNumberFormat="1" applyFont="1" applyBorder="1" applyAlignment="1">
      <alignment vertical="top" wrapText="1"/>
    </xf>
    <xf numFmtId="1" fontId="1" fillId="0" borderId="10" xfId="0" applyNumberFormat="1" applyFont="1" applyBorder="1" applyAlignment="1">
      <alignment vertical="top" wrapText="1"/>
    </xf>
    <xf numFmtId="1" fontId="1" fillId="19" borderId="25" xfId="0" applyNumberFormat="1" applyFont="1" applyFill="1" applyBorder="1" applyAlignment="1">
      <alignment vertical="top" wrapText="1"/>
    </xf>
    <xf numFmtId="166" fontId="2" fillId="19" borderId="26" xfId="0" applyNumberFormat="1" applyFont="1" applyFill="1" applyBorder="1" applyAlignment="1">
      <alignment vertical="top" wrapText="1"/>
    </xf>
    <xf numFmtId="166" fontId="2" fillId="0" borderId="10" xfId="0" applyNumberFormat="1" applyFont="1" applyBorder="1" applyAlignment="1">
      <alignment vertical="top" wrapText="1"/>
    </xf>
    <xf numFmtId="1" fontId="1" fillId="19" borderId="16" xfId="0" applyNumberFormat="1" applyFont="1" applyFill="1" applyBorder="1" applyAlignment="1">
      <alignment vertical="top" wrapText="1"/>
    </xf>
    <xf numFmtId="166" fontId="2" fillId="19" borderId="2" xfId="0" applyNumberFormat="1" applyFont="1" applyFill="1" applyBorder="1" applyAlignment="1">
      <alignment vertical="top" wrapText="1"/>
    </xf>
    <xf numFmtId="166" fontId="2" fillId="4" borderId="10" xfId="0" applyNumberFormat="1" applyFont="1" applyFill="1" applyBorder="1" applyAlignment="1">
      <alignment vertical="top" wrapText="1"/>
    </xf>
    <xf numFmtId="0" fontId="1" fillId="19" borderId="16" xfId="0" applyFont="1" applyFill="1" applyBorder="1" applyAlignment="1">
      <alignment vertical="top" wrapText="1"/>
    </xf>
    <xf numFmtId="166" fontId="49" fillId="19" borderId="2" xfId="0" applyNumberFormat="1" applyFont="1" applyFill="1" applyBorder="1" applyAlignment="1">
      <alignment vertical="top" wrapText="1"/>
    </xf>
    <xf numFmtId="0" fontId="1" fillId="19" borderId="47" xfId="0" applyFont="1" applyFill="1" applyBorder="1" applyAlignment="1">
      <alignment vertical="top" wrapText="1"/>
    </xf>
    <xf numFmtId="0" fontId="2" fillId="3" borderId="45" xfId="0" applyFont="1" applyFill="1" applyBorder="1" applyAlignment="1">
      <alignment horizontal="left" vertical="top"/>
    </xf>
    <xf numFmtId="0" fontId="2" fillId="3" borderId="43" xfId="0" applyFont="1" applyFill="1" applyBorder="1" applyAlignment="1">
      <alignment horizontal="left" vertical="top"/>
    </xf>
    <xf numFmtId="0" fontId="2" fillId="3" borderId="18" xfId="0" applyFont="1" applyFill="1" applyBorder="1" applyAlignment="1">
      <alignment horizontal="left" vertical="top"/>
    </xf>
    <xf numFmtId="0" fontId="2" fillId="3" borderId="44" xfId="0" applyFont="1" applyFill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18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4" fillId="0" borderId="0" xfId="0" applyFont="1"/>
    <xf numFmtId="0" fontId="0" fillId="0" borderId="0" xfId="0"/>
    <xf numFmtId="0" fontId="15" fillId="0" borderId="0" xfId="0" applyFont="1" applyAlignment="1">
      <alignment wrapText="1"/>
    </xf>
  </cellXfs>
  <cellStyles count="3">
    <cellStyle name="Гиперссылка" xfId="1" builtinId="8"/>
    <cellStyle name="Обычный" xfId="0" builtinId="0"/>
    <cellStyle name="Процентный" xfId="2" builtinId="5"/>
  </cellStyles>
  <dxfs count="0"/>
  <tableStyles count="0" defaultTableStyle="TableStyleMedium2" defaultPivotStyle="PivotStyleLight16"/>
  <colors>
    <mruColors>
      <color rgb="FFFF835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101600</xdr:rowOff>
    </xdr:from>
    <xdr:to>
      <xdr:col>7</xdr:col>
      <xdr:colOff>717588</xdr:colOff>
      <xdr:row>17</xdr:row>
      <xdr:rowOff>127000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6BB5E51-FF6F-074B-A136-CDB98DA38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2100"/>
          <a:ext cx="10958406" cy="32766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</xdr:colOff>
      <xdr:row>41</xdr:row>
      <xdr:rowOff>152400</xdr:rowOff>
    </xdr:from>
    <xdr:to>
      <xdr:col>2</xdr:col>
      <xdr:colOff>292100</xdr:colOff>
      <xdr:row>51</xdr:row>
      <xdr:rowOff>88900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257A7BF-4DD1-34F1-5361-16B42823F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8483600"/>
          <a:ext cx="5092700" cy="1968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jira.tcsbank.ru/browse/ECA-2046" TargetMode="External"/><Relationship Id="rId2" Type="http://schemas.openxmlformats.org/officeDocument/2006/relationships/hyperlink" Target="https://jira.tcsbank.ru/browse/ECA-2046" TargetMode="External"/><Relationship Id="rId1" Type="http://schemas.openxmlformats.org/officeDocument/2006/relationships/hyperlink" Target="https://jira.tcsbank.ru/browse/ECA-2046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mpstats.io/tarif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unidraw.io/app/board/a099d59523c3e8ff1926?allow_guest=true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proteus.tcsbank.ru/superset/dashboard/50759/?native_filters_key=N1EflRdRl3eeD4pGUhCGkab9qHa_Xovcdedg2EUhsrPb6m9J-vOOQNoVLOXMOQ1R" TargetMode="External"/><Relationship Id="rId2" Type="http://schemas.openxmlformats.org/officeDocument/2006/relationships/hyperlink" Target="https://proteus.tcsbank.ru/superset/dashboard/35207/?native_filters_key=aLN1Xx1yD5vdgsrx8uoA0pvrJEUqFxG78QxXMsGytEGq4tZDfgeCUsezc9HMrNwl" TargetMode="External"/><Relationship Id="rId1" Type="http://schemas.openxmlformats.org/officeDocument/2006/relationships/hyperlink" Target="https://proteus.tcsbank.ru/superset/dashboard/35207/?native_filters_key=6UD6_31FByJJBSkeo1OjteN2ZrhDe0UXwiQb27k-OI1_2btiTS-ROCrKRUs0NQi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79573-AEBF-6C4C-9139-64F8131F6FE0}">
  <dimension ref="A1:BJ133"/>
  <sheetViews>
    <sheetView tabSelected="1" workbookViewId="0">
      <pane xSplit="1" ySplit="3" topLeftCell="G11" activePane="bottomRight" state="frozen"/>
      <selection pane="topRight" activeCell="B1" sqref="B1"/>
      <selection pane="bottomLeft" activeCell="A4" sqref="A4"/>
      <selection pane="bottomRight" activeCell="AD36" sqref="AD36"/>
    </sheetView>
  </sheetViews>
  <sheetFormatPr baseColWidth="10" defaultRowHeight="19" outlineLevelRow="1" outlineLevelCol="1" x14ac:dyDescent="0.2"/>
  <cols>
    <col min="1" max="1" width="55.6640625" style="1" customWidth="1"/>
    <col min="2" max="2" width="16" style="441" customWidth="1"/>
    <col min="3" max="6" width="19.33203125" style="1" hidden="1" customWidth="1" outlineLevel="1"/>
    <col min="7" max="7" width="23" style="300" customWidth="1" collapsed="1"/>
    <col min="8" max="8" width="17" style="88" customWidth="1"/>
    <col min="9" max="12" width="17" style="1" hidden="1" customWidth="1" outlineLevel="1"/>
    <col min="13" max="13" width="18.1640625" style="300" customWidth="1" collapsed="1"/>
    <col min="14" max="14" width="17" style="88" customWidth="1"/>
    <col min="15" max="17" width="17" style="1" hidden="1" customWidth="1" outlineLevel="1"/>
    <col min="18" max="18" width="17.33203125" style="1" hidden="1" customWidth="1" outlineLevel="1"/>
    <col min="19" max="19" width="16.5" style="1" customWidth="1" collapsed="1"/>
    <col min="20" max="20" width="14.33203125" style="88" customWidth="1"/>
    <col min="21" max="24" width="14.33203125" style="1" hidden="1" customWidth="1" outlineLevel="1"/>
    <col min="25" max="25" width="14.33203125" style="1" customWidth="1" collapsed="1"/>
    <col min="26" max="26" width="14.33203125" style="1" customWidth="1"/>
    <col min="27" max="30" width="14.33203125" style="1" hidden="1" customWidth="1" outlineLevel="1"/>
    <col min="31" max="31" width="14.33203125" style="1" customWidth="1" collapsed="1"/>
    <col min="32" max="32" width="17" style="300" customWidth="1"/>
    <col min="33" max="37" width="11.83203125" style="1" customWidth="1"/>
    <col min="38" max="38" width="13.83203125" style="1" customWidth="1"/>
    <col min="39" max="39" width="16.33203125" style="1" customWidth="1"/>
    <col min="40" max="44" width="17" style="1" customWidth="1"/>
    <col min="45" max="50" width="10.83203125" style="428"/>
    <col min="51" max="62" width="17" style="1" customWidth="1"/>
    <col min="63" max="16384" width="10.83203125" style="428"/>
  </cols>
  <sheetData>
    <row r="1" spans="1:62" s="589" customFormat="1" ht="20" thickBot="1" x14ac:dyDescent="0.25">
      <c r="A1" s="16"/>
      <c r="B1" s="690" t="s">
        <v>317</v>
      </c>
      <c r="C1" s="691"/>
      <c r="D1" s="692"/>
      <c r="E1" s="692"/>
      <c r="F1" s="692"/>
      <c r="G1" s="693"/>
      <c r="H1" s="690" t="s">
        <v>318</v>
      </c>
      <c r="I1" s="691"/>
      <c r="J1" s="692"/>
      <c r="K1" s="692"/>
      <c r="L1" s="692"/>
      <c r="M1" s="693"/>
      <c r="N1" s="694" t="s">
        <v>405</v>
      </c>
      <c r="O1" s="695"/>
      <c r="P1" s="315"/>
      <c r="Q1" s="315"/>
      <c r="R1" s="315"/>
      <c r="S1" s="315"/>
      <c r="T1" s="721" t="s">
        <v>456</v>
      </c>
      <c r="U1" s="722"/>
      <c r="V1" s="722"/>
      <c r="W1" s="722"/>
      <c r="X1" s="722"/>
      <c r="Y1" s="722"/>
      <c r="Z1" s="723"/>
      <c r="AA1" s="723"/>
      <c r="AB1" s="723"/>
      <c r="AC1" s="723"/>
      <c r="AD1" s="723"/>
      <c r="AE1" s="723"/>
      <c r="AF1" s="724"/>
      <c r="AG1" s="675" t="s">
        <v>319</v>
      </c>
      <c r="AH1" s="676"/>
      <c r="AI1" s="677"/>
      <c r="AJ1" s="677"/>
      <c r="AK1" s="677"/>
      <c r="AL1" s="678"/>
      <c r="AM1" s="679" t="s">
        <v>320</v>
      </c>
      <c r="AN1" s="676"/>
      <c r="AO1" s="677"/>
      <c r="AP1" s="677"/>
      <c r="AQ1" s="677"/>
      <c r="AR1" s="678"/>
    </row>
    <row r="2" spans="1:62" ht="21" customHeight="1" thickBot="1" x14ac:dyDescent="0.25">
      <c r="B2" s="386"/>
      <c r="D2" s="13"/>
      <c r="E2" s="13"/>
      <c r="F2" s="13"/>
      <c r="G2" s="302"/>
      <c r="H2" s="386"/>
      <c r="J2" s="13"/>
      <c r="K2" s="13"/>
      <c r="L2" s="13"/>
      <c r="M2" s="302"/>
      <c r="N2" s="588"/>
      <c r="O2" s="86"/>
      <c r="P2" s="87"/>
      <c r="Q2" s="87"/>
      <c r="R2" s="87"/>
      <c r="S2" s="87"/>
      <c r="T2" s="725" t="s">
        <v>455</v>
      </c>
      <c r="U2" s="726"/>
      <c r="V2" s="726"/>
      <c r="W2" s="726"/>
      <c r="X2" s="726"/>
      <c r="Y2" s="726"/>
      <c r="Z2" s="727" t="s">
        <v>454</v>
      </c>
      <c r="AA2" s="728"/>
      <c r="AB2" s="728"/>
      <c r="AC2" s="728"/>
      <c r="AD2" s="728"/>
      <c r="AE2" s="729"/>
      <c r="AF2" s="683"/>
      <c r="AG2" s="141"/>
      <c r="AI2" s="13"/>
      <c r="AJ2" s="13"/>
      <c r="AK2" s="13"/>
      <c r="AL2" s="625"/>
      <c r="AM2" s="141"/>
      <c r="AO2" s="13"/>
      <c r="AP2" s="13"/>
      <c r="AQ2" s="13"/>
      <c r="AR2" s="625"/>
      <c r="AY2" s="428"/>
      <c r="AZ2" s="428"/>
      <c r="BA2" s="428"/>
      <c r="BB2" s="428"/>
      <c r="BC2" s="428"/>
      <c r="BD2" s="428"/>
      <c r="BE2" s="428"/>
      <c r="BF2" s="428"/>
      <c r="BG2" s="428"/>
      <c r="BH2" s="428"/>
      <c r="BI2" s="428"/>
      <c r="BJ2" s="428"/>
    </row>
    <row r="3" spans="1:62" s="585" customFormat="1" ht="114" customHeight="1" x14ac:dyDescent="0.2">
      <c r="A3" s="583" t="s">
        <v>39</v>
      </c>
      <c r="B3" s="584" t="s">
        <v>406</v>
      </c>
      <c r="C3" s="352" t="s">
        <v>37</v>
      </c>
      <c r="D3" s="352" t="s">
        <v>216</v>
      </c>
      <c r="E3" s="352" t="s">
        <v>212</v>
      </c>
      <c r="F3" s="352" t="s">
        <v>211</v>
      </c>
      <c r="G3" s="353" t="s">
        <v>424</v>
      </c>
      <c r="H3" s="584" t="s">
        <v>406</v>
      </c>
      <c r="I3" s="352" t="s">
        <v>304</v>
      </c>
      <c r="J3" s="352" t="s">
        <v>305</v>
      </c>
      <c r="K3" s="352" t="s">
        <v>306</v>
      </c>
      <c r="L3" s="352" t="s">
        <v>307</v>
      </c>
      <c r="M3" s="353" t="s">
        <v>424</v>
      </c>
      <c r="N3" s="584" t="s">
        <v>406</v>
      </c>
      <c r="O3" s="352" t="s">
        <v>304</v>
      </c>
      <c r="P3" s="352" t="s">
        <v>305</v>
      </c>
      <c r="Q3" s="352" t="s">
        <v>306</v>
      </c>
      <c r="R3" s="352" t="s">
        <v>307</v>
      </c>
      <c r="S3" s="352" t="s">
        <v>424</v>
      </c>
      <c r="T3" s="684" t="s">
        <v>406</v>
      </c>
      <c r="U3" s="86" t="s">
        <v>304</v>
      </c>
      <c r="V3" s="86" t="s">
        <v>305</v>
      </c>
      <c r="W3" s="86" t="s">
        <v>306</v>
      </c>
      <c r="X3" s="86" t="s">
        <v>307</v>
      </c>
      <c r="Y3" s="86" t="s">
        <v>450</v>
      </c>
      <c r="Z3" s="686" t="s">
        <v>406</v>
      </c>
      <c r="AA3" s="86" t="s">
        <v>304</v>
      </c>
      <c r="AB3" s="86" t="s">
        <v>305</v>
      </c>
      <c r="AC3" s="86" t="s">
        <v>306</v>
      </c>
      <c r="AD3" s="86" t="s">
        <v>307</v>
      </c>
      <c r="AE3" s="685" t="s">
        <v>451</v>
      </c>
      <c r="AF3" s="706" t="s">
        <v>452</v>
      </c>
      <c r="AG3" s="641" t="s">
        <v>406</v>
      </c>
      <c r="AH3" s="352" t="s">
        <v>304</v>
      </c>
      <c r="AI3" s="352" t="s">
        <v>305</v>
      </c>
      <c r="AJ3" s="352" t="s">
        <v>306</v>
      </c>
      <c r="AK3" s="352" t="s">
        <v>307</v>
      </c>
      <c r="AL3" s="417" t="s">
        <v>34</v>
      </c>
      <c r="AM3" s="416" t="s">
        <v>129</v>
      </c>
      <c r="AN3" s="352" t="s">
        <v>304</v>
      </c>
      <c r="AO3" s="352" t="s">
        <v>305</v>
      </c>
      <c r="AP3" s="352" t="s">
        <v>306</v>
      </c>
      <c r="AQ3" s="352" t="s">
        <v>307</v>
      </c>
      <c r="AR3" s="417" t="s">
        <v>34</v>
      </c>
    </row>
    <row r="4" spans="1:62" ht="20" x14ac:dyDescent="0.2">
      <c r="A4" s="88" t="s">
        <v>45</v>
      </c>
      <c r="B4" s="476">
        <v>1</v>
      </c>
      <c r="C4" s="1">
        <f>'База селлеров'!B43</f>
        <v>79000</v>
      </c>
      <c r="D4" s="1">
        <f>'База селлеров'!C43</f>
        <v>33000</v>
      </c>
      <c r="E4" s="1">
        <f>'База селлеров'!D45</f>
        <v>1820.0000000000002</v>
      </c>
      <c r="F4" s="1">
        <f>'База селлеров'!E45</f>
        <v>3705</v>
      </c>
      <c r="G4" s="302">
        <f>SUM(C4:F4)</f>
        <v>117525</v>
      </c>
      <c r="H4" s="301">
        <f>B4</f>
        <v>1</v>
      </c>
      <c r="I4" s="1">
        <f>C4</f>
        <v>79000</v>
      </c>
      <c r="J4" s="1">
        <f t="shared" ref="J4:L4" si="0">D4</f>
        <v>33000</v>
      </c>
      <c r="K4" s="1">
        <f t="shared" si="0"/>
        <v>1820.0000000000002</v>
      </c>
      <c r="L4" s="1">
        <f t="shared" si="0"/>
        <v>3705</v>
      </c>
      <c r="M4" s="302">
        <f>SUM(I4:L4)</f>
        <v>117525</v>
      </c>
      <c r="N4" s="301">
        <f>H4</f>
        <v>1</v>
      </c>
      <c r="O4" s="1">
        <f>I4</f>
        <v>79000</v>
      </c>
      <c r="P4" s="1">
        <f>J4</f>
        <v>33000</v>
      </c>
      <c r="Q4" s="1">
        <f>K4</f>
        <v>1820.0000000000002</v>
      </c>
      <c r="R4" s="1">
        <f>L4</f>
        <v>3705</v>
      </c>
      <c r="S4" s="13">
        <f>SUM(O4:R4)</f>
        <v>117525</v>
      </c>
      <c r="U4" s="156">
        <f>O4*O45</f>
        <v>70079.174723972304</v>
      </c>
      <c r="V4" s="156">
        <f t="shared" ref="V4:X4" si="1">P4*P45</f>
        <v>27249.295112781954</v>
      </c>
      <c r="W4" s="156">
        <f t="shared" si="1"/>
        <v>1564.9857633945626</v>
      </c>
      <c r="X4" s="156">
        <f t="shared" si="1"/>
        <v>3185.8638754817875</v>
      </c>
      <c r="Y4" s="284">
        <f>SUM(U4:X4)</f>
        <v>102079.31947563062</v>
      </c>
      <c r="Z4" s="28"/>
      <c r="AA4" s="156">
        <f>O4-U4</f>
        <v>8920.8252760276955</v>
      </c>
      <c r="AB4" s="156">
        <f t="shared" ref="AB4:AD4" si="2">P4-V4</f>
        <v>5750.7048872180458</v>
      </c>
      <c r="AC4" s="156">
        <f t="shared" si="2"/>
        <v>255.01423660543765</v>
      </c>
      <c r="AD4" s="156">
        <f t="shared" si="2"/>
        <v>519.13612451821245</v>
      </c>
      <c r="AE4" s="708">
        <f>SUM(AA4:AD4)</f>
        <v>15445.680524369391</v>
      </c>
      <c r="AF4" s="306">
        <f>Y4+AE4</f>
        <v>117525.00000000001</v>
      </c>
      <c r="AL4" s="24"/>
      <c r="AM4" s="28"/>
      <c r="AN4" s="1">
        <f>O4</f>
        <v>79000</v>
      </c>
      <c r="AO4" s="1">
        <f>P4</f>
        <v>33000</v>
      </c>
      <c r="AP4" s="1">
        <f>Q4</f>
        <v>1820.0000000000002</v>
      </c>
      <c r="AQ4" s="1">
        <f>R4</f>
        <v>3705</v>
      </c>
      <c r="AR4" s="24">
        <f>S4</f>
        <v>117525</v>
      </c>
      <c r="AY4" s="428"/>
      <c r="AZ4" s="428"/>
      <c r="BA4" s="428"/>
      <c r="BB4" s="428"/>
      <c r="BC4" s="428"/>
      <c r="BD4" s="428"/>
      <c r="BE4" s="428"/>
      <c r="BF4" s="428"/>
      <c r="BG4" s="428"/>
      <c r="BH4" s="428"/>
      <c r="BI4" s="428"/>
      <c r="BJ4" s="428"/>
    </row>
    <row r="5" spans="1:62" s="277" customFormat="1" ht="20" outlineLevel="1" x14ac:dyDescent="0.2">
      <c r="A5" s="354" t="s">
        <v>321</v>
      </c>
      <c r="B5" s="477"/>
      <c r="C5" s="687"/>
      <c r="D5" s="687"/>
      <c r="E5" s="290">
        <f>'База селлеров'!D47</f>
        <v>127.40000000000003</v>
      </c>
      <c r="F5" s="290">
        <f>'База селлеров'!E47</f>
        <v>1222.6500000000001</v>
      </c>
      <c r="G5" s="355"/>
      <c r="H5" s="356"/>
      <c r="I5" s="687"/>
      <c r="J5" s="687"/>
      <c r="K5" s="290">
        <f>E5</f>
        <v>127.40000000000003</v>
      </c>
      <c r="L5" s="290">
        <f>F5</f>
        <v>1222.6500000000001</v>
      </c>
      <c r="M5" s="355"/>
      <c r="N5" s="356"/>
      <c r="O5" s="687"/>
      <c r="P5" s="687"/>
      <c r="Q5" s="290">
        <f>K5</f>
        <v>127.40000000000003</v>
      </c>
      <c r="R5" s="290">
        <f>L5</f>
        <v>1222.6500000000001</v>
      </c>
      <c r="S5" s="688"/>
      <c r="T5" s="356"/>
      <c r="U5" s="687"/>
      <c r="V5" s="687"/>
      <c r="W5" s="290">
        <f>'База селлеров'!D46*Гипотезы!W4</f>
        <v>109.54900343761939</v>
      </c>
      <c r="X5" s="290">
        <f>'База селлеров'!E46*Гипотезы!X4</f>
        <v>1051.33507890899</v>
      </c>
      <c r="Y5" s="687"/>
      <c r="Z5" s="475"/>
      <c r="AA5" s="688"/>
      <c r="AB5" s="687"/>
      <c r="AC5" s="290">
        <f>AC4*'База селлеров'!D46</f>
        <v>17.850996562380637</v>
      </c>
      <c r="AD5" s="290">
        <f>AD4*'База селлеров'!E46</f>
        <v>171.31492109101012</v>
      </c>
      <c r="AE5" s="357"/>
      <c r="AF5" s="653"/>
      <c r="AG5" s="687"/>
      <c r="AH5" s="687"/>
      <c r="AI5" s="687"/>
      <c r="AJ5" s="687"/>
      <c r="AK5" s="687"/>
      <c r="AL5" s="357"/>
      <c r="AM5" s="475"/>
      <c r="AN5" s="687"/>
      <c r="AO5" s="687"/>
      <c r="AP5" s="687"/>
      <c r="AQ5" s="687"/>
      <c r="AR5" s="357"/>
    </row>
    <row r="6" spans="1:62" ht="20" x14ac:dyDescent="0.2">
      <c r="A6" s="421" t="s">
        <v>328</v>
      </c>
      <c r="B6" s="303">
        <v>0.8</v>
      </c>
      <c r="C6" s="1">
        <f>C4*$B$6</f>
        <v>63200</v>
      </c>
      <c r="D6" s="1">
        <f>D4*$B$6</f>
        <v>26400</v>
      </c>
      <c r="E6" s="1">
        <f>E4*$B$6</f>
        <v>1456.0000000000002</v>
      </c>
      <c r="F6" s="1">
        <f>F4*$B$6</f>
        <v>2964</v>
      </c>
      <c r="G6" s="302">
        <f>SUM(C6:F6)</f>
        <v>94020</v>
      </c>
      <c r="H6" s="303">
        <f>B6</f>
        <v>0.8</v>
      </c>
      <c r="I6" s="1">
        <f>C6</f>
        <v>63200</v>
      </c>
      <c r="J6" s="1">
        <f t="shared" ref="J6:L6" si="3">D6</f>
        <v>26400</v>
      </c>
      <c r="K6" s="1">
        <f t="shared" si="3"/>
        <v>1456.0000000000002</v>
      </c>
      <c r="L6" s="1">
        <f t="shared" si="3"/>
        <v>2964</v>
      </c>
      <c r="M6" s="302">
        <f>SUM(I6:L6)</f>
        <v>94020</v>
      </c>
      <c r="N6" s="303">
        <f>H6</f>
        <v>0.8</v>
      </c>
      <c r="O6" s="1">
        <f>I6</f>
        <v>63200</v>
      </c>
      <c r="P6" s="1">
        <f t="shared" ref="P6:R6" si="4">J6</f>
        <v>26400</v>
      </c>
      <c r="Q6" s="1">
        <f t="shared" si="4"/>
        <v>1456.0000000000002</v>
      </c>
      <c r="R6" s="1">
        <f t="shared" si="4"/>
        <v>2964</v>
      </c>
      <c r="S6" s="13">
        <f>SUM(O6:R6)</f>
        <v>94020</v>
      </c>
      <c r="T6" s="301">
        <f>N6</f>
        <v>0.8</v>
      </c>
      <c r="U6" s="156">
        <f>$T$6*U4</f>
        <v>56063.339779177848</v>
      </c>
      <c r="V6" s="156">
        <f t="shared" ref="V6:X6" si="5">$T$6*V4</f>
        <v>21799.436090225565</v>
      </c>
      <c r="W6" s="156">
        <f t="shared" si="5"/>
        <v>1251.9886107156501</v>
      </c>
      <c r="X6" s="156">
        <f t="shared" si="5"/>
        <v>2548.6911003854302</v>
      </c>
      <c r="Y6" s="284">
        <f>SUM(U6:X6)</f>
        <v>81663.455580504495</v>
      </c>
      <c r="Z6" s="288">
        <f>H6</f>
        <v>0.8</v>
      </c>
      <c r="AA6" s="156">
        <f>$Z$6*AA4</f>
        <v>7136.6602208221566</v>
      </c>
      <c r="AB6" s="156">
        <f t="shared" ref="AB6:AD6" si="6">$Z$6*AB4</f>
        <v>4600.563909774437</v>
      </c>
      <c r="AC6" s="156">
        <f t="shared" si="6"/>
        <v>204.01138928435012</v>
      </c>
      <c r="AD6" s="156">
        <f t="shared" si="6"/>
        <v>415.30889961457001</v>
      </c>
      <c r="AE6" s="708">
        <f>SUM(AA6:AD6)</f>
        <v>12356.544419495516</v>
      </c>
      <c r="AF6" s="306">
        <f>Y6+AE6</f>
        <v>94020.000000000015</v>
      </c>
      <c r="AL6" s="24"/>
      <c r="AM6" s="28"/>
      <c r="AQ6" s="1">
        <f>AQ4</f>
        <v>3705</v>
      </c>
      <c r="AR6" s="24">
        <f>AR4</f>
        <v>117525</v>
      </c>
      <c r="AY6" s="428"/>
      <c r="AZ6" s="428"/>
      <c r="BA6" s="428"/>
      <c r="BB6" s="428"/>
      <c r="BC6" s="428"/>
      <c r="BD6" s="428"/>
      <c r="BE6" s="428"/>
      <c r="BF6" s="428"/>
      <c r="BG6" s="428"/>
      <c r="BH6" s="428"/>
      <c r="BI6" s="428"/>
      <c r="BJ6" s="428"/>
    </row>
    <row r="7" spans="1:62" ht="20" outlineLevel="1" x14ac:dyDescent="0.2">
      <c r="A7" s="88" t="s">
        <v>0</v>
      </c>
      <c r="B7" s="477"/>
      <c r="C7" s="290"/>
      <c r="D7" s="290"/>
      <c r="E7" s="290"/>
      <c r="F7" s="290"/>
      <c r="G7" s="351"/>
      <c r="H7" s="301"/>
      <c r="I7" s="156"/>
      <c r="J7" s="156"/>
      <c r="K7" s="156"/>
      <c r="L7" s="156"/>
      <c r="M7" s="304"/>
      <c r="Z7" s="28"/>
      <c r="AE7" s="24"/>
      <c r="AL7" s="24"/>
      <c r="AM7" s="28"/>
      <c r="AR7" s="24"/>
      <c r="AY7" s="428"/>
      <c r="AZ7" s="428"/>
      <c r="BA7" s="428"/>
      <c r="BB7" s="428"/>
      <c r="BC7" s="428"/>
      <c r="BD7" s="428"/>
      <c r="BE7" s="428"/>
      <c r="BF7" s="428"/>
      <c r="BG7" s="428"/>
      <c r="BH7" s="428"/>
      <c r="BI7" s="428"/>
      <c r="BJ7" s="428"/>
    </row>
    <row r="8" spans="1:62" ht="20" outlineLevel="1" x14ac:dyDescent="0.2">
      <c r="A8" s="88" t="s">
        <v>56</v>
      </c>
      <c r="B8" s="476"/>
      <c r="G8" s="302"/>
      <c r="H8" s="301"/>
      <c r="Z8" s="28"/>
      <c r="AE8" s="24"/>
      <c r="AL8" s="24"/>
      <c r="AM8" s="28"/>
      <c r="AR8" s="24"/>
      <c r="AY8" s="428"/>
      <c r="AZ8" s="428"/>
      <c r="BA8" s="428"/>
      <c r="BB8" s="428"/>
      <c r="BC8" s="428"/>
      <c r="BD8" s="428"/>
      <c r="BE8" s="428"/>
      <c r="BF8" s="428"/>
      <c r="BG8" s="428"/>
      <c r="BH8" s="428"/>
      <c r="BI8" s="428"/>
      <c r="BJ8" s="428"/>
    </row>
    <row r="9" spans="1:62" ht="20" outlineLevel="1" x14ac:dyDescent="0.2">
      <c r="A9" s="88" t="s">
        <v>54</v>
      </c>
      <c r="B9" s="476"/>
      <c r="G9" s="302"/>
      <c r="H9" s="301"/>
      <c r="Z9" s="28"/>
      <c r="AE9" s="24"/>
      <c r="AL9" s="24"/>
      <c r="AM9" s="28"/>
      <c r="AR9" s="24"/>
      <c r="AY9" s="428"/>
      <c r="AZ9" s="428"/>
      <c r="BA9" s="428"/>
      <c r="BB9" s="428"/>
      <c r="BC9" s="428"/>
      <c r="BD9" s="428"/>
      <c r="BE9" s="428"/>
      <c r="BF9" s="428"/>
      <c r="BG9" s="428"/>
      <c r="BH9" s="428"/>
      <c r="BI9" s="428"/>
      <c r="BJ9" s="428"/>
    </row>
    <row r="10" spans="1:62" ht="20" outlineLevel="1" x14ac:dyDescent="0.2">
      <c r="A10" s="88" t="s">
        <v>38</v>
      </c>
      <c r="B10" s="476"/>
      <c r="G10" s="302"/>
      <c r="H10" s="301"/>
      <c r="Z10" s="28"/>
      <c r="AE10" s="24"/>
      <c r="AL10" s="24"/>
      <c r="AM10" s="28"/>
      <c r="AR10" s="24"/>
      <c r="AY10" s="428"/>
      <c r="AZ10" s="428"/>
      <c r="BA10" s="428"/>
      <c r="BB10" s="428"/>
      <c r="BC10" s="428"/>
      <c r="BD10" s="428"/>
      <c r="BE10" s="428"/>
      <c r="BF10" s="428"/>
      <c r="BG10" s="428"/>
      <c r="BH10" s="428"/>
      <c r="BI10" s="428"/>
      <c r="BJ10" s="428"/>
    </row>
    <row r="11" spans="1:62" ht="20" outlineLevel="1" x14ac:dyDescent="0.2">
      <c r="A11" s="88" t="s">
        <v>126</v>
      </c>
      <c r="B11" s="477"/>
      <c r="C11" s="290"/>
      <c r="D11" s="290"/>
      <c r="E11" s="290"/>
      <c r="F11" s="290"/>
      <c r="G11" s="351"/>
      <c r="H11" s="301"/>
      <c r="I11" s="156"/>
      <c r="J11" s="156"/>
      <c r="K11" s="156"/>
      <c r="L11" s="156"/>
      <c r="M11" s="304"/>
      <c r="Z11" s="28"/>
      <c r="AE11" s="24"/>
      <c r="AL11" s="24"/>
      <c r="AM11" s="28"/>
      <c r="AR11" s="24"/>
      <c r="AY11" s="428"/>
      <c r="AZ11" s="428"/>
      <c r="BA11" s="428"/>
      <c r="BB11" s="428"/>
      <c r="BC11" s="428"/>
      <c r="BD11" s="428"/>
      <c r="BE11" s="428"/>
      <c r="BF11" s="428"/>
      <c r="BG11" s="428"/>
      <c r="BH11" s="428"/>
      <c r="BI11" s="428"/>
      <c r="BJ11" s="428"/>
    </row>
    <row r="12" spans="1:62" ht="20" x14ac:dyDescent="0.2">
      <c r="A12" s="354" t="s">
        <v>339</v>
      </c>
      <c r="B12" s="477">
        <f>C12/C6</f>
        <v>0.2</v>
      </c>
      <c r="C12" s="290">
        <f>C6-C13</f>
        <v>12640</v>
      </c>
      <c r="D12" s="290">
        <f t="shared" ref="D12:F12" si="7">D6-D13</f>
        <v>5280</v>
      </c>
      <c r="E12" s="290">
        <f t="shared" si="7"/>
        <v>291.20000000000005</v>
      </c>
      <c r="F12" s="290">
        <f t="shared" si="7"/>
        <v>592.79999999999973</v>
      </c>
      <c r="G12" s="478">
        <f>SUM(C12:F12)</f>
        <v>18804</v>
      </c>
      <c r="H12" s="477">
        <f>I12/I6</f>
        <v>0.2</v>
      </c>
      <c r="I12" s="290">
        <f>I6-I13</f>
        <v>12640</v>
      </c>
      <c r="J12" s="290">
        <f t="shared" ref="J12" si="8">J6-J13</f>
        <v>5280</v>
      </c>
      <c r="K12" s="290">
        <f t="shared" ref="K12" si="9">K6-K13</f>
        <v>291.20000000000005</v>
      </c>
      <c r="L12" s="290">
        <f t="shared" ref="L12" si="10">L6-L13</f>
        <v>592.79999999999973</v>
      </c>
      <c r="M12" s="478">
        <f>SUM(I12:L12)</f>
        <v>18804</v>
      </c>
      <c r="N12" s="1" t="s">
        <v>1</v>
      </c>
      <c r="O12" s="1" t="s">
        <v>1</v>
      </c>
      <c r="P12" s="1" t="s">
        <v>1</v>
      </c>
      <c r="Q12" s="1" t="s">
        <v>1</v>
      </c>
      <c r="R12" s="1" t="s">
        <v>1</v>
      </c>
      <c r="S12" s="1" t="s">
        <v>1</v>
      </c>
      <c r="Z12" s="158">
        <f>H12</f>
        <v>0.2</v>
      </c>
      <c r="AA12" s="290">
        <f>AA6-AA13</f>
        <v>1427.332044164431</v>
      </c>
      <c r="AB12" s="290">
        <f t="shared" ref="AB12:AD12" si="11">AB6-AB13</f>
        <v>920.1127819548874</v>
      </c>
      <c r="AC12" s="290">
        <f t="shared" si="11"/>
        <v>40.802277856870006</v>
      </c>
      <c r="AD12" s="290">
        <f t="shared" si="11"/>
        <v>83.061779922913956</v>
      </c>
      <c r="AE12" s="709">
        <f>SUM(AA12:AD12)</f>
        <v>2471.3088838991025</v>
      </c>
      <c r="AF12" s="351">
        <f>Y12+AE12</f>
        <v>2471.3088838991025</v>
      </c>
      <c r="AL12" s="24"/>
      <c r="AM12" s="28"/>
      <c r="AR12" s="24"/>
      <c r="AY12" s="428"/>
      <c r="AZ12" s="428"/>
      <c r="BA12" s="428"/>
      <c r="BB12" s="428"/>
      <c r="BC12" s="428"/>
      <c r="BD12" s="428"/>
      <c r="BE12" s="428"/>
      <c r="BF12" s="428"/>
      <c r="BG12" s="428"/>
      <c r="BH12" s="428"/>
      <c r="BI12" s="428"/>
      <c r="BJ12" s="428"/>
    </row>
    <row r="13" spans="1:62" ht="20" x14ac:dyDescent="0.2">
      <c r="A13" s="129" t="s">
        <v>302</v>
      </c>
      <c r="B13" s="305">
        <v>0.8</v>
      </c>
      <c r="C13" s="156">
        <f>$C$6*B13</f>
        <v>50560</v>
      </c>
      <c r="D13" s="156">
        <f>$D$6*B13</f>
        <v>21120</v>
      </c>
      <c r="E13" s="156">
        <f>$E$6*B13</f>
        <v>1164.8000000000002</v>
      </c>
      <c r="F13" s="156">
        <f>$F$6*B13</f>
        <v>2371.2000000000003</v>
      </c>
      <c r="G13" s="306">
        <f>SUM(C13:F13)</f>
        <v>75216</v>
      </c>
      <c r="H13" s="305">
        <f>B13</f>
        <v>0.8</v>
      </c>
      <c r="I13" s="156">
        <f>$I$6*H13</f>
        <v>50560</v>
      </c>
      <c r="J13" s="156">
        <f>$J$6*H13</f>
        <v>21120</v>
      </c>
      <c r="K13" s="156">
        <f>$K$6*H13</f>
        <v>1164.8000000000002</v>
      </c>
      <c r="L13" s="156">
        <f>$L$6*H13</f>
        <v>2371.2000000000003</v>
      </c>
      <c r="M13" s="306">
        <f>SUM(I13:L13)</f>
        <v>75216</v>
      </c>
      <c r="N13" s="88" t="s">
        <v>1</v>
      </c>
      <c r="O13" s="1" t="s">
        <v>1</v>
      </c>
      <c r="P13" s="1" t="s">
        <v>1</v>
      </c>
      <c r="Q13" s="1" t="s">
        <v>1</v>
      </c>
      <c r="R13" s="1" t="s">
        <v>1</v>
      </c>
      <c r="S13" s="1" t="s">
        <v>1</v>
      </c>
      <c r="T13" s="347"/>
      <c r="U13" s="156"/>
      <c r="V13" s="156"/>
      <c r="W13" s="156"/>
      <c r="X13" s="156"/>
      <c r="Y13" s="156"/>
      <c r="Z13" s="158">
        <f t="shared" ref="Z13:Z17" si="12">H13</f>
        <v>0.8</v>
      </c>
      <c r="AA13" s="156">
        <f>$AA$6*Z13</f>
        <v>5709.3281766577256</v>
      </c>
      <c r="AB13" s="156">
        <f>$AB$6*Z13</f>
        <v>3680.4511278195496</v>
      </c>
      <c r="AC13" s="156">
        <f>$AC$6*Z13</f>
        <v>163.20911142748011</v>
      </c>
      <c r="AD13" s="156">
        <f>$AD$6*Z13</f>
        <v>332.24711969165605</v>
      </c>
      <c r="AE13" s="708">
        <f>SUM(AA13:AD13)</f>
        <v>9885.2355355964119</v>
      </c>
      <c r="AF13" s="306">
        <f t="shared" ref="AF13:AF20" si="13">Y13+AE13</f>
        <v>9885.2355355964119</v>
      </c>
      <c r="AL13" s="24"/>
      <c r="AM13" s="28"/>
      <c r="AR13" s="24"/>
      <c r="AY13" s="428"/>
      <c r="AZ13" s="428"/>
      <c r="BA13" s="428"/>
      <c r="BB13" s="428"/>
      <c r="BC13" s="428"/>
      <c r="BD13" s="428"/>
      <c r="BE13" s="428"/>
      <c r="BF13" s="428"/>
      <c r="BG13" s="428"/>
      <c r="BH13" s="428"/>
      <c r="BI13" s="428"/>
      <c r="BJ13" s="428"/>
    </row>
    <row r="14" spans="1:62" ht="20" x14ac:dyDescent="0.2">
      <c r="A14" s="129" t="s">
        <v>173</v>
      </c>
      <c r="B14" s="301">
        <f>B13</f>
        <v>0.8</v>
      </c>
      <c r="C14" s="156">
        <f>$C$13*B14</f>
        <v>40448</v>
      </c>
      <c r="D14" s="156">
        <f>$D$13*B14</f>
        <v>16896</v>
      </c>
      <c r="E14" s="156">
        <f>$E$13*B14</f>
        <v>931.84000000000015</v>
      </c>
      <c r="F14" s="156">
        <f>$F$13*B14</f>
        <v>1896.9600000000003</v>
      </c>
      <c r="G14" s="306">
        <f t="shared" ref="G14:G27" si="14">SUM(C14:F14)</f>
        <v>60172.799999999996</v>
      </c>
      <c r="H14" s="301">
        <f t="shared" ref="H14:H17" si="15">B14</f>
        <v>0.8</v>
      </c>
      <c r="I14" s="156">
        <f t="shared" ref="I14:I17" si="16">$I$6*H14</f>
        <v>50560</v>
      </c>
      <c r="J14" s="156">
        <f t="shared" ref="J14:J17" si="17">$J$6*H14</f>
        <v>21120</v>
      </c>
      <c r="K14" s="156">
        <f t="shared" ref="K14:K17" si="18">$K$6*H14</f>
        <v>1164.8000000000002</v>
      </c>
      <c r="L14" s="156">
        <f t="shared" ref="L14:L17" si="19">$L$6*H14</f>
        <v>2371.2000000000003</v>
      </c>
      <c r="M14" s="306">
        <f t="shared" ref="M14:M20" si="20">SUM(I14:L14)</f>
        <v>75216</v>
      </c>
      <c r="N14" s="88" t="s">
        <v>1</v>
      </c>
      <c r="O14" s="1" t="s">
        <v>1</v>
      </c>
      <c r="P14" s="1" t="s">
        <v>1</v>
      </c>
      <c r="Q14" s="1" t="s">
        <v>1</v>
      </c>
      <c r="R14" s="1" t="s">
        <v>1</v>
      </c>
      <c r="S14" s="1" t="s">
        <v>1</v>
      </c>
      <c r="T14" s="347"/>
      <c r="U14" s="156"/>
      <c r="V14" s="156"/>
      <c r="W14" s="156"/>
      <c r="X14" s="156"/>
      <c r="Y14" s="156"/>
      <c r="Z14" s="158">
        <f t="shared" si="12"/>
        <v>0.8</v>
      </c>
      <c r="AA14" s="156">
        <f>$AA$6*Z14</f>
        <v>5709.3281766577256</v>
      </c>
      <c r="AB14" s="156">
        <f>$AB$6*Z14</f>
        <v>3680.4511278195496</v>
      </c>
      <c r="AC14" s="156">
        <f>$AC$6*Z14</f>
        <v>163.20911142748011</v>
      </c>
      <c r="AD14" s="156">
        <f>$AD$6*Z14</f>
        <v>332.24711969165605</v>
      </c>
      <c r="AE14" s="708">
        <f t="shared" ref="AE14:AE20" si="21">SUM(AA14:AD14)</f>
        <v>9885.2355355964119</v>
      </c>
      <c r="AF14" s="306">
        <f t="shared" si="13"/>
        <v>9885.2355355964119</v>
      </c>
      <c r="AL14" s="24"/>
      <c r="AM14" s="28"/>
      <c r="AR14" s="24"/>
      <c r="AY14" s="428"/>
      <c r="AZ14" s="428"/>
      <c r="BA14" s="428"/>
      <c r="BB14" s="428"/>
      <c r="BC14" s="428"/>
      <c r="BD14" s="428"/>
      <c r="BE14" s="428"/>
      <c r="BF14" s="428"/>
      <c r="BG14" s="428"/>
      <c r="BH14" s="428"/>
      <c r="BI14" s="428"/>
      <c r="BJ14" s="428"/>
    </row>
    <row r="15" spans="1:62" ht="20" x14ac:dyDescent="0.2">
      <c r="A15" s="129" t="s">
        <v>213</v>
      </c>
      <c r="B15" s="301">
        <f>'Воронка MPS_обработано'!J10</f>
        <v>0.4</v>
      </c>
      <c r="C15" s="156">
        <f t="shared" ref="C15:C17" si="22">$C$13*B15</f>
        <v>20224</v>
      </c>
      <c r="D15" s="156">
        <f t="shared" ref="D15:D17" si="23">$D$13*B15</f>
        <v>8448</v>
      </c>
      <c r="E15" s="156">
        <f t="shared" ref="E15:E17" si="24">$E$13*B15</f>
        <v>465.92000000000007</v>
      </c>
      <c r="F15" s="156">
        <f t="shared" ref="F15:F17" si="25">$F$13*B15</f>
        <v>948.48000000000013</v>
      </c>
      <c r="G15" s="306">
        <f t="shared" si="14"/>
        <v>30086.399999999998</v>
      </c>
      <c r="H15" s="301">
        <f t="shared" si="15"/>
        <v>0.4</v>
      </c>
      <c r="I15" s="156">
        <f t="shared" si="16"/>
        <v>25280</v>
      </c>
      <c r="J15" s="156">
        <f t="shared" si="17"/>
        <v>10560</v>
      </c>
      <c r="K15" s="156">
        <f t="shared" si="18"/>
        <v>582.40000000000009</v>
      </c>
      <c r="L15" s="156">
        <f t="shared" si="19"/>
        <v>1185.6000000000001</v>
      </c>
      <c r="M15" s="306">
        <f t="shared" si="20"/>
        <v>37608</v>
      </c>
      <c r="N15" s="88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1" t="s">
        <v>1</v>
      </c>
      <c r="T15" s="347"/>
      <c r="U15" s="156"/>
      <c r="V15" s="156"/>
      <c r="W15" s="156"/>
      <c r="X15" s="156"/>
      <c r="Y15" s="156"/>
      <c r="Z15" s="158">
        <f t="shared" si="12"/>
        <v>0.4</v>
      </c>
      <c r="AA15" s="156">
        <f>$AA$6*Z15</f>
        <v>2854.6640883288628</v>
      </c>
      <c r="AB15" s="156">
        <f>$AB$6*Z15</f>
        <v>1840.2255639097748</v>
      </c>
      <c r="AC15" s="156">
        <f>$AC$6*Z15</f>
        <v>81.604555713740055</v>
      </c>
      <c r="AD15" s="156">
        <f>$AD$6*Z15</f>
        <v>166.12355984582803</v>
      </c>
      <c r="AE15" s="708">
        <f t="shared" si="21"/>
        <v>4942.6177677982059</v>
      </c>
      <c r="AF15" s="306">
        <f t="shared" si="13"/>
        <v>4942.6177677982059</v>
      </c>
      <c r="AL15" s="24"/>
      <c r="AM15" s="28"/>
      <c r="AR15" s="24"/>
      <c r="AY15" s="428"/>
      <c r="AZ15" s="428"/>
      <c r="BA15" s="428"/>
      <c r="BB15" s="428"/>
      <c r="BC15" s="428"/>
      <c r="BD15" s="428"/>
      <c r="BE15" s="428"/>
      <c r="BF15" s="428"/>
      <c r="BG15" s="428"/>
      <c r="BH15" s="428"/>
      <c r="BI15" s="428"/>
      <c r="BJ15" s="428"/>
    </row>
    <row r="16" spans="1:62" ht="20" x14ac:dyDescent="0.2">
      <c r="A16" s="129" t="s">
        <v>214</v>
      </c>
      <c r="B16" s="333">
        <f>'Воронка MPS_обработано'!J11</f>
        <v>0.29799999999999999</v>
      </c>
      <c r="C16" s="156">
        <f t="shared" si="22"/>
        <v>15066.88</v>
      </c>
      <c r="D16" s="156">
        <f t="shared" si="23"/>
        <v>6293.7599999999993</v>
      </c>
      <c r="E16" s="156">
        <f t="shared" si="24"/>
        <v>347.11040000000003</v>
      </c>
      <c r="F16" s="156">
        <f t="shared" si="25"/>
        <v>706.61760000000004</v>
      </c>
      <c r="G16" s="306">
        <f t="shared" si="14"/>
        <v>22414.368000000002</v>
      </c>
      <c r="H16" s="301">
        <f t="shared" si="15"/>
        <v>0.29799999999999999</v>
      </c>
      <c r="I16" s="156">
        <f t="shared" si="16"/>
        <v>18833.599999999999</v>
      </c>
      <c r="J16" s="156">
        <f t="shared" si="17"/>
        <v>7867.2</v>
      </c>
      <c r="K16" s="156">
        <f t="shared" si="18"/>
        <v>433.88800000000003</v>
      </c>
      <c r="L16" s="156">
        <f t="shared" si="19"/>
        <v>883.27199999999993</v>
      </c>
      <c r="M16" s="306">
        <f t="shared" si="20"/>
        <v>28017.96</v>
      </c>
      <c r="N16" s="88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347"/>
      <c r="U16" s="156"/>
      <c r="V16" s="156"/>
      <c r="W16" s="156"/>
      <c r="X16" s="156"/>
      <c r="Y16" s="156"/>
      <c r="Z16" s="158">
        <f t="shared" si="12"/>
        <v>0.29799999999999999</v>
      </c>
      <c r="AA16" s="156">
        <f>$AA$6*Z16</f>
        <v>2126.7247458050024</v>
      </c>
      <c r="AB16" s="156">
        <f>$AB$6*Z16</f>
        <v>1370.9680451127822</v>
      </c>
      <c r="AC16" s="156">
        <f>$AC$6*Z16</f>
        <v>60.795394006736331</v>
      </c>
      <c r="AD16" s="156">
        <f>$AD$6*Z16</f>
        <v>123.76205208514186</v>
      </c>
      <c r="AE16" s="708">
        <f t="shared" si="21"/>
        <v>3682.2502370096631</v>
      </c>
      <c r="AF16" s="306">
        <f t="shared" si="13"/>
        <v>3682.2502370096631</v>
      </c>
      <c r="AL16" s="24"/>
      <c r="AM16" s="28"/>
      <c r="AR16" s="24"/>
      <c r="AY16" s="428"/>
      <c r="AZ16" s="428"/>
      <c r="BA16" s="428"/>
      <c r="BB16" s="428"/>
      <c r="BC16" s="428"/>
      <c r="BD16" s="428"/>
      <c r="BE16" s="428"/>
      <c r="BF16" s="428"/>
      <c r="BG16" s="428"/>
      <c r="BH16" s="428"/>
      <c r="BI16" s="428"/>
      <c r="BJ16" s="428"/>
    </row>
    <row r="17" spans="1:62" ht="20" x14ac:dyDescent="0.2">
      <c r="A17" s="129" t="s">
        <v>215</v>
      </c>
      <c r="B17" s="333">
        <f>'Воронка MPS_обработано'!J12</f>
        <v>0.45500000000000002</v>
      </c>
      <c r="C17" s="156">
        <f t="shared" si="22"/>
        <v>23004.799999999999</v>
      </c>
      <c r="D17" s="156">
        <f t="shared" si="23"/>
        <v>9609.6</v>
      </c>
      <c r="E17" s="156">
        <f t="shared" si="24"/>
        <v>529.98400000000015</v>
      </c>
      <c r="F17" s="156">
        <f t="shared" si="25"/>
        <v>1078.8960000000002</v>
      </c>
      <c r="G17" s="306">
        <f t="shared" si="14"/>
        <v>34223.279999999999</v>
      </c>
      <c r="H17" s="301">
        <f t="shared" si="15"/>
        <v>0.45500000000000002</v>
      </c>
      <c r="I17" s="156">
        <f t="shared" si="16"/>
        <v>28756</v>
      </c>
      <c r="J17" s="156">
        <f t="shared" si="17"/>
        <v>12012</v>
      </c>
      <c r="K17" s="156">
        <f t="shared" si="18"/>
        <v>662.48000000000013</v>
      </c>
      <c r="L17" s="156">
        <f t="shared" si="19"/>
        <v>1348.6200000000001</v>
      </c>
      <c r="M17" s="306">
        <f t="shared" si="20"/>
        <v>42779.100000000006</v>
      </c>
      <c r="N17" s="88" t="s">
        <v>1</v>
      </c>
      <c r="O17" s="1" t="s">
        <v>1</v>
      </c>
      <c r="P17" s="1" t="s">
        <v>1</v>
      </c>
      <c r="Q17" s="1" t="s">
        <v>1</v>
      </c>
      <c r="R17" s="1" t="s">
        <v>1</v>
      </c>
      <c r="S17" s="1" t="s">
        <v>1</v>
      </c>
      <c r="T17" s="347"/>
      <c r="U17" s="156"/>
      <c r="V17" s="156"/>
      <c r="W17" s="156"/>
      <c r="X17" s="156"/>
      <c r="Y17" s="156"/>
      <c r="Z17" s="158">
        <f t="shared" si="12"/>
        <v>0.45500000000000002</v>
      </c>
      <c r="AA17" s="156">
        <f>$AA$6*Z17</f>
        <v>3247.1804004740816</v>
      </c>
      <c r="AB17" s="156">
        <f>$AB$6*Z17</f>
        <v>2093.2565789473688</v>
      </c>
      <c r="AC17" s="156">
        <f>$AC$6*Z17</f>
        <v>92.82518212437931</v>
      </c>
      <c r="AD17" s="156">
        <f>$AD$6*Z17</f>
        <v>188.96554932462936</v>
      </c>
      <c r="AE17" s="708">
        <f t="shared" si="21"/>
        <v>5622.2277108704593</v>
      </c>
      <c r="AF17" s="306">
        <f t="shared" si="13"/>
        <v>5622.2277108704593</v>
      </c>
      <c r="AL17" s="24"/>
      <c r="AM17" s="28"/>
      <c r="AR17" s="24"/>
      <c r="AY17" s="428"/>
      <c r="AZ17" s="428"/>
      <c r="BA17" s="428"/>
      <c r="BB17" s="428"/>
      <c r="BC17" s="428"/>
      <c r="BD17" s="428"/>
      <c r="BE17" s="428"/>
      <c r="BF17" s="428"/>
      <c r="BG17" s="428"/>
      <c r="BH17" s="428"/>
      <c r="BI17" s="428"/>
      <c r="BJ17" s="428"/>
    </row>
    <row r="18" spans="1:62" ht="20" x14ac:dyDescent="0.2">
      <c r="A18" s="421" t="s">
        <v>340</v>
      </c>
      <c r="B18" s="627">
        <f>'Воронка MPS_обработано'!J14</f>
        <v>8.5384615384615392E-2</v>
      </c>
      <c r="C18" s="156">
        <f>$C$13*B18</f>
        <v>4317.0461538461541</v>
      </c>
      <c r="D18" s="156">
        <f>$D$13*B18</f>
        <v>1803.323076923077</v>
      </c>
      <c r="E18" s="156">
        <f>$E$13*B18</f>
        <v>99.456000000000017</v>
      </c>
      <c r="F18" s="156">
        <f>$F$13*B18</f>
        <v>202.46400000000003</v>
      </c>
      <c r="G18" s="306">
        <f t="shared" si="14"/>
        <v>6422.2892307692309</v>
      </c>
      <c r="H18" s="628">
        <f>B18*1.15</f>
        <v>9.819230769230769E-2</v>
      </c>
      <c r="I18" s="156">
        <f>I13*$H$18</f>
        <v>4964.6030769230765</v>
      </c>
      <c r="J18" s="156">
        <f t="shared" ref="J18:L18" si="26">J13*$H$18</f>
        <v>2073.8215384615382</v>
      </c>
      <c r="K18" s="156">
        <f t="shared" si="26"/>
        <v>114.37440000000001</v>
      </c>
      <c r="L18" s="156">
        <f t="shared" si="26"/>
        <v>232.83360000000002</v>
      </c>
      <c r="M18" s="306">
        <f t="shared" si="20"/>
        <v>7385.6326153846139</v>
      </c>
      <c r="N18" s="629">
        <f>'Воронка Селлер as is'!F11</f>
        <v>1.7475398710553106E-2</v>
      </c>
      <c r="O18" s="156">
        <f>$N$18*O6</f>
        <v>1104.4451985069563</v>
      </c>
      <c r="P18" s="156">
        <f t="shared" ref="P18:R18" si="27">$N$18*P6</f>
        <v>461.35052595860196</v>
      </c>
      <c r="Q18" s="156">
        <f t="shared" si="27"/>
        <v>25.444180522565325</v>
      </c>
      <c r="R18" s="156">
        <f t="shared" si="27"/>
        <v>51.797081778079402</v>
      </c>
      <c r="S18" s="284">
        <f>SUM(O18:R18)</f>
        <v>1643.0369867662032</v>
      </c>
      <c r="T18" s="333">
        <f>N18</f>
        <v>1.7475398710553106E-2</v>
      </c>
      <c r="U18" s="156">
        <f>$N$18*U6</f>
        <v>979.72921568634524</v>
      </c>
      <c r="V18" s="156">
        <f t="shared" ref="V18:X18" si="28">$N$18*V6</f>
        <v>380.95383734191267</v>
      </c>
      <c r="W18" s="156">
        <f t="shared" si="28"/>
        <v>21.879000153327446</v>
      </c>
      <c r="X18" s="156">
        <f t="shared" si="28"/>
        <v>44.539393169273723</v>
      </c>
      <c r="Y18" s="284">
        <f>SUM(U18:X18)</f>
        <v>1427.1014463508593</v>
      </c>
      <c r="Z18" s="158">
        <f>H18</f>
        <v>9.819230769230769E-2</v>
      </c>
      <c r="AA18" s="156">
        <f>AA13*$Z$18</f>
        <v>560.61210903873746</v>
      </c>
      <c r="AB18" s="156">
        <f>AB13*$Z$18</f>
        <v>361.39198958935805</v>
      </c>
      <c r="AC18" s="156">
        <f t="shared" ref="AC18:AD18" si="29">AC13*$Z$18</f>
        <v>16.025879287475259</v>
      </c>
      <c r="AD18" s="156">
        <f t="shared" si="29"/>
        <v>32.624111406646072</v>
      </c>
      <c r="AE18" s="708">
        <f t="shared" si="21"/>
        <v>970.65408932221692</v>
      </c>
      <c r="AF18" s="306">
        <f t="shared" si="13"/>
        <v>2397.7555356730763</v>
      </c>
      <c r="AL18" s="24"/>
      <c r="AM18" s="28"/>
      <c r="AR18" s="24"/>
      <c r="AY18" s="428"/>
      <c r="AZ18" s="428"/>
      <c r="BA18" s="428"/>
      <c r="BB18" s="428"/>
      <c r="BC18" s="428"/>
      <c r="BD18" s="428"/>
      <c r="BE18" s="428"/>
      <c r="BF18" s="428"/>
      <c r="BG18" s="428"/>
      <c r="BH18" s="428"/>
      <c r="BI18" s="428"/>
      <c r="BJ18" s="428"/>
    </row>
    <row r="19" spans="1:62" ht="20" x14ac:dyDescent="0.2">
      <c r="A19" s="421" t="s">
        <v>341</v>
      </c>
      <c r="B19" s="483">
        <f>N18</f>
        <v>1.7475398710553106E-2</v>
      </c>
      <c r="C19" s="156">
        <f>C12*$B$19</f>
        <v>220.88903970139125</v>
      </c>
      <c r="D19" s="156">
        <f t="shared" ref="D19:F19" si="30">D12*$B$19</f>
        <v>92.270105191720404</v>
      </c>
      <c r="E19" s="156">
        <f t="shared" si="30"/>
        <v>5.0888361045130655</v>
      </c>
      <c r="F19" s="156">
        <f t="shared" si="30"/>
        <v>10.359416355615876</v>
      </c>
      <c r="G19" s="306">
        <f t="shared" si="14"/>
        <v>328.60739735324057</v>
      </c>
      <c r="H19" s="483">
        <f>N18</f>
        <v>1.7475398710553106E-2</v>
      </c>
      <c r="I19" s="156">
        <f>I12*$H$19</f>
        <v>220.88903970139125</v>
      </c>
      <c r="J19" s="156">
        <f t="shared" ref="J19:L19" si="31">J12*$H$19</f>
        <v>92.270105191720404</v>
      </c>
      <c r="K19" s="156">
        <f t="shared" si="31"/>
        <v>5.0888361045130655</v>
      </c>
      <c r="L19" s="156">
        <f t="shared" si="31"/>
        <v>10.359416355615876</v>
      </c>
      <c r="M19" s="306">
        <f t="shared" si="20"/>
        <v>328.60739735324057</v>
      </c>
      <c r="N19" s="333"/>
      <c r="O19" s="156"/>
      <c r="P19" s="156"/>
      <c r="Q19" s="156"/>
      <c r="R19" s="156"/>
      <c r="S19" s="284"/>
      <c r="T19" s="347"/>
      <c r="U19" s="156"/>
      <c r="V19" s="156"/>
      <c r="W19" s="156"/>
      <c r="X19" s="156"/>
      <c r="Y19" s="156"/>
      <c r="Z19" s="158">
        <f>H19</f>
        <v>1.7475398710553106E-2</v>
      </c>
      <c r="AA19" s="156">
        <f>AA12*$Z$19</f>
        <v>24.943196564122225</v>
      </c>
      <c r="AB19" s="156">
        <f>AB12*$Z$19</f>
        <v>16.079337723337868</v>
      </c>
      <c r="AC19" s="156">
        <f t="shared" ref="AC19:AD19" si="32">AC12*$Z$19</f>
        <v>0.71303607384757561</v>
      </c>
      <c r="AD19" s="156">
        <f t="shared" si="32"/>
        <v>1.4515377217611365</v>
      </c>
      <c r="AE19" s="708">
        <f t="shared" si="21"/>
        <v>43.1871080830688</v>
      </c>
      <c r="AF19" s="306">
        <f t="shared" si="13"/>
        <v>43.1871080830688</v>
      </c>
      <c r="AL19" s="24"/>
      <c r="AM19" s="28"/>
      <c r="AR19" s="24"/>
      <c r="AY19" s="428"/>
      <c r="AZ19" s="428"/>
      <c r="BA19" s="428"/>
      <c r="BB19" s="428"/>
      <c r="BC19" s="428"/>
      <c r="BD19" s="428"/>
      <c r="BE19" s="428"/>
      <c r="BF19" s="428"/>
      <c r="BG19" s="428"/>
      <c r="BH19" s="428"/>
      <c r="BI19" s="428"/>
      <c r="BJ19" s="428"/>
    </row>
    <row r="20" spans="1:62" s="459" customFormat="1" ht="21" thickBot="1" x14ac:dyDescent="0.25">
      <c r="A20" s="458" t="s">
        <v>342</v>
      </c>
      <c r="B20" s="479"/>
      <c r="C20" s="368">
        <f>SUM(C18:C19)</f>
        <v>4537.9351935475452</v>
      </c>
      <c r="D20" s="368">
        <f t="shared" ref="D20:F20" si="33">SUM(D18:D19)</f>
        <v>1895.5931821147974</v>
      </c>
      <c r="E20" s="368">
        <f t="shared" si="33"/>
        <v>104.54483610451308</v>
      </c>
      <c r="F20" s="368">
        <f t="shared" si="33"/>
        <v>212.8234163556159</v>
      </c>
      <c r="G20" s="369">
        <f t="shared" si="14"/>
        <v>6750.8966281224721</v>
      </c>
      <c r="H20" s="479"/>
      <c r="I20" s="368">
        <f>SUM(I18:I19)</f>
        <v>5185.4921166244676</v>
      </c>
      <c r="J20" s="368">
        <f t="shared" ref="J20" si="34">SUM(J18:J19)</f>
        <v>2166.0916436532589</v>
      </c>
      <c r="K20" s="368">
        <f t="shared" ref="K20" si="35">SUM(K18:K19)</f>
        <v>119.46323610451307</v>
      </c>
      <c r="L20" s="368">
        <f t="shared" ref="L20" si="36">SUM(L18:L19)</f>
        <v>243.1930163556159</v>
      </c>
      <c r="M20" s="369">
        <f t="shared" si="20"/>
        <v>7714.240012737856</v>
      </c>
      <c r="N20" s="370"/>
      <c r="O20" s="368">
        <f>O18</f>
        <v>1104.4451985069563</v>
      </c>
      <c r="P20" s="368">
        <f t="shared" ref="P20:R20" si="37">P18</f>
        <v>461.35052595860196</v>
      </c>
      <c r="Q20" s="368">
        <f t="shared" si="37"/>
        <v>25.444180522565325</v>
      </c>
      <c r="R20" s="368">
        <f t="shared" si="37"/>
        <v>51.797081778079402</v>
      </c>
      <c r="S20" s="640">
        <f>SUM(O20:R20)</f>
        <v>1643.0369867662032</v>
      </c>
      <c r="T20" s="479"/>
      <c r="U20" s="368">
        <f>U18</f>
        <v>979.72921568634524</v>
      </c>
      <c r="V20" s="368">
        <f t="shared" ref="V20:X20" si="38">V18</f>
        <v>380.95383734191267</v>
      </c>
      <c r="W20" s="368">
        <f t="shared" si="38"/>
        <v>21.879000153327446</v>
      </c>
      <c r="X20" s="368">
        <f t="shared" si="38"/>
        <v>44.539393169273723</v>
      </c>
      <c r="Y20" s="640">
        <f>SUM(U20:X20)</f>
        <v>1427.1014463508593</v>
      </c>
      <c r="Z20" s="689"/>
      <c r="AA20" s="368">
        <f>SUM(AA18:AA19)</f>
        <v>585.55530560285968</v>
      </c>
      <c r="AB20" s="368">
        <f t="shared" ref="AB20:AD20" si="39">SUM(AB18:AB19)</f>
        <v>377.47132731269591</v>
      </c>
      <c r="AC20" s="368">
        <f t="shared" si="39"/>
        <v>16.738915361322835</v>
      </c>
      <c r="AD20" s="368">
        <f t="shared" si="39"/>
        <v>34.075649128407207</v>
      </c>
      <c r="AE20" s="710">
        <f t="shared" si="21"/>
        <v>1013.8411974052857</v>
      </c>
      <c r="AF20" s="369">
        <f t="shared" si="13"/>
        <v>2440.9426437561451</v>
      </c>
      <c r="AG20" s="89"/>
      <c r="AH20" s="89"/>
      <c r="AI20" s="89"/>
      <c r="AJ20" s="89"/>
      <c r="AK20" s="89"/>
      <c r="AL20" s="132"/>
      <c r="AM20" s="134"/>
      <c r="AN20" s="89"/>
      <c r="AO20" s="89"/>
      <c r="AP20" s="89"/>
      <c r="AQ20" s="89"/>
      <c r="AR20" s="132"/>
    </row>
    <row r="21" spans="1:62" ht="20" thickBot="1" x14ac:dyDescent="0.25">
      <c r="B21" s="483"/>
      <c r="C21" s="156"/>
      <c r="D21" s="156"/>
      <c r="E21" s="156"/>
      <c r="F21" s="156"/>
      <c r="G21" s="306"/>
      <c r="H21" s="301"/>
      <c r="I21" s="156"/>
      <c r="J21" s="156"/>
      <c r="K21" s="156"/>
      <c r="L21" s="156"/>
      <c r="M21" s="306"/>
      <c r="N21" s="474"/>
      <c r="O21" s="156"/>
      <c r="P21" s="156"/>
      <c r="Q21" s="156"/>
      <c r="R21" s="156"/>
      <c r="S21" s="284"/>
      <c r="T21" s="347"/>
      <c r="U21" s="156"/>
      <c r="V21" s="156"/>
      <c r="W21" s="156"/>
      <c r="X21" s="156"/>
      <c r="Y21" s="156"/>
      <c r="Z21" s="626"/>
      <c r="AA21" s="156"/>
      <c r="AB21" s="156"/>
      <c r="AC21" s="156"/>
      <c r="AD21" s="156"/>
      <c r="AE21" s="711"/>
      <c r="AF21" s="304"/>
      <c r="AY21" s="428"/>
      <c r="AZ21" s="428"/>
      <c r="BA21" s="428"/>
      <c r="BB21" s="428"/>
      <c r="BC21" s="428"/>
      <c r="BD21" s="428"/>
      <c r="BE21" s="428"/>
      <c r="BF21" s="428"/>
      <c r="BG21" s="428"/>
      <c r="BH21" s="428"/>
      <c r="BI21" s="428"/>
      <c r="BJ21" s="428"/>
    </row>
    <row r="22" spans="1:62" s="487" customFormat="1" ht="21" customHeight="1" x14ac:dyDescent="0.2">
      <c r="A22" s="485" t="s">
        <v>345</v>
      </c>
      <c r="B22" s="480"/>
      <c r="C22" s="481">
        <f>SUM(C23:C27)</f>
        <v>94980336.687484041</v>
      </c>
      <c r="D22" s="481">
        <f t="shared" ref="D22:F22" si="40">SUM(D23:D27)</f>
        <v>40428564.380383775</v>
      </c>
      <c r="E22" s="481">
        <f t="shared" si="40"/>
        <v>2206572.1799695194</v>
      </c>
      <c r="F22" s="481">
        <f t="shared" si="40"/>
        <v>4491950.5092236642</v>
      </c>
      <c r="G22" s="482">
        <f t="shared" si="14"/>
        <v>142107423.757061</v>
      </c>
      <c r="H22" s="488"/>
      <c r="I22" s="481">
        <f>SUM(I23:I27)</f>
        <v>129922404.06714828</v>
      </c>
      <c r="J22" s="481">
        <f t="shared" ref="J22" si="41">SUM(J23:J27)</f>
        <v>55146735.406278856</v>
      </c>
      <c r="K22" s="481">
        <f t="shared" ref="K22" si="42">SUM(K23:K27)</f>
        <v>3014552.5834345901</v>
      </c>
      <c r="L22" s="481">
        <f t="shared" ref="L22" si="43">SUM(L23:L27)</f>
        <v>6136767.7591347015</v>
      </c>
      <c r="M22" s="482">
        <f t="shared" ref="M22:M28" si="44">SUM(I22:L22)</f>
        <v>194220459.81599644</v>
      </c>
      <c r="N22" s="489"/>
      <c r="O22" s="481">
        <f>SUM(O23:O27)</f>
        <v>27671852.95498044</v>
      </c>
      <c r="P22" s="481">
        <f t="shared" ref="P22" si="45">SUM(P23:P27)</f>
        <v>11745567.395143542</v>
      </c>
      <c r="Q22" s="481">
        <f t="shared" ref="Q22" si="46">SUM(Q23:Q27)</f>
        <v>642062.13249213761</v>
      </c>
      <c r="R22" s="481">
        <f t="shared" ref="R22" si="47">SUM(R23:R27)</f>
        <v>1307055.0554304225</v>
      </c>
      <c r="S22" s="649">
        <f t="shared" ref="S22:S28" si="48">SUM(O22:R22)</f>
        <v>41366537.538046546</v>
      </c>
      <c r="T22" s="572"/>
      <c r="U22" s="481">
        <f>SUM(U23:U27)</f>
        <v>24099461.439501014</v>
      </c>
      <c r="V22" s="481">
        <f t="shared" ref="V22:X22" si="49">SUM(V23:V27)</f>
        <v>9370734.4501509089</v>
      </c>
      <c r="W22" s="481">
        <f t="shared" si="49"/>
        <v>538181.48125813855</v>
      </c>
      <c r="X22" s="481">
        <f t="shared" si="49"/>
        <v>1095583.7297040676</v>
      </c>
      <c r="Y22" s="649">
        <f t="shared" ref="Y22:Y32" si="50">SUM(U22:X22)</f>
        <v>35103961.10061413</v>
      </c>
      <c r="Z22" s="712"/>
      <c r="AA22" s="481">
        <f>SUM(AA23:AA27)</f>
        <v>16772772.488899596</v>
      </c>
      <c r="AB22" s="481">
        <f t="shared" ref="AB22:AD22" si="51">SUM(AB23:AB27)</f>
        <v>11150102.812893722</v>
      </c>
      <c r="AC22" s="481">
        <f t="shared" si="51"/>
        <v>487731.12398145406</v>
      </c>
      <c r="AD22" s="481">
        <f t="shared" si="51"/>
        <v>992881.21667653171</v>
      </c>
      <c r="AE22" s="713">
        <f t="shared" ref="AE22:AE29" si="52">SUM(AA22:AD22)</f>
        <v>29403487.642451305</v>
      </c>
      <c r="AF22" s="482">
        <f>AE22+Y22</f>
        <v>64507448.743065432</v>
      </c>
      <c r="AG22" s="486"/>
      <c r="AH22" s="486"/>
      <c r="AI22" s="486"/>
      <c r="AJ22" s="486"/>
      <c r="AK22" s="486"/>
      <c r="AL22" s="486"/>
      <c r="AM22" s="486"/>
      <c r="AN22" s="486"/>
      <c r="AO22" s="486"/>
      <c r="AP22" s="486"/>
      <c r="AQ22" s="486"/>
      <c r="AR22" s="486"/>
    </row>
    <row r="23" spans="1:62" hidden="1" outlineLevel="1" x14ac:dyDescent="0.2">
      <c r="A23" s="441" t="s">
        <v>330</v>
      </c>
      <c r="B23" s="483"/>
      <c r="C23" s="171">
        <f t="shared" ref="C23:F27" si="53">C$20*C42*C52</f>
        <v>27425.301916122386</v>
      </c>
      <c r="D23" s="171">
        <f t="shared" si="53"/>
        <v>180825.90115807255</v>
      </c>
      <c r="E23" s="171">
        <f t="shared" si="53"/>
        <v>4773.1434376144143</v>
      </c>
      <c r="F23" s="171">
        <f t="shared" si="53"/>
        <v>9716.7562837150563</v>
      </c>
      <c r="G23" s="411">
        <f t="shared" si="14"/>
        <v>222741.10279552438</v>
      </c>
      <c r="H23" s="301"/>
      <c r="I23" s="171">
        <f t="shared" ref="I23:L27" si="54">I$20*I42*I52</f>
        <v>34421.363839836384</v>
      </c>
      <c r="J23" s="171">
        <f t="shared" si="54"/>
        <v>226953.71429144673</v>
      </c>
      <c r="K23" s="171">
        <f t="shared" si="54"/>
        <v>5990.7492514883834</v>
      </c>
      <c r="L23" s="171">
        <f t="shared" si="54"/>
        <v>12195.453833387068</v>
      </c>
      <c r="M23" s="411">
        <f t="shared" si="44"/>
        <v>279561.28121615853</v>
      </c>
      <c r="N23" s="474"/>
      <c r="O23" s="171">
        <f t="shared" ref="O23:R27" si="55">O$20*O42*O52</f>
        <v>7331.3215339946128</v>
      </c>
      <c r="P23" s="171">
        <f t="shared" si="55"/>
        <v>48338.312814883888</v>
      </c>
      <c r="Q23" s="171">
        <f t="shared" si="55"/>
        <v>1275.9549330049922</v>
      </c>
      <c r="R23" s="171">
        <f t="shared" si="55"/>
        <v>2597.4796850458765</v>
      </c>
      <c r="S23" s="696">
        <f t="shared" si="48"/>
        <v>59543.068966929364</v>
      </c>
      <c r="T23" s="347"/>
      <c r="U23" s="171">
        <f t="shared" ref="U23:X23" si="56">U$20*U42*U52</f>
        <v>0</v>
      </c>
      <c r="V23" s="171">
        <f t="shared" si="56"/>
        <v>0</v>
      </c>
      <c r="W23" s="171">
        <f t="shared" si="56"/>
        <v>0</v>
      </c>
      <c r="X23" s="171">
        <f t="shared" si="56"/>
        <v>0</v>
      </c>
      <c r="Y23" s="696">
        <f t="shared" si="50"/>
        <v>0</v>
      </c>
      <c r="Z23" s="626"/>
      <c r="AA23" s="171">
        <f t="shared" ref="AA23:AD23" si="57">AA$20*AA42*AA52</f>
        <v>34421.363839836391</v>
      </c>
      <c r="AB23" s="171">
        <f t="shared" si="57"/>
        <v>226953.71429144675</v>
      </c>
      <c r="AC23" s="171">
        <f t="shared" si="57"/>
        <v>5990.7492514883825</v>
      </c>
      <c r="AD23" s="171">
        <f t="shared" si="57"/>
        <v>12195.453833387068</v>
      </c>
      <c r="AE23" s="714">
        <f t="shared" si="52"/>
        <v>279561.28121615859</v>
      </c>
      <c r="AF23" s="411">
        <f>AE23+Y23</f>
        <v>279561.28121615859</v>
      </c>
      <c r="AY23" s="428"/>
      <c r="AZ23" s="428"/>
      <c r="BA23" s="428"/>
      <c r="BB23" s="428"/>
      <c r="BC23" s="428"/>
      <c r="BD23" s="428"/>
      <c r="BE23" s="428"/>
      <c r="BF23" s="428"/>
      <c r="BG23" s="428"/>
      <c r="BH23" s="428"/>
      <c r="BI23" s="428"/>
      <c r="BJ23" s="428"/>
    </row>
    <row r="24" spans="1:62" hidden="1" outlineLevel="1" x14ac:dyDescent="0.2">
      <c r="A24" s="441" t="s">
        <v>434</v>
      </c>
      <c r="B24" s="483"/>
      <c r="C24" s="171">
        <f t="shared" si="53"/>
        <v>1192283.4161050071</v>
      </c>
      <c r="D24" s="171">
        <f t="shared" si="53"/>
        <v>1362449.1371754475</v>
      </c>
      <c r="E24" s="171">
        <f t="shared" si="53"/>
        <v>48603.709365557123</v>
      </c>
      <c r="F24" s="171">
        <f t="shared" si="53"/>
        <v>98943.265494169842</v>
      </c>
      <c r="G24" s="411">
        <f t="shared" si="14"/>
        <v>2702279.5281401812</v>
      </c>
      <c r="H24" s="301"/>
      <c r="I24" s="171">
        <f t="shared" si="54"/>
        <v>1537839.5280028563</v>
      </c>
      <c r="J24" s="171">
        <f t="shared" si="54"/>
        <v>1757323.8960972496</v>
      </c>
      <c r="K24" s="171">
        <f t="shared" si="54"/>
        <v>62690.384232714539</v>
      </c>
      <c r="L24" s="171">
        <f t="shared" si="54"/>
        <v>127619.7107594546</v>
      </c>
      <c r="M24" s="411">
        <f t="shared" si="44"/>
        <v>3485473.5190922748</v>
      </c>
      <c r="N24" s="474"/>
      <c r="O24" s="171">
        <f t="shared" si="55"/>
        <v>327540.65469153255</v>
      </c>
      <c r="P24" s="171">
        <f t="shared" si="55"/>
        <v>374288.08985048957</v>
      </c>
      <c r="Q24" s="171">
        <f t="shared" si="55"/>
        <v>13352.270585158809</v>
      </c>
      <c r="R24" s="171">
        <f t="shared" si="55"/>
        <v>27181.407976930426</v>
      </c>
      <c r="S24" s="696">
        <f t="shared" si="48"/>
        <v>742362.42310411134</v>
      </c>
      <c r="T24" s="347"/>
      <c r="U24" s="171">
        <f t="shared" ref="U24:X24" si="58">U$20*U43*U53</f>
        <v>0</v>
      </c>
      <c r="V24" s="171">
        <f t="shared" si="58"/>
        <v>0</v>
      </c>
      <c r="W24" s="171">
        <f t="shared" si="58"/>
        <v>0</v>
      </c>
      <c r="X24" s="171">
        <f t="shared" si="58"/>
        <v>0</v>
      </c>
      <c r="Y24" s="696">
        <f t="shared" si="50"/>
        <v>0</v>
      </c>
      <c r="Z24" s="626"/>
      <c r="AA24" s="171">
        <f t="shared" ref="AA24:AD24" si="59">AA$20*AA43*AA53</f>
        <v>1537839.5280028565</v>
      </c>
      <c r="AB24" s="171">
        <f t="shared" si="59"/>
        <v>1757323.8960972496</v>
      </c>
      <c r="AC24" s="171">
        <f t="shared" si="59"/>
        <v>62690.384232714532</v>
      </c>
      <c r="AD24" s="171">
        <f t="shared" si="59"/>
        <v>127619.71075945461</v>
      </c>
      <c r="AE24" s="714">
        <f t="shared" si="52"/>
        <v>3485473.5190922748</v>
      </c>
      <c r="AF24" s="411">
        <f t="shared" ref="AF24:AF31" si="60">AE24+Y24</f>
        <v>3485473.5190922748</v>
      </c>
      <c r="AY24" s="428"/>
      <c r="AZ24" s="428"/>
      <c r="BA24" s="428"/>
      <c r="BB24" s="428"/>
      <c r="BC24" s="428"/>
      <c r="BD24" s="428"/>
      <c r="BE24" s="428"/>
      <c r="BF24" s="428"/>
      <c r="BG24" s="428"/>
      <c r="BH24" s="428"/>
      <c r="BI24" s="428"/>
      <c r="BJ24" s="428"/>
    </row>
    <row r="25" spans="1:62" hidden="1" outlineLevel="1" x14ac:dyDescent="0.2">
      <c r="A25" s="441" t="s">
        <v>66</v>
      </c>
      <c r="B25" s="483"/>
      <c r="C25" s="171">
        <f t="shared" si="53"/>
        <v>11336437.064465931</v>
      </c>
      <c r="D25" s="171">
        <f t="shared" si="53"/>
        <v>6835809.4323754478</v>
      </c>
      <c r="E25" s="171">
        <f t="shared" si="53"/>
        <v>312524.60246515163</v>
      </c>
      <c r="F25" s="171">
        <f t="shared" si="53"/>
        <v>636210.79787548725</v>
      </c>
      <c r="G25" s="411">
        <f t="shared" si="14"/>
        <v>19120981.897182018</v>
      </c>
      <c r="H25" s="301"/>
      <c r="I25" s="171">
        <f t="shared" si="54"/>
        <v>15200511.597056901</v>
      </c>
      <c r="J25" s="171">
        <f t="shared" si="54"/>
        <v>9165825.2025050279</v>
      </c>
      <c r="K25" s="171">
        <f t="shared" si="54"/>
        <v>419049.99049725122</v>
      </c>
      <c r="L25" s="171">
        <f t="shared" si="54"/>
        <v>853066.05208369007</v>
      </c>
      <c r="M25" s="411">
        <f t="shared" si="44"/>
        <v>25638452.842142869</v>
      </c>
      <c r="N25" s="474"/>
      <c r="O25" s="171">
        <f t="shared" si="55"/>
        <v>3237519.5392539045</v>
      </c>
      <c r="P25" s="171">
        <f t="shared" si="55"/>
        <v>1952206.5423272615</v>
      </c>
      <c r="Q25" s="171">
        <f t="shared" si="55"/>
        <v>89252.425715835285</v>
      </c>
      <c r="R25" s="171">
        <f t="shared" si="55"/>
        <v>181692.43806437892</v>
      </c>
      <c r="S25" s="696">
        <f t="shared" si="48"/>
        <v>5460670.9453613795</v>
      </c>
      <c r="T25" s="347"/>
      <c r="U25" s="171">
        <f t="shared" ref="U25:X25" si="61">U$20*U44*U54</f>
        <v>0</v>
      </c>
      <c r="V25" s="171">
        <f t="shared" si="61"/>
        <v>0</v>
      </c>
      <c r="W25" s="171">
        <f t="shared" si="61"/>
        <v>0</v>
      </c>
      <c r="X25" s="171">
        <f t="shared" si="61"/>
        <v>0</v>
      </c>
      <c r="Y25" s="696">
        <f t="shared" si="50"/>
        <v>0</v>
      </c>
      <c r="Z25" s="626"/>
      <c r="AA25" s="171">
        <f t="shared" ref="AA25:AD25" si="62">AA$20*AA44*AA54</f>
        <v>15200511.597056903</v>
      </c>
      <c r="AB25" s="171">
        <f t="shared" si="62"/>
        <v>9165825.202505026</v>
      </c>
      <c r="AC25" s="171">
        <f t="shared" si="62"/>
        <v>419049.99049725116</v>
      </c>
      <c r="AD25" s="171">
        <f t="shared" si="62"/>
        <v>853066.05208369007</v>
      </c>
      <c r="AE25" s="714">
        <f t="shared" si="52"/>
        <v>25638452.842142869</v>
      </c>
      <c r="AF25" s="411">
        <f t="shared" si="60"/>
        <v>25638452.842142869</v>
      </c>
      <c r="AY25" s="428"/>
      <c r="AZ25" s="428"/>
      <c r="BA25" s="428"/>
      <c r="BB25" s="428"/>
      <c r="BC25" s="428"/>
      <c r="BD25" s="428"/>
      <c r="BE25" s="428"/>
      <c r="BF25" s="428"/>
      <c r="BG25" s="428"/>
      <c r="BH25" s="428"/>
      <c r="BI25" s="428"/>
      <c r="BJ25" s="428"/>
    </row>
    <row r="26" spans="1:62" hidden="1" outlineLevel="1" x14ac:dyDescent="0.2">
      <c r="A26" s="441" t="s">
        <v>67</v>
      </c>
      <c r="B26" s="483"/>
      <c r="C26" s="171">
        <f t="shared" si="53"/>
        <v>82424190.904996976</v>
      </c>
      <c r="D26" s="171">
        <f t="shared" si="53"/>
        <v>32049479.909674808</v>
      </c>
      <c r="E26" s="171">
        <f t="shared" si="53"/>
        <v>1840670.724701196</v>
      </c>
      <c r="F26" s="171">
        <f t="shared" si="53"/>
        <v>3747079.6895702919</v>
      </c>
      <c r="G26" s="411">
        <f t="shared" si="14"/>
        <v>120061421.22894327</v>
      </c>
      <c r="H26" s="301"/>
      <c r="I26" s="171">
        <f t="shared" si="54"/>
        <v>113149631.57824869</v>
      </c>
      <c r="J26" s="171">
        <f t="shared" si="54"/>
        <v>43996632.59338513</v>
      </c>
      <c r="K26" s="171">
        <f t="shared" si="54"/>
        <v>2526821.4594531362</v>
      </c>
      <c r="L26" s="171">
        <f t="shared" si="54"/>
        <v>5143886.5424581701</v>
      </c>
      <c r="M26" s="411">
        <f t="shared" si="44"/>
        <v>164816972.17354515</v>
      </c>
      <c r="N26" s="474"/>
      <c r="O26" s="171">
        <f t="shared" si="55"/>
        <v>24099461.43950101</v>
      </c>
      <c r="P26" s="171">
        <f t="shared" si="55"/>
        <v>9370734.450150907</v>
      </c>
      <c r="Q26" s="171">
        <f t="shared" si="55"/>
        <v>538181.48125813855</v>
      </c>
      <c r="R26" s="171">
        <f t="shared" si="55"/>
        <v>1095583.7297040673</v>
      </c>
      <c r="S26" s="696">
        <f t="shared" si="48"/>
        <v>35103961.100614123</v>
      </c>
      <c r="T26" s="347"/>
      <c r="U26" s="171">
        <f t="shared" ref="U26:X26" si="63">U$20*U45*U55</f>
        <v>24099461.439501014</v>
      </c>
      <c r="V26" s="171">
        <f t="shared" si="63"/>
        <v>9370734.4501509089</v>
      </c>
      <c r="W26" s="171">
        <f t="shared" si="63"/>
        <v>538181.48125813855</v>
      </c>
      <c r="X26" s="171">
        <f t="shared" si="63"/>
        <v>1095583.7297040676</v>
      </c>
      <c r="Y26" s="696">
        <f t="shared" si="50"/>
        <v>35103961.10061413</v>
      </c>
      <c r="Z26" s="626"/>
      <c r="AA26" s="171">
        <f t="shared" ref="AA26:AD26" si="64">AA$20*AA45*AA55</f>
        <v>0</v>
      </c>
      <c r="AB26" s="171">
        <f t="shared" si="64"/>
        <v>0</v>
      </c>
      <c r="AC26" s="171">
        <f t="shared" si="64"/>
        <v>0</v>
      </c>
      <c r="AD26" s="171">
        <f t="shared" si="64"/>
        <v>0</v>
      </c>
      <c r="AE26" s="714">
        <f t="shared" si="52"/>
        <v>0</v>
      </c>
      <c r="AF26" s="411">
        <f t="shared" si="60"/>
        <v>35103961.10061413</v>
      </c>
      <c r="AY26" s="428"/>
      <c r="AZ26" s="428"/>
      <c r="BA26" s="428"/>
      <c r="BB26" s="428"/>
      <c r="BC26" s="428"/>
      <c r="BD26" s="428"/>
      <c r="BE26" s="428"/>
      <c r="BF26" s="428"/>
      <c r="BG26" s="428"/>
      <c r="BH26" s="428"/>
      <c r="BI26" s="428"/>
      <c r="BJ26" s="428"/>
    </row>
    <row r="27" spans="1:62" hidden="1" outlineLevel="1" x14ac:dyDescent="0.2">
      <c r="A27" s="441" t="s">
        <v>331</v>
      </c>
      <c r="B27" s="483"/>
      <c r="C27" s="171">
        <f t="shared" si="53"/>
        <v>0</v>
      </c>
      <c r="D27" s="171">
        <f t="shared" si="53"/>
        <v>0</v>
      </c>
      <c r="E27" s="171">
        <f t="shared" si="53"/>
        <v>0</v>
      </c>
      <c r="F27" s="171">
        <f t="shared" si="53"/>
        <v>0</v>
      </c>
      <c r="G27" s="411">
        <f t="shared" si="14"/>
        <v>0</v>
      </c>
      <c r="H27" s="301"/>
      <c r="I27" s="171">
        <f t="shared" si="54"/>
        <v>0</v>
      </c>
      <c r="J27" s="171">
        <f t="shared" si="54"/>
        <v>0</v>
      </c>
      <c r="K27" s="171">
        <f t="shared" si="54"/>
        <v>0</v>
      </c>
      <c r="L27" s="171">
        <f t="shared" si="54"/>
        <v>0</v>
      </c>
      <c r="M27" s="411">
        <f t="shared" si="44"/>
        <v>0</v>
      </c>
      <c r="N27" s="474"/>
      <c r="O27" s="171">
        <f t="shared" si="55"/>
        <v>0</v>
      </c>
      <c r="P27" s="171">
        <f t="shared" si="55"/>
        <v>0</v>
      </c>
      <c r="Q27" s="171">
        <f t="shared" si="55"/>
        <v>0</v>
      </c>
      <c r="R27" s="171">
        <f t="shared" si="55"/>
        <v>0</v>
      </c>
      <c r="S27" s="696">
        <f t="shared" si="48"/>
        <v>0</v>
      </c>
      <c r="T27" s="347"/>
      <c r="U27" s="171">
        <f t="shared" ref="U27:X27" si="65">U$20*U46*U56</f>
        <v>0</v>
      </c>
      <c r="V27" s="171">
        <f t="shared" si="65"/>
        <v>0</v>
      </c>
      <c r="W27" s="171">
        <f t="shared" si="65"/>
        <v>0</v>
      </c>
      <c r="X27" s="171">
        <f t="shared" si="65"/>
        <v>0</v>
      </c>
      <c r="Y27" s="696">
        <f t="shared" si="50"/>
        <v>0</v>
      </c>
      <c r="Z27" s="626"/>
      <c r="AA27" s="171">
        <f t="shared" ref="AA27:AD27" si="66">AA$20*AA46*AA56</f>
        <v>0</v>
      </c>
      <c r="AB27" s="171">
        <f t="shared" si="66"/>
        <v>0</v>
      </c>
      <c r="AC27" s="171">
        <f t="shared" si="66"/>
        <v>0</v>
      </c>
      <c r="AD27" s="171">
        <f t="shared" si="66"/>
        <v>0</v>
      </c>
      <c r="AE27" s="714">
        <f t="shared" si="52"/>
        <v>0</v>
      </c>
      <c r="AF27" s="411">
        <f t="shared" si="60"/>
        <v>0</v>
      </c>
      <c r="AY27" s="428"/>
      <c r="AZ27" s="428"/>
      <c r="BA27" s="428"/>
      <c r="BB27" s="428"/>
      <c r="BC27" s="428"/>
      <c r="BD27" s="428"/>
      <c r="BE27" s="428"/>
      <c r="BF27" s="428"/>
      <c r="BG27" s="428"/>
      <c r="BH27" s="428"/>
      <c r="BI27" s="428"/>
      <c r="BJ27" s="428"/>
    </row>
    <row r="28" spans="1:62" s="500" customFormat="1" ht="20" collapsed="1" x14ac:dyDescent="0.2">
      <c r="A28" s="573" t="s">
        <v>346</v>
      </c>
      <c r="B28" s="698"/>
      <c r="C28" s="497">
        <f>SUM(C29:C31)</f>
        <v>138208540.58874741</v>
      </c>
      <c r="D28" s="497">
        <f t="shared" ref="D28:G28" si="67">SUM(D29:D31)</f>
        <v>57732681.511755258</v>
      </c>
      <c r="E28" s="497">
        <f t="shared" si="67"/>
        <v>3184044.8591331691</v>
      </c>
      <c r="F28" s="497">
        <f t="shared" si="67"/>
        <v>6481805.6060925219</v>
      </c>
      <c r="G28" s="699">
        <f t="shared" si="67"/>
        <v>205607072.5657284</v>
      </c>
      <c r="H28" s="700"/>
      <c r="I28" s="497">
        <f>SUM(I29:I31)</f>
        <v>149763553.44248477</v>
      </c>
      <c r="J28" s="497">
        <f t="shared" ref="J28" si="68">SUM(J29:J31)</f>
        <v>62559459.032936685</v>
      </c>
      <c r="K28" s="497">
        <f t="shared" ref="K28" si="69">SUM(K29:K31)</f>
        <v>3450248.9527255991</v>
      </c>
      <c r="L28" s="497">
        <f t="shared" ref="L28" si="70">SUM(L29:L31)</f>
        <v>7023721.0823342558</v>
      </c>
      <c r="M28" s="699">
        <f t="shared" si="44"/>
        <v>222796982.5104813</v>
      </c>
      <c r="N28" s="701"/>
      <c r="O28" s="497">
        <f t="shared" ref="O28" si="71">SUM(O29:O31)</f>
        <v>2824230.3851770931</v>
      </c>
      <c r="P28" s="497">
        <f t="shared" ref="P28" si="72">SUM(P29:P31)</f>
        <v>1179741.8064663806</v>
      </c>
      <c r="Q28" s="497">
        <f t="shared" ref="Q28" si="73">SUM(Q29:Q31)</f>
        <v>65064.548114206453</v>
      </c>
      <c r="R28" s="497">
        <f t="shared" ref="R28" si="74">SUM(R29:R31)</f>
        <v>132452.83008963452</v>
      </c>
      <c r="S28" s="702">
        <f t="shared" si="48"/>
        <v>4201489.5698473146</v>
      </c>
      <c r="T28" s="703"/>
      <c r="U28" s="497">
        <f t="shared" ref="U28:X28" si="75">SUM(U29:U31)</f>
        <v>2505313.096500976</v>
      </c>
      <c r="V28" s="497">
        <f t="shared" si="75"/>
        <v>974155.53458451224</v>
      </c>
      <c r="W28" s="497">
        <f t="shared" si="75"/>
        <v>55947.85247276572</v>
      </c>
      <c r="X28" s="497">
        <f t="shared" si="75"/>
        <v>113893.84253384449</v>
      </c>
      <c r="Y28" s="702">
        <f t="shared" si="50"/>
        <v>3649310.3260920984</v>
      </c>
      <c r="Z28" s="715"/>
      <c r="AA28" s="497">
        <f>SUM(AA29:AA31)</f>
        <v>16911575.860473961</v>
      </c>
      <c r="AB28" s="497">
        <f t="shared" ref="AB28:AD28" si="76">SUM(AB29:AB31)</f>
        <v>10901848.084922003</v>
      </c>
      <c r="AC28" s="497">
        <f t="shared" si="76"/>
        <v>483440.99053737882</v>
      </c>
      <c r="AD28" s="497">
        <f t="shared" si="76"/>
        <v>984147.73073680711</v>
      </c>
      <c r="AE28" s="716">
        <f t="shared" si="52"/>
        <v>29281012.666670147</v>
      </c>
      <c r="AF28" s="699">
        <f>AE28+Y28</f>
        <v>32930322.992762245</v>
      </c>
      <c r="AG28" s="498"/>
      <c r="AH28" s="498"/>
      <c r="AI28" s="498"/>
      <c r="AJ28" s="498"/>
      <c r="AK28" s="498"/>
      <c r="AL28" s="498"/>
      <c r="AM28" s="498"/>
      <c r="AN28" s="498"/>
      <c r="AO28" s="498"/>
      <c r="AP28" s="498"/>
      <c r="AQ28" s="498"/>
      <c r="AR28" s="498"/>
    </row>
    <row r="29" spans="1:62" ht="20" x14ac:dyDescent="0.2">
      <c r="A29" s="163" t="s">
        <v>453</v>
      </c>
      <c r="C29" s="260">
        <f>C20*C102</f>
        <v>127742875.69836339</v>
      </c>
      <c r="D29" s="260">
        <f t="shared" ref="D29:F29" si="77">D20*D102</f>
        <v>53360948.076531544</v>
      </c>
      <c r="E29" s="260">
        <f t="shared" si="77"/>
        <v>2942937.1363420431</v>
      </c>
      <c r="F29" s="260">
        <f t="shared" si="77"/>
        <v>5990979.1704105875</v>
      </c>
      <c r="G29" s="484">
        <f t="shared" ref="G29:G31" si="78">SUM(C29:F29)</f>
        <v>190037740.08164757</v>
      </c>
      <c r="I29" s="260">
        <f>I20*I102</f>
        <v>145971603.08297876</v>
      </c>
      <c r="J29" s="260">
        <f t="shared" ref="J29:L29" si="79">J20*J102</f>
        <v>60975479.76883924</v>
      </c>
      <c r="K29" s="260">
        <f t="shared" si="79"/>
        <v>3362890.096342043</v>
      </c>
      <c r="L29" s="260">
        <f t="shared" si="79"/>
        <v>6845883.4104105877</v>
      </c>
      <c r="M29" s="484">
        <f t="shared" ref="M29" si="80">SUM(I29:L29)</f>
        <v>217155856.35857064</v>
      </c>
      <c r="N29" s="490"/>
      <c r="O29" s="171">
        <f>O20*O102</f>
        <v>2016592.2144224632</v>
      </c>
      <c r="P29" s="171">
        <f>P20*P102</f>
        <v>842373.96298659849</v>
      </c>
      <c r="Q29" s="171">
        <f>Q20*Q102</f>
        <v>46458.200382897259</v>
      </c>
      <c r="R29" s="171">
        <f>R20*R102</f>
        <v>94575.622208040819</v>
      </c>
      <c r="S29" s="696">
        <f t="shared" ref="S29:S30" si="81">SUM(O29:R29)</f>
        <v>2999999.9999999995</v>
      </c>
      <c r="U29" s="260">
        <f>U20*U102</f>
        <v>1788874.9131837219</v>
      </c>
      <c r="V29" s="260">
        <f t="shared" ref="V29:X29" si="82">V20*V102</f>
        <v>695578.68826501479</v>
      </c>
      <c r="W29" s="260">
        <f t="shared" si="82"/>
        <v>39948.583622069236</v>
      </c>
      <c r="X29" s="260">
        <f t="shared" si="82"/>
        <v>81323.902373498087</v>
      </c>
      <c r="Y29" s="696">
        <f t="shared" si="50"/>
        <v>2605726.087444304</v>
      </c>
      <c r="Z29" s="28"/>
      <c r="AA29" s="260">
        <f>AA20*AA102</f>
        <v>16483381.852720499</v>
      </c>
      <c r="AB29" s="260">
        <f t="shared" ref="AB29:AD29" si="83">AB20*AB102</f>
        <v>10625817.863852389</v>
      </c>
      <c r="AC29" s="260">
        <f t="shared" si="83"/>
        <v>471200.46742123779</v>
      </c>
      <c r="AD29" s="260">
        <f t="shared" si="83"/>
        <v>959229.52296466287</v>
      </c>
      <c r="AE29" s="717">
        <f t="shared" si="52"/>
        <v>28539629.706958789</v>
      </c>
      <c r="AF29" s="411">
        <f t="shared" si="60"/>
        <v>31145355.794403095</v>
      </c>
      <c r="AM29" s="81"/>
    </row>
    <row r="30" spans="1:62" ht="20" x14ac:dyDescent="0.2">
      <c r="A30" s="163" t="s">
        <v>343</v>
      </c>
      <c r="C30" s="171">
        <f>C20*C108</f>
        <v>7147247.9298373833</v>
      </c>
      <c r="D30" s="171">
        <f>D20*D108</f>
        <v>2985559.2618308058</v>
      </c>
      <c r="E30" s="171">
        <f>E20*E108</f>
        <v>164658.11686460811</v>
      </c>
      <c r="F30" s="171">
        <f>F20*F108</f>
        <v>335196.88076009502</v>
      </c>
      <c r="G30" s="411">
        <f>SUM(C30:F30)</f>
        <v>10632662.189292893</v>
      </c>
      <c r="I30" s="171">
        <f>I20*I108</f>
        <v>0</v>
      </c>
      <c r="J30" s="171">
        <f>J20*J108</f>
        <v>0</v>
      </c>
      <c r="K30" s="171">
        <f>K20*K108</f>
        <v>0</v>
      </c>
      <c r="L30" s="171">
        <f>L20*L108</f>
        <v>0</v>
      </c>
      <c r="M30" s="411">
        <f>SUM(I30:L30)</f>
        <v>0</v>
      </c>
      <c r="N30" s="490"/>
      <c r="O30" s="171">
        <f>O18*O108</f>
        <v>0</v>
      </c>
      <c r="P30" s="171">
        <f>P18*P108</f>
        <v>0</v>
      </c>
      <c r="Q30" s="171">
        <f>Q18*Q108</f>
        <v>0</v>
      </c>
      <c r="R30" s="171">
        <f>R18*R108</f>
        <v>0</v>
      </c>
      <c r="S30" s="171">
        <f t="shared" si="81"/>
        <v>0</v>
      </c>
      <c r="U30" s="171">
        <f>U18*U108</f>
        <v>0</v>
      </c>
      <c r="V30" s="171">
        <f>V18*V108</f>
        <v>0</v>
      </c>
      <c r="W30" s="171">
        <f>W18*W108</f>
        <v>0</v>
      </c>
      <c r="X30" s="171">
        <f>X18*X108</f>
        <v>0</v>
      </c>
      <c r="Y30" s="171">
        <f t="shared" si="50"/>
        <v>0</v>
      </c>
      <c r="Z30" s="28"/>
      <c r="AA30" s="171">
        <f>AA20*AA108</f>
        <v>0</v>
      </c>
      <c r="AB30" s="171">
        <f>AB20*AB108</f>
        <v>0</v>
      </c>
      <c r="AC30" s="171">
        <f>AC20*AC108</f>
        <v>0</v>
      </c>
      <c r="AD30" s="171">
        <f>AD20*AD108</f>
        <v>0</v>
      </c>
      <c r="AE30" s="714">
        <f>SUM(AA30:AD30)</f>
        <v>0</v>
      </c>
      <c r="AF30" s="411">
        <f t="shared" si="60"/>
        <v>0</v>
      </c>
      <c r="AM30" s="81"/>
    </row>
    <row r="31" spans="1:62" ht="20" x14ac:dyDescent="0.2">
      <c r="A31" s="163" t="s">
        <v>344</v>
      </c>
      <c r="C31" s="260">
        <f>C20*C110</f>
        <v>3318416.9605466509</v>
      </c>
      <c r="D31" s="260">
        <f>D20*D110</f>
        <v>1386174.1733929047</v>
      </c>
      <c r="E31" s="260">
        <f>E20*E110</f>
        <v>76449.60592651779</v>
      </c>
      <c r="F31" s="260">
        <f>F20*F110</f>
        <v>155629.55492183976</v>
      </c>
      <c r="G31" s="484">
        <f t="shared" si="78"/>
        <v>4936670.2947879126</v>
      </c>
      <c r="I31" s="260">
        <f>I20*I110</f>
        <v>3791950.3595060091</v>
      </c>
      <c r="J31" s="260">
        <f>J20*J110</f>
        <v>1583979.264097447</v>
      </c>
      <c r="K31" s="260">
        <f>K20*K110</f>
        <v>87358.856383556165</v>
      </c>
      <c r="L31" s="260">
        <f>L20*L110</f>
        <v>177837.67192366792</v>
      </c>
      <c r="M31" s="484">
        <f t="shared" ref="M31" si="84">SUM(I31:L31)</f>
        <v>5641126.1519106803</v>
      </c>
      <c r="N31" s="490"/>
      <c r="O31" s="260">
        <f>O20*O110</f>
        <v>807638.17075462977</v>
      </c>
      <c r="P31" s="260">
        <f>P20*P110</f>
        <v>337367.84347978205</v>
      </c>
      <c r="Q31" s="260">
        <f>Q20*Q110</f>
        <v>18606.347731309193</v>
      </c>
      <c r="R31" s="260">
        <f>R20*R110</f>
        <v>37877.207881593713</v>
      </c>
      <c r="S31" s="697">
        <f t="shared" ref="S31" si="85">SUM(O31:R31)</f>
        <v>1201489.5698473146</v>
      </c>
      <c r="U31" s="260">
        <f>U20*U110</f>
        <v>716438.1833172543</v>
      </c>
      <c r="V31" s="260">
        <f>V20*V110</f>
        <v>278576.84631949739</v>
      </c>
      <c r="W31" s="260">
        <f>W20*W110</f>
        <v>15999.268850696486</v>
      </c>
      <c r="X31" s="260">
        <f>X20*X110</f>
        <v>32569.940160346414</v>
      </c>
      <c r="Y31" s="697">
        <f t="shared" si="50"/>
        <v>1043584.2386477946</v>
      </c>
      <c r="Z31" s="28"/>
      <c r="AA31" s="260">
        <f>AA20*AA110</f>
        <v>428194.00775346224</v>
      </c>
      <c r="AB31" s="260">
        <f>AB20*AB110</f>
        <v>276030.22106961306</v>
      </c>
      <c r="AC31" s="260">
        <f>AC20*AC110</f>
        <v>12240.523116141012</v>
      </c>
      <c r="AD31" s="260">
        <f>AD20*AD110</f>
        <v>24918.207772144207</v>
      </c>
      <c r="AE31" s="717">
        <f t="shared" ref="AE31:AE32" si="86">SUM(AA31:AD31)</f>
        <v>741382.95971136051</v>
      </c>
      <c r="AF31" s="411">
        <f t="shared" si="60"/>
        <v>1784967.1983591551</v>
      </c>
      <c r="AM31" s="81"/>
    </row>
    <row r="32" spans="1:62" s="705" customFormat="1" ht="20" x14ac:dyDescent="0.2">
      <c r="A32" s="573" t="s">
        <v>347</v>
      </c>
      <c r="B32" s="502"/>
      <c r="C32" s="497">
        <f>C22-C28</f>
        <v>-43228203.901263371</v>
      </c>
      <c r="D32" s="497">
        <f>D22-D28</f>
        <v>-17304117.131371483</v>
      </c>
      <c r="E32" s="497">
        <f>E22-E28</f>
        <v>-977472.67916364968</v>
      </c>
      <c r="F32" s="497">
        <f>F22-F28</f>
        <v>-1989855.0968688577</v>
      </c>
      <c r="G32" s="704">
        <f t="shared" ref="G32" si="87">SUM(C32:F32)</f>
        <v>-63499648.808667362</v>
      </c>
      <c r="H32" s="533"/>
      <c r="I32" s="497">
        <f>I22-I28</f>
        <v>-19841149.375336483</v>
      </c>
      <c r="J32" s="497">
        <f>J22-J28</f>
        <v>-7412723.6266578287</v>
      </c>
      <c r="K32" s="497">
        <f>K22-K28</f>
        <v>-435696.36929100892</v>
      </c>
      <c r="L32" s="497">
        <f>L22-L28</f>
        <v>-886953.32319955435</v>
      </c>
      <c r="M32" s="704">
        <f t="shared" ref="M32" si="88">SUM(I32:L32)</f>
        <v>-28576522.694484875</v>
      </c>
      <c r="N32" s="533"/>
      <c r="O32" s="497">
        <f>O22-O28</f>
        <v>24847622.569803346</v>
      </c>
      <c r="P32" s="497">
        <f>P22-P28</f>
        <v>10565825.588677162</v>
      </c>
      <c r="Q32" s="497">
        <f>Q22-Q28</f>
        <v>576997.5843779312</v>
      </c>
      <c r="R32" s="497">
        <f>R22-R28</f>
        <v>1174602.225340788</v>
      </c>
      <c r="S32" s="650">
        <f t="shared" ref="S32" si="89">SUM(O32:R32)</f>
        <v>37165047.968199231</v>
      </c>
      <c r="T32" s="533"/>
      <c r="U32" s="497">
        <f>U22-U28</f>
        <v>21594148.343000039</v>
      </c>
      <c r="V32" s="497">
        <f>V22-V28</f>
        <v>8396578.915566396</v>
      </c>
      <c r="W32" s="497">
        <f>W22-W28</f>
        <v>482233.62878537283</v>
      </c>
      <c r="X32" s="497">
        <f>X22-X28</f>
        <v>981689.88717022305</v>
      </c>
      <c r="Y32" s="650">
        <f t="shared" si="50"/>
        <v>31454650.774522029</v>
      </c>
      <c r="Z32" s="718"/>
      <c r="AA32" s="497">
        <f>AA22-AA28</f>
        <v>-138803.3715743646</v>
      </c>
      <c r="AB32" s="497">
        <f>AB22-AB28</f>
        <v>248254.72797171958</v>
      </c>
      <c r="AC32" s="497">
        <f>AC22-AC28</f>
        <v>4290.1334440752398</v>
      </c>
      <c r="AD32" s="497">
        <f>AD22-AD28</f>
        <v>8733.4859397246037</v>
      </c>
      <c r="AE32" s="716">
        <f t="shared" si="86"/>
        <v>122474.97578115482</v>
      </c>
      <c r="AF32" s="586">
        <f>AE32+Y32</f>
        <v>31577125.750303183</v>
      </c>
      <c r="AG32" s="498"/>
      <c r="AH32" s="498"/>
      <c r="AI32" s="498"/>
      <c r="AJ32" s="498"/>
      <c r="AK32" s="498"/>
      <c r="AL32" s="498"/>
      <c r="AM32" s="498"/>
      <c r="AN32" s="498"/>
      <c r="AO32" s="498"/>
      <c r="AP32" s="498"/>
      <c r="AQ32" s="498"/>
      <c r="AR32" s="498"/>
      <c r="AY32" s="498"/>
      <c r="AZ32" s="498"/>
      <c r="BA32" s="498"/>
      <c r="BB32" s="498"/>
      <c r="BC32" s="498"/>
      <c r="BD32" s="498"/>
      <c r="BE32" s="498"/>
      <c r="BF32" s="498"/>
      <c r="BG32" s="498"/>
      <c r="BH32" s="498"/>
      <c r="BI32" s="498"/>
      <c r="BJ32" s="498"/>
    </row>
    <row r="33" spans="1:62" x14ac:dyDescent="0.2">
      <c r="A33" s="88"/>
      <c r="C33" s="141"/>
      <c r="Z33" s="28"/>
      <c r="AE33" s="24"/>
      <c r="AF33" s="411"/>
    </row>
    <row r="34" spans="1:62" s="500" customFormat="1" ht="20" x14ac:dyDescent="0.2">
      <c r="A34" s="573" t="s">
        <v>370</v>
      </c>
      <c r="B34" s="502"/>
      <c r="C34" s="497">
        <f>C18*C96</f>
        <v>0</v>
      </c>
      <c r="D34" s="497">
        <f>D18*D96</f>
        <v>0</v>
      </c>
      <c r="E34" s="497">
        <f>E5*E96</f>
        <v>5096000.0000000009</v>
      </c>
      <c r="F34" s="497">
        <f>F5*F96</f>
        <v>48906000</v>
      </c>
      <c r="G34" s="586">
        <f>SUM(C34:F34)</f>
        <v>54002000</v>
      </c>
      <c r="H34" s="533"/>
      <c r="I34" s="497">
        <f>I20*I97</f>
        <v>41483936.932995744</v>
      </c>
      <c r="J34" s="497">
        <f>J20*J97</f>
        <v>17328733.149226069</v>
      </c>
      <c r="K34" s="497">
        <f>K5*K96</f>
        <v>6115200.0000000019</v>
      </c>
      <c r="L34" s="497">
        <f>L5*L96</f>
        <v>58687200.000000007</v>
      </c>
      <c r="M34" s="586">
        <f>SUM(I34:L34)</f>
        <v>123615070.08222182</v>
      </c>
      <c r="N34" s="555"/>
      <c r="O34" s="497">
        <f>O20*O97</f>
        <v>8835561.5880556498</v>
      </c>
      <c r="P34" s="497">
        <f>P20*P97</f>
        <v>3690804.2076688157</v>
      </c>
      <c r="Q34" s="497">
        <f>Q5*Q96</f>
        <v>6115200.0000000019</v>
      </c>
      <c r="R34" s="497">
        <f>R5*R96</f>
        <v>58687200.000000007</v>
      </c>
      <c r="S34" s="650">
        <f>SUM(O34:R34)</f>
        <v>77328765.795724481</v>
      </c>
      <c r="T34" s="533"/>
      <c r="U34" s="497">
        <f>U20*U97</f>
        <v>7837833.7254907619</v>
      </c>
      <c r="V34" s="497">
        <f>V20*V97</f>
        <v>3047630.6987353014</v>
      </c>
      <c r="W34" s="497">
        <f>W5*W96</f>
        <v>5258352.1650057305</v>
      </c>
      <c r="X34" s="497">
        <f>X5*X96</f>
        <v>50464083.787631519</v>
      </c>
      <c r="Y34" s="650">
        <f>SUM(U34:X34)</f>
        <v>66607900.376863316</v>
      </c>
      <c r="Z34" s="718"/>
      <c r="AA34" s="497">
        <f>AA20*AA97</f>
        <v>4684442.4448228776</v>
      </c>
      <c r="AB34" s="497">
        <f>AB20*AB97</f>
        <v>3019770.6185015673</v>
      </c>
      <c r="AC34" s="497">
        <f>AC5*AC96</f>
        <v>856847.83499427058</v>
      </c>
      <c r="AD34" s="497">
        <f>AD5*AD96</f>
        <v>8223116.2123684855</v>
      </c>
      <c r="AE34" s="719">
        <f>SUM(AA34:AD34)</f>
        <v>16784177.1106872</v>
      </c>
      <c r="AF34" s="586">
        <f>AE34+Y34</f>
        <v>83392077.487550512</v>
      </c>
      <c r="AG34" s="498"/>
      <c r="AH34" s="498"/>
      <c r="AI34" s="498"/>
      <c r="AJ34" s="498"/>
      <c r="AK34" s="498"/>
      <c r="AL34" s="498"/>
      <c r="AM34" s="499"/>
      <c r="AN34" s="498"/>
      <c r="AO34" s="498"/>
      <c r="AP34" s="498"/>
      <c r="AQ34" s="498"/>
      <c r="AR34" s="498"/>
      <c r="AY34" s="498"/>
      <c r="AZ34" s="498"/>
      <c r="BA34" s="498"/>
      <c r="BB34" s="498"/>
      <c r="BC34" s="498"/>
      <c r="BD34" s="498"/>
      <c r="BE34" s="498"/>
      <c r="BF34" s="498"/>
      <c r="BG34" s="498"/>
      <c r="BH34" s="498"/>
      <c r="BI34" s="498"/>
      <c r="BJ34" s="498"/>
    </row>
    <row r="35" spans="1:62" x14ac:dyDescent="0.2">
      <c r="A35" s="88"/>
      <c r="C35" s="141"/>
      <c r="Z35" s="28"/>
      <c r="AE35" s="24"/>
      <c r="AF35" s="411"/>
    </row>
    <row r="36" spans="1:62" s="582" customFormat="1" ht="21" thickBot="1" x14ac:dyDescent="0.25">
      <c r="A36" s="574" t="s">
        <v>367</v>
      </c>
      <c r="B36" s="575"/>
      <c r="C36" s="576">
        <f>C32+C34</f>
        <v>-43228203.901263371</v>
      </c>
      <c r="D36" s="576">
        <f t="shared" ref="D36:F36" si="90">D32+D34</f>
        <v>-17304117.131371483</v>
      </c>
      <c r="E36" s="576">
        <f t="shared" si="90"/>
        <v>4118527.3208363513</v>
      </c>
      <c r="F36" s="576">
        <f t="shared" si="90"/>
        <v>46916144.903131142</v>
      </c>
      <c r="G36" s="577">
        <f>SUM(C36:F36)</f>
        <v>-9497648.8086673617</v>
      </c>
      <c r="H36" s="578"/>
      <c r="I36" s="576">
        <f>I32+I34</f>
        <v>21642787.557659261</v>
      </c>
      <c r="J36" s="576">
        <f t="shared" ref="J36:L36" si="91">J32+J34</f>
        <v>9916009.5225682408</v>
      </c>
      <c r="K36" s="576">
        <f t="shared" si="91"/>
        <v>5679503.6307089925</v>
      </c>
      <c r="L36" s="576">
        <f t="shared" si="91"/>
        <v>57800246.676800452</v>
      </c>
      <c r="M36" s="587">
        <f>SUM(I36:L36)</f>
        <v>95038547.387736946</v>
      </c>
      <c r="N36" s="579"/>
      <c r="O36" s="576">
        <f>O32+O34</f>
        <v>33683184.157858998</v>
      </c>
      <c r="P36" s="576">
        <f t="shared" ref="P36:R36" si="92">P32+P34</f>
        <v>14256629.796345979</v>
      </c>
      <c r="Q36" s="576">
        <f t="shared" si="92"/>
        <v>6692197.5843779333</v>
      </c>
      <c r="R36" s="576">
        <f t="shared" si="92"/>
        <v>59861802.225340798</v>
      </c>
      <c r="S36" s="651">
        <f>SUM(O36:R36)</f>
        <v>114493813.7639237</v>
      </c>
      <c r="T36" s="578"/>
      <c r="U36" s="576">
        <f>U32+U34</f>
        <v>29431982.068490803</v>
      </c>
      <c r="V36" s="576">
        <f t="shared" ref="V36:X36" si="93">V32+V34</f>
        <v>11444209.614301696</v>
      </c>
      <c r="W36" s="576">
        <f t="shared" si="93"/>
        <v>5740585.7937911032</v>
      </c>
      <c r="X36" s="576">
        <f t="shared" si="93"/>
        <v>51445773.674801745</v>
      </c>
      <c r="Y36" s="651">
        <f>SUM(U36:X36)</f>
        <v>98062551.151385337</v>
      </c>
      <c r="Z36" s="720"/>
      <c r="AA36" s="576">
        <f>AA32+AA34</f>
        <v>4545639.073248513</v>
      </c>
      <c r="AB36" s="576">
        <f t="shared" ref="AB36:AD36" si="94">AB32+AB34</f>
        <v>3268025.3464732869</v>
      </c>
      <c r="AC36" s="576">
        <f t="shared" si="94"/>
        <v>861137.96843834582</v>
      </c>
      <c r="AD36" s="576">
        <f t="shared" si="94"/>
        <v>8231849.6983082099</v>
      </c>
      <c r="AE36" s="707">
        <f>SUM(AA36:AD36)</f>
        <v>16906652.086468354</v>
      </c>
      <c r="AF36" s="707">
        <f>AE36+Y36</f>
        <v>114969203.23785369</v>
      </c>
      <c r="AG36" s="580"/>
      <c r="AH36" s="580"/>
      <c r="AI36" s="580"/>
      <c r="AJ36" s="580"/>
      <c r="AK36" s="580"/>
      <c r="AL36" s="580"/>
      <c r="AM36" s="581"/>
      <c r="AN36" s="580"/>
      <c r="AO36" s="580"/>
      <c r="AP36" s="580"/>
      <c r="AQ36" s="580"/>
      <c r="AR36" s="580"/>
      <c r="AY36" s="580"/>
      <c r="AZ36" s="580"/>
      <c r="BA36" s="580"/>
      <c r="BB36" s="580"/>
      <c r="BC36" s="580"/>
      <c r="BD36" s="580"/>
      <c r="BE36" s="580"/>
      <c r="BF36" s="580"/>
      <c r="BG36" s="580"/>
      <c r="BH36" s="580"/>
      <c r="BI36" s="580"/>
      <c r="BJ36" s="580"/>
    </row>
    <row r="39" spans="1:62" s="430" customFormat="1" ht="20" x14ac:dyDescent="0.2">
      <c r="A39" s="360" t="s">
        <v>298</v>
      </c>
      <c r="B39" s="387"/>
      <c r="C39" s="360"/>
      <c r="D39" s="360"/>
      <c r="E39" s="360"/>
      <c r="F39" s="360"/>
      <c r="G39" s="503"/>
      <c r="H39" s="534"/>
      <c r="I39" s="43"/>
      <c r="J39" s="43"/>
      <c r="K39" s="43"/>
      <c r="L39" s="43"/>
      <c r="M39" s="508"/>
      <c r="N39" s="534"/>
      <c r="O39" s="43"/>
      <c r="P39" s="43"/>
      <c r="Q39" s="43"/>
      <c r="R39" s="43"/>
      <c r="S39" s="43"/>
      <c r="T39" s="563"/>
      <c r="U39" s="360"/>
      <c r="V39" s="360"/>
      <c r="W39" s="360"/>
      <c r="X39" s="360"/>
      <c r="Y39" s="360"/>
      <c r="Z39" s="360"/>
      <c r="AA39" s="360"/>
      <c r="AB39" s="360"/>
      <c r="AC39" s="360"/>
      <c r="AD39" s="360"/>
      <c r="AE39" s="360"/>
      <c r="AF39" s="503"/>
      <c r="AG39" s="360"/>
      <c r="AH39" s="360"/>
      <c r="AI39" s="360"/>
      <c r="AJ39" s="360"/>
      <c r="AK39" s="360"/>
      <c r="AL39" s="360"/>
      <c r="AM39" s="43"/>
      <c r="AN39" s="43"/>
      <c r="AO39" s="43"/>
      <c r="AP39" s="43"/>
      <c r="AQ39" s="43"/>
      <c r="AR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</row>
    <row r="40" spans="1:62" s="423" customFormat="1" ht="20" outlineLevel="1" x14ac:dyDescent="0.2">
      <c r="A40" s="422" t="s">
        <v>335</v>
      </c>
      <c r="B40" s="504"/>
      <c r="C40" s="424"/>
      <c r="D40" s="425"/>
      <c r="E40" s="425"/>
      <c r="F40" s="425"/>
      <c r="G40" s="505"/>
      <c r="H40" s="535"/>
      <c r="I40" s="426"/>
      <c r="J40" s="426"/>
      <c r="K40" s="426"/>
      <c r="L40" s="426"/>
      <c r="M40" s="536"/>
      <c r="N40" s="535"/>
      <c r="O40" s="425"/>
      <c r="P40" s="425"/>
      <c r="Q40" s="425"/>
      <c r="R40" s="425"/>
      <c r="S40" s="425"/>
      <c r="T40" s="564"/>
      <c r="U40" s="425"/>
      <c r="V40" s="425"/>
      <c r="W40" s="425"/>
      <c r="X40" s="425"/>
      <c r="Y40" s="425"/>
      <c r="Z40" s="425"/>
      <c r="AA40" s="425"/>
      <c r="AB40" s="425"/>
      <c r="AC40" s="425"/>
      <c r="AD40" s="425"/>
      <c r="AE40" s="425"/>
      <c r="AF40" s="505"/>
      <c r="AG40" s="422"/>
      <c r="AH40" s="422"/>
      <c r="AI40" s="422"/>
      <c r="AJ40" s="422"/>
      <c r="AK40" s="422"/>
      <c r="AL40" s="422"/>
      <c r="AM40" s="426"/>
      <c r="AN40" s="426"/>
      <c r="AO40" s="426"/>
      <c r="AP40" s="426"/>
      <c r="AQ40" s="426"/>
      <c r="AR40" s="426"/>
      <c r="AY40" s="426"/>
      <c r="AZ40" s="426"/>
      <c r="BA40" s="426"/>
      <c r="BB40" s="426"/>
      <c r="BC40" s="426"/>
      <c r="BD40" s="426"/>
      <c r="BE40" s="426"/>
      <c r="BF40" s="426"/>
      <c r="BG40" s="426"/>
      <c r="BH40" s="426"/>
      <c r="BI40" s="426"/>
      <c r="BJ40" s="426"/>
    </row>
    <row r="41" spans="1:62" ht="40" outlineLevel="1" x14ac:dyDescent="0.2">
      <c r="A41" s="13" t="s">
        <v>426</v>
      </c>
      <c r="B41" s="386"/>
      <c r="C41" s="349" t="s">
        <v>407</v>
      </c>
      <c r="D41" s="13"/>
      <c r="E41" s="13"/>
      <c r="F41" s="13"/>
      <c r="G41" s="302"/>
      <c r="I41" s="349" t="s">
        <v>407</v>
      </c>
      <c r="O41" s="349" t="s">
        <v>407</v>
      </c>
      <c r="T41" s="16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302"/>
      <c r="AG41" s="13"/>
      <c r="AH41" s="13"/>
      <c r="AI41" s="13"/>
      <c r="AJ41" s="13"/>
      <c r="AK41" s="13"/>
      <c r="AL41" s="13"/>
    </row>
    <row r="42" spans="1:62" outlineLevel="1" x14ac:dyDescent="0.2">
      <c r="A42" s="501" t="s">
        <v>330</v>
      </c>
      <c r="B42" s="386"/>
      <c r="C42" s="413">
        <f>'База селлеров'!B27</f>
        <v>1.0916349572702888E-4</v>
      </c>
      <c r="D42" s="413">
        <f>'База селлеров'!C27</f>
        <v>1.7230576441102756E-3</v>
      </c>
      <c r="E42" s="413">
        <f>'База селлеров'!D27</f>
        <v>8.2468141254904686E-4</v>
      </c>
      <c r="F42" s="413">
        <f>'База селлеров'!E27</f>
        <v>8.2468141254904686E-4</v>
      </c>
      <c r="G42" s="473"/>
      <c r="I42" s="413">
        <f>C42</f>
        <v>1.0916349572702888E-4</v>
      </c>
      <c r="J42" s="414">
        <f>D42</f>
        <v>1.7230576441102756E-3</v>
      </c>
      <c r="K42" s="414">
        <f t="shared" ref="K42:L42" si="95">E42</f>
        <v>8.2468141254904686E-4</v>
      </c>
      <c r="L42" s="415">
        <f t="shared" si="95"/>
        <v>8.2468141254904686E-4</v>
      </c>
      <c r="O42" s="413">
        <f>I42</f>
        <v>1.0916349572702888E-4</v>
      </c>
      <c r="P42" s="414">
        <f>J42</f>
        <v>1.7230576441102756E-3</v>
      </c>
      <c r="Q42" s="414">
        <f t="shared" ref="Q42" si="96">K42</f>
        <v>8.2468141254904686E-4</v>
      </c>
      <c r="R42" s="415">
        <f t="shared" ref="R42" si="97">L42</f>
        <v>8.2468141254904686E-4</v>
      </c>
      <c r="T42" s="163"/>
      <c r="U42" s="413">
        <v>0</v>
      </c>
      <c r="V42" s="414">
        <v>0</v>
      </c>
      <c r="W42" s="414">
        <v>0</v>
      </c>
      <c r="X42" s="415">
        <v>0</v>
      </c>
      <c r="Y42" s="13"/>
      <c r="Z42" s="13"/>
      <c r="AA42" s="413">
        <f>O42/(O42+O43+O44)</f>
        <v>9.6671730423974599E-4</v>
      </c>
      <c r="AB42" s="414">
        <f t="shared" ref="AB42:AD42" si="98">P42/(P42+P43+P44)</f>
        <v>9.8876404494382016E-3</v>
      </c>
      <c r="AC42" s="414">
        <f t="shared" si="98"/>
        <v>5.8856328604175697E-3</v>
      </c>
      <c r="AD42" s="415">
        <f t="shared" si="98"/>
        <v>5.8856328604175697E-3</v>
      </c>
      <c r="AE42" s="13"/>
      <c r="AF42" s="302"/>
      <c r="AG42" s="13"/>
      <c r="AH42" s="13"/>
      <c r="AI42" s="13"/>
      <c r="AJ42" s="13"/>
      <c r="AK42" s="13"/>
      <c r="AL42" s="13"/>
    </row>
    <row r="43" spans="1:62" outlineLevel="1" x14ac:dyDescent="0.2">
      <c r="A43" s="39" t="s">
        <v>434</v>
      </c>
      <c r="C43" s="407">
        <f>'База селлеров'!B28</f>
        <v>7.5010916349572705E-3</v>
      </c>
      <c r="D43" s="367">
        <f>'База селлеров'!C28</f>
        <v>2.0520050125313282E-2</v>
      </c>
      <c r="E43" s="367">
        <f>'База селлеров'!D28</f>
        <v>1.3273030313552554E-2</v>
      </c>
      <c r="F43" s="367">
        <f>E43</f>
        <v>1.3273030313552554E-2</v>
      </c>
      <c r="G43" s="302"/>
      <c r="I43" s="288">
        <f>C43</f>
        <v>7.5010916349572705E-3</v>
      </c>
      <c r="J43" s="75">
        <f>D43</f>
        <v>2.0520050125313282E-2</v>
      </c>
      <c r="K43" s="75">
        <f t="shared" ref="K43:L46" si="99">E43</f>
        <v>1.3273030313552554E-2</v>
      </c>
      <c r="L43" s="294">
        <f t="shared" si="99"/>
        <v>1.3273030313552554E-2</v>
      </c>
      <c r="M43" s="537"/>
      <c r="N43" s="441"/>
      <c r="O43" s="288">
        <f>I43</f>
        <v>7.5010916349572705E-3</v>
      </c>
      <c r="P43" s="75">
        <f>J43</f>
        <v>2.0520050125313282E-2</v>
      </c>
      <c r="Q43" s="75">
        <f t="shared" ref="Q43:R46" si="100">K43</f>
        <v>1.3273030313552554E-2</v>
      </c>
      <c r="R43" s="294">
        <f t="shared" si="100"/>
        <v>1.3273030313552554E-2</v>
      </c>
      <c r="U43" s="288">
        <v>0</v>
      </c>
      <c r="V43" s="75">
        <v>0</v>
      </c>
      <c r="W43" s="75">
        <v>0</v>
      </c>
      <c r="X43" s="294">
        <v>0</v>
      </c>
      <c r="AA43" s="288">
        <f>O43/(O42+O43+O44)</f>
        <v>6.6427289048473975E-2</v>
      </c>
      <c r="AB43" s="75">
        <f t="shared" ref="AB43:AD43" si="101">P43/(P42+P43+P44)</f>
        <v>0.11775280898876403</v>
      </c>
      <c r="AC43" s="75">
        <f t="shared" si="101"/>
        <v>9.4727712037668041E-2</v>
      </c>
      <c r="AD43" s="294">
        <f t="shared" si="101"/>
        <v>9.4727712037668041E-2</v>
      </c>
      <c r="AG43" s="2"/>
      <c r="AH43" s="2"/>
      <c r="AI43" s="2"/>
      <c r="AJ43" s="2"/>
      <c r="AK43" s="2"/>
      <c r="AL43" s="2"/>
    </row>
    <row r="44" spans="1:62" outlineLevel="1" x14ac:dyDescent="0.2">
      <c r="A44" s="39" t="s">
        <v>66</v>
      </c>
      <c r="C44" s="407">
        <f>'База селлеров'!B29</f>
        <v>0.10531158380637515</v>
      </c>
      <c r="D44" s="367">
        <f>'База селлеров'!C29</f>
        <v>0.15202067669172933</v>
      </c>
      <c r="E44" s="367">
        <f>'База селлеров'!D29</f>
        <v>0.12602000069446856</v>
      </c>
      <c r="F44" s="367">
        <f>'База селлеров'!E29</f>
        <v>0.12602000069446856</v>
      </c>
      <c r="G44" s="302"/>
      <c r="I44" s="288">
        <f t="shared" ref="I44:I46" si="102">C44</f>
        <v>0.10531158380637515</v>
      </c>
      <c r="J44" s="75">
        <f>D44</f>
        <v>0.15202067669172933</v>
      </c>
      <c r="K44" s="75">
        <f t="shared" si="99"/>
        <v>0.12602000069446856</v>
      </c>
      <c r="L44" s="294">
        <f t="shared" si="99"/>
        <v>0.12602000069446856</v>
      </c>
      <c r="M44" s="537"/>
      <c r="N44" s="441"/>
      <c r="O44" s="288">
        <f t="shared" ref="O44:O46" si="103">I44</f>
        <v>0.10531158380637515</v>
      </c>
      <c r="P44" s="75">
        <f>J44</f>
        <v>0.15202067669172933</v>
      </c>
      <c r="Q44" s="75">
        <f t="shared" si="100"/>
        <v>0.12602000069446856</v>
      </c>
      <c r="R44" s="294">
        <f t="shared" si="100"/>
        <v>0.12602000069446856</v>
      </c>
      <c r="U44" s="288">
        <v>0</v>
      </c>
      <c r="V44" s="75">
        <v>0</v>
      </c>
      <c r="W44" s="75">
        <v>0</v>
      </c>
      <c r="X44" s="294">
        <v>0</v>
      </c>
      <c r="AA44" s="288">
        <f>O44/(O42+O43+O44)</f>
        <v>0.93260599364728636</v>
      </c>
      <c r="AB44" s="75">
        <f t="shared" ref="AB44:AD44" si="104">P44/(P42+P43+P44)</f>
        <v>0.8723595505617977</v>
      </c>
      <c r="AC44" s="75">
        <f t="shared" si="104"/>
        <v>0.89938665510191429</v>
      </c>
      <c r="AD44" s="294">
        <f t="shared" si="104"/>
        <v>0.89938665510191429</v>
      </c>
      <c r="AG44" s="2"/>
      <c r="AH44" s="2"/>
      <c r="AI44" s="2"/>
      <c r="AJ44" s="2"/>
      <c r="AK44" s="2"/>
      <c r="AL44" s="2"/>
    </row>
    <row r="45" spans="1:62" outlineLevel="1" x14ac:dyDescent="0.2">
      <c r="A45" s="39" t="s">
        <v>67</v>
      </c>
      <c r="C45" s="407">
        <f>'База селлеров'!B30</f>
        <v>0.88707816106294057</v>
      </c>
      <c r="D45" s="367">
        <f>'База селлеров'!C30</f>
        <v>0.82573621553884713</v>
      </c>
      <c r="E45" s="367">
        <f>'База селлеров'!D30</f>
        <v>0.85988228757942986</v>
      </c>
      <c r="F45" s="367">
        <f>'База селлеров'!E30</f>
        <v>0.85988228757942986</v>
      </c>
      <c r="G45" s="302"/>
      <c r="I45" s="288">
        <f t="shared" si="102"/>
        <v>0.88707816106294057</v>
      </c>
      <c r="J45" s="75">
        <f>D45</f>
        <v>0.82573621553884713</v>
      </c>
      <c r="K45" s="75">
        <f t="shared" si="99"/>
        <v>0.85988228757942986</v>
      </c>
      <c r="L45" s="294">
        <f t="shared" si="99"/>
        <v>0.85988228757942986</v>
      </c>
      <c r="M45" s="537"/>
      <c r="N45" s="441"/>
      <c r="O45" s="288">
        <f t="shared" si="103"/>
        <v>0.88707816106294057</v>
      </c>
      <c r="P45" s="75">
        <f>J45</f>
        <v>0.82573621553884713</v>
      </c>
      <c r="Q45" s="75">
        <f t="shared" si="100"/>
        <v>0.85988228757942986</v>
      </c>
      <c r="R45" s="294">
        <f t="shared" si="100"/>
        <v>0.85988228757942986</v>
      </c>
      <c r="U45" s="288">
        <v>1</v>
      </c>
      <c r="V45" s="75">
        <v>1</v>
      </c>
      <c r="W45" s="75">
        <v>1</v>
      </c>
      <c r="X45" s="294">
        <v>1</v>
      </c>
      <c r="AA45" s="288">
        <v>0</v>
      </c>
      <c r="AB45" s="75">
        <v>0</v>
      </c>
      <c r="AC45" s="75">
        <v>0</v>
      </c>
      <c r="AD45" s="294">
        <v>0</v>
      </c>
      <c r="AG45" s="2"/>
      <c r="AH45" s="2"/>
      <c r="AI45" s="2"/>
      <c r="AJ45" s="2"/>
      <c r="AK45" s="2"/>
      <c r="AL45" s="2"/>
    </row>
    <row r="46" spans="1:62" outlineLevel="1" x14ac:dyDescent="0.2">
      <c r="A46" s="39" t="s">
        <v>331</v>
      </c>
      <c r="C46" s="664">
        <v>0</v>
      </c>
      <c r="D46" s="665">
        <v>0</v>
      </c>
      <c r="E46" s="665">
        <v>0</v>
      </c>
      <c r="F46" s="665">
        <v>0</v>
      </c>
      <c r="G46" s="302"/>
      <c r="I46" s="288">
        <f t="shared" si="102"/>
        <v>0</v>
      </c>
      <c r="J46" s="75">
        <f>D46</f>
        <v>0</v>
      </c>
      <c r="K46" s="75">
        <f t="shared" si="99"/>
        <v>0</v>
      </c>
      <c r="L46" s="294">
        <f t="shared" si="99"/>
        <v>0</v>
      </c>
      <c r="M46" s="537"/>
      <c r="N46" s="441"/>
      <c r="O46" s="288">
        <f t="shared" si="103"/>
        <v>0</v>
      </c>
      <c r="P46" s="75">
        <f>J46</f>
        <v>0</v>
      </c>
      <c r="Q46" s="75">
        <f t="shared" si="100"/>
        <v>0</v>
      </c>
      <c r="R46" s="294">
        <f t="shared" si="100"/>
        <v>0</v>
      </c>
      <c r="U46" s="288">
        <v>0</v>
      </c>
      <c r="V46" s="75">
        <v>0</v>
      </c>
      <c r="W46" s="75">
        <v>0</v>
      </c>
      <c r="X46" s="294">
        <v>0</v>
      </c>
      <c r="AA46" s="288">
        <f t="shared" ref="AA46" si="105">U46</f>
        <v>0</v>
      </c>
      <c r="AB46" s="75">
        <f>V46</f>
        <v>0</v>
      </c>
      <c r="AC46" s="75">
        <f t="shared" ref="AC46" si="106">W46</f>
        <v>0</v>
      </c>
      <c r="AD46" s="294">
        <f t="shared" ref="AD46" si="107">X46</f>
        <v>0</v>
      </c>
      <c r="AG46" s="2"/>
      <c r="AH46" s="2"/>
      <c r="AI46" s="2"/>
      <c r="AJ46" s="2"/>
      <c r="AK46" s="2"/>
      <c r="AL46" s="2"/>
    </row>
    <row r="47" spans="1:62" outlineLevel="1" x14ac:dyDescent="0.2">
      <c r="A47" s="472"/>
      <c r="C47" s="408"/>
      <c r="D47" s="409"/>
      <c r="E47" s="429"/>
      <c r="F47" s="409"/>
      <c r="G47" s="506"/>
      <c r="I47" s="291"/>
      <c r="J47" s="292"/>
      <c r="K47" s="292"/>
      <c r="L47" s="293"/>
      <c r="N47" s="441"/>
      <c r="O47" s="291"/>
      <c r="P47" s="292"/>
      <c r="Q47" s="292"/>
      <c r="R47" s="293"/>
      <c r="U47" s="291"/>
      <c r="V47" s="292"/>
      <c r="W47" s="292"/>
      <c r="X47" s="293"/>
      <c r="AA47" s="291"/>
      <c r="AB47" s="292"/>
      <c r="AC47" s="292"/>
      <c r="AD47" s="293"/>
      <c r="AG47" s="2"/>
      <c r="AH47" s="2"/>
      <c r="AI47" s="2"/>
      <c r="AJ47" s="2"/>
      <c r="AK47" s="2"/>
      <c r="AL47" s="2"/>
    </row>
    <row r="48" spans="1:62" outlineLevel="1" x14ac:dyDescent="0.2">
      <c r="A48" s="13"/>
      <c r="C48" s="405"/>
      <c r="D48" s="156"/>
      <c r="E48" s="406"/>
      <c r="F48" s="156"/>
      <c r="G48" s="304"/>
      <c r="O48" s="156"/>
      <c r="P48" s="156"/>
      <c r="Q48" s="156"/>
      <c r="R48" s="156"/>
      <c r="S48" s="156"/>
      <c r="T48" s="347"/>
      <c r="U48" s="156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304"/>
      <c r="AG48" s="13"/>
      <c r="AH48" s="13"/>
      <c r="AI48" s="13"/>
      <c r="AJ48" s="13"/>
      <c r="AK48" s="13"/>
      <c r="AL48" s="13"/>
    </row>
    <row r="49" spans="1:62" outlineLevel="1" x14ac:dyDescent="0.2">
      <c r="A49" s="13"/>
      <c r="C49" s="405"/>
      <c r="D49" s="156"/>
      <c r="E49" s="156"/>
      <c r="F49" s="156"/>
      <c r="G49" s="304"/>
      <c r="O49" s="156"/>
      <c r="P49" s="156"/>
      <c r="Q49" s="156"/>
      <c r="R49" s="156"/>
      <c r="S49" s="156"/>
      <c r="T49" s="347"/>
      <c r="U49" s="156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304"/>
      <c r="AG49" s="13"/>
      <c r="AH49" s="13"/>
      <c r="AI49" s="13"/>
      <c r="AJ49" s="13"/>
      <c r="AK49" s="13"/>
      <c r="AL49" s="13"/>
    </row>
    <row r="50" spans="1:62" s="430" customFormat="1" ht="80" outlineLevel="1" x14ac:dyDescent="0.2">
      <c r="A50" s="387" t="s">
        <v>351</v>
      </c>
      <c r="B50" s="507"/>
      <c r="C50" s="404" t="s">
        <v>408</v>
      </c>
      <c r="D50" s="43"/>
      <c r="E50" s="43"/>
      <c r="F50" s="43"/>
      <c r="G50" s="508"/>
      <c r="H50" s="538" t="s">
        <v>366</v>
      </c>
      <c r="I50" s="404" t="s">
        <v>337</v>
      </c>
      <c r="J50" s="43"/>
      <c r="K50" s="43"/>
      <c r="L50" s="43"/>
      <c r="M50" s="508"/>
      <c r="N50" s="534"/>
      <c r="O50" s="404" t="s">
        <v>337</v>
      </c>
      <c r="P50" s="43"/>
      <c r="Q50" s="43"/>
      <c r="R50" s="43"/>
      <c r="S50" s="43"/>
      <c r="T50" s="534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508"/>
      <c r="AG50" s="43"/>
      <c r="AH50" s="43"/>
      <c r="AI50" s="43"/>
      <c r="AJ50" s="43"/>
      <c r="AK50" s="43"/>
      <c r="AL50" s="43"/>
      <c r="AM50" s="43"/>
      <c r="AN50" s="43"/>
      <c r="AO50" s="43"/>
      <c r="AP50" s="43"/>
      <c r="AQ50" s="43"/>
      <c r="AR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</row>
    <row r="51" spans="1:62" outlineLevel="1" x14ac:dyDescent="0.2">
      <c r="A51" s="2" t="s">
        <v>65</v>
      </c>
      <c r="C51" s="428"/>
      <c r="G51" s="509"/>
      <c r="O51" s="428"/>
    </row>
    <row r="52" spans="1:62" outlineLevel="1" x14ac:dyDescent="0.2">
      <c r="A52" s="501" t="s">
        <v>330</v>
      </c>
      <c r="C52" s="372">
        <f t="shared" ref="C52:F57" si="108">C61/2</f>
        <v>55362.5</v>
      </c>
      <c r="D52" s="373">
        <f t="shared" si="108"/>
        <v>55362.5</v>
      </c>
      <c r="E52" s="373">
        <f t="shared" si="108"/>
        <v>55362.5</v>
      </c>
      <c r="F52" s="374">
        <f t="shared" si="108"/>
        <v>55362.5</v>
      </c>
      <c r="G52" s="509"/>
      <c r="H52" s="523"/>
      <c r="I52" s="372">
        <f>I69/2*I77</f>
        <v>60807.991803278688</v>
      </c>
      <c r="J52" s="373">
        <f>I52</f>
        <v>60807.991803278688</v>
      </c>
      <c r="K52" s="373">
        <f>J52</f>
        <v>60807.991803278688</v>
      </c>
      <c r="L52" s="374">
        <f>K52</f>
        <v>60807.991803278688</v>
      </c>
      <c r="O52" s="418">
        <f>I52</f>
        <v>60807.991803278688</v>
      </c>
      <c r="P52" s="373">
        <f>O52</f>
        <v>60807.991803278688</v>
      </c>
      <c r="Q52" s="373">
        <f t="shared" ref="Q52:R52" si="109">P52</f>
        <v>60807.991803278688</v>
      </c>
      <c r="R52" s="374">
        <f t="shared" si="109"/>
        <v>60807.991803278688</v>
      </c>
      <c r="U52" s="418">
        <f>O52</f>
        <v>60807.991803278688</v>
      </c>
      <c r="V52" s="373">
        <f>U52</f>
        <v>60807.991803278688</v>
      </c>
      <c r="W52" s="373">
        <f t="shared" ref="W52:W57" si="110">V52</f>
        <v>60807.991803278688</v>
      </c>
      <c r="X52" s="374">
        <f t="shared" ref="X52:X57" si="111">W52</f>
        <v>60807.991803278688</v>
      </c>
      <c r="AA52" s="418">
        <f>U52</f>
        <v>60807.991803278688</v>
      </c>
      <c r="AB52" s="373">
        <f>AA52</f>
        <v>60807.991803278688</v>
      </c>
      <c r="AC52" s="373">
        <f t="shared" ref="AC52:AC57" si="112">AB52</f>
        <v>60807.991803278688</v>
      </c>
      <c r="AD52" s="374">
        <f t="shared" ref="AD52:AD57" si="113">AC52</f>
        <v>60807.991803278688</v>
      </c>
    </row>
    <row r="53" spans="1:62" outlineLevel="1" x14ac:dyDescent="0.2">
      <c r="A53" s="39" t="s">
        <v>63</v>
      </c>
      <c r="C53" s="375">
        <f t="shared" si="108"/>
        <v>35026.5</v>
      </c>
      <c r="D53" s="171">
        <f t="shared" si="108"/>
        <v>35026.5</v>
      </c>
      <c r="E53" s="171">
        <f t="shared" si="108"/>
        <v>35026.5</v>
      </c>
      <c r="F53" s="376">
        <f t="shared" si="108"/>
        <v>35026.5</v>
      </c>
      <c r="G53" s="509"/>
      <c r="H53" s="523"/>
      <c r="I53" s="375">
        <f t="shared" ref="I53:I57" si="114">I70/2*I78</f>
        <v>39536.349785407721</v>
      </c>
      <c r="J53" s="171">
        <f t="shared" ref="J53:L57" si="115">I53</f>
        <v>39536.349785407721</v>
      </c>
      <c r="K53" s="171">
        <f t="shared" si="115"/>
        <v>39536.349785407721</v>
      </c>
      <c r="L53" s="376">
        <f t="shared" si="115"/>
        <v>39536.349785407721</v>
      </c>
      <c r="O53" s="419">
        <f t="shared" ref="O53:O57" si="116">I53</f>
        <v>39536.349785407721</v>
      </c>
      <c r="P53" s="171">
        <f t="shared" ref="P53:R57" si="117">O53</f>
        <v>39536.349785407721</v>
      </c>
      <c r="Q53" s="171">
        <f t="shared" si="117"/>
        <v>39536.349785407721</v>
      </c>
      <c r="R53" s="376">
        <f t="shared" si="117"/>
        <v>39536.349785407721</v>
      </c>
      <c r="T53" s="347"/>
      <c r="U53" s="419">
        <f t="shared" ref="U53:U57" si="118">O53</f>
        <v>39536.349785407721</v>
      </c>
      <c r="V53" s="171">
        <f t="shared" ref="V53:V57" si="119">U53</f>
        <v>39536.349785407721</v>
      </c>
      <c r="W53" s="171">
        <f t="shared" si="110"/>
        <v>39536.349785407721</v>
      </c>
      <c r="X53" s="376">
        <f t="shared" si="111"/>
        <v>39536.349785407721</v>
      </c>
      <c r="Y53" s="156"/>
      <c r="Z53" s="156"/>
      <c r="AA53" s="419">
        <f t="shared" ref="AA53:AA57" si="120">U53</f>
        <v>39536.349785407721</v>
      </c>
      <c r="AB53" s="171">
        <f t="shared" ref="AB53:AB57" si="121">AA53</f>
        <v>39536.349785407721</v>
      </c>
      <c r="AC53" s="171">
        <f t="shared" si="112"/>
        <v>39536.349785407721</v>
      </c>
      <c r="AD53" s="376">
        <f t="shared" si="113"/>
        <v>39536.349785407721</v>
      </c>
      <c r="AE53" s="156"/>
      <c r="AF53" s="304"/>
      <c r="AG53" s="2"/>
      <c r="AH53" s="2"/>
      <c r="AI53" s="2"/>
      <c r="AJ53" s="2"/>
      <c r="AK53" s="2"/>
      <c r="AL53" s="2"/>
    </row>
    <row r="54" spans="1:62" outlineLevel="1" x14ac:dyDescent="0.2">
      <c r="A54" s="39" t="s">
        <v>66</v>
      </c>
      <c r="C54" s="375">
        <f t="shared" si="108"/>
        <v>23721.5</v>
      </c>
      <c r="D54" s="171">
        <f t="shared" si="108"/>
        <v>23721.5</v>
      </c>
      <c r="E54" s="171">
        <f t="shared" si="108"/>
        <v>23721.5</v>
      </c>
      <c r="F54" s="376">
        <f t="shared" si="108"/>
        <v>23721.5</v>
      </c>
      <c r="G54" s="509"/>
      <c r="H54" s="523"/>
      <c r="I54" s="375">
        <f t="shared" si="114"/>
        <v>27835.0549132948</v>
      </c>
      <c r="J54" s="171">
        <f t="shared" si="115"/>
        <v>27835.0549132948</v>
      </c>
      <c r="K54" s="171">
        <f t="shared" si="115"/>
        <v>27835.0549132948</v>
      </c>
      <c r="L54" s="376">
        <f t="shared" si="115"/>
        <v>27835.0549132948</v>
      </c>
      <c r="O54" s="419">
        <f t="shared" si="116"/>
        <v>27835.0549132948</v>
      </c>
      <c r="P54" s="171">
        <f t="shared" si="117"/>
        <v>27835.0549132948</v>
      </c>
      <c r="Q54" s="171">
        <f t="shared" si="117"/>
        <v>27835.0549132948</v>
      </c>
      <c r="R54" s="376">
        <f t="shared" si="117"/>
        <v>27835.0549132948</v>
      </c>
      <c r="T54" s="347"/>
      <c r="U54" s="419">
        <f t="shared" si="118"/>
        <v>27835.0549132948</v>
      </c>
      <c r="V54" s="171">
        <f t="shared" si="119"/>
        <v>27835.0549132948</v>
      </c>
      <c r="W54" s="171">
        <f t="shared" si="110"/>
        <v>27835.0549132948</v>
      </c>
      <c r="X54" s="376">
        <f t="shared" si="111"/>
        <v>27835.0549132948</v>
      </c>
      <c r="Y54" s="156"/>
      <c r="Z54" s="156"/>
      <c r="AA54" s="419">
        <f t="shared" si="120"/>
        <v>27835.0549132948</v>
      </c>
      <c r="AB54" s="171">
        <f t="shared" si="121"/>
        <v>27835.0549132948</v>
      </c>
      <c r="AC54" s="171">
        <f t="shared" si="112"/>
        <v>27835.0549132948</v>
      </c>
      <c r="AD54" s="376">
        <f t="shared" si="113"/>
        <v>27835.0549132948</v>
      </c>
      <c r="AE54" s="156"/>
      <c r="AF54" s="304"/>
      <c r="AG54" s="2"/>
      <c r="AH54" s="2"/>
      <c r="AI54" s="2"/>
      <c r="AJ54" s="2"/>
      <c r="AK54" s="2"/>
      <c r="AL54" s="2"/>
    </row>
    <row r="55" spans="1:62" outlineLevel="1" x14ac:dyDescent="0.2">
      <c r="A55" s="39" t="s">
        <v>67</v>
      </c>
      <c r="C55" s="375">
        <f t="shared" si="108"/>
        <v>20475.5</v>
      </c>
      <c r="D55" s="171">
        <f t="shared" si="108"/>
        <v>20475.5</v>
      </c>
      <c r="E55" s="171">
        <f t="shared" si="108"/>
        <v>20475.5</v>
      </c>
      <c r="F55" s="376">
        <f t="shared" si="108"/>
        <v>20475.5</v>
      </c>
      <c r="G55" s="509"/>
      <c r="H55" s="523"/>
      <c r="I55" s="375">
        <f t="shared" si="114"/>
        <v>24598.083892617447</v>
      </c>
      <c r="J55" s="171">
        <f t="shared" si="115"/>
        <v>24598.083892617447</v>
      </c>
      <c r="K55" s="171">
        <f t="shared" si="115"/>
        <v>24598.083892617447</v>
      </c>
      <c r="L55" s="376">
        <f t="shared" si="115"/>
        <v>24598.083892617447</v>
      </c>
      <c r="O55" s="419">
        <f t="shared" si="116"/>
        <v>24598.083892617447</v>
      </c>
      <c r="P55" s="171">
        <f t="shared" si="117"/>
        <v>24598.083892617447</v>
      </c>
      <c r="Q55" s="171">
        <f t="shared" si="117"/>
        <v>24598.083892617447</v>
      </c>
      <c r="R55" s="376">
        <f t="shared" si="117"/>
        <v>24598.083892617447</v>
      </c>
      <c r="T55" s="347"/>
      <c r="U55" s="419">
        <f t="shared" si="118"/>
        <v>24598.083892617447</v>
      </c>
      <c r="V55" s="171">
        <f t="shared" si="119"/>
        <v>24598.083892617447</v>
      </c>
      <c r="W55" s="171">
        <f t="shared" si="110"/>
        <v>24598.083892617447</v>
      </c>
      <c r="X55" s="376">
        <f t="shared" si="111"/>
        <v>24598.083892617447</v>
      </c>
      <c r="Y55" s="156"/>
      <c r="Z55" s="156"/>
      <c r="AA55" s="419">
        <f t="shared" si="120"/>
        <v>24598.083892617447</v>
      </c>
      <c r="AB55" s="171">
        <f t="shared" si="121"/>
        <v>24598.083892617447</v>
      </c>
      <c r="AC55" s="171">
        <f t="shared" si="112"/>
        <v>24598.083892617447</v>
      </c>
      <c r="AD55" s="376">
        <f t="shared" si="113"/>
        <v>24598.083892617447</v>
      </c>
      <c r="AE55" s="156"/>
      <c r="AF55" s="304"/>
      <c r="AG55" s="2"/>
      <c r="AH55" s="2"/>
      <c r="AI55" s="2"/>
      <c r="AJ55" s="2"/>
      <c r="AK55" s="2"/>
      <c r="AL55" s="2"/>
    </row>
    <row r="56" spans="1:62" outlineLevel="1" x14ac:dyDescent="0.2">
      <c r="A56" s="39" t="s">
        <v>331</v>
      </c>
      <c r="C56" s="375">
        <f t="shared" si="108"/>
        <v>16914</v>
      </c>
      <c r="D56" s="171">
        <f t="shared" si="108"/>
        <v>16914</v>
      </c>
      <c r="E56" s="171">
        <f t="shared" si="108"/>
        <v>16914</v>
      </c>
      <c r="F56" s="376">
        <f t="shared" si="108"/>
        <v>16914</v>
      </c>
      <c r="G56" s="509"/>
      <c r="H56" s="523"/>
      <c r="I56" s="375">
        <f t="shared" si="114"/>
        <v>20847.488372093023</v>
      </c>
      <c r="J56" s="171">
        <f t="shared" si="115"/>
        <v>20847.488372093023</v>
      </c>
      <c r="K56" s="171">
        <f t="shared" si="115"/>
        <v>20847.488372093023</v>
      </c>
      <c r="L56" s="376">
        <f t="shared" si="115"/>
        <v>20847.488372093023</v>
      </c>
      <c r="O56" s="419">
        <f t="shared" si="116"/>
        <v>20847.488372093023</v>
      </c>
      <c r="P56" s="171">
        <f t="shared" si="117"/>
        <v>20847.488372093023</v>
      </c>
      <c r="Q56" s="171">
        <f t="shared" si="117"/>
        <v>20847.488372093023</v>
      </c>
      <c r="R56" s="376">
        <f t="shared" si="117"/>
        <v>20847.488372093023</v>
      </c>
      <c r="T56" s="347"/>
      <c r="U56" s="419">
        <f t="shared" si="118"/>
        <v>20847.488372093023</v>
      </c>
      <c r="V56" s="171">
        <f t="shared" si="119"/>
        <v>20847.488372093023</v>
      </c>
      <c r="W56" s="171">
        <f t="shared" si="110"/>
        <v>20847.488372093023</v>
      </c>
      <c r="X56" s="376">
        <f t="shared" si="111"/>
        <v>20847.488372093023</v>
      </c>
      <c r="Y56" s="156"/>
      <c r="Z56" s="156"/>
      <c r="AA56" s="419">
        <f t="shared" si="120"/>
        <v>20847.488372093023</v>
      </c>
      <c r="AB56" s="171">
        <f t="shared" si="121"/>
        <v>20847.488372093023</v>
      </c>
      <c r="AC56" s="171">
        <f t="shared" si="112"/>
        <v>20847.488372093023</v>
      </c>
      <c r="AD56" s="376">
        <f t="shared" si="113"/>
        <v>20847.488372093023</v>
      </c>
      <c r="AE56" s="156"/>
      <c r="AF56" s="304"/>
      <c r="AG56" s="2"/>
      <c r="AH56" s="2"/>
      <c r="AI56" s="2"/>
      <c r="AJ56" s="2"/>
      <c r="AK56" s="2"/>
      <c r="AL56" s="2"/>
    </row>
    <row r="57" spans="1:62" outlineLevel="1" x14ac:dyDescent="0.2">
      <c r="A57" s="472" t="s">
        <v>332</v>
      </c>
      <c r="C57" s="377">
        <f t="shared" si="108"/>
        <v>10790.5</v>
      </c>
      <c r="D57" s="378">
        <f t="shared" si="108"/>
        <v>10790.5</v>
      </c>
      <c r="E57" s="378">
        <f t="shared" si="108"/>
        <v>10790.5</v>
      </c>
      <c r="F57" s="379">
        <f t="shared" si="108"/>
        <v>10790.5</v>
      </c>
      <c r="G57" s="509"/>
      <c r="H57" s="523"/>
      <c r="I57" s="377">
        <f t="shared" si="114"/>
        <v>14127.768041237114</v>
      </c>
      <c r="J57" s="378">
        <f t="shared" si="115"/>
        <v>14127.768041237114</v>
      </c>
      <c r="K57" s="378">
        <f t="shared" si="115"/>
        <v>14127.768041237114</v>
      </c>
      <c r="L57" s="379">
        <f t="shared" si="115"/>
        <v>14127.768041237114</v>
      </c>
      <c r="O57" s="420">
        <f t="shared" si="116"/>
        <v>14127.768041237114</v>
      </c>
      <c r="P57" s="378">
        <f t="shared" si="117"/>
        <v>14127.768041237114</v>
      </c>
      <c r="Q57" s="378">
        <f t="shared" si="117"/>
        <v>14127.768041237114</v>
      </c>
      <c r="R57" s="379">
        <f t="shared" si="117"/>
        <v>14127.768041237114</v>
      </c>
      <c r="T57" s="347"/>
      <c r="U57" s="420">
        <f t="shared" si="118"/>
        <v>14127.768041237114</v>
      </c>
      <c r="V57" s="378">
        <f t="shared" si="119"/>
        <v>14127.768041237114</v>
      </c>
      <c r="W57" s="378">
        <f t="shared" si="110"/>
        <v>14127.768041237114</v>
      </c>
      <c r="X57" s="379">
        <f t="shared" si="111"/>
        <v>14127.768041237114</v>
      </c>
      <c r="Y57" s="156"/>
      <c r="Z57" s="156"/>
      <c r="AA57" s="420">
        <f t="shared" si="120"/>
        <v>14127.768041237114</v>
      </c>
      <c r="AB57" s="378">
        <f t="shared" si="121"/>
        <v>14127.768041237114</v>
      </c>
      <c r="AC57" s="378">
        <f t="shared" si="112"/>
        <v>14127.768041237114</v>
      </c>
      <c r="AD57" s="379">
        <f t="shared" si="113"/>
        <v>14127.768041237114</v>
      </c>
      <c r="AE57" s="156"/>
      <c r="AF57" s="304"/>
      <c r="AG57" s="2"/>
      <c r="AH57" s="2"/>
      <c r="AI57" s="2"/>
      <c r="AJ57" s="2"/>
      <c r="AK57" s="2"/>
      <c r="AL57" s="2"/>
    </row>
    <row r="58" spans="1:62" outlineLevel="1" x14ac:dyDescent="0.2">
      <c r="A58" s="2"/>
      <c r="C58" s="171"/>
      <c r="D58" s="171"/>
      <c r="E58" s="171"/>
      <c r="F58" s="171"/>
      <c r="G58" s="412"/>
      <c r="H58" s="523"/>
      <c r="I58" s="171"/>
      <c r="J58" s="171"/>
      <c r="K58" s="171"/>
      <c r="L58" s="171"/>
      <c r="O58" s="171"/>
      <c r="P58" s="171"/>
      <c r="Q58" s="171"/>
      <c r="R58" s="171"/>
      <c r="T58" s="347"/>
      <c r="U58" s="156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304"/>
      <c r="AG58" s="2"/>
      <c r="AH58" s="2"/>
      <c r="AI58" s="2"/>
      <c r="AJ58" s="2"/>
      <c r="AK58" s="2"/>
      <c r="AL58" s="2"/>
    </row>
    <row r="59" spans="1:62" s="494" customFormat="1" outlineLevel="1" x14ac:dyDescent="0.2">
      <c r="A59" s="150" t="s">
        <v>350</v>
      </c>
      <c r="B59" s="510"/>
      <c r="C59" s="511"/>
      <c r="D59" s="150"/>
      <c r="E59" s="150"/>
      <c r="F59" s="150"/>
      <c r="G59" s="512"/>
      <c r="H59" s="130"/>
      <c r="I59" s="539"/>
      <c r="J59" s="21"/>
      <c r="K59" s="21"/>
      <c r="L59" s="21"/>
      <c r="M59" s="540"/>
      <c r="N59" s="556"/>
      <c r="O59" s="410"/>
      <c r="P59" s="410"/>
      <c r="Q59" s="410"/>
      <c r="R59" s="410"/>
      <c r="S59" s="410"/>
      <c r="T59" s="556"/>
      <c r="U59" s="150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512"/>
      <c r="AG59" s="150"/>
      <c r="AH59" s="150"/>
      <c r="AI59" s="150"/>
      <c r="AJ59" s="150"/>
      <c r="AK59" s="150"/>
      <c r="AL59" s="150"/>
      <c r="AM59" s="21"/>
      <c r="AN59" s="21"/>
      <c r="AO59" s="21"/>
      <c r="AP59" s="21"/>
      <c r="AQ59" s="21"/>
      <c r="AR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</row>
    <row r="60" spans="1:62" outlineLevel="1" x14ac:dyDescent="0.2">
      <c r="A60" s="2" t="s">
        <v>65</v>
      </c>
      <c r="D60" s="2"/>
      <c r="E60" s="2"/>
      <c r="F60" s="2"/>
      <c r="G60" s="513"/>
      <c r="N60" s="386"/>
      <c r="O60" s="331"/>
      <c r="P60" s="331"/>
      <c r="Q60" s="331"/>
      <c r="R60" s="331"/>
      <c r="S60" s="331"/>
      <c r="T60" s="386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62"/>
      <c r="AF60" s="565"/>
      <c r="AG60" s="2"/>
      <c r="AH60" s="2"/>
      <c r="AI60" s="2"/>
      <c r="AJ60" s="2"/>
      <c r="AK60" s="2"/>
      <c r="AL60" s="2"/>
    </row>
    <row r="61" spans="1:62" outlineLevel="1" x14ac:dyDescent="0.2">
      <c r="A61" s="501" t="s">
        <v>330</v>
      </c>
      <c r="C61" s="391">
        <f>'MPS др метрики'!C54</f>
        <v>110725</v>
      </c>
      <c r="D61" s="431">
        <f t="shared" ref="D61:D66" si="122">C61</f>
        <v>110725</v>
      </c>
      <c r="E61" s="431">
        <f t="shared" ref="E61:F61" si="123">D61</f>
        <v>110725</v>
      </c>
      <c r="F61" s="491">
        <f t="shared" si="123"/>
        <v>110725</v>
      </c>
      <c r="G61" s="513"/>
      <c r="I61" s="391">
        <f t="shared" ref="I61:I66" si="124">C61</f>
        <v>110725</v>
      </c>
      <c r="J61" s="392">
        <f>I61</f>
        <v>110725</v>
      </c>
      <c r="K61" s="392">
        <f t="shared" ref="K61:L61" si="125">J61</f>
        <v>110725</v>
      </c>
      <c r="L61" s="393">
        <f t="shared" si="125"/>
        <v>110725</v>
      </c>
      <c r="N61" s="386"/>
      <c r="O61" s="391">
        <f t="shared" ref="O61:R66" si="126">I61</f>
        <v>110725</v>
      </c>
      <c r="P61" s="392">
        <f t="shared" si="126"/>
        <v>110725</v>
      </c>
      <c r="Q61" s="392">
        <f t="shared" si="126"/>
        <v>110725</v>
      </c>
      <c r="R61" s="393">
        <f t="shared" si="126"/>
        <v>110725</v>
      </c>
      <c r="S61" s="331"/>
      <c r="T61" s="386"/>
      <c r="U61" s="391">
        <f t="shared" ref="U61:U66" si="127">O61</f>
        <v>110725</v>
      </c>
      <c r="V61" s="392">
        <f t="shared" ref="V61:V66" si="128">P61</f>
        <v>110725</v>
      </c>
      <c r="W61" s="392">
        <f t="shared" ref="W61:W66" si="129">Q61</f>
        <v>110725</v>
      </c>
      <c r="X61" s="393">
        <f t="shared" ref="X61:X66" si="130">R61</f>
        <v>110725</v>
      </c>
      <c r="Y61" s="62"/>
      <c r="Z61" s="62"/>
      <c r="AA61" s="391">
        <f t="shared" ref="AA61:AA66" si="131">U61</f>
        <v>110725</v>
      </c>
      <c r="AB61" s="392">
        <f t="shared" ref="AB61:AB66" si="132">V61</f>
        <v>110725</v>
      </c>
      <c r="AC61" s="392">
        <f t="shared" ref="AC61:AC66" si="133">W61</f>
        <v>110725</v>
      </c>
      <c r="AD61" s="393">
        <f t="shared" ref="AD61:AD66" si="134">X61</f>
        <v>110725</v>
      </c>
      <c r="AE61" s="62"/>
      <c r="AF61" s="565"/>
      <c r="AG61" s="2"/>
      <c r="AH61" s="2"/>
      <c r="AI61" s="2"/>
      <c r="AJ61" s="2"/>
      <c r="AK61" s="2"/>
      <c r="AL61" s="2"/>
    </row>
    <row r="62" spans="1:62" s="2" customFormat="1" outlineLevel="1" x14ac:dyDescent="0.2">
      <c r="A62" s="39" t="s">
        <v>63</v>
      </c>
      <c r="B62" s="441"/>
      <c r="C62" s="394">
        <f>'MPS др метрики'!C55</f>
        <v>70053</v>
      </c>
      <c r="D62" s="432">
        <f t="shared" si="122"/>
        <v>70053</v>
      </c>
      <c r="E62" s="432">
        <f t="shared" ref="E62:F66" si="135">D62</f>
        <v>70053</v>
      </c>
      <c r="F62" s="492">
        <f t="shared" si="135"/>
        <v>70053</v>
      </c>
      <c r="G62" s="513"/>
      <c r="H62" s="88"/>
      <c r="I62" s="394">
        <f t="shared" si="124"/>
        <v>70053</v>
      </c>
      <c r="J62" s="296">
        <f t="shared" ref="J62:L62" si="136">I62</f>
        <v>70053</v>
      </c>
      <c r="K62" s="296">
        <f t="shared" si="136"/>
        <v>70053</v>
      </c>
      <c r="L62" s="395">
        <f t="shared" si="136"/>
        <v>70053</v>
      </c>
      <c r="M62" s="300"/>
      <c r="N62" s="386"/>
      <c r="O62" s="394">
        <f t="shared" si="126"/>
        <v>70053</v>
      </c>
      <c r="P62" s="296">
        <f t="shared" si="126"/>
        <v>70053</v>
      </c>
      <c r="Q62" s="296">
        <f t="shared" si="126"/>
        <v>70053</v>
      </c>
      <c r="R62" s="395">
        <f t="shared" si="126"/>
        <v>70053</v>
      </c>
      <c r="S62" s="331"/>
      <c r="T62" s="386"/>
      <c r="U62" s="394">
        <f t="shared" si="127"/>
        <v>70053</v>
      </c>
      <c r="V62" s="296">
        <f t="shared" si="128"/>
        <v>70053</v>
      </c>
      <c r="W62" s="296">
        <f t="shared" si="129"/>
        <v>70053</v>
      </c>
      <c r="X62" s="395">
        <f t="shared" si="130"/>
        <v>70053</v>
      </c>
      <c r="Y62" s="62"/>
      <c r="Z62" s="62"/>
      <c r="AA62" s="394">
        <f t="shared" si="131"/>
        <v>70053</v>
      </c>
      <c r="AB62" s="296">
        <f t="shared" si="132"/>
        <v>70053</v>
      </c>
      <c r="AC62" s="296">
        <f t="shared" si="133"/>
        <v>70053</v>
      </c>
      <c r="AD62" s="395">
        <f t="shared" si="134"/>
        <v>70053</v>
      </c>
      <c r="AE62" s="62"/>
      <c r="AF62" s="565"/>
      <c r="AM62" s="1"/>
      <c r="AN62" s="1"/>
      <c r="AO62" s="1"/>
      <c r="AP62" s="1"/>
      <c r="AQ62" s="1"/>
      <c r="AR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</row>
    <row r="63" spans="1:62" s="2" customFormat="1" outlineLevel="1" x14ac:dyDescent="0.2">
      <c r="A63" s="39" t="s">
        <v>66</v>
      </c>
      <c r="B63" s="441"/>
      <c r="C63" s="394">
        <f>'MPS др метрики'!C56</f>
        <v>47443</v>
      </c>
      <c r="D63" s="432">
        <f t="shared" si="122"/>
        <v>47443</v>
      </c>
      <c r="E63" s="432">
        <f t="shared" si="135"/>
        <v>47443</v>
      </c>
      <c r="F63" s="492">
        <f t="shared" si="135"/>
        <v>47443</v>
      </c>
      <c r="G63" s="513"/>
      <c r="H63" s="88"/>
      <c r="I63" s="394">
        <f t="shared" si="124"/>
        <v>47443</v>
      </c>
      <c r="J63" s="296">
        <f t="shared" ref="J63:L63" si="137">I63</f>
        <v>47443</v>
      </c>
      <c r="K63" s="296">
        <f t="shared" si="137"/>
        <v>47443</v>
      </c>
      <c r="L63" s="395">
        <f t="shared" si="137"/>
        <v>47443</v>
      </c>
      <c r="M63" s="300"/>
      <c r="N63" s="386"/>
      <c r="O63" s="394">
        <f t="shared" si="126"/>
        <v>47443</v>
      </c>
      <c r="P63" s="296">
        <f t="shared" si="126"/>
        <v>47443</v>
      </c>
      <c r="Q63" s="296">
        <f t="shared" si="126"/>
        <v>47443</v>
      </c>
      <c r="R63" s="395">
        <f t="shared" si="126"/>
        <v>47443</v>
      </c>
      <c r="S63" s="331"/>
      <c r="T63" s="386"/>
      <c r="U63" s="394">
        <f t="shared" si="127"/>
        <v>47443</v>
      </c>
      <c r="V63" s="296">
        <f t="shared" si="128"/>
        <v>47443</v>
      </c>
      <c r="W63" s="296">
        <f t="shared" si="129"/>
        <v>47443</v>
      </c>
      <c r="X63" s="395">
        <f t="shared" si="130"/>
        <v>47443</v>
      </c>
      <c r="Y63" s="62"/>
      <c r="Z63" s="62"/>
      <c r="AA63" s="394">
        <f t="shared" si="131"/>
        <v>47443</v>
      </c>
      <c r="AB63" s="296">
        <f t="shared" si="132"/>
        <v>47443</v>
      </c>
      <c r="AC63" s="296">
        <f t="shared" si="133"/>
        <v>47443</v>
      </c>
      <c r="AD63" s="395">
        <f t="shared" si="134"/>
        <v>47443</v>
      </c>
      <c r="AE63" s="62"/>
      <c r="AF63" s="565"/>
      <c r="AM63" s="1"/>
      <c r="AN63" s="1"/>
      <c r="AO63" s="1"/>
      <c r="AP63" s="1"/>
      <c r="AQ63" s="1"/>
      <c r="AR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</row>
    <row r="64" spans="1:62" s="2" customFormat="1" outlineLevel="1" x14ac:dyDescent="0.2">
      <c r="A64" s="39" t="s">
        <v>67</v>
      </c>
      <c r="B64" s="441"/>
      <c r="C64" s="394">
        <f>'MPS др метрики'!C57</f>
        <v>40951</v>
      </c>
      <c r="D64" s="432">
        <f t="shared" si="122"/>
        <v>40951</v>
      </c>
      <c r="E64" s="432">
        <f t="shared" si="135"/>
        <v>40951</v>
      </c>
      <c r="F64" s="492">
        <f t="shared" si="135"/>
        <v>40951</v>
      </c>
      <c r="G64" s="513"/>
      <c r="H64" s="88"/>
      <c r="I64" s="394">
        <f t="shared" si="124"/>
        <v>40951</v>
      </c>
      <c r="J64" s="296">
        <f t="shared" ref="J64:L64" si="138">I64</f>
        <v>40951</v>
      </c>
      <c r="K64" s="296">
        <f t="shared" si="138"/>
        <v>40951</v>
      </c>
      <c r="L64" s="395">
        <f t="shared" si="138"/>
        <v>40951</v>
      </c>
      <c r="M64" s="300"/>
      <c r="N64" s="386"/>
      <c r="O64" s="394">
        <f t="shared" si="126"/>
        <v>40951</v>
      </c>
      <c r="P64" s="296">
        <f t="shared" si="126"/>
        <v>40951</v>
      </c>
      <c r="Q64" s="296">
        <f t="shared" si="126"/>
        <v>40951</v>
      </c>
      <c r="R64" s="395">
        <f t="shared" si="126"/>
        <v>40951</v>
      </c>
      <c r="S64" s="331"/>
      <c r="T64" s="386"/>
      <c r="U64" s="394">
        <f t="shared" si="127"/>
        <v>40951</v>
      </c>
      <c r="V64" s="296">
        <f t="shared" si="128"/>
        <v>40951</v>
      </c>
      <c r="W64" s="296">
        <f t="shared" si="129"/>
        <v>40951</v>
      </c>
      <c r="X64" s="395">
        <f t="shared" si="130"/>
        <v>40951</v>
      </c>
      <c r="Y64" s="62"/>
      <c r="Z64" s="62"/>
      <c r="AA64" s="394">
        <f t="shared" si="131"/>
        <v>40951</v>
      </c>
      <c r="AB64" s="296">
        <f t="shared" si="132"/>
        <v>40951</v>
      </c>
      <c r="AC64" s="296">
        <f t="shared" si="133"/>
        <v>40951</v>
      </c>
      <c r="AD64" s="395">
        <f t="shared" si="134"/>
        <v>40951</v>
      </c>
      <c r="AE64" s="62"/>
      <c r="AF64" s="565"/>
      <c r="AM64" s="1"/>
      <c r="AN64" s="1"/>
      <c r="AO64" s="1"/>
      <c r="AP64" s="1"/>
      <c r="AQ64" s="1"/>
      <c r="AR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</row>
    <row r="65" spans="1:62" s="2" customFormat="1" outlineLevel="1" x14ac:dyDescent="0.2">
      <c r="A65" s="39" t="s">
        <v>331</v>
      </c>
      <c r="B65" s="441"/>
      <c r="C65" s="394">
        <f>'MPS др метрики'!C58</f>
        <v>33828</v>
      </c>
      <c r="D65" s="432">
        <f t="shared" si="122"/>
        <v>33828</v>
      </c>
      <c r="E65" s="432">
        <f t="shared" si="135"/>
        <v>33828</v>
      </c>
      <c r="F65" s="492">
        <f t="shared" si="135"/>
        <v>33828</v>
      </c>
      <c r="G65" s="513"/>
      <c r="H65" s="88"/>
      <c r="I65" s="394">
        <f t="shared" si="124"/>
        <v>33828</v>
      </c>
      <c r="J65" s="296">
        <f t="shared" ref="J65:L65" si="139">I65</f>
        <v>33828</v>
      </c>
      <c r="K65" s="296">
        <f t="shared" si="139"/>
        <v>33828</v>
      </c>
      <c r="L65" s="395">
        <f t="shared" si="139"/>
        <v>33828</v>
      </c>
      <c r="M65" s="300"/>
      <c r="N65" s="386"/>
      <c r="O65" s="394">
        <f t="shared" si="126"/>
        <v>33828</v>
      </c>
      <c r="P65" s="296">
        <f t="shared" si="126"/>
        <v>33828</v>
      </c>
      <c r="Q65" s="296">
        <f t="shared" si="126"/>
        <v>33828</v>
      </c>
      <c r="R65" s="395">
        <f t="shared" si="126"/>
        <v>33828</v>
      </c>
      <c r="S65" s="331"/>
      <c r="T65" s="386"/>
      <c r="U65" s="394">
        <f t="shared" si="127"/>
        <v>33828</v>
      </c>
      <c r="V65" s="296">
        <f t="shared" si="128"/>
        <v>33828</v>
      </c>
      <c r="W65" s="296">
        <f t="shared" si="129"/>
        <v>33828</v>
      </c>
      <c r="X65" s="395">
        <f t="shared" si="130"/>
        <v>33828</v>
      </c>
      <c r="Y65" s="62"/>
      <c r="Z65" s="62"/>
      <c r="AA65" s="394">
        <f t="shared" si="131"/>
        <v>33828</v>
      </c>
      <c r="AB65" s="296">
        <f t="shared" si="132"/>
        <v>33828</v>
      </c>
      <c r="AC65" s="296">
        <f t="shared" si="133"/>
        <v>33828</v>
      </c>
      <c r="AD65" s="395">
        <f t="shared" si="134"/>
        <v>33828</v>
      </c>
      <c r="AE65" s="62"/>
      <c r="AF65" s="565"/>
      <c r="AM65" s="1"/>
      <c r="AN65" s="1"/>
      <c r="AO65" s="1"/>
      <c r="AP65" s="1"/>
      <c r="AQ65" s="1"/>
      <c r="AR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</row>
    <row r="66" spans="1:62" s="2" customFormat="1" outlineLevel="1" x14ac:dyDescent="0.2">
      <c r="A66" s="472" t="s">
        <v>332</v>
      </c>
      <c r="B66" s="514"/>
      <c r="C66" s="396">
        <f>'MPS др метрики'!C59</f>
        <v>21581</v>
      </c>
      <c r="D66" s="433">
        <f t="shared" si="122"/>
        <v>21581</v>
      </c>
      <c r="E66" s="433">
        <f t="shared" si="135"/>
        <v>21581</v>
      </c>
      <c r="F66" s="493">
        <f t="shared" si="135"/>
        <v>21581</v>
      </c>
      <c r="G66" s="513"/>
      <c r="H66" s="88"/>
      <c r="I66" s="396">
        <f t="shared" si="124"/>
        <v>21581</v>
      </c>
      <c r="J66" s="397">
        <f t="shared" ref="J66:L66" si="140">I66</f>
        <v>21581</v>
      </c>
      <c r="K66" s="397">
        <f t="shared" si="140"/>
        <v>21581</v>
      </c>
      <c r="L66" s="398">
        <f t="shared" si="140"/>
        <v>21581</v>
      </c>
      <c r="M66" s="300"/>
      <c r="N66" s="88"/>
      <c r="O66" s="396">
        <f t="shared" si="126"/>
        <v>21581</v>
      </c>
      <c r="P66" s="397">
        <f t="shared" si="126"/>
        <v>21581</v>
      </c>
      <c r="Q66" s="397">
        <f t="shared" si="126"/>
        <v>21581</v>
      </c>
      <c r="R66" s="398">
        <f t="shared" si="126"/>
        <v>21581</v>
      </c>
      <c r="S66" s="331"/>
      <c r="T66" s="386"/>
      <c r="U66" s="396">
        <f t="shared" si="127"/>
        <v>21581</v>
      </c>
      <c r="V66" s="397">
        <f t="shared" si="128"/>
        <v>21581</v>
      </c>
      <c r="W66" s="397">
        <f t="shared" si="129"/>
        <v>21581</v>
      </c>
      <c r="X66" s="398">
        <f t="shared" si="130"/>
        <v>21581</v>
      </c>
      <c r="Y66" s="62"/>
      <c r="Z66" s="62"/>
      <c r="AA66" s="396">
        <f t="shared" si="131"/>
        <v>21581</v>
      </c>
      <c r="AB66" s="397">
        <f t="shared" si="132"/>
        <v>21581</v>
      </c>
      <c r="AC66" s="397">
        <f t="shared" si="133"/>
        <v>21581</v>
      </c>
      <c r="AD66" s="398">
        <f t="shared" si="134"/>
        <v>21581</v>
      </c>
      <c r="AE66" s="62"/>
      <c r="AF66" s="565"/>
      <c r="AG66" s="85"/>
      <c r="AH66" s="85"/>
      <c r="AI66" s="85"/>
      <c r="AJ66" s="85"/>
      <c r="AK66" s="85"/>
      <c r="AL66" s="85"/>
      <c r="AM66" s="1"/>
      <c r="AN66" s="1"/>
      <c r="AO66" s="1"/>
      <c r="AP66" s="1"/>
      <c r="AQ66" s="1"/>
      <c r="AR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</row>
    <row r="67" spans="1:62" s="2" customFormat="1" outlineLevel="1" x14ac:dyDescent="0.2">
      <c r="B67" s="514"/>
      <c r="C67" s="1"/>
      <c r="D67" s="432"/>
      <c r="E67" s="432"/>
      <c r="F67" s="432"/>
      <c r="G67" s="515"/>
      <c r="H67" s="88"/>
      <c r="I67" s="296"/>
      <c r="J67" s="296"/>
      <c r="K67" s="296"/>
      <c r="L67" s="296"/>
      <c r="M67" s="300"/>
      <c r="N67" s="88"/>
      <c r="O67" s="296"/>
      <c r="P67" s="296"/>
      <c r="Q67" s="296"/>
      <c r="R67" s="296"/>
      <c r="S67" s="331"/>
      <c r="T67" s="386"/>
      <c r="U67" s="62"/>
      <c r="V67" s="62"/>
      <c r="W67" s="62"/>
      <c r="X67" s="62"/>
      <c r="Y67" s="62"/>
      <c r="Z67" s="62"/>
      <c r="AA67" s="62"/>
      <c r="AB67" s="62"/>
      <c r="AC67" s="62"/>
      <c r="AD67" s="62"/>
      <c r="AE67" s="62"/>
      <c r="AF67" s="565"/>
      <c r="AG67" s="85"/>
      <c r="AH67" s="85"/>
      <c r="AI67" s="85"/>
      <c r="AJ67" s="85"/>
      <c r="AK67" s="85"/>
      <c r="AL67" s="85"/>
      <c r="AM67" s="1"/>
      <c r="AN67" s="1"/>
      <c r="AO67" s="1"/>
      <c r="AP67" s="1"/>
      <c r="AQ67" s="1"/>
      <c r="AR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</row>
    <row r="68" spans="1:62" s="2" customFormat="1" outlineLevel="1" x14ac:dyDescent="0.2">
      <c r="A68" s="2" t="s">
        <v>336</v>
      </c>
      <c r="B68" s="514"/>
      <c r="C68" s="1"/>
      <c r="D68" s="432"/>
      <c r="E68" s="432"/>
      <c r="F68" s="432"/>
      <c r="G68" s="515"/>
      <c r="H68" s="88"/>
      <c r="I68" s="296"/>
      <c r="J68" s="296"/>
      <c r="K68" s="296"/>
      <c r="L68" s="296"/>
      <c r="M68" s="300"/>
      <c r="N68" s="88"/>
      <c r="O68" s="296"/>
      <c r="P68" s="296"/>
      <c r="Q68" s="296"/>
      <c r="R68" s="296"/>
      <c r="S68" s="331"/>
      <c r="T68" s="386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565"/>
      <c r="AG68" s="85"/>
      <c r="AH68" s="85"/>
      <c r="AI68" s="85"/>
      <c r="AJ68" s="85"/>
      <c r="AK68" s="85"/>
      <c r="AL68" s="85"/>
      <c r="AM68" s="1"/>
      <c r="AN68" s="1"/>
      <c r="AO68" s="1"/>
      <c r="AP68" s="1"/>
      <c r="AQ68" s="1"/>
      <c r="AR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</row>
    <row r="69" spans="1:62" s="2" customFormat="1" outlineLevel="1" x14ac:dyDescent="0.2">
      <c r="A69" s="501" t="s">
        <v>330</v>
      </c>
      <c r="B69" s="514"/>
      <c r="C69" s="372">
        <f t="shared" ref="C69:F74" si="141">C61/C85</f>
        <v>10890.983606557378</v>
      </c>
      <c r="D69" s="373">
        <f t="shared" si="141"/>
        <v>10890.983606557378</v>
      </c>
      <c r="E69" s="373">
        <f t="shared" si="141"/>
        <v>10890.983606557378</v>
      </c>
      <c r="F69" s="374">
        <f t="shared" si="141"/>
        <v>10890.983606557378</v>
      </c>
      <c r="G69" s="412"/>
      <c r="H69" s="88"/>
      <c r="I69" s="394">
        <f t="shared" ref="I69:I74" si="142">C69</f>
        <v>10890.983606557378</v>
      </c>
      <c r="J69" s="392">
        <f>I69</f>
        <v>10890.983606557378</v>
      </c>
      <c r="K69" s="392">
        <f t="shared" ref="K69:L69" si="143">J69</f>
        <v>10890.983606557378</v>
      </c>
      <c r="L69" s="393">
        <f t="shared" si="143"/>
        <v>10890.983606557378</v>
      </c>
      <c r="M69" s="300"/>
      <c r="N69" s="88"/>
      <c r="O69" s="391">
        <f t="shared" ref="O69:O74" si="144">I69</f>
        <v>10890.983606557378</v>
      </c>
      <c r="P69" s="392">
        <f>O69</f>
        <v>10890.983606557378</v>
      </c>
      <c r="Q69" s="392">
        <f t="shared" ref="Q69:R69" si="145">P69</f>
        <v>10890.983606557378</v>
      </c>
      <c r="R69" s="393">
        <f t="shared" si="145"/>
        <v>10890.983606557378</v>
      </c>
      <c r="S69" s="331"/>
      <c r="T69" s="386"/>
      <c r="U69" s="391">
        <f t="shared" ref="U69:U74" si="146">O69</f>
        <v>10890.983606557378</v>
      </c>
      <c r="V69" s="392">
        <f>U69</f>
        <v>10890.983606557378</v>
      </c>
      <c r="W69" s="392">
        <f t="shared" ref="W69:W74" si="147">V69</f>
        <v>10890.983606557378</v>
      </c>
      <c r="X69" s="393">
        <f t="shared" ref="X69:X74" si="148">W69</f>
        <v>10890.983606557378</v>
      </c>
      <c r="Y69" s="62"/>
      <c r="Z69" s="62"/>
      <c r="AA69" s="391">
        <f t="shared" ref="AA69:AA74" si="149">U69</f>
        <v>10890.983606557378</v>
      </c>
      <c r="AB69" s="392">
        <f>AA69</f>
        <v>10890.983606557378</v>
      </c>
      <c r="AC69" s="392">
        <f t="shared" ref="AC69:AC74" si="150">AB69</f>
        <v>10890.983606557378</v>
      </c>
      <c r="AD69" s="393">
        <f t="shared" ref="AD69:AD74" si="151">AC69</f>
        <v>10890.983606557378</v>
      </c>
      <c r="AE69" s="62"/>
      <c r="AF69" s="565"/>
      <c r="AG69" s="85"/>
      <c r="AH69" s="85"/>
      <c r="AI69" s="85"/>
      <c r="AJ69" s="85"/>
      <c r="AK69" s="85"/>
      <c r="AL69" s="85"/>
      <c r="AM69" s="1"/>
      <c r="AN69" s="1"/>
      <c r="AO69" s="1"/>
      <c r="AP69" s="1"/>
      <c r="AQ69" s="1"/>
      <c r="AR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</row>
    <row r="70" spans="1:62" s="2" customFormat="1" outlineLevel="1" x14ac:dyDescent="0.2">
      <c r="A70" s="39" t="s">
        <v>63</v>
      </c>
      <c r="B70" s="514"/>
      <c r="C70" s="375">
        <f t="shared" si="141"/>
        <v>9019.69957081545</v>
      </c>
      <c r="D70" s="171">
        <f t="shared" si="141"/>
        <v>9019.69957081545</v>
      </c>
      <c r="E70" s="171">
        <f t="shared" si="141"/>
        <v>9019.69957081545</v>
      </c>
      <c r="F70" s="376">
        <f t="shared" si="141"/>
        <v>9019.69957081545</v>
      </c>
      <c r="G70" s="412"/>
      <c r="H70" s="88"/>
      <c r="I70" s="394">
        <f t="shared" si="142"/>
        <v>9019.69957081545</v>
      </c>
      <c r="J70" s="296">
        <f t="shared" ref="J70:L74" si="152">I70</f>
        <v>9019.69957081545</v>
      </c>
      <c r="K70" s="296">
        <f t="shared" si="152"/>
        <v>9019.69957081545</v>
      </c>
      <c r="L70" s="395">
        <f t="shared" si="152"/>
        <v>9019.69957081545</v>
      </c>
      <c r="M70" s="300"/>
      <c r="N70" s="88"/>
      <c r="O70" s="394">
        <f t="shared" si="144"/>
        <v>9019.69957081545</v>
      </c>
      <c r="P70" s="296">
        <f t="shared" ref="P70:R70" si="153">O70</f>
        <v>9019.69957081545</v>
      </c>
      <c r="Q70" s="296">
        <f t="shared" si="153"/>
        <v>9019.69957081545</v>
      </c>
      <c r="R70" s="395">
        <f t="shared" si="153"/>
        <v>9019.69957081545</v>
      </c>
      <c r="S70" s="331"/>
      <c r="T70" s="386"/>
      <c r="U70" s="394">
        <f t="shared" si="146"/>
        <v>9019.69957081545</v>
      </c>
      <c r="V70" s="296">
        <f t="shared" ref="V70:V74" si="154">U70</f>
        <v>9019.69957081545</v>
      </c>
      <c r="W70" s="296">
        <f t="shared" si="147"/>
        <v>9019.69957081545</v>
      </c>
      <c r="X70" s="395">
        <f t="shared" si="148"/>
        <v>9019.69957081545</v>
      </c>
      <c r="Y70" s="62"/>
      <c r="Z70" s="62"/>
      <c r="AA70" s="394">
        <f t="shared" si="149"/>
        <v>9019.69957081545</v>
      </c>
      <c r="AB70" s="296">
        <f t="shared" ref="AB70:AB74" si="155">AA70</f>
        <v>9019.69957081545</v>
      </c>
      <c r="AC70" s="296">
        <f t="shared" si="150"/>
        <v>9019.69957081545</v>
      </c>
      <c r="AD70" s="395">
        <f t="shared" si="151"/>
        <v>9019.69957081545</v>
      </c>
      <c r="AE70" s="62"/>
      <c r="AF70" s="565"/>
      <c r="AG70" s="85"/>
      <c r="AH70" s="85"/>
      <c r="AI70" s="85"/>
      <c r="AJ70" s="85"/>
      <c r="AK70" s="85"/>
      <c r="AL70" s="85"/>
      <c r="AM70" s="1"/>
      <c r="AN70" s="1"/>
      <c r="AO70" s="1"/>
      <c r="AP70" s="1"/>
      <c r="AQ70" s="1"/>
      <c r="AR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</row>
    <row r="71" spans="1:62" s="2" customFormat="1" outlineLevel="1" x14ac:dyDescent="0.2">
      <c r="A71" s="39" t="s">
        <v>66</v>
      </c>
      <c r="B71" s="514"/>
      <c r="C71" s="375">
        <f t="shared" si="141"/>
        <v>8227.1098265895962</v>
      </c>
      <c r="D71" s="171">
        <f t="shared" si="141"/>
        <v>8227.1098265895962</v>
      </c>
      <c r="E71" s="171">
        <f t="shared" si="141"/>
        <v>8227.1098265895962</v>
      </c>
      <c r="F71" s="376">
        <f t="shared" si="141"/>
        <v>8227.1098265895962</v>
      </c>
      <c r="G71" s="412"/>
      <c r="H71" s="88"/>
      <c r="I71" s="394">
        <f t="shared" si="142"/>
        <v>8227.1098265895962</v>
      </c>
      <c r="J71" s="296">
        <f t="shared" si="152"/>
        <v>8227.1098265895962</v>
      </c>
      <c r="K71" s="296">
        <f t="shared" si="152"/>
        <v>8227.1098265895962</v>
      </c>
      <c r="L71" s="395">
        <f t="shared" si="152"/>
        <v>8227.1098265895962</v>
      </c>
      <c r="M71" s="300"/>
      <c r="N71" s="88"/>
      <c r="O71" s="394">
        <f t="shared" si="144"/>
        <v>8227.1098265895962</v>
      </c>
      <c r="P71" s="296">
        <f t="shared" ref="P71:R71" si="156">O71</f>
        <v>8227.1098265895962</v>
      </c>
      <c r="Q71" s="296">
        <f t="shared" si="156"/>
        <v>8227.1098265895962</v>
      </c>
      <c r="R71" s="395">
        <f t="shared" si="156"/>
        <v>8227.1098265895962</v>
      </c>
      <c r="S71" s="331"/>
      <c r="T71" s="386"/>
      <c r="U71" s="394">
        <f t="shared" si="146"/>
        <v>8227.1098265895962</v>
      </c>
      <c r="V71" s="296">
        <f t="shared" si="154"/>
        <v>8227.1098265895962</v>
      </c>
      <c r="W71" s="296">
        <f t="shared" si="147"/>
        <v>8227.1098265895962</v>
      </c>
      <c r="X71" s="395">
        <f t="shared" si="148"/>
        <v>8227.1098265895962</v>
      </c>
      <c r="Y71" s="62"/>
      <c r="Z71" s="62"/>
      <c r="AA71" s="394">
        <f t="shared" si="149"/>
        <v>8227.1098265895962</v>
      </c>
      <c r="AB71" s="296">
        <f t="shared" si="155"/>
        <v>8227.1098265895962</v>
      </c>
      <c r="AC71" s="296">
        <f t="shared" si="150"/>
        <v>8227.1098265895962</v>
      </c>
      <c r="AD71" s="395">
        <f t="shared" si="151"/>
        <v>8227.1098265895962</v>
      </c>
      <c r="AE71" s="62"/>
      <c r="AF71" s="565"/>
      <c r="AG71" s="85"/>
      <c r="AH71" s="85"/>
      <c r="AI71" s="85"/>
      <c r="AJ71" s="85"/>
      <c r="AK71" s="85"/>
      <c r="AL71" s="85"/>
      <c r="AM71" s="1"/>
      <c r="AN71" s="1"/>
      <c r="AO71" s="1"/>
      <c r="AP71" s="1"/>
      <c r="AQ71" s="1"/>
      <c r="AR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</row>
    <row r="72" spans="1:62" s="2" customFormat="1" outlineLevel="1" x14ac:dyDescent="0.2">
      <c r="A72" s="39" t="s">
        <v>67</v>
      </c>
      <c r="B72" s="514"/>
      <c r="C72" s="375">
        <f t="shared" si="141"/>
        <v>8245.1677852348985</v>
      </c>
      <c r="D72" s="171">
        <f t="shared" si="141"/>
        <v>8245.1677852348985</v>
      </c>
      <c r="E72" s="171">
        <f t="shared" si="141"/>
        <v>8245.1677852348985</v>
      </c>
      <c r="F72" s="376">
        <f t="shared" si="141"/>
        <v>8245.1677852348985</v>
      </c>
      <c r="G72" s="412"/>
      <c r="H72" s="88"/>
      <c r="I72" s="394">
        <f t="shared" si="142"/>
        <v>8245.1677852348985</v>
      </c>
      <c r="J72" s="296">
        <f t="shared" si="152"/>
        <v>8245.1677852348985</v>
      </c>
      <c r="K72" s="296">
        <f t="shared" si="152"/>
        <v>8245.1677852348985</v>
      </c>
      <c r="L72" s="395">
        <f t="shared" si="152"/>
        <v>8245.1677852348985</v>
      </c>
      <c r="M72" s="300"/>
      <c r="N72" s="88"/>
      <c r="O72" s="394">
        <f t="shared" si="144"/>
        <v>8245.1677852348985</v>
      </c>
      <c r="P72" s="296">
        <f t="shared" ref="P72:R72" si="157">O72</f>
        <v>8245.1677852348985</v>
      </c>
      <c r="Q72" s="296">
        <f t="shared" si="157"/>
        <v>8245.1677852348985</v>
      </c>
      <c r="R72" s="395">
        <f t="shared" si="157"/>
        <v>8245.1677852348985</v>
      </c>
      <c r="S72" s="331"/>
      <c r="T72" s="386"/>
      <c r="U72" s="394">
        <f t="shared" si="146"/>
        <v>8245.1677852348985</v>
      </c>
      <c r="V72" s="296">
        <f t="shared" si="154"/>
        <v>8245.1677852348985</v>
      </c>
      <c r="W72" s="296">
        <f t="shared" si="147"/>
        <v>8245.1677852348985</v>
      </c>
      <c r="X72" s="395">
        <f t="shared" si="148"/>
        <v>8245.1677852348985</v>
      </c>
      <c r="Y72" s="62"/>
      <c r="Z72" s="62"/>
      <c r="AA72" s="394">
        <f t="shared" si="149"/>
        <v>8245.1677852348985</v>
      </c>
      <c r="AB72" s="296">
        <f t="shared" si="155"/>
        <v>8245.1677852348985</v>
      </c>
      <c r="AC72" s="296">
        <f t="shared" si="150"/>
        <v>8245.1677852348985</v>
      </c>
      <c r="AD72" s="395">
        <f t="shared" si="151"/>
        <v>8245.1677852348985</v>
      </c>
      <c r="AE72" s="62"/>
      <c r="AF72" s="565"/>
      <c r="AG72" s="85"/>
      <c r="AH72" s="85"/>
      <c r="AI72" s="85"/>
      <c r="AJ72" s="85"/>
      <c r="AK72" s="85"/>
      <c r="AL72" s="85"/>
      <c r="AM72" s="1"/>
      <c r="AN72" s="1"/>
      <c r="AO72" s="1"/>
      <c r="AP72" s="1"/>
      <c r="AQ72" s="1"/>
      <c r="AR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</row>
    <row r="73" spans="1:62" s="2" customFormat="1" outlineLevel="1" x14ac:dyDescent="0.2">
      <c r="A73" s="39" t="s">
        <v>331</v>
      </c>
      <c r="B73" s="514"/>
      <c r="C73" s="375">
        <f t="shared" si="141"/>
        <v>7866.9767441860467</v>
      </c>
      <c r="D73" s="171">
        <f t="shared" si="141"/>
        <v>7866.9767441860467</v>
      </c>
      <c r="E73" s="171">
        <f t="shared" si="141"/>
        <v>7866.9767441860467</v>
      </c>
      <c r="F73" s="376">
        <f t="shared" si="141"/>
        <v>7866.9767441860467</v>
      </c>
      <c r="G73" s="412"/>
      <c r="H73" s="88"/>
      <c r="I73" s="394">
        <f t="shared" si="142"/>
        <v>7866.9767441860467</v>
      </c>
      <c r="J73" s="296">
        <f t="shared" si="152"/>
        <v>7866.9767441860467</v>
      </c>
      <c r="K73" s="296">
        <f t="shared" si="152"/>
        <v>7866.9767441860467</v>
      </c>
      <c r="L73" s="395">
        <f t="shared" si="152"/>
        <v>7866.9767441860467</v>
      </c>
      <c r="M73" s="300"/>
      <c r="N73" s="88"/>
      <c r="O73" s="394">
        <f t="shared" si="144"/>
        <v>7866.9767441860467</v>
      </c>
      <c r="P73" s="296">
        <f t="shared" ref="P73:R73" si="158">O73</f>
        <v>7866.9767441860467</v>
      </c>
      <c r="Q73" s="296">
        <f t="shared" si="158"/>
        <v>7866.9767441860467</v>
      </c>
      <c r="R73" s="395">
        <f t="shared" si="158"/>
        <v>7866.9767441860467</v>
      </c>
      <c r="S73" s="331"/>
      <c r="T73" s="386"/>
      <c r="U73" s="394">
        <f t="shared" si="146"/>
        <v>7866.9767441860467</v>
      </c>
      <c r="V73" s="296">
        <f t="shared" si="154"/>
        <v>7866.9767441860467</v>
      </c>
      <c r="W73" s="296">
        <f t="shared" si="147"/>
        <v>7866.9767441860467</v>
      </c>
      <c r="X73" s="395">
        <f t="shared" si="148"/>
        <v>7866.9767441860467</v>
      </c>
      <c r="Y73" s="62"/>
      <c r="Z73" s="62"/>
      <c r="AA73" s="394">
        <f t="shared" si="149"/>
        <v>7866.9767441860467</v>
      </c>
      <c r="AB73" s="296">
        <f t="shared" si="155"/>
        <v>7866.9767441860467</v>
      </c>
      <c r="AC73" s="296">
        <f t="shared" si="150"/>
        <v>7866.9767441860467</v>
      </c>
      <c r="AD73" s="395">
        <f t="shared" si="151"/>
        <v>7866.9767441860467</v>
      </c>
      <c r="AE73" s="62"/>
      <c r="AF73" s="565"/>
      <c r="AG73" s="85"/>
      <c r="AH73" s="85"/>
      <c r="AI73" s="85"/>
      <c r="AJ73" s="85"/>
      <c r="AK73" s="85"/>
      <c r="AL73" s="85"/>
      <c r="AM73" s="1"/>
      <c r="AN73" s="1"/>
      <c r="AO73" s="1"/>
      <c r="AP73" s="1"/>
      <c r="AQ73" s="1"/>
      <c r="AR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</row>
    <row r="74" spans="1:62" s="2" customFormat="1" outlineLevel="1" x14ac:dyDescent="0.2">
      <c r="A74" s="472" t="s">
        <v>332</v>
      </c>
      <c r="B74" s="514"/>
      <c r="C74" s="377">
        <f t="shared" si="141"/>
        <v>6674.5360824742265</v>
      </c>
      <c r="D74" s="378">
        <f t="shared" si="141"/>
        <v>6674.5360824742265</v>
      </c>
      <c r="E74" s="378">
        <f t="shared" si="141"/>
        <v>6674.5360824742265</v>
      </c>
      <c r="F74" s="379">
        <f t="shared" si="141"/>
        <v>6674.5360824742265</v>
      </c>
      <c r="G74" s="412"/>
      <c r="H74" s="88"/>
      <c r="I74" s="396">
        <f t="shared" si="142"/>
        <v>6674.5360824742265</v>
      </c>
      <c r="J74" s="397">
        <f t="shared" si="152"/>
        <v>6674.5360824742265</v>
      </c>
      <c r="K74" s="397">
        <f t="shared" si="152"/>
        <v>6674.5360824742265</v>
      </c>
      <c r="L74" s="398">
        <f t="shared" si="152"/>
        <v>6674.5360824742265</v>
      </c>
      <c r="M74" s="300"/>
      <c r="N74" s="88"/>
      <c r="O74" s="396">
        <f t="shared" si="144"/>
        <v>6674.5360824742265</v>
      </c>
      <c r="P74" s="397">
        <f t="shared" ref="P74:R74" si="159">O74</f>
        <v>6674.5360824742265</v>
      </c>
      <c r="Q74" s="397">
        <f t="shared" si="159"/>
        <v>6674.5360824742265</v>
      </c>
      <c r="R74" s="398">
        <f t="shared" si="159"/>
        <v>6674.5360824742265</v>
      </c>
      <c r="S74" s="331"/>
      <c r="T74" s="386"/>
      <c r="U74" s="396">
        <f t="shared" si="146"/>
        <v>6674.5360824742265</v>
      </c>
      <c r="V74" s="397">
        <f t="shared" si="154"/>
        <v>6674.5360824742265</v>
      </c>
      <c r="W74" s="397">
        <f t="shared" si="147"/>
        <v>6674.5360824742265</v>
      </c>
      <c r="X74" s="398">
        <f t="shared" si="148"/>
        <v>6674.5360824742265</v>
      </c>
      <c r="Y74" s="62"/>
      <c r="Z74" s="62"/>
      <c r="AA74" s="396">
        <f t="shared" si="149"/>
        <v>6674.5360824742265</v>
      </c>
      <c r="AB74" s="397">
        <f t="shared" si="155"/>
        <v>6674.5360824742265</v>
      </c>
      <c r="AC74" s="397">
        <f t="shared" si="150"/>
        <v>6674.5360824742265</v>
      </c>
      <c r="AD74" s="398">
        <f t="shared" si="151"/>
        <v>6674.5360824742265</v>
      </c>
      <c r="AE74" s="62"/>
      <c r="AF74" s="565"/>
      <c r="AG74" s="85"/>
      <c r="AH74" s="85"/>
      <c r="AI74" s="85"/>
      <c r="AJ74" s="85"/>
      <c r="AK74" s="85"/>
      <c r="AL74" s="85"/>
      <c r="AM74" s="1"/>
      <c r="AN74" s="1"/>
      <c r="AO74" s="1"/>
      <c r="AP74" s="1"/>
      <c r="AQ74" s="1"/>
      <c r="AR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</row>
    <row r="75" spans="1:62" outlineLevel="1" x14ac:dyDescent="0.2">
      <c r="A75" s="2"/>
      <c r="C75" s="295"/>
      <c r="D75" s="434"/>
      <c r="E75" s="434"/>
      <c r="F75" s="434"/>
      <c r="G75" s="516"/>
      <c r="H75" s="523"/>
      <c r="I75" s="171"/>
      <c r="J75" s="171"/>
      <c r="K75" s="171"/>
      <c r="L75" s="171"/>
      <c r="O75" s="171"/>
      <c r="P75" s="171"/>
      <c r="Q75" s="171"/>
      <c r="R75" s="171"/>
      <c r="T75" s="347"/>
      <c r="U75" s="156"/>
      <c r="V75" s="156"/>
      <c r="W75" s="156"/>
      <c r="X75" s="156"/>
      <c r="Y75" s="156"/>
      <c r="Z75" s="156"/>
      <c r="AA75" s="156"/>
      <c r="AB75" s="156"/>
      <c r="AC75" s="156"/>
      <c r="AD75" s="156"/>
      <c r="AE75" s="156"/>
      <c r="AF75" s="304"/>
      <c r="AG75" s="2"/>
      <c r="AH75" s="2"/>
      <c r="AI75" s="2"/>
      <c r="AJ75" s="2"/>
      <c r="AK75" s="2"/>
      <c r="AL75" s="2"/>
    </row>
    <row r="76" spans="1:62" s="430" customFormat="1" outlineLevel="1" x14ac:dyDescent="0.2">
      <c r="A76" s="387" t="s">
        <v>348</v>
      </c>
      <c r="B76" s="507"/>
      <c r="C76" s="348"/>
      <c r="D76" s="435"/>
      <c r="E76" s="435"/>
      <c r="F76" s="435"/>
      <c r="G76" s="517"/>
      <c r="H76" s="522"/>
      <c r="I76" s="404" t="s">
        <v>337</v>
      </c>
      <c r="J76" s="359"/>
      <c r="K76" s="359"/>
      <c r="L76" s="359"/>
      <c r="M76" s="508"/>
      <c r="N76" s="534"/>
      <c r="O76" s="404" t="s">
        <v>337</v>
      </c>
      <c r="P76" s="359"/>
      <c r="Q76" s="359"/>
      <c r="R76" s="359"/>
      <c r="S76" s="43"/>
      <c r="T76" s="566"/>
      <c r="U76" s="647"/>
      <c r="V76" s="647"/>
      <c r="W76" s="647"/>
      <c r="X76" s="647"/>
      <c r="Y76" s="647"/>
      <c r="Z76" s="647"/>
      <c r="AA76" s="647"/>
      <c r="AB76" s="647"/>
      <c r="AC76" s="647"/>
      <c r="AD76" s="647"/>
      <c r="AE76" s="647"/>
      <c r="AF76" s="567"/>
      <c r="AG76" s="361"/>
      <c r="AH76" s="361"/>
      <c r="AI76" s="361"/>
      <c r="AJ76" s="361"/>
      <c r="AK76" s="361"/>
      <c r="AL76" s="361"/>
      <c r="AM76" s="43"/>
      <c r="AN76" s="43"/>
      <c r="AO76" s="43"/>
      <c r="AP76" s="43"/>
      <c r="AQ76" s="43"/>
      <c r="AR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  <c r="BJ76" s="43"/>
    </row>
    <row r="77" spans="1:62" outlineLevel="1" x14ac:dyDescent="0.2">
      <c r="A77" s="501" t="s">
        <v>330</v>
      </c>
      <c r="C77" s="383">
        <f t="shared" ref="C77:C82" si="160">C85</f>
        <v>10.166666666666666</v>
      </c>
      <c r="D77" s="436">
        <f t="shared" ref="D77:D82" si="161">C77</f>
        <v>10.166666666666666</v>
      </c>
      <c r="E77" s="436">
        <f t="shared" ref="E77:F77" si="162">D77</f>
        <v>10.166666666666666</v>
      </c>
      <c r="F77" s="437">
        <f t="shared" si="162"/>
        <v>10.166666666666666</v>
      </c>
      <c r="G77" s="516"/>
      <c r="H77" s="523"/>
      <c r="I77" s="383">
        <f>C77+1</f>
        <v>11.166666666666666</v>
      </c>
      <c r="J77" s="399">
        <f>I77</f>
        <v>11.166666666666666</v>
      </c>
      <c r="K77" s="399">
        <f t="shared" ref="K77:L77" si="163">J77</f>
        <v>11.166666666666666</v>
      </c>
      <c r="L77" s="400">
        <f t="shared" si="163"/>
        <v>11.166666666666666</v>
      </c>
      <c r="O77" s="383">
        <f>I77</f>
        <v>11.166666666666666</v>
      </c>
      <c r="P77" s="399">
        <f>O77</f>
        <v>11.166666666666666</v>
      </c>
      <c r="Q77" s="399">
        <f t="shared" ref="Q77:R77" si="164">P77</f>
        <v>11.166666666666666</v>
      </c>
      <c r="R77" s="400">
        <f t="shared" si="164"/>
        <v>11.166666666666666</v>
      </c>
      <c r="T77" s="347"/>
      <c r="U77" s="383">
        <f>O77</f>
        <v>11.166666666666666</v>
      </c>
      <c r="V77" s="399">
        <f>U77</f>
        <v>11.166666666666666</v>
      </c>
      <c r="W77" s="399">
        <f t="shared" ref="W77:W82" si="165">V77</f>
        <v>11.166666666666666</v>
      </c>
      <c r="X77" s="400">
        <f t="shared" ref="X77:X82" si="166">W77</f>
        <v>11.166666666666666</v>
      </c>
      <c r="Y77" s="156"/>
      <c r="Z77" s="156"/>
      <c r="AA77" s="383">
        <f>U77</f>
        <v>11.166666666666666</v>
      </c>
      <c r="AB77" s="399">
        <f>AA77</f>
        <v>11.166666666666666</v>
      </c>
      <c r="AC77" s="399">
        <f t="shared" ref="AC77:AC82" si="167">AB77</f>
        <v>11.166666666666666</v>
      </c>
      <c r="AD77" s="400">
        <f t="shared" ref="AD77:AD82" si="168">AC77</f>
        <v>11.166666666666666</v>
      </c>
      <c r="AE77" s="156"/>
      <c r="AF77" s="304"/>
      <c r="AG77" s="2"/>
      <c r="AH77" s="2"/>
      <c r="AI77" s="2"/>
      <c r="AJ77" s="2"/>
      <c r="AK77" s="2"/>
      <c r="AL77" s="2"/>
    </row>
    <row r="78" spans="1:62" outlineLevel="1" x14ac:dyDescent="0.2">
      <c r="A78" s="39" t="s">
        <v>63</v>
      </c>
      <c r="C78" s="384">
        <f t="shared" si="160"/>
        <v>7.7666666666666666</v>
      </c>
      <c r="D78" s="434">
        <f t="shared" si="161"/>
        <v>7.7666666666666666</v>
      </c>
      <c r="E78" s="434">
        <f t="shared" ref="E78:F78" si="169">D78</f>
        <v>7.7666666666666666</v>
      </c>
      <c r="F78" s="438">
        <f t="shared" si="169"/>
        <v>7.7666666666666666</v>
      </c>
      <c r="G78" s="516"/>
      <c r="H78" s="523"/>
      <c r="I78" s="384">
        <f t="shared" ref="I78:I82" si="170">C78+1</f>
        <v>8.7666666666666657</v>
      </c>
      <c r="J78" s="295">
        <f t="shared" ref="J78:L78" si="171">I78</f>
        <v>8.7666666666666657</v>
      </c>
      <c r="K78" s="295">
        <f t="shared" si="171"/>
        <v>8.7666666666666657</v>
      </c>
      <c r="L78" s="401">
        <f t="shared" si="171"/>
        <v>8.7666666666666657</v>
      </c>
      <c r="O78" s="384">
        <f t="shared" ref="O78:O82" si="172">I78</f>
        <v>8.7666666666666657</v>
      </c>
      <c r="P78" s="295">
        <f t="shared" ref="P78:R82" si="173">O78</f>
        <v>8.7666666666666657</v>
      </c>
      <c r="Q78" s="295">
        <f t="shared" si="173"/>
        <v>8.7666666666666657</v>
      </c>
      <c r="R78" s="401">
        <f t="shared" si="173"/>
        <v>8.7666666666666657</v>
      </c>
      <c r="T78" s="347"/>
      <c r="U78" s="384">
        <f t="shared" ref="U78:U82" si="174">O78</f>
        <v>8.7666666666666657</v>
      </c>
      <c r="V78" s="295">
        <f t="shared" ref="V78:V82" si="175">U78</f>
        <v>8.7666666666666657</v>
      </c>
      <c r="W78" s="295">
        <f t="shared" si="165"/>
        <v>8.7666666666666657</v>
      </c>
      <c r="X78" s="401">
        <f t="shared" si="166"/>
        <v>8.7666666666666657</v>
      </c>
      <c r="Y78" s="156"/>
      <c r="Z78" s="156"/>
      <c r="AA78" s="384">
        <f t="shared" ref="AA78:AA82" si="176">U78</f>
        <v>8.7666666666666657</v>
      </c>
      <c r="AB78" s="295">
        <f t="shared" ref="AB78:AB82" si="177">AA78</f>
        <v>8.7666666666666657</v>
      </c>
      <c r="AC78" s="295">
        <f t="shared" si="167"/>
        <v>8.7666666666666657</v>
      </c>
      <c r="AD78" s="401">
        <f t="shared" si="168"/>
        <v>8.7666666666666657</v>
      </c>
      <c r="AE78" s="156"/>
      <c r="AF78" s="304"/>
      <c r="AG78" s="2"/>
      <c r="AH78" s="2"/>
      <c r="AI78" s="2"/>
      <c r="AJ78" s="2"/>
      <c r="AK78" s="2"/>
      <c r="AL78" s="2"/>
    </row>
    <row r="79" spans="1:62" outlineLevel="1" x14ac:dyDescent="0.2">
      <c r="A79" s="39" t="s">
        <v>66</v>
      </c>
      <c r="C79" s="384">
        <f t="shared" si="160"/>
        <v>5.7666666666666666</v>
      </c>
      <c r="D79" s="434">
        <f t="shared" si="161"/>
        <v>5.7666666666666666</v>
      </c>
      <c r="E79" s="434">
        <f t="shared" ref="E79:F79" si="178">D79</f>
        <v>5.7666666666666666</v>
      </c>
      <c r="F79" s="438">
        <f t="shared" si="178"/>
        <v>5.7666666666666666</v>
      </c>
      <c r="G79" s="516"/>
      <c r="H79" s="523"/>
      <c r="I79" s="384">
        <f t="shared" si="170"/>
        <v>6.7666666666666666</v>
      </c>
      <c r="J79" s="295">
        <f t="shared" ref="J79:L79" si="179">I79</f>
        <v>6.7666666666666666</v>
      </c>
      <c r="K79" s="295">
        <f t="shared" si="179"/>
        <v>6.7666666666666666</v>
      </c>
      <c r="L79" s="401">
        <f t="shared" si="179"/>
        <v>6.7666666666666666</v>
      </c>
      <c r="O79" s="384">
        <f t="shared" si="172"/>
        <v>6.7666666666666666</v>
      </c>
      <c r="P79" s="295">
        <f t="shared" si="173"/>
        <v>6.7666666666666666</v>
      </c>
      <c r="Q79" s="295">
        <f t="shared" si="173"/>
        <v>6.7666666666666666</v>
      </c>
      <c r="R79" s="401">
        <f t="shared" si="173"/>
        <v>6.7666666666666666</v>
      </c>
      <c r="T79" s="347"/>
      <c r="U79" s="384">
        <f t="shared" si="174"/>
        <v>6.7666666666666666</v>
      </c>
      <c r="V79" s="295">
        <f t="shared" si="175"/>
        <v>6.7666666666666666</v>
      </c>
      <c r="W79" s="295">
        <f t="shared" si="165"/>
        <v>6.7666666666666666</v>
      </c>
      <c r="X79" s="401">
        <f t="shared" si="166"/>
        <v>6.7666666666666666</v>
      </c>
      <c r="Y79" s="156"/>
      <c r="Z79" s="156"/>
      <c r="AA79" s="384">
        <f t="shared" si="176"/>
        <v>6.7666666666666666</v>
      </c>
      <c r="AB79" s="295">
        <f t="shared" si="177"/>
        <v>6.7666666666666666</v>
      </c>
      <c r="AC79" s="295">
        <f t="shared" si="167"/>
        <v>6.7666666666666666</v>
      </c>
      <c r="AD79" s="401">
        <f t="shared" si="168"/>
        <v>6.7666666666666666</v>
      </c>
      <c r="AE79" s="156"/>
      <c r="AF79" s="304"/>
      <c r="AG79" s="2"/>
      <c r="AH79" s="2"/>
      <c r="AI79" s="2"/>
      <c r="AJ79" s="2"/>
      <c r="AK79" s="2"/>
      <c r="AL79" s="2"/>
    </row>
    <row r="80" spans="1:62" outlineLevel="1" x14ac:dyDescent="0.2">
      <c r="A80" s="39" t="s">
        <v>67</v>
      </c>
      <c r="C80" s="384">
        <f t="shared" si="160"/>
        <v>4.9666666666666668</v>
      </c>
      <c r="D80" s="434">
        <f t="shared" si="161"/>
        <v>4.9666666666666668</v>
      </c>
      <c r="E80" s="434">
        <f t="shared" ref="E80:F80" si="180">D80</f>
        <v>4.9666666666666668</v>
      </c>
      <c r="F80" s="438">
        <f t="shared" si="180"/>
        <v>4.9666666666666668</v>
      </c>
      <c r="G80" s="516"/>
      <c r="H80" s="523"/>
      <c r="I80" s="384">
        <f t="shared" si="170"/>
        <v>5.9666666666666668</v>
      </c>
      <c r="J80" s="295">
        <f t="shared" ref="J80:L80" si="181">I80</f>
        <v>5.9666666666666668</v>
      </c>
      <c r="K80" s="295">
        <f t="shared" si="181"/>
        <v>5.9666666666666668</v>
      </c>
      <c r="L80" s="401">
        <f t="shared" si="181"/>
        <v>5.9666666666666668</v>
      </c>
      <c r="O80" s="384">
        <f t="shared" si="172"/>
        <v>5.9666666666666668</v>
      </c>
      <c r="P80" s="295">
        <f t="shared" si="173"/>
        <v>5.9666666666666668</v>
      </c>
      <c r="Q80" s="295">
        <f t="shared" si="173"/>
        <v>5.9666666666666668</v>
      </c>
      <c r="R80" s="401">
        <f t="shared" si="173"/>
        <v>5.9666666666666668</v>
      </c>
      <c r="T80" s="347"/>
      <c r="U80" s="384">
        <f t="shared" si="174"/>
        <v>5.9666666666666668</v>
      </c>
      <c r="V80" s="295">
        <f t="shared" si="175"/>
        <v>5.9666666666666668</v>
      </c>
      <c r="W80" s="295">
        <f t="shared" si="165"/>
        <v>5.9666666666666668</v>
      </c>
      <c r="X80" s="401">
        <f t="shared" si="166"/>
        <v>5.9666666666666668</v>
      </c>
      <c r="Y80" s="156"/>
      <c r="Z80" s="156"/>
      <c r="AA80" s="384">
        <f t="shared" si="176"/>
        <v>5.9666666666666668</v>
      </c>
      <c r="AB80" s="295">
        <f t="shared" si="177"/>
        <v>5.9666666666666668</v>
      </c>
      <c r="AC80" s="295">
        <f t="shared" si="167"/>
        <v>5.9666666666666668</v>
      </c>
      <c r="AD80" s="401">
        <f t="shared" si="168"/>
        <v>5.9666666666666668</v>
      </c>
      <c r="AE80" s="156"/>
      <c r="AF80" s="304"/>
      <c r="AG80" s="2"/>
      <c r="AH80" s="2"/>
      <c r="AI80" s="2"/>
      <c r="AJ80" s="2"/>
      <c r="AK80" s="2"/>
      <c r="AL80" s="2"/>
    </row>
    <row r="81" spans="1:62" outlineLevel="1" x14ac:dyDescent="0.2">
      <c r="A81" s="39" t="s">
        <v>331</v>
      </c>
      <c r="C81" s="384">
        <f t="shared" si="160"/>
        <v>4.3</v>
      </c>
      <c r="D81" s="434">
        <f t="shared" si="161"/>
        <v>4.3</v>
      </c>
      <c r="E81" s="434">
        <f t="shared" ref="E81:F81" si="182">D81</f>
        <v>4.3</v>
      </c>
      <c r="F81" s="438">
        <f t="shared" si="182"/>
        <v>4.3</v>
      </c>
      <c r="G81" s="516"/>
      <c r="H81" s="523"/>
      <c r="I81" s="384">
        <f t="shared" si="170"/>
        <v>5.3</v>
      </c>
      <c r="J81" s="295">
        <f t="shared" ref="J81:L81" si="183">I81</f>
        <v>5.3</v>
      </c>
      <c r="K81" s="295">
        <f t="shared" si="183"/>
        <v>5.3</v>
      </c>
      <c r="L81" s="401">
        <f t="shared" si="183"/>
        <v>5.3</v>
      </c>
      <c r="O81" s="384">
        <f t="shared" si="172"/>
        <v>5.3</v>
      </c>
      <c r="P81" s="295">
        <f t="shared" si="173"/>
        <v>5.3</v>
      </c>
      <c r="Q81" s="295">
        <f t="shared" si="173"/>
        <v>5.3</v>
      </c>
      <c r="R81" s="401">
        <f t="shared" si="173"/>
        <v>5.3</v>
      </c>
      <c r="T81" s="347"/>
      <c r="U81" s="384">
        <f t="shared" si="174"/>
        <v>5.3</v>
      </c>
      <c r="V81" s="295">
        <f t="shared" si="175"/>
        <v>5.3</v>
      </c>
      <c r="W81" s="295">
        <f t="shared" si="165"/>
        <v>5.3</v>
      </c>
      <c r="X81" s="401">
        <f t="shared" si="166"/>
        <v>5.3</v>
      </c>
      <c r="Y81" s="156"/>
      <c r="Z81" s="156"/>
      <c r="AA81" s="384">
        <f t="shared" si="176"/>
        <v>5.3</v>
      </c>
      <c r="AB81" s="295">
        <f t="shared" si="177"/>
        <v>5.3</v>
      </c>
      <c r="AC81" s="295">
        <f t="shared" si="167"/>
        <v>5.3</v>
      </c>
      <c r="AD81" s="401">
        <f t="shared" si="168"/>
        <v>5.3</v>
      </c>
      <c r="AE81" s="156"/>
      <c r="AF81" s="304"/>
      <c r="AG81" s="2"/>
      <c r="AH81" s="2"/>
      <c r="AI81" s="2"/>
      <c r="AJ81" s="2"/>
      <c r="AK81" s="2"/>
      <c r="AL81" s="2"/>
    </row>
    <row r="82" spans="1:62" outlineLevel="1" x14ac:dyDescent="0.2">
      <c r="A82" s="472" t="s">
        <v>332</v>
      </c>
      <c r="C82" s="385">
        <f t="shared" si="160"/>
        <v>3.2333333333333334</v>
      </c>
      <c r="D82" s="439">
        <f t="shared" si="161"/>
        <v>3.2333333333333334</v>
      </c>
      <c r="E82" s="439">
        <f t="shared" ref="E82:F82" si="184">D82</f>
        <v>3.2333333333333334</v>
      </c>
      <c r="F82" s="440">
        <f t="shared" si="184"/>
        <v>3.2333333333333334</v>
      </c>
      <c r="G82" s="516"/>
      <c r="H82" s="523"/>
      <c r="I82" s="385">
        <f t="shared" si="170"/>
        <v>4.2333333333333334</v>
      </c>
      <c r="J82" s="402">
        <f t="shared" ref="J82:L82" si="185">I82</f>
        <v>4.2333333333333334</v>
      </c>
      <c r="K82" s="402">
        <f t="shared" si="185"/>
        <v>4.2333333333333334</v>
      </c>
      <c r="L82" s="403">
        <f t="shared" si="185"/>
        <v>4.2333333333333334</v>
      </c>
      <c r="O82" s="385">
        <f t="shared" si="172"/>
        <v>4.2333333333333334</v>
      </c>
      <c r="P82" s="402">
        <f t="shared" si="173"/>
        <v>4.2333333333333334</v>
      </c>
      <c r="Q82" s="402">
        <f t="shared" si="173"/>
        <v>4.2333333333333334</v>
      </c>
      <c r="R82" s="403">
        <f t="shared" si="173"/>
        <v>4.2333333333333334</v>
      </c>
      <c r="T82" s="347"/>
      <c r="U82" s="385">
        <f t="shared" si="174"/>
        <v>4.2333333333333334</v>
      </c>
      <c r="V82" s="402">
        <f t="shared" si="175"/>
        <v>4.2333333333333334</v>
      </c>
      <c r="W82" s="402">
        <f t="shared" si="165"/>
        <v>4.2333333333333334</v>
      </c>
      <c r="X82" s="403">
        <f t="shared" si="166"/>
        <v>4.2333333333333334</v>
      </c>
      <c r="Y82" s="156"/>
      <c r="Z82" s="156"/>
      <c r="AA82" s="385">
        <f t="shared" si="176"/>
        <v>4.2333333333333334</v>
      </c>
      <c r="AB82" s="402">
        <f t="shared" si="177"/>
        <v>4.2333333333333334</v>
      </c>
      <c r="AC82" s="402">
        <f t="shared" si="167"/>
        <v>4.2333333333333334</v>
      </c>
      <c r="AD82" s="403">
        <f t="shared" si="168"/>
        <v>4.2333333333333334</v>
      </c>
      <c r="AE82" s="156"/>
      <c r="AF82" s="304"/>
      <c r="AG82" s="2"/>
      <c r="AH82" s="2"/>
      <c r="AI82" s="2"/>
      <c r="AJ82" s="2"/>
      <c r="AK82" s="2"/>
      <c r="AL82" s="2"/>
    </row>
    <row r="83" spans="1:62" outlineLevel="1" x14ac:dyDescent="0.2">
      <c r="A83" s="2"/>
      <c r="C83" s="295"/>
      <c r="D83" s="434"/>
      <c r="E83" s="434"/>
      <c r="F83" s="434"/>
      <c r="G83" s="516"/>
      <c r="H83" s="523"/>
      <c r="I83" s="171"/>
      <c r="J83" s="171"/>
      <c r="K83" s="171"/>
      <c r="L83" s="171"/>
      <c r="O83" s="171"/>
      <c r="P83" s="171"/>
      <c r="Q83" s="171"/>
      <c r="R83" s="171"/>
      <c r="T83" s="347"/>
      <c r="U83" s="156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304"/>
      <c r="AG83" s="2"/>
      <c r="AH83" s="2"/>
      <c r="AI83" s="2"/>
      <c r="AJ83" s="2"/>
      <c r="AK83" s="2"/>
      <c r="AL83" s="2"/>
    </row>
    <row r="84" spans="1:62" s="430" customFormat="1" outlineLevel="1" x14ac:dyDescent="0.2">
      <c r="A84" s="457" t="s">
        <v>349</v>
      </c>
      <c r="B84" s="507"/>
      <c r="C84" s="359"/>
      <c r="D84" s="359"/>
      <c r="E84" s="359"/>
      <c r="F84" s="359"/>
      <c r="G84" s="517"/>
      <c r="H84" s="522"/>
      <c r="I84" s="359"/>
      <c r="J84" s="359"/>
      <c r="K84" s="359"/>
      <c r="L84" s="359"/>
      <c r="M84" s="508"/>
      <c r="N84" s="534"/>
      <c r="O84" s="359"/>
      <c r="P84" s="359"/>
      <c r="Q84" s="359"/>
      <c r="R84" s="359"/>
      <c r="S84" s="43"/>
      <c r="T84" s="566"/>
      <c r="U84" s="647"/>
      <c r="V84" s="647"/>
      <c r="W84" s="647"/>
      <c r="X84" s="647"/>
      <c r="Y84" s="647"/>
      <c r="Z84" s="647"/>
      <c r="AA84" s="647"/>
      <c r="AB84" s="647"/>
      <c r="AC84" s="647"/>
      <c r="AD84" s="647"/>
      <c r="AE84" s="647"/>
      <c r="AF84" s="567"/>
      <c r="AG84" s="361"/>
      <c r="AH84" s="361"/>
      <c r="AI84" s="361"/>
      <c r="AJ84" s="361"/>
      <c r="AK84" s="361"/>
      <c r="AL84" s="361"/>
      <c r="AM84" s="43"/>
      <c r="AN84" s="43"/>
      <c r="AO84" s="43"/>
      <c r="AP84" s="43"/>
      <c r="AQ84" s="43"/>
      <c r="AR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  <c r="BJ84" s="43"/>
    </row>
    <row r="85" spans="1:62" outlineLevel="1" x14ac:dyDescent="0.2">
      <c r="A85" s="501" t="s">
        <v>330</v>
      </c>
      <c r="C85" s="383">
        <f>'MPS др метрики'!E54</f>
        <v>10.166666666666666</v>
      </c>
      <c r="D85" s="436">
        <f t="shared" ref="D85:D90" si="186">C85</f>
        <v>10.166666666666666</v>
      </c>
      <c r="E85" s="436">
        <f t="shared" ref="E85:F85" si="187">D85</f>
        <v>10.166666666666666</v>
      </c>
      <c r="F85" s="436">
        <f t="shared" si="187"/>
        <v>10.166666666666666</v>
      </c>
      <c r="G85" s="516"/>
      <c r="H85" s="523"/>
      <c r="I85" s="383">
        <f t="shared" ref="I85:L90" si="188">C85</f>
        <v>10.166666666666666</v>
      </c>
      <c r="J85" s="399">
        <f t="shared" si="188"/>
        <v>10.166666666666666</v>
      </c>
      <c r="K85" s="399">
        <f t="shared" si="188"/>
        <v>10.166666666666666</v>
      </c>
      <c r="L85" s="400">
        <f t="shared" si="188"/>
        <v>10.166666666666666</v>
      </c>
      <c r="O85" s="383">
        <f t="shared" ref="O85:R90" si="189">I85</f>
        <v>10.166666666666666</v>
      </c>
      <c r="P85" s="399">
        <f t="shared" si="189"/>
        <v>10.166666666666666</v>
      </c>
      <c r="Q85" s="399">
        <f t="shared" si="189"/>
        <v>10.166666666666666</v>
      </c>
      <c r="R85" s="400">
        <f t="shared" si="189"/>
        <v>10.166666666666666</v>
      </c>
      <c r="T85" s="347"/>
      <c r="U85" s="383">
        <f t="shared" ref="U85:U90" si="190">O85</f>
        <v>10.166666666666666</v>
      </c>
      <c r="V85" s="399">
        <f t="shared" ref="V85:V90" si="191">P85</f>
        <v>10.166666666666666</v>
      </c>
      <c r="W85" s="399">
        <f t="shared" ref="W85:W90" si="192">Q85</f>
        <v>10.166666666666666</v>
      </c>
      <c r="X85" s="400">
        <f t="shared" ref="X85:X90" si="193">R85</f>
        <v>10.166666666666666</v>
      </c>
      <c r="Y85" s="156"/>
      <c r="Z85" s="156"/>
      <c r="AA85" s="383">
        <f t="shared" ref="AA85:AA90" si="194">U85</f>
        <v>10.166666666666666</v>
      </c>
      <c r="AB85" s="399">
        <f t="shared" ref="AB85:AB90" si="195">V85</f>
        <v>10.166666666666666</v>
      </c>
      <c r="AC85" s="399">
        <f t="shared" ref="AC85:AC90" si="196">W85</f>
        <v>10.166666666666666</v>
      </c>
      <c r="AD85" s="400">
        <f t="shared" ref="AD85:AD90" si="197">X85</f>
        <v>10.166666666666666</v>
      </c>
      <c r="AE85" s="156"/>
      <c r="AF85" s="304"/>
      <c r="AG85" s="2"/>
      <c r="AH85" s="2"/>
      <c r="AI85" s="2"/>
      <c r="AJ85" s="2"/>
      <c r="AK85" s="2"/>
      <c r="AL85" s="2"/>
    </row>
    <row r="86" spans="1:62" outlineLevel="1" x14ac:dyDescent="0.2">
      <c r="A86" s="39" t="s">
        <v>63</v>
      </c>
      <c r="C86" s="384">
        <f>'MPS др метрики'!E55</f>
        <v>7.7666666666666666</v>
      </c>
      <c r="D86" s="434">
        <f t="shared" si="186"/>
        <v>7.7666666666666666</v>
      </c>
      <c r="E86" s="434">
        <f t="shared" ref="E86:F90" si="198">D86</f>
        <v>7.7666666666666666</v>
      </c>
      <c r="F86" s="434">
        <f t="shared" si="198"/>
        <v>7.7666666666666666</v>
      </c>
      <c r="G86" s="516"/>
      <c r="H86" s="523"/>
      <c r="I86" s="384">
        <f t="shared" si="188"/>
        <v>7.7666666666666666</v>
      </c>
      <c r="J86" s="295">
        <f t="shared" si="188"/>
        <v>7.7666666666666666</v>
      </c>
      <c r="K86" s="295">
        <f t="shared" si="188"/>
        <v>7.7666666666666666</v>
      </c>
      <c r="L86" s="401">
        <f t="shared" si="188"/>
        <v>7.7666666666666666</v>
      </c>
      <c r="O86" s="384">
        <f t="shared" si="189"/>
        <v>7.7666666666666666</v>
      </c>
      <c r="P86" s="295">
        <f t="shared" si="189"/>
        <v>7.7666666666666666</v>
      </c>
      <c r="Q86" s="295">
        <f t="shared" si="189"/>
        <v>7.7666666666666666</v>
      </c>
      <c r="R86" s="401">
        <f t="shared" si="189"/>
        <v>7.7666666666666666</v>
      </c>
      <c r="T86" s="347"/>
      <c r="U86" s="384">
        <f t="shared" si="190"/>
        <v>7.7666666666666666</v>
      </c>
      <c r="V86" s="295">
        <f t="shared" si="191"/>
        <v>7.7666666666666666</v>
      </c>
      <c r="W86" s="295">
        <f t="shared" si="192"/>
        <v>7.7666666666666666</v>
      </c>
      <c r="X86" s="401">
        <f t="shared" si="193"/>
        <v>7.7666666666666666</v>
      </c>
      <c r="Y86" s="156"/>
      <c r="Z86" s="156"/>
      <c r="AA86" s="384">
        <f t="shared" si="194"/>
        <v>7.7666666666666666</v>
      </c>
      <c r="AB86" s="295">
        <f t="shared" si="195"/>
        <v>7.7666666666666666</v>
      </c>
      <c r="AC86" s="295">
        <f t="shared" si="196"/>
        <v>7.7666666666666666</v>
      </c>
      <c r="AD86" s="401">
        <f t="shared" si="197"/>
        <v>7.7666666666666666</v>
      </c>
      <c r="AE86" s="156"/>
      <c r="AF86" s="304"/>
      <c r="AG86" s="2"/>
      <c r="AH86" s="2"/>
      <c r="AI86" s="2"/>
      <c r="AJ86" s="2"/>
      <c r="AK86" s="2"/>
      <c r="AL86" s="2"/>
    </row>
    <row r="87" spans="1:62" outlineLevel="1" x14ac:dyDescent="0.2">
      <c r="A87" s="39" t="s">
        <v>66</v>
      </c>
      <c r="C87" s="384">
        <f>'MPS др метрики'!E56</f>
        <v>5.7666666666666666</v>
      </c>
      <c r="D87" s="434">
        <f t="shared" si="186"/>
        <v>5.7666666666666666</v>
      </c>
      <c r="E87" s="434">
        <f t="shared" si="198"/>
        <v>5.7666666666666666</v>
      </c>
      <c r="F87" s="434">
        <f t="shared" si="198"/>
        <v>5.7666666666666666</v>
      </c>
      <c r="G87" s="516"/>
      <c r="H87" s="523"/>
      <c r="I87" s="384">
        <f t="shared" si="188"/>
        <v>5.7666666666666666</v>
      </c>
      <c r="J87" s="295">
        <f t="shared" si="188"/>
        <v>5.7666666666666666</v>
      </c>
      <c r="K87" s="295">
        <f t="shared" si="188"/>
        <v>5.7666666666666666</v>
      </c>
      <c r="L87" s="401">
        <f t="shared" si="188"/>
        <v>5.7666666666666666</v>
      </c>
      <c r="O87" s="384">
        <f t="shared" si="189"/>
        <v>5.7666666666666666</v>
      </c>
      <c r="P87" s="295">
        <f t="shared" si="189"/>
        <v>5.7666666666666666</v>
      </c>
      <c r="Q87" s="295">
        <f t="shared" si="189"/>
        <v>5.7666666666666666</v>
      </c>
      <c r="R87" s="401">
        <f t="shared" si="189"/>
        <v>5.7666666666666666</v>
      </c>
      <c r="T87" s="347"/>
      <c r="U87" s="384">
        <f t="shared" si="190"/>
        <v>5.7666666666666666</v>
      </c>
      <c r="V87" s="295">
        <f t="shared" si="191"/>
        <v>5.7666666666666666</v>
      </c>
      <c r="W87" s="295">
        <f t="shared" si="192"/>
        <v>5.7666666666666666</v>
      </c>
      <c r="X87" s="401">
        <f t="shared" si="193"/>
        <v>5.7666666666666666</v>
      </c>
      <c r="Y87" s="156"/>
      <c r="Z87" s="156"/>
      <c r="AA87" s="384">
        <f t="shared" si="194"/>
        <v>5.7666666666666666</v>
      </c>
      <c r="AB87" s="295">
        <f t="shared" si="195"/>
        <v>5.7666666666666666</v>
      </c>
      <c r="AC87" s="295">
        <f t="shared" si="196"/>
        <v>5.7666666666666666</v>
      </c>
      <c r="AD87" s="401">
        <f t="shared" si="197"/>
        <v>5.7666666666666666</v>
      </c>
      <c r="AE87" s="156"/>
      <c r="AF87" s="304"/>
      <c r="AG87" s="2"/>
      <c r="AH87" s="2"/>
      <c r="AI87" s="2"/>
      <c r="AJ87" s="2"/>
      <c r="AK87" s="2"/>
      <c r="AL87" s="2"/>
    </row>
    <row r="88" spans="1:62" outlineLevel="1" x14ac:dyDescent="0.2">
      <c r="A88" s="39" t="s">
        <v>67</v>
      </c>
      <c r="C88" s="384">
        <f>'MPS др метрики'!E57</f>
        <v>4.9666666666666668</v>
      </c>
      <c r="D88" s="434">
        <f t="shared" si="186"/>
        <v>4.9666666666666668</v>
      </c>
      <c r="E88" s="434">
        <f t="shared" si="198"/>
        <v>4.9666666666666668</v>
      </c>
      <c r="F88" s="434">
        <f t="shared" si="198"/>
        <v>4.9666666666666668</v>
      </c>
      <c r="G88" s="516"/>
      <c r="H88" s="523"/>
      <c r="I88" s="384">
        <f t="shared" si="188"/>
        <v>4.9666666666666668</v>
      </c>
      <c r="J88" s="295">
        <f t="shared" si="188"/>
        <v>4.9666666666666668</v>
      </c>
      <c r="K88" s="295">
        <f t="shared" si="188"/>
        <v>4.9666666666666668</v>
      </c>
      <c r="L88" s="401">
        <f t="shared" si="188"/>
        <v>4.9666666666666668</v>
      </c>
      <c r="O88" s="384">
        <f t="shared" si="189"/>
        <v>4.9666666666666668</v>
      </c>
      <c r="P88" s="295">
        <f t="shared" si="189"/>
        <v>4.9666666666666668</v>
      </c>
      <c r="Q88" s="295">
        <f t="shared" si="189"/>
        <v>4.9666666666666668</v>
      </c>
      <c r="R88" s="401">
        <f t="shared" si="189"/>
        <v>4.9666666666666668</v>
      </c>
      <c r="T88" s="347"/>
      <c r="U88" s="384">
        <f t="shared" si="190"/>
        <v>4.9666666666666668</v>
      </c>
      <c r="V88" s="295">
        <f t="shared" si="191"/>
        <v>4.9666666666666668</v>
      </c>
      <c r="W88" s="295">
        <f t="shared" si="192"/>
        <v>4.9666666666666668</v>
      </c>
      <c r="X88" s="401">
        <f t="shared" si="193"/>
        <v>4.9666666666666668</v>
      </c>
      <c r="Y88" s="156"/>
      <c r="Z88" s="156"/>
      <c r="AA88" s="384">
        <f t="shared" si="194"/>
        <v>4.9666666666666668</v>
      </c>
      <c r="AB88" s="295">
        <f t="shared" si="195"/>
        <v>4.9666666666666668</v>
      </c>
      <c r="AC88" s="295">
        <f t="shared" si="196"/>
        <v>4.9666666666666668</v>
      </c>
      <c r="AD88" s="401">
        <f t="shared" si="197"/>
        <v>4.9666666666666668</v>
      </c>
      <c r="AE88" s="156"/>
      <c r="AF88" s="304"/>
      <c r="AG88" s="2"/>
      <c r="AH88" s="2"/>
      <c r="AI88" s="2"/>
      <c r="AJ88" s="2"/>
      <c r="AK88" s="2"/>
      <c r="AL88" s="2"/>
    </row>
    <row r="89" spans="1:62" outlineLevel="1" x14ac:dyDescent="0.2">
      <c r="A89" s="39" t="s">
        <v>331</v>
      </c>
      <c r="C89" s="384">
        <f>'MPS др метрики'!E58</f>
        <v>4.3</v>
      </c>
      <c r="D89" s="434">
        <f t="shared" si="186"/>
        <v>4.3</v>
      </c>
      <c r="E89" s="434">
        <f t="shared" si="198"/>
        <v>4.3</v>
      </c>
      <c r="F89" s="434">
        <f t="shared" si="198"/>
        <v>4.3</v>
      </c>
      <c r="G89" s="516"/>
      <c r="H89" s="523"/>
      <c r="I89" s="384">
        <f t="shared" si="188"/>
        <v>4.3</v>
      </c>
      <c r="J89" s="295">
        <f t="shared" si="188"/>
        <v>4.3</v>
      </c>
      <c r="K89" s="295">
        <f t="shared" si="188"/>
        <v>4.3</v>
      </c>
      <c r="L89" s="401">
        <f t="shared" si="188"/>
        <v>4.3</v>
      </c>
      <c r="O89" s="384">
        <f t="shared" si="189"/>
        <v>4.3</v>
      </c>
      <c r="P89" s="295">
        <f t="shared" si="189"/>
        <v>4.3</v>
      </c>
      <c r="Q89" s="295">
        <f t="shared" si="189"/>
        <v>4.3</v>
      </c>
      <c r="R89" s="401">
        <f t="shared" si="189"/>
        <v>4.3</v>
      </c>
      <c r="T89" s="347"/>
      <c r="U89" s="384">
        <f t="shared" si="190"/>
        <v>4.3</v>
      </c>
      <c r="V89" s="295">
        <f t="shared" si="191"/>
        <v>4.3</v>
      </c>
      <c r="W89" s="295">
        <f t="shared" si="192"/>
        <v>4.3</v>
      </c>
      <c r="X89" s="401">
        <f t="shared" si="193"/>
        <v>4.3</v>
      </c>
      <c r="Y89" s="156"/>
      <c r="Z89" s="156"/>
      <c r="AA89" s="384">
        <f t="shared" si="194"/>
        <v>4.3</v>
      </c>
      <c r="AB89" s="295">
        <f t="shared" si="195"/>
        <v>4.3</v>
      </c>
      <c r="AC89" s="295">
        <f t="shared" si="196"/>
        <v>4.3</v>
      </c>
      <c r="AD89" s="401">
        <f t="shared" si="197"/>
        <v>4.3</v>
      </c>
      <c r="AE89" s="156"/>
      <c r="AF89" s="304"/>
      <c r="AG89" s="2"/>
      <c r="AH89" s="2"/>
      <c r="AI89" s="2"/>
      <c r="AJ89" s="2"/>
      <c r="AK89" s="2"/>
      <c r="AL89" s="2"/>
    </row>
    <row r="90" spans="1:62" outlineLevel="1" x14ac:dyDescent="0.2">
      <c r="A90" s="472" t="s">
        <v>332</v>
      </c>
      <c r="C90" s="385">
        <f>'MPS др метрики'!E59</f>
        <v>3.2333333333333334</v>
      </c>
      <c r="D90" s="439">
        <f t="shared" si="186"/>
        <v>3.2333333333333334</v>
      </c>
      <c r="E90" s="439">
        <f t="shared" si="198"/>
        <v>3.2333333333333334</v>
      </c>
      <c r="F90" s="439">
        <f t="shared" si="198"/>
        <v>3.2333333333333334</v>
      </c>
      <c r="G90" s="516"/>
      <c r="H90" s="523"/>
      <c r="I90" s="385">
        <f t="shared" si="188"/>
        <v>3.2333333333333334</v>
      </c>
      <c r="J90" s="402">
        <f t="shared" si="188"/>
        <v>3.2333333333333334</v>
      </c>
      <c r="K90" s="402">
        <f t="shared" si="188"/>
        <v>3.2333333333333334</v>
      </c>
      <c r="L90" s="403">
        <f t="shared" si="188"/>
        <v>3.2333333333333334</v>
      </c>
      <c r="O90" s="385">
        <f t="shared" si="189"/>
        <v>3.2333333333333334</v>
      </c>
      <c r="P90" s="402">
        <f t="shared" si="189"/>
        <v>3.2333333333333334</v>
      </c>
      <c r="Q90" s="402">
        <f t="shared" si="189"/>
        <v>3.2333333333333334</v>
      </c>
      <c r="R90" s="403">
        <f t="shared" si="189"/>
        <v>3.2333333333333334</v>
      </c>
      <c r="T90" s="347"/>
      <c r="U90" s="385">
        <f t="shared" si="190"/>
        <v>3.2333333333333334</v>
      </c>
      <c r="V90" s="402">
        <f t="shared" si="191"/>
        <v>3.2333333333333334</v>
      </c>
      <c r="W90" s="402">
        <f t="shared" si="192"/>
        <v>3.2333333333333334</v>
      </c>
      <c r="X90" s="403">
        <f t="shared" si="193"/>
        <v>3.2333333333333334</v>
      </c>
      <c r="Y90" s="156"/>
      <c r="Z90" s="156"/>
      <c r="AA90" s="385">
        <f t="shared" si="194"/>
        <v>3.2333333333333334</v>
      </c>
      <c r="AB90" s="402">
        <f t="shared" si="195"/>
        <v>3.2333333333333334</v>
      </c>
      <c r="AC90" s="402">
        <f t="shared" si="196"/>
        <v>3.2333333333333334</v>
      </c>
      <c r="AD90" s="403">
        <f t="shared" si="197"/>
        <v>3.2333333333333334</v>
      </c>
      <c r="AE90" s="156"/>
      <c r="AF90" s="304"/>
      <c r="AG90" s="2"/>
      <c r="AH90" s="2"/>
      <c r="AI90" s="2"/>
      <c r="AJ90" s="2"/>
      <c r="AK90" s="2"/>
      <c r="AL90" s="2"/>
    </row>
    <row r="91" spans="1:62" outlineLevel="1" x14ac:dyDescent="0.2">
      <c r="A91" s="2"/>
      <c r="C91" s="171"/>
      <c r="D91" s="171"/>
      <c r="E91" s="171"/>
      <c r="F91" s="171"/>
      <c r="G91" s="412"/>
      <c r="H91" s="523"/>
      <c r="I91" s="171"/>
      <c r="J91" s="171"/>
      <c r="K91" s="171"/>
      <c r="L91" s="171"/>
      <c r="O91" s="171"/>
      <c r="P91" s="171"/>
      <c r="Q91" s="171"/>
      <c r="R91" s="171"/>
      <c r="T91" s="347"/>
      <c r="U91" s="156"/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304"/>
      <c r="AG91" s="2"/>
      <c r="AH91" s="2"/>
      <c r="AI91" s="2"/>
      <c r="AJ91" s="2"/>
      <c r="AK91" s="2"/>
      <c r="AL91" s="2"/>
    </row>
    <row r="92" spans="1:62" outlineLevel="1" x14ac:dyDescent="0.2">
      <c r="A92" s="441"/>
      <c r="C92" s="171"/>
      <c r="AG92" s="2"/>
      <c r="AH92" s="2"/>
      <c r="AI92" s="2"/>
      <c r="AJ92" s="2"/>
      <c r="AK92" s="2"/>
      <c r="AL92" s="2"/>
    </row>
    <row r="93" spans="1:62" s="423" customFormat="1" ht="20" outlineLevel="1" x14ac:dyDescent="0.2">
      <c r="A93" s="422" t="s">
        <v>352</v>
      </c>
      <c r="B93" s="504"/>
      <c r="C93" s="424"/>
      <c r="D93" s="425"/>
      <c r="E93" s="425"/>
      <c r="F93" s="425"/>
      <c r="G93" s="505"/>
      <c r="H93" s="504"/>
      <c r="I93" s="426"/>
      <c r="J93" s="426"/>
      <c r="K93" s="426"/>
      <c r="L93" s="426"/>
      <c r="M93" s="536"/>
      <c r="N93" s="535"/>
      <c r="O93" s="425"/>
      <c r="P93" s="425"/>
      <c r="Q93" s="425"/>
      <c r="R93" s="425"/>
      <c r="S93" s="425"/>
      <c r="T93" s="564"/>
      <c r="U93" s="425"/>
      <c r="V93" s="425"/>
      <c r="W93" s="425"/>
      <c r="X93" s="425"/>
      <c r="Y93" s="425"/>
      <c r="Z93" s="425"/>
      <c r="AA93" s="425"/>
      <c r="AB93" s="425"/>
      <c r="AC93" s="425"/>
      <c r="AD93" s="425"/>
      <c r="AE93" s="425"/>
      <c r="AF93" s="505"/>
      <c r="AG93" s="422"/>
      <c r="AH93" s="422"/>
      <c r="AI93" s="422"/>
      <c r="AJ93" s="422"/>
      <c r="AK93" s="422"/>
      <c r="AL93" s="422"/>
      <c r="AM93" s="426"/>
      <c r="AN93" s="426"/>
      <c r="AO93" s="426"/>
      <c r="AP93" s="426"/>
      <c r="AQ93" s="426"/>
      <c r="AR93" s="426"/>
      <c r="AY93" s="426"/>
      <c r="AZ93" s="426"/>
      <c r="BA93" s="426"/>
      <c r="BB93" s="426"/>
      <c r="BC93" s="426"/>
      <c r="BD93" s="426"/>
      <c r="BE93" s="426"/>
      <c r="BF93" s="426"/>
      <c r="BG93" s="426"/>
      <c r="BH93" s="426"/>
      <c r="BI93" s="426"/>
      <c r="BJ93" s="426"/>
    </row>
    <row r="94" spans="1:62" ht="20" outlineLevel="1" x14ac:dyDescent="0.2">
      <c r="A94" s="88" t="s">
        <v>353</v>
      </c>
      <c r="B94" s="518"/>
      <c r="C94" s="171">
        <v>60000</v>
      </c>
      <c r="D94" s="171">
        <f>C94</f>
        <v>60000</v>
      </c>
      <c r="E94" s="171">
        <f t="shared" ref="E94:F94" si="199">D94</f>
        <v>60000</v>
      </c>
      <c r="F94" s="171">
        <f t="shared" si="199"/>
        <v>60000</v>
      </c>
      <c r="G94" s="412"/>
      <c r="I94" s="171">
        <f t="shared" ref="I94:L95" si="200">C94</f>
        <v>60000</v>
      </c>
      <c r="J94" s="171">
        <f t="shared" si="200"/>
        <v>60000</v>
      </c>
      <c r="K94" s="171">
        <f t="shared" si="200"/>
        <v>60000</v>
      </c>
      <c r="L94" s="171">
        <f t="shared" si="200"/>
        <v>60000</v>
      </c>
      <c r="M94" s="412"/>
      <c r="N94" s="557"/>
      <c r="O94" s="171">
        <f>I94</f>
        <v>60000</v>
      </c>
      <c r="P94" s="171">
        <f t="shared" ref="P94:R98" si="201">J94</f>
        <v>60000</v>
      </c>
      <c r="Q94" s="171">
        <f t="shared" si="201"/>
        <v>60000</v>
      </c>
      <c r="R94" s="171">
        <f t="shared" si="201"/>
        <v>60000</v>
      </c>
      <c r="T94" s="557"/>
      <c r="U94" s="171">
        <f>O94</f>
        <v>60000</v>
      </c>
      <c r="V94" s="171">
        <f t="shared" ref="V94:V95" si="202">P94</f>
        <v>60000</v>
      </c>
      <c r="W94" s="171">
        <f t="shared" ref="W94:W95" si="203">Q94</f>
        <v>60000</v>
      </c>
      <c r="X94" s="171">
        <f t="shared" ref="X94:X95" si="204">R94</f>
        <v>60000</v>
      </c>
      <c r="Z94" s="557"/>
      <c r="AA94" s="171">
        <f>U94</f>
        <v>60000</v>
      </c>
      <c r="AB94" s="171">
        <f t="shared" ref="AB94:AB95" si="205">V94</f>
        <v>60000</v>
      </c>
      <c r="AC94" s="171">
        <f t="shared" ref="AC94:AC95" si="206">W94</f>
        <v>60000</v>
      </c>
      <c r="AD94" s="171">
        <f t="shared" ref="AD94:AD95" si="207">X94</f>
        <v>60000</v>
      </c>
      <c r="AG94" s="13"/>
      <c r="AH94" s="13"/>
      <c r="AI94" s="13"/>
      <c r="AJ94" s="13"/>
      <c r="AK94" s="13"/>
      <c r="AL94" s="13"/>
    </row>
    <row r="95" spans="1:62" ht="20" outlineLevel="1" x14ac:dyDescent="0.2">
      <c r="A95" s="88" t="s">
        <v>354</v>
      </c>
      <c r="B95" s="518"/>
      <c r="C95" s="171">
        <v>40000</v>
      </c>
      <c r="D95" s="171">
        <f>C95</f>
        <v>40000</v>
      </c>
      <c r="E95" s="171">
        <f t="shared" ref="E95" si="208">D95</f>
        <v>40000</v>
      </c>
      <c r="F95" s="171">
        <f t="shared" ref="F95:F96" si="209">E95</f>
        <v>40000</v>
      </c>
      <c r="G95" s="412"/>
      <c r="I95" s="171">
        <f t="shared" si="200"/>
        <v>40000</v>
      </c>
      <c r="J95" s="171">
        <f t="shared" si="200"/>
        <v>40000</v>
      </c>
      <c r="K95" s="171">
        <f t="shared" si="200"/>
        <v>40000</v>
      </c>
      <c r="L95" s="171">
        <f t="shared" si="200"/>
        <v>40000</v>
      </c>
      <c r="M95" s="412"/>
      <c r="N95" s="557"/>
      <c r="O95" s="171">
        <f>I95</f>
        <v>40000</v>
      </c>
      <c r="P95" s="171">
        <f t="shared" si="201"/>
        <v>40000</v>
      </c>
      <c r="Q95" s="171">
        <f t="shared" si="201"/>
        <v>40000</v>
      </c>
      <c r="R95" s="171">
        <f t="shared" si="201"/>
        <v>40000</v>
      </c>
      <c r="T95" s="557"/>
      <c r="U95" s="171">
        <f>O95</f>
        <v>40000</v>
      </c>
      <c r="V95" s="171">
        <f t="shared" si="202"/>
        <v>40000</v>
      </c>
      <c r="W95" s="171">
        <f t="shared" si="203"/>
        <v>40000</v>
      </c>
      <c r="X95" s="171">
        <f t="shared" si="204"/>
        <v>40000</v>
      </c>
      <c r="Z95" s="557"/>
      <c r="AA95" s="171">
        <f>U95</f>
        <v>40000</v>
      </c>
      <c r="AB95" s="171">
        <f t="shared" si="205"/>
        <v>40000</v>
      </c>
      <c r="AC95" s="171">
        <f t="shared" si="206"/>
        <v>40000</v>
      </c>
      <c r="AD95" s="171">
        <f t="shared" si="207"/>
        <v>40000</v>
      </c>
      <c r="AG95" s="13"/>
      <c r="AH95" s="13"/>
      <c r="AI95" s="13"/>
      <c r="AJ95" s="13"/>
      <c r="AK95" s="13"/>
      <c r="AL95" s="13"/>
    </row>
    <row r="96" spans="1:62" s="430" customFormat="1" ht="40" outlineLevel="1" x14ac:dyDescent="0.2">
      <c r="A96" s="43" t="s">
        <v>355</v>
      </c>
      <c r="B96" s="519"/>
      <c r="C96" s="359">
        <v>0</v>
      </c>
      <c r="D96" s="359">
        <f>C96</f>
        <v>0</v>
      </c>
      <c r="E96" s="359">
        <f>E95</f>
        <v>40000</v>
      </c>
      <c r="F96" s="359">
        <f t="shared" si="209"/>
        <v>40000</v>
      </c>
      <c r="G96" s="520"/>
      <c r="H96" s="522"/>
      <c r="I96" s="427">
        <f>I95+I97</f>
        <v>48000</v>
      </c>
      <c r="J96" s="427">
        <f t="shared" ref="J96:L96" si="210">J95+J97</f>
        <v>48000</v>
      </c>
      <c r="K96" s="427">
        <f t="shared" si="210"/>
        <v>48000</v>
      </c>
      <c r="L96" s="427">
        <f t="shared" si="210"/>
        <v>48000</v>
      </c>
      <c r="M96" s="520"/>
      <c r="N96" s="545"/>
      <c r="O96" s="359">
        <f>I96</f>
        <v>48000</v>
      </c>
      <c r="P96" s="359">
        <f>O96</f>
        <v>48000</v>
      </c>
      <c r="Q96" s="359">
        <f t="shared" ref="Q96:R96" si="211">P96</f>
        <v>48000</v>
      </c>
      <c r="R96" s="359">
        <f t="shared" si="211"/>
        <v>48000</v>
      </c>
      <c r="S96" s="43"/>
      <c r="T96" s="545"/>
      <c r="U96" s="359">
        <f>O96</f>
        <v>48000</v>
      </c>
      <c r="V96" s="359">
        <f>U96</f>
        <v>48000</v>
      </c>
      <c r="W96" s="359">
        <f t="shared" ref="W96:W97" si="212">V96</f>
        <v>48000</v>
      </c>
      <c r="X96" s="359">
        <f t="shared" ref="X96:X97" si="213">W96</f>
        <v>48000</v>
      </c>
      <c r="Y96" s="43"/>
      <c r="Z96" s="545"/>
      <c r="AA96" s="359">
        <f>U96</f>
        <v>48000</v>
      </c>
      <c r="AB96" s="359">
        <f>AA96</f>
        <v>48000</v>
      </c>
      <c r="AC96" s="359">
        <f t="shared" ref="AC96:AC97" si="214">AB96</f>
        <v>48000</v>
      </c>
      <c r="AD96" s="359">
        <f t="shared" ref="AD96:AD97" si="215">AC96</f>
        <v>48000</v>
      </c>
      <c r="AE96" s="43"/>
      <c r="AF96" s="508"/>
      <c r="AG96" s="360"/>
      <c r="AH96" s="360"/>
      <c r="AI96" s="360"/>
      <c r="AJ96" s="360"/>
      <c r="AK96" s="360"/>
      <c r="AL96" s="360"/>
      <c r="AM96" s="43"/>
      <c r="AN96" s="43"/>
      <c r="AO96" s="43"/>
      <c r="AP96" s="43"/>
      <c r="AQ96" s="43"/>
      <c r="AR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  <c r="BJ96" s="43"/>
    </row>
    <row r="97" spans="1:62" ht="40" outlineLevel="1" x14ac:dyDescent="0.2">
      <c r="B97" s="518"/>
      <c r="C97" s="171"/>
      <c r="D97" s="171"/>
      <c r="E97" s="171"/>
      <c r="F97" s="171"/>
      <c r="G97" s="412"/>
      <c r="H97" s="541" t="s">
        <v>369</v>
      </c>
      <c r="I97" s="350">
        <f>I95*I98-I95</f>
        <v>8000</v>
      </c>
      <c r="J97" s="350">
        <f>I97</f>
        <v>8000</v>
      </c>
      <c r="K97" s="350">
        <f t="shared" ref="K97:L97" si="216">J97</f>
        <v>8000</v>
      </c>
      <c r="L97" s="350">
        <f t="shared" si="216"/>
        <v>8000</v>
      </c>
      <c r="M97" s="412"/>
      <c r="N97" s="558" t="s">
        <v>356</v>
      </c>
      <c r="O97" s="350">
        <f>I97</f>
        <v>8000</v>
      </c>
      <c r="P97" s="350">
        <f>O97</f>
        <v>8000</v>
      </c>
      <c r="Q97" s="350">
        <f t="shared" ref="Q97:R97" si="217">P97</f>
        <v>8000</v>
      </c>
      <c r="R97" s="350">
        <f t="shared" si="217"/>
        <v>8000</v>
      </c>
      <c r="T97" s="558" t="s">
        <v>356</v>
      </c>
      <c r="U97" s="350">
        <f>O97</f>
        <v>8000</v>
      </c>
      <c r="V97" s="350">
        <f>U97</f>
        <v>8000</v>
      </c>
      <c r="W97" s="350">
        <f t="shared" si="212"/>
        <v>8000</v>
      </c>
      <c r="X97" s="350">
        <f t="shared" si="213"/>
        <v>8000</v>
      </c>
      <c r="Z97" s="558" t="s">
        <v>356</v>
      </c>
      <c r="AA97" s="350">
        <f>U97</f>
        <v>8000</v>
      </c>
      <c r="AB97" s="350">
        <f>AA97</f>
        <v>8000</v>
      </c>
      <c r="AC97" s="350">
        <f t="shared" si="214"/>
        <v>8000</v>
      </c>
      <c r="AD97" s="350">
        <f t="shared" si="215"/>
        <v>8000</v>
      </c>
      <c r="AG97" s="13"/>
      <c r="AH97" s="13"/>
      <c r="AI97" s="13"/>
      <c r="AJ97" s="13"/>
      <c r="AK97" s="13"/>
      <c r="AL97" s="13"/>
    </row>
    <row r="98" spans="1:62" outlineLevel="1" x14ac:dyDescent="0.2">
      <c r="C98" s="2"/>
      <c r="D98" s="2"/>
      <c r="E98" s="2"/>
      <c r="F98" s="2"/>
      <c r="H98" s="542"/>
      <c r="I98" s="495">
        <v>1.2</v>
      </c>
      <c r="J98" s="495">
        <f>I98</f>
        <v>1.2</v>
      </c>
      <c r="K98" s="495">
        <f t="shared" ref="K98:L98" si="218">J98</f>
        <v>1.2</v>
      </c>
      <c r="L98" s="495">
        <f t="shared" si="218"/>
        <v>1.2</v>
      </c>
      <c r="N98" s="542"/>
      <c r="O98" s="495">
        <f>I98</f>
        <v>1.2</v>
      </c>
      <c r="P98" s="495">
        <f t="shared" si="201"/>
        <v>1.2</v>
      </c>
      <c r="Q98" s="495">
        <f t="shared" si="201"/>
        <v>1.2</v>
      </c>
      <c r="R98" s="454">
        <f t="shared" si="201"/>
        <v>1.2</v>
      </c>
      <c r="T98" s="542"/>
      <c r="U98" s="495">
        <f>O98</f>
        <v>1.2</v>
      </c>
      <c r="V98" s="495">
        <f t="shared" ref="V98" si="219">P98</f>
        <v>1.2</v>
      </c>
      <c r="W98" s="495">
        <f t="shared" ref="W98" si="220">Q98</f>
        <v>1.2</v>
      </c>
      <c r="X98" s="454">
        <f t="shared" ref="X98" si="221">R98</f>
        <v>1.2</v>
      </c>
      <c r="Z98" s="542"/>
      <c r="AA98" s="495">
        <f>U98</f>
        <v>1.2</v>
      </c>
      <c r="AB98" s="495">
        <f t="shared" ref="AB98" si="222">V98</f>
        <v>1.2</v>
      </c>
      <c r="AC98" s="495">
        <f t="shared" ref="AC98" si="223">W98</f>
        <v>1.2</v>
      </c>
      <c r="AD98" s="454">
        <f t="shared" ref="AD98" si="224">X98</f>
        <v>1.2</v>
      </c>
    </row>
    <row r="99" spans="1:62" outlineLevel="1" x14ac:dyDescent="0.2">
      <c r="C99" s="2"/>
      <c r="I99" s="349" t="s">
        <v>368</v>
      </c>
      <c r="N99" s="542"/>
      <c r="O99" s="456" t="s">
        <v>357</v>
      </c>
      <c r="P99" s="455"/>
      <c r="Q99" s="455"/>
      <c r="R99" s="455"/>
      <c r="T99" s="542"/>
      <c r="U99" s="456" t="s">
        <v>357</v>
      </c>
      <c r="V99" s="455"/>
      <c r="W99" s="455"/>
      <c r="X99" s="455"/>
      <c r="Z99" s="542"/>
      <c r="AA99" s="456" t="s">
        <v>357</v>
      </c>
      <c r="AB99" s="455"/>
      <c r="AC99" s="455"/>
      <c r="AD99" s="455"/>
    </row>
    <row r="100" spans="1:62" outlineLevel="1" x14ac:dyDescent="0.2">
      <c r="C100" s="2"/>
      <c r="I100" s="428"/>
      <c r="L100" s="141"/>
      <c r="Z100" s="88"/>
    </row>
    <row r="101" spans="1:62" s="423" customFormat="1" ht="20" outlineLevel="1" x14ac:dyDescent="0.2">
      <c r="A101" s="422" t="s">
        <v>338</v>
      </c>
      <c r="B101" s="504"/>
      <c r="C101" s="424"/>
      <c r="D101" s="425"/>
      <c r="E101" s="425"/>
      <c r="F101" s="425"/>
      <c r="G101" s="505"/>
      <c r="H101" s="535"/>
      <c r="I101" s="426"/>
      <c r="J101" s="426"/>
      <c r="K101" s="426"/>
      <c r="L101" s="426"/>
      <c r="M101" s="536"/>
      <c r="N101" s="535"/>
      <c r="O101" s="470"/>
      <c r="P101" s="425"/>
      <c r="Q101" s="425"/>
      <c r="R101" s="425"/>
      <c r="S101" s="425"/>
      <c r="T101" s="564"/>
      <c r="U101" s="425"/>
      <c r="V101" s="425"/>
      <c r="W101" s="425"/>
      <c r="X101" s="425"/>
      <c r="Y101" s="425"/>
      <c r="Z101" s="425"/>
      <c r="AA101" s="425"/>
      <c r="AB101" s="425"/>
      <c r="AC101" s="425"/>
      <c r="AD101" s="425"/>
      <c r="AE101" s="425"/>
      <c r="AF101" s="505"/>
      <c r="AG101" s="422"/>
      <c r="AH101" s="422"/>
      <c r="AI101" s="422"/>
      <c r="AJ101" s="422"/>
      <c r="AK101" s="422"/>
      <c r="AL101" s="422"/>
      <c r="AM101" s="426"/>
      <c r="AN101" s="426"/>
      <c r="AO101" s="426"/>
      <c r="AP101" s="426"/>
      <c r="AQ101" s="426"/>
      <c r="AR101" s="426"/>
      <c r="AY101" s="426"/>
      <c r="AZ101" s="426"/>
      <c r="BA101" s="426"/>
      <c r="BB101" s="426"/>
      <c r="BC101" s="426"/>
      <c r="BD101" s="426"/>
      <c r="BE101" s="426"/>
      <c r="BF101" s="426"/>
      <c r="BG101" s="426"/>
      <c r="BH101" s="426"/>
      <c r="BI101" s="426"/>
      <c r="BJ101" s="426"/>
    </row>
    <row r="102" spans="1:62" s="442" customFormat="1" ht="20" outlineLevel="1" x14ac:dyDescent="0.2">
      <c r="A102" s="265" t="s">
        <v>361</v>
      </c>
      <c r="B102" s="452">
        <f>C102</f>
        <v>28150</v>
      </c>
      <c r="C102" s="452">
        <f>C114</f>
        <v>28150</v>
      </c>
      <c r="D102" s="452">
        <f t="shared" ref="D102:F102" si="225">D114</f>
        <v>28150</v>
      </c>
      <c r="E102" s="452">
        <f t="shared" si="225"/>
        <v>28150</v>
      </c>
      <c r="F102" s="452">
        <f t="shared" si="225"/>
        <v>28150</v>
      </c>
      <c r="G102" s="521"/>
      <c r="H102" s="543"/>
      <c r="I102" s="260">
        <f>C102</f>
        <v>28150</v>
      </c>
      <c r="J102" s="260">
        <f>I102</f>
        <v>28150</v>
      </c>
      <c r="K102" s="260">
        <f t="shared" ref="K102:L102" si="226">J102</f>
        <v>28150</v>
      </c>
      <c r="L102" s="260">
        <f t="shared" si="226"/>
        <v>28150</v>
      </c>
      <c r="M102" s="544"/>
      <c r="N102" s="559"/>
      <c r="O102" s="453">
        <f>O103+O104</f>
        <v>1825.8870762882507</v>
      </c>
      <c r="P102" s="453">
        <f t="shared" ref="P102:R102" si="227">P103+P104</f>
        <v>1825.8870762882507</v>
      </c>
      <c r="Q102" s="453">
        <f t="shared" si="227"/>
        <v>1825.8870762882507</v>
      </c>
      <c r="R102" s="453">
        <f t="shared" si="227"/>
        <v>1825.8870762882507</v>
      </c>
      <c r="S102" s="275"/>
      <c r="T102" s="269"/>
      <c r="U102" s="453">
        <f>O102</f>
        <v>1825.8870762882507</v>
      </c>
      <c r="V102" s="453">
        <f>P102</f>
        <v>1825.8870762882507</v>
      </c>
      <c r="W102" s="453">
        <f t="shared" ref="W102:Y104" si="228">Q102</f>
        <v>1825.8870762882507</v>
      </c>
      <c r="X102" s="453">
        <f t="shared" si="228"/>
        <v>1825.8870762882507</v>
      </c>
      <c r="Y102" s="275"/>
      <c r="Z102" s="265"/>
      <c r="AA102" s="260">
        <f>I102</f>
        <v>28150</v>
      </c>
      <c r="AB102" s="260">
        <f t="shared" ref="AB102:AD102" si="229">J102</f>
        <v>28150</v>
      </c>
      <c r="AC102" s="260">
        <f t="shared" si="229"/>
        <v>28150</v>
      </c>
      <c r="AD102" s="260">
        <f t="shared" si="229"/>
        <v>28150</v>
      </c>
      <c r="AE102" s="265"/>
      <c r="AF102" s="521"/>
      <c r="AG102" s="265"/>
      <c r="AH102" s="265"/>
      <c r="AI102" s="265"/>
      <c r="AJ102" s="265"/>
      <c r="AK102" s="265"/>
      <c r="AL102" s="265"/>
      <c r="AM102" s="268"/>
      <c r="AN102" s="268"/>
      <c r="AO102" s="268"/>
      <c r="AP102" s="268"/>
      <c r="AQ102" s="268"/>
      <c r="AR102" s="268"/>
      <c r="AY102" s="273" t="s">
        <v>143</v>
      </c>
      <c r="AZ102" s="268"/>
      <c r="BA102" s="268"/>
      <c r="BB102" s="268"/>
      <c r="BC102" s="268"/>
      <c r="BD102" s="268"/>
      <c r="BE102" s="268" t="s">
        <v>33</v>
      </c>
      <c r="BF102" s="268"/>
      <c r="BG102" s="268"/>
      <c r="BH102" s="268"/>
      <c r="BI102" s="268"/>
      <c r="BJ102" s="268"/>
    </row>
    <row r="103" spans="1:62" s="430" customFormat="1" ht="20" outlineLevel="1" x14ac:dyDescent="0.2">
      <c r="A103" s="363" t="s">
        <v>327</v>
      </c>
      <c r="B103" s="72" t="s">
        <v>143</v>
      </c>
      <c r="C103" s="72" t="s">
        <v>143</v>
      </c>
      <c r="D103" s="72" t="s">
        <v>143</v>
      </c>
      <c r="E103" s="72" t="s">
        <v>143</v>
      </c>
      <c r="F103" s="72" t="s">
        <v>143</v>
      </c>
      <c r="G103" s="503"/>
      <c r="H103" s="545"/>
      <c r="I103" s="72" t="s">
        <v>143</v>
      </c>
      <c r="J103" s="72" t="s">
        <v>143</v>
      </c>
      <c r="K103" s="72" t="s">
        <v>143</v>
      </c>
      <c r="L103" s="72" t="s">
        <v>143</v>
      </c>
      <c r="M103" s="508"/>
      <c r="N103" s="534"/>
      <c r="O103" s="359">
        <v>0</v>
      </c>
      <c r="P103" s="359">
        <v>0</v>
      </c>
      <c r="Q103" s="359">
        <v>0</v>
      </c>
      <c r="R103" s="359">
        <v>0</v>
      </c>
      <c r="S103" s="359">
        <v>0</v>
      </c>
      <c r="T103" s="563"/>
      <c r="U103" s="359">
        <f>O103</f>
        <v>0</v>
      </c>
      <c r="V103" s="359">
        <f t="shared" ref="V103:V104" si="230">P103</f>
        <v>0</v>
      </c>
      <c r="W103" s="359">
        <f t="shared" si="228"/>
        <v>0</v>
      </c>
      <c r="X103" s="359">
        <f t="shared" si="228"/>
        <v>0</v>
      </c>
      <c r="Y103" s="359">
        <f t="shared" si="228"/>
        <v>0</v>
      </c>
      <c r="Z103" s="360"/>
      <c r="AA103" s="72" t="s">
        <v>143</v>
      </c>
      <c r="AB103" s="72" t="s">
        <v>143</v>
      </c>
      <c r="AC103" s="72" t="s">
        <v>143</v>
      </c>
      <c r="AD103" s="72" t="s">
        <v>143</v>
      </c>
      <c r="AE103" s="360"/>
      <c r="AF103" s="503"/>
      <c r="AG103" s="360"/>
      <c r="AH103" s="360"/>
      <c r="AI103" s="360"/>
      <c r="AJ103" s="360"/>
      <c r="AK103" s="360"/>
      <c r="AL103" s="360"/>
      <c r="AM103" s="43"/>
      <c r="AN103" s="43"/>
      <c r="AO103" s="43"/>
      <c r="AP103" s="43"/>
      <c r="AQ103" s="43"/>
      <c r="AR103" s="43"/>
      <c r="AY103" s="365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  <c r="BJ103" s="43"/>
    </row>
    <row r="104" spans="1:62" s="430" customFormat="1" ht="20" outlineLevel="1" x14ac:dyDescent="0.2">
      <c r="A104" s="362" t="s">
        <v>324</v>
      </c>
      <c r="B104" s="522"/>
      <c r="C104" s="43"/>
      <c r="D104" s="43"/>
      <c r="E104" s="43"/>
      <c r="F104" s="43"/>
      <c r="G104" s="520"/>
      <c r="H104" s="534"/>
      <c r="I104" s="43"/>
      <c r="J104" s="43"/>
      <c r="K104" s="43"/>
      <c r="L104" s="43"/>
      <c r="M104" s="508"/>
      <c r="N104" s="534"/>
      <c r="O104" s="449">
        <f>S104</f>
        <v>1825.8870762882507</v>
      </c>
      <c r="P104" s="449">
        <f>S104</f>
        <v>1825.8870762882507</v>
      </c>
      <c r="Q104" s="449">
        <f>S104</f>
        <v>1825.8870762882507</v>
      </c>
      <c r="R104" s="449">
        <f>S104</f>
        <v>1825.8870762882507</v>
      </c>
      <c r="S104" s="449">
        <f>3000000/S20</f>
        <v>1825.8870762882507</v>
      </c>
      <c r="T104" s="522"/>
      <c r="U104" s="449">
        <f>O104</f>
        <v>1825.8870762882507</v>
      </c>
      <c r="V104" s="449">
        <f t="shared" si="230"/>
        <v>1825.8870762882507</v>
      </c>
      <c r="W104" s="449">
        <f t="shared" si="228"/>
        <v>1825.8870762882507</v>
      </c>
      <c r="X104" s="449">
        <f t="shared" si="228"/>
        <v>1825.8870762882507</v>
      </c>
      <c r="Y104" s="449">
        <f t="shared" si="228"/>
        <v>1825.8870762882507</v>
      </c>
      <c r="AA104" s="43"/>
      <c r="AB104" s="43"/>
      <c r="AC104" s="43"/>
      <c r="AD104" s="43"/>
      <c r="AF104" s="562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  <c r="BJ104" s="43"/>
    </row>
    <row r="105" spans="1:62" outlineLevel="1" x14ac:dyDescent="0.2">
      <c r="A105" s="428"/>
      <c r="B105" s="621" t="s">
        <v>409</v>
      </c>
      <c r="C105" s="428"/>
      <c r="D105" s="171"/>
      <c r="E105" s="171"/>
      <c r="F105" s="171"/>
      <c r="G105" s="412"/>
      <c r="I105" s="674" t="s">
        <v>409</v>
      </c>
      <c r="N105" s="560"/>
      <c r="O105" s="349" t="s">
        <v>376</v>
      </c>
      <c r="P105" s="471"/>
      <c r="Q105" s="471"/>
      <c r="R105" s="471"/>
      <c r="S105" s="432"/>
      <c r="T105" s="523"/>
      <c r="U105" s="349" t="s">
        <v>376</v>
      </c>
      <c r="V105" s="471"/>
      <c r="W105" s="471"/>
      <c r="X105" s="471"/>
      <c r="Y105" s="432"/>
      <c r="Z105" s="428"/>
      <c r="AA105" s="674" t="s">
        <v>409</v>
      </c>
      <c r="AE105" s="428"/>
      <c r="AF105" s="509"/>
      <c r="AG105" s="428"/>
      <c r="AH105" s="428"/>
      <c r="AI105" s="428"/>
      <c r="AJ105" s="428"/>
      <c r="AK105" s="428"/>
      <c r="AL105" s="428"/>
      <c r="AM105" s="428"/>
      <c r="AN105" s="428"/>
      <c r="AO105" s="428"/>
      <c r="AP105" s="428"/>
      <c r="AQ105" s="428"/>
      <c r="AR105" s="428"/>
      <c r="AY105" s="428"/>
      <c r="BE105" s="14"/>
    </row>
    <row r="106" spans="1:62" outlineLevel="1" x14ac:dyDescent="0.2">
      <c r="A106" s="278"/>
      <c r="B106" s="523"/>
      <c r="C106" s="171"/>
      <c r="D106" s="171"/>
      <c r="E106" s="171"/>
      <c r="F106" s="171"/>
      <c r="G106" s="412"/>
      <c r="N106" s="523"/>
      <c r="O106" s="358" t="s">
        <v>322</v>
      </c>
      <c r="T106" s="523"/>
      <c r="U106" s="358" t="s">
        <v>322</v>
      </c>
      <c r="Z106" s="428"/>
      <c r="AE106" s="428"/>
      <c r="AF106" s="509"/>
      <c r="AG106" s="428"/>
      <c r="AH106" s="428"/>
      <c r="AI106" s="428"/>
      <c r="AJ106" s="428"/>
      <c r="AK106" s="428"/>
      <c r="AL106" s="428"/>
      <c r="AM106" s="428"/>
      <c r="AN106" s="428"/>
      <c r="AO106" s="428"/>
      <c r="AP106" s="428"/>
      <c r="AQ106" s="428"/>
      <c r="AR106" s="428"/>
      <c r="AY106" s="428"/>
      <c r="BE106" s="14"/>
    </row>
    <row r="107" spans="1:62" outlineLevel="1" x14ac:dyDescent="0.2">
      <c r="A107" s="278"/>
      <c r="B107" s="523"/>
      <c r="C107" s="171"/>
      <c r="D107" s="171"/>
      <c r="E107" s="171"/>
      <c r="F107" s="171"/>
      <c r="G107" s="412"/>
      <c r="O107" s="428"/>
      <c r="T107" s="523"/>
      <c r="U107" s="428"/>
      <c r="Z107" s="428"/>
      <c r="AA107" s="428"/>
      <c r="AB107" s="428"/>
      <c r="AC107" s="428"/>
      <c r="AD107" s="428"/>
      <c r="AE107" s="428"/>
      <c r="AF107" s="509"/>
      <c r="AG107" s="428"/>
      <c r="AH107" s="428"/>
      <c r="AI107" s="428"/>
      <c r="AJ107" s="428"/>
      <c r="AK107" s="428"/>
      <c r="AL107" s="428"/>
      <c r="AM107" s="428"/>
      <c r="AN107" s="428"/>
      <c r="AO107" s="428"/>
      <c r="AP107" s="428"/>
      <c r="AQ107" s="428"/>
      <c r="AR107" s="428"/>
      <c r="AY107" s="428"/>
      <c r="BE107" s="14"/>
    </row>
    <row r="108" spans="1:62" s="430" customFormat="1" ht="40" outlineLevel="1" x14ac:dyDescent="0.2">
      <c r="A108" s="360" t="s">
        <v>359</v>
      </c>
      <c r="B108" s="387"/>
      <c r="C108" s="443">
        <f>C122</f>
        <v>1575</v>
      </c>
      <c r="D108" s="359">
        <f>C108</f>
        <v>1575</v>
      </c>
      <c r="E108" s="359">
        <f t="shared" ref="E108:F108" si="231">D108</f>
        <v>1575</v>
      </c>
      <c r="F108" s="359">
        <f t="shared" si="231"/>
        <v>1575</v>
      </c>
      <c r="G108" s="503"/>
      <c r="H108" s="546"/>
      <c r="I108" s="366">
        <v>0</v>
      </c>
      <c r="J108" s="366">
        <f>I108</f>
        <v>0</v>
      </c>
      <c r="K108" s="366">
        <f t="shared" ref="K108" si="232">J108</f>
        <v>0</v>
      </c>
      <c r="L108" s="366">
        <f t="shared" ref="L108" si="233">K108</f>
        <v>0</v>
      </c>
      <c r="M108" s="508"/>
      <c r="N108" s="534"/>
      <c r="O108" s="366">
        <v>0</v>
      </c>
      <c r="P108" s="366">
        <f>O108</f>
        <v>0</v>
      </c>
      <c r="Q108" s="366">
        <f t="shared" ref="Q108:S108" si="234">P108</f>
        <v>0</v>
      </c>
      <c r="R108" s="366">
        <f t="shared" si="234"/>
        <v>0</v>
      </c>
      <c r="S108" s="366">
        <f t="shared" si="234"/>
        <v>0</v>
      </c>
      <c r="T108" s="563"/>
      <c r="U108" s="366">
        <v>0</v>
      </c>
      <c r="V108" s="366">
        <f>U108</f>
        <v>0</v>
      </c>
      <c r="W108" s="366">
        <f t="shared" ref="W108" si="235">V108</f>
        <v>0</v>
      </c>
      <c r="X108" s="366">
        <f t="shared" ref="X108" si="236">W108</f>
        <v>0</v>
      </c>
      <c r="Y108" s="366">
        <f t="shared" ref="Y108" si="237">X108</f>
        <v>0</v>
      </c>
      <c r="Z108" s="360"/>
      <c r="AA108" s="366">
        <f>I108</f>
        <v>0</v>
      </c>
      <c r="AB108" s="366">
        <f>J108</f>
        <v>0</v>
      </c>
      <c r="AC108" s="366">
        <f>K108</f>
        <v>0</v>
      </c>
      <c r="AD108" s="366">
        <f>L108</f>
        <v>0</v>
      </c>
      <c r="AE108" s="360"/>
      <c r="AF108" s="503"/>
      <c r="AG108" s="360"/>
      <c r="AH108" s="360"/>
      <c r="AI108" s="360"/>
      <c r="AJ108" s="360"/>
      <c r="AK108" s="360"/>
      <c r="AL108" s="360"/>
      <c r="AM108" s="43"/>
      <c r="AN108" s="43"/>
      <c r="AO108" s="43"/>
      <c r="AP108" s="43"/>
      <c r="AQ108" s="43"/>
      <c r="AR108" s="43"/>
      <c r="AY108" s="468" t="s">
        <v>143</v>
      </c>
      <c r="AZ108" s="43"/>
      <c r="BA108" s="43"/>
      <c r="BB108" s="43"/>
      <c r="BC108" s="43"/>
      <c r="BD108" s="43"/>
      <c r="BE108" s="43" t="s">
        <v>33</v>
      </c>
      <c r="BF108" s="43"/>
      <c r="BG108" s="43"/>
      <c r="BH108" s="43"/>
      <c r="BI108" s="43"/>
      <c r="BJ108" s="43"/>
    </row>
    <row r="109" spans="1:62" s="445" customFormat="1" outlineLevel="1" x14ac:dyDescent="0.2">
      <c r="A109" s="444"/>
      <c r="B109" s="524"/>
      <c r="C109" s="446"/>
      <c r="D109" s="447"/>
      <c r="E109" s="447"/>
      <c r="F109" s="447"/>
      <c r="G109" s="525"/>
      <c r="H109" s="547"/>
      <c r="I109" s="448"/>
      <c r="J109" s="448"/>
      <c r="K109" s="448"/>
      <c r="L109" s="448"/>
      <c r="M109" s="548"/>
      <c r="N109" s="547"/>
      <c r="O109" s="447"/>
      <c r="P109" s="447"/>
      <c r="Q109" s="447"/>
      <c r="R109" s="447"/>
      <c r="S109" s="447"/>
      <c r="T109" s="568"/>
      <c r="U109" s="447"/>
      <c r="V109" s="447"/>
      <c r="W109" s="447"/>
      <c r="X109" s="447"/>
      <c r="Y109" s="447"/>
      <c r="Z109" s="447"/>
      <c r="AA109" s="447"/>
      <c r="AB109" s="447"/>
      <c r="AC109" s="447"/>
      <c r="AD109" s="447"/>
      <c r="AE109" s="447"/>
      <c r="AF109" s="525"/>
      <c r="AG109" s="444"/>
      <c r="AH109" s="444"/>
      <c r="AI109" s="444"/>
      <c r="AJ109" s="444"/>
      <c r="AK109" s="444"/>
      <c r="AL109" s="444"/>
      <c r="AM109" s="448"/>
      <c r="AN109" s="448"/>
      <c r="AO109" s="448"/>
      <c r="AP109" s="448"/>
      <c r="AQ109" s="448"/>
      <c r="AR109" s="448"/>
      <c r="AY109" s="448"/>
      <c r="AZ109" s="448"/>
      <c r="BA109" s="448"/>
      <c r="BB109" s="448"/>
      <c r="BC109" s="448"/>
      <c r="BD109" s="448"/>
      <c r="BE109" s="448"/>
      <c r="BF109" s="448"/>
      <c r="BG109" s="448"/>
      <c r="BH109" s="448"/>
      <c r="BI109" s="448"/>
      <c r="BJ109" s="448"/>
    </row>
    <row r="110" spans="1:62" s="464" customFormat="1" ht="20" outlineLevel="1" x14ac:dyDescent="0.2">
      <c r="A110" s="264" t="s">
        <v>364</v>
      </c>
      <c r="B110" s="72" t="s">
        <v>143</v>
      </c>
      <c r="C110" s="469">
        <f>C130</f>
        <v>731.26142595978058</v>
      </c>
      <c r="D110" s="469">
        <f>D130</f>
        <v>731.26142595978058</v>
      </c>
      <c r="E110" s="469">
        <f>E130</f>
        <v>731.26142595978058</v>
      </c>
      <c r="F110" s="469">
        <f>F130</f>
        <v>731.26142595978058</v>
      </c>
      <c r="G110" s="526"/>
      <c r="H110" s="72" t="s">
        <v>143</v>
      </c>
      <c r="I110" s="469">
        <f>C110</f>
        <v>731.26142595978058</v>
      </c>
      <c r="J110" s="469">
        <f t="shared" ref="J110:L110" si="238">D110</f>
        <v>731.26142595978058</v>
      </c>
      <c r="K110" s="469">
        <f t="shared" si="238"/>
        <v>731.26142595978058</v>
      </c>
      <c r="L110" s="469">
        <f t="shared" si="238"/>
        <v>731.26142595978058</v>
      </c>
      <c r="M110" s="550"/>
      <c r="N110" s="549"/>
      <c r="O110" s="465">
        <f>I110</f>
        <v>731.26142595978058</v>
      </c>
      <c r="P110" s="465">
        <f t="shared" ref="P110" si="239">J110</f>
        <v>731.26142595978058</v>
      </c>
      <c r="Q110" s="465">
        <f t="shared" ref="Q110" si="240">K110</f>
        <v>731.26142595978058</v>
      </c>
      <c r="R110" s="465">
        <f t="shared" ref="R110" si="241">L110</f>
        <v>731.26142595978058</v>
      </c>
      <c r="S110" s="648"/>
      <c r="T110" s="569"/>
      <c r="U110" s="465">
        <f>O110</f>
        <v>731.26142595978058</v>
      </c>
      <c r="V110" s="465">
        <f t="shared" ref="V110" si="242">P110</f>
        <v>731.26142595978058</v>
      </c>
      <c r="W110" s="465">
        <f t="shared" ref="W110" si="243">Q110</f>
        <v>731.26142595978058</v>
      </c>
      <c r="X110" s="465">
        <f t="shared" ref="X110" si="244">R110</f>
        <v>731.26142595978058</v>
      </c>
      <c r="Y110" s="648"/>
      <c r="Z110" s="648"/>
      <c r="AA110" s="366">
        <f>I110</f>
        <v>731.26142595978058</v>
      </c>
      <c r="AB110" s="366">
        <f>J110</f>
        <v>731.26142595978058</v>
      </c>
      <c r="AC110" s="366">
        <f>K110</f>
        <v>731.26142595978058</v>
      </c>
      <c r="AD110" s="366">
        <f>L110</f>
        <v>731.26142595978058</v>
      </c>
      <c r="AE110" s="648"/>
      <c r="AF110" s="526"/>
      <c r="AG110" s="467"/>
      <c r="AH110" s="467"/>
      <c r="AI110" s="467"/>
      <c r="AJ110" s="467"/>
      <c r="AK110" s="467"/>
      <c r="AL110" s="467"/>
      <c r="AM110" s="466"/>
      <c r="AN110" s="466"/>
      <c r="AO110" s="466"/>
      <c r="AP110" s="466"/>
      <c r="AQ110" s="466"/>
      <c r="AR110" s="466"/>
      <c r="AY110" s="466"/>
      <c r="AZ110" s="466"/>
      <c r="BA110" s="466"/>
      <c r="BB110" s="466"/>
      <c r="BC110" s="466"/>
      <c r="BD110" s="466"/>
      <c r="BE110" s="466"/>
      <c r="BF110" s="466"/>
      <c r="BG110" s="466"/>
      <c r="BH110" s="466"/>
      <c r="BI110" s="466"/>
      <c r="BJ110" s="466"/>
    </row>
    <row r="111" spans="1:62" s="445" customFormat="1" outlineLevel="1" x14ac:dyDescent="0.2">
      <c r="A111" s="444"/>
      <c r="B111" s="621" t="s">
        <v>411</v>
      </c>
      <c r="D111" s="447"/>
      <c r="E111" s="447"/>
      <c r="F111" s="447"/>
      <c r="G111" s="525"/>
      <c r="H111" s="547"/>
      <c r="I111" s="448"/>
      <c r="J111" s="448"/>
      <c r="K111" s="448"/>
      <c r="L111" s="448"/>
      <c r="M111" s="548"/>
      <c r="N111" s="547"/>
      <c r="O111" s="447"/>
      <c r="P111" s="447"/>
      <c r="Q111" s="447"/>
      <c r="R111" s="447"/>
      <c r="S111" s="447"/>
      <c r="T111" s="568"/>
      <c r="U111" s="447"/>
      <c r="V111" s="447"/>
      <c r="W111" s="447"/>
      <c r="X111" s="447"/>
      <c r="Y111" s="447"/>
      <c r="Z111" s="447"/>
      <c r="AA111" s="447"/>
      <c r="AB111" s="447"/>
      <c r="AC111" s="447"/>
      <c r="AD111" s="447"/>
      <c r="AE111" s="447"/>
      <c r="AF111" s="525"/>
      <c r="AG111" s="444"/>
      <c r="AH111" s="444"/>
      <c r="AI111" s="444"/>
      <c r="AJ111" s="444"/>
      <c r="AK111" s="444"/>
      <c r="AL111" s="444"/>
      <c r="AM111" s="448"/>
      <c r="AN111" s="448"/>
      <c r="AO111" s="448"/>
      <c r="AP111" s="448"/>
      <c r="AQ111" s="448"/>
      <c r="AR111" s="448"/>
      <c r="AY111" s="448"/>
      <c r="AZ111" s="448"/>
      <c r="BA111" s="448"/>
      <c r="BB111" s="448"/>
      <c r="BC111" s="448"/>
      <c r="BD111" s="448"/>
      <c r="BE111" s="448"/>
      <c r="BF111" s="448"/>
      <c r="BG111" s="448"/>
      <c r="BH111" s="448"/>
      <c r="BI111" s="448"/>
      <c r="BJ111" s="448"/>
    </row>
    <row r="112" spans="1:62" s="445" customFormat="1" outlineLevel="1" x14ac:dyDescent="0.2">
      <c r="A112" s="444"/>
      <c r="B112" s="524"/>
      <c r="C112" s="446"/>
      <c r="D112" s="447"/>
      <c r="E112" s="447"/>
      <c r="F112" s="447"/>
      <c r="G112" s="525"/>
      <c r="H112" s="547"/>
      <c r="I112" s="448"/>
      <c r="J112" s="448"/>
      <c r="K112" s="448"/>
      <c r="L112" s="448"/>
      <c r="M112" s="548"/>
      <c r="N112" s="547"/>
      <c r="O112" s="447"/>
      <c r="P112" s="447"/>
      <c r="Q112" s="447"/>
      <c r="R112" s="447"/>
      <c r="S112" s="447"/>
      <c r="T112" s="568"/>
      <c r="U112" s="447"/>
      <c r="V112" s="447"/>
      <c r="W112" s="447"/>
      <c r="X112" s="447"/>
      <c r="Y112" s="447"/>
      <c r="Z112" s="447"/>
      <c r="AA112" s="447"/>
      <c r="AB112" s="447"/>
      <c r="AC112" s="447"/>
      <c r="AD112" s="447"/>
      <c r="AE112" s="447"/>
      <c r="AF112" s="525"/>
      <c r="AG112" s="444"/>
      <c r="AH112" s="444"/>
      <c r="AI112" s="444"/>
      <c r="AJ112" s="444"/>
      <c r="AK112" s="444"/>
      <c r="AL112" s="444"/>
      <c r="AM112" s="448"/>
      <c r="AN112" s="448"/>
      <c r="AO112" s="448"/>
      <c r="AP112" s="448"/>
      <c r="AQ112" s="448"/>
      <c r="AR112" s="448"/>
      <c r="AY112" s="448"/>
      <c r="AZ112" s="448"/>
      <c r="BA112" s="448"/>
      <c r="BB112" s="448"/>
      <c r="BC112" s="448"/>
      <c r="BD112" s="448"/>
      <c r="BE112" s="448"/>
      <c r="BF112" s="448"/>
      <c r="BG112" s="448"/>
      <c r="BH112" s="448"/>
      <c r="BI112" s="448"/>
      <c r="BJ112" s="448"/>
    </row>
    <row r="113" spans="1:62" s="451" customFormat="1" ht="20" outlineLevel="1" x14ac:dyDescent="0.2">
      <c r="A113" s="388" t="s">
        <v>365</v>
      </c>
      <c r="B113" s="527"/>
      <c r="C113" s="389"/>
      <c r="D113" s="388"/>
      <c r="E113" s="388"/>
      <c r="F113" s="388"/>
      <c r="G113" s="528"/>
      <c r="H113" s="551"/>
      <c r="I113" s="390"/>
      <c r="J113" s="390"/>
      <c r="K113" s="390"/>
      <c r="L113" s="390"/>
      <c r="M113" s="552"/>
      <c r="N113" s="561"/>
      <c r="O113" s="390"/>
      <c r="P113" s="390"/>
      <c r="Q113" s="390"/>
      <c r="R113" s="390"/>
      <c r="S113" s="390"/>
      <c r="T113" s="570"/>
      <c r="U113" s="388"/>
      <c r="V113" s="388"/>
      <c r="W113" s="388"/>
      <c r="X113" s="388"/>
      <c r="Y113" s="388"/>
      <c r="Z113" s="388"/>
      <c r="AA113" s="388"/>
      <c r="AB113" s="388"/>
      <c r="AC113" s="388"/>
      <c r="AD113" s="388"/>
      <c r="AE113" s="388"/>
      <c r="AF113" s="528"/>
      <c r="AG113" s="388"/>
      <c r="AH113" s="388"/>
      <c r="AI113" s="388"/>
      <c r="AJ113" s="388"/>
      <c r="AK113" s="388"/>
      <c r="AL113" s="388"/>
      <c r="AM113" s="390"/>
      <c r="AN113" s="390"/>
      <c r="AO113" s="390"/>
      <c r="AP113" s="390"/>
      <c r="AQ113" s="390"/>
      <c r="AR113" s="390"/>
      <c r="AY113" s="450" t="s">
        <v>143</v>
      </c>
      <c r="AZ113" s="390"/>
      <c r="BA113" s="390"/>
      <c r="BB113" s="390"/>
      <c r="BC113" s="390"/>
      <c r="BD113" s="390"/>
      <c r="BE113" s="390" t="s">
        <v>33</v>
      </c>
      <c r="BF113" s="390"/>
      <c r="BG113" s="390"/>
      <c r="BH113" s="390"/>
      <c r="BI113" s="390"/>
      <c r="BJ113" s="390"/>
    </row>
    <row r="114" spans="1:62" s="430" customFormat="1" ht="20" outlineLevel="1" x14ac:dyDescent="0.2">
      <c r="A114" s="360" t="s">
        <v>360</v>
      </c>
      <c r="B114" s="507"/>
      <c r="C114" s="359">
        <v>28150</v>
      </c>
      <c r="D114" s="359">
        <f>C114</f>
        <v>28150</v>
      </c>
      <c r="E114" s="359">
        <f t="shared" ref="E114:F114" si="245">D114</f>
        <v>28150</v>
      </c>
      <c r="F114" s="359">
        <f t="shared" si="245"/>
        <v>28150</v>
      </c>
      <c r="G114" s="520"/>
      <c r="H114" s="534"/>
      <c r="I114" s="427">
        <f>C114</f>
        <v>28150</v>
      </c>
      <c r="J114" s="359">
        <f>D114</f>
        <v>28150</v>
      </c>
      <c r="K114" s="359">
        <f>E114</f>
        <v>28150</v>
      </c>
      <c r="L114" s="359">
        <f>F114</f>
        <v>28150</v>
      </c>
      <c r="M114" s="520"/>
      <c r="N114" s="534"/>
      <c r="O114" s="427">
        <f>I114</f>
        <v>28150</v>
      </c>
      <c r="P114" s="359">
        <f>J114</f>
        <v>28150</v>
      </c>
      <c r="Q114" s="359">
        <f>K114</f>
        <v>28150</v>
      </c>
      <c r="R114" s="359">
        <f>L114</f>
        <v>28150</v>
      </c>
      <c r="T114" s="522"/>
      <c r="AF114" s="562"/>
      <c r="AZ114" s="43"/>
      <c r="BA114" s="43"/>
      <c r="BB114" s="43"/>
      <c r="BC114" s="43"/>
      <c r="BD114" s="43"/>
      <c r="BE114" s="43" t="s">
        <v>33</v>
      </c>
      <c r="BF114" s="43"/>
      <c r="BG114" s="43"/>
      <c r="BH114" s="43"/>
      <c r="BI114" s="43"/>
      <c r="BJ114" s="43"/>
    </row>
    <row r="115" spans="1:62" s="430" customFormat="1" ht="20" outlineLevel="1" x14ac:dyDescent="0.2">
      <c r="A115" s="363" t="s">
        <v>326</v>
      </c>
      <c r="B115" s="72" t="s">
        <v>143</v>
      </c>
      <c r="C115" s="72" t="s">
        <v>148</v>
      </c>
      <c r="D115" s="359"/>
      <c r="E115" s="359"/>
      <c r="F115" s="359"/>
      <c r="G115" s="520"/>
      <c r="H115" s="72" t="s">
        <v>143</v>
      </c>
      <c r="I115" s="72" t="s">
        <v>143</v>
      </c>
      <c r="J115" s="359"/>
      <c r="K115" s="359"/>
      <c r="L115" s="359"/>
      <c r="M115" s="520"/>
      <c r="N115" s="72" t="s">
        <v>143</v>
      </c>
      <c r="O115" s="72" t="s">
        <v>143</v>
      </c>
      <c r="P115" s="359"/>
      <c r="Q115" s="359"/>
      <c r="R115" s="359"/>
      <c r="S115" s="652">
        <v>0</v>
      </c>
      <c r="T115" s="522"/>
      <c r="AF115" s="562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  <c r="BJ115" s="43"/>
    </row>
    <row r="116" spans="1:62" ht="20" outlineLevel="1" x14ac:dyDescent="0.2">
      <c r="A116" s="81" t="s">
        <v>287</v>
      </c>
      <c r="B116" s="523"/>
      <c r="C116" s="72" t="s">
        <v>148</v>
      </c>
      <c r="D116" s="171"/>
      <c r="E116" s="171"/>
      <c r="F116" s="171"/>
      <c r="G116" s="412"/>
      <c r="H116" s="523"/>
      <c r="N116" s="523"/>
      <c r="S116" s="428"/>
      <c r="T116" s="523"/>
      <c r="U116" s="428"/>
      <c r="V116" s="428"/>
      <c r="W116" s="428"/>
      <c r="X116" s="428"/>
      <c r="Y116" s="428"/>
      <c r="Z116" s="428"/>
      <c r="AA116" s="428"/>
      <c r="AB116" s="428"/>
      <c r="AC116" s="428"/>
      <c r="AD116" s="428"/>
      <c r="AE116" s="428"/>
      <c r="AF116" s="509"/>
      <c r="AG116" s="428"/>
      <c r="AH116" s="428"/>
      <c r="AI116" s="428"/>
      <c r="AJ116" s="428"/>
      <c r="AK116" s="428"/>
      <c r="AL116" s="428"/>
      <c r="AM116" s="428"/>
      <c r="AN116" s="428"/>
      <c r="AO116" s="428"/>
      <c r="AP116" s="428"/>
      <c r="AQ116" s="428"/>
      <c r="AR116" s="428"/>
      <c r="AY116" s="428"/>
      <c r="BE116" s="14"/>
    </row>
    <row r="117" spans="1:62" ht="20" outlineLevel="1" x14ac:dyDescent="0.2">
      <c r="A117" s="81" t="s">
        <v>288</v>
      </c>
      <c r="B117" s="523"/>
      <c r="C117" s="72" t="s">
        <v>148</v>
      </c>
      <c r="D117" s="171"/>
      <c r="E117" s="171"/>
      <c r="F117" s="171"/>
      <c r="G117" s="412"/>
      <c r="H117" s="523"/>
      <c r="N117" s="523"/>
      <c r="S117" s="428"/>
      <c r="T117" s="523"/>
      <c r="U117" s="428"/>
      <c r="V117" s="428"/>
      <c r="W117" s="428"/>
      <c r="X117" s="428"/>
      <c r="Y117" s="428"/>
      <c r="Z117" s="428"/>
      <c r="AA117" s="428"/>
      <c r="AB117" s="428"/>
      <c r="AC117" s="428"/>
      <c r="AD117" s="428"/>
      <c r="AE117" s="428"/>
      <c r="AF117" s="509"/>
      <c r="AG117" s="428"/>
      <c r="AH117" s="428"/>
      <c r="AI117" s="428"/>
      <c r="AJ117" s="428"/>
      <c r="AK117" s="428"/>
      <c r="AL117" s="428"/>
      <c r="AM117" s="428"/>
      <c r="AN117" s="428"/>
      <c r="AO117" s="428"/>
      <c r="AP117" s="428"/>
      <c r="AQ117" s="428"/>
      <c r="AR117" s="428"/>
      <c r="AY117" s="428"/>
      <c r="BE117" s="14"/>
    </row>
    <row r="118" spans="1:62" ht="20" outlineLevel="1" x14ac:dyDescent="0.2">
      <c r="A118" s="81" t="s">
        <v>323</v>
      </c>
      <c r="B118" s="523"/>
      <c r="C118" s="72" t="s">
        <v>148</v>
      </c>
      <c r="D118" s="171"/>
      <c r="E118" s="171"/>
      <c r="F118" s="171"/>
      <c r="G118" s="412"/>
      <c r="H118" s="523"/>
      <c r="N118" s="523"/>
      <c r="S118" s="428"/>
      <c r="T118" s="523"/>
      <c r="U118" s="428"/>
      <c r="V118" s="428"/>
      <c r="W118" s="428"/>
      <c r="X118" s="428"/>
      <c r="Y118" s="428"/>
      <c r="Z118" s="428"/>
      <c r="AA118" s="428"/>
      <c r="AB118" s="428"/>
      <c r="AC118" s="428"/>
      <c r="AD118" s="428"/>
      <c r="AE118" s="428"/>
      <c r="AF118" s="509"/>
      <c r="AG118" s="428"/>
      <c r="AH118" s="428"/>
      <c r="AI118" s="428"/>
      <c r="AJ118" s="428"/>
      <c r="AK118" s="428"/>
      <c r="AL118" s="428"/>
      <c r="AM118" s="428"/>
      <c r="AN118" s="428"/>
      <c r="AO118" s="428"/>
      <c r="AP118" s="428"/>
      <c r="AQ118" s="428"/>
      <c r="AR118" s="428"/>
      <c r="AY118" s="428"/>
      <c r="BE118" s="14"/>
    </row>
    <row r="119" spans="1:62" s="430" customFormat="1" ht="20" outlineLevel="1" x14ac:dyDescent="0.2">
      <c r="A119" s="362" t="s">
        <v>324</v>
      </c>
      <c r="B119" s="72" t="s">
        <v>143</v>
      </c>
      <c r="C119" s="72" t="s">
        <v>148</v>
      </c>
      <c r="D119" s="359"/>
      <c r="E119" s="359"/>
      <c r="F119" s="359"/>
      <c r="G119" s="520"/>
      <c r="H119" s="72" t="s">
        <v>143</v>
      </c>
      <c r="I119" s="72" t="s">
        <v>143</v>
      </c>
      <c r="J119" s="43"/>
      <c r="K119" s="43"/>
      <c r="L119" s="43"/>
      <c r="M119" s="508"/>
      <c r="N119" s="72" t="s">
        <v>143</v>
      </c>
      <c r="O119" s="72" t="s">
        <v>143</v>
      </c>
      <c r="P119" s="43"/>
      <c r="Q119" s="43"/>
      <c r="R119" s="43"/>
      <c r="S119" s="43"/>
      <c r="T119" s="522"/>
      <c r="AF119" s="562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  <c r="BJ119" s="43"/>
    </row>
    <row r="120" spans="1:62" ht="20" outlineLevel="1" x14ac:dyDescent="0.2">
      <c r="A120" s="642" t="s">
        <v>422</v>
      </c>
      <c r="B120" s="523"/>
      <c r="C120" s="72" t="s">
        <v>148</v>
      </c>
      <c r="D120" s="171"/>
      <c r="E120" s="171"/>
      <c r="F120" s="171"/>
      <c r="G120" s="412"/>
      <c r="H120" s="523"/>
      <c r="N120" s="523"/>
      <c r="T120" s="523"/>
      <c r="U120" s="428"/>
      <c r="V120" s="428"/>
      <c r="W120" s="428"/>
      <c r="X120" s="428"/>
      <c r="Y120" s="428"/>
      <c r="Z120" s="428"/>
      <c r="AA120" s="428"/>
      <c r="AB120" s="428"/>
      <c r="AC120" s="428"/>
      <c r="AD120" s="428"/>
      <c r="AE120" s="428"/>
      <c r="AF120" s="509"/>
      <c r="AG120" s="428"/>
      <c r="AH120" s="428"/>
      <c r="AI120" s="428"/>
      <c r="AJ120" s="428"/>
      <c r="AK120" s="428"/>
      <c r="AL120" s="428"/>
      <c r="AM120" s="428"/>
      <c r="AN120" s="428"/>
      <c r="AO120" s="428"/>
      <c r="AP120" s="428"/>
      <c r="AQ120" s="428"/>
      <c r="AR120" s="428"/>
      <c r="AY120" s="428"/>
      <c r="BE120" s="14"/>
    </row>
    <row r="121" spans="1:62" outlineLevel="1" x14ac:dyDescent="0.2">
      <c r="A121" s="278"/>
      <c r="B121" s="523"/>
      <c r="C121" s="171"/>
      <c r="D121" s="171"/>
      <c r="E121" s="171"/>
      <c r="F121" s="171"/>
      <c r="G121" s="412"/>
      <c r="H121" s="523"/>
      <c r="N121" s="523"/>
      <c r="T121" s="523"/>
      <c r="U121" s="428"/>
      <c r="V121" s="428"/>
      <c r="W121" s="428"/>
      <c r="X121" s="428"/>
      <c r="Y121" s="428"/>
      <c r="Z121" s="428"/>
      <c r="AA121" s="428"/>
      <c r="AB121" s="428"/>
      <c r="AC121" s="428"/>
      <c r="AD121" s="428"/>
      <c r="AE121" s="428"/>
      <c r="AF121" s="509"/>
      <c r="AG121" s="428"/>
      <c r="AH121" s="428"/>
      <c r="AI121" s="428"/>
      <c r="AJ121" s="428"/>
      <c r="AK121" s="428"/>
      <c r="AL121" s="428"/>
      <c r="AM121" s="428"/>
      <c r="AN121" s="428"/>
      <c r="AO121" s="428"/>
      <c r="AP121" s="428"/>
      <c r="AQ121" s="428"/>
      <c r="AR121" s="428"/>
      <c r="AY121" s="428"/>
      <c r="BE121" s="14"/>
    </row>
    <row r="122" spans="1:62" s="430" customFormat="1" ht="27" customHeight="1" outlineLevel="1" x14ac:dyDescent="0.2">
      <c r="A122" s="360" t="s">
        <v>358</v>
      </c>
      <c r="B122" s="507"/>
      <c r="C122" s="359">
        <v>1575</v>
      </c>
      <c r="D122" s="359">
        <f>C122</f>
        <v>1575</v>
      </c>
      <c r="E122" s="359">
        <f t="shared" ref="E122:G122" si="246">D122</f>
        <v>1575</v>
      </c>
      <c r="F122" s="359">
        <f t="shared" si="246"/>
        <v>1575</v>
      </c>
      <c r="G122" s="520">
        <f t="shared" si="246"/>
        <v>1575</v>
      </c>
      <c r="H122" s="534"/>
      <c r="I122" s="443">
        <f>C122</f>
        <v>1575</v>
      </c>
      <c r="J122" s="359">
        <f>D122</f>
        <v>1575</v>
      </c>
      <c r="K122" s="359">
        <f>E122</f>
        <v>1575</v>
      </c>
      <c r="L122" s="359">
        <f>F122</f>
        <v>1575</v>
      </c>
      <c r="M122" s="520"/>
      <c r="N122" s="534"/>
      <c r="O122" s="443">
        <f>I122</f>
        <v>1575</v>
      </c>
      <c r="P122" s="359">
        <f>J122</f>
        <v>1575</v>
      </c>
      <c r="Q122" s="359">
        <f>K122</f>
        <v>1575</v>
      </c>
      <c r="R122" s="359">
        <f>L122</f>
        <v>1575</v>
      </c>
      <c r="S122" s="43"/>
      <c r="T122" s="522"/>
      <c r="AF122" s="562"/>
      <c r="AZ122" s="43"/>
      <c r="BA122" s="43"/>
      <c r="BB122" s="43"/>
      <c r="BC122" s="43"/>
      <c r="BD122" s="43"/>
      <c r="BE122" s="43" t="s">
        <v>33</v>
      </c>
      <c r="BF122" s="43"/>
      <c r="BG122" s="43"/>
      <c r="BH122" s="43"/>
      <c r="BI122" s="43"/>
      <c r="BJ122" s="43"/>
    </row>
    <row r="123" spans="1:62" outlineLevel="1" x14ac:dyDescent="0.2">
      <c r="A123" s="364"/>
      <c r="B123" s="523"/>
      <c r="D123" s="171"/>
      <c r="E123" s="171"/>
      <c r="F123" s="171"/>
      <c r="G123" s="412"/>
      <c r="O123" s="428"/>
      <c r="T123" s="523"/>
      <c r="U123" s="428"/>
      <c r="V123" s="428"/>
      <c r="W123" s="428"/>
      <c r="X123" s="428"/>
      <c r="Y123" s="428"/>
      <c r="Z123" s="428"/>
      <c r="AA123" s="428"/>
      <c r="AB123" s="428"/>
      <c r="AC123" s="428"/>
      <c r="AD123" s="428"/>
      <c r="AE123" s="428"/>
      <c r="AF123" s="509"/>
      <c r="AG123" s="428"/>
      <c r="AH123" s="428"/>
      <c r="AI123" s="428"/>
      <c r="AJ123" s="428"/>
      <c r="AK123" s="428"/>
      <c r="AL123" s="428"/>
      <c r="AM123" s="428"/>
      <c r="AN123" s="428"/>
      <c r="AO123" s="428"/>
      <c r="AP123" s="428"/>
      <c r="AQ123" s="428"/>
      <c r="AR123" s="428"/>
      <c r="AY123" s="428"/>
    </row>
    <row r="124" spans="1:62" ht="20" outlineLevel="1" x14ac:dyDescent="0.2">
      <c r="A124" s="360" t="s">
        <v>372</v>
      </c>
      <c r="B124" s="590" t="s">
        <v>143</v>
      </c>
      <c r="C124" s="428"/>
      <c r="D124" s="428"/>
      <c r="E124" s="428"/>
      <c r="F124" s="428"/>
      <c r="G124" s="412"/>
      <c r="N124" s="590" t="s">
        <v>143</v>
      </c>
      <c r="O124" s="428"/>
      <c r="T124" s="590" t="s">
        <v>143</v>
      </c>
      <c r="U124" s="428"/>
      <c r="V124" s="428"/>
      <c r="W124" s="428"/>
      <c r="X124" s="428"/>
      <c r="Y124" s="428"/>
      <c r="Z124" s="428"/>
      <c r="AA124" s="428"/>
      <c r="AB124" s="428"/>
      <c r="AC124" s="428"/>
      <c r="AD124" s="428"/>
      <c r="AE124" s="428"/>
      <c r="AF124" s="509"/>
      <c r="AG124" s="428"/>
      <c r="AH124" s="428"/>
      <c r="AI124" s="428"/>
      <c r="AJ124" s="428"/>
      <c r="AK124" s="428"/>
      <c r="AL124" s="428"/>
      <c r="AM124" s="428"/>
      <c r="AN124" s="428"/>
      <c r="AO124" s="428"/>
      <c r="AP124" s="428"/>
      <c r="AQ124" s="428"/>
      <c r="AR124" s="428"/>
      <c r="AY124" s="428"/>
    </row>
    <row r="125" spans="1:62" ht="20" outlineLevel="1" x14ac:dyDescent="0.2">
      <c r="A125" s="360" t="s">
        <v>373</v>
      </c>
      <c r="B125" s="590" t="s">
        <v>143</v>
      </c>
      <c r="C125" s="428"/>
      <c r="D125" s="428"/>
      <c r="E125" s="428"/>
      <c r="F125" s="428"/>
      <c r="G125" s="412"/>
      <c r="N125" s="590" t="s">
        <v>143</v>
      </c>
      <c r="O125" s="428"/>
      <c r="T125" s="590" t="s">
        <v>143</v>
      </c>
      <c r="U125" s="428"/>
      <c r="V125" s="428"/>
      <c r="W125" s="428"/>
      <c r="X125" s="428"/>
      <c r="Y125" s="428"/>
      <c r="Z125" s="428"/>
      <c r="AA125" s="428"/>
      <c r="AB125" s="428"/>
      <c r="AC125" s="428"/>
      <c r="AD125" s="428"/>
      <c r="AE125" s="428"/>
      <c r="AF125" s="509"/>
      <c r="AG125" s="428"/>
      <c r="AH125" s="428"/>
      <c r="AI125" s="428"/>
      <c r="AJ125" s="428"/>
      <c r="AK125" s="428"/>
      <c r="AL125" s="428"/>
      <c r="AM125" s="428"/>
      <c r="AN125" s="428"/>
      <c r="AO125" s="428"/>
      <c r="AP125" s="428"/>
      <c r="AQ125" s="428"/>
      <c r="AR125" s="428"/>
      <c r="AY125" s="428"/>
    </row>
    <row r="126" spans="1:62" outlineLevel="1" x14ac:dyDescent="0.2">
      <c r="A126" s="364"/>
      <c r="B126" s="621" t="s">
        <v>410</v>
      </c>
      <c r="D126" s="171"/>
      <c r="E126" s="171"/>
      <c r="F126" s="171"/>
      <c r="G126" s="412"/>
      <c r="O126" s="428"/>
      <c r="T126" s="523"/>
      <c r="U126" s="428"/>
      <c r="V126" s="428"/>
      <c r="W126" s="428"/>
      <c r="X126" s="428"/>
      <c r="Y126" s="428"/>
      <c r="Z126" s="428"/>
      <c r="AA126" s="428"/>
      <c r="AB126" s="428"/>
      <c r="AC126" s="428"/>
      <c r="AD126" s="428"/>
      <c r="AE126" s="428"/>
      <c r="AF126" s="509"/>
      <c r="AG126" s="428"/>
      <c r="AH126" s="428"/>
      <c r="AI126" s="428"/>
      <c r="AJ126" s="428"/>
      <c r="AK126" s="428"/>
      <c r="AL126" s="428"/>
      <c r="AM126" s="428"/>
      <c r="AN126" s="428"/>
      <c r="AO126" s="428"/>
      <c r="AP126" s="428"/>
      <c r="AQ126" s="428"/>
      <c r="AR126" s="428"/>
      <c r="AY126" s="428"/>
    </row>
    <row r="127" spans="1:62" s="461" customFormat="1" ht="20" outlineLevel="1" x14ac:dyDescent="0.2">
      <c r="A127" s="460" t="s">
        <v>363</v>
      </c>
      <c r="B127" s="529"/>
      <c r="C127" s="462"/>
      <c r="D127" s="463"/>
      <c r="E127" s="463"/>
      <c r="F127" s="463"/>
      <c r="G127" s="530"/>
      <c r="H127" s="553"/>
      <c r="I127" s="462"/>
      <c r="J127" s="462"/>
      <c r="K127" s="462"/>
      <c r="L127" s="462"/>
      <c r="M127" s="554"/>
      <c r="N127" s="553"/>
      <c r="P127" s="462"/>
      <c r="Q127" s="462"/>
      <c r="R127" s="462"/>
      <c r="S127" s="462"/>
      <c r="T127" s="529"/>
      <c r="AF127" s="571"/>
      <c r="AZ127" s="462"/>
      <c r="BA127" s="462"/>
      <c r="BB127" s="462"/>
      <c r="BC127" s="462"/>
      <c r="BD127" s="462"/>
      <c r="BE127" s="462"/>
      <c r="BF127" s="462"/>
      <c r="BG127" s="462"/>
      <c r="BH127" s="462"/>
      <c r="BI127" s="462"/>
      <c r="BJ127" s="462"/>
    </row>
    <row r="128" spans="1:62" s="2" customFormat="1" outlineLevel="1" x14ac:dyDescent="0.25">
      <c r="A128" s="15" t="s">
        <v>362</v>
      </c>
      <c r="B128" s="531">
        <v>400000</v>
      </c>
      <c r="C128" s="531">
        <v>400000</v>
      </c>
      <c r="D128" s="531">
        <v>400000</v>
      </c>
      <c r="E128" s="531">
        <v>400000</v>
      </c>
      <c r="F128" s="531">
        <v>400000</v>
      </c>
      <c r="G128" s="300"/>
      <c r="H128" s="88"/>
      <c r="I128" s="1"/>
      <c r="J128" s="1"/>
      <c r="K128" s="1"/>
      <c r="L128" s="1"/>
      <c r="M128" s="300"/>
      <c r="N128" s="88"/>
      <c r="O128" s="1"/>
      <c r="P128" s="1"/>
      <c r="Q128" s="1"/>
      <c r="R128" s="1"/>
      <c r="S128" s="1"/>
      <c r="T128" s="88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300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</row>
    <row r="129" spans="1:62" s="2" customFormat="1" outlineLevel="1" x14ac:dyDescent="0.25">
      <c r="A129" s="15" t="s">
        <v>374</v>
      </c>
      <c r="B129" s="15">
        <v>547</v>
      </c>
      <c r="C129" s="15">
        <v>547</v>
      </c>
      <c r="D129" s="15">
        <v>547</v>
      </c>
      <c r="E129" s="15">
        <v>547</v>
      </c>
      <c r="F129" s="15">
        <v>547</v>
      </c>
      <c r="G129" s="300"/>
      <c r="H129" s="88"/>
      <c r="I129" s="1"/>
      <c r="J129" s="1"/>
      <c r="K129" s="1"/>
      <c r="L129" s="1"/>
      <c r="M129" s="300"/>
      <c r="N129" s="88"/>
      <c r="O129" s="1"/>
      <c r="P129" s="1"/>
      <c r="Q129" s="1"/>
      <c r="R129" s="1"/>
      <c r="S129" s="1"/>
      <c r="T129" s="88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300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</row>
    <row r="130" spans="1:62" ht="20" outlineLevel="1" x14ac:dyDescent="0.2">
      <c r="A130" s="1" t="s">
        <v>375</v>
      </c>
      <c r="B130" s="532">
        <f>B128/B129</f>
        <v>731.26142595978058</v>
      </c>
      <c r="C130" s="532">
        <f>C128/C129</f>
        <v>731.26142595978058</v>
      </c>
      <c r="D130" s="532">
        <f t="shared" ref="D130:F130" si="247">D128/D129</f>
        <v>731.26142595978058</v>
      </c>
      <c r="E130" s="532">
        <f t="shared" si="247"/>
        <v>731.26142595978058</v>
      </c>
      <c r="F130" s="532">
        <f t="shared" si="247"/>
        <v>731.26142595978058</v>
      </c>
    </row>
    <row r="131" spans="1:62" outlineLevel="1" x14ac:dyDescent="0.2"/>
    <row r="132" spans="1:62" outlineLevel="1" x14ac:dyDescent="0.2"/>
    <row r="133" spans="1:62" outlineLevel="1" x14ac:dyDescent="0.2"/>
  </sheetData>
  <mergeCells count="3">
    <mergeCell ref="T1:AF1"/>
    <mergeCell ref="T2:Y2"/>
    <mergeCell ref="Z2:AE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01C1F-47DE-1144-A843-D31F1564C291}">
  <sheetPr>
    <tabColor theme="0"/>
  </sheetPr>
  <dimension ref="A1:BC86"/>
  <sheetViews>
    <sheetView zoomScale="90" zoomScaleNormal="90" workbookViewId="0">
      <pane xSplit="1" ySplit="3" topLeftCell="B16" activePane="bottomRight" state="frozen"/>
      <selection pane="topRight" activeCell="B1" sqref="B1"/>
      <selection pane="bottomLeft" activeCell="A4" sqref="A4"/>
      <selection pane="bottomRight" activeCell="C19" sqref="C19"/>
    </sheetView>
  </sheetViews>
  <sheetFormatPr baseColWidth="10" defaultRowHeight="19" x14ac:dyDescent="0.25"/>
  <cols>
    <col min="1" max="1" width="48.83203125" style="1" customWidth="1"/>
    <col min="2" max="2" width="19.33203125" style="2" customWidth="1"/>
    <col min="3" max="7" width="19.33203125" style="1" customWidth="1"/>
    <col min="8" max="13" width="17" style="1" customWidth="1"/>
    <col min="14" max="14" width="16.33203125" style="1" customWidth="1"/>
    <col min="15" max="19" width="17" style="1" customWidth="1"/>
    <col min="20" max="25" width="14.33203125" style="1" customWidth="1"/>
    <col min="26" max="30" width="11.83203125" style="1" customWidth="1"/>
    <col min="31" max="31" width="13.83203125" style="1" customWidth="1"/>
    <col min="32" max="32" width="19.6640625" style="1" customWidth="1"/>
    <col min="33" max="37" width="17" style="1" customWidth="1"/>
    <col min="38" max="43" width="10.83203125" style="339"/>
    <col min="44" max="55" width="17" style="1" customWidth="1"/>
    <col min="56" max="16384" width="10.83203125" style="339"/>
  </cols>
  <sheetData>
    <row r="1" spans="1:55" s="337" customFormat="1" ht="20" thickBot="1" x14ac:dyDescent="0.3">
      <c r="A1" s="127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R1" s="86"/>
      <c r="AS1" s="86"/>
      <c r="AT1" s="86"/>
      <c r="AU1" s="86"/>
      <c r="AV1" s="86"/>
      <c r="AW1" s="86"/>
      <c r="AX1" s="86"/>
      <c r="AY1" s="86"/>
      <c r="AZ1" s="86"/>
      <c r="BA1" s="86"/>
      <c r="BB1" s="86"/>
      <c r="BC1" s="86"/>
    </row>
    <row r="2" spans="1:55" s="337" customFormat="1" x14ac:dyDescent="0.25">
      <c r="A2" s="127"/>
      <c r="B2" s="311" t="s">
        <v>43</v>
      </c>
      <c r="C2" s="312"/>
      <c r="D2" s="313"/>
      <c r="E2" s="313"/>
      <c r="F2" s="313"/>
      <c r="G2" s="313"/>
      <c r="H2" s="324" t="s">
        <v>42</v>
      </c>
      <c r="I2" s="325"/>
      <c r="J2" s="326"/>
      <c r="K2" s="326"/>
      <c r="L2" s="326"/>
      <c r="M2" s="326"/>
      <c r="N2" s="324" t="s">
        <v>40</v>
      </c>
      <c r="O2" s="325"/>
      <c r="P2" s="326"/>
      <c r="Q2" s="326"/>
      <c r="R2" s="326"/>
      <c r="S2" s="327"/>
      <c r="T2" s="314" t="s">
        <v>172</v>
      </c>
      <c r="U2" s="315"/>
      <c r="V2" s="315"/>
      <c r="W2" s="315"/>
      <c r="X2" s="315"/>
      <c r="Y2" s="315"/>
      <c r="Z2" s="316" t="s">
        <v>44</v>
      </c>
      <c r="AA2" s="317"/>
      <c r="AB2" s="318"/>
      <c r="AC2" s="318"/>
      <c r="AD2" s="318"/>
      <c r="AE2" s="319"/>
      <c r="AF2" s="135" t="s">
        <v>41</v>
      </c>
      <c r="AG2" s="86"/>
      <c r="AH2" s="87"/>
      <c r="AI2" s="87"/>
      <c r="AJ2" s="87"/>
      <c r="AK2" s="87"/>
    </row>
    <row r="3" spans="1:55" s="338" customFormat="1" ht="140" x14ac:dyDescent="0.25">
      <c r="A3" s="128" t="s">
        <v>39</v>
      </c>
      <c r="B3" s="309" t="s">
        <v>129</v>
      </c>
      <c r="C3" s="292" t="s">
        <v>37</v>
      </c>
      <c r="D3" s="292" t="s">
        <v>216</v>
      </c>
      <c r="E3" s="292" t="s">
        <v>212</v>
      </c>
      <c r="F3" s="292" t="s">
        <v>211</v>
      </c>
      <c r="G3" s="310" t="s">
        <v>34</v>
      </c>
      <c r="H3" s="299" t="s">
        <v>129</v>
      </c>
      <c r="I3" s="1" t="s">
        <v>304</v>
      </c>
      <c r="J3" s="1" t="s">
        <v>305</v>
      </c>
      <c r="K3" s="1" t="s">
        <v>306</v>
      </c>
      <c r="L3" s="1" t="s">
        <v>307</v>
      </c>
      <c r="M3" s="1" t="s">
        <v>34</v>
      </c>
      <c r="N3" s="335" t="s">
        <v>129</v>
      </c>
      <c r="O3" s="1" t="s">
        <v>304</v>
      </c>
      <c r="P3" s="1" t="s">
        <v>305</v>
      </c>
      <c r="Q3" s="1" t="s">
        <v>306</v>
      </c>
      <c r="R3" s="1" t="s">
        <v>307</v>
      </c>
      <c r="S3" s="336" t="s">
        <v>34</v>
      </c>
      <c r="T3" s="148" t="s">
        <v>129</v>
      </c>
      <c r="U3" s="1" t="s">
        <v>304</v>
      </c>
      <c r="V3" s="1" t="s">
        <v>305</v>
      </c>
      <c r="W3" s="1" t="s">
        <v>306</v>
      </c>
      <c r="X3" s="1" t="s">
        <v>307</v>
      </c>
      <c r="Y3" s="77" t="s">
        <v>34</v>
      </c>
      <c r="Z3" s="76" t="s">
        <v>129</v>
      </c>
      <c r="AA3" s="1" t="s">
        <v>304</v>
      </c>
      <c r="AB3" s="1" t="s">
        <v>305</v>
      </c>
      <c r="AC3" s="1" t="s">
        <v>306</v>
      </c>
      <c r="AD3" s="1" t="s">
        <v>307</v>
      </c>
      <c r="AE3" s="79" t="s">
        <v>34</v>
      </c>
      <c r="AF3" s="78" t="s">
        <v>129</v>
      </c>
      <c r="AG3" s="1" t="s">
        <v>304</v>
      </c>
      <c r="AH3" s="1" t="s">
        <v>305</v>
      </c>
      <c r="AI3" s="1" t="s">
        <v>306</v>
      </c>
      <c r="AJ3" s="1" t="s">
        <v>307</v>
      </c>
      <c r="AK3" s="77" t="s">
        <v>34</v>
      </c>
    </row>
    <row r="4" spans="1:55" ht="20" x14ac:dyDescent="0.25">
      <c r="A4" s="88" t="s">
        <v>45</v>
      </c>
      <c r="B4" s="285">
        <v>1</v>
      </c>
      <c r="C4" s="1">
        <f>'База селлеров'!B43</f>
        <v>79000</v>
      </c>
      <c r="D4" s="1">
        <f>'База селлеров'!C43</f>
        <v>33000</v>
      </c>
      <c r="E4" s="1">
        <f>'База селлеров'!D43</f>
        <v>13000</v>
      </c>
      <c r="F4" s="1">
        <f>'База селлеров'!E43</f>
        <v>247000</v>
      </c>
      <c r="G4" s="13">
        <f>SUM(C4:F4)</f>
        <v>372000</v>
      </c>
      <c r="H4" s="301">
        <f>B4</f>
        <v>1</v>
      </c>
      <c r="I4" s="1">
        <f>C4</f>
        <v>79000</v>
      </c>
      <c r="J4" s="1">
        <f>D4</f>
        <v>33000</v>
      </c>
      <c r="K4" s="1">
        <f>E4</f>
        <v>13000</v>
      </c>
      <c r="L4" s="1">
        <f>F4</f>
        <v>247000</v>
      </c>
      <c r="M4" s="13">
        <f>SUM(I4:L4)</f>
        <v>372000</v>
      </c>
      <c r="N4" s="301">
        <f>H4</f>
        <v>1</v>
      </c>
      <c r="O4" s="1">
        <f>I4</f>
        <v>79000</v>
      </c>
      <c r="P4" s="1">
        <f>J4</f>
        <v>33000</v>
      </c>
      <c r="Q4" s="1">
        <f>K4</f>
        <v>13000</v>
      </c>
      <c r="R4" s="1">
        <f>L4</f>
        <v>247000</v>
      </c>
      <c r="S4" s="302">
        <f>SUM(O4:R4)</f>
        <v>372000</v>
      </c>
      <c r="Z4" s="28"/>
      <c r="AE4" s="24"/>
      <c r="AG4" s="1">
        <f>O4</f>
        <v>79000</v>
      </c>
      <c r="AH4" s="1">
        <f>P4</f>
        <v>33000</v>
      </c>
      <c r="AI4" s="1">
        <f>Q4</f>
        <v>13000</v>
      </c>
      <c r="AJ4" s="1">
        <f>R4</f>
        <v>247000</v>
      </c>
      <c r="AK4" s="1">
        <f>S4</f>
        <v>372000</v>
      </c>
      <c r="AR4" s="339"/>
      <c r="AS4" s="339"/>
      <c r="AT4" s="339"/>
      <c r="AU4" s="339"/>
      <c r="AV4" s="339"/>
      <c r="AW4" s="339"/>
      <c r="AX4" s="339"/>
      <c r="AY4" s="339"/>
      <c r="AZ4" s="339"/>
      <c r="BA4" s="339"/>
      <c r="BB4" s="339"/>
      <c r="BC4" s="339"/>
    </row>
    <row r="5" spans="1:55" ht="20" x14ac:dyDescent="0.25">
      <c r="A5" s="129" t="s">
        <v>303</v>
      </c>
      <c r="B5" s="286">
        <v>0.8</v>
      </c>
      <c r="C5" s="1">
        <f>C4*$B$5</f>
        <v>63200</v>
      </c>
      <c r="D5" s="1">
        <f t="shared" ref="D5:F5" si="0">D4*$B$5</f>
        <v>26400</v>
      </c>
      <c r="E5" s="1">
        <f t="shared" si="0"/>
        <v>10400</v>
      </c>
      <c r="F5" s="1">
        <f t="shared" si="0"/>
        <v>197600</v>
      </c>
      <c r="G5" s="13">
        <f>SUM(C5:F5)</f>
        <v>297600</v>
      </c>
      <c r="H5" s="303">
        <f>B5</f>
        <v>0.8</v>
      </c>
      <c r="I5" s="1">
        <f>C5</f>
        <v>63200</v>
      </c>
      <c r="J5" s="1">
        <f t="shared" ref="J5:L5" si="1">D5</f>
        <v>26400</v>
      </c>
      <c r="K5" s="1">
        <f t="shared" si="1"/>
        <v>10400</v>
      </c>
      <c r="L5" s="1">
        <f t="shared" si="1"/>
        <v>197600</v>
      </c>
      <c r="M5" s="13">
        <f>SUM(I5:L5)</f>
        <v>297600</v>
      </c>
      <c r="N5" s="303">
        <f>H5</f>
        <v>0.8</v>
      </c>
      <c r="O5" s="1">
        <f>I5</f>
        <v>63200</v>
      </c>
      <c r="P5" s="1">
        <f t="shared" ref="P5" si="2">J5</f>
        <v>26400</v>
      </c>
      <c r="Q5" s="1">
        <f t="shared" ref="Q5" si="3">K5</f>
        <v>10400</v>
      </c>
      <c r="R5" s="1">
        <f t="shared" ref="R5" si="4">L5</f>
        <v>197600</v>
      </c>
      <c r="S5" s="302">
        <f>SUM(O5:R5)</f>
        <v>297600</v>
      </c>
      <c r="Z5" s="28"/>
      <c r="AE5" s="24"/>
      <c r="AG5" s="1">
        <f>AG4</f>
        <v>79000</v>
      </c>
      <c r="AH5" s="1">
        <f t="shared" ref="AH5:AK5" si="5">AH4</f>
        <v>33000</v>
      </c>
      <c r="AI5" s="1">
        <f t="shared" si="5"/>
        <v>13000</v>
      </c>
      <c r="AJ5" s="1">
        <f t="shared" si="5"/>
        <v>247000</v>
      </c>
      <c r="AK5" s="1">
        <f t="shared" si="5"/>
        <v>372000</v>
      </c>
      <c r="AR5" s="339"/>
      <c r="AS5" s="339"/>
      <c r="AT5" s="339"/>
      <c r="AU5" s="339"/>
      <c r="AV5" s="339"/>
      <c r="AW5" s="339"/>
      <c r="AX5" s="339"/>
      <c r="AY5" s="339"/>
      <c r="AZ5" s="339"/>
      <c r="BA5" s="339"/>
      <c r="BB5" s="339"/>
      <c r="BC5" s="339"/>
    </row>
    <row r="6" spans="1:55" ht="20" x14ac:dyDescent="0.25">
      <c r="A6" s="88" t="s">
        <v>0</v>
      </c>
      <c r="B6" s="289"/>
      <c r="C6" s="290"/>
      <c r="D6" s="290"/>
      <c r="E6" s="290"/>
      <c r="F6" s="290"/>
      <c r="G6" s="290"/>
      <c r="H6" s="301"/>
      <c r="I6" s="156"/>
      <c r="J6" s="156"/>
      <c r="K6" s="156"/>
      <c r="L6" s="156"/>
      <c r="M6" s="156"/>
      <c r="N6" s="88"/>
      <c r="S6" s="300"/>
      <c r="Z6" s="28"/>
      <c r="AE6" s="24"/>
      <c r="AR6" s="339"/>
      <c r="AS6" s="339"/>
      <c r="AT6" s="339"/>
      <c r="AU6" s="339"/>
      <c r="AV6" s="339"/>
      <c r="AW6" s="339"/>
      <c r="AX6" s="339"/>
      <c r="AY6" s="339"/>
      <c r="AZ6" s="339"/>
      <c r="BA6" s="339"/>
      <c r="BB6" s="339"/>
      <c r="BC6" s="339"/>
    </row>
    <row r="7" spans="1:55" ht="20" x14ac:dyDescent="0.25">
      <c r="A7" s="88" t="s">
        <v>56</v>
      </c>
      <c r="B7" s="285"/>
      <c r="G7" s="13"/>
      <c r="H7" s="301"/>
      <c r="N7" s="88"/>
      <c r="S7" s="300"/>
      <c r="Z7" s="28"/>
      <c r="AE7" s="24"/>
      <c r="AR7" s="339"/>
      <c r="AS7" s="339"/>
      <c r="AT7" s="339"/>
      <c r="AU7" s="339"/>
      <c r="AV7" s="339"/>
      <c r="AW7" s="339"/>
      <c r="AX7" s="339"/>
      <c r="AY7" s="339"/>
      <c r="AZ7" s="339"/>
      <c r="BA7" s="339"/>
      <c r="BB7" s="339"/>
      <c r="BC7" s="339"/>
    </row>
    <row r="8" spans="1:55" ht="20" x14ac:dyDescent="0.25">
      <c r="A8" s="88" t="s">
        <v>54</v>
      </c>
      <c r="B8" s="285"/>
      <c r="G8" s="13"/>
      <c r="H8" s="301"/>
      <c r="N8" s="88"/>
      <c r="S8" s="300"/>
      <c r="Z8" s="28"/>
      <c r="AE8" s="24"/>
      <c r="AR8" s="339"/>
      <c r="AS8" s="339"/>
      <c r="AT8" s="339"/>
      <c r="AU8" s="339"/>
      <c r="AV8" s="339"/>
      <c r="AW8" s="339"/>
      <c r="AX8" s="339"/>
      <c r="AY8" s="339"/>
      <c r="AZ8" s="339"/>
      <c r="BA8" s="339"/>
      <c r="BB8" s="339"/>
      <c r="BC8" s="339"/>
    </row>
    <row r="9" spans="1:55" ht="20" x14ac:dyDescent="0.25">
      <c r="A9" s="88" t="s">
        <v>38</v>
      </c>
      <c r="B9" s="285"/>
      <c r="G9" s="13"/>
      <c r="H9" s="301"/>
      <c r="N9" s="88"/>
      <c r="S9" s="300"/>
      <c r="Z9" s="28"/>
      <c r="AE9" s="24"/>
      <c r="AR9" s="339"/>
      <c r="AS9" s="339"/>
      <c r="AT9" s="339"/>
      <c r="AU9" s="339"/>
      <c r="AV9" s="339"/>
      <c r="AW9" s="339"/>
      <c r="AX9" s="339"/>
      <c r="AY9" s="339"/>
      <c r="AZ9" s="339"/>
      <c r="BA9" s="339"/>
      <c r="BB9" s="339"/>
      <c r="BC9" s="339"/>
    </row>
    <row r="10" spans="1:55" ht="20" x14ac:dyDescent="0.25">
      <c r="A10" s="88" t="s">
        <v>126</v>
      </c>
      <c r="B10" s="289"/>
      <c r="C10" s="290"/>
      <c r="D10" s="290"/>
      <c r="E10" s="290"/>
      <c r="F10" s="290"/>
      <c r="G10" s="290"/>
      <c r="H10" s="301"/>
      <c r="I10" s="156"/>
      <c r="J10" s="156"/>
      <c r="K10" s="156"/>
      <c r="L10" s="156"/>
      <c r="M10" s="156"/>
      <c r="N10" s="88"/>
      <c r="S10" s="300"/>
      <c r="Z10" s="28"/>
      <c r="AE10" s="24"/>
      <c r="AR10" s="339"/>
      <c r="AS10" s="339"/>
      <c r="AT10" s="339"/>
      <c r="AU10" s="339"/>
      <c r="AV10" s="339"/>
      <c r="AW10" s="339"/>
      <c r="AX10" s="339"/>
      <c r="AY10" s="339"/>
      <c r="AZ10" s="339"/>
      <c r="BA10" s="339"/>
      <c r="BB10" s="339"/>
      <c r="BC10" s="339"/>
    </row>
    <row r="11" spans="1:55" ht="20" x14ac:dyDescent="0.25">
      <c r="A11" s="160" t="s">
        <v>302</v>
      </c>
      <c r="B11" s="287">
        <v>0.8</v>
      </c>
      <c r="C11" s="156">
        <f>$C$5*B11</f>
        <v>50560</v>
      </c>
      <c r="D11" s="156">
        <f>$D$5*B11</f>
        <v>21120</v>
      </c>
      <c r="E11" s="156">
        <f>$E$5*B11</f>
        <v>8320</v>
      </c>
      <c r="F11" s="156">
        <f>$F$5*B11</f>
        <v>158080</v>
      </c>
      <c r="G11" s="284">
        <f>SUM(C11:F11)</f>
        <v>238080</v>
      </c>
      <c r="H11" s="305">
        <f>B11</f>
        <v>0.8</v>
      </c>
      <c r="I11" s="156">
        <f>$I$5*H11</f>
        <v>50560</v>
      </c>
      <c r="J11" s="156">
        <f>$J$5*H11</f>
        <v>21120</v>
      </c>
      <c r="K11" s="156">
        <f>$K$5*H11</f>
        <v>8320</v>
      </c>
      <c r="L11" s="156">
        <f>$L$5*H11</f>
        <v>158080</v>
      </c>
      <c r="M11" s="284">
        <f>SUM(I11:L11)</f>
        <v>238080</v>
      </c>
      <c r="N11" s="88" t="s">
        <v>1</v>
      </c>
      <c r="O11" s="1" t="s">
        <v>1</v>
      </c>
      <c r="P11" s="1" t="s">
        <v>1</v>
      </c>
      <c r="Q11" s="1" t="s">
        <v>1</v>
      </c>
      <c r="R11" s="1" t="s">
        <v>1</v>
      </c>
      <c r="S11" s="300"/>
      <c r="T11" s="156"/>
      <c r="U11" s="156"/>
      <c r="V11" s="156"/>
      <c r="W11" s="156"/>
      <c r="X11" s="156"/>
      <c r="Y11" s="156"/>
      <c r="Z11" s="28"/>
      <c r="AE11" s="24"/>
      <c r="AR11" s="339"/>
      <c r="AS11" s="339"/>
      <c r="AT11" s="339"/>
      <c r="AU11" s="339"/>
      <c r="AV11" s="339"/>
      <c r="AW11" s="339"/>
      <c r="AX11" s="339"/>
      <c r="AY11" s="339"/>
      <c r="AZ11" s="339"/>
      <c r="BA11" s="339"/>
      <c r="BB11" s="339"/>
      <c r="BC11" s="339"/>
    </row>
    <row r="12" spans="1:55" ht="20" x14ac:dyDescent="0.25">
      <c r="A12" s="160" t="s">
        <v>173</v>
      </c>
      <c r="B12" s="288">
        <f>B11</f>
        <v>0.8</v>
      </c>
      <c r="C12" s="156">
        <f>$C$11*B12</f>
        <v>40448</v>
      </c>
      <c r="D12" s="156">
        <f>$D$11*B12</f>
        <v>16896</v>
      </c>
      <c r="E12" s="156">
        <f>$E$11*B12</f>
        <v>6656</v>
      </c>
      <c r="F12" s="156">
        <f>$F$11*B12</f>
        <v>126464</v>
      </c>
      <c r="G12" s="284">
        <f t="shared" ref="G12:G16" si="6">SUM(C12:F12)</f>
        <v>190464</v>
      </c>
      <c r="H12" s="301">
        <f t="shared" ref="H12:H15" si="7">B12</f>
        <v>0.8</v>
      </c>
      <c r="I12" s="156">
        <f t="shared" ref="I12:I16" si="8">$I$5*H12</f>
        <v>50560</v>
      </c>
      <c r="J12" s="156">
        <f t="shared" ref="J12:J16" si="9">$J$5*H12</f>
        <v>21120</v>
      </c>
      <c r="K12" s="156">
        <f t="shared" ref="K12:K16" si="10">$K$5*H12</f>
        <v>8320</v>
      </c>
      <c r="L12" s="156">
        <f t="shared" ref="L12:L16" si="11">$L$5*H12</f>
        <v>158080</v>
      </c>
      <c r="M12" s="284">
        <f t="shared" ref="M12:M16" si="12">SUM(I12:L12)</f>
        <v>238080</v>
      </c>
      <c r="N12" s="88" t="s">
        <v>1</v>
      </c>
      <c r="O12" s="1" t="s">
        <v>1</v>
      </c>
      <c r="P12" s="1" t="s">
        <v>1</v>
      </c>
      <c r="Q12" s="1" t="s">
        <v>1</v>
      </c>
      <c r="R12" s="1" t="s">
        <v>1</v>
      </c>
      <c r="S12" s="300"/>
      <c r="T12" s="156"/>
      <c r="U12" s="156"/>
      <c r="V12" s="156"/>
      <c r="W12" s="156"/>
      <c r="X12" s="156"/>
      <c r="Y12" s="156"/>
      <c r="Z12" s="28"/>
      <c r="AE12" s="24"/>
      <c r="AR12" s="339"/>
      <c r="AS12" s="339"/>
      <c r="AT12" s="339"/>
      <c r="AU12" s="339"/>
      <c r="AV12" s="339"/>
      <c r="AW12" s="339"/>
      <c r="AX12" s="339"/>
      <c r="AY12" s="339"/>
      <c r="AZ12" s="339"/>
      <c r="BA12" s="339"/>
      <c r="BB12" s="339"/>
      <c r="BC12" s="339"/>
    </row>
    <row r="13" spans="1:55" ht="20" x14ac:dyDescent="0.25">
      <c r="A13" s="160" t="s">
        <v>213</v>
      </c>
      <c r="B13" s="288">
        <f>'Воронка MPS_обработано'!J10</f>
        <v>0.4</v>
      </c>
      <c r="C13" s="156">
        <f t="shared" ref="C13:C15" si="13">$C$11*B13</f>
        <v>20224</v>
      </c>
      <c r="D13" s="156">
        <f t="shared" ref="D13:D15" si="14">$D$11*B13</f>
        <v>8448</v>
      </c>
      <c r="E13" s="156">
        <f t="shared" ref="E13:E15" si="15">$E$11*B13</f>
        <v>3328</v>
      </c>
      <c r="F13" s="156">
        <f t="shared" ref="F13:F15" si="16">$F$11*B13</f>
        <v>63232</v>
      </c>
      <c r="G13" s="284">
        <f t="shared" si="6"/>
        <v>95232</v>
      </c>
      <c r="H13" s="301">
        <f t="shared" si="7"/>
        <v>0.4</v>
      </c>
      <c r="I13" s="156">
        <f t="shared" si="8"/>
        <v>25280</v>
      </c>
      <c r="J13" s="156">
        <f t="shared" si="9"/>
        <v>10560</v>
      </c>
      <c r="K13" s="156">
        <f t="shared" si="10"/>
        <v>4160</v>
      </c>
      <c r="L13" s="156">
        <f t="shared" si="11"/>
        <v>79040</v>
      </c>
      <c r="M13" s="284">
        <f t="shared" si="12"/>
        <v>119040</v>
      </c>
      <c r="N13" s="88" t="s">
        <v>1</v>
      </c>
      <c r="O13" s="1" t="s">
        <v>1</v>
      </c>
      <c r="P13" s="1" t="s">
        <v>1</v>
      </c>
      <c r="Q13" s="1" t="s">
        <v>1</v>
      </c>
      <c r="R13" s="1" t="s">
        <v>1</v>
      </c>
      <c r="S13" s="300"/>
      <c r="T13" s="156"/>
      <c r="U13" s="156"/>
      <c r="V13" s="156"/>
      <c r="W13" s="156"/>
      <c r="X13" s="156"/>
      <c r="Y13" s="156"/>
      <c r="Z13" s="28"/>
      <c r="AE13" s="24"/>
      <c r="AR13" s="339"/>
      <c r="AS13" s="339"/>
      <c r="AT13" s="339"/>
      <c r="AU13" s="339"/>
      <c r="AV13" s="339"/>
      <c r="AW13" s="339"/>
      <c r="AX13" s="339"/>
      <c r="AY13" s="339"/>
      <c r="AZ13" s="339"/>
      <c r="BA13" s="339"/>
      <c r="BB13" s="339"/>
      <c r="BC13" s="339"/>
    </row>
    <row r="14" spans="1:55" ht="20" x14ac:dyDescent="0.25">
      <c r="A14" s="160" t="s">
        <v>214</v>
      </c>
      <c r="B14" s="158">
        <f>'Воронка MPS_обработано'!J11</f>
        <v>0.29799999999999999</v>
      </c>
      <c r="C14" s="156">
        <f t="shared" si="13"/>
        <v>15066.88</v>
      </c>
      <c r="D14" s="156">
        <f t="shared" si="14"/>
        <v>6293.7599999999993</v>
      </c>
      <c r="E14" s="156">
        <f t="shared" si="15"/>
        <v>2479.3599999999997</v>
      </c>
      <c r="F14" s="156">
        <f t="shared" si="16"/>
        <v>47107.839999999997</v>
      </c>
      <c r="G14" s="284">
        <f t="shared" si="6"/>
        <v>70947.839999999997</v>
      </c>
      <c r="H14" s="301">
        <f t="shared" si="7"/>
        <v>0.29799999999999999</v>
      </c>
      <c r="I14" s="156">
        <f t="shared" si="8"/>
        <v>18833.599999999999</v>
      </c>
      <c r="J14" s="156">
        <f t="shared" si="9"/>
        <v>7867.2</v>
      </c>
      <c r="K14" s="156">
        <f t="shared" si="10"/>
        <v>3099.2</v>
      </c>
      <c r="L14" s="156">
        <f t="shared" si="11"/>
        <v>58884.799999999996</v>
      </c>
      <c r="M14" s="284">
        <f t="shared" si="12"/>
        <v>88684.799999999988</v>
      </c>
      <c r="N14" s="88" t="s">
        <v>1</v>
      </c>
      <c r="O14" s="1" t="s">
        <v>1</v>
      </c>
      <c r="P14" s="1" t="s">
        <v>1</v>
      </c>
      <c r="Q14" s="1" t="s">
        <v>1</v>
      </c>
      <c r="R14" s="1" t="s">
        <v>1</v>
      </c>
      <c r="S14" s="300"/>
      <c r="T14" s="156"/>
      <c r="U14" s="156"/>
      <c r="V14" s="156"/>
      <c r="W14" s="156"/>
      <c r="X14" s="156"/>
      <c r="Y14" s="156"/>
      <c r="Z14" s="28"/>
      <c r="AE14" s="24"/>
      <c r="AR14" s="339"/>
      <c r="AS14" s="339"/>
      <c r="AT14" s="339"/>
      <c r="AU14" s="339"/>
      <c r="AV14" s="339"/>
      <c r="AW14" s="339"/>
      <c r="AX14" s="339"/>
      <c r="AY14" s="339"/>
      <c r="AZ14" s="339"/>
      <c r="BA14" s="339"/>
      <c r="BB14" s="339"/>
      <c r="BC14" s="339"/>
    </row>
    <row r="15" spans="1:55" ht="20" x14ac:dyDescent="0.25">
      <c r="A15" s="160" t="s">
        <v>215</v>
      </c>
      <c r="B15" s="158">
        <f>'Воронка MPS_обработано'!J12</f>
        <v>0.45500000000000002</v>
      </c>
      <c r="C15" s="156">
        <f t="shared" si="13"/>
        <v>23004.799999999999</v>
      </c>
      <c r="D15" s="156">
        <f t="shared" si="14"/>
        <v>9609.6</v>
      </c>
      <c r="E15" s="156">
        <f t="shared" si="15"/>
        <v>3785.6</v>
      </c>
      <c r="F15" s="156">
        <f t="shared" si="16"/>
        <v>71926.400000000009</v>
      </c>
      <c r="G15" s="284">
        <f t="shared" si="6"/>
        <v>108326.40000000001</v>
      </c>
      <c r="H15" s="301">
        <f t="shared" si="7"/>
        <v>0.45500000000000002</v>
      </c>
      <c r="I15" s="156">
        <f t="shared" si="8"/>
        <v>28756</v>
      </c>
      <c r="J15" s="156">
        <f t="shared" si="9"/>
        <v>12012</v>
      </c>
      <c r="K15" s="156">
        <f t="shared" si="10"/>
        <v>4732</v>
      </c>
      <c r="L15" s="156">
        <f t="shared" si="11"/>
        <v>89908</v>
      </c>
      <c r="M15" s="284">
        <f t="shared" si="12"/>
        <v>135408</v>
      </c>
      <c r="N15" s="88" t="s">
        <v>1</v>
      </c>
      <c r="O15" s="1" t="s">
        <v>1</v>
      </c>
      <c r="P15" s="1" t="s">
        <v>1</v>
      </c>
      <c r="Q15" s="1" t="s">
        <v>1</v>
      </c>
      <c r="R15" s="1" t="s">
        <v>1</v>
      </c>
      <c r="S15" s="300"/>
      <c r="T15" s="156"/>
      <c r="U15" s="156"/>
      <c r="V15" s="156"/>
      <c r="W15" s="156"/>
      <c r="X15" s="156"/>
      <c r="Y15" s="156"/>
      <c r="Z15" s="28"/>
      <c r="AE15" s="24"/>
      <c r="AR15" s="339"/>
      <c r="AS15" s="339"/>
      <c r="AT15" s="339"/>
      <c r="AU15" s="339"/>
      <c r="AV15" s="339"/>
      <c r="AW15" s="339"/>
      <c r="AX15" s="339"/>
      <c r="AY15" s="339"/>
      <c r="AZ15" s="339"/>
      <c r="BA15" s="339"/>
      <c r="BB15" s="339"/>
      <c r="BC15" s="339"/>
    </row>
    <row r="16" spans="1:55" ht="20" x14ac:dyDescent="0.25">
      <c r="A16" s="129" t="s">
        <v>295</v>
      </c>
      <c r="B16" s="159">
        <f>'Воронка MPS_обработано'!J14</f>
        <v>8.5384615384615392E-2</v>
      </c>
      <c r="C16" s="156">
        <f>$C$11*B16</f>
        <v>4317.0461538461541</v>
      </c>
      <c r="D16" s="156">
        <f>$D$11*B16</f>
        <v>1803.323076923077</v>
      </c>
      <c r="E16" s="156">
        <f>$E$11*B16</f>
        <v>710.40000000000009</v>
      </c>
      <c r="F16" s="156">
        <f>$F$11*B16</f>
        <v>13497.6</v>
      </c>
      <c r="G16" s="284">
        <f t="shared" si="6"/>
        <v>20328.369230769233</v>
      </c>
      <c r="H16" s="307">
        <f>B16*1.15</f>
        <v>9.819230769230769E-2</v>
      </c>
      <c r="I16" s="156">
        <f t="shared" si="8"/>
        <v>6205.7538461538461</v>
      </c>
      <c r="J16" s="156">
        <f t="shared" si="9"/>
        <v>2592.2769230769231</v>
      </c>
      <c r="K16" s="156">
        <f t="shared" si="10"/>
        <v>1021.1999999999999</v>
      </c>
      <c r="L16" s="156">
        <f t="shared" si="11"/>
        <v>19402.8</v>
      </c>
      <c r="M16" s="284">
        <f t="shared" si="12"/>
        <v>29222.030769230769</v>
      </c>
      <c r="N16" s="333">
        <f>'Воронка Селлер as is'!F11</f>
        <v>1.7475398710553106E-2</v>
      </c>
      <c r="O16" s="156">
        <f>$N$16*O5</f>
        <v>1104.4451985069563</v>
      </c>
      <c r="P16" s="156">
        <f t="shared" ref="P16:R16" si="17">$N$16*P5</f>
        <v>461.35052595860196</v>
      </c>
      <c r="Q16" s="156">
        <f t="shared" si="17"/>
        <v>181.74414658975229</v>
      </c>
      <c r="R16" s="156">
        <f t="shared" si="17"/>
        <v>3453.1387852052935</v>
      </c>
      <c r="S16" s="306">
        <f>SUM(O16:R16)</f>
        <v>5200.6786562606039</v>
      </c>
      <c r="T16" s="156"/>
      <c r="U16" s="156"/>
      <c r="V16" s="156"/>
      <c r="W16" s="156"/>
      <c r="X16" s="156"/>
      <c r="Y16" s="156"/>
      <c r="Z16" s="28"/>
      <c r="AE16" s="24"/>
      <c r="AR16" s="339"/>
      <c r="AS16" s="339"/>
      <c r="AT16" s="339"/>
      <c r="AU16" s="339"/>
      <c r="AV16" s="339"/>
      <c r="AW16" s="339"/>
      <c r="AX16" s="339"/>
      <c r="AY16" s="339"/>
      <c r="AZ16" s="339"/>
      <c r="BA16" s="339"/>
      <c r="BB16" s="339"/>
      <c r="BC16" s="339"/>
    </row>
    <row r="17" spans="1:55" s="340" customFormat="1" ht="55" customHeight="1" thickBot="1" x14ac:dyDescent="0.3">
      <c r="A17" s="131" t="s">
        <v>296</v>
      </c>
      <c r="B17" s="89"/>
      <c r="C17" s="89"/>
      <c r="D17" s="89"/>
      <c r="E17" s="89"/>
      <c r="F17" s="89"/>
      <c r="G17" s="332"/>
      <c r="H17" s="328" t="s">
        <v>297</v>
      </c>
      <c r="I17" s="89"/>
      <c r="J17" s="308"/>
      <c r="L17" s="308"/>
      <c r="M17" s="298"/>
      <c r="N17" s="92"/>
      <c r="O17" s="89"/>
      <c r="P17" s="89"/>
      <c r="Q17" s="89"/>
      <c r="R17" s="89"/>
      <c r="S17" s="334"/>
      <c r="T17" s="89"/>
      <c r="U17" s="89"/>
      <c r="V17" s="89"/>
      <c r="W17" s="89"/>
      <c r="X17" s="89"/>
      <c r="Y17" s="89"/>
      <c r="Z17" s="134"/>
      <c r="AA17" s="89"/>
      <c r="AB17" s="89"/>
      <c r="AC17" s="89"/>
      <c r="AD17" s="89"/>
      <c r="AE17" s="132"/>
      <c r="AF17" s="133"/>
      <c r="AG17" s="89"/>
      <c r="AH17" s="89"/>
      <c r="AI17" s="89"/>
      <c r="AJ17" s="89"/>
      <c r="AK17" s="89"/>
    </row>
    <row r="18" spans="1:55" ht="22" customHeight="1" thickBot="1" x14ac:dyDescent="0.3">
      <c r="C18" s="339"/>
      <c r="N18" s="81"/>
      <c r="AF18" s="81"/>
    </row>
    <row r="19" spans="1:55" s="341" customFormat="1" ht="22" customHeight="1" x14ac:dyDescent="0.25">
      <c r="A19" s="91" t="s">
        <v>313</v>
      </c>
      <c r="B19" s="149"/>
      <c r="C19" s="157" t="e">
        <f>(C16*C68*C30)+(C16*C69*C31)+(C16*C70*C32)+(C16*C39)</f>
        <v>#REF!</v>
      </c>
      <c r="D19" s="157" t="e">
        <f>(D16*D68*D30)+(D16*D69*D31)+(D16*D70*D32)+(D16*D39)</f>
        <v>#REF!</v>
      </c>
      <c r="E19" s="157" t="e">
        <f>(E16*E68*E30)+(E16*E69*E31)+(E16*E70*E32)+(E16*E39)</f>
        <v>#REF!</v>
      </c>
      <c r="F19" s="157" t="e">
        <f>(F16*F68*F30)+(F16*F69*F31)+(F16*F70*F32)+(F16*F39)</f>
        <v>#REF!</v>
      </c>
      <c r="G19" s="161" t="e">
        <f>(G16*G68*G30)+(G16*G69*G31)+(G16*G70*G32)+(G16*G39)</f>
        <v>#REF!</v>
      </c>
      <c r="H19" s="139"/>
      <c r="I19" s="157" t="e">
        <f>(I16*I68*I30)+(I16*I69*I31)+(I16*I70*I32)+(I16*I39)</f>
        <v>#REF!</v>
      </c>
      <c r="J19" s="157" t="e">
        <f>(J16*J68*J30)+(J16*J69*J31)+(J16*J70*J32)+(J16*J39)</f>
        <v>#REF!</v>
      </c>
      <c r="K19" s="157" t="e">
        <f>(K16*K68*K30)+(K16*K69*K31)+(K16*K70*K32)+(K16*K39)</f>
        <v>#REF!</v>
      </c>
      <c r="L19" s="157" t="e">
        <f>(L16*L68*L30)+(L16*L69*L31)+(L16*L70*L32)+(L16*L39)</f>
        <v>#REF!</v>
      </c>
      <c r="M19" s="161" t="e">
        <f>SUM(I19:L19)</f>
        <v>#REF!</v>
      </c>
      <c r="N19" s="151"/>
      <c r="O19" s="157" t="e">
        <f>(O16*O68*O30)+(O16*O69*O31)+(O16*O70*O32)+(O16*O39)</f>
        <v>#REF!</v>
      </c>
      <c r="P19" s="157" t="e">
        <f>(P16*P68*P30)+(P16*P69*P31)+(P16*P70*P32)+(P16*P39)</f>
        <v>#REF!</v>
      </c>
      <c r="Q19" s="157" t="e">
        <f>(Q16*Q68*Q30)+(Q16*Q69*Q31)+(Q16*Q70*Q32)+(Q16*Q39)</f>
        <v>#REF!</v>
      </c>
      <c r="R19" s="157" t="e">
        <f>(R16*R68*R30)+(R16*R69*R31)+(R16*R70*R32)+(R16*R39)</f>
        <v>#REF!</v>
      </c>
      <c r="S19" s="161" t="e">
        <f>SUM(O19:R19)</f>
        <v>#REF!</v>
      </c>
      <c r="T19" s="155"/>
      <c r="U19" s="155"/>
      <c r="V19" s="155"/>
      <c r="W19" s="155"/>
      <c r="X19" s="155"/>
      <c r="Y19" s="155"/>
      <c r="Z19" s="139"/>
      <c r="AA19" s="139"/>
      <c r="AB19" s="139"/>
      <c r="AC19" s="139"/>
      <c r="AD19" s="139"/>
      <c r="AE19" s="139"/>
      <c r="AF19" s="151"/>
      <c r="AG19" s="139"/>
      <c r="AH19" s="139"/>
      <c r="AI19" s="139"/>
      <c r="AJ19" s="139"/>
      <c r="AK19" s="139"/>
      <c r="AR19" s="139"/>
      <c r="AS19" s="139"/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</row>
    <row r="20" spans="1:55" s="342" customFormat="1" ht="22" customHeight="1" x14ac:dyDescent="0.25">
      <c r="A20" s="93" t="s">
        <v>286</v>
      </c>
      <c r="B20" s="262"/>
      <c r="C20" s="280" t="e">
        <f>C19-(C16*C39)</f>
        <v>#REF!</v>
      </c>
      <c r="D20" s="280" t="e">
        <f>D19-(D16*D39)</f>
        <v>#REF!</v>
      </c>
      <c r="E20" s="280" t="e">
        <f>E19-(E16*E39)</f>
        <v>#REF!</v>
      </c>
      <c r="F20" s="280" t="e">
        <f>F19-(F16*F39)</f>
        <v>#REF!</v>
      </c>
      <c r="G20" s="281" t="e">
        <f>G19-(G16*G39)</f>
        <v>#REF!</v>
      </c>
      <c r="H20" s="25"/>
      <c r="I20" s="280" t="e">
        <f>I19-(I16*I39)</f>
        <v>#REF!</v>
      </c>
      <c r="J20" s="280" t="e">
        <f>J19-(J16*J39)</f>
        <v>#REF!</v>
      </c>
      <c r="K20" s="280" t="e">
        <f>K19-(K16*K39)</f>
        <v>#REF!</v>
      </c>
      <c r="L20" s="280" t="e">
        <f>L19-(L16*L39)</f>
        <v>#REF!</v>
      </c>
      <c r="M20" s="281" t="e">
        <f t="shared" ref="M20:M24" si="18">SUM(I20:L20)</f>
        <v>#REF!</v>
      </c>
      <c r="N20" s="282"/>
      <c r="O20" s="280" t="e">
        <f>O19-(O16*O39)</f>
        <v>#REF!</v>
      </c>
      <c r="P20" s="280" t="e">
        <f>P19-(P16*P39)</f>
        <v>#REF!</v>
      </c>
      <c r="Q20" s="280" t="e">
        <f>Q19-(Q16*Q39)</f>
        <v>#REF!</v>
      </c>
      <c r="R20" s="280" t="e">
        <f>R19-(R16*R39)</f>
        <v>#REF!</v>
      </c>
      <c r="S20" s="281" t="e">
        <f t="shared" ref="S20:S24" si="19">SUM(O20:R20)</f>
        <v>#REF!</v>
      </c>
      <c r="T20" s="263"/>
      <c r="U20" s="263"/>
      <c r="V20" s="263"/>
      <c r="W20" s="263"/>
      <c r="X20" s="263"/>
      <c r="Y20" s="263"/>
      <c r="Z20" s="25"/>
      <c r="AA20" s="25"/>
      <c r="AB20" s="25"/>
      <c r="AC20" s="25"/>
      <c r="AD20" s="25"/>
      <c r="AE20" s="25"/>
      <c r="AF20" s="282"/>
      <c r="AG20" s="25"/>
      <c r="AH20" s="25"/>
      <c r="AI20" s="25"/>
      <c r="AJ20" s="25"/>
      <c r="AK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</row>
    <row r="21" spans="1:55" s="342" customFormat="1" ht="22" customHeight="1" x14ac:dyDescent="0.25">
      <c r="A21" s="93" t="s">
        <v>310</v>
      </c>
      <c r="B21" s="262"/>
      <c r="C21" s="280">
        <f>C16*C42</f>
        <v>121524849.23076923</v>
      </c>
      <c r="D21" s="280">
        <f>D16*D42</f>
        <v>50763544.615384616</v>
      </c>
      <c r="E21" s="280">
        <f>E16*E42</f>
        <v>19997760.000000004</v>
      </c>
      <c r="F21" s="280">
        <f>F16*F42</f>
        <v>379957440</v>
      </c>
      <c r="G21" s="280">
        <f>G16*G42</f>
        <v>572243593.84615386</v>
      </c>
      <c r="H21" s="25"/>
      <c r="I21" s="280">
        <f>I16*I42</f>
        <v>174691970.76923075</v>
      </c>
      <c r="J21" s="280">
        <f>J16*J42</f>
        <v>72972595.384615391</v>
      </c>
      <c r="K21" s="280">
        <f>K16*K42</f>
        <v>28746779.999999996</v>
      </c>
      <c r="L21" s="280">
        <f>L16*L42</f>
        <v>546188820</v>
      </c>
      <c r="M21" s="280">
        <f t="shared" si="18"/>
        <v>822600166.15384614</v>
      </c>
      <c r="N21" s="282"/>
      <c r="O21" s="280">
        <f>O16*O42</f>
        <v>10363377.445990274</v>
      </c>
      <c r="P21" s="280">
        <f>P16*P42</f>
        <v>4329005.7685782155</v>
      </c>
      <c r="Q21" s="280">
        <f>Q16*Q42</f>
        <v>1705365.9088338425</v>
      </c>
      <c r="R21" s="280">
        <f>R16*R42</f>
        <v>32401952.267843008</v>
      </c>
      <c r="S21" s="280">
        <f t="shared" si="19"/>
        <v>48799701.391245335</v>
      </c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82"/>
      <c r="AG21" s="25"/>
      <c r="AH21" s="25"/>
      <c r="AI21" s="25"/>
      <c r="AJ21" s="25"/>
      <c r="AK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</row>
    <row r="22" spans="1:55" s="342" customFormat="1" ht="22" customHeight="1" x14ac:dyDescent="0.25">
      <c r="A22" s="93" t="s">
        <v>311</v>
      </c>
      <c r="B22" s="262"/>
      <c r="C22" s="280">
        <f>C16*C48</f>
        <v>6799347.692307693</v>
      </c>
      <c r="D22" s="280">
        <f>D16*D48</f>
        <v>2840233.8461538465</v>
      </c>
      <c r="E22" s="280">
        <f>E16*E48</f>
        <v>1118880.0000000002</v>
      </c>
      <c r="F22" s="280">
        <f>F16*F48</f>
        <v>21258720</v>
      </c>
      <c r="G22" s="280">
        <f>G16*G48</f>
        <v>32017181.53846154</v>
      </c>
      <c r="H22" s="25"/>
      <c r="I22" s="280">
        <f>I16*I48</f>
        <v>9774062.307692308</v>
      </c>
      <c r="J22" s="280">
        <f>J16*J48</f>
        <v>4082836.153846154</v>
      </c>
      <c r="K22" s="280">
        <f>K16*K48</f>
        <v>1608390</v>
      </c>
      <c r="L22" s="280">
        <f>L16*L48</f>
        <v>30559410</v>
      </c>
      <c r="M22" s="280">
        <f t="shared" si="18"/>
        <v>46024698.461538464</v>
      </c>
      <c r="N22" s="282"/>
      <c r="O22" s="280">
        <f>O16*O48</f>
        <v>1739501.1876484563</v>
      </c>
      <c r="P22" s="280">
        <f>P16*P48</f>
        <v>726627.07838479814</v>
      </c>
      <c r="Q22" s="280">
        <f>Q16*Q48</f>
        <v>286247.03087885986</v>
      </c>
      <c r="R22" s="280">
        <f>R16*R48</f>
        <v>5438693.5866983375</v>
      </c>
      <c r="S22" s="280">
        <f t="shared" si="19"/>
        <v>8191068.8836104516</v>
      </c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82"/>
      <c r="AG22" s="25"/>
      <c r="AH22" s="25"/>
      <c r="AI22" s="25"/>
      <c r="AJ22" s="25"/>
      <c r="AK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</row>
    <row r="23" spans="1:55" s="342" customFormat="1" ht="22" customHeight="1" x14ac:dyDescent="0.25">
      <c r="A23" s="93" t="s">
        <v>312</v>
      </c>
      <c r="B23" s="262"/>
      <c r="C23" s="280"/>
      <c r="D23" s="280"/>
      <c r="E23" s="280"/>
      <c r="F23" s="280"/>
      <c r="G23" s="280"/>
      <c r="H23" s="25"/>
      <c r="I23" s="280"/>
      <c r="J23" s="280"/>
      <c r="K23" s="280"/>
      <c r="L23" s="280"/>
      <c r="M23" s="280"/>
      <c r="N23" s="282"/>
      <c r="O23" s="280"/>
      <c r="P23" s="280"/>
      <c r="Q23" s="280"/>
      <c r="R23" s="280"/>
      <c r="S23" s="280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82"/>
      <c r="AG23" s="25"/>
      <c r="AH23" s="25"/>
      <c r="AI23" s="25"/>
      <c r="AJ23" s="25"/>
      <c r="AK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</row>
    <row r="24" spans="1:55" s="343" customFormat="1" ht="21" thickBot="1" x14ac:dyDescent="0.3">
      <c r="A24" s="152" t="s">
        <v>294</v>
      </c>
      <c r="B24" s="153"/>
      <c r="C24" s="279" t="e">
        <f>C19-C21-C22</f>
        <v>#REF!</v>
      </c>
      <c r="D24" s="279" t="e">
        <f t="shared" ref="D24:G24" si="20">D19-D21-D22</f>
        <v>#REF!</v>
      </c>
      <c r="E24" s="279" t="e">
        <f t="shared" si="20"/>
        <v>#REF!</v>
      </c>
      <c r="F24" s="279" t="e">
        <f t="shared" si="20"/>
        <v>#REF!</v>
      </c>
      <c r="G24" s="283" t="e">
        <f t="shared" si="20"/>
        <v>#REF!</v>
      </c>
      <c r="H24" s="154"/>
      <c r="I24" s="279" t="e">
        <f>I19-I21-I22</f>
        <v>#REF!</v>
      </c>
      <c r="J24" s="279" t="e">
        <f t="shared" ref="J24" si="21">J19-J21-J22</f>
        <v>#REF!</v>
      </c>
      <c r="K24" s="279" t="e">
        <f t="shared" ref="K24" si="22">K19-K21-K22</f>
        <v>#REF!</v>
      </c>
      <c r="L24" s="279" t="e">
        <f t="shared" ref="L24" si="23">L19-L21-L22</f>
        <v>#REF!</v>
      </c>
      <c r="M24" s="283" t="e">
        <f t="shared" si="18"/>
        <v>#REF!</v>
      </c>
      <c r="N24" s="154"/>
      <c r="O24" s="279" t="e">
        <f>O19-O21-O22</f>
        <v>#REF!</v>
      </c>
      <c r="P24" s="279" t="e">
        <f t="shared" ref="P24" si="24">P19-P21-P22</f>
        <v>#REF!</v>
      </c>
      <c r="Q24" s="279" t="e">
        <f t="shared" ref="Q24" si="25">Q19-Q21-Q22</f>
        <v>#REF!</v>
      </c>
      <c r="R24" s="279" t="e">
        <f t="shared" ref="R24" si="26">R19-R21-R22</f>
        <v>#REF!</v>
      </c>
      <c r="S24" s="283" t="e">
        <f t="shared" si="19"/>
        <v>#REF!</v>
      </c>
      <c r="T24" s="154"/>
      <c r="U24" s="154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  <c r="AG24" s="154"/>
      <c r="AH24" s="154"/>
      <c r="AI24" s="154"/>
      <c r="AJ24" s="154"/>
      <c r="AK24" s="154"/>
      <c r="AR24" s="154"/>
      <c r="AS24" s="154"/>
      <c r="AT24" s="154"/>
      <c r="AU24" s="154"/>
      <c r="AV24" s="154"/>
      <c r="AW24" s="154"/>
      <c r="AX24" s="154"/>
      <c r="AY24" s="154"/>
      <c r="AZ24" s="154"/>
      <c r="BA24" s="154"/>
      <c r="BB24" s="154"/>
      <c r="BC24" s="154"/>
    </row>
    <row r="25" spans="1:55" x14ac:dyDescent="0.25">
      <c r="C25" s="141" t="s">
        <v>309</v>
      </c>
    </row>
    <row r="26" spans="1:55" x14ac:dyDescent="0.25">
      <c r="C26" s="141" t="s">
        <v>308</v>
      </c>
    </row>
    <row r="27" spans="1:55" ht="20" x14ac:dyDescent="0.25">
      <c r="A27" s="13" t="s">
        <v>298</v>
      </c>
      <c r="B27" s="62"/>
      <c r="C27" s="13"/>
      <c r="D27" s="13"/>
      <c r="E27" s="13"/>
      <c r="F27" s="13"/>
      <c r="G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</row>
    <row r="28" spans="1:55" s="344" customFormat="1" ht="20" x14ac:dyDescent="0.25">
      <c r="A28" s="265" t="s">
        <v>282</v>
      </c>
      <c r="B28" s="266"/>
      <c r="C28" s="274" t="s">
        <v>283</v>
      </c>
      <c r="D28" s="267"/>
      <c r="E28" s="267"/>
      <c r="F28" s="267"/>
      <c r="G28" s="267"/>
      <c r="H28" s="268"/>
      <c r="I28" s="268"/>
      <c r="J28" s="268"/>
      <c r="K28" s="268"/>
      <c r="L28" s="268"/>
      <c r="M28" s="268"/>
      <c r="N28" s="268"/>
      <c r="O28" s="267"/>
      <c r="P28" s="267"/>
      <c r="Q28" s="267"/>
      <c r="R28" s="267"/>
      <c r="S28" s="267"/>
      <c r="T28" s="267"/>
      <c r="U28" s="267"/>
      <c r="V28" s="267"/>
      <c r="W28" s="267"/>
      <c r="X28" s="267"/>
      <c r="Y28" s="267"/>
      <c r="Z28" s="265"/>
      <c r="AA28" s="265"/>
      <c r="AB28" s="265"/>
      <c r="AC28" s="265"/>
      <c r="AD28" s="265"/>
      <c r="AE28" s="265"/>
      <c r="AF28" s="268"/>
      <c r="AG28" s="268"/>
      <c r="AH28" s="268"/>
      <c r="AI28" s="268"/>
      <c r="AJ28" s="268"/>
      <c r="AK28" s="268"/>
      <c r="AR28" s="268"/>
      <c r="AS28" s="268"/>
      <c r="AT28" s="268"/>
      <c r="AU28" s="268"/>
      <c r="AV28" s="268"/>
      <c r="AW28" s="268"/>
      <c r="AX28" s="268"/>
      <c r="AY28" s="268"/>
      <c r="AZ28" s="268"/>
      <c r="BA28" s="268"/>
      <c r="BB28" s="268"/>
      <c r="BC28" s="268"/>
    </row>
    <row r="29" spans="1:55" ht="20" x14ac:dyDescent="0.25">
      <c r="A29" s="88" t="s">
        <v>130</v>
      </c>
      <c r="C29" s="339" t="s">
        <v>299</v>
      </c>
      <c r="O29" s="339"/>
    </row>
    <row r="30" spans="1:55" x14ac:dyDescent="0.25">
      <c r="A30" s="90" t="s">
        <v>63</v>
      </c>
      <c r="C30" s="171" t="e">
        <f>C81/2</f>
        <v>#REF!</v>
      </c>
      <c r="D30" s="171" t="e">
        <f t="shared" ref="D30:G30" si="27">D81/2</f>
        <v>#REF!</v>
      </c>
      <c r="E30" s="171" t="e">
        <f t="shared" si="27"/>
        <v>#REF!</v>
      </c>
      <c r="F30" s="171" t="e">
        <f t="shared" si="27"/>
        <v>#REF!</v>
      </c>
      <c r="G30" s="171" t="e">
        <f t="shared" si="27"/>
        <v>#REF!</v>
      </c>
      <c r="H30" s="339"/>
      <c r="I30" s="171" t="e">
        <f>C30+C34*(I33-C33)</f>
        <v>#REF!</v>
      </c>
      <c r="J30" s="171" t="e">
        <f>D30+D34*(J33-D33)</f>
        <v>#REF!</v>
      </c>
      <c r="K30" s="171" t="e">
        <f>E30+E34*(K33-E33)</f>
        <v>#REF!</v>
      </c>
      <c r="L30" s="171" t="e">
        <f>F30+F34*(L33-F33)</f>
        <v>#REF!</v>
      </c>
      <c r="O30" s="171" t="e">
        <f>I30</f>
        <v>#REF!</v>
      </c>
      <c r="P30" s="171" t="e">
        <f>J30</f>
        <v>#REF!</v>
      </c>
      <c r="Q30" s="171" t="e">
        <f>K30</f>
        <v>#REF!</v>
      </c>
      <c r="R30" s="171" t="e">
        <f>L30</f>
        <v>#REF!</v>
      </c>
      <c r="T30" s="156"/>
      <c r="U30" s="156"/>
      <c r="V30" s="156"/>
      <c r="W30" s="156"/>
      <c r="X30" s="156"/>
      <c r="Y30" s="156"/>
      <c r="Z30" s="15"/>
      <c r="AA30" s="15"/>
      <c r="AB30" s="15"/>
      <c r="AC30" s="15"/>
      <c r="AD30" s="15"/>
      <c r="AE30" s="15"/>
    </row>
    <row r="31" spans="1:55" x14ac:dyDescent="0.25">
      <c r="A31" s="90" t="s">
        <v>66</v>
      </c>
      <c r="C31" s="171" t="e">
        <f t="shared" ref="C31:G32" si="28">C82/2</f>
        <v>#REF!</v>
      </c>
      <c r="D31" s="171" t="e">
        <f t="shared" si="28"/>
        <v>#REF!</v>
      </c>
      <c r="E31" s="171" t="e">
        <f t="shared" si="28"/>
        <v>#REF!</v>
      </c>
      <c r="F31" s="171" t="e">
        <f t="shared" si="28"/>
        <v>#REF!</v>
      </c>
      <c r="G31" s="171" t="e">
        <f t="shared" si="28"/>
        <v>#REF!</v>
      </c>
      <c r="H31" s="339"/>
      <c r="I31" s="171" t="e">
        <f t="shared" ref="I31:L32" si="29">C31+C35*(H34-C34)</f>
        <v>#REF!</v>
      </c>
      <c r="J31" s="171" t="e">
        <f t="shared" si="29"/>
        <v>#REF!</v>
      </c>
      <c r="K31" s="171" t="e">
        <f t="shared" si="29"/>
        <v>#REF!</v>
      </c>
      <c r="L31" s="171" t="e">
        <f t="shared" si="29"/>
        <v>#REF!</v>
      </c>
      <c r="O31" s="171" t="e">
        <f t="shared" ref="O31:O32" si="30">I31</f>
        <v>#REF!</v>
      </c>
      <c r="P31" s="171" t="e">
        <f t="shared" ref="P31:P32" si="31">J31</f>
        <v>#REF!</v>
      </c>
      <c r="Q31" s="171" t="e">
        <f t="shared" ref="Q31:Q32" si="32">K31</f>
        <v>#REF!</v>
      </c>
      <c r="R31" s="171" t="e">
        <f t="shared" ref="R31:R32" si="33">L31</f>
        <v>#REF!</v>
      </c>
      <c r="T31" s="156"/>
      <c r="U31" s="156"/>
      <c r="V31" s="156"/>
      <c r="W31" s="156"/>
      <c r="X31" s="156"/>
      <c r="Y31" s="156"/>
      <c r="Z31" s="15"/>
      <c r="AA31" s="15"/>
      <c r="AB31" s="15"/>
      <c r="AC31" s="15"/>
      <c r="AD31" s="15"/>
      <c r="AE31" s="15"/>
    </row>
    <row r="32" spans="1:55" x14ac:dyDescent="0.25">
      <c r="A32" s="90" t="s">
        <v>67</v>
      </c>
      <c r="C32" s="171" t="e">
        <f t="shared" si="28"/>
        <v>#REF!</v>
      </c>
      <c r="D32" s="171" t="e">
        <f t="shared" si="28"/>
        <v>#REF!</v>
      </c>
      <c r="E32" s="171" t="e">
        <f t="shared" si="28"/>
        <v>#REF!</v>
      </c>
      <c r="F32" s="171" t="e">
        <f t="shared" si="28"/>
        <v>#REF!</v>
      </c>
      <c r="G32" s="171" t="e">
        <f t="shared" si="28"/>
        <v>#REF!</v>
      </c>
      <c r="H32" s="339"/>
      <c r="I32" s="171" t="e">
        <f t="shared" si="29"/>
        <v>#REF!</v>
      </c>
      <c r="J32" s="171" t="e">
        <f t="shared" si="29"/>
        <v>#REF!</v>
      </c>
      <c r="K32" s="171" t="e">
        <f t="shared" si="29"/>
        <v>#REF!</v>
      </c>
      <c r="L32" s="171" t="e">
        <f t="shared" si="29"/>
        <v>#REF!</v>
      </c>
      <c r="O32" s="171" t="e">
        <f t="shared" si="30"/>
        <v>#REF!</v>
      </c>
      <c r="P32" s="171" t="e">
        <f t="shared" si="31"/>
        <v>#REF!</v>
      </c>
      <c r="Q32" s="171" t="e">
        <f t="shared" si="32"/>
        <v>#REF!</v>
      </c>
      <c r="R32" s="171" t="e">
        <f t="shared" si="33"/>
        <v>#REF!</v>
      </c>
      <c r="T32" s="156"/>
      <c r="U32" s="156"/>
      <c r="V32" s="156"/>
      <c r="W32" s="156"/>
      <c r="X32" s="156"/>
      <c r="Y32" s="156"/>
      <c r="Z32" s="15"/>
      <c r="AA32" s="15"/>
      <c r="AB32" s="15"/>
      <c r="AC32" s="15"/>
      <c r="AD32" s="15"/>
      <c r="AE32" s="15"/>
    </row>
    <row r="33" spans="1:55" ht="20" x14ac:dyDescent="0.25">
      <c r="A33" s="172" t="s">
        <v>199</v>
      </c>
      <c r="B33" s="72" t="s">
        <v>143</v>
      </c>
      <c r="C33" s="72">
        <v>4</v>
      </c>
      <c r="D33" s="72">
        <v>4</v>
      </c>
      <c r="E33" s="72">
        <v>4</v>
      </c>
      <c r="F33" s="72">
        <v>4</v>
      </c>
      <c r="G33" s="72">
        <v>4</v>
      </c>
      <c r="H33" s="339"/>
      <c r="I33" s="72">
        <v>5</v>
      </c>
      <c r="J33" s="72">
        <v>5</v>
      </c>
      <c r="K33" s="72">
        <v>5</v>
      </c>
      <c r="L33" s="72">
        <v>5</v>
      </c>
      <c r="O33" s="171"/>
      <c r="P33" s="171"/>
      <c r="Q33" s="171"/>
      <c r="R33" s="171"/>
      <c r="Z33" s="15"/>
      <c r="AA33" s="15"/>
      <c r="AB33" s="15"/>
      <c r="AC33" s="15"/>
      <c r="AD33" s="15"/>
      <c r="AE33" s="15"/>
    </row>
    <row r="34" spans="1:55" ht="20" x14ac:dyDescent="0.25">
      <c r="A34" s="173" t="s">
        <v>278</v>
      </c>
      <c r="B34" s="72" t="s">
        <v>143</v>
      </c>
      <c r="C34" s="260" t="e">
        <f>C30/C33</f>
        <v>#REF!</v>
      </c>
      <c r="D34" s="260" t="e">
        <f t="shared" ref="D34:G34" si="34">D30/D33</f>
        <v>#REF!</v>
      </c>
      <c r="E34" s="260" t="e">
        <f t="shared" si="34"/>
        <v>#REF!</v>
      </c>
      <c r="F34" s="260" t="e">
        <f t="shared" si="34"/>
        <v>#REF!</v>
      </c>
      <c r="G34" s="260" t="e">
        <f t="shared" si="34"/>
        <v>#REF!</v>
      </c>
      <c r="Z34" s="15"/>
      <c r="AA34" s="15"/>
      <c r="AB34" s="15"/>
      <c r="AC34" s="15"/>
      <c r="AD34" s="15"/>
      <c r="AE34" s="15"/>
    </row>
    <row r="35" spans="1:55" ht="20" x14ac:dyDescent="0.25">
      <c r="A35" s="173" t="s">
        <v>63</v>
      </c>
      <c r="B35" s="72" t="s">
        <v>143</v>
      </c>
      <c r="C35" s="260"/>
      <c r="Z35" s="15"/>
      <c r="AA35" s="15"/>
      <c r="AB35" s="15"/>
      <c r="AC35" s="15"/>
      <c r="AD35" s="15"/>
      <c r="AE35" s="15"/>
    </row>
    <row r="36" spans="1:55" ht="20" x14ac:dyDescent="0.25">
      <c r="A36" s="173" t="s">
        <v>66</v>
      </c>
      <c r="B36" s="72" t="s">
        <v>143</v>
      </c>
      <c r="C36" s="260"/>
      <c r="Z36" s="15"/>
      <c r="AA36" s="15"/>
      <c r="AB36" s="15"/>
      <c r="AC36" s="15"/>
      <c r="AD36" s="15"/>
      <c r="AE36" s="15"/>
    </row>
    <row r="37" spans="1:55" ht="20" x14ac:dyDescent="0.25">
      <c r="A37" s="173" t="s">
        <v>67</v>
      </c>
      <c r="B37" s="72" t="s">
        <v>143</v>
      </c>
      <c r="C37" s="260"/>
      <c r="Z37" s="15"/>
      <c r="AA37" s="15"/>
      <c r="AB37" s="15"/>
      <c r="AC37" s="15"/>
      <c r="AD37" s="15"/>
      <c r="AE37" s="15"/>
    </row>
    <row r="38" spans="1:55" x14ac:dyDescent="0.25">
      <c r="A38" s="90"/>
      <c r="C38" s="171"/>
      <c r="Z38" s="15"/>
      <c r="AA38" s="15"/>
      <c r="AB38" s="15"/>
      <c r="AC38" s="15"/>
      <c r="AD38" s="15"/>
      <c r="AE38" s="15"/>
    </row>
    <row r="39" spans="1:55" s="344" customFormat="1" ht="20" x14ac:dyDescent="0.25">
      <c r="A39" s="269" t="s">
        <v>132</v>
      </c>
      <c r="B39" s="270"/>
      <c r="C39" s="275">
        <v>60000</v>
      </c>
      <c r="D39" s="275">
        <f>C39</f>
        <v>60000</v>
      </c>
      <c r="E39" s="275">
        <f t="shared" ref="E39:G39" si="35">D39</f>
        <v>60000</v>
      </c>
      <c r="F39" s="275">
        <f t="shared" si="35"/>
        <v>60000</v>
      </c>
      <c r="G39" s="275">
        <f t="shared" si="35"/>
        <v>60000</v>
      </c>
      <c r="H39" s="268"/>
      <c r="I39" s="275">
        <f>C39</f>
        <v>60000</v>
      </c>
      <c r="J39" s="275">
        <f>D39</f>
        <v>60000</v>
      </c>
      <c r="K39" s="275">
        <f>E39</f>
        <v>60000</v>
      </c>
      <c r="L39" s="275">
        <f>F39</f>
        <v>60000</v>
      </c>
      <c r="M39" s="275"/>
      <c r="N39" s="271"/>
      <c r="O39" s="275">
        <f>I39</f>
        <v>60000</v>
      </c>
      <c r="P39" s="275">
        <f>J39</f>
        <v>60000</v>
      </c>
      <c r="Q39" s="275">
        <f>K39</f>
        <v>60000</v>
      </c>
      <c r="R39" s="275">
        <f>L39</f>
        <v>60000</v>
      </c>
      <c r="S39" s="268"/>
      <c r="T39" s="268"/>
      <c r="U39" s="268"/>
      <c r="V39" s="268"/>
      <c r="W39" s="268"/>
      <c r="X39" s="268"/>
      <c r="Y39" s="268"/>
      <c r="Z39" s="265"/>
      <c r="AA39" s="265"/>
      <c r="AB39" s="265"/>
      <c r="AC39" s="265"/>
      <c r="AD39" s="265"/>
      <c r="AE39" s="265"/>
      <c r="AF39" s="268"/>
      <c r="AG39" s="268"/>
      <c r="AH39" s="268"/>
      <c r="AI39" s="268"/>
      <c r="AJ39" s="268"/>
      <c r="AK39" s="268"/>
      <c r="AR39" s="268"/>
      <c r="AS39" s="268"/>
      <c r="AT39" s="268"/>
      <c r="AU39" s="268"/>
      <c r="AV39" s="268"/>
      <c r="AW39" s="268"/>
      <c r="AX39" s="268"/>
      <c r="AY39" s="268"/>
      <c r="AZ39" s="268"/>
      <c r="BA39" s="268"/>
      <c r="BB39" s="268"/>
      <c r="BC39" s="268"/>
    </row>
    <row r="40" spans="1:55" x14ac:dyDescent="0.25">
      <c r="C40" s="2"/>
    </row>
    <row r="41" spans="1:55" s="344" customFormat="1" ht="20" x14ac:dyDescent="0.25">
      <c r="A41" s="265" t="s">
        <v>315</v>
      </c>
      <c r="B41" s="272"/>
      <c r="C41" s="266" t="s">
        <v>284</v>
      </c>
      <c r="D41" s="265"/>
      <c r="E41" s="265"/>
      <c r="F41" s="265"/>
      <c r="G41" s="265"/>
      <c r="H41" s="273"/>
      <c r="I41" s="268"/>
      <c r="J41" s="268"/>
      <c r="K41" s="268"/>
      <c r="L41" s="268"/>
      <c r="M41" s="268"/>
      <c r="N41" s="268"/>
      <c r="O41" s="268"/>
      <c r="P41" s="268"/>
      <c r="Q41" s="268"/>
      <c r="R41" s="268"/>
      <c r="S41" s="268"/>
      <c r="T41" s="265"/>
      <c r="U41" s="265"/>
      <c r="V41" s="265"/>
      <c r="W41" s="265"/>
      <c r="X41" s="265"/>
      <c r="Y41" s="265"/>
      <c r="Z41" s="265"/>
      <c r="AA41" s="265"/>
      <c r="AB41" s="265"/>
      <c r="AC41" s="265"/>
      <c r="AD41" s="265"/>
      <c r="AE41" s="265"/>
      <c r="AF41" s="268"/>
      <c r="AG41" s="268"/>
      <c r="AH41" s="268"/>
      <c r="AI41" s="268"/>
      <c r="AJ41" s="268"/>
      <c r="AK41" s="268"/>
      <c r="AR41" s="273" t="s">
        <v>143</v>
      </c>
      <c r="AS41" s="268"/>
      <c r="AT41" s="268"/>
      <c r="AU41" s="268"/>
      <c r="AV41" s="268"/>
      <c r="AW41" s="268"/>
      <c r="AX41" s="268" t="s">
        <v>33</v>
      </c>
      <c r="AY41" s="268"/>
      <c r="AZ41" s="268"/>
      <c r="BA41" s="268"/>
      <c r="BB41" s="268"/>
      <c r="BC41" s="268"/>
    </row>
    <row r="42" spans="1:55" ht="20" x14ac:dyDescent="0.25">
      <c r="A42" s="1" t="s">
        <v>217</v>
      </c>
      <c r="C42" s="171">
        <v>28150</v>
      </c>
      <c r="D42" s="171">
        <f>C42</f>
        <v>28150</v>
      </c>
      <c r="E42" s="171">
        <f t="shared" ref="E42:G42" si="36">D42</f>
        <v>28150</v>
      </c>
      <c r="F42" s="171">
        <f t="shared" si="36"/>
        <v>28150</v>
      </c>
      <c r="G42" s="171">
        <f t="shared" si="36"/>
        <v>28150</v>
      </c>
      <c r="I42" s="345">
        <f>C42</f>
        <v>28150</v>
      </c>
      <c r="J42" s="171">
        <f>D42</f>
        <v>28150</v>
      </c>
      <c r="K42" s="171">
        <f>E42</f>
        <v>28150</v>
      </c>
      <c r="L42" s="171">
        <f>F42</f>
        <v>28150</v>
      </c>
      <c r="M42" s="171"/>
      <c r="O42" s="346">
        <f>I42/3</f>
        <v>9383.3333333333339</v>
      </c>
      <c r="P42" s="346">
        <f t="shared" ref="P42:R42" si="37">J42/3</f>
        <v>9383.3333333333339</v>
      </c>
      <c r="Q42" s="346">
        <f t="shared" si="37"/>
        <v>9383.3333333333339</v>
      </c>
      <c r="R42" s="346">
        <f t="shared" si="37"/>
        <v>9383.3333333333339</v>
      </c>
      <c r="T42" s="339"/>
      <c r="U42" s="14" t="s">
        <v>33</v>
      </c>
      <c r="V42" s="14" t="s">
        <v>33</v>
      </c>
      <c r="W42" s="14" t="s">
        <v>33</v>
      </c>
      <c r="X42" s="14" t="s">
        <v>33</v>
      </c>
      <c r="Y42" s="14" t="s">
        <v>33</v>
      </c>
      <c r="AA42" s="14" t="s">
        <v>33</v>
      </c>
      <c r="AB42" s="14" t="s">
        <v>33</v>
      </c>
      <c r="AC42" s="14" t="s">
        <v>33</v>
      </c>
      <c r="AD42" s="14" t="s">
        <v>33</v>
      </c>
      <c r="AE42" s="14" t="s">
        <v>33</v>
      </c>
      <c r="AR42" s="261" t="s">
        <v>143</v>
      </c>
      <c r="AX42" s="14" t="s">
        <v>33</v>
      </c>
    </row>
    <row r="43" spans="1:55" ht="20" x14ac:dyDescent="0.25">
      <c r="A43" s="81" t="s">
        <v>287</v>
      </c>
      <c r="B43" s="339"/>
      <c r="C43" s="72" t="s">
        <v>143</v>
      </c>
      <c r="D43" s="171"/>
      <c r="E43" s="171"/>
      <c r="F43" s="171"/>
      <c r="G43" s="171"/>
      <c r="O43" s="2" t="s">
        <v>314</v>
      </c>
      <c r="T43" s="339"/>
      <c r="U43" s="14"/>
      <c r="V43" s="14"/>
      <c r="W43" s="14"/>
      <c r="X43" s="14"/>
      <c r="Y43" s="14"/>
      <c r="AA43" s="14"/>
      <c r="AB43" s="14"/>
      <c r="AC43" s="14"/>
      <c r="AD43" s="14"/>
      <c r="AE43" s="14"/>
      <c r="AR43" s="261"/>
      <c r="AX43" s="14"/>
    </row>
    <row r="44" spans="1:55" ht="20" x14ac:dyDescent="0.25">
      <c r="A44" s="81" t="s">
        <v>288</v>
      </c>
      <c r="B44" s="339"/>
      <c r="C44" s="72" t="s">
        <v>143</v>
      </c>
      <c r="D44" s="171"/>
      <c r="E44" s="171"/>
      <c r="F44" s="171"/>
      <c r="G44" s="171"/>
      <c r="T44" s="339"/>
      <c r="U44" s="14"/>
      <c r="V44" s="14"/>
      <c r="W44" s="14"/>
      <c r="X44" s="14"/>
      <c r="Y44" s="14"/>
      <c r="AA44" s="14"/>
      <c r="AB44" s="14"/>
      <c r="AC44" s="14"/>
      <c r="AD44" s="14"/>
      <c r="AE44" s="14"/>
      <c r="AR44" s="261"/>
      <c r="AX44" s="14"/>
    </row>
    <row r="45" spans="1:55" ht="20" x14ac:dyDescent="0.25">
      <c r="A45" s="81" t="s">
        <v>289</v>
      </c>
      <c r="B45" s="339"/>
      <c r="C45" s="72" t="s">
        <v>143</v>
      </c>
      <c r="D45" s="171"/>
      <c r="E45" s="171"/>
      <c r="F45" s="171"/>
      <c r="G45" s="171"/>
      <c r="T45" s="339"/>
      <c r="U45" s="14"/>
      <c r="V45" s="14"/>
      <c r="W45" s="14"/>
      <c r="X45" s="14"/>
      <c r="Y45" s="14"/>
      <c r="AA45" s="14"/>
      <c r="AB45" s="14"/>
      <c r="AC45" s="14"/>
      <c r="AD45" s="14"/>
      <c r="AE45" s="14"/>
      <c r="AR45" s="261"/>
      <c r="AX45" s="14"/>
    </row>
    <row r="46" spans="1:55" ht="20" x14ac:dyDescent="0.25">
      <c r="A46" s="278" t="s">
        <v>290</v>
      </c>
      <c r="B46" s="339"/>
      <c r="C46" s="72" t="s">
        <v>143</v>
      </c>
      <c r="D46" s="171"/>
      <c r="E46" s="171"/>
      <c r="F46" s="171"/>
      <c r="G46" s="171"/>
      <c r="T46" s="339"/>
      <c r="U46" s="14"/>
      <c r="V46" s="14"/>
      <c r="W46" s="14"/>
      <c r="X46" s="14"/>
      <c r="Y46" s="14"/>
      <c r="AA46" s="14"/>
      <c r="AB46" s="14"/>
      <c r="AC46" s="14"/>
      <c r="AD46" s="14"/>
      <c r="AE46" s="14"/>
      <c r="AR46" s="261"/>
      <c r="AX46" s="14"/>
    </row>
    <row r="47" spans="1:55" ht="20" x14ac:dyDescent="0.25">
      <c r="A47" s="278" t="s">
        <v>291</v>
      </c>
      <c r="B47" s="339"/>
      <c r="C47" s="72" t="s">
        <v>143</v>
      </c>
      <c r="D47" s="171"/>
      <c r="E47" s="171"/>
      <c r="F47" s="171"/>
      <c r="G47" s="171"/>
      <c r="T47" s="339"/>
      <c r="U47" s="14"/>
      <c r="V47" s="14"/>
      <c r="W47" s="14"/>
      <c r="X47" s="14"/>
      <c r="Y47" s="14"/>
      <c r="AA47" s="14"/>
      <c r="AB47" s="14"/>
      <c r="AC47" s="14"/>
      <c r="AD47" s="14"/>
      <c r="AE47" s="14"/>
      <c r="AR47" s="261"/>
      <c r="AX47" s="14"/>
    </row>
    <row r="48" spans="1:55" ht="20" x14ac:dyDescent="0.25">
      <c r="A48" s="1" t="s">
        <v>201</v>
      </c>
      <c r="C48" s="171">
        <v>1575</v>
      </c>
      <c r="D48" s="171">
        <f>C48</f>
        <v>1575</v>
      </c>
      <c r="E48" s="171">
        <f t="shared" ref="E48:G48" si="38">D48</f>
        <v>1575</v>
      </c>
      <c r="F48" s="171">
        <f t="shared" si="38"/>
        <v>1575</v>
      </c>
      <c r="G48" s="171">
        <f t="shared" si="38"/>
        <v>1575</v>
      </c>
      <c r="I48" s="345">
        <f>C48</f>
        <v>1575</v>
      </c>
      <c r="J48" s="171">
        <f>D48</f>
        <v>1575</v>
      </c>
      <c r="K48" s="171">
        <f>E48</f>
        <v>1575</v>
      </c>
      <c r="L48" s="171">
        <f>F48</f>
        <v>1575</v>
      </c>
      <c r="M48" s="171"/>
      <c r="O48" s="345">
        <f>I48</f>
        <v>1575</v>
      </c>
      <c r="P48" s="171">
        <f>J48</f>
        <v>1575</v>
      </c>
      <c r="Q48" s="171">
        <f>K48</f>
        <v>1575</v>
      </c>
      <c r="R48" s="171">
        <f>L48</f>
        <v>1575</v>
      </c>
      <c r="T48" s="339"/>
      <c r="U48" s="72" t="s">
        <v>143</v>
      </c>
      <c r="V48" s="72" t="s">
        <v>143</v>
      </c>
      <c r="W48" s="72" t="s">
        <v>143</v>
      </c>
      <c r="X48" s="72" t="s">
        <v>143</v>
      </c>
      <c r="Y48" s="72" t="s">
        <v>143</v>
      </c>
      <c r="AA48" s="72" t="s">
        <v>143</v>
      </c>
      <c r="AB48" s="72" t="s">
        <v>143</v>
      </c>
      <c r="AC48" s="72" t="s">
        <v>143</v>
      </c>
      <c r="AD48" s="72" t="s">
        <v>143</v>
      </c>
      <c r="AE48" s="72" t="s">
        <v>143</v>
      </c>
      <c r="AR48" s="261" t="s">
        <v>143</v>
      </c>
      <c r="AX48" s="14" t="s">
        <v>33</v>
      </c>
    </row>
    <row r="49" spans="1:55" x14ac:dyDescent="0.25">
      <c r="C49" s="171"/>
      <c r="D49" s="171"/>
      <c r="E49" s="171"/>
      <c r="F49" s="171"/>
      <c r="G49" s="171"/>
    </row>
    <row r="50" spans="1:55" s="344" customFormat="1" ht="20" x14ac:dyDescent="0.25">
      <c r="A50" s="265" t="s">
        <v>316</v>
      </c>
      <c r="B50" s="272"/>
      <c r="C50" s="266" t="s">
        <v>284</v>
      </c>
      <c r="D50" s="265"/>
      <c r="E50" s="265"/>
      <c r="F50" s="265"/>
      <c r="G50" s="265"/>
      <c r="H50" s="273"/>
      <c r="I50" s="268"/>
      <c r="J50" s="268"/>
      <c r="K50" s="268"/>
      <c r="L50" s="268"/>
      <c r="M50" s="268"/>
      <c r="N50" s="268"/>
      <c r="O50" s="268"/>
      <c r="P50" s="268"/>
      <c r="Q50" s="268"/>
      <c r="R50" s="268"/>
      <c r="S50" s="268"/>
      <c r="T50" s="265"/>
      <c r="U50" s="265"/>
      <c r="V50" s="265"/>
      <c r="W50" s="265"/>
      <c r="X50" s="265"/>
      <c r="Y50" s="265"/>
      <c r="Z50" s="265"/>
      <c r="AA50" s="265"/>
      <c r="AB50" s="265"/>
      <c r="AC50" s="265"/>
      <c r="AD50" s="265"/>
      <c r="AE50" s="265"/>
      <c r="AF50" s="268"/>
      <c r="AG50" s="268"/>
      <c r="AH50" s="268"/>
      <c r="AI50" s="268"/>
      <c r="AJ50" s="268"/>
      <c r="AK50" s="268"/>
      <c r="AR50" s="273" t="s">
        <v>143</v>
      </c>
      <c r="AS50" s="268"/>
      <c r="AT50" s="268"/>
      <c r="AU50" s="268"/>
      <c r="AV50" s="268"/>
      <c r="AW50" s="268"/>
      <c r="AX50" s="268" t="s">
        <v>33</v>
      </c>
      <c r="AY50" s="268"/>
      <c r="AZ50" s="268"/>
      <c r="BA50" s="268"/>
      <c r="BB50" s="268"/>
      <c r="BC50" s="268"/>
    </row>
    <row r="51" spans="1:55" x14ac:dyDescent="0.25">
      <c r="C51" s="171"/>
      <c r="D51" s="171"/>
      <c r="E51" s="171"/>
      <c r="F51" s="171"/>
      <c r="G51" s="171"/>
    </row>
    <row r="52" spans="1:55" x14ac:dyDescent="0.25">
      <c r="C52" s="171"/>
      <c r="D52" s="171"/>
      <c r="E52" s="171"/>
      <c r="F52" s="171"/>
      <c r="G52" s="171"/>
    </row>
    <row r="53" spans="1:55" s="344" customFormat="1" ht="20" x14ac:dyDescent="0.25">
      <c r="A53" s="265" t="s">
        <v>292</v>
      </c>
      <c r="B53" s="272"/>
      <c r="C53" s="266" t="s">
        <v>293</v>
      </c>
      <c r="D53" s="265"/>
      <c r="E53" s="265"/>
      <c r="F53" s="265"/>
      <c r="G53" s="265"/>
      <c r="H53" s="273" t="s">
        <v>143</v>
      </c>
      <c r="I53" s="268"/>
      <c r="J53" s="268"/>
      <c r="K53" s="268"/>
      <c r="L53" s="268"/>
      <c r="M53" s="268"/>
      <c r="N53" s="268"/>
      <c r="O53" s="268"/>
      <c r="P53" s="268"/>
      <c r="Q53" s="268"/>
      <c r="R53" s="268"/>
      <c r="S53" s="268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265"/>
      <c r="AF53" s="268"/>
      <c r="AG53" s="268"/>
      <c r="AH53" s="268"/>
      <c r="AI53" s="268"/>
      <c r="AJ53" s="268"/>
      <c r="AK53" s="268"/>
      <c r="AR53" s="273" t="s">
        <v>143</v>
      </c>
      <c r="AS53" s="268"/>
      <c r="AT53" s="268"/>
      <c r="AU53" s="268"/>
      <c r="AV53" s="268"/>
      <c r="AW53" s="268"/>
      <c r="AX53" s="268" t="s">
        <v>33</v>
      </c>
      <c r="AY53" s="268"/>
      <c r="AZ53" s="268"/>
      <c r="BA53" s="268"/>
      <c r="BB53" s="268"/>
      <c r="BC53" s="268"/>
    </row>
    <row r="54" spans="1:55" ht="20" x14ac:dyDescent="0.25">
      <c r="C54" s="72" t="s">
        <v>143</v>
      </c>
      <c r="D54" s="171"/>
      <c r="E54" s="171"/>
      <c r="F54" s="171"/>
      <c r="G54" s="171"/>
    </row>
    <row r="55" spans="1:55" x14ac:dyDescent="0.25">
      <c r="D55" s="171"/>
      <c r="E55" s="171"/>
      <c r="F55" s="171"/>
      <c r="G55" s="171"/>
    </row>
    <row r="56" spans="1:55" ht="20" x14ac:dyDescent="0.25">
      <c r="A56" s="13" t="s">
        <v>62</v>
      </c>
      <c r="B56" s="62"/>
      <c r="C56" s="171" t="e">
        <f>'База селлеров'!#REF!</f>
        <v>#REF!</v>
      </c>
      <c r="D56" s="171" t="e">
        <f>C56</f>
        <v>#REF!</v>
      </c>
      <c r="E56" s="171" t="e">
        <f t="shared" ref="E56:G56" si="39">D56</f>
        <v>#REF!</v>
      </c>
      <c r="F56" s="171" t="e">
        <f t="shared" si="39"/>
        <v>#REF!</v>
      </c>
      <c r="G56" s="171" t="e">
        <f t="shared" si="39"/>
        <v>#REF!</v>
      </c>
      <c r="Z56" s="13"/>
      <c r="AA56" s="13"/>
      <c r="AB56" s="13"/>
      <c r="AC56" s="13"/>
      <c r="AD56" s="13"/>
      <c r="AE56" s="13"/>
    </row>
    <row r="57" spans="1:55" ht="20" x14ac:dyDescent="0.25">
      <c r="A57" s="13" t="s">
        <v>144</v>
      </c>
      <c r="B57" s="62"/>
      <c r="Z57" s="13"/>
      <c r="AA57" s="13"/>
      <c r="AB57" s="13"/>
      <c r="AC57" s="13"/>
      <c r="AD57" s="13"/>
      <c r="AE57" s="13"/>
    </row>
    <row r="58" spans="1:55" ht="20" x14ac:dyDescent="0.25">
      <c r="A58" s="13" t="s">
        <v>131</v>
      </c>
      <c r="B58" s="62"/>
      <c r="C58" s="13"/>
      <c r="D58" s="13"/>
      <c r="E58" s="13"/>
      <c r="F58" s="13"/>
      <c r="G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</row>
    <row r="59" spans="1:55" ht="20" x14ac:dyDescent="0.25">
      <c r="A59" s="15" t="s">
        <v>63</v>
      </c>
      <c r="B59" s="15"/>
      <c r="C59" s="72" t="s">
        <v>143</v>
      </c>
      <c r="D59" s="13"/>
      <c r="E59" s="13"/>
      <c r="F59" s="13"/>
      <c r="G59" s="13"/>
      <c r="T59" s="13"/>
      <c r="U59" s="13"/>
      <c r="V59" s="13"/>
      <c r="W59" s="13"/>
      <c r="X59" s="13"/>
      <c r="Y59" s="13"/>
      <c r="Z59" s="15"/>
      <c r="AA59" s="15"/>
      <c r="AB59" s="15"/>
      <c r="AC59" s="15"/>
      <c r="AD59" s="15"/>
      <c r="AE59" s="15"/>
    </row>
    <row r="60" spans="1:55" ht="20" x14ac:dyDescent="0.25">
      <c r="A60" s="15" t="s">
        <v>66</v>
      </c>
      <c r="B60" s="15"/>
      <c r="C60" s="72" t="s">
        <v>143</v>
      </c>
      <c r="D60" s="13"/>
      <c r="E60" s="13"/>
      <c r="F60" s="13"/>
      <c r="G60" s="13"/>
      <c r="T60" s="13"/>
      <c r="U60" s="13"/>
      <c r="V60" s="13"/>
      <c r="W60" s="13"/>
      <c r="X60" s="13"/>
      <c r="Y60" s="13"/>
      <c r="Z60" s="15"/>
      <c r="AA60" s="15"/>
      <c r="AB60" s="15"/>
      <c r="AC60" s="15"/>
      <c r="AD60" s="15"/>
      <c r="AE60" s="15"/>
    </row>
    <row r="61" spans="1:55" ht="20" x14ac:dyDescent="0.25">
      <c r="A61" s="15" t="s">
        <v>67</v>
      </c>
      <c r="B61" s="15"/>
      <c r="C61" s="72" t="s">
        <v>143</v>
      </c>
      <c r="D61" s="13"/>
      <c r="E61" s="13"/>
      <c r="F61" s="13"/>
      <c r="G61" s="13"/>
      <c r="T61" s="13"/>
      <c r="U61" s="13"/>
      <c r="V61" s="13"/>
      <c r="W61" s="13"/>
      <c r="X61" s="13"/>
      <c r="Y61" s="13"/>
      <c r="Z61" s="15"/>
      <c r="AA61" s="15"/>
      <c r="AB61" s="15"/>
      <c r="AC61" s="15"/>
      <c r="AD61" s="15"/>
      <c r="AE61" s="15"/>
    </row>
    <row r="62" spans="1:55" ht="20" x14ac:dyDescent="0.25">
      <c r="A62" s="15" t="s">
        <v>31</v>
      </c>
      <c r="B62" s="15"/>
      <c r="C62" s="72" t="s">
        <v>143</v>
      </c>
      <c r="D62" s="13"/>
      <c r="E62" s="13"/>
      <c r="F62" s="13"/>
      <c r="G62" s="13"/>
      <c r="T62" s="13"/>
      <c r="U62" s="13"/>
      <c r="V62" s="13"/>
      <c r="W62" s="13"/>
      <c r="X62" s="13"/>
      <c r="Y62" s="13"/>
      <c r="Z62" s="15"/>
      <c r="AA62" s="15"/>
      <c r="AB62" s="15"/>
      <c r="AC62" s="15"/>
      <c r="AD62" s="15"/>
      <c r="AE62" s="15"/>
    </row>
    <row r="64" spans="1:55" ht="20" x14ac:dyDescent="0.25">
      <c r="A64" s="13" t="s">
        <v>68</v>
      </c>
      <c r="B64" s="62"/>
      <c r="C64" s="72" t="s">
        <v>143</v>
      </c>
      <c r="D64" s="13"/>
      <c r="E64" s="13"/>
      <c r="F64" s="13"/>
      <c r="G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</row>
    <row r="65" spans="1:31" ht="20" x14ac:dyDescent="0.25">
      <c r="A65" s="13" t="s">
        <v>115</v>
      </c>
      <c r="B65" s="62"/>
      <c r="C65" s="72" t="s">
        <v>143</v>
      </c>
      <c r="D65" s="13"/>
      <c r="E65" s="13"/>
      <c r="F65" s="13"/>
      <c r="G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</row>
    <row r="67" spans="1:31" ht="40" x14ac:dyDescent="0.25">
      <c r="A67" s="13" t="s">
        <v>146</v>
      </c>
      <c r="B67" s="62"/>
      <c r="C67" s="13"/>
      <c r="D67" s="13"/>
      <c r="E67" s="13"/>
      <c r="F67" s="13"/>
      <c r="G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</row>
    <row r="68" spans="1:31" x14ac:dyDescent="0.25">
      <c r="A68" s="15" t="s">
        <v>63</v>
      </c>
      <c r="B68" s="15"/>
      <c r="C68" s="74">
        <f>'База селлеров'!B28</f>
        <v>7.5010916349572705E-3</v>
      </c>
      <c r="D68" s="74">
        <f>'База селлеров'!C28</f>
        <v>2.0520050125313282E-2</v>
      </c>
      <c r="E68" s="140">
        <f>'База селлеров'!D28</f>
        <v>1.3273030313552554E-2</v>
      </c>
      <c r="F68" s="140">
        <f>'База селлеров'!E28</f>
        <v>1.3273030313552554E-2</v>
      </c>
      <c r="G68" s="140">
        <f>'База селлеров'!F28</f>
        <v>1.3273030313552554E-2</v>
      </c>
      <c r="I68" s="75">
        <f>C68</f>
        <v>7.5010916349572705E-3</v>
      </c>
      <c r="J68" s="75">
        <f>D68</f>
        <v>2.0520050125313282E-2</v>
      </c>
      <c r="K68" s="75">
        <f>E68</f>
        <v>1.3273030313552554E-2</v>
      </c>
      <c r="L68" s="75">
        <f>F68</f>
        <v>1.3273030313552554E-2</v>
      </c>
      <c r="M68" s="75"/>
      <c r="N68" s="15"/>
      <c r="O68" s="75">
        <f>I68</f>
        <v>7.5010916349572705E-3</v>
      </c>
      <c r="P68" s="75">
        <f>J68</f>
        <v>2.0520050125313282E-2</v>
      </c>
      <c r="Q68" s="75">
        <f>K68</f>
        <v>1.3273030313552554E-2</v>
      </c>
      <c r="R68" s="75">
        <f>L68</f>
        <v>1.3273030313552554E-2</v>
      </c>
      <c r="Z68" s="15"/>
      <c r="AA68" s="15"/>
      <c r="AB68" s="15"/>
      <c r="AC68" s="15"/>
      <c r="AD68" s="15"/>
      <c r="AE68" s="15"/>
    </row>
    <row r="69" spans="1:31" x14ac:dyDescent="0.25">
      <c r="A69" s="15" t="s">
        <v>66</v>
      </c>
      <c r="B69" s="15"/>
      <c r="C69" s="74">
        <f>'База селлеров'!B29</f>
        <v>0.10531158380637515</v>
      </c>
      <c r="D69" s="74">
        <f>'База селлеров'!C29</f>
        <v>0.15202067669172933</v>
      </c>
      <c r="E69" s="140">
        <f>'База селлеров'!D29</f>
        <v>0.12602000069446856</v>
      </c>
      <c r="F69" s="140">
        <f>'База селлеров'!E29</f>
        <v>0.12602000069446856</v>
      </c>
      <c r="G69" s="140">
        <f>'База селлеров'!F29</f>
        <v>0.12602000069446856</v>
      </c>
      <c r="I69" s="75">
        <f t="shared" ref="I69:I71" si="40">C69</f>
        <v>0.10531158380637515</v>
      </c>
      <c r="J69" s="75">
        <f t="shared" ref="J69:L71" si="41">D69</f>
        <v>0.15202067669172933</v>
      </c>
      <c r="K69" s="75">
        <f t="shared" si="41"/>
        <v>0.12602000069446856</v>
      </c>
      <c r="L69" s="75">
        <f t="shared" si="41"/>
        <v>0.12602000069446856</v>
      </c>
      <c r="M69" s="75"/>
      <c r="N69" s="15"/>
      <c r="O69" s="75">
        <f t="shared" ref="O69:O71" si="42">I69</f>
        <v>0.10531158380637515</v>
      </c>
      <c r="P69" s="75">
        <f t="shared" ref="P69:R71" si="43">J69</f>
        <v>0.15202067669172933</v>
      </c>
      <c r="Q69" s="75">
        <f t="shared" si="43"/>
        <v>0.12602000069446856</v>
      </c>
      <c r="R69" s="75">
        <f t="shared" si="43"/>
        <v>0.12602000069446856</v>
      </c>
      <c r="Z69" s="15"/>
      <c r="AA69" s="15"/>
      <c r="AB69" s="15"/>
      <c r="AC69" s="15"/>
      <c r="AD69" s="15"/>
      <c r="AE69" s="15"/>
    </row>
    <row r="70" spans="1:31" x14ac:dyDescent="0.25">
      <c r="A70" s="15" t="s">
        <v>67</v>
      </c>
      <c r="B70" s="15"/>
      <c r="C70" s="74">
        <f>'База селлеров'!B30</f>
        <v>0.88707816106294057</v>
      </c>
      <c r="D70" s="74">
        <f>'База селлеров'!C30</f>
        <v>0.82573621553884713</v>
      </c>
      <c r="E70" s="140">
        <f>'База селлеров'!D30</f>
        <v>0.85988228757942986</v>
      </c>
      <c r="F70" s="140">
        <f>'База селлеров'!E30</f>
        <v>0.85988228757942986</v>
      </c>
      <c r="G70" s="140">
        <f>'База селлеров'!F30</f>
        <v>0.85988228757942986</v>
      </c>
      <c r="I70" s="75">
        <f t="shared" si="40"/>
        <v>0.88707816106294057</v>
      </c>
      <c r="J70" s="75">
        <f t="shared" si="41"/>
        <v>0.82573621553884713</v>
      </c>
      <c r="K70" s="75">
        <f t="shared" si="41"/>
        <v>0.85988228757942986</v>
      </c>
      <c r="L70" s="75">
        <f t="shared" si="41"/>
        <v>0.85988228757942986</v>
      </c>
      <c r="M70" s="75"/>
      <c r="N70" s="15"/>
      <c r="O70" s="75">
        <f t="shared" si="42"/>
        <v>0.88707816106294057</v>
      </c>
      <c r="P70" s="75">
        <f t="shared" si="43"/>
        <v>0.82573621553884713</v>
      </c>
      <c r="Q70" s="75">
        <f t="shared" si="43"/>
        <v>0.85988228757942986</v>
      </c>
      <c r="R70" s="75">
        <f t="shared" si="43"/>
        <v>0.85988228757942986</v>
      </c>
      <c r="Z70" s="15"/>
      <c r="AA70" s="15"/>
      <c r="AB70" s="15"/>
      <c r="AC70" s="15"/>
      <c r="AD70" s="15"/>
      <c r="AE70" s="15"/>
    </row>
    <row r="71" spans="1:31" x14ac:dyDescent="0.25">
      <c r="A71" s="15" t="s">
        <v>31</v>
      </c>
      <c r="B71" s="15"/>
      <c r="C71" s="74">
        <f>'База селлеров'!B31</f>
        <v>0</v>
      </c>
      <c r="D71" s="74">
        <f>'База селлеров'!C31</f>
        <v>0</v>
      </c>
      <c r="E71" s="140">
        <f>'База селлеров'!D31</f>
        <v>0</v>
      </c>
      <c r="F71" s="140">
        <f>'База селлеров'!E31</f>
        <v>0</v>
      </c>
      <c r="G71" s="140">
        <f>'База селлеров'!F31</f>
        <v>0</v>
      </c>
      <c r="I71" s="75">
        <f t="shared" si="40"/>
        <v>0</v>
      </c>
      <c r="J71" s="75">
        <f t="shared" si="41"/>
        <v>0</v>
      </c>
      <c r="K71" s="75">
        <f t="shared" si="41"/>
        <v>0</v>
      </c>
      <c r="L71" s="75">
        <f t="shared" si="41"/>
        <v>0</v>
      </c>
      <c r="M71" s="75"/>
      <c r="N71" s="15"/>
      <c r="O71" s="75">
        <f t="shared" si="42"/>
        <v>0</v>
      </c>
      <c r="P71" s="75">
        <f t="shared" si="43"/>
        <v>0</v>
      </c>
      <c r="Q71" s="75">
        <f t="shared" si="43"/>
        <v>0</v>
      </c>
      <c r="R71" s="75">
        <f t="shared" si="43"/>
        <v>0</v>
      </c>
      <c r="Z71" s="15"/>
      <c r="AA71" s="15"/>
      <c r="AB71" s="15"/>
      <c r="AC71" s="15"/>
      <c r="AD71" s="15"/>
      <c r="AE71" s="15"/>
    </row>
    <row r="72" spans="1:31" x14ac:dyDescent="0.25">
      <c r="A72" s="15"/>
      <c r="B72" s="15"/>
      <c r="C72" s="74"/>
      <c r="D72" s="74"/>
      <c r="E72" s="276" t="s">
        <v>285</v>
      </c>
      <c r="F72" s="74"/>
      <c r="G72" s="74"/>
      <c r="N72" s="15"/>
      <c r="O72" s="74"/>
      <c r="P72" s="74"/>
      <c r="Z72" s="15"/>
      <c r="AA72" s="15"/>
      <c r="AB72" s="15"/>
      <c r="AC72" s="15"/>
      <c r="AD72" s="15"/>
      <c r="AE72" s="15"/>
    </row>
    <row r="73" spans="1:31" ht="60" x14ac:dyDescent="0.25">
      <c r="A73" s="13" t="s">
        <v>147</v>
      </c>
      <c r="B73" s="15"/>
      <c r="C73" s="74"/>
      <c r="D73" s="74"/>
      <c r="E73" s="74"/>
      <c r="F73" s="74"/>
      <c r="G73" s="74"/>
      <c r="N73" s="15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15"/>
      <c r="AA73" s="15"/>
      <c r="AB73" s="15"/>
      <c r="AC73" s="15"/>
      <c r="AD73" s="15"/>
      <c r="AE73" s="15"/>
    </row>
    <row r="74" spans="1:31" ht="20" x14ac:dyDescent="0.25">
      <c r="A74" s="15" t="s">
        <v>63</v>
      </c>
      <c r="B74" s="15"/>
      <c r="C74" s="72" t="s">
        <v>143</v>
      </c>
      <c r="N74" s="15"/>
      <c r="O74" s="162"/>
      <c r="P74" s="162"/>
      <c r="Q74" s="162"/>
      <c r="R74" s="162"/>
      <c r="S74" s="162"/>
      <c r="Z74" s="15"/>
      <c r="AA74" s="15"/>
      <c r="AB74" s="15"/>
      <c r="AC74" s="15"/>
      <c r="AD74" s="15"/>
      <c r="AE74" s="15"/>
    </row>
    <row r="75" spans="1:31" ht="20" x14ac:dyDescent="0.25">
      <c r="A75" s="15" t="s">
        <v>66</v>
      </c>
      <c r="B75" s="15"/>
      <c r="C75" s="72" t="s">
        <v>143</v>
      </c>
      <c r="N75" s="15"/>
      <c r="O75" s="162"/>
      <c r="P75" s="162"/>
      <c r="Q75" s="162"/>
      <c r="R75" s="162"/>
      <c r="S75" s="162"/>
      <c r="Z75" s="15"/>
      <c r="AA75" s="15"/>
      <c r="AB75" s="15"/>
      <c r="AC75" s="15"/>
      <c r="AD75" s="15"/>
      <c r="AE75" s="15"/>
    </row>
    <row r="76" spans="1:31" ht="20" x14ac:dyDescent="0.25">
      <c r="A76" s="15" t="s">
        <v>67</v>
      </c>
      <c r="B76" s="15"/>
      <c r="C76" s="72" t="s">
        <v>143</v>
      </c>
      <c r="N76" s="15"/>
      <c r="O76" s="162"/>
      <c r="P76" s="162"/>
      <c r="Q76" s="162"/>
      <c r="R76" s="162"/>
      <c r="S76" s="162"/>
      <c r="Z76" s="15"/>
      <c r="AA76" s="15"/>
      <c r="AB76" s="15"/>
      <c r="AC76" s="15"/>
      <c r="AD76" s="15"/>
      <c r="AE76" s="15"/>
    </row>
    <row r="77" spans="1:31" ht="20" x14ac:dyDescent="0.25">
      <c r="A77" s="15" t="s">
        <v>31</v>
      </c>
      <c r="B77" s="15"/>
      <c r="C77" s="72" t="s">
        <v>143</v>
      </c>
      <c r="N77" s="15"/>
      <c r="O77" s="162"/>
      <c r="P77" s="162"/>
      <c r="Q77" s="162"/>
      <c r="R77" s="162"/>
      <c r="S77" s="162"/>
      <c r="Z77" s="15"/>
      <c r="AA77" s="15"/>
      <c r="AB77" s="15"/>
      <c r="AC77" s="15"/>
      <c r="AD77" s="15"/>
      <c r="AE77" s="15"/>
    </row>
    <row r="78" spans="1:31" x14ac:dyDescent="0.25">
      <c r="O78" s="74"/>
      <c r="P78" s="74"/>
      <c r="Q78" s="74"/>
      <c r="R78" s="74"/>
      <c r="S78" s="74"/>
    </row>
    <row r="79" spans="1:31" x14ac:dyDescent="0.25">
      <c r="A79" s="18" t="s">
        <v>280</v>
      </c>
      <c r="C79" s="18" t="s">
        <v>281</v>
      </c>
      <c r="D79" s="18"/>
      <c r="E79" s="18"/>
      <c r="F79" s="18"/>
      <c r="G79" s="18"/>
      <c r="N79" s="18"/>
      <c r="O79" s="74"/>
      <c r="P79" s="74"/>
      <c r="Q79" s="74"/>
      <c r="R79" s="74"/>
      <c r="S79" s="74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spans="1:31" x14ac:dyDescent="0.25">
      <c r="A80" s="15" t="s">
        <v>65</v>
      </c>
      <c r="B80" s="15"/>
      <c r="D80" s="15"/>
      <c r="E80" s="15"/>
      <c r="F80" s="15"/>
      <c r="G80" s="15"/>
      <c r="N80" s="18"/>
      <c r="O80" s="74"/>
      <c r="P80" s="74"/>
      <c r="Q80" s="74"/>
      <c r="R80" s="74"/>
      <c r="S80" s="74"/>
      <c r="T80" s="18"/>
      <c r="U80" s="18"/>
      <c r="V80" s="18"/>
      <c r="W80" s="18"/>
      <c r="X80" s="18"/>
      <c r="Y80" s="18"/>
      <c r="Z80" s="15"/>
      <c r="AA80" s="15"/>
      <c r="AB80" s="15"/>
      <c r="AC80" s="15"/>
      <c r="AD80" s="15"/>
      <c r="AE80" s="15"/>
    </row>
    <row r="81" spans="1:31" x14ac:dyDescent="0.25">
      <c r="A81" s="15" t="s">
        <v>63</v>
      </c>
      <c r="B81" s="15"/>
      <c r="C81" s="297" t="e">
        <f>'База селлеров'!#REF!</f>
        <v>#REF!</v>
      </c>
      <c r="D81" s="297" t="e">
        <f>C81</f>
        <v>#REF!</v>
      </c>
      <c r="E81" s="297" t="e">
        <f t="shared" ref="E81:G81" si="44">D81</f>
        <v>#REF!</v>
      </c>
      <c r="F81" s="297" t="e">
        <f t="shared" si="44"/>
        <v>#REF!</v>
      </c>
      <c r="G81" s="297" t="e">
        <f t="shared" si="44"/>
        <v>#REF!</v>
      </c>
      <c r="I81" s="296" t="e">
        <f>C81</f>
        <v>#REF!</v>
      </c>
      <c r="J81" s="296" t="e">
        <f>D81</f>
        <v>#REF!</v>
      </c>
      <c r="K81" s="296" t="e">
        <f>E81</f>
        <v>#REF!</v>
      </c>
      <c r="L81" s="296" t="e">
        <f>F81</f>
        <v>#REF!</v>
      </c>
      <c r="N81" s="18"/>
      <c r="O81" s="296" t="e">
        <f>I81</f>
        <v>#REF!</v>
      </c>
      <c r="P81" s="296" t="e">
        <f>J81</f>
        <v>#REF!</v>
      </c>
      <c r="Q81" s="296" t="e">
        <f>K81</f>
        <v>#REF!</v>
      </c>
      <c r="R81" s="296" t="e">
        <f>L81</f>
        <v>#REF!</v>
      </c>
      <c r="S81" s="74"/>
      <c r="T81" s="18"/>
      <c r="U81" s="18"/>
      <c r="V81" s="18"/>
      <c r="W81" s="18"/>
      <c r="X81" s="18"/>
      <c r="Y81" s="18"/>
      <c r="Z81" s="15"/>
      <c r="AA81" s="15"/>
      <c r="AB81" s="15"/>
      <c r="AC81" s="15"/>
      <c r="AD81" s="15"/>
      <c r="AE81" s="15"/>
    </row>
    <row r="82" spans="1:31" x14ac:dyDescent="0.25">
      <c r="A82" s="15" t="s">
        <v>66</v>
      </c>
      <c r="B82" s="15"/>
      <c r="C82" s="297" t="e">
        <f>'База селлеров'!#REF!</f>
        <v>#REF!</v>
      </c>
      <c r="D82" s="297" t="e">
        <f t="shared" ref="D82:G82" si="45">C82</f>
        <v>#REF!</v>
      </c>
      <c r="E82" s="297" t="e">
        <f t="shared" si="45"/>
        <v>#REF!</v>
      </c>
      <c r="F82" s="297" t="e">
        <f t="shared" si="45"/>
        <v>#REF!</v>
      </c>
      <c r="G82" s="297" t="e">
        <f t="shared" si="45"/>
        <v>#REF!</v>
      </c>
      <c r="I82" s="296" t="e">
        <f t="shared" ref="I82:I84" si="46">C82</f>
        <v>#REF!</v>
      </c>
      <c r="J82" s="296" t="e">
        <f t="shared" ref="J82:L84" si="47">D82</f>
        <v>#REF!</v>
      </c>
      <c r="K82" s="296" t="e">
        <f t="shared" si="47"/>
        <v>#REF!</v>
      </c>
      <c r="L82" s="296" t="e">
        <f t="shared" si="47"/>
        <v>#REF!</v>
      </c>
      <c r="N82" s="18"/>
      <c r="O82" s="296" t="e">
        <f t="shared" ref="O82:O84" si="48">I82</f>
        <v>#REF!</v>
      </c>
      <c r="P82" s="296" t="e">
        <f t="shared" ref="P82:R84" si="49">J82</f>
        <v>#REF!</v>
      </c>
      <c r="Q82" s="296" t="e">
        <f t="shared" si="49"/>
        <v>#REF!</v>
      </c>
      <c r="R82" s="296" t="e">
        <f t="shared" si="49"/>
        <v>#REF!</v>
      </c>
      <c r="S82" s="74"/>
      <c r="T82" s="18"/>
      <c r="U82" s="18"/>
      <c r="V82" s="18"/>
      <c r="W82" s="18"/>
      <c r="X82" s="18"/>
      <c r="Y82" s="18"/>
      <c r="Z82" s="15"/>
      <c r="AA82" s="15"/>
      <c r="AB82" s="15"/>
      <c r="AC82" s="15"/>
      <c r="AD82" s="15"/>
      <c r="AE82" s="15"/>
    </row>
    <row r="83" spans="1:31" x14ac:dyDescent="0.25">
      <c r="A83" s="15" t="s">
        <v>67</v>
      </c>
      <c r="B83" s="15"/>
      <c r="C83" s="297" t="e">
        <f>'База селлеров'!#REF!</f>
        <v>#REF!</v>
      </c>
      <c r="D83" s="297" t="e">
        <f t="shared" ref="D83:G83" si="50">C83</f>
        <v>#REF!</v>
      </c>
      <c r="E83" s="297" t="e">
        <f t="shared" si="50"/>
        <v>#REF!</v>
      </c>
      <c r="F83" s="297" t="e">
        <f t="shared" si="50"/>
        <v>#REF!</v>
      </c>
      <c r="G83" s="297" t="e">
        <f t="shared" si="50"/>
        <v>#REF!</v>
      </c>
      <c r="I83" s="296" t="e">
        <f t="shared" si="46"/>
        <v>#REF!</v>
      </c>
      <c r="J83" s="296" t="e">
        <f t="shared" si="47"/>
        <v>#REF!</v>
      </c>
      <c r="K83" s="296" t="e">
        <f t="shared" si="47"/>
        <v>#REF!</v>
      </c>
      <c r="L83" s="296" t="e">
        <f t="shared" si="47"/>
        <v>#REF!</v>
      </c>
      <c r="N83" s="18"/>
      <c r="O83" s="296" t="e">
        <f t="shared" si="48"/>
        <v>#REF!</v>
      </c>
      <c r="P83" s="296" t="e">
        <f t="shared" si="49"/>
        <v>#REF!</v>
      </c>
      <c r="Q83" s="296" t="e">
        <f t="shared" si="49"/>
        <v>#REF!</v>
      </c>
      <c r="R83" s="296" t="e">
        <f t="shared" si="49"/>
        <v>#REF!</v>
      </c>
      <c r="S83" s="74"/>
      <c r="T83" s="18"/>
      <c r="U83" s="18"/>
      <c r="V83" s="18"/>
      <c r="W83" s="18"/>
      <c r="X83" s="18"/>
      <c r="Y83" s="18"/>
      <c r="Z83" s="15"/>
      <c r="AA83" s="15"/>
      <c r="AB83" s="15"/>
      <c r="AC83" s="15"/>
      <c r="AD83" s="15"/>
      <c r="AE83" s="15"/>
    </row>
    <row r="84" spans="1:31" x14ac:dyDescent="0.25">
      <c r="A84" s="15" t="s">
        <v>31</v>
      </c>
      <c r="B84" s="15"/>
      <c r="C84" s="297" t="e">
        <f>'База селлеров'!#REF!</f>
        <v>#REF!</v>
      </c>
      <c r="D84" s="297" t="e">
        <f t="shared" ref="D84:G85" si="51">C84</f>
        <v>#REF!</v>
      </c>
      <c r="E84" s="297" t="e">
        <f t="shared" si="51"/>
        <v>#REF!</v>
      </c>
      <c r="F84" s="297" t="e">
        <f t="shared" si="51"/>
        <v>#REF!</v>
      </c>
      <c r="G84" s="297" t="e">
        <f t="shared" si="51"/>
        <v>#REF!</v>
      </c>
      <c r="I84" s="296" t="e">
        <f t="shared" si="46"/>
        <v>#REF!</v>
      </c>
      <c r="J84" s="296" t="e">
        <f t="shared" si="47"/>
        <v>#REF!</v>
      </c>
      <c r="K84" s="296" t="e">
        <f t="shared" si="47"/>
        <v>#REF!</v>
      </c>
      <c r="L84" s="296" t="e">
        <f t="shared" si="47"/>
        <v>#REF!</v>
      </c>
      <c r="N84" s="18"/>
      <c r="O84" s="296" t="e">
        <f t="shared" si="48"/>
        <v>#REF!</v>
      </c>
      <c r="P84" s="296" t="e">
        <f t="shared" si="49"/>
        <v>#REF!</v>
      </c>
      <c r="Q84" s="296" t="e">
        <f t="shared" si="49"/>
        <v>#REF!</v>
      </c>
      <c r="R84" s="296" t="e">
        <f t="shared" si="49"/>
        <v>#REF!</v>
      </c>
      <c r="S84" s="74"/>
      <c r="T84" s="18"/>
      <c r="U84" s="18"/>
      <c r="V84" s="18"/>
      <c r="W84" s="18"/>
      <c r="X84" s="18"/>
      <c r="Y84" s="18"/>
      <c r="Z84" s="15"/>
      <c r="AA84" s="15"/>
      <c r="AB84" s="15"/>
      <c r="AC84" s="15"/>
      <c r="AD84" s="15"/>
      <c r="AE84" s="15"/>
    </row>
    <row r="85" spans="1:31" x14ac:dyDescent="0.25">
      <c r="B85" s="141"/>
      <c r="C85" s="21" t="e">
        <f>'База селлеров'!#REF!</f>
        <v>#REF!</v>
      </c>
      <c r="D85" s="297" t="e">
        <f t="shared" si="51"/>
        <v>#REF!</v>
      </c>
      <c r="E85" s="297" t="e">
        <f t="shared" ref="E85" si="52">D85</f>
        <v>#REF!</v>
      </c>
      <c r="F85" s="297" t="e">
        <f t="shared" ref="F85" si="53">E85</f>
        <v>#REF!</v>
      </c>
      <c r="G85" s="297" t="e">
        <f t="shared" ref="G85" si="54">F85</f>
        <v>#REF!</v>
      </c>
      <c r="O85" s="74"/>
      <c r="P85" s="74"/>
      <c r="Q85" s="74"/>
      <c r="R85" s="74"/>
      <c r="S85" s="74"/>
      <c r="T85" s="18"/>
      <c r="U85" s="18"/>
      <c r="V85" s="18"/>
      <c r="W85" s="18"/>
      <c r="X85" s="18"/>
      <c r="Y85" s="18"/>
      <c r="Z85" s="85"/>
      <c r="AA85" s="85"/>
      <c r="AB85" s="85"/>
      <c r="AC85" s="85"/>
      <c r="AD85" s="85"/>
      <c r="AE85" s="85"/>
    </row>
    <row r="86" spans="1:31" x14ac:dyDescent="0.25">
      <c r="C86" s="277" t="s">
        <v>279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28E28-DD6C-6F47-AE29-C9676FEF6CE3}">
  <dimension ref="A1:G56"/>
  <sheetViews>
    <sheetView topLeftCell="A25" workbookViewId="0">
      <selection activeCell="J26" sqref="J26"/>
    </sheetView>
  </sheetViews>
  <sheetFormatPr baseColWidth="10" defaultRowHeight="19" outlineLevelRow="1" x14ac:dyDescent="0.25"/>
  <cols>
    <col min="1" max="1" width="25.83203125" style="15" customWidth="1"/>
    <col min="2" max="2" width="24.6640625" style="15" customWidth="1"/>
    <col min="3" max="7" width="23.5" style="15" customWidth="1"/>
    <col min="8" max="8" width="10.83203125" style="15"/>
    <col min="9" max="9" width="12" style="15" customWidth="1"/>
    <col min="10" max="10" width="15" style="15" customWidth="1"/>
    <col min="11" max="11" width="21.6640625" style="15" customWidth="1"/>
    <col min="12" max="16384" width="10.83203125" style="15"/>
  </cols>
  <sheetData>
    <row r="1" spans="1:7" s="27" customFormat="1" x14ac:dyDescent="0.25">
      <c r="B1" s="26" t="s">
        <v>45</v>
      </c>
    </row>
    <row r="2" spans="1:7" hidden="1" outlineLevel="1" x14ac:dyDescent="0.25">
      <c r="B2" s="18" t="s">
        <v>2</v>
      </c>
    </row>
    <row r="3" spans="1:7" hidden="1" outlineLevel="1" x14ac:dyDescent="0.25">
      <c r="B3" s="15" t="s">
        <v>69</v>
      </c>
    </row>
    <row r="4" spans="1:7" ht="60" hidden="1" outlineLevel="1" x14ac:dyDescent="0.25">
      <c r="B4" s="3" t="s">
        <v>48</v>
      </c>
      <c r="C4" s="3" t="s">
        <v>49</v>
      </c>
      <c r="D4" s="3" t="s">
        <v>35</v>
      </c>
      <c r="E4" s="3" t="s">
        <v>36</v>
      </c>
      <c r="F4" s="3" t="s">
        <v>34</v>
      </c>
    </row>
    <row r="5" spans="1:7" hidden="1" outlineLevel="1" x14ac:dyDescent="0.25">
      <c r="B5" s="17">
        <v>79000</v>
      </c>
      <c r="C5" s="17">
        <v>33000</v>
      </c>
      <c r="D5" s="17">
        <v>13000</v>
      </c>
      <c r="E5" s="17">
        <v>247000</v>
      </c>
      <c r="F5" s="17">
        <f>SUM(B5:E5)</f>
        <v>372000</v>
      </c>
    </row>
    <row r="6" spans="1:7" hidden="1" outlineLevel="1" x14ac:dyDescent="0.25"/>
    <row r="7" spans="1:7" hidden="1" outlineLevel="1" x14ac:dyDescent="0.25">
      <c r="B7" s="632" t="s">
        <v>46</v>
      </c>
    </row>
    <row r="8" spans="1:7" ht="76" hidden="1" customHeight="1" outlineLevel="1" x14ac:dyDescent="0.25">
      <c r="B8" s="3" t="s">
        <v>48</v>
      </c>
      <c r="C8" s="3" t="s">
        <v>49</v>
      </c>
      <c r="D8" s="3" t="s">
        <v>35</v>
      </c>
      <c r="E8" s="3" t="s">
        <v>36</v>
      </c>
      <c r="F8" s="3" t="s">
        <v>34</v>
      </c>
    </row>
    <row r="9" spans="1:7" hidden="1" outlineLevel="1" x14ac:dyDescent="0.25">
      <c r="B9" s="20">
        <f>B5</f>
        <v>79000</v>
      </c>
      <c r="C9" s="20">
        <f t="shared" ref="C9:F9" si="0">C5</f>
        <v>33000</v>
      </c>
      <c r="D9" s="20">
        <f t="shared" si="0"/>
        <v>13000</v>
      </c>
      <c r="E9" s="20">
        <f t="shared" si="0"/>
        <v>247000</v>
      </c>
      <c r="F9" s="20">
        <f t="shared" si="0"/>
        <v>372000</v>
      </c>
      <c r="G9" s="659"/>
    </row>
    <row r="10" spans="1:7" hidden="1" outlineLevel="1" x14ac:dyDescent="0.25">
      <c r="D10" s="73"/>
      <c r="E10" s="73"/>
    </row>
    <row r="11" spans="1:7" hidden="1" outlineLevel="1" x14ac:dyDescent="0.25"/>
    <row r="12" spans="1:7" s="82" customFormat="1" hidden="1" outlineLevel="1" x14ac:dyDescent="0.25">
      <c r="B12" s="83" t="s">
        <v>133</v>
      </c>
      <c r="C12" s="84"/>
    </row>
    <row r="13" spans="1:7" hidden="1" outlineLevel="1" x14ac:dyDescent="0.25">
      <c r="B13" s="18" t="s">
        <v>2</v>
      </c>
      <c r="C13" s="18"/>
    </row>
    <row r="14" spans="1:7" hidden="1" outlineLevel="1" x14ac:dyDescent="0.25">
      <c r="B14" s="657" t="s">
        <v>435</v>
      </c>
      <c r="C14" s="18"/>
    </row>
    <row r="15" spans="1:7" ht="63" hidden="1" customHeight="1" outlineLevel="1" x14ac:dyDescent="0.25">
      <c r="A15" s="29" t="s">
        <v>65</v>
      </c>
      <c r="B15" s="3" t="s">
        <v>48</v>
      </c>
      <c r="C15" s="3" t="s">
        <v>49</v>
      </c>
      <c r="D15" s="3" t="s">
        <v>35</v>
      </c>
      <c r="E15" s="3" t="s">
        <v>36</v>
      </c>
      <c r="F15" s="3" t="s">
        <v>34</v>
      </c>
      <c r="G15" s="61" t="s">
        <v>127</v>
      </c>
    </row>
    <row r="16" spans="1:7" ht="63" hidden="1" customHeight="1" outlineLevel="1" x14ac:dyDescent="0.25">
      <c r="A16" s="29"/>
      <c r="B16" s="3"/>
      <c r="C16" s="3"/>
      <c r="D16" s="3"/>
      <c r="E16" s="3"/>
      <c r="F16" s="3"/>
      <c r="G16" s="61"/>
    </row>
    <row r="17" spans="1:7" ht="18" hidden="1" customHeight="1" outlineLevel="1" x14ac:dyDescent="0.25">
      <c r="A17" s="29" t="s">
        <v>330</v>
      </c>
      <c r="B17" s="3">
        <v>7</v>
      </c>
      <c r="C17" s="3">
        <v>88</v>
      </c>
      <c r="D17" s="3"/>
      <c r="E17" s="3"/>
      <c r="F17" s="3"/>
      <c r="G17" s="17">
        <f>B17+C17</f>
        <v>95</v>
      </c>
    </row>
    <row r="18" spans="1:7" hidden="1" outlineLevel="1" x14ac:dyDescent="0.25">
      <c r="A18" s="17" t="s">
        <v>434</v>
      </c>
      <c r="B18" s="3">
        <v>481</v>
      </c>
      <c r="C18" s="17">
        <v>1048</v>
      </c>
      <c r="D18" s="658" t="s">
        <v>31</v>
      </c>
      <c r="E18" s="658" t="s">
        <v>31</v>
      </c>
      <c r="F18" s="658" t="s">
        <v>31</v>
      </c>
      <c r="G18" s="17">
        <f>B18+C18</f>
        <v>1529</v>
      </c>
    </row>
    <row r="19" spans="1:7" hidden="1" outlineLevel="1" x14ac:dyDescent="0.25">
      <c r="A19" s="17" t="s">
        <v>66</v>
      </c>
      <c r="B19" s="3">
        <v>6753</v>
      </c>
      <c r="C19" s="17">
        <v>7764</v>
      </c>
      <c r="D19" s="658" t="s">
        <v>31</v>
      </c>
      <c r="E19" s="658" t="s">
        <v>31</v>
      </c>
      <c r="F19" s="658" t="s">
        <v>31</v>
      </c>
      <c r="G19" s="17">
        <f t="shared" ref="G19:G21" si="1">B19+C19</f>
        <v>14517</v>
      </c>
    </row>
    <row r="20" spans="1:7" hidden="1" outlineLevel="1" x14ac:dyDescent="0.25">
      <c r="A20" s="17" t="s">
        <v>67</v>
      </c>
      <c r="B20" s="3">
        <v>56883</v>
      </c>
      <c r="C20" s="17">
        <v>42172</v>
      </c>
      <c r="D20" s="658" t="s">
        <v>31</v>
      </c>
      <c r="E20" s="658" t="s">
        <v>31</v>
      </c>
      <c r="F20" s="658" t="s">
        <v>31</v>
      </c>
      <c r="G20" s="17">
        <f t="shared" si="1"/>
        <v>99055</v>
      </c>
    </row>
    <row r="21" spans="1:7" hidden="1" outlineLevel="1" x14ac:dyDescent="0.25">
      <c r="A21" s="17" t="s">
        <v>31</v>
      </c>
      <c r="B21" s="17"/>
      <c r="C21" s="17"/>
      <c r="D21" s="658" t="s">
        <v>31</v>
      </c>
      <c r="E21" s="658" t="s">
        <v>31</v>
      </c>
      <c r="F21" s="658" t="s">
        <v>31</v>
      </c>
      <c r="G21" s="17">
        <f t="shared" si="1"/>
        <v>0</v>
      </c>
    </row>
    <row r="22" spans="1:7" hidden="1" outlineLevel="1" x14ac:dyDescent="0.25">
      <c r="A22" s="15" t="s">
        <v>128</v>
      </c>
      <c r="B22" s="15">
        <f>SUM(B17:B20)</f>
        <v>64124</v>
      </c>
      <c r="C22" s="15">
        <f>SUM(C17:C20)</f>
        <v>51072</v>
      </c>
      <c r="G22" s="15">
        <f>SUM(G17:G20)</f>
        <v>115196</v>
      </c>
    </row>
    <row r="23" spans="1:7" hidden="1" outlineLevel="1" x14ac:dyDescent="0.25">
      <c r="B23" s="73"/>
    </row>
    <row r="24" spans="1:7" hidden="1" outlineLevel="1" x14ac:dyDescent="0.25">
      <c r="B24" s="18"/>
    </row>
    <row r="25" spans="1:7" collapsed="1" x14ac:dyDescent="0.25">
      <c r="B25" s="15" t="s">
        <v>69</v>
      </c>
    </row>
    <row r="26" spans="1:7" ht="60" x14ac:dyDescent="0.25">
      <c r="A26" s="29" t="s">
        <v>65</v>
      </c>
      <c r="B26" s="3" t="s">
        <v>48</v>
      </c>
      <c r="C26" s="3" t="s">
        <v>49</v>
      </c>
      <c r="D26" s="3" t="s">
        <v>35</v>
      </c>
      <c r="E26" s="3" t="s">
        <v>36</v>
      </c>
      <c r="F26" s="3" t="s">
        <v>34</v>
      </c>
      <c r="G26" s="61" t="s">
        <v>127</v>
      </c>
    </row>
    <row r="27" spans="1:7" ht="20" x14ac:dyDescent="0.25">
      <c r="A27" s="29" t="s">
        <v>330</v>
      </c>
      <c r="B27" s="666">
        <f>B17/$B$22</f>
        <v>1.0916349572702888E-4</v>
      </c>
      <c r="C27" s="666">
        <f>C17/$C$22</f>
        <v>1.7230576441102756E-3</v>
      </c>
      <c r="D27" s="667">
        <f>G27</f>
        <v>8.2468141254904686E-4</v>
      </c>
      <c r="E27" s="667">
        <f>G27</f>
        <v>8.2468141254904686E-4</v>
      </c>
      <c r="F27" s="667">
        <f>G27</f>
        <v>8.2468141254904686E-4</v>
      </c>
      <c r="G27" s="71">
        <f>G17/$G$22</f>
        <v>8.2468141254904686E-4</v>
      </c>
    </row>
    <row r="28" spans="1:7" x14ac:dyDescent="0.25">
      <c r="A28" s="17" t="s">
        <v>434</v>
      </c>
      <c r="B28" s="666">
        <f>B18/$B$22</f>
        <v>7.5010916349572705E-3</v>
      </c>
      <c r="C28" s="666">
        <f>C18/$C$22</f>
        <v>2.0520050125313282E-2</v>
      </c>
      <c r="D28" s="666">
        <f>G28</f>
        <v>1.3273030313552554E-2</v>
      </c>
      <c r="E28" s="666">
        <f>G28</f>
        <v>1.3273030313552554E-2</v>
      </c>
      <c r="F28" s="666">
        <f>G28</f>
        <v>1.3273030313552554E-2</v>
      </c>
      <c r="G28" s="71">
        <f>G18/$G$22</f>
        <v>1.3273030313552554E-2</v>
      </c>
    </row>
    <row r="29" spans="1:7" x14ac:dyDescent="0.25">
      <c r="A29" s="17" t="s">
        <v>66</v>
      </c>
      <c r="B29" s="666">
        <f>B19/$B$22</f>
        <v>0.10531158380637515</v>
      </c>
      <c r="C29" s="666">
        <f>C19/$C$22</f>
        <v>0.15202067669172933</v>
      </c>
      <c r="D29" s="666">
        <f t="shared" ref="D29:D30" si="2">G29</f>
        <v>0.12602000069446856</v>
      </c>
      <c r="E29" s="666">
        <f t="shared" ref="E29:E30" si="3">G29</f>
        <v>0.12602000069446856</v>
      </c>
      <c r="F29" s="666">
        <f t="shared" ref="F29:F30" si="4">G29</f>
        <v>0.12602000069446856</v>
      </c>
      <c r="G29" s="71">
        <f>G19/$G$22</f>
        <v>0.12602000069446856</v>
      </c>
    </row>
    <row r="30" spans="1:7" x14ac:dyDescent="0.25">
      <c r="A30" s="17" t="s">
        <v>67</v>
      </c>
      <c r="B30" s="666">
        <f>B20/$B$22</f>
        <v>0.88707816106294057</v>
      </c>
      <c r="C30" s="666">
        <f>C20/$C$22</f>
        <v>0.82573621553884713</v>
      </c>
      <c r="D30" s="666">
        <f t="shared" si="2"/>
        <v>0.85988228757942986</v>
      </c>
      <c r="E30" s="666">
        <f t="shared" si="3"/>
        <v>0.85988228757942986</v>
      </c>
      <c r="F30" s="666">
        <f t="shared" si="4"/>
        <v>0.85988228757942986</v>
      </c>
      <c r="G30" s="71">
        <f>G20/$G$22</f>
        <v>0.85988228757942986</v>
      </c>
    </row>
    <row r="31" spans="1:7" x14ac:dyDescent="0.25">
      <c r="A31" s="17" t="s">
        <v>31</v>
      </c>
      <c r="B31" s="71"/>
      <c r="C31" s="71"/>
      <c r="D31" s="71"/>
      <c r="E31" s="71"/>
      <c r="F31" s="71"/>
      <c r="G31" s="71">
        <f>G21/$G$22</f>
        <v>0</v>
      </c>
    </row>
    <row r="32" spans="1:7" ht="21" customHeight="1" x14ac:dyDescent="0.25">
      <c r="B32" s="123"/>
      <c r="C32" s="123"/>
      <c r="D32" s="123"/>
      <c r="E32" s="123"/>
      <c r="F32" s="123"/>
      <c r="G32" s="123"/>
    </row>
    <row r="33" spans="1:7" x14ac:dyDescent="0.25">
      <c r="B33" s="123"/>
      <c r="C33" s="123"/>
      <c r="D33" s="123"/>
      <c r="E33" s="123"/>
      <c r="F33" s="123"/>
      <c r="G33" s="123"/>
    </row>
    <row r="35" spans="1:7" s="633" customFormat="1" x14ac:dyDescent="0.25">
      <c r="A35" s="634" t="s">
        <v>421</v>
      </c>
    </row>
    <row r="36" spans="1:7" x14ac:dyDescent="0.25">
      <c r="B36" s="15" t="s">
        <v>69</v>
      </c>
      <c r="C36" s="18"/>
    </row>
    <row r="37" spans="1:7" ht="60" x14ac:dyDescent="0.25">
      <c r="A37" s="29" t="s">
        <v>65</v>
      </c>
      <c r="B37" s="3" t="s">
        <v>48</v>
      </c>
      <c r="C37" s="3" t="s">
        <v>49</v>
      </c>
      <c r="D37" s="3" t="s">
        <v>35</v>
      </c>
      <c r="E37" s="3" t="s">
        <v>36</v>
      </c>
      <c r="F37" s="3" t="s">
        <v>34</v>
      </c>
      <c r="G37" s="61" t="s">
        <v>127</v>
      </c>
    </row>
    <row r="38" spans="1:7" ht="20" x14ac:dyDescent="0.25">
      <c r="A38" s="29" t="s">
        <v>330</v>
      </c>
      <c r="B38" s="660">
        <f>B$9*B27</f>
        <v>8.6239161624352825</v>
      </c>
      <c r="C38" s="660">
        <f>C$9*C27</f>
        <v>56.860902255639097</v>
      </c>
      <c r="D38" s="660">
        <f>D$9*D27</f>
        <v>10.720858363137609</v>
      </c>
      <c r="E38" s="660">
        <f>E$9*E27</f>
        <v>203.69630889961456</v>
      </c>
      <c r="F38" s="3"/>
      <c r="G38" s="61"/>
    </row>
    <row r="39" spans="1:7" x14ac:dyDescent="0.25">
      <c r="A39" s="17" t="s">
        <v>434</v>
      </c>
      <c r="B39" s="660">
        <f t="shared" ref="B39:E41" si="5">B$9*B28</f>
        <v>592.58623916162435</v>
      </c>
      <c r="C39" s="660">
        <f t="shared" si="5"/>
        <v>677.16165413533827</v>
      </c>
      <c r="D39" s="660">
        <f t="shared" si="5"/>
        <v>172.54939407618321</v>
      </c>
      <c r="E39" s="660">
        <f t="shared" si="5"/>
        <v>3278.4384874474808</v>
      </c>
      <c r="F39" s="137">
        <f>SUM(B39:E39)</f>
        <v>4720.7357748206268</v>
      </c>
      <c r="G39" s="137">
        <f>B39+C39</f>
        <v>1269.7478932969625</v>
      </c>
    </row>
    <row r="40" spans="1:7" x14ac:dyDescent="0.25">
      <c r="A40" s="17" t="s">
        <v>66</v>
      </c>
      <c r="B40" s="660">
        <f t="shared" si="5"/>
        <v>8319.6151207036364</v>
      </c>
      <c r="C40" s="660">
        <f t="shared" si="5"/>
        <v>5016.6823308270677</v>
      </c>
      <c r="D40" s="660">
        <f t="shared" si="5"/>
        <v>1638.2600090280912</v>
      </c>
      <c r="E40" s="660">
        <f t="shared" si="5"/>
        <v>31126.940171533734</v>
      </c>
      <c r="F40" s="137">
        <f t="shared" ref="F40:F42" si="6">SUM(B40:E40)</f>
        <v>46101.497632092527</v>
      </c>
      <c r="G40" s="137">
        <f t="shared" ref="G40:G42" si="7">B40+C40</f>
        <v>13336.297451530703</v>
      </c>
    </row>
    <row r="41" spans="1:7" x14ac:dyDescent="0.25">
      <c r="A41" s="17" t="s">
        <v>67</v>
      </c>
      <c r="B41" s="660">
        <f t="shared" si="5"/>
        <v>70079.174723972304</v>
      </c>
      <c r="C41" s="660">
        <f t="shared" si="5"/>
        <v>27249.295112781954</v>
      </c>
      <c r="D41" s="660">
        <f t="shared" si="5"/>
        <v>11178.469738532589</v>
      </c>
      <c r="E41" s="660">
        <f t="shared" si="5"/>
        <v>212390.92503211918</v>
      </c>
      <c r="F41" s="137">
        <f t="shared" si="6"/>
        <v>320897.86460740602</v>
      </c>
      <c r="G41" s="137">
        <f t="shared" si="7"/>
        <v>97328.469836754259</v>
      </c>
    </row>
    <row r="42" spans="1:7" x14ac:dyDescent="0.25">
      <c r="A42" s="17" t="s">
        <v>31</v>
      </c>
      <c r="B42" s="17"/>
      <c r="C42" s="17"/>
      <c r="D42" s="660">
        <f t="shared" ref="D42:E42" si="8">D$9*D31</f>
        <v>0</v>
      </c>
      <c r="E42" s="660">
        <f t="shared" si="8"/>
        <v>0</v>
      </c>
      <c r="F42" s="137">
        <f t="shared" si="6"/>
        <v>0</v>
      </c>
      <c r="G42" s="137">
        <f t="shared" si="7"/>
        <v>0</v>
      </c>
    </row>
    <row r="43" spans="1:7" x14ac:dyDescent="0.25">
      <c r="A43" s="639" t="s">
        <v>145</v>
      </c>
      <c r="B43" s="662">
        <f>SUM(B38:B41)</f>
        <v>79000</v>
      </c>
      <c r="C43" s="662">
        <f t="shared" ref="C43:G43" si="9">SUM(C38:C41)</f>
        <v>33000</v>
      </c>
      <c r="D43" s="663">
        <f t="shared" si="9"/>
        <v>13000</v>
      </c>
      <c r="E43" s="663">
        <f t="shared" si="9"/>
        <v>247000</v>
      </c>
      <c r="F43" s="662">
        <f t="shared" si="9"/>
        <v>371720.0980143192</v>
      </c>
      <c r="G43" s="662">
        <f t="shared" si="9"/>
        <v>111934.51518158193</v>
      </c>
    </row>
    <row r="44" spans="1:7" s="2" customFormat="1" ht="120" x14ac:dyDescent="0.2">
      <c r="A44" s="635" t="s">
        <v>436</v>
      </c>
      <c r="B44" s="636" t="s">
        <v>1</v>
      </c>
      <c r="C44" s="636" t="s">
        <v>1</v>
      </c>
      <c r="D44" s="637">
        <v>0.14000000000000001</v>
      </c>
      <c r="E44" s="638">
        <v>1.4999999999999999E-2</v>
      </c>
    </row>
    <row r="45" spans="1:7" x14ac:dyDescent="0.25">
      <c r="B45" s="70"/>
      <c r="C45" s="70"/>
      <c r="D45" s="661">
        <f>D44*D43</f>
        <v>1820.0000000000002</v>
      </c>
      <c r="E45" s="661">
        <f>E44*E43</f>
        <v>3705</v>
      </c>
      <c r="G45" s="70"/>
    </row>
    <row r="46" spans="1:7" ht="60" x14ac:dyDescent="0.25">
      <c r="A46" s="680" t="s">
        <v>449</v>
      </c>
      <c r="D46" s="682">
        <v>7.0000000000000007E-2</v>
      </c>
      <c r="E46" s="682">
        <v>0.33</v>
      </c>
    </row>
    <row r="47" spans="1:7" x14ac:dyDescent="0.25">
      <c r="D47" s="681">
        <f>D46*D45</f>
        <v>127.40000000000003</v>
      </c>
      <c r="E47" s="681">
        <f>E46*E45</f>
        <v>1222.6500000000001</v>
      </c>
    </row>
    <row r="49" spans="1:4" x14ac:dyDescent="0.25">
      <c r="A49" s="18" t="s">
        <v>438</v>
      </c>
    </row>
    <row r="50" spans="1:4" x14ac:dyDescent="0.25">
      <c r="A50" s="17">
        <v>2026</v>
      </c>
      <c r="B50" s="17" t="s">
        <v>443</v>
      </c>
      <c r="C50" s="17" t="s">
        <v>444</v>
      </c>
      <c r="D50" s="17" t="s">
        <v>229</v>
      </c>
    </row>
    <row r="51" spans="1:4" x14ac:dyDescent="0.25">
      <c r="A51" s="17" t="s">
        <v>439</v>
      </c>
      <c r="B51" s="17">
        <v>1031</v>
      </c>
      <c r="C51" s="17">
        <v>36</v>
      </c>
      <c r="D51" s="669">
        <f>C51/B51</f>
        <v>3.4917555771096023E-2</v>
      </c>
    </row>
    <row r="52" spans="1:4" x14ac:dyDescent="0.25">
      <c r="A52" s="17" t="s">
        <v>440</v>
      </c>
      <c r="B52" s="17">
        <v>958</v>
      </c>
      <c r="C52" s="17">
        <v>31</v>
      </c>
      <c r="D52" s="669">
        <f>C52/B52</f>
        <v>3.2359081419624215E-2</v>
      </c>
    </row>
    <row r="53" spans="1:4" x14ac:dyDescent="0.25">
      <c r="A53" s="17" t="s">
        <v>441</v>
      </c>
      <c r="B53" s="17">
        <v>1023</v>
      </c>
      <c r="C53" s="17">
        <v>7</v>
      </c>
      <c r="D53" s="669">
        <f>C53/B53</f>
        <v>6.8426197458455523E-3</v>
      </c>
    </row>
    <row r="54" spans="1:4" x14ac:dyDescent="0.25">
      <c r="A54" s="17" t="s">
        <v>442</v>
      </c>
      <c r="B54" s="137">
        <f>AVERAGE(B51:B53)</f>
        <v>1004</v>
      </c>
      <c r="C54" s="137">
        <f>AVERAGE(C51:C53)</f>
        <v>24.666666666666668</v>
      </c>
      <c r="D54" s="669">
        <f>C54/B54</f>
        <v>2.4568393094289511E-2</v>
      </c>
    </row>
    <row r="56" spans="1:4" x14ac:dyDescent="0.25">
      <c r="D56" s="668" t="s">
        <v>445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23D9E-C43D-EF4B-8B64-4612BB09D338}">
  <dimension ref="A1:Z42"/>
  <sheetViews>
    <sheetView zoomScale="110" zoomScaleNormal="110" workbookViewId="0">
      <selection activeCell="B40" sqref="B40"/>
    </sheetView>
  </sheetViews>
  <sheetFormatPr baseColWidth="10" defaultRowHeight="16" x14ac:dyDescent="0.2"/>
  <cols>
    <col min="1" max="1" width="44.6640625" style="96" customWidth="1"/>
    <col min="2" max="2" width="60.5" style="94" customWidth="1"/>
    <col min="3" max="3" width="17" style="94" customWidth="1"/>
    <col min="4" max="4" width="13.83203125" style="96" customWidth="1"/>
    <col min="5" max="5" width="16" style="96" customWidth="1"/>
    <col min="6" max="16384" width="10.83203125" style="96"/>
  </cols>
  <sheetData>
    <row r="1" spans="1:26" s="95" customFormat="1" ht="17" x14ac:dyDescent="0.2">
      <c r="A1" s="95" t="s">
        <v>377</v>
      </c>
      <c r="B1" s="591" t="s">
        <v>378</v>
      </c>
      <c r="C1" s="591" t="s">
        <v>379</v>
      </c>
    </row>
    <row r="2" spans="1:26" s="595" customFormat="1" x14ac:dyDescent="0.2">
      <c r="A2" s="595" t="s">
        <v>136</v>
      </c>
      <c r="B2" s="594"/>
      <c r="C2" s="594"/>
    </row>
    <row r="3" spans="1:26" s="593" customFormat="1" ht="21" customHeight="1" x14ac:dyDescent="0.2">
      <c r="A3" s="602" t="s">
        <v>360</v>
      </c>
      <c r="B3" s="603" t="s">
        <v>391</v>
      </c>
      <c r="C3" s="94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</row>
    <row r="4" spans="1:26" ht="102" x14ac:dyDescent="0.2">
      <c r="A4" s="604" t="s">
        <v>326</v>
      </c>
      <c r="B4" s="672" t="s">
        <v>447</v>
      </c>
      <c r="C4" s="94" t="s">
        <v>380</v>
      </c>
    </row>
    <row r="5" spans="1:26" ht="17" x14ac:dyDescent="0.2">
      <c r="A5" s="605" t="s">
        <v>287</v>
      </c>
      <c r="B5" s="606"/>
    </row>
    <row r="6" spans="1:26" ht="17" x14ac:dyDescent="0.2">
      <c r="A6" s="605" t="s">
        <v>288</v>
      </c>
      <c r="B6" s="606"/>
    </row>
    <row r="7" spans="1:26" ht="17" x14ac:dyDescent="0.2">
      <c r="A7" s="605" t="s">
        <v>323</v>
      </c>
      <c r="B7" s="606"/>
    </row>
    <row r="8" spans="1:26" ht="17" x14ac:dyDescent="0.2">
      <c r="A8" s="643" t="s">
        <v>325</v>
      </c>
      <c r="B8" s="606"/>
    </row>
    <row r="9" spans="1:26" ht="17" x14ac:dyDescent="0.2">
      <c r="A9" s="607" t="s">
        <v>324</v>
      </c>
      <c r="B9" s="608"/>
    </row>
    <row r="10" spans="1:26" ht="34" x14ac:dyDescent="0.2">
      <c r="A10" s="601" t="s">
        <v>64</v>
      </c>
      <c r="B10" s="600" t="s">
        <v>382</v>
      </c>
    </row>
    <row r="11" spans="1:26" ht="17" x14ac:dyDescent="0.2">
      <c r="A11" s="601" t="s">
        <v>199</v>
      </c>
      <c r="B11" s="600" t="s">
        <v>381</v>
      </c>
    </row>
    <row r="12" spans="1:26" ht="68" x14ac:dyDescent="0.2">
      <c r="A12" s="595" t="s">
        <v>384</v>
      </c>
      <c r="B12" s="94" t="s">
        <v>457</v>
      </c>
      <c r="C12" s="94" t="s">
        <v>383</v>
      </c>
      <c r="D12" s="596"/>
    </row>
    <row r="13" spans="1:26" ht="102" x14ac:dyDescent="0.2">
      <c r="A13" s="594" t="s">
        <v>372</v>
      </c>
      <c r="B13" s="673" t="s">
        <v>448</v>
      </c>
    </row>
    <row r="14" spans="1:26" ht="17" x14ac:dyDescent="0.2">
      <c r="A14" s="594" t="s">
        <v>373</v>
      </c>
      <c r="B14" s="671" t="s">
        <v>446</v>
      </c>
    </row>
    <row r="18" spans="1:4" s="597" customFormat="1" x14ac:dyDescent="0.2">
      <c r="A18" s="597" t="s">
        <v>386</v>
      </c>
      <c r="B18" s="598"/>
      <c r="C18" s="598"/>
    </row>
    <row r="19" spans="1:4" ht="17" x14ac:dyDescent="0.2">
      <c r="A19" s="597" t="s">
        <v>433</v>
      </c>
      <c r="B19" s="94" t="s">
        <v>390</v>
      </c>
      <c r="C19" s="94" t="s">
        <v>138</v>
      </c>
    </row>
    <row r="20" spans="1:4" ht="17" x14ac:dyDescent="0.2">
      <c r="A20" s="597" t="s">
        <v>134</v>
      </c>
      <c r="B20" s="655" t="s">
        <v>423</v>
      </c>
      <c r="C20" s="655" t="s">
        <v>137</v>
      </c>
      <c r="D20" s="97" t="s">
        <v>135</v>
      </c>
    </row>
    <row r="21" spans="1:4" ht="34" x14ac:dyDescent="0.2">
      <c r="A21" s="597" t="s">
        <v>385</v>
      </c>
      <c r="B21" s="655" t="s">
        <v>437</v>
      </c>
      <c r="C21" s="655" t="s">
        <v>137</v>
      </c>
      <c r="D21" s="97" t="s">
        <v>135</v>
      </c>
    </row>
    <row r="22" spans="1:4" ht="34" x14ac:dyDescent="0.2">
      <c r="A22" s="597" t="s">
        <v>394</v>
      </c>
      <c r="B22" s="670" t="s">
        <v>427</v>
      </c>
      <c r="C22" s="655" t="s">
        <v>137</v>
      </c>
      <c r="D22" s="97" t="s">
        <v>135</v>
      </c>
    </row>
    <row r="23" spans="1:4" ht="34" x14ac:dyDescent="0.2">
      <c r="A23" s="597" t="s">
        <v>387</v>
      </c>
      <c r="B23" s="656" t="s">
        <v>428</v>
      </c>
      <c r="C23" s="656" t="s">
        <v>137</v>
      </c>
      <c r="D23" s="654" t="s">
        <v>429</v>
      </c>
    </row>
    <row r="24" spans="1:4" ht="34" x14ac:dyDescent="0.2">
      <c r="A24" s="597" t="s">
        <v>388</v>
      </c>
      <c r="B24" s="656" t="s">
        <v>389</v>
      </c>
      <c r="C24" s="656" t="s">
        <v>137</v>
      </c>
      <c r="D24" s="654" t="s">
        <v>429</v>
      </c>
    </row>
    <row r="25" spans="1:4" ht="51" x14ac:dyDescent="0.2">
      <c r="A25" s="597" t="s">
        <v>392</v>
      </c>
      <c r="B25" s="94" t="s">
        <v>430</v>
      </c>
      <c r="C25" s="94" t="s">
        <v>137</v>
      </c>
    </row>
    <row r="26" spans="1:4" ht="42" customHeight="1" x14ac:dyDescent="0.2">
      <c r="A26" s="597" t="s">
        <v>431</v>
      </c>
      <c r="B26" s="94" t="s">
        <v>432</v>
      </c>
      <c r="C26" s="94" t="s">
        <v>393</v>
      </c>
    </row>
    <row r="28" spans="1:4" ht="68" x14ac:dyDescent="0.2">
      <c r="A28" s="599" t="s">
        <v>140</v>
      </c>
      <c r="B28" s="600" t="s">
        <v>200</v>
      </c>
      <c r="C28" s="600" t="s">
        <v>139</v>
      </c>
    </row>
    <row r="30" spans="1:4" x14ac:dyDescent="0.2">
      <c r="B30" s="96"/>
    </row>
    <row r="31" spans="1:4" x14ac:dyDescent="0.2">
      <c r="B31" s="96"/>
      <c r="D31" s="592"/>
    </row>
    <row r="32" spans="1:4" x14ac:dyDescent="0.2">
      <c r="B32" s="96"/>
    </row>
    <row r="33" spans="2:2" x14ac:dyDescent="0.2">
      <c r="B33" s="96"/>
    </row>
    <row r="34" spans="2:2" x14ac:dyDescent="0.2">
      <c r="B34" s="96"/>
    </row>
    <row r="35" spans="2:2" x14ac:dyDescent="0.2">
      <c r="B35" s="96"/>
    </row>
    <row r="36" spans="2:2" x14ac:dyDescent="0.2">
      <c r="B36" s="96"/>
    </row>
    <row r="37" spans="2:2" x14ac:dyDescent="0.2">
      <c r="B37" s="96"/>
    </row>
    <row r="38" spans="2:2" x14ac:dyDescent="0.2">
      <c r="B38" s="96"/>
    </row>
    <row r="39" spans="2:2" x14ac:dyDescent="0.2">
      <c r="B39" s="96"/>
    </row>
    <row r="40" spans="2:2" x14ac:dyDescent="0.2">
      <c r="B40" s="96"/>
    </row>
    <row r="41" spans="2:2" x14ac:dyDescent="0.2">
      <c r="B41" s="96"/>
    </row>
    <row r="42" spans="2:2" x14ac:dyDescent="0.2">
      <c r="B42" s="96"/>
    </row>
  </sheetData>
  <hyperlinks>
    <hyperlink ref="D20" r:id="rId1" xr:uid="{6E837917-C714-CD49-ADF6-803F3EA08613}"/>
    <hyperlink ref="D21" r:id="rId2" xr:uid="{B6056A99-5171-EE4B-A997-F6840DEFEEBD}"/>
    <hyperlink ref="D22" r:id="rId3" xr:uid="{BF29B17C-CBCD-004C-B9E4-695502BD2E5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59CFF-7D53-7347-9E36-1394251406F2}">
  <dimension ref="A1:H74"/>
  <sheetViews>
    <sheetView zoomScale="110" zoomScaleNormal="110" workbookViewId="0">
      <selection activeCell="G69" sqref="G69"/>
    </sheetView>
  </sheetViews>
  <sheetFormatPr baseColWidth="10" defaultRowHeight="16" x14ac:dyDescent="0.2"/>
  <cols>
    <col min="1" max="1" width="49.6640625" customWidth="1"/>
    <col min="2" max="2" width="13.5" customWidth="1"/>
    <col min="3" max="5" width="16.1640625" customWidth="1"/>
    <col min="7" max="7" width="12" customWidth="1"/>
  </cols>
  <sheetData>
    <row r="1" spans="1:1" x14ac:dyDescent="0.2">
      <c r="A1" t="s">
        <v>218</v>
      </c>
    </row>
    <row r="20" spans="1:8" x14ac:dyDescent="0.2">
      <c r="A20" s="174"/>
      <c r="B20" s="174"/>
      <c r="C20" s="174"/>
      <c r="D20" s="174"/>
      <c r="E20" s="174"/>
      <c r="F20" s="174"/>
    </row>
    <row r="21" spans="1:8" x14ac:dyDescent="0.2">
      <c r="A21" s="174"/>
      <c r="B21" s="174"/>
      <c r="C21" s="174"/>
      <c r="D21" s="174"/>
      <c r="E21" s="174"/>
      <c r="F21" s="174" t="s">
        <v>219</v>
      </c>
    </row>
    <row r="22" spans="1:8" x14ac:dyDescent="0.2">
      <c r="A22" s="175" t="s">
        <v>220</v>
      </c>
      <c r="B22" s="176">
        <v>36900000</v>
      </c>
      <c r="C22" s="176"/>
      <c r="D22" s="176"/>
      <c r="E22" s="176"/>
      <c r="F22" s="177"/>
    </row>
    <row r="23" spans="1:8" x14ac:dyDescent="0.2">
      <c r="A23" s="178" t="s">
        <v>221</v>
      </c>
      <c r="B23" s="174"/>
      <c r="C23" s="174"/>
      <c r="D23" s="174"/>
      <c r="E23" s="174"/>
      <c r="F23" s="179"/>
    </row>
    <row r="24" spans="1:8" x14ac:dyDescent="0.2">
      <c r="A24" s="178"/>
      <c r="B24" s="174"/>
      <c r="C24" s="174"/>
      <c r="D24" s="174"/>
      <c r="E24" s="174"/>
      <c r="F24" s="179"/>
    </row>
    <row r="25" spans="1:8" x14ac:dyDescent="0.2">
      <c r="A25" s="178" t="s">
        <v>222</v>
      </c>
      <c r="B25" s="174">
        <v>754</v>
      </c>
      <c r="C25" s="174"/>
      <c r="D25" s="174"/>
      <c r="E25" s="174"/>
      <c r="F25" s="179"/>
    </row>
    <row r="26" spans="1:8" x14ac:dyDescent="0.2">
      <c r="A26" s="178" t="s">
        <v>223</v>
      </c>
      <c r="B26" s="174">
        <v>10974</v>
      </c>
      <c r="C26" s="174"/>
      <c r="D26" s="174"/>
      <c r="E26" s="174"/>
      <c r="F26" s="179"/>
    </row>
    <row r="27" spans="1:8" x14ac:dyDescent="0.2">
      <c r="A27" s="178"/>
      <c r="B27" s="174"/>
      <c r="C27" s="174"/>
      <c r="D27" s="174"/>
      <c r="E27" s="174"/>
      <c r="F27" s="179"/>
    </row>
    <row r="28" spans="1:8" x14ac:dyDescent="0.2">
      <c r="A28" s="180" t="s">
        <v>224</v>
      </c>
      <c r="B28" s="174">
        <v>24100</v>
      </c>
      <c r="C28" s="174">
        <v>27800</v>
      </c>
      <c r="D28" s="174">
        <v>35000</v>
      </c>
      <c r="E28" s="174">
        <v>25700</v>
      </c>
      <c r="F28" s="181">
        <f>AVERAGE(B28:E28)</f>
        <v>28150</v>
      </c>
      <c r="G28" s="622" t="s">
        <v>413</v>
      </c>
      <c r="H28" s="182" t="s">
        <v>412</v>
      </c>
    </row>
    <row r="29" spans="1:8" x14ac:dyDescent="0.2">
      <c r="A29" s="183" t="s">
        <v>225</v>
      </c>
      <c r="B29" s="184">
        <v>1600</v>
      </c>
      <c r="C29" s="184">
        <v>1500</v>
      </c>
      <c r="D29" s="184">
        <v>1700</v>
      </c>
      <c r="E29" s="184">
        <v>1500</v>
      </c>
      <c r="F29" s="185">
        <f>AVERAGE(B29:E29)</f>
        <v>1575</v>
      </c>
    </row>
    <row r="30" spans="1:8" x14ac:dyDescent="0.2">
      <c r="A30" s="174"/>
      <c r="B30" s="174"/>
      <c r="C30" s="174"/>
      <c r="D30" s="174"/>
      <c r="E30" s="174"/>
      <c r="F30" s="174"/>
    </row>
    <row r="31" spans="1:8" x14ac:dyDescent="0.2">
      <c r="A31" s="174"/>
      <c r="B31" s="186"/>
      <c r="C31" s="174"/>
      <c r="D31" s="174"/>
      <c r="E31" s="174"/>
      <c r="F31" s="174"/>
    </row>
    <row r="32" spans="1:8" x14ac:dyDescent="0.2">
      <c r="A32" s="174"/>
      <c r="B32" s="187"/>
      <c r="C32" s="174"/>
      <c r="D32" s="174"/>
      <c r="E32" s="174"/>
      <c r="F32" s="174"/>
    </row>
    <row r="33" spans="1:6" x14ac:dyDescent="0.2">
      <c r="A33" s="7" t="s">
        <v>414</v>
      </c>
      <c r="B33" s="174"/>
      <c r="C33" s="174"/>
      <c r="D33" s="174"/>
      <c r="E33" s="174"/>
      <c r="F33" s="174"/>
    </row>
    <row r="34" spans="1:6" x14ac:dyDescent="0.2">
      <c r="A34" s="188" t="s">
        <v>65</v>
      </c>
      <c r="B34" s="188" t="s">
        <v>64</v>
      </c>
      <c r="C34" s="189" t="s">
        <v>199</v>
      </c>
      <c r="D34" s="174"/>
      <c r="E34" s="174"/>
      <c r="F34" s="174"/>
    </row>
    <row r="35" spans="1:6" x14ac:dyDescent="0.2">
      <c r="A35" s="178" t="s">
        <v>63</v>
      </c>
      <c r="B35" s="190">
        <v>58146</v>
      </c>
      <c r="C35" s="179" t="s">
        <v>148</v>
      </c>
      <c r="D35" s="174"/>
      <c r="E35" s="174"/>
      <c r="F35" s="174"/>
    </row>
    <row r="36" spans="1:6" x14ac:dyDescent="0.2">
      <c r="A36" s="178" t="s">
        <v>66</v>
      </c>
      <c r="B36" s="190">
        <v>35293.5</v>
      </c>
      <c r="C36" s="179" t="s">
        <v>148</v>
      </c>
      <c r="D36" s="174"/>
      <c r="E36" s="174"/>
      <c r="F36" s="174"/>
    </row>
    <row r="37" spans="1:6" x14ac:dyDescent="0.2">
      <c r="A37" s="178" t="s">
        <v>67</v>
      </c>
      <c r="B37" s="190">
        <v>22557</v>
      </c>
      <c r="C37" s="179" t="s">
        <v>148</v>
      </c>
      <c r="D37" s="174"/>
      <c r="E37" s="174"/>
      <c r="F37" s="174"/>
    </row>
    <row r="38" spans="1:6" x14ac:dyDescent="0.2">
      <c r="A38" s="191" t="s">
        <v>31</v>
      </c>
      <c r="B38" s="192">
        <v>14103</v>
      </c>
      <c r="C38" s="193" t="s">
        <v>148</v>
      </c>
      <c r="D38" s="174"/>
      <c r="E38" s="174"/>
      <c r="F38" s="174"/>
    </row>
    <row r="39" spans="1:6" x14ac:dyDescent="0.2">
      <c r="A39" s="174"/>
      <c r="B39" s="174"/>
      <c r="C39" s="174"/>
      <c r="D39" s="174"/>
      <c r="E39" s="174"/>
      <c r="F39" s="174"/>
    </row>
    <row r="41" spans="1:6" x14ac:dyDescent="0.2">
      <c r="A41" s="7" t="s">
        <v>329</v>
      </c>
    </row>
    <row r="53" spans="1:5" x14ac:dyDescent="0.2">
      <c r="A53" s="188" t="s">
        <v>65</v>
      </c>
      <c r="B53" s="371" t="s">
        <v>333</v>
      </c>
      <c r="C53" s="371" t="s">
        <v>64</v>
      </c>
      <c r="D53" s="189" t="s">
        <v>199</v>
      </c>
      <c r="E53" s="380" t="s">
        <v>334</v>
      </c>
    </row>
    <row r="54" spans="1:5" x14ac:dyDescent="0.2">
      <c r="A54" s="197" t="s">
        <v>330</v>
      </c>
      <c r="B54">
        <v>2751</v>
      </c>
      <c r="C54" s="190">
        <v>110725</v>
      </c>
      <c r="D54" s="179">
        <v>305</v>
      </c>
      <c r="E54" s="381">
        <f>D54/30</f>
        <v>10.166666666666666</v>
      </c>
    </row>
    <row r="55" spans="1:5" x14ac:dyDescent="0.2">
      <c r="A55" s="178" t="s">
        <v>63</v>
      </c>
      <c r="B55">
        <v>4113</v>
      </c>
      <c r="C55" s="190">
        <v>70053</v>
      </c>
      <c r="D55" s="179">
        <v>233</v>
      </c>
      <c r="E55" s="381">
        <f t="shared" ref="E55:E59" si="0">D55/30</f>
        <v>7.7666666666666666</v>
      </c>
    </row>
    <row r="56" spans="1:5" x14ac:dyDescent="0.2">
      <c r="A56" s="178" t="s">
        <v>66</v>
      </c>
      <c r="B56">
        <v>2344</v>
      </c>
      <c r="C56" s="190">
        <v>47443</v>
      </c>
      <c r="D56" s="179">
        <v>173</v>
      </c>
      <c r="E56" s="381">
        <f t="shared" si="0"/>
        <v>5.7666666666666666</v>
      </c>
    </row>
    <row r="57" spans="1:5" x14ac:dyDescent="0.2">
      <c r="A57" s="178" t="s">
        <v>67</v>
      </c>
      <c r="B57">
        <v>1058</v>
      </c>
      <c r="C57" s="190">
        <v>40951</v>
      </c>
      <c r="D57" s="179">
        <v>149</v>
      </c>
      <c r="E57" s="381">
        <f t="shared" si="0"/>
        <v>4.9666666666666668</v>
      </c>
    </row>
    <row r="58" spans="1:5" x14ac:dyDescent="0.2">
      <c r="A58" s="178" t="s">
        <v>331</v>
      </c>
      <c r="B58">
        <v>722</v>
      </c>
      <c r="C58" s="190">
        <v>33828</v>
      </c>
      <c r="D58" s="179">
        <v>129</v>
      </c>
      <c r="E58" s="381">
        <f t="shared" si="0"/>
        <v>4.3</v>
      </c>
    </row>
    <row r="59" spans="1:5" x14ac:dyDescent="0.2">
      <c r="A59" s="191" t="s">
        <v>332</v>
      </c>
      <c r="B59" s="205">
        <v>5362</v>
      </c>
      <c r="C59" s="192">
        <v>21581</v>
      </c>
      <c r="D59" s="193">
        <v>97</v>
      </c>
      <c r="E59" s="382">
        <f t="shared" si="0"/>
        <v>3.2333333333333334</v>
      </c>
    </row>
    <row r="62" spans="1:5" x14ac:dyDescent="0.2">
      <c r="C62" s="6" t="s">
        <v>425</v>
      </c>
    </row>
    <row r="63" spans="1:5" x14ac:dyDescent="0.2">
      <c r="A63" s="380" t="s">
        <v>401</v>
      </c>
      <c r="B63" s="611" t="s">
        <v>400</v>
      </c>
      <c r="C63" s="616" t="s">
        <v>419</v>
      </c>
      <c r="D63" s="623"/>
      <c r="E63" s="624"/>
    </row>
    <row r="64" spans="1:5" x14ac:dyDescent="0.2">
      <c r="A64" s="614"/>
      <c r="B64" s="198" t="s">
        <v>399</v>
      </c>
      <c r="C64" s="197" t="s">
        <v>399</v>
      </c>
      <c r="E64" s="198"/>
    </row>
    <row r="65" spans="1:5" x14ac:dyDescent="0.2">
      <c r="A65" s="614" t="s">
        <v>396</v>
      </c>
      <c r="B65" s="612">
        <v>8000</v>
      </c>
      <c r="C65" s="197"/>
      <c r="E65" s="198"/>
    </row>
    <row r="66" spans="1:5" x14ac:dyDescent="0.2">
      <c r="A66" s="614" t="s">
        <v>395</v>
      </c>
      <c r="B66" s="612">
        <v>15000</v>
      </c>
      <c r="C66" s="197"/>
      <c r="E66" s="198"/>
    </row>
    <row r="67" spans="1:5" x14ac:dyDescent="0.2">
      <c r="A67" s="620" t="s">
        <v>397</v>
      </c>
      <c r="B67" s="612">
        <v>20000</v>
      </c>
      <c r="C67" s="617">
        <v>13000</v>
      </c>
      <c r="D67" s="168">
        <v>30000</v>
      </c>
      <c r="E67" s="618">
        <v>70000</v>
      </c>
    </row>
    <row r="68" spans="1:5" x14ac:dyDescent="0.2">
      <c r="A68" s="614"/>
      <c r="B68" s="198"/>
      <c r="C68" s="197" t="s">
        <v>403</v>
      </c>
      <c r="D68" t="s">
        <v>404</v>
      </c>
      <c r="E68" s="198" t="s">
        <v>47</v>
      </c>
    </row>
    <row r="69" spans="1:5" x14ac:dyDescent="0.2">
      <c r="A69" s="615" t="s">
        <v>398</v>
      </c>
      <c r="B69" s="613">
        <v>3000</v>
      </c>
      <c r="C69" s="202"/>
      <c r="D69" s="205"/>
      <c r="E69" s="619"/>
    </row>
    <row r="71" spans="1:5" x14ac:dyDescent="0.2">
      <c r="A71" s="630" t="s">
        <v>420</v>
      </c>
      <c r="B71" s="9"/>
      <c r="C71" s="631">
        <f>C67/2</f>
        <v>6500</v>
      </c>
      <c r="D71" s="631">
        <f>D67/2</f>
        <v>15000</v>
      </c>
      <c r="E71" s="631">
        <f>E67/2</f>
        <v>35000</v>
      </c>
    </row>
    <row r="73" spans="1:5" x14ac:dyDescent="0.2">
      <c r="A73" s="7" t="s">
        <v>402</v>
      </c>
      <c r="B73" s="610">
        <v>30000</v>
      </c>
      <c r="C73" s="142" t="s">
        <v>415</v>
      </c>
      <c r="D73" s="142"/>
      <c r="E73" s="142"/>
    </row>
    <row r="74" spans="1:5" x14ac:dyDescent="0.2">
      <c r="B74" t="s">
        <v>416</v>
      </c>
    </row>
  </sheetData>
  <hyperlinks>
    <hyperlink ref="C62" r:id="rId1" xr:uid="{1271F866-5557-A14A-880F-7E1BBFCAB950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BDC60-0D8E-DD4A-ACA0-3B5B341E859E}">
  <dimension ref="A1:O18"/>
  <sheetViews>
    <sheetView zoomScale="90" zoomScaleNormal="90" workbookViewId="0">
      <pane xSplit="2" ySplit="2" topLeftCell="C3" activePane="bottomRight" state="frozen"/>
      <selection pane="topRight" activeCell="B1" sqref="B1"/>
      <selection pane="bottomLeft" activeCell="A4" sqref="A4"/>
      <selection pane="bottomRight" activeCell="C12" sqref="C12"/>
    </sheetView>
  </sheetViews>
  <sheetFormatPr baseColWidth="10" defaultRowHeight="19" x14ac:dyDescent="0.2"/>
  <cols>
    <col min="1" max="1" width="23.5" style="2" customWidth="1"/>
    <col min="2" max="2" width="45.33203125" style="1" customWidth="1"/>
    <col min="3" max="3" width="47" style="1" customWidth="1"/>
    <col min="4" max="4" width="13.83203125" style="30" customWidth="1"/>
    <col min="5" max="8" width="13.83203125" style="1" customWidth="1"/>
    <col min="9" max="9" width="13.83203125" style="36" customWidth="1"/>
    <col min="10" max="10" width="13.83203125" style="111" customWidth="1"/>
    <col min="11" max="14" width="13.83203125" style="1" customWidth="1"/>
    <col min="15" max="15" width="13.83203125" style="36" customWidth="1"/>
    <col min="16" max="16384" width="10.83203125" style="2"/>
  </cols>
  <sheetData>
    <row r="1" spans="1:15" x14ac:dyDescent="0.25">
      <c r="D1" s="730" t="s">
        <v>141</v>
      </c>
      <c r="E1" s="731"/>
      <c r="F1" s="731"/>
      <c r="G1" s="731"/>
      <c r="H1" s="731"/>
      <c r="I1" s="732"/>
      <c r="J1" s="730" t="s">
        <v>174</v>
      </c>
      <c r="K1" s="731"/>
      <c r="L1" s="731"/>
      <c r="M1" s="731"/>
      <c r="N1" s="731"/>
      <c r="O1" s="732"/>
    </row>
    <row r="2" spans="1:15" s="22" customFormat="1" ht="120" x14ac:dyDescent="0.2">
      <c r="A2" s="16"/>
      <c r="B2" s="19" t="s">
        <v>39</v>
      </c>
      <c r="C2" s="19" t="s">
        <v>58</v>
      </c>
      <c r="D2" s="98" t="s">
        <v>72</v>
      </c>
      <c r="E2" s="104" t="s">
        <v>73</v>
      </c>
      <c r="F2" s="105" t="s">
        <v>74</v>
      </c>
      <c r="G2" s="105" t="s">
        <v>59</v>
      </c>
      <c r="H2" s="105" t="s">
        <v>60</v>
      </c>
      <c r="I2" s="99" t="s">
        <v>81</v>
      </c>
      <c r="J2" s="117" t="s">
        <v>72</v>
      </c>
      <c r="K2" s="104" t="s">
        <v>73</v>
      </c>
      <c r="L2" s="105" t="s">
        <v>74</v>
      </c>
      <c r="M2" s="105" t="s">
        <v>59</v>
      </c>
      <c r="N2" s="105" t="s">
        <v>60</v>
      </c>
      <c r="O2" s="99" t="s">
        <v>81</v>
      </c>
    </row>
    <row r="3" spans="1:15" ht="40" x14ac:dyDescent="0.2">
      <c r="A3" s="38" t="s">
        <v>83</v>
      </c>
      <c r="B3" s="23" t="s">
        <v>55</v>
      </c>
      <c r="D3" s="113">
        <v>1</v>
      </c>
      <c r="E3" s="120">
        <v>1</v>
      </c>
      <c r="F3" s="120">
        <v>1</v>
      </c>
      <c r="G3" s="107" t="s">
        <v>1</v>
      </c>
      <c r="H3" s="107" t="s">
        <v>1</v>
      </c>
      <c r="I3" s="35" t="s">
        <v>31</v>
      </c>
      <c r="J3" s="106">
        <v>1</v>
      </c>
      <c r="K3" s="106">
        <v>1</v>
      </c>
      <c r="L3" s="106">
        <v>1</v>
      </c>
      <c r="M3" s="107" t="s">
        <v>1</v>
      </c>
      <c r="N3" s="107" t="s">
        <v>1</v>
      </c>
      <c r="O3" s="35" t="s">
        <v>31</v>
      </c>
    </row>
    <row r="4" spans="1:15" ht="20" x14ac:dyDescent="0.2">
      <c r="A4" s="42" t="s">
        <v>85</v>
      </c>
      <c r="B4" s="43" t="s">
        <v>56</v>
      </c>
      <c r="C4" s="2"/>
      <c r="D4" s="60">
        <v>1</v>
      </c>
      <c r="E4" s="106">
        <v>1</v>
      </c>
      <c r="F4" s="106">
        <v>1</v>
      </c>
      <c r="G4" s="107" t="s">
        <v>1</v>
      </c>
      <c r="H4" s="107" t="s">
        <v>1</v>
      </c>
      <c r="I4" s="35" t="s">
        <v>31</v>
      </c>
      <c r="J4" s="106">
        <v>1</v>
      </c>
      <c r="K4" s="106">
        <v>1</v>
      </c>
      <c r="L4" s="106">
        <v>1</v>
      </c>
      <c r="M4" s="107" t="s">
        <v>1</v>
      </c>
      <c r="N4" s="107" t="s">
        <v>1</v>
      </c>
      <c r="O4" s="35" t="s">
        <v>31</v>
      </c>
    </row>
    <row r="5" spans="1:15" ht="41" customHeight="1" x14ac:dyDescent="0.2">
      <c r="A5" s="42"/>
      <c r="B5" s="43" t="s">
        <v>54</v>
      </c>
      <c r="C5" s="1" t="s">
        <v>75</v>
      </c>
      <c r="D5" s="60">
        <v>1</v>
      </c>
      <c r="E5" s="106">
        <v>1</v>
      </c>
      <c r="F5" s="106">
        <v>1</v>
      </c>
      <c r="G5" s="107" t="s">
        <v>1</v>
      </c>
      <c r="H5" s="107" t="s">
        <v>1</v>
      </c>
      <c r="I5" s="35" t="s">
        <v>31</v>
      </c>
      <c r="J5" s="106">
        <v>1</v>
      </c>
      <c r="K5" s="106">
        <v>1</v>
      </c>
      <c r="L5" s="106">
        <v>1</v>
      </c>
      <c r="M5" s="107" t="s">
        <v>1</v>
      </c>
      <c r="N5" s="107" t="s">
        <v>1</v>
      </c>
      <c r="O5" s="35" t="s">
        <v>31</v>
      </c>
    </row>
    <row r="6" spans="1:15" ht="20" x14ac:dyDescent="0.2">
      <c r="A6" s="42"/>
      <c r="B6" s="43" t="s">
        <v>38</v>
      </c>
      <c r="D6" s="33" t="s">
        <v>31</v>
      </c>
      <c r="E6" s="108" t="s">
        <v>31</v>
      </c>
      <c r="F6" s="108" t="s">
        <v>31</v>
      </c>
      <c r="G6" s="107" t="s">
        <v>1</v>
      </c>
      <c r="H6" s="107" t="s">
        <v>1</v>
      </c>
      <c r="I6" s="35" t="s">
        <v>31</v>
      </c>
      <c r="J6" s="108" t="s">
        <v>31</v>
      </c>
      <c r="K6" s="108" t="s">
        <v>31</v>
      </c>
      <c r="L6" s="108" t="s">
        <v>31</v>
      </c>
      <c r="M6" s="107" t="s">
        <v>1</v>
      </c>
      <c r="N6" s="107" t="s">
        <v>1</v>
      </c>
      <c r="O6" s="35" t="s">
        <v>31</v>
      </c>
    </row>
    <row r="7" spans="1:15" ht="20" x14ac:dyDescent="0.2">
      <c r="A7" s="42"/>
      <c r="B7" s="43" t="s">
        <v>0</v>
      </c>
      <c r="D7" s="33" t="s">
        <v>31</v>
      </c>
      <c r="E7" s="108" t="s">
        <v>31</v>
      </c>
      <c r="F7" s="108" t="s">
        <v>31</v>
      </c>
      <c r="G7" s="107" t="s">
        <v>1</v>
      </c>
      <c r="H7" s="107" t="s">
        <v>1</v>
      </c>
      <c r="I7" s="35" t="s">
        <v>31</v>
      </c>
      <c r="J7" s="108" t="s">
        <v>31</v>
      </c>
      <c r="K7" s="108" t="s">
        <v>31</v>
      </c>
      <c r="L7" s="108" t="s">
        <v>31</v>
      </c>
      <c r="M7" s="107" t="s">
        <v>1</v>
      </c>
      <c r="N7" s="107" t="s">
        <v>1</v>
      </c>
      <c r="O7" s="35" t="s">
        <v>31</v>
      </c>
    </row>
    <row r="8" spans="1:15" ht="38" customHeight="1" x14ac:dyDescent="0.2">
      <c r="A8" s="38" t="s">
        <v>83</v>
      </c>
      <c r="B8" s="23" t="s">
        <v>71</v>
      </c>
      <c r="C8" s="1" t="s">
        <v>53</v>
      </c>
      <c r="D8" s="100">
        <v>0.13</v>
      </c>
      <c r="E8" s="109">
        <f>D10</f>
        <v>5.2000000000000005E-2</v>
      </c>
      <c r="F8" s="34">
        <f>D8-D10</f>
        <v>7.8E-2</v>
      </c>
      <c r="G8" s="107" t="s">
        <v>1</v>
      </c>
      <c r="H8" s="107" t="s">
        <v>1</v>
      </c>
      <c r="I8" s="35" t="s">
        <v>1</v>
      </c>
      <c r="J8" s="118">
        <v>0.13</v>
      </c>
      <c r="K8" s="114">
        <f>E8</f>
        <v>5.2000000000000005E-2</v>
      </c>
      <c r="L8" s="115">
        <f>F8</f>
        <v>7.8E-2</v>
      </c>
      <c r="M8" s="107" t="s">
        <v>1</v>
      </c>
      <c r="N8" s="107" t="s">
        <v>1</v>
      </c>
      <c r="O8" s="35" t="s">
        <v>1</v>
      </c>
    </row>
    <row r="9" spans="1:15" ht="20" x14ac:dyDescent="0.2">
      <c r="A9" s="38"/>
      <c r="B9" s="23" t="s">
        <v>50</v>
      </c>
      <c r="D9" s="100">
        <f>D8</f>
        <v>0.13</v>
      </c>
      <c r="E9" s="107">
        <f>E8</f>
        <v>5.2000000000000005E-2</v>
      </c>
      <c r="F9" s="107">
        <f>F8</f>
        <v>7.8E-2</v>
      </c>
      <c r="G9" s="107" t="s">
        <v>1</v>
      </c>
      <c r="H9" s="107" t="s">
        <v>1</v>
      </c>
      <c r="I9" s="35" t="s">
        <v>1</v>
      </c>
      <c r="J9" s="119">
        <f>J8</f>
        <v>0.13</v>
      </c>
      <c r="K9" s="107">
        <f t="shared" ref="K9:L9" si="0">K8</f>
        <v>5.2000000000000005E-2</v>
      </c>
      <c r="L9" s="107">
        <f t="shared" si="0"/>
        <v>7.8E-2</v>
      </c>
      <c r="M9" s="107" t="s">
        <v>1</v>
      </c>
      <c r="N9" s="107" t="s">
        <v>1</v>
      </c>
      <c r="O9" s="35" t="s">
        <v>1</v>
      </c>
    </row>
    <row r="10" spans="1:15" ht="40" x14ac:dyDescent="0.2">
      <c r="A10" s="40" t="s">
        <v>79</v>
      </c>
      <c r="B10" s="25" t="s">
        <v>51</v>
      </c>
      <c r="C10" s="1" t="s">
        <v>61</v>
      </c>
      <c r="D10" s="31">
        <f>40%*D9</f>
        <v>5.2000000000000005E-2</v>
      </c>
      <c r="E10" s="109">
        <f>E9</f>
        <v>5.2000000000000005E-2</v>
      </c>
      <c r="F10" s="110">
        <v>0</v>
      </c>
      <c r="G10" s="107" t="s">
        <v>1</v>
      </c>
      <c r="H10" s="107" t="s">
        <v>1</v>
      </c>
      <c r="I10" s="35" t="s">
        <v>1</v>
      </c>
      <c r="J10" s="119">
        <v>0.4</v>
      </c>
      <c r="K10" s="110">
        <f>J10</f>
        <v>0.4</v>
      </c>
      <c r="L10" s="110">
        <v>0</v>
      </c>
      <c r="M10" s="107" t="s">
        <v>1</v>
      </c>
      <c r="N10" s="107" t="s">
        <v>1</v>
      </c>
      <c r="O10" s="35" t="s">
        <v>1</v>
      </c>
    </row>
    <row r="11" spans="1:15" ht="20" x14ac:dyDescent="0.2">
      <c r="A11" s="40"/>
      <c r="B11" s="25" t="s">
        <v>52</v>
      </c>
      <c r="C11" s="1" t="s">
        <v>76</v>
      </c>
      <c r="D11" s="101">
        <f>E11</f>
        <v>3.8739999999999997E-2</v>
      </c>
      <c r="E11" s="32">
        <f>29.8%*D8</f>
        <v>3.8739999999999997E-2</v>
      </c>
      <c r="F11" s="110">
        <v>0</v>
      </c>
      <c r="G11" s="107" t="s">
        <v>1</v>
      </c>
      <c r="H11" s="107" t="s">
        <v>1</v>
      </c>
      <c r="I11" s="35" t="s">
        <v>1</v>
      </c>
      <c r="J11" s="32">
        <f>K11</f>
        <v>0.29799999999999999</v>
      </c>
      <c r="K11" s="32">
        <v>0.29799999999999999</v>
      </c>
      <c r="L11" s="110">
        <v>0</v>
      </c>
      <c r="M11" s="107" t="s">
        <v>1</v>
      </c>
      <c r="N11" s="107" t="s">
        <v>1</v>
      </c>
      <c r="O11" s="35" t="s">
        <v>1</v>
      </c>
    </row>
    <row r="12" spans="1:15" ht="77" customHeight="1" x14ac:dyDescent="0.2">
      <c r="A12" s="41" t="s">
        <v>80</v>
      </c>
      <c r="B12" s="14" t="s">
        <v>57</v>
      </c>
      <c r="C12" s="1" t="s">
        <v>77</v>
      </c>
      <c r="D12" s="102">
        <f>F12</f>
        <v>5.9150000000000001E-2</v>
      </c>
      <c r="E12" s="111" t="s">
        <v>1</v>
      </c>
      <c r="F12" s="34">
        <f>45.5%*D8</f>
        <v>5.9150000000000001E-2</v>
      </c>
      <c r="G12" s="34">
        <f>15.2%*F12</f>
        <v>8.9908000000000002E-3</v>
      </c>
      <c r="H12" s="34">
        <f>84.8%*F12</f>
        <v>5.0159200000000001E-2</v>
      </c>
      <c r="I12" s="35" t="s">
        <v>1</v>
      </c>
      <c r="J12" s="109">
        <f>L12</f>
        <v>0.45500000000000002</v>
      </c>
      <c r="K12" s="111" t="s">
        <v>1</v>
      </c>
      <c r="L12" s="109">
        <v>0.45500000000000002</v>
      </c>
      <c r="M12" s="34">
        <f>15.2%*L12</f>
        <v>6.9159999999999999E-2</v>
      </c>
      <c r="N12" s="34">
        <f>84.8%*L12</f>
        <v>0.38584000000000002</v>
      </c>
      <c r="O12" s="35" t="s">
        <v>1</v>
      </c>
    </row>
    <row r="13" spans="1:15" ht="44" customHeight="1" x14ac:dyDescent="0.2">
      <c r="A13" s="38" t="s">
        <v>83</v>
      </c>
      <c r="B13" s="23" t="s">
        <v>84</v>
      </c>
      <c r="C13" s="1" t="s">
        <v>142</v>
      </c>
      <c r="D13" s="103" t="s">
        <v>31</v>
      </c>
      <c r="E13" s="112">
        <f>20%*E11</f>
        <v>7.7479999999999997E-3</v>
      </c>
      <c r="F13" s="37" t="s">
        <v>31</v>
      </c>
      <c r="G13" s="37" t="s">
        <v>31</v>
      </c>
      <c r="H13" s="37" t="s">
        <v>31</v>
      </c>
      <c r="I13" s="35" t="s">
        <v>1</v>
      </c>
      <c r="J13" s="116" t="s">
        <v>31</v>
      </c>
      <c r="K13" s="109">
        <f>K11/K10*20%</f>
        <v>0.14899999999999999</v>
      </c>
      <c r="L13" s="37" t="s">
        <v>31</v>
      </c>
      <c r="M13" s="37" t="s">
        <v>31</v>
      </c>
      <c r="N13" s="37" t="s">
        <v>31</v>
      </c>
      <c r="O13" s="35" t="s">
        <v>1</v>
      </c>
    </row>
    <row r="14" spans="1:15" ht="80" x14ac:dyDescent="0.2">
      <c r="A14" s="38"/>
      <c r="B14" s="23" t="s">
        <v>82</v>
      </c>
      <c r="C14" s="1" t="s">
        <v>78</v>
      </c>
      <c r="D14" s="125">
        <f>E14+F14</f>
        <v>1.11E-2</v>
      </c>
      <c r="E14" s="124">
        <v>7.0000000000000001E-3</v>
      </c>
      <c r="F14" s="124">
        <v>4.1000000000000003E-3</v>
      </c>
      <c r="G14" s="112">
        <f>34%*G12</f>
        <v>3.0568720000000004E-3</v>
      </c>
      <c r="H14" s="112">
        <f>2%*H12</f>
        <v>1.0031840000000001E-3</v>
      </c>
      <c r="I14" s="35" t="s">
        <v>31</v>
      </c>
      <c r="J14" s="126">
        <f>D14/J8</f>
        <v>8.5384615384615392E-2</v>
      </c>
      <c r="K14" s="126">
        <f>E14/K8</f>
        <v>0.13461538461538461</v>
      </c>
      <c r="L14" s="124">
        <f>F14/F8</f>
        <v>5.2564102564102572E-2</v>
      </c>
      <c r="M14" s="112">
        <f>G14/F8</f>
        <v>3.9190666666666672E-2</v>
      </c>
      <c r="N14" s="112">
        <f>H14/F8</f>
        <v>1.2861333333333334E-2</v>
      </c>
      <c r="O14" s="35" t="s">
        <v>31</v>
      </c>
    </row>
    <row r="15" spans="1:15" ht="20" x14ac:dyDescent="0.2">
      <c r="A15" s="42" t="s">
        <v>85</v>
      </c>
      <c r="B15" s="43" t="s">
        <v>114</v>
      </c>
      <c r="D15" s="103" t="s">
        <v>31</v>
      </c>
      <c r="E15" s="116" t="s">
        <v>31</v>
      </c>
      <c r="F15" s="116" t="s">
        <v>31</v>
      </c>
      <c r="G15" s="116" t="s">
        <v>31</v>
      </c>
      <c r="H15" s="116" t="s">
        <v>31</v>
      </c>
      <c r="I15" s="121" t="s">
        <v>31</v>
      </c>
      <c r="J15" s="103" t="s">
        <v>31</v>
      </c>
      <c r="K15" s="116" t="s">
        <v>31</v>
      </c>
      <c r="L15" s="116" t="s">
        <v>31</v>
      </c>
      <c r="M15" s="116" t="s">
        <v>31</v>
      </c>
      <c r="N15" s="116" t="s">
        <v>31</v>
      </c>
      <c r="O15" s="121" t="s">
        <v>31</v>
      </c>
    </row>
    <row r="16" spans="1:15" x14ac:dyDescent="0.2">
      <c r="E16" s="112"/>
      <c r="F16" s="111"/>
      <c r="G16" s="111"/>
      <c r="H16" s="111"/>
      <c r="K16" s="112"/>
      <c r="L16" s="111"/>
      <c r="M16" s="111"/>
      <c r="N16" s="111"/>
    </row>
    <row r="17" spans="5:14" x14ac:dyDescent="0.2">
      <c r="E17" s="112"/>
      <c r="F17" s="122"/>
      <c r="G17" s="111"/>
      <c r="H17" s="111"/>
      <c r="K17" s="112"/>
      <c r="L17" s="111"/>
      <c r="M17" s="111"/>
      <c r="N17" s="111"/>
    </row>
    <row r="18" spans="5:14" x14ac:dyDescent="0.2">
      <c r="E18" s="112"/>
      <c r="F18" s="111"/>
      <c r="G18" s="111"/>
      <c r="H18" s="111"/>
      <c r="K18" s="112"/>
      <c r="L18" s="111"/>
      <c r="M18" s="111"/>
      <c r="N18" s="111"/>
    </row>
  </sheetData>
  <mergeCells count="2">
    <mergeCell ref="D1:I1"/>
    <mergeCell ref="J1:O1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78D63-2353-A14F-A44F-541062431287}">
  <dimension ref="A1:C26"/>
  <sheetViews>
    <sheetView workbookViewId="0">
      <selection activeCell="C22" sqref="C22"/>
    </sheetView>
  </sheetViews>
  <sheetFormatPr baseColWidth="10" defaultColWidth="8.83203125" defaultRowHeight="16" x14ac:dyDescent="0.2"/>
  <cols>
    <col min="1" max="1" width="36" customWidth="1"/>
    <col min="2" max="2" width="34.5" customWidth="1"/>
    <col min="3" max="3" width="77.1640625" customWidth="1"/>
  </cols>
  <sheetData>
    <row r="1" spans="1:3" ht="17" x14ac:dyDescent="0.2">
      <c r="A1" s="733" t="s">
        <v>86</v>
      </c>
      <c r="B1" s="734"/>
    </row>
    <row r="2" spans="1:3" ht="42" customHeight="1" x14ac:dyDescent="0.2">
      <c r="A2" s="735" t="s">
        <v>87</v>
      </c>
      <c r="B2" s="734"/>
    </row>
    <row r="4" spans="1:3" x14ac:dyDescent="0.2">
      <c r="A4" s="44" t="s">
        <v>88</v>
      </c>
      <c r="B4" s="45" t="s">
        <v>89</v>
      </c>
      <c r="C4" s="46"/>
    </row>
    <row r="5" spans="1:3" x14ac:dyDescent="0.2">
      <c r="A5" s="47" t="s">
        <v>90</v>
      </c>
      <c r="B5" s="48" t="s">
        <v>91</v>
      </c>
      <c r="C5" s="49"/>
    </row>
    <row r="6" spans="1:3" x14ac:dyDescent="0.2">
      <c r="A6" s="47" t="s">
        <v>92</v>
      </c>
      <c r="B6" s="48" t="s">
        <v>93</v>
      </c>
      <c r="C6" s="49"/>
    </row>
    <row r="7" spans="1:3" x14ac:dyDescent="0.2">
      <c r="A7" s="47" t="s">
        <v>94</v>
      </c>
      <c r="B7" s="48" t="s">
        <v>95</v>
      </c>
      <c r="C7" s="49"/>
    </row>
    <row r="8" spans="1:3" x14ac:dyDescent="0.2">
      <c r="A8" s="47" t="s">
        <v>96</v>
      </c>
      <c r="B8" s="48" t="s">
        <v>97</v>
      </c>
      <c r="C8" s="49"/>
    </row>
    <row r="9" spans="1:3" x14ac:dyDescent="0.2">
      <c r="A9" s="50" t="s">
        <v>98</v>
      </c>
      <c r="B9" s="51">
        <v>7.0000000000000001E-3</v>
      </c>
      <c r="C9" s="52"/>
    </row>
    <row r="14" spans="1:3" x14ac:dyDescent="0.2">
      <c r="A14" s="44" t="s">
        <v>99</v>
      </c>
      <c r="B14" s="53" t="s">
        <v>100</v>
      </c>
      <c r="C14" s="54"/>
    </row>
    <row r="15" spans="1:3" x14ac:dyDescent="0.2">
      <c r="A15" s="47" t="s">
        <v>90</v>
      </c>
      <c r="B15" s="48" t="s">
        <v>91</v>
      </c>
      <c r="C15" s="49"/>
    </row>
    <row r="16" spans="1:3" x14ac:dyDescent="0.2">
      <c r="A16" s="47" t="s">
        <v>101</v>
      </c>
      <c r="B16" s="48" t="s">
        <v>102</v>
      </c>
      <c r="C16" s="49"/>
    </row>
    <row r="17" spans="1:3" x14ac:dyDescent="0.2">
      <c r="A17" s="55" t="s">
        <v>103</v>
      </c>
      <c r="B17" s="56" t="s">
        <v>104</v>
      </c>
      <c r="C17" s="49"/>
    </row>
    <row r="18" spans="1:3" x14ac:dyDescent="0.2">
      <c r="A18" s="55" t="s">
        <v>105</v>
      </c>
      <c r="B18" s="56" t="s">
        <v>106</v>
      </c>
      <c r="C18" s="49"/>
    </row>
    <row r="19" spans="1:3" x14ac:dyDescent="0.2">
      <c r="A19" s="55" t="s">
        <v>107</v>
      </c>
      <c r="B19" s="56" t="s">
        <v>108</v>
      </c>
      <c r="C19" s="49"/>
    </row>
    <row r="20" spans="1:3" x14ac:dyDescent="0.2">
      <c r="A20" s="55" t="s">
        <v>109</v>
      </c>
      <c r="B20" s="56" t="s">
        <v>110</v>
      </c>
      <c r="C20" s="49"/>
    </row>
    <row r="21" spans="1:3" x14ac:dyDescent="0.2">
      <c r="A21" s="57" t="s">
        <v>111</v>
      </c>
      <c r="B21" s="58" t="s">
        <v>112</v>
      </c>
      <c r="C21" s="52"/>
    </row>
    <row r="22" spans="1:3" x14ac:dyDescent="0.2">
      <c r="A22" s="50" t="s">
        <v>98</v>
      </c>
      <c r="B22" s="59" t="s">
        <v>113</v>
      </c>
      <c r="C22" s="52"/>
    </row>
    <row r="25" spans="1:3" x14ac:dyDescent="0.2">
      <c r="A25" s="622" t="s">
        <v>417</v>
      </c>
    </row>
    <row r="26" spans="1:3" x14ac:dyDescent="0.2">
      <c r="A26" s="6" t="s">
        <v>418</v>
      </c>
    </row>
  </sheetData>
  <mergeCells count="2">
    <mergeCell ref="A1:B1"/>
    <mergeCell ref="A2:B2"/>
  </mergeCells>
  <hyperlinks>
    <hyperlink ref="A26" r:id="rId1" xr:uid="{327F2B30-8CD4-4942-B410-FA8DB848D7DF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5E91F-9855-E142-8E07-3455258BDEC9}">
  <dimension ref="A1:F9"/>
  <sheetViews>
    <sheetView workbookViewId="0">
      <selection activeCell="F16" sqref="F16"/>
    </sheetView>
  </sheetViews>
  <sheetFormatPr baseColWidth="10" defaultRowHeight="16" x14ac:dyDescent="0.2"/>
  <cols>
    <col min="1" max="1" width="14.1640625" customWidth="1"/>
  </cols>
  <sheetData>
    <row r="1" spans="1:6" ht="21" x14ac:dyDescent="0.25">
      <c r="A1" s="194" t="s">
        <v>226</v>
      </c>
    </row>
    <row r="4" spans="1:6" x14ac:dyDescent="0.2">
      <c r="A4" t="s">
        <v>227</v>
      </c>
      <c r="E4" t="s">
        <v>228</v>
      </c>
    </row>
    <row r="5" spans="1:6" x14ac:dyDescent="0.2">
      <c r="A5" s="195"/>
      <c r="B5" s="80"/>
      <c r="C5" s="196" t="s">
        <v>229</v>
      </c>
      <c r="E5" s="195"/>
      <c r="F5" s="196" t="s">
        <v>229</v>
      </c>
    </row>
    <row r="6" spans="1:6" x14ac:dyDescent="0.2">
      <c r="A6" s="197" t="s">
        <v>230</v>
      </c>
      <c r="B6">
        <v>22953</v>
      </c>
      <c r="C6" s="198"/>
      <c r="E6" s="197">
        <v>30000</v>
      </c>
      <c r="F6" s="198"/>
    </row>
    <row r="7" spans="1:6" x14ac:dyDescent="0.2">
      <c r="A7" s="199" t="s">
        <v>231</v>
      </c>
      <c r="B7" s="200">
        <v>184</v>
      </c>
      <c r="C7" s="201">
        <f>B7/B6</f>
        <v>8.0163813009192699E-3</v>
      </c>
      <c r="E7" s="202">
        <v>1200</v>
      </c>
      <c r="F7" s="203">
        <f>E7/E6</f>
        <v>0.04</v>
      </c>
    </row>
    <row r="8" spans="1:6" x14ac:dyDescent="0.2">
      <c r="A8" s="197" t="s">
        <v>232</v>
      </c>
      <c r="B8">
        <v>170</v>
      </c>
      <c r="C8" s="204">
        <f>B8/B6</f>
        <v>7.4064392454145428E-3</v>
      </c>
    </row>
    <row r="9" spans="1:6" x14ac:dyDescent="0.2">
      <c r="A9" s="202" t="s">
        <v>233</v>
      </c>
      <c r="B9" s="205">
        <v>320</v>
      </c>
      <c r="C9" s="206">
        <f>B9/B6</f>
        <v>1.3941532697250904E-2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C0FD-7393-1745-9AF4-81796922DD53}">
  <dimension ref="A1:P40"/>
  <sheetViews>
    <sheetView workbookViewId="0">
      <selection activeCell="E4" sqref="E4"/>
    </sheetView>
  </sheetViews>
  <sheetFormatPr baseColWidth="10" defaultRowHeight="16" x14ac:dyDescent="0.2"/>
  <cols>
    <col min="1" max="1" width="21.5" customWidth="1"/>
    <col min="2" max="2" width="35.6640625" style="5" customWidth="1"/>
    <col min="3" max="3" width="23" customWidth="1"/>
    <col min="4" max="4" width="18.5" customWidth="1"/>
    <col min="5" max="5" width="13.83203125" customWidth="1"/>
    <col min="6" max="6" width="12" customWidth="1"/>
    <col min="7" max="11" width="18" customWidth="1"/>
    <col min="12" max="12" width="18.1640625" customWidth="1"/>
  </cols>
  <sheetData>
    <row r="1" spans="1:13" s="322" customFormat="1" x14ac:dyDescent="0.2">
      <c r="A1" s="320" t="s">
        <v>234</v>
      </c>
      <c r="B1" s="321"/>
    </row>
    <row r="2" spans="1:13" x14ac:dyDescent="0.2">
      <c r="A2" s="195"/>
      <c r="B2" s="207"/>
      <c r="C2" s="80"/>
      <c r="D2" s="208" t="s">
        <v>235</v>
      </c>
      <c r="E2" s="195" t="s">
        <v>236</v>
      </c>
      <c r="F2" s="196" t="s">
        <v>236</v>
      </c>
      <c r="G2" s="209">
        <v>46054</v>
      </c>
      <c r="H2" s="209">
        <v>46054</v>
      </c>
      <c r="I2" s="209">
        <v>46082</v>
      </c>
      <c r="J2" s="209">
        <v>46082</v>
      </c>
      <c r="K2" s="209">
        <v>46113</v>
      </c>
      <c r="L2" s="209"/>
    </row>
    <row r="3" spans="1:13" s="212" customFormat="1" ht="32" x14ac:dyDescent="0.2">
      <c r="A3" s="210" t="s">
        <v>237</v>
      </c>
      <c r="B3" s="211" t="s">
        <v>238</v>
      </c>
      <c r="C3" s="212" t="s">
        <v>229</v>
      </c>
      <c r="E3" s="213">
        <v>68103.666666666672</v>
      </c>
      <c r="F3" s="214"/>
      <c r="G3" s="212">
        <v>69572</v>
      </c>
      <c r="I3" s="212">
        <v>68231</v>
      </c>
      <c r="K3" s="212">
        <v>66508</v>
      </c>
    </row>
    <row r="4" spans="1:13" s="212" customFormat="1" x14ac:dyDescent="0.2">
      <c r="A4" s="210" t="s">
        <v>239</v>
      </c>
      <c r="B4" s="211" t="s">
        <v>240</v>
      </c>
      <c r="C4" s="212" t="s">
        <v>241</v>
      </c>
      <c r="D4" s="212" t="s">
        <v>242</v>
      </c>
      <c r="E4" s="213">
        <v>5894</v>
      </c>
      <c r="F4" s="215">
        <v>8.6995852377086444E-2</v>
      </c>
      <c r="G4" s="212">
        <v>4442</v>
      </c>
      <c r="H4" s="216">
        <f>G4/G3</f>
        <v>6.3847524866325528E-2</v>
      </c>
      <c r="I4" s="212">
        <v>5093</v>
      </c>
      <c r="J4" s="216">
        <f>I4/I3</f>
        <v>7.464349049552256E-2</v>
      </c>
      <c r="K4" s="212">
        <v>8147</v>
      </c>
      <c r="L4" s="216"/>
      <c r="M4" s="217"/>
    </row>
    <row r="5" spans="1:13" s="212" customFormat="1" x14ac:dyDescent="0.2">
      <c r="A5" s="210" t="s">
        <v>243</v>
      </c>
      <c r="B5" s="211" t="s">
        <v>244</v>
      </c>
      <c r="C5" s="212" t="s">
        <v>245</v>
      </c>
      <c r="D5" s="212" t="s">
        <v>242</v>
      </c>
      <c r="E5" s="213">
        <v>966</v>
      </c>
      <c r="F5" s="215">
        <v>1.4216249784894589E-2</v>
      </c>
      <c r="G5" s="212">
        <v>906</v>
      </c>
      <c r="H5" s="216">
        <f>G5/G3</f>
        <v>1.3022480308169953E-2</v>
      </c>
      <c r="I5" s="212">
        <v>856</v>
      </c>
      <c r="J5" s="216">
        <f>I5/I3</f>
        <v>1.2545617094868901E-2</v>
      </c>
      <c r="K5" s="212">
        <v>1136</v>
      </c>
      <c r="L5" s="216"/>
      <c r="M5" s="217"/>
    </row>
    <row r="6" spans="1:13" s="212" customFormat="1" x14ac:dyDescent="0.2">
      <c r="A6" s="218" t="s">
        <v>246</v>
      </c>
      <c r="B6" s="644" t="s">
        <v>247</v>
      </c>
      <c r="C6" s="212" t="s">
        <v>248</v>
      </c>
      <c r="D6" s="645" t="s">
        <v>249</v>
      </c>
      <c r="E6" s="219">
        <v>250.66666666666666</v>
      </c>
      <c r="F6" s="220">
        <v>0.25381320402315999</v>
      </c>
      <c r="G6" s="212">
        <v>199</v>
      </c>
      <c r="H6" s="216">
        <f>G6/G$5</f>
        <v>0.2196467991169978</v>
      </c>
      <c r="I6" s="212">
        <v>191</v>
      </c>
      <c r="J6" s="216">
        <f>I6/I$5</f>
        <v>0.22313084112149534</v>
      </c>
      <c r="K6" s="212">
        <v>362</v>
      </c>
      <c r="L6" s="216"/>
      <c r="M6" s="217"/>
    </row>
    <row r="7" spans="1:13" s="212" customFormat="1" x14ac:dyDescent="0.2">
      <c r="A7" s="221" t="s">
        <v>250</v>
      </c>
      <c r="B7" s="222" t="s">
        <v>251</v>
      </c>
      <c r="C7" s="212" t="s">
        <v>252</v>
      </c>
      <c r="D7" s="646" t="s">
        <v>249</v>
      </c>
      <c r="E7" s="223">
        <v>218.33333333333334</v>
      </c>
      <c r="F7" s="224">
        <v>0.22552123393466092</v>
      </c>
      <c r="G7" s="212">
        <v>200</v>
      </c>
      <c r="H7" s="216">
        <f>G7/G$5</f>
        <v>0.22075055187637968</v>
      </c>
      <c r="I7" s="212">
        <v>192</v>
      </c>
      <c r="J7" s="216">
        <f>I7/I$5</f>
        <v>0.22429906542056074</v>
      </c>
      <c r="K7" s="212">
        <v>263</v>
      </c>
      <c r="L7" s="216"/>
      <c r="M7" s="217"/>
    </row>
    <row r="8" spans="1:13" s="212" customFormat="1" x14ac:dyDescent="0.2">
      <c r="A8" s="218" t="s">
        <v>253</v>
      </c>
      <c r="B8" s="644" t="s">
        <v>254</v>
      </c>
      <c r="C8" s="212" t="s">
        <v>255</v>
      </c>
      <c r="D8" t="s">
        <v>273</v>
      </c>
      <c r="E8" s="219">
        <v>151</v>
      </c>
      <c r="F8" s="220">
        <v>2.5619273837801201E-2</v>
      </c>
      <c r="G8" s="212">
        <v>134</v>
      </c>
      <c r="H8" s="216">
        <f>G8/G$4</f>
        <v>3.0166591625393965E-2</v>
      </c>
      <c r="I8" s="212">
        <v>146</v>
      </c>
      <c r="J8" s="216">
        <f>I8/I$4</f>
        <v>2.8666797565285687E-2</v>
      </c>
      <c r="K8" s="212">
        <v>173</v>
      </c>
      <c r="L8" s="216"/>
      <c r="M8" s="217"/>
    </row>
    <row r="9" spans="1:13" s="212" customFormat="1" x14ac:dyDescent="0.2">
      <c r="A9" s="210" t="s">
        <v>256</v>
      </c>
      <c r="B9" s="211" t="s">
        <v>257</v>
      </c>
      <c r="C9" s="212" t="s">
        <v>258</v>
      </c>
      <c r="D9" t="s">
        <v>273</v>
      </c>
      <c r="E9" s="213">
        <v>71.666666666666671</v>
      </c>
      <c r="F9" s="215">
        <v>1.3210092717146257E-2</v>
      </c>
      <c r="G9" s="212">
        <v>79</v>
      </c>
      <c r="H9" s="216">
        <f>G9/G$4</f>
        <v>1.7784781629896444E-2</v>
      </c>
      <c r="I9" s="212">
        <v>70</v>
      </c>
      <c r="J9" s="216">
        <f>I9/I$4</f>
        <v>1.3744354997054781E-2</v>
      </c>
      <c r="K9" s="212">
        <v>66</v>
      </c>
      <c r="L9" s="216"/>
      <c r="M9" s="217"/>
    </row>
    <row r="10" spans="1:13" s="212" customFormat="1" ht="32" x14ac:dyDescent="0.2">
      <c r="A10" s="210" t="s">
        <v>259</v>
      </c>
      <c r="B10" s="211" t="s">
        <v>260</v>
      </c>
      <c r="C10" s="212" t="s">
        <v>261</v>
      </c>
      <c r="D10" t="s">
        <v>273</v>
      </c>
      <c r="E10" s="213">
        <v>31.333333333333332</v>
      </c>
      <c r="F10" s="215">
        <v>5.1173516914485573E-3</v>
      </c>
      <c r="G10" s="212">
        <v>20</v>
      </c>
      <c r="H10" s="216">
        <f>G10/G$4</f>
        <v>4.5024763619990991E-3</v>
      </c>
      <c r="I10" s="212">
        <v>24</v>
      </c>
      <c r="J10" s="216">
        <f>I10/I$4</f>
        <v>4.7123502847044967E-3</v>
      </c>
      <c r="K10" s="212">
        <v>50</v>
      </c>
      <c r="L10" s="216"/>
      <c r="M10" s="217"/>
    </row>
    <row r="11" spans="1:13" ht="17" x14ac:dyDescent="0.2">
      <c r="A11" s="225" t="s">
        <v>262</v>
      </c>
      <c r="B11" s="226" t="s">
        <v>263</v>
      </c>
      <c r="C11" s="205"/>
      <c r="D11" s="205" t="s">
        <v>273</v>
      </c>
      <c r="E11" s="227">
        <f>E10+E9</f>
        <v>103</v>
      </c>
      <c r="F11" s="228">
        <f>E11/E4</f>
        <v>1.7475398710553106E-2</v>
      </c>
      <c r="H11" s="229"/>
      <c r="J11" s="229"/>
      <c r="L11" s="229"/>
      <c r="M11" s="229"/>
    </row>
    <row r="12" spans="1:13" ht="96" x14ac:dyDescent="0.2">
      <c r="D12" s="609" t="s">
        <v>300</v>
      </c>
      <c r="E12" s="329"/>
      <c r="F12" s="329"/>
      <c r="G12" s="329"/>
      <c r="H12" s="229"/>
      <c r="J12" s="229"/>
      <c r="L12" s="229"/>
      <c r="M12" s="229"/>
    </row>
    <row r="13" spans="1:13" x14ac:dyDescent="0.2">
      <c r="E13" s="329"/>
      <c r="F13" s="329"/>
      <c r="H13" s="229"/>
      <c r="J13" s="229"/>
      <c r="L13" s="229"/>
      <c r="M13" s="229"/>
    </row>
    <row r="14" spans="1:13" s="322" customFormat="1" x14ac:dyDescent="0.2">
      <c r="A14" s="320" t="s">
        <v>301</v>
      </c>
      <c r="B14" s="321"/>
    </row>
    <row r="15" spans="1:13" x14ac:dyDescent="0.2">
      <c r="A15" s="195"/>
      <c r="B15" s="207">
        <v>0</v>
      </c>
      <c r="C15" s="80">
        <v>1</v>
      </c>
      <c r="D15" s="80">
        <v>2</v>
      </c>
      <c r="E15" s="80">
        <v>3</v>
      </c>
      <c r="F15" s="80">
        <v>4</v>
      </c>
      <c r="G15" s="80">
        <v>5</v>
      </c>
      <c r="H15" s="80">
        <v>6</v>
      </c>
      <c r="J15" s="229"/>
      <c r="L15" s="229"/>
      <c r="M15" s="229"/>
    </row>
    <row r="16" spans="1:13" x14ac:dyDescent="0.2">
      <c r="A16" s="202" t="s">
        <v>264</v>
      </c>
      <c r="B16" s="230">
        <v>1</v>
      </c>
      <c r="C16" s="231">
        <v>0.44721791257173082</v>
      </c>
      <c r="D16" s="231">
        <v>0.28408527909392306</v>
      </c>
      <c r="E16" s="231">
        <v>0.29794572957484949</v>
      </c>
      <c r="F16" s="231">
        <v>0.22764628183055638</v>
      </c>
      <c r="G16" s="231">
        <v>0.18555068226120858</v>
      </c>
      <c r="H16" s="203">
        <v>1.3157894736842099E-2</v>
      </c>
      <c r="J16" s="229"/>
      <c r="L16" s="229"/>
      <c r="M16" s="229"/>
    </row>
    <row r="17" spans="1:16" x14ac:dyDescent="0.2">
      <c r="A17" s="195" t="s">
        <v>265</v>
      </c>
      <c r="B17" s="323">
        <v>2.4556037800691102</v>
      </c>
      <c r="C17" s="232"/>
      <c r="D17" s="232"/>
      <c r="E17" s="232"/>
      <c r="F17" s="232"/>
      <c r="G17" s="232"/>
      <c r="H17" s="232"/>
      <c r="J17" s="229"/>
      <c r="L17" s="229"/>
      <c r="M17" s="229"/>
    </row>
    <row r="18" spans="1:16" x14ac:dyDescent="0.2">
      <c r="A18" s="197" t="s">
        <v>266</v>
      </c>
      <c r="B18" s="233">
        <v>3164</v>
      </c>
      <c r="C18" s="232"/>
      <c r="D18" s="232"/>
      <c r="E18" s="232"/>
      <c r="F18" s="232"/>
      <c r="G18" s="232"/>
      <c r="H18" s="232"/>
      <c r="J18" s="229"/>
      <c r="L18" s="229"/>
      <c r="M18" s="229"/>
    </row>
    <row r="19" spans="1:16" x14ac:dyDescent="0.2">
      <c r="A19" s="202" t="s">
        <v>267</v>
      </c>
      <c r="B19" s="234">
        <v>7769.5303601386649</v>
      </c>
      <c r="C19" s="232"/>
      <c r="D19" s="232"/>
      <c r="E19" s="232"/>
      <c r="F19" s="232"/>
      <c r="G19" s="232"/>
      <c r="H19" s="232"/>
      <c r="J19" s="229"/>
      <c r="L19" s="229"/>
      <c r="M19" s="229"/>
    </row>
    <row r="20" spans="1:16" x14ac:dyDescent="0.2">
      <c r="H20" s="229"/>
      <c r="J20" s="229"/>
      <c r="L20" s="229"/>
      <c r="M20" s="229"/>
    </row>
    <row r="21" spans="1:16" x14ac:dyDescent="0.2">
      <c r="H21" s="229"/>
      <c r="J21" s="229"/>
      <c r="L21" s="229"/>
      <c r="M21" s="229"/>
    </row>
    <row r="22" spans="1:16" s="322" customFormat="1" x14ac:dyDescent="0.2">
      <c r="A22" s="320" t="s">
        <v>268</v>
      </c>
    </row>
    <row r="23" spans="1:16" x14ac:dyDescent="0.2">
      <c r="A23" s="195"/>
      <c r="B23" s="80"/>
      <c r="C23" s="80"/>
      <c r="D23" s="80" t="s">
        <v>235</v>
      </c>
      <c r="E23" s="195" t="s">
        <v>236</v>
      </c>
      <c r="F23" s="196" t="s">
        <v>236</v>
      </c>
      <c r="G23" s="64">
        <v>45597</v>
      </c>
      <c r="H23" s="64">
        <v>45627</v>
      </c>
      <c r="I23" s="64">
        <v>45658</v>
      </c>
      <c r="J23" s="64">
        <v>45689</v>
      </c>
      <c r="K23" s="64">
        <v>45717</v>
      </c>
      <c r="L23" s="64">
        <v>45597</v>
      </c>
      <c r="M23" s="64">
        <v>45627</v>
      </c>
      <c r="N23" s="64">
        <v>45658</v>
      </c>
      <c r="O23" s="64">
        <v>45689</v>
      </c>
      <c r="P23" s="64">
        <v>45717</v>
      </c>
    </row>
    <row r="24" spans="1:16" ht="34" x14ac:dyDescent="0.2">
      <c r="A24" s="197" t="s">
        <v>237</v>
      </c>
      <c r="B24" s="5" t="s">
        <v>238</v>
      </c>
      <c r="E24" s="235">
        <f>AVERAGE(G24:K24)</f>
        <v>54137.2</v>
      </c>
      <c r="F24" s="214"/>
      <c r="G24">
        <v>56279</v>
      </c>
      <c r="H24">
        <v>54069</v>
      </c>
      <c r="I24">
        <v>53183</v>
      </c>
      <c r="J24">
        <v>52711</v>
      </c>
      <c r="K24">
        <v>54444</v>
      </c>
    </row>
    <row r="25" spans="1:16" ht="17" x14ac:dyDescent="0.2">
      <c r="A25" s="197" t="s">
        <v>269</v>
      </c>
      <c r="B25" s="5" t="s">
        <v>240</v>
      </c>
      <c r="C25" t="s">
        <v>270</v>
      </c>
      <c r="D25" t="s">
        <v>242</v>
      </c>
      <c r="E25" s="235">
        <f>AVERAGE(G25:K25)</f>
        <v>3784.8</v>
      </c>
      <c r="F25" s="215">
        <v>6.997723125728636E-2</v>
      </c>
      <c r="G25">
        <v>3521</v>
      </c>
      <c r="H25">
        <v>3767</v>
      </c>
      <c r="I25">
        <v>4195</v>
      </c>
      <c r="J25">
        <v>3480</v>
      </c>
      <c r="K25">
        <v>3961</v>
      </c>
      <c r="L25" s="232">
        <v>6.2563300698306651E-2</v>
      </c>
      <c r="M25" s="232">
        <v>6.967023617969631E-2</v>
      </c>
      <c r="N25" s="232">
        <v>7.8878589022808046E-2</v>
      </c>
      <c r="O25" s="232">
        <v>6.6020375253742103E-2</v>
      </c>
      <c r="P25" s="232">
        <v>7.2753655131878633E-2</v>
      </c>
    </row>
    <row r="26" spans="1:16" x14ac:dyDescent="0.2">
      <c r="A26" s="236" t="s">
        <v>243</v>
      </c>
      <c r="B26" s="237" t="s">
        <v>244</v>
      </c>
      <c r="C26" s="212" t="s">
        <v>245</v>
      </c>
      <c r="D26" s="212" t="s">
        <v>242</v>
      </c>
      <c r="E26" s="238" t="s">
        <v>148</v>
      </c>
      <c r="F26" s="239" t="s">
        <v>148</v>
      </c>
      <c r="L26" s="232"/>
      <c r="M26" s="232"/>
      <c r="N26" s="232"/>
      <c r="O26" s="232"/>
      <c r="P26" s="232"/>
    </row>
    <row r="27" spans="1:16" x14ac:dyDescent="0.2">
      <c r="A27" s="330" t="s">
        <v>271</v>
      </c>
      <c r="B27" s="222" t="s">
        <v>247</v>
      </c>
      <c r="C27" t="s">
        <v>272</v>
      </c>
      <c r="D27" t="s">
        <v>273</v>
      </c>
      <c r="E27" s="240">
        <f>AVERAGE(G27:K27)</f>
        <v>963</v>
      </c>
      <c r="F27" s="220">
        <v>0.25441623613151598</v>
      </c>
      <c r="G27">
        <v>855</v>
      </c>
      <c r="H27">
        <v>1005</v>
      </c>
      <c r="I27">
        <v>1043</v>
      </c>
      <c r="J27">
        <v>892</v>
      </c>
      <c r="K27">
        <v>1020</v>
      </c>
      <c r="L27" s="232">
        <v>0.24282874183470604</v>
      </c>
      <c r="M27" s="232">
        <v>0.26679054950889303</v>
      </c>
      <c r="N27" s="232">
        <v>0.24862932061978546</v>
      </c>
      <c r="O27" s="232">
        <v>0.25632183908045975</v>
      </c>
      <c r="P27" s="232">
        <v>0.25751072961373389</v>
      </c>
    </row>
    <row r="28" spans="1:16" x14ac:dyDescent="0.2">
      <c r="A28" s="330" t="s">
        <v>274</v>
      </c>
      <c r="B28" s="222" t="s">
        <v>251</v>
      </c>
      <c r="C28" t="s">
        <v>275</v>
      </c>
      <c r="D28" t="s">
        <v>273</v>
      </c>
      <c r="E28" s="241">
        <f>AVERAGE(G28:K28)</f>
        <v>575.6</v>
      </c>
      <c r="F28" s="242">
        <v>0.15247576666048568</v>
      </c>
      <c r="G28">
        <v>564</v>
      </c>
      <c r="H28">
        <v>629</v>
      </c>
      <c r="I28">
        <v>643</v>
      </c>
      <c r="J28">
        <v>541</v>
      </c>
      <c r="K28">
        <v>501</v>
      </c>
      <c r="L28" s="232">
        <v>0.16018176654359556</v>
      </c>
      <c r="M28" s="232">
        <v>0.16697637377223254</v>
      </c>
      <c r="N28" s="232">
        <v>0.15327771156138259</v>
      </c>
      <c r="O28" s="232">
        <v>0.15545977011494252</v>
      </c>
      <c r="P28" s="232">
        <v>0.12648321131027518</v>
      </c>
    </row>
    <row r="29" spans="1:16" x14ac:dyDescent="0.2">
      <c r="A29" s="197" t="s">
        <v>276</v>
      </c>
      <c r="B29" s="211" t="s">
        <v>254</v>
      </c>
      <c r="C29" t="s">
        <v>255</v>
      </c>
      <c r="D29" t="s">
        <v>273</v>
      </c>
      <c r="E29" s="240">
        <f>AVERAGE(G29:K29)</f>
        <v>103.8</v>
      </c>
      <c r="F29" s="220">
        <v>2.7300142362110619E-2</v>
      </c>
      <c r="G29">
        <v>129</v>
      </c>
      <c r="H29">
        <v>104</v>
      </c>
      <c r="I29">
        <v>93</v>
      </c>
      <c r="J29">
        <v>39</v>
      </c>
      <c r="K29">
        <v>154</v>
      </c>
      <c r="L29" s="232">
        <v>3.6637318943481968E-2</v>
      </c>
      <c r="M29" s="232">
        <v>2.760817626758694E-2</v>
      </c>
      <c r="N29" s="232">
        <v>2.2169249106078665E-2</v>
      </c>
      <c r="O29" s="232">
        <v>1.1206896551724138E-2</v>
      </c>
      <c r="P29" s="232">
        <v>3.8879070941681394E-2</v>
      </c>
    </row>
    <row r="30" spans="1:16" ht="17" x14ac:dyDescent="0.2">
      <c r="A30" s="243" t="s">
        <v>277</v>
      </c>
      <c r="B30" s="244" t="s">
        <v>263</v>
      </c>
      <c r="C30" s="205" t="s">
        <v>261</v>
      </c>
      <c r="D30" s="205" t="s">
        <v>273</v>
      </c>
      <c r="E30" s="245">
        <f>AVERAGE(G30:K30)</f>
        <v>29</v>
      </c>
      <c r="F30" s="246">
        <v>7.6274840913832746E-3</v>
      </c>
      <c r="G30">
        <v>36</v>
      </c>
      <c r="H30">
        <v>29</v>
      </c>
      <c r="I30">
        <v>26</v>
      </c>
      <c r="J30">
        <v>11</v>
      </c>
      <c r="K30">
        <v>43</v>
      </c>
      <c r="L30" s="232">
        <v>1.0224368077250781E-2</v>
      </c>
      <c r="M30" s="232">
        <v>7.6984337669232811E-3</v>
      </c>
      <c r="N30" s="232">
        <v>6.1978545887961863E-3</v>
      </c>
      <c r="O30" s="232">
        <v>3.160919540229885E-3</v>
      </c>
      <c r="P30" s="232">
        <v>1.0855844483716234E-2</v>
      </c>
    </row>
    <row r="31" spans="1:16" x14ac:dyDescent="0.2">
      <c r="E31" s="496" t="s">
        <v>371</v>
      </c>
    </row>
    <row r="32" spans="1:16" x14ac:dyDescent="0.2">
      <c r="A32" s="247"/>
      <c r="B32" s="248"/>
      <c r="C32" s="247"/>
      <c r="D32" s="247"/>
      <c r="E32" s="247"/>
      <c r="F32" s="247"/>
      <c r="G32" s="247"/>
      <c r="H32" s="247"/>
    </row>
    <row r="33" spans="1:8" x14ac:dyDescent="0.2">
      <c r="A33" s="249"/>
      <c r="B33" s="250">
        <v>0</v>
      </c>
      <c r="C33" s="251">
        <v>1</v>
      </c>
      <c r="D33" s="251">
        <v>2</v>
      </c>
      <c r="E33" s="251">
        <v>3</v>
      </c>
      <c r="F33" s="251">
        <v>4</v>
      </c>
      <c r="G33" s="251">
        <v>5</v>
      </c>
      <c r="H33" s="251">
        <v>6</v>
      </c>
    </row>
    <row r="34" spans="1:8" ht="17" x14ac:dyDescent="0.2">
      <c r="A34" s="252" t="s">
        <v>264</v>
      </c>
      <c r="B34" s="253" t="s">
        <v>148</v>
      </c>
      <c r="C34" s="254" t="s">
        <v>148</v>
      </c>
      <c r="D34" s="254" t="s">
        <v>148</v>
      </c>
      <c r="E34" s="254" t="s">
        <v>148</v>
      </c>
      <c r="F34" s="254" t="s">
        <v>148</v>
      </c>
      <c r="G34" s="254" t="s">
        <v>148</v>
      </c>
      <c r="H34" s="253" t="s">
        <v>148</v>
      </c>
    </row>
    <row r="35" spans="1:8" ht="17" x14ac:dyDescent="0.2">
      <c r="A35" s="255" t="s">
        <v>265</v>
      </c>
      <c r="B35" s="256" t="s">
        <v>148</v>
      </c>
      <c r="C35" s="257"/>
      <c r="D35" s="257"/>
      <c r="E35" s="257"/>
      <c r="F35" s="257"/>
      <c r="G35" s="257"/>
      <c r="H35" s="257"/>
    </row>
    <row r="36" spans="1:8" ht="17" x14ac:dyDescent="0.2">
      <c r="A36" s="197" t="s">
        <v>266</v>
      </c>
      <c r="B36" s="256" t="s">
        <v>148</v>
      </c>
      <c r="C36" s="257"/>
      <c r="D36" s="257"/>
      <c r="E36" s="257"/>
      <c r="F36" s="257"/>
      <c r="G36" s="257"/>
      <c r="H36" s="257"/>
    </row>
    <row r="37" spans="1:8" ht="17" x14ac:dyDescent="0.2">
      <c r="A37" s="252" t="s">
        <v>267</v>
      </c>
      <c r="B37" s="253" t="s">
        <v>148</v>
      </c>
      <c r="C37" s="257"/>
      <c r="D37" s="257"/>
      <c r="E37" s="257"/>
      <c r="F37" s="257"/>
      <c r="G37" s="257"/>
      <c r="H37" s="257"/>
    </row>
    <row r="38" spans="1:8" x14ac:dyDescent="0.2">
      <c r="A38" s="247"/>
      <c r="B38" s="248"/>
      <c r="C38" s="247"/>
      <c r="D38" s="247"/>
      <c r="E38" s="247"/>
      <c r="F38" s="247"/>
      <c r="G38" s="247"/>
      <c r="H38" s="247"/>
    </row>
    <row r="39" spans="1:8" ht="18" x14ac:dyDescent="0.2">
      <c r="A39" s="258"/>
      <c r="B39" s="248"/>
      <c r="C39" s="247"/>
      <c r="D39" s="247"/>
      <c r="E39" s="247"/>
      <c r="F39" s="247"/>
      <c r="G39" s="247"/>
      <c r="H39" s="247"/>
    </row>
    <row r="40" spans="1:8" ht="18" x14ac:dyDescent="0.2">
      <c r="A40" s="25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44B37-2C9E-5048-8903-9883E4216AC5}">
  <dimension ref="A1:N46"/>
  <sheetViews>
    <sheetView topLeftCell="A18" workbookViewId="0">
      <selection activeCell="Q3" sqref="Q1:Q1048576"/>
    </sheetView>
  </sheetViews>
  <sheetFormatPr baseColWidth="10" defaultColWidth="8.83203125" defaultRowHeight="16" x14ac:dyDescent="0.2"/>
  <cols>
    <col min="2" max="2" width="12.5" customWidth="1"/>
    <col min="3" max="3" width="19" customWidth="1"/>
    <col min="4" max="4" width="24.6640625" customWidth="1"/>
    <col min="5" max="5" width="13.5" customWidth="1"/>
    <col min="6" max="6" width="16.33203125" customWidth="1"/>
    <col min="9" max="9" width="15.83203125" customWidth="1"/>
  </cols>
  <sheetData>
    <row r="1" spans="1:14" x14ac:dyDescent="0.2">
      <c r="B1" s="63" t="s">
        <v>116</v>
      </c>
      <c r="C1" s="63" t="s">
        <v>117</v>
      </c>
      <c r="D1" s="63" t="s">
        <v>118</v>
      </c>
      <c r="E1" s="63" t="s">
        <v>119</v>
      </c>
      <c r="F1" s="63" t="s">
        <v>120</v>
      </c>
      <c r="I1" s="63" t="s">
        <v>116</v>
      </c>
      <c r="J1" s="63" t="s">
        <v>121</v>
      </c>
      <c r="K1" s="63" t="s">
        <v>122</v>
      </c>
      <c r="L1" s="63" t="s">
        <v>123</v>
      </c>
      <c r="M1" s="63" t="s">
        <v>124</v>
      </c>
      <c r="N1" s="63" t="s">
        <v>125</v>
      </c>
    </row>
    <row r="2" spans="1:14" x14ac:dyDescent="0.2">
      <c r="A2" s="63">
        <v>0</v>
      </c>
      <c r="B2" s="64">
        <v>44896</v>
      </c>
      <c r="C2">
        <v>0.52317327766179544</v>
      </c>
      <c r="D2">
        <v>0.47494780793319408</v>
      </c>
      <c r="E2">
        <v>0</v>
      </c>
      <c r="F2">
        <v>0</v>
      </c>
      <c r="H2" s="63">
        <v>0</v>
      </c>
      <c r="I2" s="64">
        <v>44896</v>
      </c>
      <c r="J2">
        <v>2506</v>
      </c>
      <c r="K2">
        <v>2275</v>
      </c>
      <c r="L2">
        <v>0</v>
      </c>
      <c r="M2">
        <v>4790</v>
      </c>
      <c r="N2">
        <v>0</v>
      </c>
    </row>
    <row r="3" spans="1:14" x14ac:dyDescent="0.2">
      <c r="A3" s="63">
        <v>1</v>
      </c>
      <c r="B3" s="64">
        <v>44927</v>
      </c>
      <c r="C3">
        <v>0.48473520249221191</v>
      </c>
      <c r="D3">
        <v>0.42866043613707172</v>
      </c>
      <c r="E3">
        <v>0</v>
      </c>
      <c r="F3">
        <v>0</v>
      </c>
      <c r="H3" s="63">
        <v>1</v>
      </c>
      <c r="I3" s="64">
        <v>44927</v>
      </c>
      <c r="J3">
        <v>778</v>
      </c>
      <c r="K3">
        <v>688</v>
      </c>
      <c r="L3">
        <v>0</v>
      </c>
      <c r="M3">
        <v>1605</v>
      </c>
      <c r="N3">
        <v>0</v>
      </c>
    </row>
    <row r="4" spans="1:14" x14ac:dyDescent="0.2">
      <c r="A4" s="63">
        <v>2</v>
      </c>
      <c r="B4" s="64">
        <v>44958</v>
      </c>
      <c r="C4">
        <v>0.49058295964125559</v>
      </c>
      <c r="D4">
        <v>0.4295964125560538</v>
      </c>
      <c r="E4">
        <v>0</v>
      </c>
      <c r="F4">
        <v>0</v>
      </c>
      <c r="H4" s="63">
        <v>2</v>
      </c>
      <c r="I4" s="64">
        <v>44958</v>
      </c>
      <c r="J4">
        <v>547</v>
      </c>
      <c r="K4">
        <v>479</v>
      </c>
      <c r="L4">
        <v>0</v>
      </c>
      <c r="M4">
        <v>1115</v>
      </c>
      <c r="N4">
        <v>0</v>
      </c>
    </row>
    <row r="5" spans="1:14" x14ac:dyDescent="0.2">
      <c r="A5" s="63">
        <v>3</v>
      </c>
      <c r="B5" s="64">
        <v>44986</v>
      </c>
      <c r="C5">
        <v>0.40740740740740738</v>
      </c>
      <c r="D5">
        <v>0.27805417357656159</v>
      </c>
      <c r="E5">
        <v>0</v>
      </c>
      <c r="F5">
        <v>0</v>
      </c>
      <c r="H5" s="63">
        <v>3</v>
      </c>
      <c r="I5" s="64">
        <v>44986</v>
      </c>
      <c r="J5">
        <v>737</v>
      </c>
      <c r="K5">
        <v>503</v>
      </c>
      <c r="L5">
        <v>0</v>
      </c>
      <c r="M5">
        <v>1809</v>
      </c>
      <c r="N5">
        <v>0</v>
      </c>
    </row>
    <row r="6" spans="1:14" x14ac:dyDescent="0.2">
      <c r="A6" s="63">
        <v>4</v>
      </c>
      <c r="B6" s="64">
        <v>45017</v>
      </c>
      <c r="C6">
        <v>0.34640810929925081</v>
      </c>
      <c r="D6">
        <v>0.21507271925958571</v>
      </c>
      <c r="E6">
        <v>0</v>
      </c>
      <c r="F6">
        <v>0</v>
      </c>
      <c r="H6" s="63">
        <v>4</v>
      </c>
      <c r="I6" s="64">
        <v>45017</v>
      </c>
      <c r="J6">
        <v>786</v>
      </c>
      <c r="K6">
        <v>488</v>
      </c>
      <c r="L6">
        <v>0</v>
      </c>
      <c r="M6">
        <v>2269</v>
      </c>
      <c r="N6">
        <v>0</v>
      </c>
    </row>
    <row r="7" spans="1:14" x14ac:dyDescent="0.2">
      <c r="A7" s="63">
        <v>5</v>
      </c>
      <c r="B7" s="64">
        <v>45047</v>
      </c>
      <c r="C7">
        <v>0.29070691024622719</v>
      </c>
      <c r="D7">
        <v>0.1850675138999206</v>
      </c>
      <c r="E7">
        <v>0</v>
      </c>
      <c r="F7">
        <v>0</v>
      </c>
      <c r="H7" s="63">
        <v>5</v>
      </c>
      <c r="I7" s="64">
        <v>45047</v>
      </c>
      <c r="J7">
        <v>366</v>
      </c>
      <c r="K7">
        <v>233</v>
      </c>
      <c r="L7">
        <v>0</v>
      </c>
      <c r="M7">
        <v>1259</v>
      </c>
      <c r="N7">
        <v>0</v>
      </c>
    </row>
    <row r="8" spans="1:14" x14ac:dyDescent="0.2">
      <c r="A8" s="63">
        <v>6</v>
      </c>
      <c r="B8" s="64">
        <v>45078</v>
      </c>
      <c r="C8">
        <v>0.3112208892025406</v>
      </c>
      <c r="D8">
        <v>0.24841213832039519</v>
      </c>
      <c r="E8">
        <v>0</v>
      </c>
      <c r="F8">
        <v>0</v>
      </c>
      <c r="H8" s="63">
        <v>6</v>
      </c>
      <c r="I8" s="64">
        <v>45078</v>
      </c>
      <c r="J8">
        <v>441</v>
      </c>
      <c r="K8">
        <v>352</v>
      </c>
      <c r="L8">
        <v>0</v>
      </c>
      <c r="M8">
        <v>1417</v>
      </c>
      <c r="N8">
        <v>0</v>
      </c>
    </row>
    <row r="9" spans="1:14" x14ac:dyDescent="0.2">
      <c r="A9" s="63">
        <v>7</v>
      </c>
      <c r="B9" s="64">
        <v>45108</v>
      </c>
      <c r="C9">
        <v>0.31468531468531469</v>
      </c>
      <c r="D9">
        <v>0.39429800968262507</v>
      </c>
      <c r="E9">
        <v>0</v>
      </c>
      <c r="F9">
        <v>0</v>
      </c>
      <c r="H9" s="63">
        <v>7</v>
      </c>
      <c r="I9" s="64">
        <v>45108</v>
      </c>
      <c r="J9">
        <v>585</v>
      </c>
      <c r="K9">
        <v>733</v>
      </c>
      <c r="L9">
        <v>0</v>
      </c>
      <c r="M9">
        <v>1859</v>
      </c>
      <c r="N9">
        <v>0</v>
      </c>
    </row>
    <row r="10" spans="1:14" x14ac:dyDescent="0.2">
      <c r="A10" s="63">
        <v>8</v>
      </c>
      <c r="B10" s="64">
        <v>45139</v>
      </c>
      <c r="C10">
        <v>0.27371273712737132</v>
      </c>
      <c r="D10">
        <v>0.36720867208672092</v>
      </c>
      <c r="E10">
        <v>0</v>
      </c>
      <c r="F10">
        <v>1.309846431797651E-2</v>
      </c>
      <c r="H10" s="63">
        <v>8</v>
      </c>
      <c r="I10" s="64">
        <v>45139</v>
      </c>
      <c r="J10">
        <v>606</v>
      </c>
      <c r="K10">
        <v>813</v>
      </c>
      <c r="L10">
        <v>0</v>
      </c>
      <c r="M10">
        <v>2214</v>
      </c>
      <c r="N10">
        <v>29</v>
      </c>
    </row>
    <row r="11" spans="1:14" x14ac:dyDescent="0.2">
      <c r="A11" s="63">
        <v>9</v>
      </c>
      <c r="B11" s="64">
        <v>45170</v>
      </c>
      <c r="C11">
        <v>0.24294960702727689</v>
      </c>
      <c r="D11">
        <v>0.2387887193712436</v>
      </c>
      <c r="E11">
        <v>0</v>
      </c>
      <c r="F11">
        <v>5.1317614424410539E-2</v>
      </c>
      <c r="H11" s="63">
        <v>9</v>
      </c>
      <c r="I11" s="64">
        <v>45170</v>
      </c>
      <c r="J11">
        <v>1051</v>
      </c>
      <c r="K11">
        <v>1033</v>
      </c>
      <c r="L11">
        <v>0</v>
      </c>
      <c r="M11">
        <v>4326</v>
      </c>
      <c r="N11">
        <v>222</v>
      </c>
    </row>
    <row r="12" spans="1:14" x14ac:dyDescent="0.2">
      <c r="A12" s="63">
        <v>10</v>
      </c>
      <c r="B12" s="64">
        <v>45200</v>
      </c>
      <c r="C12">
        <v>0.38375314861460957</v>
      </c>
      <c r="D12">
        <v>0.2306045340050378</v>
      </c>
      <c r="E12">
        <v>0</v>
      </c>
      <c r="F12">
        <v>4.2191435768261967E-2</v>
      </c>
      <c r="H12" s="63">
        <v>10</v>
      </c>
      <c r="I12" s="64">
        <v>45200</v>
      </c>
      <c r="J12">
        <v>3047</v>
      </c>
      <c r="K12">
        <v>1831</v>
      </c>
      <c r="L12">
        <v>0</v>
      </c>
      <c r="M12">
        <v>7940</v>
      </c>
      <c r="N12">
        <v>335</v>
      </c>
    </row>
    <row r="13" spans="1:14" x14ac:dyDescent="0.2">
      <c r="A13" s="63">
        <v>11</v>
      </c>
      <c r="B13" s="64">
        <v>45231</v>
      </c>
      <c r="C13">
        <v>0.3466644261468661</v>
      </c>
      <c r="D13">
        <v>0.2239959670643589</v>
      </c>
      <c r="E13">
        <v>0</v>
      </c>
      <c r="F13">
        <v>3.461603091917325E-2</v>
      </c>
      <c r="H13" s="63">
        <v>11</v>
      </c>
      <c r="I13" s="64">
        <v>45231</v>
      </c>
      <c r="J13">
        <v>2063</v>
      </c>
      <c r="K13">
        <v>1333</v>
      </c>
      <c r="L13">
        <v>0</v>
      </c>
      <c r="M13">
        <v>5951</v>
      </c>
      <c r="N13">
        <v>206</v>
      </c>
    </row>
    <row r="14" spans="1:14" x14ac:dyDescent="0.2">
      <c r="A14" s="63">
        <v>12</v>
      </c>
      <c r="B14" s="64">
        <v>45261</v>
      </c>
      <c r="C14">
        <v>0.39618609238862401</v>
      </c>
      <c r="D14">
        <v>0.2064770672365609</v>
      </c>
      <c r="E14">
        <v>0</v>
      </c>
      <c r="F14">
        <v>2.663159625184942E-2</v>
      </c>
      <c r="H14" s="63">
        <v>12</v>
      </c>
      <c r="I14" s="64">
        <v>45261</v>
      </c>
      <c r="J14">
        <v>2410</v>
      </c>
      <c r="K14">
        <v>1256</v>
      </c>
      <c r="L14">
        <v>0</v>
      </c>
      <c r="M14">
        <v>6083</v>
      </c>
      <c r="N14">
        <v>162</v>
      </c>
    </row>
    <row r="15" spans="1:14" x14ac:dyDescent="0.2">
      <c r="A15" s="63">
        <v>13</v>
      </c>
      <c r="B15" s="64">
        <v>45292</v>
      </c>
      <c r="C15">
        <v>0.38477431659249839</v>
      </c>
      <c r="D15">
        <v>0.23219961856325491</v>
      </c>
      <c r="E15">
        <v>0</v>
      </c>
      <c r="F15">
        <v>3.5600762873490149E-2</v>
      </c>
      <c r="H15" s="63">
        <v>13</v>
      </c>
      <c r="I15" s="64">
        <v>45292</v>
      </c>
      <c r="J15">
        <v>2421</v>
      </c>
      <c r="K15">
        <v>1461</v>
      </c>
      <c r="L15">
        <v>0</v>
      </c>
      <c r="M15">
        <v>6292</v>
      </c>
      <c r="N15">
        <v>224</v>
      </c>
    </row>
    <row r="16" spans="1:14" x14ac:dyDescent="0.2">
      <c r="A16" s="63">
        <v>14</v>
      </c>
      <c r="B16" s="64">
        <v>45323</v>
      </c>
      <c r="C16">
        <v>0.35522151898734178</v>
      </c>
      <c r="D16">
        <v>0.24541139240506329</v>
      </c>
      <c r="E16">
        <v>0</v>
      </c>
      <c r="F16">
        <v>3.212025316455696E-2</v>
      </c>
      <c r="H16" s="63">
        <v>14</v>
      </c>
      <c r="I16" s="64">
        <v>45323</v>
      </c>
      <c r="J16">
        <v>2245</v>
      </c>
      <c r="K16">
        <v>1551</v>
      </c>
      <c r="L16">
        <v>0</v>
      </c>
      <c r="M16">
        <v>6320</v>
      </c>
      <c r="N16">
        <v>203</v>
      </c>
    </row>
    <row r="17" spans="1:14" x14ac:dyDescent="0.2">
      <c r="A17" s="63">
        <v>15</v>
      </c>
      <c r="B17" s="64">
        <v>45352</v>
      </c>
      <c r="C17">
        <v>0.39979641175722103</v>
      </c>
      <c r="D17">
        <v>0.2245832803155618</v>
      </c>
      <c r="E17">
        <v>0</v>
      </c>
      <c r="F17">
        <v>2.4557831785214399E-2</v>
      </c>
      <c r="H17" s="63">
        <v>15</v>
      </c>
      <c r="I17" s="64">
        <v>45352</v>
      </c>
      <c r="J17">
        <v>3142</v>
      </c>
      <c r="K17">
        <v>1765</v>
      </c>
      <c r="L17">
        <v>0</v>
      </c>
      <c r="M17">
        <v>7859</v>
      </c>
      <c r="N17">
        <v>193</v>
      </c>
    </row>
    <row r="18" spans="1:14" x14ac:dyDescent="0.2">
      <c r="A18" s="63">
        <v>16</v>
      </c>
      <c r="B18" s="64">
        <v>45383</v>
      </c>
      <c r="C18">
        <v>0.39657585872725309</v>
      </c>
      <c r="D18">
        <v>0.16033164638742331</v>
      </c>
      <c r="E18">
        <v>0</v>
      </c>
      <c r="F18">
        <v>1.690535156670615E-2</v>
      </c>
      <c r="H18" s="63">
        <v>16</v>
      </c>
      <c r="I18" s="64">
        <v>45383</v>
      </c>
      <c r="J18">
        <v>3683</v>
      </c>
      <c r="K18">
        <v>1489</v>
      </c>
      <c r="L18">
        <v>0</v>
      </c>
      <c r="M18">
        <v>9287</v>
      </c>
      <c r="N18">
        <v>157</v>
      </c>
    </row>
    <row r="19" spans="1:14" x14ac:dyDescent="0.2">
      <c r="A19" s="63">
        <v>17</v>
      </c>
      <c r="B19" s="64">
        <v>45413</v>
      </c>
      <c r="C19">
        <v>0.29031085257225958</v>
      </c>
      <c r="D19">
        <v>0.1577894928194874</v>
      </c>
      <c r="E19">
        <v>0</v>
      </c>
      <c r="F19">
        <v>2.3995637156880571E-2</v>
      </c>
      <c r="H19" s="63">
        <v>17</v>
      </c>
      <c r="I19" s="64">
        <v>45413</v>
      </c>
      <c r="J19">
        <v>1597</v>
      </c>
      <c r="K19">
        <v>868</v>
      </c>
      <c r="L19">
        <v>0</v>
      </c>
      <c r="M19">
        <v>5501</v>
      </c>
      <c r="N19">
        <v>132</v>
      </c>
    </row>
    <row r="20" spans="1:14" x14ac:dyDescent="0.2">
      <c r="A20" s="63">
        <v>18</v>
      </c>
      <c r="B20" s="64">
        <v>45444</v>
      </c>
      <c r="C20">
        <v>0.26909722222222221</v>
      </c>
      <c r="D20">
        <v>0.16631944444444441</v>
      </c>
      <c r="E20">
        <v>0</v>
      </c>
      <c r="F20">
        <v>1.7013888888888891E-2</v>
      </c>
      <c r="H20" s="63">
        <v>18</v>
      </c>
      <c r="I20" s="64">
        <v>45444</v>
      </c>
      <c r="J20">
        <v>1550</v>
      </c>
      <c r="K20">
        <v>958</v>
      </c>
      <c r="L20">
        <v>0</v>
      </c>
      <c r="M20">
        <v>5760</v>
      </c>
      <c r="N20">
        <v>98</v>
      </c>
    </row>
    <row r="21" spans="1:14" x14ac:dyDescent="0.2">
      <c r="A21" s="63">
        <v>19</v>
      </c>
      <c r="B21" s="64">
        <v>45474</v>
      </c>
      <c r="C21">
        <v>0.37830006439150032</v>
      </c>
      <c r="D21">
        <v>0.216677398583387</v>
      </c>
      <c r="E21">
        <v>0</v>
      </c>
      <c r="F21">
        <v>1.835157759175789E-2</v>
      </c>
      <c r="H21" s="63">
        <v>19</v>
      </c>
      <c r="I21" s="64">
        <v>45474</v>
      </c>
      <c r="J21">
        <v>2350</v>
      </c>
      <c r="K21">
        <v>1346</v>
      </c>
      <c r="L21">
        <v>0</v>
      </c>
      <c r="M21">
        <v>6212</v>
      </c>
      <c r="N21">
        <v>114</v>
      </c>
    </row>
    <row r="22" spans="1:14" x14ac:dyDescent="0.2">
      <c r="A22" s="63">
        <v>20</v>
      </c>
      <c r="B22" s="64">
        <v>45505</v>
      </c>
      <c r="C22">
        <v>0.29905098212315162</v>
      </c>
      <c r="D22">
        <v>0.2015007724564114</v>
      </c>
      <c r="E22">
        <v>0</v>
      </c>
      <c r="F22">
        <v>2.2511586846170821E-2</v>
      </c>
      <c r="H22" s="63">
        <v>20</v>
      </c>
      <c r="I22" s="64">
        <v>45505</v>
      </c>
      <c r="J22">
        <v>1355</v>
      </c>
      <c r="K22">
        <v>913</v>
      </c>
      <c r="L22">
        <v>0</v>
      </c>
      <c r="M22">
        <v>4531</v>
      </c>
      <c r="N22">
        <v>102</v>
      </c>
    </row>
    <row r="23" spans="1:14" x14ac:dyDescent="0.2">
      <c r="A23" s="63">
        <v>21</v>
      </c>
      <c r="B23" s="64">
        <v>45536</v>
      </c>
      <c r="C23">
        <v>0.25826598089639968</v>
      </c>
      <c r="D23">
        <v>0.16972814107274059</v>
      </c>
      <c r="E23">
        <v>0</v>
      </c>
      <c r="F23">
        <v>2.4981631153563551E-2</v>
      </c>
      <c r="H23" s="63">
        <v>21</v>
      </c>
      <c r="I23" s="64">
        <v>45536</v>
      </c>
      <c r="J23">
        <v>1406</v>
      </c>
      <c r="K23">
        <v>924</v>
      </c>
      <c r="L23">
        <v>0</v>
      </c>
      <c r="M23">
        <v>5444</v>
      </c>
      <c r="N23">
        <v>136</v>
      </c>
    </row>
    <row r="24" spans="1:14" x14ac:dyDescent="0.2">
      <c r="A24" s="63">
        <v>22</v>
      </c>
      <c r="B24" s="64">
        <v>45566</v>
      </c>
      <c r="C24">
        <v>0.30654761904761912</v>
      </c>
      <c r="D24">
        <v>0.18347338935574231</v>
      </c>
      <c r="E24">
        <v>0</v>
      </c>
      <c r="F24">
        <v>2.5210084033613449E-2</v>
      </c>
      <c r="H24" s="63">
        <v>22</v>
      </c>
      <c r="I24" s="64">
        <v>45566</v>
      </c>
      <c r="J24">
        <v>1751</v>
      </c>
      <c r="K24">
        <v>1048</v>
      </c>
      <c r="L24">
        <v>0</v>
      </c>
      <c r="M24">
        <v>5712</v>
      </c>
      <c r="N24">
        <v>144</v>
      </c>
    </row>
    <row r="25" spans="1:14" x14ac:dyDescent="0.2">
      <c r="A25" s="63">
        <v>23</v>
      </c>
      <c r="B25" s="64">
        <v>45597</v>
      </c>
      <c r="C25">
        <v>0.24273902904388381</v>
      </c>
      <c r="D25">
        <v>0.16005935976256089</v>
      </c>
      <c r="E25">
        <v>0</v>
      </c>
      <c r="F25">
        <v>2.310790756836973E-2</v>
      </c>
      <c r="H25" s="63">
        <v>23</v>
      </c>
      <c r="I25" s="64">
        <v>45597</v>
      </c>
      <c r="J25">
        <v>1145</v>
      </c>
      <c r="K25">
        <v>755</v>
      </c>
      <c r="L25">
        <v>0</v>
      </c>
      <c r="M25">
        <v>4717</v>
      </c>
      <c r="N25">
        <v>109</v>
      </c>
    </row>
    <row r="26" spans="1:14" x14ac:dyDescent="0.2">
      <c r="A26" s="63">
        <v>24</v>
      </c>
      <c r="B26" s="64">
        <v>45627</v>
      </c>
      <c r="C26">
        <v>0.26682224815246991</v>
      </c>
      <c r="D26">
        <v>0.16705562038117461</v>
      </c>
      <c r="E26">
        <v>0</v>
      </c>
      <c r="F26">
        <v>2.6059898872034231E-2</v>
      </c>
      <c r="H26" s="63">
        <v>24</v>
      </c>
      <c r="I26" s="64">
        <v>45627</v>
      </c>
      <c r="J26">
        <v>1372</v>
      </c>
      <c r="K26">
        <v>859</v>
      </c>
      <c r="L26">
        <v>0</v>
      </c>
      <c r="M26">
        <v>5142</v>
      </c>
      <c r="N26">
        <v>134</v>
      </c>
    </row>
    <row r="27" spans="1:14" x14ac:dyDescent="0.2">
      <c r="A27" s="63">
        <v>25</v>
      </c>
      <c r="B27" s="64">
        <v>45658</v>
      </c>
      <c r="C27">
        <v>0.24859287054408999</v>
      </c>
      <c r="D27">
        <v>0.1532833020637899</v>
      </c>
      <c r="E27">
        <v>0</v>
      </c>
      <c r="F27">
        <v>2.1763602251407131E-2</v>
      </c>
      <c r="H27" s="63">
        <v>25</v>
      </c>
      <c r="I27" s="64">
        <v>45658</v>
      </c>
      <c r="J27">
        <v>1325</v>
      </c>
      <c r="K27">
        <v>817</v>
      </c>
      <c r="L27">
        <v>0</v>
      </c>
      <c r="M27">
        <v>5330</v>
      </c>
      <c r="N27">
        <v>116</v>
      </c>
    </row>
    <row r="28" spans="1:14" x14ac:dyDescent="0.2">
      <c r="A28" s="63">
        <v>26</v>
      </c>
      <c r="B28" s="64">
        <v>45689</v>
      </c>
      <c r="C28">
        <v>0.25638210266264072</v>
      </c>
      <c r="D28">
        <v>0.15536645621740319</v>
      </c>
      <c r="E28">
        <v>0</v>
      </c>
      <c r="F28">
        <v>2.7998902003842991E-2</v>
      </c>
      <c r="H28" s="63">
        <v>26</v>
      </c>
      <c r="I28" s="64">
        <v>45689</v>
      </c>
      <c r="J28">
        <v>934</v>
      </c>
      <c r="K28">
        <v>566</v>
      </c>
      <c r="L28">
        <v>0</v>
      </c>
      <c r="M28">
        <v>3643</v>
      </c>
      <c r="N28">
        <v>102</v>
      </c>
    </row>
    <row r="29" spans="1:14" x14ac:dyDescent="0.2">
      <c r="A29" s="63">
        <v>27</v>
      </c>
      <c r="B29" s="64">
        <v>45717</v>
      </c>
      <c r="C29">
        <v>0.25739089629282019</v>
      </c>
      <c r="D29">
        <v>0.1264664476771469</v>
      </c>
      <c r="E29">
        <v>0</v>
      </c>
      <c r="F29">
        <v>2.6278742374472079E-2</v>
      </c>
      <c r="H29" s="63">
        <v>27</v>
      </c>
      <c r="I29" s="64">
        <v>45717</v>
      </c>
      <c r="J29">
        <v>1097</v>
      </c>
      <c r="K29">
        <v>539</v>
      </c>
      <c r="L29">
        <v>0</v>
      </c>
      <c r="M29">
        <v>4262</v>
      </c>
      <c r="N29">
        <v>112</v>
      </c>
    </row>
    <row r="30" spans="1:14" x14ac:dyDescent="0.2">
      <c r="A30" s="63">
        <v>28</v>
      </c>
      <c r="B30" s="64">
        <v>45748</v>
      </c>
      <c r="C30">
        <v>0.31634485855410871</v>
      </c>
      <c r="D30">
        <v>0.1084418500224517</v>
      </c>
      <c r="E30">
        <v>0</v>
      </c>
      <c r="F30">
        <v>1.6614279299506061E-2</v>
      </c>
      <c r="H30" s="63">
        <v>28</v>
      </c>
      <c r="I30" s="64">
        <v>45748</v>
      </c>
      <c r="J30">
        <v>1409</v>
      </c>
      <c r="K30">
        <v>483</v>
      </c>
      <c r="L30">
        <v>0</v>
      </c>
      <c r="M30">
        <v>4454</v>
      </c>
      <c r="N30">
        <v>74</v>
      </c>
    </row>
    <row r="31" spans="1:14" x14ac:dyDescent="0.2">
      <c r="A31" s="63">
        <v>29</v>
      </c>
      <c r="B31" s="64">
        <v>45778</v>
      </c>
      <c r="C31">
        <v>0.19230769230769229</v>
      </c>
      <c r="D31">
        <v>9.0365944734876774E-2</v>
      </c>
      <c r="E31">
        <v>0</v>
      </c>
      <c r="F31">
        <v>1.568334578043316E-2</v>
      </c>
      <c r="H31" s="63">
        <v>29</v>
      </c>
      <c r="I31" s="64">
        <v>45778</v>
      </c>
      <c r="J31">
        <v>515</v>
      </c>
      <c r="K31">
        <v>242</v>
      </c>
      <c r="L31">
        <v>0</v>
      </c>
      <c r="M31">
        <v>2678</v>
      </c>
      <c r="N31">
        <v>42</v>
      </c>
    </row>
    <row r="32" spans="1:14" x14ac:dyDescent="0.2">
      <c r="A32" s="63">
        <v>30</v>
      </c>
      <c r="B32" s="64">
        <v>45809</v>
      </c>
      <c r="C32">
        <v>0.19392123287671231</v>
      </c>
      <c r="D32">
        <v>8.3476027397260275E-2</v>
      </c>
      <c r="E32">
        <v>0</v>
      </c>
      <c r="F32">
        <v>1.7123287671232879E-2</v>
      </c>
      <c r="H32" s="63">
        <v>30</v>
      </c>
      <c r="I32" s="64">
        <v>45809</v>
      </c>
      <c r="J32">
        <v>453</v>
      </c>
      <c r="K32">
        <v>195</v>
      </c>
      <c r="L32">
        <v>0</v>
      </c>
      <c r="M32">
        <v>2336</v>
      </c>
      <c r="N32">
        <v>40</v>
      </c>
    </row>
    <row r="33" spans="1:14" x14ac:dyDescent="0.2">
      <c r="A33" s="63">
        <v>31</v>
      </c>
      <c r="B33" s="64">
        <v>45839</v>
      </c>
      <c r="C33">
        <v>0.26991317478293703</v>
      </c>
      <c r="D33">
        <v>9.6262740656851642E-2</v>
      </c>
      <c r="E33">
        <v>7.5500188750471874E-4</v>
      </c>
      <c r="F33">
        <v>1.9630049075122689E-2</v>
      </c>
      <c r="H33" s="63">
        <v>31</v>
      </c>
      <c r="I33" s="64">
        <v>45839</v>
      </c>
      <c r="J33">
        <v>715</v>
      </c>
      <c r="K33">
        <v>255</v>
      </c>
      <c r="L33">
        <v>2</v>
      </c>
      <c r="M33">
        <v>2649</v>
      </c>
      <c r="N33">
        <v>52</v>
      </c>
    </row>
    <row r="34" spans="1:14" x14ac:dyDescent="0.2">
      <c r="A34" s="63">
        <v>32</v>
      </c>
      <c r="B34" s="64">
        <v>45870</v>
      </c>
      <c r="C34">
        <v>0.19503722084367239</v>
      </c>
      <c r="D34">
        <v>8.2878411910669969E-2</v>
      </c>
      <c r="E34">
        <v>1.786600496277916E-2</v>
      </c>
      <c r="F34">
        <v>2.0347394540942931E-2</v>
      </c>
      <c r="H34" s="63">
        <v>32</v>
      </c>
      <c r="I34" s="64">
        <v>45870</v>
      </c>
      <c r="J34">
        <v>393</v>
      </c>
      <c r="K34">
        <v>167</v>
      </c>
      <c r="L34">
        <v>36</v>
      </c>
      <c r="M34">
        <v>2015</v>
      </c>
      <c r="N34">
        <v>41</v>
      </c>
    </row>
    <row r="35" spans="1:14" x14ac:dyDescent="0.2">
      <c r="A35" s="63">
        <v>33</v>
      </c>
      <c r="B35" s="64">
        <v>45901</v>
      </c>
      <c r="C35">
        <v>0.1248741188318228</v>
      </c>
      <c r="D35">
        <v>7.3514602215508554E-2</v>
      </c>
      <c r="E35">
        <v>1.1581067472306141E-2</v>
      </c>
      <c r="F35">
        <v>1.7875125881168179E-2</v>
      </c>
      <c r="H35" s="63">
        <v>33</v>
      </c>
      <c r="I35" s="64">
        <v>45901</v>
      </c>
      <c r="J35">
        <v>496</v>
      </c>
      <c r="K35">
        <v>292</v>
      </c>
      <c r="L35">
        <v>46</v>
      </c>
      <c r="M35">
        <v>3972</v>
      </c>
      <c r="N35">
        <v>71</v>
      </c>
    </row>
    <row r="36" spans="1:14" x14ac:dyDescent="0.2">
      <c r="A36" s="63">
        <v>34</v>
      </c>
      <c r="B36" s="64">
        <v>45931</v>
      </c>
      <c r="C36">
        <v>0.1675353685778109</v>
      </c>
      <c r="D36">
        <v>7.5452965996525193E-2</v>
      </c>
      <c r="E36">
        <v>4.7158103747828254E-3</v>
      </c>
      <c r="F36">
        <v>1.0176222387689249E-2</v>
      </c>
      <c r="H36" s="63">
        <v>34</v>
      </c>
      <c r="I36" s="64">
        <v>45931</v>
      </c>
      <c r="J36">
        <v>675</v>
      </c>
      <c r="K36">
        <v>304</v>
      </c>
      <c r="L36">
        <v>19</v>
      </c>
      <c r="M36">
        <v>4029</v>
      </c>
      <c r="N36">
        <v>41</v>
      </c>
    </row>
    <row r="37" spans="1:14" x14ac:dyDescent="0.2">
      <c r="A37" s="63">
        <v>35</v>
      </c>
      <c r="B37" s="64">
        <v>45962</v>
      </c>
      <c r="C37">
        <v>0.14640883977900551</v>
      </c>
      <c r="D37">
        <v>7.4980268350434101E-2</v>
      </c>
      <c r="E37">
        <v>7.8926598263614842E-3</v>
      </c>
      <c r="F37">
        <v>1.3417521704814519E-2</v>
      </c>
      <c r="H37" s="63">
        <v>35</v>
      </c>
      <c r="I37" s="64">
        <v>45962</v>
      </c>
      <c r="J37">
        <v>371</v>
      </c>
      <c r="K37">
        <v>190</v>
      </c>
      <c r="L37">
        <v>20</v>
      </c>
      <c r="M37">
        <v>2534</v>
      </c>
      <c r="N37">
        <v>34</v>
      </c>
    </row>
    <row r="38" spans="1:14" x14ac:dyDescent="0.2">
      <c r="A38" s="63">
        <v>36</v>
      </c>
      <c r="B38" s="64">
        <v>45992</v>
      </c>
      <c r="C38">
        <v>0.1263440860215054</v>
      </c>
      <c r="D38">
        <v>0.1095430107526882</v>
      </c>
      <c r="E38">
        <v>4.7043010752688174E-3</v>
      </c>
      <c r="F38">
        <v>1.0080645161290321E-2</v>
      </c>
      <c r="H38" s="63">
        <v>36</v>
      </c>
      <c r="I38" s="64">
        <v>45992</v>
      </c>
      <c r="J38">
        <v>376</v>
      </c>
      <c r="K38">
        <v>326</v>
      </c>
      <c r="L38">
        <v>14</v>
      </c>
      <c r="M38">
        <v>2976</v>
      </c>
      <c r="N38">
        <v>30</v>
      </c>
    </row>
    <row r="39" spans="1:14" s="67" customFormat="1" x14ac:dyDescent="0.2">
      <c r="A39" s="65">
        <v>37</v>
      </c>
      <c r="B39" s="66">
        <v>46023</v>
      </c>
      <c r="C39" s="67">
        <v>0.1228457799381352</v>
      </c>
      <c r="D39" s="67">
        <v>0.13698630136986301</v>
      </c>
      <c r="E39" s="67">
        <v>6.1864781263809114E-3</v>
      </c>
      <c r="F39" s="67">
        <v>1.016349977905435E-2</v>
      </c>
      <c r="H39" s="65">
        <v>37</v>
      </c>
      <c r="I39" s="66">
        <v>46023</v>
      </c>
      <c r="J39" s="67">
        <v>278</v>
      </c>
      <c r="K39" s="67">
        <v>310</v>
      </c>
      <c r="L39" s="67">
        <v>14</v>
      </c>
      <c r="M39" s="67">
        <v>2263</v>
      </c>
      <c r="N39" s="67">
        <v>23</v>
      </c>
    </row>
    <row r="40" spans="1:14" s="67" customFormat="1" x14ac:dyDescent="0.2">
      <c r="A40" s="65">
        <v>38</v>
      </c>
      <c r="B40" s="66">
        <v>46054</v>
      </c>
      <c r="C40" s="67">
        <v>0.1255946717411989</v>
      </c>
      <c r="D40" s="67">
        <v>0.13320647002854419</v>
      </c>
      <c r="E40" s="67">
        <v>2.85442435775452E-3</v>
      </c>
      <c r="F40" s="67">
        <v>1.04662226450999E-2</v>
      </c>
      <c r="H40" s="65">
        <v>38</v>
      </c>
      <c r="I40" s="66">
        <v>46054</v>
      </c>
      <c r="J40" s="67">
        <v>264</v>
      </c>
      <c r="K40" s="67">
        <v>280</v>
      </c>
      <c r="L40" s="67">
        <v>6</v>
      </c>
      <c r="M40" s="67">
        <v>2102</v>
      </c>
      <c r="N40" s="67">
        <v>22</v>
      </c>
    </row>
    <row r="41" spans="1:14" s="67" customFormat="1" x14ac:dyDescent="0.2">
      <c r="A41" s="65">
        <v>39</v>
      </c>
      <c r="B41" s="66">
        <v>46082</v>
      </c>
      <c r="C41" s="67">
        <v>0.1342031686859273</v>
      </c>
      <c r="D41" s="67">
        <v>0.15517241379310351</v>
      </c>
      <c r="E41" s="67">
        <v>6.9897483690587138E-3</v>
      </c>
      <c r="F41" s="67">
        <v>1.3047530288909599E-2</v>
      </c>
      <c r="H41" s="65">
        <v>39</v>
      </c>
      <c r="I41" s="66">
        <v>46082</v>
      </c>
      <c r="J41" s="67">
        <v>288</v>
      </c>
      <c r="K41" s="67">
        <v>333</v>
      </c>
      <c r="L41" s="67">
        <v>15</v>
      </c>
      <c r="M41" s="67">
        <v>2146</v>
      </c>
      <c r="N41" s="67">
        <v>28</v>
      </c>
    </row>
    <row r="42" spans="1:14" s="67" customFormat="1" x14ac:dyDescent="0.2">
      <c r="A42" s="65">
        <v>40</v>
      </c>
      <c r="B42" s="66">
        <v>46113</v>
      </c>
      <c r="C42" s="67">
        <v>0.21121416526138281</v>
      </c>
      <c r="D42" s="67">
        <v>0.15851602023608771</v>
      </c>
      <c r="E42" s="67">
        <v>2.951096121416526E-3</v>
      </c>
      <c r="F42" s="67">
        <v>3.7942664418212481E-3</v>
      </c>
      <c r="H42" s="65">
        <v>40</v>
      </c>
      <c r="I42" s="66">
        <v>46113</v>
      </c>
      <c r="J42" s="67">
        <v>501</v>
      </c>
      <c r="K42" s="67">
        <v>376</v>
      </c>
      <c r="L42" s="67">
        <v>7</v>
      </c>
      <c r="M42" s="67">
        <v>2372</v>
      </c>
      <c r="N42" s="67">
        <v>9</v>
      </c>
    </row>
    <row r="43" spans="1:14" s="67" customFormat="1" x14ac:dyDescent="0.2">
      <c r="A43" s="65">
        <v>41</v>
      </c>
      <c r="B43" s="66">
        <v>46143</v>
      </c>
      <c r="C43" s="67">
        <v>0.1087087087087087</v>
      </c>
      <c r="D43" s="67">
        <v>0.1705705705705706</v>
      </c>
      <c r="E43" s="67">
        <v>4.8048048048048048E-2</v>
      </c>
      <c r="F43" s="67">
        <v>9.0090090090090089E-3</v>
      </c>
      <c r="H43" s="65">
        <v>41</v>
      </c>
      <c r="I43" s="66">
        <v>46143</v>
      </c>
      <c r="J43" s="67">
        <v>181</v>
      </c>
      <c r="K43" s="67">
        <v>284</v>
      </c>
      <c r="L43" s="67">
        <v>80</v>
      </c>
      <c r="M43" s="67">
        <v>1665</v>
      </c>
      <c r="N43" s="67">
        <v>15</v>
      </c>
    </row>
    <row r="44" spans="1:14" x14ac:dyDescent="0.2">
      <c r="A44" s="63">
        <v>42</v>
      </c>
      <c r="B44" s="64">
        <v>46174</v>
      </c>
      <c r="C44">
        <v>0.10444444444444451</v>
      </c>
      <c r="D44">
        <v>0.1822222222222222</v>
      </c>
      <c r="E44">
        <v>7.1111111111111111E-2</v>
      </c>
      <c r="F44">
        <v>8.8888888888888889E-3</v>
      </c>
      <c r="H44" s="63">
        <v>42</v>
      </c>
      <c r="I44" s="64">
        <v>46174</v>
      </c>
      <c r="J44">
        <v>47</v>
      </c>
      <c r="K44">
        <v>82</v>
      </c>
      <c r="L44">
        <v>32</v>
      </c>
      <c r="M44">
        <v>450</v>
      </c>
      <c r="N44">
        <v>4</v>
      </c>
    </row>
    <row r="46" spans="1:14" x14ac:dyDescent="0.2">
      <c r="C46" s="68">
        <f>AVERAGE(C39:C43)</f>
        <v>0.14051329886707059</v>
      </c>
      <c r="D46" s="68">
        <f>AVERAGE(D39:D43)</f>
        <v>0.15089035519963379</v>
      </c>
      <c r="J46" s="69">
        <f>AVERAGE(J39:J43)</f>
        <v>302.39999999999998</v>
      </c>
      <c r="K46" s="69">
        <f>AVERAGE(K39:K43)</f>
        <v>316.60000000000002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8B89-CF3D-F64F-A07A-1E59C11791E6}">
  <dimension ref="A1:AR39"/>
  <sheetViews>
    <sheetView workbookViewId="0">
      <selection activeCell="AH39" sqref="AH39"/>
    </sheetView>
  </sheetViews>
  <sheetFormatPr baseColWidth="10" defaultColWidth="8.83203125" defaultRowHeight="16" x14ac:dyDescent="0.2"/>
  <cols>
    <col min="2" max="2" width="11.1640625" customWidth="1"/>
    <col min="12" max="12" width="8.83203125" style="142"/>
    <col min="24" max="24" width="10.5" customWidth="1"/>
    <col min="34" max="34" width="8.83203125" style="142"/>
  </cols>
  <sheetData>
    <row r="1" spans="1:44" x14ac:dyDescent="0.2">
      <c r="B1" t="s">
        <v>170</v>
      </c>
      <c r="X1" t="s">
        <v>169</v>
      </c>
    </row>
    <row r="2" spans="1:44" s="5" customFormat="1" ht="80" x14ac:dyDescent="0.2">
      <c r="B2" s="143" t="s">
        <v>149</v>
      </c>
      <c r="C2" s="143" t="s">
        <v>150</v>
      </c>
      <c r="D2" s="143" t="s">
        <v>151</v>
      </c>
      <c r="E2" s="143" t="s">
        <v>152</v>
      </c>
      <c r="F2" s="143" t="s">
        <v>153</v>
      </c>
      <c r="G2" s="143" t="s">
        <v>154</v>
      </c>
      <c r="H2" s="143" t="s">
        <v>155</v>
      </c>
      <c r="I2" s="143" t="s">
        <v>156</v>
      </c>
      <c r="J2" s="143" t="s">
        <v>157</v>
      </c>
      <c r="K2" s="143" t="s">
        <v>158</v>
      </c>
      <c r="L2" s="146" t="s">
        <v>159</v>
      </c>
      <c r="M2" s="143" t="s">
        <v>160</v>
      </c>
      <c r="N2" s="143" t="s">
        <v>161</v>
      </c>
      <c r="O2" s="143" t="s">
        <v>162</v>
      </c>
      <c r="P2" s="143" t="s">
        <v>163</v>
      </c>
      <c r="Q2" s="143" t="s">
        <v>164</v>
      </c>
      <c r="R2" s="143" t="s">
        <v>165</v>
      </c>
      <c r="S2" s="143" t="s">
        <v>166</v>
      </c>
      <c r="T2" s="143" t="s">
        <v>167</v>
      </c>
      <c r="U2" s="143" t="s">
        <v>168</v>
      </c>
      <c r="V2" s="5" t="s">
        <v>128</v>
      </c>
      <c r="X2" s="143" t="s">
        <v>149</v>
      </c>
      <c r="Y2" s="143" t="s">
        <v>150</v>
      </c>
      <c r="Z2" s="143" t="s">
        <v>151</v>
      </c>
      <c r="AA2" s="143" t="s">
        <v>152</v>
      </c>
      <c r="AB2" s="143" t="s">
        <v>153</v>
      </c>
      <c r="AC2" s="143" t="s">
        <v>154</v>
      </c>
      <c r="AD2" s="143" t="s">
        <v>155</v>
      </c>
      <c r="AE2" s="143" t="s">
        <v>156</v>
      </c>
      <c r="AF2" s="143" t="s">
        <v>157</v>
      </c>
      <c r="AG2" s="143" t="s">
        <v>158</v>
      </c>
      <c r="AH2" s="146" t="s">
        <v>159</v>
      </c>
      <c r="AI2" s="143" t="s">
        <v>160</v>
      </c>
      <c r="AJ2" s="143" t="s">
        <v>161</v>
      </c>
      <c r="AK2" s="143" t="s">
        <v>162</v>
      </c>
      <c r="AL2" s="143" t="s">
        <v>163</v>
      </c>
      <c r="AM2" s="143" t="s">
        <v>164</v>
      </c>
      <c r="AN2" s="143" t="s">
        <v>165</v>
      </c>
      <c r="AO2" s="143" t="s">
        <v>166</v>
      </c>
      <c r="AP2" s="143" t="s">
        <v>167</v>
      </c>
      <c r="AQ2" s="143" t="s">
        <v>168</v>
      </c>
      <c r="AR2" s="5" t="s">
        <v>128</v>
      </c>
    </row>
    <row r="3" spans="1:44" x14ac:dyDescent="0.2">
      <c r="A3" s="63">
        <v>0</v>
      </c>
      <c r="B3" s="64">
        <v>45139</v>
      </c>
      <c r="J3">
        <v>15000</v>
      </c>
      <c r="W3" s="63">
        <v>0</v>
      </c>
      <c r="X3" s="64">
        <v>45139</v>
      </c>
      <c r="AF3">
        <v>3</v>
      </c>
    </row>
    <row r="4" spans="1:44" x14ac:dyDescent="0.2">
      <c r="A4" s="63">
        <v>1</v>
      </c>
      <c r="B4" s="64">
        <v>45170</v>
      </c>
      <c r="J4">
        <v>335000</v>
      </c>
      <c r="W4" s="63">
        <v>1</v>
      </c>
      <c r="X4" s="64">
        <v>45170</v>
      </c>
      <c r="AF4">
        <v>67</v>
      </c>
    </row>
    <row r="5" spans="1:44" x14ac:dyDescent="0.2">
      <c r="A5" s="63">
        <v>2</v>
      </c>
      <c r="B5" s="64">
        <v>45200</v>
      </c>
      <c r="J5">
        <v>630000</v>
      </c>
      <c r="W5" s="63">
        <v>2</v>
      </c>
      <c r="X5" s="64">
        <v>45200</v>
      </c>
      <c r="AF5">
        <v>126</v>
      </c>
    </row>
    <row r="6" spans="1:44" x14ac:dyDescent="0.2">
      <c r="A6" s="63">
        <v>3</v>
      </c>
      <c r="B6" s="64">
        <v>45231</v>
      </c>
      <c r="J6">
        <v>695000</v>
      </c>
      <c r="W6" s="63">
        <v>3</v>
      </c>
      <c r="X6" s="64">
        <v>45231</v>
      </c>
      <c r="AF6">
        <v>139</v>
      </c>
    </row>
    <row r="7" spans="1:44" x14ac:dyDescent="0.2">
      <c r="A7" s="63">
        <v>4</v>
      </c>
      <c r="B7" s="64">
        <v>45261</v>
      </c>
      <c r="I7">
        <v>48000</v>
      </c>
      <c r="J7">
        <v>720000</v>
      </c>
      <c r="W7" s="63">
        <v>4</v>
      </c>
      <c r="X7" s="64">
        <v>45261</v>
      </c>
      <c r="AE7">
        <v>1</v>
      </c>
      <c r="AF7">
        <v>144</v>
      </c>
    </row>
    <row r="8" spans="1:44" x14ac:dyDescent="0.2">
      <c r="A8" s="63">
        <v>5</v>
      </c>
      <c r="B8" s="64">
        <v>45292</v>
      </c>
      <c r="I8">
        <v>48000</v>
      </c>
      <c r="J8">
        <v>720000</v>
      </c>
      <c r="W8" s="63">
        <v>5</v>
      </c>
      <c r="X8" s="64">
        <v>45292</v>
      </c>
      <c r="AE8">
        <v>1</v>
      </c>
      <c r="AF8">
        <v>144</v>
      </c>
    </row>
    <row r="9" spans="1:44" x14ac:dyDescent="0.2">
      <c r="A9" s="63">
        <v>6</v>
      </c>
      <c r="B9" s="64">
        <v>45323</v>
      </c>
      <c r="I9">
        <v>96000</v>
      </c>
      <c r="J9">
        <v>840000</v>
      </c>
      <c r="W9" s="63">
        <v>6</v>
      </c>
      <c r="X9" s="64">
        <v>45323</v>
      </c>
      <c r="AE9">
        <v>2</v>
      </c>
      <c r="AF9">
        <v>168</v>
      </c>
    </row>
    <row r="10" spans="1:44" x14ac:dyDescent="0.2">
      <c r="A10" s="63">
        <v>7</v>
      </c>
      <c r="B10" s="64">
        <v>45352</v>
      </c>
      <c r="I10">
        <v>48000</v>
      </c>
      <c r="J10">
        <v>940000</v>
      </c>
      <c r="W10" s="63">
        <v>7</v>
      </c>
      <c r="X10" s="64">
        <v>45352</v>
      </c>
      <c r="AE10">
        <v>1</v>
      </c>
      <c r="AF10">
        <v>188</v>
      </c>
    </row>
    <row r="11" spans="1:44" x14ac:dyDescent="0.2">
      <c r="A11" s="63">
        <v>8</v>
      </c>
      <c r="B11" s="64">
        <v>45383</v>
      </c>
      <c r="I11">
        <v>48000</v>
      </c>
      <c r="J11">
        <v>760000</v>
      </c>
      <c r="W11" s="63">
        <v>8</v>
      </c>
      <c r="X11" s="64">
        <v>45383</v>
      </c>
      <c r="AE11">
        <v>1</v>
      </c>
      <c r="AF11">
        <v>152</v>
      </c>
    </row>
    <row r="12" spans="1:44" x14ac:dyDescent="0.2">
      <c r="A12" s="63">
        <v>9</v>
      </c>
      <c r="B12" s="64">
        <v>45413</v>
      </c>
      <c r="I12">
        <v>48000</v>
      </c>
      <c r="J12">
        <v>625000</v>
      </c>
      <c r="W12" s="63">
        <v>9</v>
      </c>
      <c r="X12" s="64">
        <v>45413</v>
      </c>
      <c r="AE12">
        <v>1</v>
      </c>
      <c r="AF12">
        <v>125</v>
      </c>
    </row>
    <row r="13" spans="1:44" x14ac:dyDescent="0.2">
      <c r="A13" s="63">
        <v>10</v>
      </c>
      <c r="B13" s="64">
        <v>45444</v>
      </c>
      <c r="I13">
        <v>48000</v>
      </c>
      <c r="J13">
        <v>550000</v>
      </c>
      <c r="W13" s="63">
        <v>10</v>
      </c>
      <c r="X13" s="64">
        <v>45444</v>
      </c>
      <c r="AE13">
        <v>1</v>
      </c>
      <c r="AF13">
        <v>110</v>
      </c>
    </row>
    <row r="14" spans="1:44" x14ac:dyDescent="0.2">
      <c r="A14" s="63">
        <v>11</v>
      </c>
      <c r="B14" s="64">
        <v>45474</v>
      </c>
      <c r="J14">
        <v>570000</v>
      </c>
      <c r="K14">
        <v>45000</v>
      </c>
      <c r="W14" s="63">
        <v>11</v>
      </c>
      <c r="X14" s="64">
        <v>45474</v>
      </c>
      <c r="AF14">
        <v>114</v>
      </c>
      <c r="AG14">
        <v>6</v>
      </c>
    </row>
    <row r="15" spans="1:44" x14ac:dyDescent="0.2">
      <c r="A15" s="63">
        <v>12</v>
      </c>
      <c r="B15" s="64">
        <v>45505</v>
      </c>
      <c r="I15">
        <v>48000</v>
      </c>
      <c r="J15">
        <v>520000</v>
      </c>
      <c r="K15">
        <v>67500</v>
      </c>
      <c r="W15" s="63">
        <v>12</v>
      </c>
      <c r="X15" s="64">
        <v>45505</v>
      </c>
      <c r="AE15">
        <v>1</v>
      </c>
      <c r="AF15">
        <v>104</v>
      </c>
      <c r="AG15">
        <v>9</v>
      </c>
    </row>
    <row r="16" spans="1:44" x14ac:dyDescent="0.2">
      <c r="A16" s="63">
        <v>13</v>
      </c>
      <c r="B16" s="64">
        <v>45536</v>
      </c>
      <c r="J16">
        <v>525000</v>
      </c>
      <c r="K16">
        <v>45000</v>
      </c>
      <c r="W16" s="63">
        <v>13</v>
      </c>
      <c r="X16" s="64">
        <v>45536</v>
      </c>
      <c r="AF16">
        <v>105</v>
      </c>
      <c r="AG16">
        <v>6</v>
      </c>
    </row>
    <row r="17" spans="1:43" x14ac:dyDescent="0.2">
      <c r="A17" s="63">
        <v>14</v>
      </c>
      <c r="B17" s="64">
        <v>45566</v>
      </c>
      <c r="C17">
        <v>300</v>
      </c>
      <c r="E17">
        <v>30000</v>
      </c>
      <c r="F17">
        <v>1056000</v>
      </c>
      <c r="J17">
        <v>375000</v>
      </c>
      <c r="K17">
        <v>30000</v>
      </c>
      <c r="W17" s="63">
        <v>14</v>
      </c>
      <c r="X17" s="64">
        <v>45566</v>
      </c>
      <c r="Y17">
        <v>3</v>
      </c>
      <c r="AA17">
        <v>1</v>
      </c>
      <c r="AB17">
        <v>22</v>
      </c>
      <c r="AF17">
        <v>75</v>
      </c>
      <c r="AG17">
        <v>4</v>
      </c>
    </row>
    <row r="18" spans="1:43" x14ac:dyDescent="0.2">
      <c r="A18" s="63">
        <v>15</v>
      </c>
      <c r="B18" s="64">
        <v>45597</v>
      </c>
      <c r="D18">
        <v>100500</v>
      </c>
      <c r="F18">
        <v>2016000</v>
      </c>
      <c r="H18">
        <v>160000</v>
      </c>
      <c r="J18">
        <v>185000</v>
      </c>
      <c r="K18">
        <v>30000</v>
      </c>
      <c r="W18" s="63">
        <v>15</v>
      </c>
      <c r="X18" s="64">
        <v>45597</v>
      </c>
      <c r="Z18">
        <v>5</v>
      </c>
      <c r="AB18">
        <v>42</v>
      </c>
      <c r="AD18">
        <v>16</v>
      </c>
      <c r="AF18">
        <v>37</v>
      </c>
      <c r="AG18">
        <v>4</v>
      </c>
    </row>
    <row r="19" spans="1:43" x14ac:dyDescent="0.2">
      <c r="A19" s="63">
        <v>16</v>
      </c>
      <c r="B19" s="64">
        <v>45627</v>
      </c>
      <c r="D19">
        <v>20100</v>
      </c>
      <c r="F19">
        <v>1632000</v>
      </c>
      <c r="G19">
        <v>107997</v>
      </c>
      <c r="H19">
        <v>140000</v>
      </c>
      <c r="J19">
        <v>140000</v>
      </c>
      <c r="W19" s="63">
        <v>16</v>
      </c>
      <c r="X19" s="64">
        <v>45627</v>
      </c>
      <c r="Z19">
        <v>1</v>
      </c>
      <c r="AB19">
        <v>34</v>
      </c>
      <c r="AC19">
        <v>3</v>
      </c>
      <c r="AD19">
        <v>14</v>
      </c>
      <c r="AF19">
        <v>28</v>
      </c>
    </row>
    <row r="20" spans="1:43" x14ac:dyDescent="0.2">
      <c r="A20" s="63">
        <v>17</v>
      </c>
      <c r="B20" s="64">
        <v>45658</v>
      </c>
      <c r="D20">
        <v>20100</v>
      </c>
      <c r="E20">
        <v>30000</v>
      </c>
      <c r="F20">
        <v>1872000</v>
      </c>
      <c r="H20">
        <v>140000</v>
      </c>
      <c r="J20">
        <v>105000</v>
      </c>
      <c r="W20" s="63">
        <v>17</v>
      </c>
      <c r="X20" s="64">
        <v>45658</v>
      </c>
      <c r="Z20">
        <v>1</v>
      </c>
      <c r="AA20">
        <v>1</v>
      </c>
      <c r="AB20">
        <v>39</v>
      </c>
      <c r="AD20">
        <v>14</v>
      </c>
      <c r="AF20">
        <v>21</v>
      </c>
    </row>
    <row r="21" spans="1:43" x14ac:dyDescent="0.2">
      <c r="A21" s="63">
        <v>18</v>
      </c>
      <c r="B21" s="64">
        <v>45689</v>
      </c>
      <c r="D21">
        <v>80400</v>
      </c>
      <c r="E21">
        <v>60000</v>
      </c>
      <c r="F21">
        <v>528000</v>
      </c>
      <c r="G21">
        <v>107997</v>
      </c>
      <c r="H21">
        <v>140000</v>
      </c>
      <c r="J21">
        <v>95000</v>
      </c>
      <c r="W21" s="63">
        <v>18</v>
      </c>
      <c r="X21" s="64">
        <v>45689</v>
      </c>
      <c r="Z21">
        <v>4</v>
      </c>
      <c r="AA21">
        <v>2</v>
      </c>
      <c r="AB21">
        <v>11</v>
      </c>
      <c r="AC21">
        <v>3</v>
      </c>
      <c r="AD21">
        <v>14</v>
      </c>
      <c r="AF21">
        <v>19</v>
      </c>
    </row>
    <row r="22" spans="1:43" x14ac:dyDescent="0.2">
      <c r="A22" s="63">
        <v>19</v>
      </c>
      <c r="B22" s="64">
        <v>45717</v>
      </c>
      <c r="D22">
        <v>80400</v>
      </c>
      <c r="E22">
        <v>60000</v>
      </c>
      <c r="F22">
        <v>192000</v>
      </c>
      <c r="G22">
        <v>251993</v>
      </c>
      <c r="H22">
        <v>270000</v>
      </c>
      <c r="J22">
        <v>65000</v>
      </c>
      <c r="N22">
        <v>125958</v>
      </c>
      <c r="Q22">
        <v>115942</v>
      </c>
      <c r="W22" s="63">
        <v>19</v>
      </c>
      <c r="X22" s="64">
        <v>45717</v>
      </c>
      <c r="Z22">
        <v>4</v>
      </c>
      <c r="AA22">
        <v>2</v>
      </c>
      <c r="AB22">
        <v>4</v>
      </c>
      <c r="AC22">
        <v>7</v>
      </c>
      <c r="AD22">
        <v>27</v>
      </c>
      <c r="AF22">
        <v>13</v>
      </c>
      <c r="AJ22">
        <v>42</v>
      </c>
      <c r="AM22">
        <v>58</v>
      </c>
    </row>
    <row r="23" spans="1:43" x14ac:dyDescent="0.2">
      <c r="A23" s="63">
        <v>20</v>
      </c>
      <c r="B23" s="64">
        <v>45748</v>
      </c>
      <c r="D23">
        <v>40200</v>
      </c>
      <c r="E23">
        <v>60000</v>
      </c>
      <c r="F23">
        <v>96000</v>
      </c>
      <c r="H23">
        <v>190000</v>
      </c>
      <c r="J23">
        <v>50000</v>
      </c>
      <c r="N23">
        <v>212929</v>
      </c>
      <c r="Q23">
        <v>75962</v>
      </c>
      <c r="W23" s="63">
        <v>20</v>
      </c>
      <c r="X23" s="64">
        <v>45748</v>
      </c>
      <c r="Z23">
        <v>2</v>
      </c>
      <c r="AA23">
        <v>2</v>
      </c>
      <c r="AB23">
        <v>2</v>
      </c>
      <c r="AD23">
        <v>19</v>
      </c>
      <c r="AF23">
        <v>10</v>
      </c>
      <c r="AJ23">
        <v>71</v>
      </c>
      <c r="AM23">
        <v>38</v>
      </c>
    </row>
    <row r="24" spans="1:43" x14ac:dyDescent="0.2">
      <c r="A24" s="63">
        <v>21</v>
      </c>
      <c r="B24" s="64">
        <v>45778</v>
      </c>
      <c r="D24">
        <v>40200</v>
      </c>
      <c r="F24">
        <v>96000</v>
      </c>
      <c r="G24">
        <v>35999</v>
      </c>
      <c r="H24">
        <v>190000</v>
      </c>
      <c r="J24">
        <v>50000</v>
      </c>
      <c r="N24">
        <v>203932</v>
      </c>
      <c r="Q24">
        <v>71964</v>
      </c>
      <c r="W24" s="63">
        <v>21</v>
      </c>
      <c r="X24" s="64">
        <v>45778</v>
      </c>
      <c r="Z24">
        <v>2</v>
      </c>
      <c r="AB24">
        <v>2</v>
      </c>
      <c r="AC24">
        <v>1</v>
      </c>
      <c r="AD24">
        <v>19</v>
      </c>
      <c r="AF24">
        <v>10</v>
      </c>
      <c r="AJ24">
        <v>68</v>
      </c>
      <c r="AM24">
        <v>36</v>
      </c>
    </row>
    <row r="25" spans="1:43" x14ac:dyDescent="0.2">
      <c r="A25" s="63">
        <v>22</v>
      </c>
      <c r="B25" s="64">
        <v>45809</v>
      </c>
      <c r="D25">
        <v>80400</v>
      </c>
      <c r="F25">
        <v>48000</v>
      </c>
      <c r="H25">
        <v>160000</v>
      </c>
      <c r="J25">
        <v>40000</v>
      </c>
      <c r="N25">
        <v>143952</v>
      </c>
      <c r="O25">
        <v>29990</v>
      </c>
      <c r="P25">
        <v>9995</v>
      </c>
      <c r="Q25">
        <v>65967</v>
      </c>
      <c r="T25">
        <v>44985</v>
      </c>
      <c r="U25">
        <v>3998</v>
      </c>
      <c r="W25" s="63">
        <v>22</v>
      </c>
      <c r="X25" s="64">
        <v>45809</v>
      </c>
      <c r="Z25">
        <v>4</v>
      </c>
      <c r="AB25">
        <v>1</v>
      </c>
      <c r="AD25">
        <v>16</v>
      </c>
      <c r="AF25">
        <v>8</v>
      </c>
      <c r="AJ25">
        <v>48</v>
      </c>
      <c r="AK25">
        <v>10</v>
      </c>
      <c r="AL25">
        <v>5</v>
      </c>
      <c r="AM25">
        <v>33</v>
      </c>
      <c r="AP25">
        <v>15</v>
      </c>
      <c r="AQ25">
        <v>2</v>
      </c>
    </row>
    <row r="26" spans="1:43" x14ac:dyDescent="0.2">
      <c r="A26" s="63">
        <v>23</v>
      </c>
      <c r="B26" s="64">
        <v>45839</v>
      </c>
      <c r="D26">
        <v>60300</v>
      </c>
      <c r="E26">
        <v>60000</v>
      </c>
      <c r="F26">
        <v>96000</v>
      </c>
      <c r="H26">
        <v>170000</v>
      </c>
      <c r="J26">
        <v>40000</v>
      </c>
      <c r="O26">
        <v>83972</v>
      </c>
      <c r="P26">
        <v>45977</v>
      </c>
      <c r="T26">
        <v>161946</v>
      </c>
      <c r="W26" s="63">
        <v>23</v>
      </c>
      <c r="X26" s="64">
        <v>45839</v>
      </c>
      <c r="Z26">
        <v>3</v>
      </c>
      <c r="AA26">
        <v>2</v>
      </c>
      <c r="AB26">
        <v>2</v>
      </c>
      <c r="AD26">
        <v>17</v>
      </c>
      <c r="AF26">
        <v>8</v>
      </c>
      <c r="AK26">
        <v>28</v>
      </c>
      <c r="AL26">
        <v>23</v>
      </c>
      <c r="AP26">
        <v>54</v>
      </c>
    </row>
    <row r="27" spans="1:43" x14ac:dyDescent="0.2">
      <c r="A27" s="63">
        <v>24</v>
      </c>
      <c r="B27" s="64">
        <v>45870</v>
      </c>
      <c r="E27">
        <v>30000</v>
      </c>
      <c r="H27">
        <v>80000</v>
      </c>
      <c r="J27">
        <v>40000</v>
      </c>
      <c r="O27">
        <v>83972</v>
      </c>
      <c r="P27">
        <v>41979</v>
      </c>
      <c r="T27">
        <v>188937</v>
      </c>
      <c r="W27" s="63">
        <v>24</v>
      </c>
      <c r="X27" s="64">
        <v>45870</v>
      </c>
      <c r="AA27">
        <v>1</v>
      </c>
      <c r="AD27">
        <v>8</v>
      </c>
      <c r="AF27">
        <v>8</v>
      </c>
      <c r="AK27">
        <v>28</v>
      </c>
      <c r="AL27">
        <v>21</v>
      </c>
      <c r="AP27">
        <v>63</v>
      </c>
    </row>
    <row r="28" spans="1:43" x14ac:dyDescent="0.2">
      <c r="A28" s="63">
        <v>25</v>
      </c>
      <c r="B28" s="64">
        <v>45901</v>
      </c>
      <c r="D28">
        <v>20100</v>
      </c>
      <c r="F28">
        <v>48000</v>
      </c>
      <c r="H28">
        <v>80000</v>
      </c>
      <c r="J28">
        <v>30000</v>
      </c>
      <c r="M28">
        <v>162000</v>
      </c>
      <c r="O28">
        <v>86971</v>
      </c>
      <c r="P28">
        <v>39980</v>
      </c>
      <c r="S28">
        <v>5243</v>
      </c>
      <c r="T28">
        <v>191936</v>
      </c>
      <c r="W28" s="63">
        <v>25</v>
      </c>
      <c r="X28" s="64">
        <v>45901</v>
      </c>
      <c r="Z28">
        <v>1</v>
      </c>
      <c r="AB28">
        <v>1</v>
      </c>
      <c r="AD28">
        <v>8</v>
      </c>
      <c r="AF28">
        <v>6</v>
      </c>
      <c r="AI28">
        <v>54</v>
      </c>
      <c r="AK28">
        <v>29</v>
      </c>
      <c r="AL28">
        <v>20</v>
      </c>
      <c r="AO28">
        <v>7</v>
      </c>
      <c r="AP28">
        <v>64</v>
      </c>
    </row>
    <row r="29" spans="1:43" x14ac:dyDescent="0.2">
      <c r="A29" s="63">
        <v>26</v>
      </c>
      <c r="B29" s="64">
        <v>45931</v>
      </c>
      <c r="D29">
        <v>40200</v>
      </c>
      <c r="F29">
        <v>192000</v>
      </c>
      <c r="H29">
        <v>50000</v>
      </c>
      <c r="J29">
        <v>25000</v>
      </c>
      <c r="M29">
        <v>834000</v>
      </c>
      <c r="O29">
        <v>77974</v>
      </c>
      <c r="P29">
        <v>39980</v>
      </c>
      <c r="R29">
        <v>19992</v>
      </c>
      <c r="S29">
        <v>9737</v>
      </c>
      <c r="T29">
        <v>227924</v>
      </c>
      <c r="W29" s="63">
        <v>26</v>
      </c>
      <c r="X29" s="64">
        <v>45931</v>
      </c>
      <c r="Z29">
        <v>2</v>
      </c>
      <c r="AB29">
        <v>4</v>
      </c>
      <c r="AD29">
        <v>5</v>
      </c>
      <c r="AF29">
        <v>5</v>
      </c>
      <c r="AI29">
        <v>278</v>
      </c>
      <c r="AK29">
        <v>26</v>
      </c>
      <c r="AL29">
        <v>20</v>
      </c>
      <c r="AN29">
        <v>8</v>
      </c>
      <c r="AO29">
        <v>13</v>
      </c>
      <c r="AP29">
        <v>76</v>
      </c>
    </row>
    <row r="30" spans="1:43" x14ac:dyDescent="0.2">
      <c r="A30" s="63">
        <v>27</v>
      </c>
      <c r="B30" s="64">
        <v>45962</v>
      </c>
      <c r="D30">
        <v>20100</v>
      </c>
      <c r="F30">
        <v>288000</v>
      </c>
      <c r="H30">
        <v>40000</v>
      </c>
      <c r="J30">
        <v>20000</v>
      </c>
      <c r="M30">
        <v>975000</v>
      </c>
      <c r="O30">
        <v>77974</v>
      </c>
      <c r="P30">
        <v>31984</v>
      </c>
      <c r="R30">
        <v>37485</v>
      </c>
      <c r="T30">
        <v>197934</v>
      </c>
      <c r="W30" s="63">
        <v>27</v>
      </c>
      <c r="X30" s="64">
        <v>45962</v>
      </c>
      <c r="Z30">
        <v>1</v>
      </c>
      <c r="AB30">
        <v>6</v>
      </c>
      <c r="AD30">
        <v>4</v>
      </c>
      <c r="AF30">
        <v>4</v>
      </c>
      <c r="AI30">
        <v>325</v>
      </c>
      <c r="AK30">
        <v>26</v>
      </c>
      <c r="AL30">
        <v>16</v>
      </c>
      <c r="AN30">
        <v>15</v>
      </c>
      <c r="AP30">
        <v>66</v>
      </c>
    </row>
    <row r="31" spans="1:43" x14ac:dyDescent="0.2">
      <c r="A31" s="63">
        <v>28</v>
      </c>
      <c r="B31" s="64">
        <v>45992</v>
      </c>
      <c r="D31">
        <v>20100</v>
      </c>
      <c r="F31">
        <v>184529.96</v>
      </c>
      <c r="H31">
        <v>10000</v>
      </c>
      <c r="J31">
        <v>17024.8</v>
      </c>
      <c r="L31" s="142">
        <v>167844.6</v>
      </c>
      <c r="M31">
        <v>934466.69</v>
      </c>
      <c r="O31">
        <v>70976</v>
      </c>
      <c r="P31">
        <v>25987</v>
      </c>
      <c r="R31">
        <v>24391.119999999999</v>
      </c>
      <c r="T31">
        <v>217456.73</v>
      </c>
      <c r="W31" s="63">
        <v>28</v>
      </c>
      <c r="X31" s="64">
        <v>45992</v>
      </c>
      <c r="Z31">
        <v>1</v>
      </c>
      <c r="AB31">
        <v>6</v>
      </c>
      <c r="AD31">
        <v>1</v>
      </c>
      <c r="AF31">
        <v>4</v>
      </c>
      <c r="AH31" s="142">
        <v>54</v>
      </c>
      <c r="AI31">
        <v>329</v>
      </c>
      <c r="AK31">
        <v>24</v>
      </c>
      <c r="AL31">
        <v>13</v>
      </c>
      <c r="AN31">
        <v>10</v>
      </c>
      <c r="AP31">
        <v>74</v>
      </c>
    </row>
    <row r="32" spans="1:43" s="142" customFormat="1" x14ac:dyDescent="0.2">
      <c r="A32" s="144">
        <v>29</v>
      </c>
      <c r="B32" s="145">
        <v>46023</v>
      </c>
      <c r="D32" s="142">
        <v>20100</v>
      </c>
      <c r="F32" s="142">
        <v>233105.99</v>
      </c>
      <c r="J32" s="142">
        <v>15000</v>
      </c>
      <c r="L32" s="142">
        <v>622092.50000000012</v>
      </c>
      <c r="M32" s="142">
        <v>894472.48999999987</v>
      </c>
      <c r="O32" s="142">
        <v>83089.13</v>
      </c>
      <c r="R32" s="142">
        <v>33194.81</v>
      </c>
      <c r="T32" s="142">
        <v>213944.3</v>
      </c>
      <c r="W32" s="144">
        <v>29</v>
      </c>
      <c r="X32" s="145">
        <v>46023</v>
      </c>
      <c r="Z32" s="142">
        <v>1</v>
      </c>
      <c r="AB32" s="142">
        <v>7</v>
      </c>
      <c r="AF32" s="142">
        <v>3</v>
      </c>
      <c r="AH32" s="142">
        <v>208</v>
      </c>
      <c r="AI32" s="142">
        <v>341</v>
      </c>
      <c r="AK32" s="142">
        <v>33</v>
      </c>
      <c r="AN32" s="142">
        <v>13</v>
      </c>
      <c r="AP32" s="142">
        <v>76</v>
      </c>
    </row>
    <row r="33" spans="1:44" s="142" customFormat="1" x14ac:dyDescent="0.2">
      <c r="A33" s="144">
        <v>30</v>
      </c>
      <c r="B33" s="145">
        <v>46054</v>
      </c>
      <c r="F33" s="142">
        <v>151499.66</v>
      </c>
      <c r="I33" s="142">
        <v>48000</v>
      </c>
      <c r="J33" s="142">
        <v>15000</v>
      </c>
      <c r="L33" s="142">
        <v>583326.00999999989</v>
      </c>
      <c r="M33" s="142">
        <v>852573.53999999992</v>
      </c>
      <c r="O33" s="142">
        <v>84413.87000000001</v>
      </c>
      <c r="R33" s="142">
        <v>19992</v>
      </c>
      <c r="T33" s="142">
        <v>177148.99</v>
      </c>
      <c r="W33" s="144">
        <v>30</v>
      </c>
      <c r="X33" s="145">
        <v>46054</v>
      </c>
      <c r="AB33" s="142">
        <v>5</v>
      </c>
      <c r="AE33" s="142">
        <v>1</v>
      </c>
      <c r="AF33" s="142">
        <v>3</v>
      </c>
      <c r="AH33" s="142">
        <v>202</v>
      </c>
      <c r="AI33" s="142">
        <v>331</v>
      </c>
      <c r="AK33" s="142">
        <v>35</v>
      </c>
      <c r="AN33" s="142">
        <v>8</v>
      </c>
      <c r="AP33" s="142">
        <v>71</v>
      </c>
    </row>
    <row r="34" spans="1:44" s="142" customFormat="1" x14ac:dyDescent="0.2">
      <c r="A34" s="144">
        <v>31</v>
      </c>
      <c r="B34" s="145">
        <v>46082</v>
      </c>
      <c r="F34" s="142">
        <v>26974.68</v>
      </c>
      <c r="J34" s="142">
        <v>10012.75</v>
      </c>
      <c r="L34" s="142">
        <v>669344.91999999993</v>
      </c>
      <c r="M34" s="142">
        <v>842216.02999999991</v>
      </c>
      <c r="O34" s="142">
        <v>71863.89</v>
      </c>
      <c r="R34" s="142">
        <v>22991</v>
      </c>
      <c r="T34" s="142">
        <v>202310.26</v>
      </c>
      <c r="W34" s="144">
        <v>31</v>
      </c>
      <c r="X34" s="145">
        <v>46082</v>
      </c>
      <c r="AB34" s="142">
        <v>2</v>
      </c>
      <c r="AF34" s="142">
        <v>3</v>
      </c>
      <c r="AH34" s="142">
        <v>234</v>
      </c>
      <c r="AI34" s="142">
        <v>324</v>
      </c>
      <c r="AK34" s="142">
        <v>30</v>
      </c>
      <c r="AN34" s="142">
        <v>9</v>
      </c>
      <c r="AP34" s="142">
        <v>76</v>
      </c>
    </row>
    <row r="35" spans="1:44" s="142" customFormat="1" x14ac:dyDescent="0.2">
      <c r="A35" s="144">
        <v>32</v>
      </c>
      <c r="B35" s="145">
        <v>46113</v>
      </c>
      <c r="D35" s="142">
        <v>20100</v>
      </c>
      <c r="J35" s="142">
        <v>6433.75</v>
      </c>
      <c r="L35" s="142">
        <v>655249.57999999973</v>
      </c>
      <c r="M35" s="142">
        <v>911338.04999999993</v>
      </c>
      <c r="O35" s="142">
        <v>96695.4</v>
      </c>
      <c r="R35" s="142">
        <v>15494</v>
      </c>
      <c r="T35" s="142">
        <v>232764.62</v>
      </c>
      <c r="W35" s="144">
        <v>32</v>
      </c>
      <c r="X35" s="145">
        <v>46113</v>
      </c>
      <c r="Z35" s="142">
        <v>1</v>
      </c>
      <c r="AF35" s="142">
        <v>2</v>
      </c>
      <c r="AH35" s="142">
        <v>251</v>
      </c>
      <c r="AI35" s="142">
        <v>346</v>
      </c>
      <c r="AK35" s="142">
        <v>40</v>
      </c>
      <c r="AN35" s="142">
        <v>6</v>
      </c>
      <c r="AP35" s="142">
        <v>84</v>
      </c>
    </row>
    <row r="36" spans="1:44" x14ac:dyDescent="0.2">
      <c r="A36" s="63">
        <v>33</v>
      </c>
      <c r="B36" s="64">
        <v>46143</v>
      </c>
      <c r="L36" s="142">
        <v>45733.16</v>
      </c>
      <c r="M36">
        <v>75328.759999999995</v>
      </c>
      <c r="T36">
        <v>15892.6</v>
      </c>
      <c r="W36" s="63">
        <v>33</v>
      </c>
      <c r="X36" s="64">
        <v>46143</v>
      </c>
      <c r="AH36" s="142">
        <v>17</v>
      </c>
      <c r="AI36">
        <v>31</v>
      </c>
      <c r="AP36">
        <v>6</v>
      </c>
    </row>
    <row r="37" spans="1:44" x14ac:dyDescent="0.2">
      <c r="B37" t="s">
        <v>171</v>
      </c>
      <c r="C37">
        <f>SUM(C32:C35)</f>
        <v>0</v>
      </c>
      <c r="D37">
        <f>SUM(D32:D35)</f>
        <v>40200</v>
      </c>
      <c r="E37">
        <f t="shared" ref="E37:T37" si="0">SUM(E32:E35)</f>
        <v>0</v>
      </c>
      <c r="F37">
        <f t="shared" si="0"/>
        <v>411580.33</v>
      </c>
      <c r="G37">
        <f t="shared" si="0"/>
        <v>0</v>
      </c>
      <c r="H37">
        <f t="shared" si="0"/>
        <v>0</v>
      </c>
      <c r="I37">
        <f t="shared" si="0"/>
        <v>48000</v>
      </c>
      <c r="J37">
        <f t="shared" si="0"/>
        <v>46446.5</v>
      </c>
      <c r="K37">
        <f t="shared" si="0"/>
        <v>0</v>
      </c>
      <c r="L37" s="142">
        <f t="shared" si="0"/>
        <v>2530013.0099999998</v>
      </c>
      <c r="M37">
        <f t="shared" si="0"/>
        <v>3500600.1099999994</v>
      </c>
      <c r="N37">
        <f t="shared" si="0"/>
        <v>0</v>
      </c>
      <c r="O37">
        <f t="shared" si="0"/>
        <v>336062.29000000004</v>
      </c>
      <c r="P37">
        <f t="shared" si="0"/>
        <v>0</v>
      </c>
      <c r="Q37">
        <f t="shared" si="0"/>
        <v>0</v>
      </c>
      <c r="R37">
        <f t="shared" si="0"/>
        <v>91671.81</v>
      </c>
      <c r="S37">
        <f t="shared" si="0"/>
        <v>0</v>
      </c>
      <c r="T37">
        <f t="shared" si="0"/>
        <v>826168.17</v>
      </c>
      <c r="V37">
        <f>SUM(D37:T37)</f>
        <v>7830742.2199999988</v>
      </c>
      <c r="X37" t="s">
        <v>171</v>
      </c>
      <c r="Y37">
        <f>SUM(Y32:Y35)</f>
        <v>0</v>
      </c>
      <c r="Z37">
        <f>SUM(Z32:Z35)</f>
        <v>2</v>
      </c>
      <c r="AA37">
        <f t="shared" ref="AA37:AP37" si="1">SUM(AA32:AA35)</f>
        <v>0</v>
      </c>
      <c r="AB37">
        <f t="shared" si="1"/>
        <v>14</v>
      </c>
      <c r="AC37">
        <f t="shared" si="1"/>
        <v>0</v>
      </c>
      <c r="AD37">
        <f t="shared" si="1"/>
        <v>0</v>
      </c>
      <c r="AE37">
        <f t="shared" si="1"/>
        <v>1</v>
      </c>
      <c r="AF37">
        <f t="shared" si="1"/>
        <v>11</v>
      </c>
      <c r="AG37">
        <f t="shared" si="1"/>
        <v>0</v>
      </c>
      <c r="AH37" s="142">
        <f t="shared" si="1"/>
        <v>895</v>
      </c>
      <c r="AI37">
        <f t="shared" si="1"/>
        <v>1342</v>
      </c>
      <c r="AJ37">
        <f t="shared" si="1"/>
        <v>0</v>
      </c>
      <c r="AK37">
        <f t="shared" si="1"/>
        <v>138</v>
      </c>
      <c r="AL37">
        <f t="shared" si="1"/>
        <v>0</v>
      </c>
      <c r="AM37">
        <f t="shared" si="1"/>
        <v>0</v>
      </c>
      <c r="AN37">
        <f t="shared" si="1"/>
        <v>36</v>
      </c>
      <c r="AO37">
        <f t="shared" si="1"/>
        <v>0</v>
      </c>
      <c r="AP37">
        <f t="shared" si="1"/>
        <v>307</v>
      </c>
      <c r="AR37">
        <f>SUM(Z37:AP37)</f>
        <v>2746</v>
      </c>
    </row>
    <row r="39" spans="1:44" x14ac:dyDescent="0.2">
      <c r="L39" s="147">
        <f>L37/V37</f>
        <v>0.32308725519507653</v>
      </c>
      <c r="AH39" s="147">
        <f>AH37/AR37</f>
        <v>0.32592862345229423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BAB3F-4473-104D-9448-0BEBC2F8392D}">
  <dimension ref="A1:E44"/>
  <sheetViews>
    <sheetView topLeftCell="A7" workbookViewId="0">
      <selection activeCell="E1" sqref="E1"/>
    </sheetView>
  </sheetViews>
  <sheetFormatPr baseColWidth="10" defaultRowHeight="16" x14ac:dyDescent="0.2"/>
  <cols>
    <col min="1" max="1" width="54.5" customWidth="1"/>
    <col min="2" max="2" width="68.1640625" customWidth="1"/>
    <col min="3" max="3" width="20.6640625" customWidth="1"/>
  </cols>
  <sheetData>
    <row r="1" spans="1:5" ht="34" x14ac:dyDescent="0.2">
      <c r="A1" s="8" t="s">
        <v>15</v>
      </c>
      <c r="B1" t="s">
        <v>14</v>
      </c>
      <c r="C1" s="4"/>
      <c r="E1" t="s">
        <v>16</v>
      </c>
    </row>
    <row r="2" spans="1:5" x14ac:dyDescent="0.2">
      <c r="A2" s="8"/>
      <c r="B2" t="s">
        <v>19</v>
      </c>
      <c r="C2" s="4"/>
    </row>
    <row r="3" spans="1:5" x14ac:dyDescent="0.2">
      <c r="A3" s="8"/>
      <c r="B3" t="s">
        <v>20</v>
      </c>
      <c r="C3" s="4"/>
    </row>
    <row r="4" spans="1:5" x14ac:dyDescent="0.2">
      <c r="A4" s="5"/>
      <c r="B4" t="s">
        <v>5</v>
      </c>
      <c r="C4" s="4"/>
    </row>
    <row r="5" spans="1:5" x14ac:dyDescent="0.2">
      <c r="B5" t="s">
        <v>6</v>
      </c>
    </row>
    <row r="6" spans="1:5" x14ac:dyDescent="0.2">
      <c r="A6" t="s">
        <v>18</v>
      </c>
      <c r="B6" t="s">
        <v>21</v>
      </c>
    </row>
    <row r="8" spans="1:5" x14ac:dyDescent="0.2">
      <c r="A8" s="7" t="s">
        <v>3</v>
      </c>
      <c r="B8" s="6" t="s">
        <v>9</v>
      </c>
      <c r="C8" s="4" t="s">
        <v>8</v>
      </c>
    </row>
    <row r="9" spans="1:5" x14ac:dyDescent="0.2">
      <c r="A9" s="9"/>
      <c r="B9" s="9" t="s">
        <v>13</v>
      </c>
      <c r="C9" s="9" t="s">
        <v>30</v>
      </c>
    </row>
    <row r="10" spans="1:5" x14ac:dyDescent="0.2">
      <c r="A10" s="9" t="s">
        <v>10</v>
      </c>
      <c r="B10" s="9">
        <v>36400</v>
      </c>
      <c r="C10" s="9">
        <v>34500</v>
      </c>
    </row>
    <row r="11" spans="1:5" x14ac:dyDescent="0.2">
      <c r="A11" s="9" t="s">
        <v>11</v>
      </c>
      <c r="B11" s="9">
        <v>36200</v>
      </c>
      <c r="C11" s="9">
        <v>28300</v>
      </c>
    </row>
    <row r="12" spans="1:5" x14ac:dyDescent="0.2">
      <c r="A12" s="9" t="s">
        <v>12</v>
      </c>
      <c r="B12" s="9">
        <v>4880</v>
      </c>
      <c r="C12" s="9">
        <v>4100</v>
      </c>
    </row>
    <row r="13" spans="1:5" x14ac:dyDescent="0.2">
      <c r="A13" s="9" t="s">
        <v>31</v>
      </c>
      <c r="B13" s="9">
        <v>1730</v>
      </c>
      <c r="C13" s="9">
        <v>12400</v>
      </c>
    </row>
    <row r="14" spans="1:5" x14ac:dyDescent="0.2">
      <c r="A14" s="9"/>
      <c r="B14" s="9">
        <f>SUM(B10:B13)</f>
        <v>79210</v>
      </c>
      <c r="C14" s="9">
        <f>SUM(C10:C13)</f>
        <v>79300</v>
      </c>
    </row>
    <row r="15" spans="1:5" x14ac:dyDescent="0.2">
      <c r="A15" s="11" t="s">
        <v>4</v>
      </c>
      <c r="B15" s="12" t="s">
        <v>33</v>
      </c>
    </row>
    <row r="17" spans="1:2" x14ac:dyDescent="0.2">
      <c r="A17" s="11" t="s">
        <v>7</v>
      </c>
      <c r="B17" s="12" t="s">
        <v>32</v>
      </c>
    </row>
    <row r="18" spans="1:2" x14ac:dyDescent="0.2">
      <c r="B18" t="s">
        <v>17</v>
      </c>
    </row>
    <row r="20" spans="1:2" x14ac:dyDescent="0.2">
      <c r="A20" t="s">
        <v>28</v>
      </c>
    </row>
    <row r="21" spans="1:2" x14ac:dyDescent="0.2">
      <c r="A21" s="6" t="s">
        <v>27</v>
      </c>
    </row>
    <row r="23" spans="1:2" ht="19" x14ac:dyDescent="0.2">
      <c r="A23" s="10" t="s">
        <v>22</v>
      </c>
      <c r="B23" t="s">
        <v>23</v>
      </c>
    </row>
    <row r="24" spans="1:2" ht="19" x14ac:dyDescent="0.2">
      <c r="A24" s="10" t="s">
        <v>24</v>
      </c>
      <c r="B24" t="s">
        <v>25</v>
      </c>
    </row>
    <row r="25" spans="1:2" ht="19" x14ac:dyDescent="0.2">
      <c r="A25" s="10" t="s">
        <v>26</v>
      </c>
      <c r="B25" t="s">
        <v>29</v>
      </c>
    </row>
    <row r="30" spans="1:2" x14ac:dyDescent="0.2">
      <c r="A30" s="7" t="s">
        <v>70</v>
      </c>
    </row>
    <row r="32" spans="1:2" s="142" customFormat="1" x14ac:dyDescent="0.2">
      <c r="A32" s="168" t="s">
        <v>205</v>
      </c>
      <c r="B32" s="170">
        <f>60000-43000</f>
        <v>17000</v>
      </c>
    </row>
    <row r="33" spans="1:2" x14ac:dyDescent="0.2">
      <c r="B33" s="167" t="s">
        <v>206</v>
      </c>
    </row>
    <row r="34" spans="1:2" x14ac:dyDescent="0.2">
      <c r="B34" s="167"/>
    </row>
    <row r="35" spans="1:2" s="142" customFormat="1" x14ac:dyDescent="0.2">
      <c r="A35" s="168" t="s">
        <v>210</v>
      </c>
      <c r="B35" s="169" t="s">
        <v>209</v>
      </c>
    </row>
    <row r="36" spans="1:2" x14ac:dyDescent="0.2">
      <c r="A36" t="s">
        <v>202</v>
      </c>
      <c r="B36">
        <v>100000</v>
      </c>
    </row>
    <row r="37" spans="1:2" x14ac:dyDescent="0.2">
      <c r="A37" t="s">
        <v>203</v>
      </c>
      <c r="B37" s="7">
        <v>7100</v>
      </c>
    </row>
    <row r="38" spans="1:2" x14ac:dyDescent="0.2">
      <c r="A38" t="s">
        <v>207</v>
      </c>
      <c r="B38" s="7">
        <v>60000</v>
      </c>
    </row>
    <row r="40" spans="1:2" x14ac:dyDescent="0.2">
      <c r="B40" t="s">
        <v>208</v>
      </c>
    </row>
    <row r="41" spans="1:2" x14ac:dyDescent="0.2">
      <c r="B41" t="s">
        <v>204</v>
      </c>
    </row>
    <row r="42" spans="1:2" x14ac:dyDescent="0.2">
      <c r="B42">
        <v>58146</v>
      </c>
    </row>
    <row r="43" spans="1:2" x14ac:dyDescent="0.2">
      <c r="B43">
        <v>35293.5</v>
      </c>
    </row>
    <row r="44" spans="1:2" x14ac:dyDescent="0.2">
      <c r="B44">
        <v>22557</v>
      </c>
    </row>
  </sheetData>
  <hyperlinks>
    <hyperlink ref="B8" r:id="rId1" xr:uid="{B1C72D04-7547-6744-A07F-F25F768086EB}"/>
    <hyperlink ref="A21" r:id="rId2" xr:uid="{12C71B04-CEDE-1646-A3CC-D3794ED288A7}"/>
    <hyperlink ref="B35" r:id="rId3" xr:uid="{A0557143-F48A-E04A-B3C9-F9DE8A1662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CF46-2F93-1D4F-8971-E0665D52E954}">
  <dimension ref="A1:E20"/>
  <sheetViews>
    <sheetView workbookViewId="0">
      <selection activeCell="F20" sqref="F20"/>
    </sheetView>
  </sheetViews>
  <sheetFormatPr baseColWidth="10" defaultRowHeight="19" x14ac:dyDescent="0.25"/>
  <cols>
    <col min="1" max="1" width="46.1640625" style="15" customWidth="1"/>
    <col min="2" max="2" width="54.5" style="15" customWidth="1"/>
    <col min="3" max="3" width="30.33203125" style="15" customWidth="1"/>
    <col min="4" max="4" width="26.6640625" style="15" customWidth="1"/>
    <col min="5" max="5" width="23.83203125" style="15" customWidth="1"/>
    <col min="6" max="6" width="83.5" style="15" customWidth="1"/>
    <col min="7" max="7" width="38.33203125" style="15" customWidth="1"/>
    <col min="8" max="16384" width="10.83203125" style="15"/>
  </cols>
  <sheetData>
    <row r="1" spans="1:5" x14ac:dyDescent="0.25">
      <c r="A1" s="138" t="s">
        <v>175</v>
      </c>
      <c r="B1" s="138" t="s">
        <v>65</v>
      </c>
      <c r="C1" s="138" t="s">
        <v>192</v>
      </c>
      <c r="D1" s="18"/>
      <c r="E1" s="18" t="s">
        <v>198</v>
      </c>
    </row>
    <row r="2" spans="1:5" ht="60" x14ac:dyDescent="0.25">
      <c r="A2" s="17" t="s">
        <v>197</v>
      </c>
      <c r="B2" s="17" t="s">
        <v>63</v>
      </c>
      <c r="C2" s="3" t="s">
        <v>193</v>
      </c>
      <c r="D2" s="3" t="s">
        <v>48</v>
      </c>
    </row>
    <row r="3" spans="1:5" ht="60" x14ac:dyDescent="0.25">
      <c r="B3" s="17" t="s">
        <v>66</v>
      </c>
      <c r="C3" s="3" t="s">
        <v>194</v>
      </c>
      <c r="D3" s="3" t="s">
        <v>49</v>
      </c>
    </row>
    <row r="4" spans="1:5" ht="60" x14ac:dyDescent="0.25">
      <c r="A4" s="17"/>
      <c r="B4" s="17" t="s">
        <v>67</v>
      </c>
      <c r="C4" s="3" t="s">
        <v>195</v>
      </c>
      <c r="D4" s="3" t="s">
        <v>35</v>
      </c>
    </row>
    <row r="5" spans="1:5" ht="40" x14ac:dyDescent="0.25">
      <c r="A5" s="17"/>
      <c r="B5" s="17" t="s">
        <v>31</v>
      </c>
      <c r="C5" s="3" t="s">
        <v>196</v>
      </c>
      <c r="D5" s="3" t="s">
        <v>36</v>
      </c>
    </row>
    <row r="8" spans="1:5" x14ac:dyDescent="0.25">
      <c r="A8" s="166" t="s">
        <v>190</v>
      </c>
      <c r="B8" s="166" t="s">
        <v>182</v>
      </c>
    </row>
    <row r="9" spans="1:5" x14ac:dyDescent="0.25">
      <c r="A9" s="166"/>
      <c r="B9" s="166" t="s">
        <v>187</v>
      </c>
    </row>
    <row r="10" spans="1:5" x14ac:dyDescent="0.25">
      <c r="A10" s="166" t="s">
        <v>191</v>
      </c>
      <c r="B10" s="166" t="s">
        <v>188</v>
      </c>
    </row>
    <row r="11" spans="1:5" x14ac:dyDescent="0.25">
      <c r="B11" s="166"/>
    </row>
    <row r="12" spans="1:5" x14ac:dyDescent="0.25">
      <c r="B12" s="166" t="s">
        <v>189</v>
      </c>
    </row>
    <row r="14" spans="1:5" x14ac:dyDescent="0.25">
      <c r="A14" s="18" t="s">
        <v>176</v>
      </c>
      <c r="B14" s="164" t="s">
        <v>184</v>
      </c>
    </row>
    <row r="15" spans="1:5" x14ac:dyDescent="0.25">
      <c r="A15" s="15" t="s">
        <v>177</v>
      </c>
      <c r="B15" s="165" t="s">
        <v>178</v>
      </c>
    </row>
    <row r="16" spans="1:5" x14ac:dyDescent="0.25">
      <c r="A16" s="15" t="s">
        <v>180</v>
      </c>
      <c r="B16" s="165" t="s">
        <v>186</v>
      </c>
    </row>
    <row r="17" spans="1:2" ht="40" x14ac:dyDescent="0.25">
      <c r="A17" s="136" t="s">
        <v>181</v>
      </c>
      <c r="B17" s="165" t="s">
        <v>148</v>
      </c>
    </row>
    <row r="18" spans="1:2" x14ac:dyDescent="0.25">
      <c r="A18" s="15" t="s">
        <v>179</v>
      </c>
      <c r="B18" s="165" t="s">
        <v>185</v>
      </c>
    </row>
    <row r="20" spans="1:2" x14ac:dyDescent="0.25">
      <c r="A20" s="18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Гипотезы</vt:lpstr>
      <vt:lpstr>Гипотезы_драфт</vt:lpstr>
      <vt:lpstr>База селлеров</vt:lpstr>
      <vt:lpstr>Вопросы</vt:lpstr>
      <vt:lpstr>MPS др метрики</vt:lpstr>
      <vt:lpstr>Воронка MPS_обработано</vt:lpstr>
      <vt:lpstr>Воронка MPS_исх</vt:lpstr>
      <vt:lpstr>Пилот Точка</vt:lpstr>
      <vt:lpstr>Воронка Селлер as is</vt:lpstr>
      <vt:lpstr>Селлер апи_исх</vt:lpstr>
      <vt:lpstr>Селлер оплаты_исх</vt:lpstr>
      <vt:lpstr>рабоч</vt:lpstr>
      <vt:lpstr>пересечь базы как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balabaeva</dc:creator>
  <cp:lastModifiedBy>y balabaeva</cp:lastModifiedBy>
  <dcterms:created xsi:type="dcterms:W3CDTF">2026-05-26T07:29:26Z</dcterms:created>
  <dcterms:modified xsi:type="dcterms:W3CDTF">2026-06-23T06:59:36Z</dcterms:modified>
</cp:coreProperties>
</file>