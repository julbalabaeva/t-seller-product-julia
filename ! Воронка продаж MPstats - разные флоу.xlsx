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.balabaeva/Desktop/Селлер/! MPStats/Воронка/"/>
    </mc:Choice>
  </mc:AlternateContent>
  <xr:revisionPtr revIDLastSave="0" documentId="13_ncr:1_{1FEEF39F-2EC1-B340-858F-A572F3FA1FAA}" xr6:coauthVersionLast="47" xr6:coauthVersionMax="47" xr10:uidLastSave="{00000000-0000-0000-0000-000000000000}"/>
  <bookViews>
    <workbookView xWindow="20" yWindow="580" windowWidth="29920" windowHeight="16880" xr2:uid="{041A7F1C-756F-014C-8317-A22146C33BA3}"/>
  </bookViews>
  <sheets>
    <sheet name="Гипотезы_new" sheetId="17" r:id="rId1"/>
    <sheet name="Гипотезы" sheetId="7" r:id="rId2"/>
    <sheet name="Воронка Селлер as is" sheetId="5" r:id="rId3"/>
    <sheet name="Переменные" sheetId="6" r:id="rId4"/>
    <sheet name="Пилот Точка" sheetId="16" r:id="rId5"/>
    <sheet name="MPS др метрики" sheetId="15" r:id="rId6"/>
    <sheet name="Воронка MPS_обработано" sheetId="1" r:id="rId7"/>
    <sheet name="Воронка MPS_исх" sheetId="8" r:id="rId8"/>
    <sheet name="рабоч" sheetId="2" r:id="rId9"/>
    <sheet name="Селлер апи_исх" sheetId="9" r:id="rId10"/>
    <sheet name="Селлер оплаты_исх" sheetId="12" r:id="rId11"/>
    <sheet name="базы" sheetId="13" r:id="rId12"/>
    <sheet name="Вопросы" sheetId="1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17" l="1"/>
  <c r="C44" i="17"/>
  <c r="I44" i="17" s="1"/>
  <c r="I43" i="17"/>
  <c r="O43" i="17" s="1"/>
  <c r="D43" i="17"/>
  <c r="E43" i="17" s="1"/>
  <c r="F43" i="17" s="1"/>
  <c r="G43" i="17" s="1"/>
  <c r="R35" i="17"/>
  <c r="Q35" i="17"/>
  <c r="P35" i="17"/>
  <c r="O35" i="17"/>
  <c r="D58" i="17"/>
  <c r="E58" i="17" s="1"/>
  <c r="F58" i="17" s="1"/>
  <c r="G58" i="17" s="1"/>
  <c r="C19" i="7"/>
  <c r="C20" i="7" s="1"/>
  <c r="D19" i="7"/>
  <c r="D39" i="7"/>
  <c r="C92" i="17"/>
  <c r="D92" i="17" s="1"/>
  <c r="E92" i="17" s="1"/>
  <c r="F92" i="17" s="1"/>
  <c r="G92" i="17" s="1"/>
  <c r="C91" i="17"/>
  <c r="I91" i="17" s="1"/>
  <c r="O91" i="17" s="1"/>
  <c r="C90" i="17"/>
  <c r="I90" i="17" s="1"/>
  <c r="O90" i="17" s="1"/>
  <c r="C89" i="17"/>
  <c r="C33" i="17" s="1"/>
  <c r="C88" i="17"/>
  <c r="G78" i="17"/>
  <c r="F78" i="17"/>
  <c r="L78" i="17" s="1"/>
  <c r="R78" i="17" s="1"/>
  <c r="E78" i="17"/>
  <c r="K78" i="17" s="1"/>
  <c r="Q78" i="17" s="1"/>
  <c r="D78" i="17"/>
  <c r="J78" i="17" s="1"/>
  <c r="P78" i="17" s="1"/>
  <c r="C78" i="17"/>
  <c r="I78" i="17" s="1"/>
  <c r="O78" i="17" s="1"/>
  <c r="G77" i="17"/>
  <c r="F77" i="17"/>
  <c r="L77" i="17" s="1"/>
  <c r="R77" i="17" s="1"/>
  <c r="E77" i="17"/>
  <c r="K77" i="17" s="1"/>
  <c r="Q77" i="17" s="1"/>
  <c r="D77" i="17"/>
  <c r="J77" i="17" s="1"/>
  <c r="P77" i="17" s="1"/>
  <c r="C77" i="17"/>
  <c r="I77" i="17" s="1"/>
  <c r="O77" i="17" s="1"/>
  <c r="G76" i="17"/>
  <c r="F76" i="17"/>
  <c r="L76" i="17" s="1"/>
  <c r="R76" i="17" s="1"/>
  <c r="E76" i="17"/>
  <c r="K76" i="17" s="1"/>
  <c r="Q76" i="17" s="1"/>
  <c r="D76" i="17"/>
  <c r="J76" i="17" s="1"/>
  <c r="P76" i="17" s="1"/>
  <c r="C76" i="17"/>
  <c r="I76" i="17" s="1"/>
  <c r="O76" i="17" s="1"/>
  <c r="G75" i="17"/>
  <c r="F75" i="17"/>
  <c r="L75" i="17" s="1"/>
  <c r="R75" i="17" s="1"/>
  <c r="E75" i="17"/>
  <c r="K75" i="17" s="1"/>
  <c r="Q75" i="17" s="1"/>
  <c r="D75" i="17"/>
  <c r="J75" i="17" s="1"/>
  <c r="P75" i="17" s="1"/>
  <c r="C75" i="17"/>
  <c r="I75" i="17" s="1"/>
  <c r="O75" i="17" s="1"/>
  <c r="C63" i="17"/>
  <c r="D63" i="17" s="1"/>
  <c r="E63" i="17" s="1"/>
  <c r="F63" i="17" s="1"/>
  <c r="G63" i="17" s="1"/>
  <c r="I55" i="17"/>
  <c r="O55" i="17" s="1"/>
  <c r="D55" i="17"/>
  <c r="J55" i="17" s="1"/>
  <c r="P55" i="17" s="1"/>
  <c r="I49" i="17"/>
  <c r="O49" i="17" s="1"/>
  <c r="D49" i="17"/>
  <c r="J49" i="17" s="1"/>
  <c r="P49" i="17" s="1"/>
  <c r="I42" i="17"/>
  <c r="O42" i="17" s="1"/>
  <c r="D42" i="17"/>
  <c r="J42" i="17" s="1"/>
  <c r="P42" i="17" s="1"/>
  <c r="N16" i="17"/>
  <c r="B16" i="17"/>
  <c r="H16" i="17" s="1"/>
  <c r="B15" i="17"/>
  <c r="H15" i="17" s="1"/>
  <c r="B14" i="17"/>
  <c r="H14" i="17" s="1"/>
  <c r="B13" i="17"/>
  <c r="H13" i="17" s="1"/>
  <c r="B12" i="17"/>
  <c r="H12" i="17" s="1"/>
  <c r="H11" i="17"/>
  <c r="H5" i="17"/>
  <c r="N5" i="17" s="1"/>
  <c r="H4" i="17"/>
  <c r="N4" i="17" s="1"/>
  <c r="F4" i="17"/>
  <c r="L4" i="17" s="1"/>
  <c r="R4" i="17" s="1"/>
  <c r="AJ4" i="17" s="1"/>
  <c r="AJ5" i="17" s="1"/>
  <c r="E4" i="17"/>
  <c r="K4" i="17" s="1"/>
  <c r="Q4" i="17" s="1"/>
  <c r="AI4" i="17" s="1"/>
  <c r="AI5" i="17" s="1"/>
  <c r="D4" i="17"/>
  <c r="J4" i="17" s="1"/>
  <c r="P4" i="17" s="1"/>
  <c r="AH4" i="17" s="1"/>
  <c r="AH5" i="17" s="1"/>
  <c r="C4" i="17"/>
  <c r="C24" i="17" s="1"/>
  <c r="K45" i="17" l="1"/>
  <c r="O44" i="17"/>
  <c r="D44" i="17"/>
  <c r="J44" i="17" s="1"/>
  <c r="L43" i="17"/>
  <c r="R43" i="17" s="1"/>
  <c r="J43" i="17"/>
  <c r="P43" i="17" s="1"/>
  <c r="K43" i="17"/>
  <c r="E5" i="17"/>
  <c r="E11" i="17" s="1"/>
  <c r="E16" i="17" s="1"/>
  <c r="G4" i="17"/>
  <c r="F5" i="17"/>
  <c r="L5" i="17" s="1"/>
  <c r="L16" i="17" s="1"/>
  <c r="C5" i="17"/>
  <c r="I5" i="17" s="1"/>
  <c r="C34" i="17"/>
  <c r="D5" i="17"/>
  <c r="J5" i="17" s="1"/>
  <c r="P5" i="17" s="1"/>
  <c r="P16" i="17" s="1"/>
  <c r="I4" i="17"/>
  <c r="D88" i="17"/>
  <c r="C32" i="17"/>
  <c r="I88" i="17"/>
  <c r="O88" i="17" s="1"/>
  <c r="E42" i="17"/>
  <c r="D91" i="17"/>
  <c r="I89" i="17"/>
  <c r="O89" i="17" s="1"/>
  <c r="D89" i="17"/>
  <c r="D90" i="17"/>
  <c r="E55" i="17"/>
  <c r="E49" i="17"/>
  <c r="L45" i="17" l="1"/>
  <c r="R5" i="17"/>
  <c r="R16" i="17" s="1"/>
  <c r="L12" i="17"/>
  <c r="L13" i="17"/>
  <c r="L11" i="17"/>
  <c r="D24" i="17"/>
  <c r="E44" i="17"/>
  <c r="K44" i="17" s="1"/>
  <c r="E14" i="17"/>
  <c r="E12" i="17"/>
  <c r="Q43" i="17"/>
  <c r="E13" i="17"/>
  <c r="O4" i="17"/>
  <c r="K5" i="17"/>
  <c r="K13" i="17" s="1"/>
  <c r="E15" i="17"/>
  <c r="F11" i="17"/>
  <c r="F12" i="17" s="1"/>
  <c r="D11" i="17"/>
  <c r="D15" i="17" s="1"/>
  <c r="L14" i="17"/>
  <c r="L15" i="17"/>
  <c r="J11" i="17"/>
  <c r="G5" i="17"/>
  <c r="J12" i="17"/>
  <c r="J13" i="17"/>
  <c r="J14" i="17"/>
  <c r="J15" i="17"/>
  <c r="J16" i="17"/>
  <c r="J24" i="17" s="1"/>
  <c r="C11" i="17"/>
  <c r="C13" i="17" s="1"/>
  <c r="M4" i="17"/>
  <c r="I12" i="17"/>
  <c r="I14" i="17"/>
  <c r="I16" i="17"/>
  <c r="I24" i="17" s="1"/>
  <c r="I15" i="17"/>
  <c r="I13" i="17"/>
  <c r="I11" i="17"/>
  <c r="O5" i="17"/>
  <c r="E91" i="17"/>
  <c r="J91" i="17"/>
  <c r="P91" i="17" s="1"/>
  <c r="J90" i="17"/>
  <c r="P90" i="17" s="1"/>
  <c r="E90" i="17"/>
  <c r="D34" i="17"/>
  <c r="D32" i="17"/>
  <c r="J88" i="17"/>
  <c r="P88" i="17" s="1"/>
  <c r="E88" i="17"/>
  <c r="E21" i="17"/>
  <c r="E20" i="17"/>
  <c r="F42" i="17"/>
  <c r="K42" i="17"/>
  <c r="Q42" i="17" s="1"/>
  <c r="P20" i="17"/>
  <c r="P21" i="17"/>
  <c r="F49" i="17"/>
  <c r="K49" i="17"/>
  <c r="Q49" i="17" s="1"/>
  <c r="F55" i="17"/>
  <c r="K55" i="17"/>
  <c r="Q55" i="17" s="1"/>
  <c r="J89" i="17"/>
  <c r="P89" i="17" s="1"/>
  <c r="E89" i="17"/>
  <c r="D33" i="17"/>
  <c r="C36" i="17"/>
  <c r="I32" i="17" l="1"/>
  <c r="J32" i="17" s="1"/>
  <c r="K32" i="17" s="1"/>
  <c r="L32" i="17" s="1"/>
  <c r="I34" i="17"/>
  <c r="I33" i="17"/>
  <c r="J33" i="17" s="1"/>
  <c r="K33" i="17" s="1"/>
  <c r="L33" i="17" s="1"/>
  <c r="AG4" i="17"/>
  <c r="AG5" i="17" s="1"/>
  <c r="F16" i="17"/>
  <c r="M5" i="17"/>
  <c r="K12" i="17"/>
  <c r="K16" i="17"/>
  <c r="K24" i="17" s="1"/>
  <c r="F44" i="17"/>
  <c r="L44" i="17" s="1"/>
  <c r="L24" i="17" s="1"/>
  <c r="E24" i="17"/>
  <c r="P44" i="17"/>
  <c r="P24" i="17" s="1"/>
  <c r="F15" i="17"/>
  <c r="K11" i="17"/>
  <c r="M11" i="17" s="1"/>
  <c r="Q5" i="17"/>
  <c r="Q16" i="17" s="1"/>
  <c r="M13" i="17"/>
  <c r="S4" i="17"/>
  <c r="AK4" i="17" s="1"/>
  <c r="AK5" i="17" s="1"/>
  <c r="D14" i="17"/>
  <c r="F13" i="17"/>
  <c r="D13" i="17"/>
  <c r="G13" i="17" s="1"/>
  <c r="K14" i="17"/>
  <c r="M14" i="17" s="1"/>
  <c r="K15" i="17"/>
  <c r="M15" i="17" s="1"/>
  <c r="D16" i="17"/>
  <c r="D21" i="17" s="1"/>
  <c r="D12" i="17"/>
  <c r="F14" i="17"/>
  <c r="J20" i="17"/>
  <c r="J21" i="17"/>
  <c r="C16" i="17"/>
  <c r="C19" i="17" s="1"/>
  <c r="C12" i="17"/>
  <c r="C14" i="17"/>
  <c r="G11" i="17"/>
  <c r="F21" i="17"/>
  <c r="F20" i="17"/>
  <c r="C15" i="17"/>
  <c r="M12" i="17"/>
  <c r="K89" i="17"/>
  <c r="Q89" i="17" s="1"/>
  <c r="F89" i="17"/>
  <c r="E33" i="17"/>
  <c r="G42" i="17"/>
  <c r="L42" i="17"/>
  <c r="R42" i="17" s="1"/>
  <c r="G55" i="17"/>
  <c r="L55" i="17"/>
  <c r="O32" i="17"/>
  <c r="D36" i="17"/>
  <c r="O16" i="17"/>
  <c r="O24" i="17" s="1"/>
  <c r="G49" i="17"/>
  <c r="L49" i="17"/>
  <c r="F90" i="17"/>
  <c r="E34" i="17"/>
  <c r="K90" i="17"/>
  <c r="Q90" i="17" s="1"/>
  <c r="I21" i="17"/>
  <c r="I20" i="17"/>
  <c r="F91" i="17"/>
  <c r="K91" i="17"/>
  <c r="Q91" i="17" s="1"/>
  <c r="K88" i="17"/>
  <c r="Q88" i="17" s="1"/>
  <c r="F88" i="17"/>
  <c r="E32" i="17"/>
  <c r="Q20" i="17" l="1"/>
  <c r="J34" i="17"/>
  <c r="O34" i="17"/>
  <c r="O33" i="17"/>
  <c r="O19" i="17" s="1"/>
  <c r="K21" i="17"/>
  <c r="M16" i="17"/>
  <c r="K20" i="17"/>
  <c r="D20" i="17"/>
  <c r="G14" i="17"/>
  <c r="G12" i="17"/>
  <c r="D19" i="17"/>
  <c r="Q21" i="17"/>
  <c r="G44" i="17"/>
  <c r="F24" i="17"/>
  <c r="G24" i="17" s="1"/>
  <c r="Q44" i="17"/>
  <c r="Q24" i="17" s="1"/>
  <c r="S5" i="17"/>
  <c r="G15" i="17"/>
  <c r="G16" i="17"/>
  <c r="G20" i="17" s="1"/>
  <c r="E19" i="17"/>
  <c r="I19" i="17"/>
  <c r="C20" i="17"/>
  <c r="C21" i="17"/>
  <c r="C22" i="17"/>
  <c r="P32" i="17"/>
  <c r="O20" i="17"/>
  <c r="S16" i="17"/>
  <c r="O21" i="17"/>
  <c r="G91" i="17"/>
  <c r="L91" i="17"/>
  <c r="R91" i="17" s="1"/>
  <c r="G90" i="17"/>
  <c r="G34" i="17" s="1"/>
  <c r="L90" i="17"/>
  <c r="R90" i="17" s="1"/>
  <c r="F34" i="17"/>
  <c r="E36" i="17"/>
  <c r="R49" i="17"/>
  <c r="R20" i="17" s="1"/>
  <c r="L20" i="17"/>
  <c r="L88" i="17"/>
  <c r="R88" i="17" s="1"/>
  <c r="G88" i="17"/>
  <c r="G32" i="17" s="1"/>
  <c r="G36" i="17" s="1"/>
  <c r="F32" i="17"/>
  <c r="G89" i="17"/>
  <c r="G33" i="17" s="1"/>
  <c r="F33" i="17"/>
  <c r="L89" i="17"/>
  <c r="R89" i="17" s="1"/>
  <c r="R55" i="17"/>
  <c r="R21" i="17" s="1"/>
  <c r="L21" i="17"/>
  <c r="D22" i="17" l="1"/>
  <c r="M21" i="17"/>
  <c r="M20" i="17"/>
  <c r="K34" i="17"/>
  <c r="P34" i="17"/>
  <c r="G21" i="17"/>
  <c r="R44" i="17"/>
  <c r="R24" i="17" s="1"/>
  <c r="S24" i="17" s="1"/>
  <c r="M24" i="17"/>
  <c r="P33" i="17"/>
  <c r="P19" i="17" s="1"/>
  <c r="J19" i="17"/>
  <c r="J22" i="17" s="1"/>
  <c r="F19" i="17"/>
  <c r="G19" i="17" s="1"/>
  <c r="Q33" i="17"/>
  <c r="Q32" i="17"/>
  <c r="F36" i="17"/>
  <c r="E22" i="17"/>
  <c r="I22" i="17"/>
  <c r="O22" i="17"/>
  <c r="S21" i="17"/>
  <c r="S20" i="17"/>
  <c r="L34" i="17" l="1"/>
  <c r="R34" i="17" s="1"/>
  <c r="Q34" i="17"/>
  <c r="Q19" i="17" s="1"/>
  <c r="Q22" i="17" s="1"/>
  <c r="K19" i="17"/>
  <c r="K22" i="17" s="1"/>
  <c r="R33" i="17"/>
  <c r="R32" i="17"/>
  <c r="P22" i="17"/>
  <c r="G22" i="17"/>
  <c r="F22" i="17"/>
  <c r="R19" i="17" l="1"/>
  <c r="R22" i="17" s="1"/>
  <c r="S22" i="17" s="1"/>
  <c r="L19" i="17"/>
  <c r="L22" i="17" s="1"/>
  <c r="M22" i="17" s="1"/>
  <c r="S19" i="17"/>
  <c r="M19" i="17" l="1"/>
  <c r="F11" i="5" l="1"/>
  <c r="N16" i="7" l="1"/>
  <c r="C85" i="7" l="1"/>
  <c r="D85" i="7" s="1"/>
  <c r="E85" i="7" s="1"/>
  <c r="F85" i="7" s="1"/>
  <c r="G85" i="7" s="1"/>
  <c r="I48" i="7"/>
  <c r="O48" i="7" s="1"/>
  <c r="I42" i="7"/>
  <c r="O42" i="7" s="1"/>
  <c r="I39" i="7"/>
  <c r="O39" i="7" s="1"/>
  <c r="H5" i="7"/>
  <c r="N5" i="7" s="1"/>
  <c r="H11" i="7"/>
  <c r="H4" i="7"/>
  <c r="N4" i="7" s="1"/>
  <c r="C82" i="7"/>
  <c r="C31" i="7" s="1"/>
  <c r="C83" i="7"/>
  <c r="C32" i="7" s="1"/>
  <c r="I32" i="7" s="1"/>
  <c r="O32" i="7" s="1"/>
  <c r="C84" i="7"/>
  <c r="I84" i="7" s="1"/>
  <c r="O84" i="7" s="1"/>
  <c r="C81" i="7"/>
  <c r="C30" i="7" s="1"/>
  <c r="D48" i="7"/>
  <c r="E48" i="7" s="1"/>
  <c r="F48" i="7" s="1"/>
  <c r="G48" i="7" s="1"/>
  <c r="D42" i="7"/>
  <c r="E42" i="7" s="1"/>
  <c r="F42" i="7" s="1"/>
  <c r="G42" i="7" s="1"/>
  <c r="E30" i="5"/>
  <c r="E29" i="5"/>
  <c r="E28" i="5"/>
  <c r="E27" i="5"/>
  <c r="E25" i="5"/>
  <c r="E24" i="5"/>
  <c r="E11" i="5"/>
  <c r="J10" i="5"/>
  <c r="H10" i="5"/>
  <c r="J9" i="5"/>
  <c r="H9" i="5"/>
  <c r="J8" i="5"/>
  <c r="H8" i="5"/>
  <c r="J7" i="5"/>
  <c r="H7" i="5"/>
  <c r="J6" i="5"/>
  <c r="H6" i="5"/>
  <c r="J5" i="5"/>
  <c r="H5" i="5"/>
  <c r="J4" i="5"/>
  <c r="H4" i="5"/>
  <c r="C9" i="16"/>
  <c r="C8" i="16"/>
  <c r="F7" i="16"/>
  <c r="C7" i="16"/>
  <c r="L48" i="7" l="1"/>
  <c r="R48" i="7" s="1"/>
  <c r="I82" i="7"/>
  <c r="O82" i="7" s="1"/>
  <c r="K48" i="7"/>
  <c r="Q48" i="7" s="1"/>
  <c r="I83" i="7"/>
  <c r="O83" i="7" s="1"/>
  <c r="K42" i="7"/>
  <c r="Q42" i="7" s="1"/>
  <c r="J42" i="7"/>
  <c r="P42" i="7" s="1"/>
  <c r="L42" i="7"/>
  <c r="R42" i="7" s="1"/>
  <c r="J48" i="7"/>
  <c r="P48" i="7" s="1"/>
  <c r="I81" i="7"/>
  <c r="O81" i="7" s="1"/>
  <c r="B40" i="15"/>
  <c r="F29" i="15"/>
  <c r="F28" i="15"/>
  <c r="B32" i="2"/>
  <c r="D52" i="6" l="1"/>
  <c r="D53" i="6"/>
  <c r="D54" i="6"/>
  <c r="D51" i="6"/>
  <c r="B12" i="7"/>
  <c r="H12" i="7" s="1"/>
  <c r="B16" i="7"/>
  <c r="H16" i="7" s="1"/>
  <c r="B15" i="7"/>
  <c r="H15" i="7" s="1"/>
  <c r="B14" i="7"/>
  <c r="H14" i="7" s="1"/>
  <c r="B13" i="7"/>
  <c r="H13" i="7" s="1"/>
  <c r="AH39" i="12" l="1"/>
  <c r="L39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AR37" i="12" s="1"/>
  <c r="Y37" i="12"/>
  <c r="C37" i="12"/>
  <c r="V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D37" i="12"/>
  <c r="D84" i="7"/>
  <c r="C34" i="7"/>
  <c r="D71" i="7"/>
  <c r="J71" i="7" s="1"/>
  <c r="P71" i="7" s="1"/>
  <c r="E71" i="7"/>
  <c r="K71" i="7" s="1"/>
  <c r="Q71" i="7" s="1"/>
  <c r="F71" i="7"/>
  <c r="L71" i="7" s="1"/>
  <c r="R71" i="7" s="1"/>
  <c r="G71" i="7"/>
  <c r="C71" i="7"/>
  <c r="I71" i="7" s="1"/>
  <c r="O71" i="7" s="1"/>
  <c r="G44" i="6"/>
  <c r="G35" i="6"/>
  <c r="G17" i="6"/>
  <c r="G18" i="6"/>
  <c r="G19" i="6"/>
  <c r="G16" i="6"/>
  <c r="L14" i="1"/>
  <c r="N14" i="1"/>
  <c r="M14" i="1"/>
  <c r="E13" i="1"/>
  <c r="K13" i="1"/>
  <c r="E9" i="6"/>
  <c r="D9" i="6"/>
  <c r="C9" i="6"/>
  <c r="B9" i="6"/>
  <c r="I30" i="7" l="1"/>
  <c r="O30" i="7" s="1"/>
  <c r="I31" i="7"/>
  <c r="O31" i="7" s="1"/>
  <c r="E84" i="7"/>
  <c r="J84" i="7"/>
  <c r="P84" i="7" s="1"/>
  <c r="E39" i="7"/>
  <c r="J39" i="7"/>
  <c r="P39" i="7" s="1"/>
  <c r="D81" i="7"/>
  <c r="J81" i="7" s="1"/>
  <c r="P81" i="7" s="1"/>
  <c r="D83" i="7"/>
  <c r="J83" i="7" s="1"/>
  <c r="P83" i="7" s="1"/>
  <c r="D82" i="7"/>
  <c r="J82" i="7" s="1"/>
  <c r="P82" i="7" s="1"/>
  <c r="E35" i="6"/>
  <c r="E44" i="6" s="1"/>
  <c r="D35" i="6"/>
  <c r="D44" i="6" s="1"/>
  <c r="F44" i="6" s="1"/>
  <c r="F39" i="7" l="1"/>
  <c r="K39" i="7"/>
  <c r="Q39" i="7" s="1"/>
  <c r="F84" i="7"/>
  <c r="K84" i="7"/>
  <c r="Q84" i="7" s="1"/>
  <c r="E82" i="7"/>
  <c r="K82" i="7" s="1"/>
  <c r="Q82" i="7" s="1"/>
  <c r="D31" i="7"/>
  <c r="E83" i="7"/>
  <c r="K83" i="7" s="1"/>
  <c r="Q83" i="7" s="1"/>
  <c r="D32" i="7"/>
  <c r="J32" i="7" s="1"/>
  <c r="P32" i="7" s="1"/>
  <c r="E81" i="7"/>
  <c r="K81" i="7" s="1"/>
  <c r="Q81" i="7" s="1"/>
  <c r="D30" i="7"/>
  <c r="F35" i="6"/>
  <c r="H14" i="1"/>
  <c r="G14" i="1"/>
  <c r="J14" i="1"/>
  <c r="K14" i="1"/>
  <c r="D14" i="1"/>
  <c r="N12" i="1"/>
  <c r="M12" i="1"/>
  <c r="J11" i="1"/>
  <c r="J12" i="1"/>
  <c r="J9" i="1"/>
  <c r="K10" i="1"/>
  <c r="B70" i="6"/>
  <c r="D70" i="6" s="1"/>
  <c r="C56" i="7" s="1"/>
  <c r="G20" i="6"/>
  <c r="G26" i="6" s="1"/>
  <c r="F26" i="6" s="1"/>
  <c r="G69" i="7" s="1"/>
  <c r="C20" i="6"/>
  <c r="C25" i="6" s="1"/>
  <c r="D68" i="7" s="1"/>
  <c r="J68" i="7" s="1"/>
  <c r="P68" i="7" s="1"/>
  <c r="B20" i="6"/>
  <c r="D69" i="6"/>
  <c r="K46" i="9"/>
  <c r="J46" i="9"/>
  <c r="D46" i="9"/>
  <c r="C46" i="9"/>
  <c r="E11" i="1"/>
  <c r="C65" i="6"/>
  <c r="D65" i="6"/>
  <c r="B65" i="6"/>
  <c r="F12" i="1"/>
  <c r="H12" i="1" s="1"/>
  <c r="F5" i="6"/>
  <c r="F9" i="6" s="1"/>
  <c r="D34" i="7" l="1"/>
  <c r="J30" i="7" s="1"/>
  <c r="P30" i="7" s="1"/>
  <c r="G84" i="7"/>
  <c r="L84" i="7"/>
  <c r="R84" i="7" s="1"/>
  <c r="G39" i="7"/>
  <c r="L39" i="7"/>
  <c r="R39" i="7" s="1"/>
  <c r="F81" i="7"/>
  <c r="L81" i="7" s="1"/>
  <c r="R81" i="7" s="1"/>
  <c r="E30" i="7"/>
  <c r="F83" i="7"/>
  <c r="L83" i="7" s="1"/>
  <c r="R83" i="7" s="1"/>
  <c r="E32" i="7"/>
  <c r="K32" i="7" s="1"/>
  <c r="Q32" i="7" s="1"/>
  <c r="F82" i="7"/>
  <c r="L82" i="7" s="1"/>
  <c r="R82" i="7" s="1"/>
  <c r="E31" i="7"/>
  <c r="D56" i="7"/>
  <c r="E56" i="7" s="1"/>
  <c r="F56" i="7" s="1"/>
  <c r="G56" i="7" s="1"/>
  <c r="C32" i="6"/>
  <c r="C41" i="6" s="1"/>
  <c r="E26" i="6"/>
  <c r="F69" i="7" s="1"/>
  <c r="L69" i="7" s="1"/>
  <c r="R69" i="7" s="1"/>
  <c r="D26" i="6"/>
  <c r="E69" i="7" s="1"/>
  <c r="K69" i="7" s="1"/>
  <c r="Q69" i="7" s="1"/>
  <c r="G25" i="6"/>
  <c r="C27" i="6"/>
  <c r="D70" i="7" s="1"/>
  <c r="J70" i="7" s="1"/>
  <c r="P70" i="7" s="1"/>
  <c r="C26" i="6"/>
  <c r="D69" i="7" s="1"/>
  <c r="J69" i="7" s="1"/>
  <c r="P69" i="7" s="1"/>
  <c r="B25" i="6"/>
  <c r="C68" i="7" s="1"/>
  <c r="I68" i="7" s="1"/>
  <c r="O68" i="7" s="1"/>
  <c r="G28" i="6"/>
  <c r="G27" i="6"/>
  <c r="B27" i="6"/>
  <c r="C70" i="7" s="1"/>
  <c r="I70" i="7" s="1"/>
  <c r="O70" i="7" s="1"/>
  <c r="B26" i="6"/>
  <c r="C69" i="7" s="1"/>
  <c r="I69" i="7" s="1"/>
  <c r="O69" i="7" s="1"/>
  <c r="G12" i="1"/>
  <c r="D12" i="1"/>
  <c r="D9" i="1"/>
  <c r="D10" i="1" s="1"/>
  <c r="J31" i="7" l="1"/>
  <c r="P31" i="7" s="1"/>
  <c r="E34" i="7"/>
  <c r="K30" i="7" s="1"/>
  <c r="Q30" i="7" s="1"/>
  <c r="G82" i="7"/>
  <c r="F31" i="7"/>
  <c r="G83" i="7"/>
  <c r="F32" i="7"/>
  <c r="L32" i="7" s="1"/>
  <c r="R32" i="7" s="1"/>
  <c r="G81" i="7"/>
  <c r="F30" i="7"/>
  <c r="B32" i="6"/>
  <c r="C34" i="6"/>
  <c r="C43" i="6" s="1"/>
  <c r="E33" i="6"/>
  <c r="E42" i="6" s="1"/>
  <c r="B34" i="6"/>
  <c r="C33" i="6"/>
  <c r="C42" i="6" s="1"/>
  <c r="D33" i="6"/>
  <c r="D42" i="6" s="1"/>
  <c r="B33" i="6"/>
  <c r="E27" i="6"/>
  <c r="F27" i="6"/>
  <c r="G70" i="7" s="1"/>
  <c r="D27" i="6"/>
  <c r="F25" i="6"/>
  <c r="G68" i="7" s="1"/>
  <c r="E25" i="6"/>
  <c r="D25" i="6"/>
  <c r="F8" i="1"/>
  <c r="L8" i="1" s="1"/>
  <c r="L9" i="1" s="1"/>
  <c r="E8" i="1"/>
  <c r="D11" i="1"/>
  <c r="K31" i="7" l="1"/>
  <c r="Q31" i="7" s="1"/>
  <c r="G30" i="7"/>
  <c r="G32" i="7"/>
  <c r="F34" i="7"/>
  <c r="L31" i="7" s="1"/>
  <c r="R31" i="7" s="1"/>
  <c r="G31" i="7"/>
  <c r="C45" i="6"/>
  <c r="B42" i="6"/>
  <c r="G42" i="6" s="1"/>
  <c r="G33" i="6"/>
  <c r="D32" i="6"/>
  <c r="D41" i="6" s="1"/>
  <c r="E68" i="7"/>
  <c r="K68" i="7" s="1"/>
  <c r="Q68" i="7" s="1"/>
  <c r="E32" i="6"/>
  <c r="E41" i="6" s="1"/>
  <c r="F68" i="7"/>
  <c r="L68" i="7" s="1"/>
  <c r="R68" i="7" s="1"/>
  <c r="B41" i="6"/>
  <c r="G41" i="6" s="1"/>
  <c r="G32" i="6"/>
  <c r="G36" i="6" s="1"/>
  <c r="D4" i="7"/>
  <c r="B43" i="6"/>
  <c r="G43" i="6" s="1"/>
  <c r="G34" i="6"/>
  <c r="D34" i="6"/>
  <c r="D43" i="6" s="1"/>
  <c r="E70" i="7"/>
  <c r="K70" i="7" s="1"/>
  <c r="Q70" i="7" s="1"/>
  <c r="E34" i="6"/>
  <c r="E43" i="6" s="1"/>
  <c r="F70" i="7"/>
  <c r="L70" i="7" s="1"/>
  <c r="R70" i="7" s="1"/>
  <c r="F42" i="6"/>
  <c r="D45" i="6"/>
  <c r="E45" i="6"/>
  <c r="C36" i="6"/>
  <c r="E36" i="6"/>
  <c r="B36" i="6"/>
  <c r="F33" i="6"/>
  <c r="E9" i="1"/>
  <c r="E10" i="1" s="1"/>
  <c r="K8" i="1"/>
  <c r="K9" i="1" s="1"/>
  <c r="F9" i="1"/>
  <c r="L30" i="7" l="1"/>
  <c r="R30" i="7" s="1"/>
  <c r="D5" i="7"/>
  <c r="J4" i="7"/>
  <c r="P4" i="7" s="1"/>
  <c r="G34" i="7"/>
  <c r="F41" i="6"/>
  <c r="F32" i="6"/>
  <c r="F4" i="7"/>
  <c r="AH4" i="7"/>
  <c r="G45" i="6"/>
  <c r="F43" i="6"/>
  <c r="E4" i="7"/>
  <c r="F45" i="6"/>
  <c r="F34" i="6"/>
  <c r="F36" i="6" s="1"/>
  <c r="D36" i="6"/>
  <c r="B45" i="6"/>
  <c r="C14" i="2"/>
  <c r="B14" i="2"/>
  <c r="F5" i="7" l="1"/>
  <c r="L4" i="7"/>
  <c r="R4" i="7" s="1"/>
  <c r="D11" i="7"/>
  <c r="J5" i="7"/>
  <c r="P5" i="7" s="1"/>
  <c r="P16" i="7" s="1"/>
  <c r="E5" i="7"/>
  <c r="K4" i="7"/>
  <c r="Q4" i="7" s="1"/>
  <c r="C4" i="7"/>
  <c r="I4" i="7" s="1"/>
  <c r="AI4" i="7"/>
  <c r="AH5" i="7"/>
  <c r="AJ4" i="7"/>
  <c r="M4" i="7" l="1"/>
  <c r="O4" i="7"/>
  <c r="S4" i="7" s="1"/>
  <c r="P22" i="7"/>
  <c r="P21" i="7"/>
  <c r="P19" i="7"/>
  <c r="E11" i="7"/>
  <c r="K5" i="7"/>
  <c r="Q5" i="7" s="1"/>
  <c r="Q16" i="7" s="1"/>
  <c r="J12" i="7"/>
  <c r="J13" i="7"/>
  <c r="J15" i="7"/>
  <c r="J14" i="7"/>
  <c r="J11" i="7"/>
  <c r="J16" i="7"/>
  <c r="D15" i="7"/>
  <c r="D13" i="7"/>
  <c r="D16" i="7"/>
  <c r="D14" i="7"/>
  <c r="D12" i="7"/>
  <c r="F11" i="7"/>
  <c r="L5" i="7"/>
  <c r="R5" i="7" s="1"/>
  <c r="R16" i="7" s="1"/>
  <c r="AJ5" i="7"/>
  <c r="C5" i="7"/>
  <c r="G4" i="7"/>
  <c r="AI5" i="7"/>
  <c r="AG4" i="7"/>
  <c r="R22" i="7" l="1"/>
  <c r="R21" i="7"/>
  <c r="R19" i="7"/>
  <c r="P24" i="7"/>
  <c r="P20" i="7"/>
  <c r="Q21" i="7"/>
  <c r="Q22" i="7"/>
  <c r="Q19" i="7"/>
  <c r="F16" i="7"/>
  <c r="F14" i="7"/>
  <c r="F12" i="7"/>
  <c r="F15" i="7"/>
  <c r="F13" i="7"/>
  <c r="I5" i="7"/>
  <c r="K12" i="7"/>
  <c r="K13" i="7"/>
  <c r="K14" i="7"/>
  <c r="K15" i="7"/>
  <c r="K16" i="7"/>
  <c r="K11" i="7"/>
  <c r="J22" i="7"/>
  <c r="J19" i="7"/>
  <c r="J21" i="7"/>
  <c r="L14" i="7"/>
  <c r="L12" i="7"/>
  <c r="L15" i="7"/>
  <c r="L11" i="7"/>
  <c r="L13" i="7"/>
  <c r="L16" i="7"/>
  <c r="D22" i="7"/>
  <c r="D21" i="7"/>
  <c r="E16" i="7"/>
  <c r="E14" i="7"/>
  <c r="E12" i="7"/>
  <c r="E15" i="7"/>
  <c r="E13" i="7"/>
  <c r="G5" i="7"/>
  <c r="C11" i="7"/>
  <c r="C16" i="7" s="1"/>
  <c r="AK4" i="7"/>
  <c r="AG5" i="7"/>
  <c r="Q20" i="7" l="1"/>
  <c r="Q24" i="7"/>
  <c r="R24" i="7"/>
  <c r="R20" i="7"/>
  <c r="O5" i="7"/>
  <c r="M5" i="7"/>
  <c r="L22" i="7"/>
  <c r="L21" i="7"/>
  <c r="L19" i="7"/>
  <c r="E22" i="7"/>
  <c r="E19" i="7"/>
  <c r="E21" i="7"/>
  <c r="I13" i="7"/>
  <c r="M13" i="7" s="1"/>
  <c r="I11" i="7"/>
  <c r="M11" i="7" s="1"/>
  <c r="I14" i="7"/>
  <c r="M14" i="7" s="1"/>
  <c r="I15" i="7"/>
  <c r="M15" i="7" s="1"/>
  <c r="I16" i="7"/>
  <c r="M16" i="7" s="1"/>
  <c r="I12" i="7"/>
  <c r="M12" i="7" s="1"/>
  <c r="J20" i="7"/>
  <c r="J24" i="7"/>
  <c r="D20" i="7"/>
  <c r="D24" i="7"/>
  <c r="K21" i="7"/>
  <c r="K22" i="7"/>
  <c r="K19" i="7"/>
  <c r="F22" i="7"/>
  <c r="F19" i="7"/>
  <c r="F21" i="7"/>
  <c r="C13" i="7"/>
  <c r="G13" i="7" s="1"/>
  <c r="C12" i="7"/>
  <c r="C14" i="7"/>
  <c r="G14" i="7" s="1"/>
  <c r="G11" i="7"/>
  <c r="C15" i="7"/>
  <c r="G15" i="7" s="1"/>
  <c r="AK5" i="7"/>
  <c r="S5" i="7" l="1"/>
  <c r="O16" i="7"/>
  <c r="F24" i="7"/>
  <c r="F20" i="7"/>
  <c r="K20" i="7"/>
  <c r="K24" i="7"/>
  <c r="E20" i="7"/>
  <c r="E24" i="7"/>
  <c r="L20" i="7"/>
  <c r="L24" i="7"/>
  <c r="I22" i="7"/>
  <c r="M22" i="7" s="1"/>
  <c r="I19" i="7"/>
  <c r="M19" i="7" s="1"/>
  <c r="I21" i="7"/>
  <c r="M21" i="7" s="1"/>
  <c r="C21" i="7"/>
  <c r="C22" i="7"/>
  <c r="G16" i="7"/>
  <c r="G12" i="7"/>
  <c r="S16" i="7" l="1"/>
  <c r="O22" i="7"/>
  <c r="S22" i="7" s="1"/>
  <c r="O21" i="7"/>
  <c r="S21" i="7" s="1"/>
  <c r="O19" i="7"/>
  <c r="C24" i="7"/>
  <c r="I20" i="7"/>
  <c r="M20" i="7" s="1"/>
  <c r="I24" i="7"/>
  <c r="M24" i="7" s="1"/>
  <c r="G22" i="7"/>
  <c r="G19" i="7"/>
  <c r="G21" i="7"/>
  <c r="O20" i="7" l="1"/>
  <c r="S20" i="7" s="1"/>
  <c r="S19" i="7"/>
  <c r="O24" i="7"/>
  <c r="S24" i="7" s="1"/>
  <c r="G24" i="7"/>
  <c r="G20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B4" authorId="0" shapeId="0" xr:uid="{C46D54B3-153B-A441-A8CB-4EFC33D72D9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 очищенная база от пересечений с МПС и Точкой</t>
        </r>
      </text>
    </comment>
    <comment ref="B5" authorId="0" shapeId="0" xr:uid="{72A9BD99-1AD8-A449-9155-F6BE6128EF3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</t>
        </r>
        <r>
          <rPr>
            <sz val="10"/>
            <color rgb="FF000000"/>
            <rFont val="Tahoma"/>
            <family val="2"/>
            <charset val="204"/>
          </rPr>
          <t xml:space="preserve">80%
</t>
        </r>
      </text>
    </comment>
    <comment ref="H5" authorId="0" shapeId="0" xr:uid="{98F19D7E-61D9-514E-A2AD-A246CF46C8D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N5" authorId="0" shapeId="0" xr:uid="{F0C609D3-64B0-6D4B-81A5-4878FA5EC62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B11" authorId="0" shapeId="0" xr:uid="{FD9B0191-2FF1-A94F-A3F1-FBF1F31A47B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Наша база - все ЦА </t>
        </r>
        <r>
          <rPr>
            <sz val="10"/>
            <color rgb="FF000000"/>
            <rFont val="Tahoma"/>
            <family val="2"/>
            <charset val="204"/>
          </rPr>
          <t>(</t>
        </r>
        <r>
          <rPr>
            <sz val="10"/>
            <color rgb="FF000000"/>
            <rFont val="Tahoma"/>
            <family val="2"/>
            <charset val="204"/>
          </rPr>
          <t xml:space="preserve">есть обороты на МП). 
</t>
        </r>
        <r>
          <rPr>
            <sz val="10"/>
            <color rgb="FF000000"/>
            <rFont val="Tahoma"/>
            <family val="2"/>
            <charset val="204"/>
          </rPr>
          <t>Как считает</t>
        </r>
        <r>
          <rPr>
            <sz val="10"/>
            <color rgb="FF000000"/>
            <rFont val="Tahoma"/>
            <family val="2"/>
            <charset val="204"/>
          </rPr>
          <t xml:space="preserve"> </t>
        </r>
        <r>
          <rPr>
            <sz val="10"/>
            <color rgb="FF000000"/>
            <rFont val="Tahoma"/>
            <family val="2"/>
            <charset val="204"/>
          </rPr>
          <t xml:space="preserve">ЦА </t>
        </r>
        <r>
          <rPr>
            <sz val="10"/>
            <color rgb="FF000000"/>
            <rFont val="Tahoma"/>
            <family val="2"/>
            <charset val="204"/>
          </rPr>
          <t>MPS</t>
        </r>
        <r>
          <rPr>
            <sz val="10"/>
            <color rgb="FF000000"/>
            <rFont val="Tahoma"/>
            <family val="2"/>
            <charset val="204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  <scheme val="minor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  <scheme val="minor"/>
          </rPr>
          <t>- селлер - есть рега на МП (озон вб яндекс)</t>
        </r>
      </text>
    </comment>
    <comment ref="H11" authorId="0" shapeId="0" xr:uid="{9E9DA740-818D-3E41-84E3-B8800CDBA14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H16" authorId="0" shapeId="0" xr:uid="{64703ACD-44C0-064B-8EF2-19AD1C8F9A0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+15% к базовой CR первой покупки MPS - за счет механизма автосписания с РКО по окончанию тариала</t>
        </r>
      </text>
    </comment>
    <comment ref="N16" authorId="0" shapeId="0" xr:uid="{7AAA653A-C58E-254B-BC0D-77D4B9AB938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текущий CR (усредненный янв-мар 2026)</t>
        </r>
      </text>
    </comment>
    <comment ref="H17" authorId="0" shapeId="0" xr:uid="{39462A09-8B01-8741-8BC0-0F7B04862B43}">
      <text>
        <r>
          <rPr>
            <b/>
            <sz val="10"/>
            <color rgb="FF000000"/>
            <rFont val="Tahoma"/>
            <family val="2"/>
            <charset val="204"/>
          </rPr>
          <t xml:space="preserve">y balabaeva:
</t>
        </r>
        <r>
          <rPr>
            <sz val="10"/>
            <color rgb="FF000000"/>
            <rFont val="Tahoma"/>
            <family val="2"/>
            <charset val="204"/>
          </rPr>
          <t xml:space="preserve">as is в Селлере - 35% оплат- авто списания </t>
        </r>
        <r>
          <rPr>
            <sz val="10"/>
            <color rgb="FF000000"/>
            <rFont val="Calibri"/>
            <family val="2"/>
          </rPr>
          <t>с РКО частичные при недостатке средств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для гипотезы нужно LT от MPStats (доход на 1 клиента в мес и пердположить на сколько месяцев больше даст механизм T -&gt; новый LTV) -- Данные не дают.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Пока предположила LT </t>
        </r>
        <r>
          <rPr>
            <sz val="10"/>
            <color rgb="FF000000"/>
            <rFont val="Calibri"/>
            <family val="2"/>
          </rPr>
          <t xml:space="preserve">экспертно 
</t>
        </r>
        <r>
          <rPr>
            <sz val="10"/>
            <color rgb="FF000000"/>
            <rFont val="Calibri"/>
            <family val="2"/>
          </rPr>
          <t xml:space="preserve">- рост +1 мес. </t>
        </r>
      </text>
    </comment>
    <comment ref="M24" authorId="0" shapeId="0" xr:uid="{9425B734-61DF-824C-8958-4441295DF93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по клиентам с тарифом </t>
        </r>
        <r>
          <rPr>
            <sz val="10"/>
            <color rgb="FF000000"/>
            <rFont val="Tahoma"/>
            <family val="2"/>
            <charset val="204"/>
          </rPr>
          <t xml:space="preserve">MPS LTV </t>
        </r>
        <r>
          <rPr>
            <sz val="10"/>
            <color rgb="FF000000"/>
            <rFont val="Tahoma"/>
            <family val="2"/>
            <charset val="204"/>
          </rPr>
          <t>выше на 30</t>
        </r>
        <r>
          <rPr>
            <sz val="10"/>
            <color rgb="FF000000"/>
            <rFont val="Tahoma"/>
            <family val="2"/>
            <charset val="204"/>
          </rPr>
          <t xml:space="preserve">% </t>
        </r>
        <r>
          <rPr>
            <sz val="10"/>
            <color rgb="FF000000"/>
            <rFont val="Tahoma"/>
            <family val="2"/>
            <charset val="204"/>
          </rPr>
          <t>за счет ковенант)</t>
        </r>
      </text>
    </comment>
    <comment ref="S24" authorId="0" shapeId="0" xr:uid="{CB4C15F7-99BF-2045-84EE-045ADED2085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по клиентам с тарифом </t>
        </r>
        <r>
          <rPr>
            <sz val="10"/>
            <color rgb="FF000000"/>
            <rFont val="Tahoma"/>
            <family val="2"/>
            <charset val="204"/>
          </rPr>
          <t xml:space="preserve">MPS LTV </t>
        </r>
        <r>
          <rPr>
            <sz val="10"/>
            <color rgb="FF000000"/>
            <rFont val="Tahoma"/>
            <family val="2"/>
            <charset val="204"/>
          </rPr>
          <t>выше на 30</t>
        </r>
        <r>
          <rPr>
            <sz val="10"/>
            <color rgb="FF000000"/>
            <rFont val="Tahoma"/>
            <family val="2"/>
            <charset val="204"/>
          </rPr>
          <t xml:space="preserve">% </t>
        </r>
        <r>
          <rPr>
            <sz val="10"/>
            <color rgb="FF000000"/>
            <rFont val="Tahoma"/>
            <family val="2"/>
            <charset val="204"/>
          </rPr>
          <t>за счет ковенант)</t>
        </r>
      </text>
    </comment>
    <comment ref="C35" authorId="0" shapeId="0" xr:uid="{EB58A61E-E3DB-0D4D-AC6C-8A17038B65F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нет реальных данных по MPStats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B4" authorId="0" shapeId="0" xr:uid="{47482E29-A895-604D-9313-DCCDB694D6A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 очищенная база от пересечений с МПС и Точкой</t>
        </r>
      </text>
    </comment>
    <comment ref="B5" authorId="0" shapeId="0" xr:uid="{928C2AD4-1FDB-7444-A250-E89F672CCA4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</t>
        </r>
        <r>
          <rPr>
            <sz val="10"/>
            <color rgb="FF000000"/>
            <rFont val="Tahoma"/>
            <family val="2"/>
            <charset val="204"/>
          </rPr>
          <t xml:space="preserve">80%
</t>
        </r>
      </text>
    </comment>
    <comment ref="H5" authorId="0" shapeId="0" xr:uid="{2547434C-3994-8348-AC1D-62BA13B7CC1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N5" authorId="0" shapeId="0" xr:uid="{1F68CA02-32B1-DE47-A716-5A679A2BC79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B11" authorId="0" shapeId="0" xr:uid="{10DD0A4A-BE9B-B140-A0A1-29785054AD2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Наша база - все ЦА </t>
        </r>
        <r>
          <rPr>
            <sz val="10"/>
            <color rgb="FF000000"/>
            <rFont val="Tahoma"/>
            <family val="2"/>
            <charset val="204"/>
          </rPr>
          <t>(</t>
        </r>
        <r>
          <rPr>
            <sz val="10"/>
            <color rgb="FF000000"/>
            <rFont val="Tahoma"/>
            <family val="2"/>
            <charset val="204"/>
          </rPr>
          <t xml:space="preserve">есть обороты на МП). 
</t>
        </r>
        <r>
          <rPr>
            <sz val="10"/>
            <color rgb="FF000000"/>
            <rFont val="Tahoma"/>
            <family val="2"/>
            <charset val="204"/>
          </rPr>
          <t>Как считает</t>
        </r>
        <r>
          <rPr>
            <sz val="10"/>
            <color rgb="FF000000"/>
            <rFont val="Tahoma"/>
            <family val="2"/>
            <charset val="204"/>
          </rPr>
          <t xml:space="preserve"> </t>
        </r>
        <r>
          <rPr>
            <sz val="10"/>
            <color rgb="FF000000"/>
            <rFont val="Tahoma"/>
            <family val="2"/>
            <charset val="204"/>
          </rPr>
          <t xml:space="preserve">ЦА </t>
        </r>
        <r>
          <rPr>
            <sz val="10"/>
            <color rgb="FF000000"/>
            <rFont val="Tahoma"/>
            <family val="2"/>
            <charset val="204"/>
          </rPr>
          <t>MPS</t>
        </r>
        <r>
          <rPr>
            <sz val="10"/>
            <color rgb="FF000000"/>
            <rFont val="Tahoma"/>
            <family val="2"/>
            <charset val="204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  <scheme val="minor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  <scheme val="minor"/>
          </rPr>
          <t>- селлер - есть рега на МП (озон вб яндекс)</t>
        </r>
      </text>
    </comment>
    <comment ref="H11" authorId="0" shapeId="0" xr:uid="{4CCD312E-FDD6-EA42-A7E5-89F58F636A4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H16" authorId="0" shapeId="0" xr:uid="{4097A085-4558-7B47-BF57-157F1C16A9B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</t>
        </r>
        <r>
          <rPr>
            <sz val="10"/>
            <color rgb="FF000000"/>
            <rFont val="Tahoma"/>
            <family val="2"/>
            <charset val="204"/>
          </rPr>
          <t xml:space="preserve">+X% </t>
        </r>
        <r>
          <rPr>
            <sz val="10"/>
            <color rgb="FF000000"/>
            <rFont val="Tahoma"/>
            <family val="2"/>
            <charset val="204"/>
          </rPr>
          <t xml:space="preserve">к базовой </t>
        </r>
        <r>
          <rPr>
            <sz val="10"/>
            <color rgb="FF000000"/>
            <rFont val="Tahoma"/>
            <family val="2"/>
            <charset val="204"/>
          </rPr>
          <t xml:space="preserve">CR </t>
        </r>
        <r>
          <rPr>
            <sz val="10"/>
            <color rgb="FF000000"/>
            <rFont val="Tahoma"/>
            <family val="2"/>
            <charset val="204"/>
          </rPr>
          <t xml:space="preserve">первой покупки </t>
        </r>
        <r>
          <rPr>
            <sz val="10"/>
            <color rgb="FF000000"/>
            <rFont val="Tahoma"/>
            <family val="2"/>
            <charset val="204"/>
          </rPr>
          <t xml:space="preserve">MPS </t>
        </r>
        <r>
          <rPr>
            <sz val="10"/>
            <color rgb="FF000000"/>
            <rFont val="Tahoma"/>
            <family val="2"/>
            <charset val="204"/>
          </rPr>
          <t>- за счет механизма автосписания с РКО по окончанию тариала</t>
        </r>
      </text>
    </comment>
    <comment ref="N16" authorId="0" shapeId="0" xr:uid="{7D685ED1-8044-7C4E-8901-79A1320D115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текущий </t>
        </r>
        <r>
          <rPr>
            <sz val="10"/>
            <color rgb="FF000000"/>
            <rFont val="Tahoma"/>
            <family val="2"/>
            <charset val="204"/>
          </rPr>
          <t xml:space="preserve">CR </t>
        </r>
        <r>
          <rPr>
            <sz val="10"/>
            <color rgb="FF000000"/>
            <rFont val="Tahoma"/>
            <family val="2"/>
            <charset val="204"/>
          </rPr>
          <t>(усредненный янв-мар 2026)</t>
        </r>
      </text>
    </comment>
    <comment ref="H17" authorId="0" shapeId="0" xr:uid="{651A71A5-CB9A-5D4C-B30B-C99E5738257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as is </t>
        </r>
        <r>
          <rPr>
            <sz val="10"/>
            <color rgb="FF000000"/>
            <rFont val="Tahoma"/>
            <family val="2"/>
            <charset val="204"/>
          </rPr>
          <t xml:space="preserve">в Селлере - 35% оплат- авто списания </t>
        </r>
        <r>
          <rPr>
            <sz val="10"/>
            <color rgb="FF000000"/>
            <rFont val="Calibri"/>
            <family val="2"/>
            <scheme val="minor"/>
          </rPr>
          <t xml:space="preserve">с РКО </t>
        </r>
        <r>
          <rPr>
            <sz val="10"/>
            <color rgb="FF000000"/>
            <rFont val="Calibri"/>
            <family val="2"/>
            <scheme val="minor"/>
          </rPr>
          <t>частичные</t>
        </r>
        <r>
          <rPr>
            <sz val="10"/>
            <color rgb="FF000000"/>
            <rFont val="Calibri"/>
            <family val="2"/>
            <scheme val="minor"/>
          </rPr>
          <t xml:space="preserve"> при недостатке средств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для гипотезы нужно </t>
        </r>
        <r>
          <rPr>
            <sz val="10"/>
            <color rgb="FF000000"/>
            <rFont val="Tahoma"/>
            <family val="2"/>
            <charset val="204"/>
          </rPr>
          <t xml:space="preserve">LT </t>
        </r>
        <r>
          <rPr>
            <sz val="10"/>
            <color rgb="FF000000"/>
            <rFont val="Tahoma"/>
            <family val="2"/>
            <charset val="204"/>
          </rPr>
          <t xml:space="preserve">от </t>
        </r>
        <r>
          <rPr>
            <sz val="10"/>
            <color rgb="FF000000"/>
            <rFont val="Tahoma"/>
            <family val="2"/>
            <charset val="204"/>
          </rPr>
          <t>MPStats</t>
        </r>
        <r>
          <rPr>
            <sz val="10"/>
            <color rgb="FF000000"/>
            <rFont val="Tahoma"/>
            <family val="2"/>
            <charset val="204"/>
          </rPr>
          <t xml:space="preserve"> (доход на 1 клиента в мес и пердположить на сколько месяцев больше даст механизм </t>
        </r>
        <r>
          <rPr>
            <sz val="10"/>
            <color rgb="FF000000"/>
            <rFont val="Tahoma"/>
            <family val="2"/>
            <charset val="204"/>
          </rPr>
          <t xml:space="preserve">T -&gt; </t>
        </r>
        <r>
          <rPr>
            <sz val="10"/>
            <color rgb="FF000000"/>
            <rFont val="Tahoma"/>
            <family val="2"/>
            <charset val="204"/>
          </rPr>
          <t xml:space="preserve">новый </t>
        </r>
        <r>
          <rPr>
            <sz val="10"/>
            <color rgb="FF000000"/>
            <rFont val="Tahoma"/>
            <family val="2"/>
            <charset val="204"/>
          </rPr>
          <t xml:space="preserve">LTV) -- </t>
        </r>
        <r>
          <rPr>
            <sz val="10"/>
            <color rgb="FF000000"/>
            <rFont val="Tahoma"/>
            <family val="2"/>
            <charset val="204"/>
          </rPr>
          <t xml:space="preserve">Данные не дают. 
</t>
        </r>
        <r>
          <rPr>
            <sz val="10"/>
            <color rgb="FF000000"/>
            <rFont val="Tahoma"/>
            <family val="2"/>
            <charset val="204"/>
          </rPr>
          <t xml:space="preserve">Пока предположила  </t>
        </r>
        <r>
          <rPr>
            <sz val="10"/>
            <color rgb="FF000000"/>
            <rFont val="Tahoma"/>
            <family val="2"/>
            <charset val="204"/>
          </rPr>
          <t>LT</t>
        </r>
        <r>
          <rPr>
            <sz val="10"/>
            <color rgb="FF000000"/>
            <rFont val="Tahoma"/>
            <family val="2"/>
            <charset val="204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>экспертно. И заложила рост +</t>
        </r>
        <r>
          <rPr>
            <sz val="10"/>
            <color rgb="FF000000"/>
            <rFont val="Calibri"/>
            <family val="2"/>
            <scheme val="minor"/>
          </rPr>
          <t xml:space="preserve">X </t>
        </r>
        <r>
          <rPr>
            <sz val="10"/>
            <color rgb="FF000000"/>
            <rFont val="Calibri"/>
            <family val="2"/>
            <scheme val="minor"/>
          </rPr>
          <t xml:space="preserve">мес. </t>
        </r>
      </text>
    </comment>
    <comment ref="C33" authorId="0" shapeId="0" xr:uid="{25E353EC-3120-AB43-865A-A883832EE3D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нет реальных данных по </t>
        </r>
        <r>
          <rPr>
            <sz val="10"/>
            <color rgb="FF000000"/>
            <rFont val="Tahoma"/>
            <family val="2"/>
            <charset val="204"/>
          </rPr>
          <t>MPStats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E2" authorId="0" shapeId="0" xr:uid="{9B9CF1BF-D00C-0B41-B6DA-DB3501EB554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F2" authorId="0" shapeId="0" xr:uid="{B0AD466A-4421-844E-A067-2899A17991A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G2" authorId="0" shapeId="0" xr:uid="{FF0DB9A2-7151-1547-A657-A82309B87F8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H2" authorId="0" shapeId="0" xr:uid="{5792192D-DF30-C54F-84A7-A02F188C448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K2" authorId="0" shapeId="0" xr:uid="{2E187968-2B72-0648-8E9F-C23EC4F3641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L2" authorId="0" shapeId="0" xr:uid="{59E561C1-F6C1-4A47-8A76-C265979AA77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M2" authorId="0" shapeId="0" xr:uid="{D0F2E80A-BC79-F448-9FE3-FAB322B9395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N2" authorId="0" shapeId="0" xr:uid="{451985BF-826D-B74A-B1D4-3C3352E4D13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C8" authorId="0" shapeId="0" xr:uid="{DDEAC26C-4DA0-E541-94D4-AC0FBFE428F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1"/>
            <color rgb="FF000000"/>
            <rFont val="Calibri"/>
            <family val="2"/>
            <scheme val="minor"/>
          </rPr>
          <t xml:space="preserve">Квалификация ЦА </t>
        </r>
        <r>
          <rPr>
            <sz val="11"/>
            <color rgb="FF000000"/>
            <rFont val="Calibri"/>
            <family val="2"/>
            <scheme val="minor"/>
          </rPr>
          <t>MPSTats</t>
        </r>
        <r>
          <rPr>
            <sz val="11"/>
            <color rgb="FF000000"/>
            <rFont val="Calibri"/>
            <family val="2"/>
            <scheme val="minor"/>
          </rPr>
          <t xml:space="preserve"> 
</t>
        </r>
        <r>
          <rPr>
            <sz val="11"/>
            <color rgb="FF000000"/>
            <rFont val="Calibri"/>
            <family val="2"/>
            <scheme val="minor"/>
          </rPr>
          <t xml:space="preserve">- 150 000 - есть для старта
</t>
        </r>
        <r>
          <rPr>
            <sz val="11"/>
            <color rgb="FF000000"/>
            <rFont val="Calibri"/>
            <family val="2"/>
            <scheme val="minor"/>
          </rPr>
          <t xml:space="preserve">- в теч 2 мес планирует начать торговать на МП
</t>
        </r>
        <r>
          <rPr>
            <sz val="11"/>
            <color rgb="FF000000"/>
            <rFont val="Calibri"/>
            <family val="2"/>
            <scheme val="minor"/>
          </rPr>
          <t xml:space="preserve">- селлер - есть рега на МП (озон вб яндекс)
</t>
        </r>
        <r>
          <rPr>
            <sz val="11"/>
            <color rgb="FF000000"/>
            <rFont val="Calibri"/>
            <family val="2"/>
            <scheme val="minor"/>
          </rPr>
          <t xml:space="preserve">
</t>
        </r>
        <r>
          <rPr>
            <sz val="11"/>
            <color rgb="FF000000"/>
            <rFont val="Calibri"/>
            <family val="2"/>
            <scheme val="minor"/>
          </rPr>
          <t>Хантеры =  квалиф. лид, согласились на демо-втречу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ОТП = квалиф лид, не согласились на демо</t>
        </r>
      </text>
    </comment>
  </commentList>
</comments>
</file>

<file path=xl/sharedStrings.xml><?xml version="1.0" encoding="utf-8"?>
<sst xmlns="http://schemas.openxmlformats.org/spreadsheetml/2006/main" count="1016" uniqueCount="392">
  <si>
    <t>Оставление API ключа</t>
  </si>
  <si>
    <t>Вопросы</t>
  </si>
  <si>
    <t>-</t>
  </si>
  <si>
    <t>AS IS</t>
  </si>
  <si>
    <t>кол- во селлеров  Т - сегменты по оборотам</t>
  </si>
  <si>
    <t>сколько остается за вычетом пересчений с МПС и Точкой?</t>
  </si>
  <si>
    <t>преза от Н: S - 515 тыс, М - 31,5 , L - 1,8</t>
  </si>
  <si>
    <t>это типа малый средний и большой ибзнес?</t>
  </si>
  <si>
    <t>какому сегменту - какой тариф продавать?</t>
  </si>
  <si>
    <t>Саша - уточняю по фильтрам</t>
  </si>
  <si>
    <t xml:space="preserve">https://proteus.tcsbank.ru/superset/dashboard/35207/?native_filters_key=6UD6_31FByJJBSkeo1OjteN2ZrhDe0UXwiQb27k-OI1_2btiTS-ROCrKRUs0NQiB </t>
  </si>
  <si>
    <t>S</t>
  </si>
  <si>
    <t>Core</t>
  </si>
  <si>
    <t>M</t>
  </si>
  <si>
    <t>t segment (апр 26)</t>
  </si>
  <si>
    <t>MPStsts за счет S, а M (2-3 тыс) и L (100)</t>
  </si>
  <si>
    <t xml:space="preserve">какие сегменты по обороту имелись ввиду: хотим раскачать за счет  S </t>
  </si>
  <si>
    <t xml:space="preserve">по этому отчету похоже на правду https://proteus.tcsbank.ru/superset/dashboard/46771/?native_filters_key=i_cpHlkPJC3wQAO8lt2_Tg8N-LHsXqmC68he0NAQEyNRwaKHgbBgPwIpTLJmR6wH </t>
  </si>
  <si>
    <t>см текущие данные Селлер</t>
  </si>
  <si>
    <t>сегменты селлеров SE</t>
  </si>
  <si>
    <t>Саша: SE до 100 млн годового оборота, ME 100млн-1млрд, LE &gt;1млрд</t>
  </si>
  <si>
    <t>Карина: s до 120 млн в год, m до 16 млрд, по le нет верхнего порога</t>
  </si>
  <si>
    <t>S - до 100 тыс, Core - 2 млн, M больше 2 млн</t>
  </si>
  <si>
    <t xml:space="preserve">t_segment </t>
  </si>
  <si>
    <t>по выплатам</t>
  </si>
  <si>
    <r>
      <t>receipt_seller_segment</t>
    </r>
    <r>
      <rPr>
        <sz val="15"/>
        <color rgb="FF3F4350"/>
        <rFont val="Arial"/>
        <family val="2"/>
      </rPr>
      <t xml:space="preserve"> </t>
    </r>
  </si>
  <si>
    <t>по внешним чековым данным</t>
  </si>
  <si>
    <t>mnpl_segment</t>
  </si>
  <si>
    <t>https://proteus.tcsbank.ru/superset/dashboard/35207/?native_filters_key=aLN1Xx1yD5vdgsrx8uoA0pvrJEUqFxG78QxXMsGytEGq4tZDfgeCUsezc9HMrNwl</t>
  </si>
  <si>
    <t>Отчет по базе селлеров</t>
  </si>
  <si>
    <t>маниплэйс, старый источник внешних данных по оборотам, данные получались парсингом, невалиден начиная с 2025-09-01</t>
  </si>
  <si>
    <t>по чекам (апр 26)</t>
  </si>
  <si>
    <t>Unk</t>
  </si>
  <si>
    <t>Карина в целом опредялеят?</t>
  </si>
  <si>
    <t>Карина?</t>
  </si>
  <si>
    <t>Все сегменты</t>
  </si>
  <si>
    <t>Сегмент 3. Спящие клиенты в Т (нет транзакций по РКО)</t>
  </si>
  <si>
    <t>Сегмент 4. Клиенты без РКО в Т - Рынок</t>
  </si>
  <si>
    <t>Сегмент 1.  Активные клиенты в Т с выплатами от МП. 1 приоритет</t>
  </si>
  <si>
    <t xml:space="preserve">Активация триала </t>
  </si>
  <si>
    <t>Воронка</t>
  </si>
  <si>
    <t>А. Гипотеза. Digital канал + Биллинг Т</t>
  </si>
  <si>
    <t>B. Гипотеза. Sales канал Т + Биллинг Т</t>
  </si>
  <si>
    <t>С. Гипотеза. Sales канал MPS + Биллинг Т</t>
  </si>
  <si>
    <t>D. Гипотеза. Sales канал MPS + Биллинг MPS</t>
  </si>
  <si>
    <t>F. Гипотеза. Digital +  Sales канал Т + Биллинг Т</t>
  </si>
  <si>
    <t>База селлеров</t>
  </si>
  <si>
    <t>TO BE - убрать пересечение баз с MPS и Точкой</t>
  </si>
  <si>
    <t>Базовый</t>
  </si>
  <si>
    <t>Бизнес</t>
  </si>
  <si>
    <t>Корпоративный</t>
  </si>
  <si>
    <t>Ср доход на 1 клиента по банку - от других продуктов Банка</t>
  </si>
  <si>
    <t>PV</t>
  </si>
  <si>
    <t>NPV</t>
  </si>
  <si>
    <t xml:space="preserve">Сегмент 1.  Активные клиенты в Т с выплатами от МП. </t>
  </si>
  <si>
    <t>Сегмент 2. Активные клиенты в Т, но  без выплат от МП на РКО</t>
  </si>
  <si>
    <t>Оффер демо встречи</t>
  </si>
  <si>
    <t>Согласились на демо встречу</t>
  </si>
  <si>
    <t>Демо встреча состоялась</t>
  </si>
  <si>
    <t>доля Хантеры-40%, ОТП - 60%, Самоходы - Unk</t>
  </si>
  <si>
    <t>Триала выдан</t>
  </si>
  <si>
    <t>Лиды (заявка на сайте MPS/ первое посещение Селлера)</t>
  </si>
  <si>
    <t xml:space="preserve">Оффер триала </t>
  </si>
  <si>
    <t>Дозвон sales (продажа без демо)</t>
  </si>
  <si>
    <t>Комментарий к воронке</t>
  </si>
  <si>
    <t>Из них: горячие</t>
  </si>
  <si>
    <t>Из них: заинтересованные</t>
  </si>
  <si>
    <t>40% соглашаются на встречу = Хантеры, 60% не соглашаются = ОТП</t>
  </si>
  <si>
    <t>Стоимость тарифов MPStats</t>
  </si>
  <si>
    <t>Ср чек первой покупки</t>
  </si>
  <si>
    <t>оптимистично</t>
  </si>
  <si>
    <t>в основном покупка тарифа на 3/6 мес</t>
  </si>
  <si>
    <t>10 + млн</t>
  </si>
  <si>
    <t>LTV</t>
  </si>
  <si>
    <t>Сегмент по обороту</t>
  </si>
  <si>
    <t>1-10 млн</t>
  </si>
  <si>
    <t>менее 1 млн</t>
  </si>
  <si>
    <t>LTV по сегментам по оборотам селеров</t>
  </si>
  <si>
    <t>Ср время от лида до первой покупки</t>
  </si>
  <si>
    <t>AS IS (скидка 50%)</t>
  </si>
  <si>
    <t>TO BE (после согласования с юристами и налоговиками)</t>
  </si>
  <si>
    <t>реалистчно - гипотеза</t>
  </si>
  <si>
    <t>Стоимость 1 дня триала MPStats</t>
  </si>
  <si>
    <t>Сегмент по статусу активности</t>
  </si>
  <si>
    <t>в нашем отчете Селлер  - по чековым данным</t>
  </si>
  <si>
    <t>Квалификация лидов (звонок КЦ) - ЦА</t>
  </si>
  <si>
    <t xml:space="preserve">Mpstats все лиды   </t>
  </si>
  <si>
    <t>Хантеры (демо)</t>
  </si>
  <si>
    <t>ОТП (звонок, без демо)</t>
  </si>
  <si>
    <t>сейчас выдают триал всем автоматом после реги лида</t>
  </si>
  <si>
    <t xml:space="preserve">демо состоялось = 29,8% от квалиф. лидов </t>
  </si>
  <si>
    <t>дозвон = 45,5% от квалиф. лидов . Из них: Горячие  - доля 15,2% (знают про MPStats, высок.  вероятность покупки), Заинтересованные - доля 84,8% (не послали)</t>
  </si>
  <si>
    <t>Хантеры - 0,7% сквозной СR от лидов; ОТП - 0,41% сквозной СR от лидов или 6,85% от звонка  (горячие 34% - от звонка, заинтересован - 2% от звонка)</t>
  </si>
  <si>
    <t>1 флоу</t>
  </si>
  <si>
    <t>2 флоу</t>
  </si>
  <si>
    <t xml:space="preserve">Mpstats Самоходы (оплатили сами без демо и звонка) </t>
  </si>
  <si>
    <t>Оплата тарифа</t>
  </si>
  <si>
    <t>Общий флоу</t>
  </si>
  <si>
    <t>Выставлние счета</t>
  </si>
  <si>
    <t>Не считают в воронке</t>
  </si>
  <si>
    <t>Дополнительные данные для расчетов</t>
  </si>
  <si>
    <t>Воронка продаж: ОТП и Хантеры — средние CR за фев / апр / май 2026</t>
  </si>
  <si>
    <t>Только CR. Среднее по фев/апр/май (март исключён — акция демо-доступов размыла конверсии; лист сам усредняет эти 3 месяца). Источник цифр — лист «Ретро для июня».</t>
  </si>
  <si>
    <t>ХАНТЕРЫ (встречи)</t>
  </si>
  <si>
    <t>СРЕДНЕЕ (Февраль/Апрель/Май)</t>
  </si>
  <si>
    <t>CR лид → квал</t>
  </si>
  <si>
    <t>13%</t>
  </si>
  <si>
    <t>CR квал → встреча</t>
  </si>
  <si>
    <t>29,8%</t>
  </si>
  <si>
    <t>CR встреча → счёт</t>
  </si>
  <si>
    <t>20%</t>
  </si>
  <si>
    <t>CR счёт → оплата</t>
  </si>
  <si>
    <t>90%</t>
  </si>
  <si>
    <t>Сквозной CR лид → оплата</t>
  </si>
  <si>
    <t>ОТП (звонки) — 2 корзины</t>
  </si>
  <si>
    <t>СРЕДНЕЕ</t>
  </si>
  <si>
    <t>CR квал → звонок</t>
  </si>
  <si>
    <t>45,5%</t>
  </si>
  <si>
    <t xml:space="preserve">  доля → корзина ГОРЯЧИЕ</t>
  </si>
  <si>
    <t>15,2%</t>
  </si>
  <si>
    <t xml:space="preserve">  доля → корзина ЗАИНТЕРЕС.</t>
  </si>
  <si>
    <t>84,8%</t>
  </si>
  <si>
    <t xml:space="preserve">  конв. ГОРЯЧИЕ → оплата</t>
  </si>
  <si>
    <t>34%</t>
  </si>
  <si>
    <t xml:space="preserve">  конв. ЗАИНТЕРЕС → оплата</t>
  </si>
  <si>
    <t>2%</t>
  </si>
  <si>
    <t>CR звонок → оплата (итог 2 корзин)</t>
  </si>
  <si>
    <t>6,85%</t>
  </si>
  <si>
    <t>0,41%</t>
  </si>
  <si>
    <t>Повторная покупка</t>
  </si>
  <si>
    <t>Пересечение селлеров Т-Точка-Mpstats</t>
  </si>
  <si>
    <t>CR первой покупки</t>
  </si>
  <si>
    <t>AS IS - MPStats</t>
  </si>
  <si>
    <t>CR повторной покупки</t>
  </si>
  <si>
    <t>Гранулярность</t>
  </si>
  <si>
    <t>CR API</t>
  </si>
  <si>
    <t>CR Активация</t>
  </si>
  <si>
    <t>CR Налоги</t>
  </si>
  <si>
    <t>CR Себестоимость</t>
  </si>
  <si>
    <t>API</t>
  </si>
  <si>
    <t>Активации</t>
  </si>
  <si>
    <t>Налоги</t>
  </si>
  <si>
    <t>Реги</t>
  </si>
  <si>
    <t>Себестоимость</t>
  </si>
  <si>
    <t>Активация в Селлере</t>
  </si>
  <si>
    <t>TO BE - Тбанк (скидка)</t>
  </si>
  <si>
    <t>31000 (оптимистично), скорее меньше - 85%</t>
  </si>
  <si>
    <t xml:space="preserve">Ср расход на 1 продажу </t>
  </si>
  <si>
    <t>На привлечение</t>
  </si>
  <si>
    <t>Sales - демо</t>
  </si>
  <si>
    <t>MPStats</t>
  </si>
  <si>
    <t>Sales - звонок</t>
  </si>
  <si>
    <t>Т-банк</t>
  </si>
  <si>
    <t>Сегмент 1+ Сегмент 2</t>
  </si>
  <si>
    <t>Всего</t>
  </si>
  <si>
    <t>Переменные</t>
  </si>
  <si>
    <t>Расходы на 1 клиента - привлечение</t>
  </si>
  <si>
    <t>Расходы на 1 клиента - содержание (триал, саппорт)</t>
  </si>
  <si>
    <t>но вероятно это недозревшие данные - тк апр 26</t>
  </si>
  <si>
    <t>ср чек по сегментам</t>
  </si>
  <si>
    <t>LTV по сегментам</t>
  </si>
  <si>
    <t>Ср чек первой покупки по сегментам</t>
  </si>
  <si>
    <t>LTV (другие продукты Банка)</t>
  </si>
  <si>
    <t xml:space="preserve">Распределение кол-ва селлеров по сегментам по оборотам </t>
  </si>
  <si>
    <t>LTV MPStats (за май 2025-апрель 2026)</t>
  </si>
  <si>
    <t>Воронка DIGITAL</t>
  </si>
  <si>
    <t>https://jira.tcsbank.ru/browse/ECA-2046</t>
  </si>
  <si>
    <t>Воронка SALES</t>
  </si>
  <si>
    <t>Когда сможем построить?</t>
  </si>
  <si>
    <t>MPST</t>
  </si>
  <si>
    <t>LTV по сегментам - дозревший?</t>
  </si>
  <si>
    <t>Ср чек первой покупки - есть общий без сегментации</t>
  </si>
  <si>
    <t xml:space="preserve">Ср чек первой покупки (по сегментам) и Ср время до первой покупки - какой доход получим за X времени? </t>
  </si>
  <si>
    <t>Ретеншн (по сегментам) - за какое время получим доход?</t>
  </si>
  <si>
    <t>Расходы на привлечение (sales, КЦ)</t>
  </si>
  <si>
    <t>Расходы на содержание (триал, поддержка)</t>
  </si>
  <si>
    <t>Пересечение баз - какой базе продаем, какие сегменты - какие тарифы (за вычетом пересечений баз: есть тариф - исключаем, есть апи и нет тарифа - низкая вреоятность покупки)</t>
  </si>
  <si>
    <t>Саша</t>
  </si>
  <si>
    <t>MPS</t>
  </si>
  <si>
    <t>Карина</t>
  </si>
  <si>
    <t>Карина/ MPS</t>
  </si>
  <si>
    <t>факт прохождения триала - можно глянуть сколько % совершают ЦД в рамках триала (и мб ограничить платными фичами) - влияет на расходы</t>
  </si>
  <si>
    <t>Юля</t>
  </si>
  <si>
    <t>Юля/Саша</t>
  </si>
  <si>
    <t>Флоу</t>
  </si>
  <si>
    <t xml:space="preserve">https://time.tbank.ru/tinkoff/pl/18hcpdo657s35g9799tcxths91 </t>
  </si>
  <si>
    <t>Измененеи мтерик</t>
  </si>
  <si>
    <t>Навигация - подключился? Видел?</t>
  </si>
  <si>
    <t>Онбординг</t>
  </si>
  <si>
    <t>Маркетинг</t>
  </si>
  <si>
    <t>Нина</t>
  </si>
  <si>
    <t>Воронка от 1го этапа  - лиды</t>
  </si>
  <si>
    <t>большая часть продаж - через счет, но есть и для ФЛ способы оплаты. Хантеры: 20% от демо - выставление счета</t>
  </si>
  <si>
    <t>MPS?</t>
  </si>
  <si>
    <t>Через какое время</t>
  </si>
  <si>
    <t>можем уточнить</t>
  </si>
  <si>
    <t>Распределение по сегментам - остальные - теоритически можем?- ДА</t>
  </si>
  <si>
    <t xml:space="preserve">Распределение по сегментам - корректное? Пересчитать. </t>
  </si>
  <si>
    <t>Срок</t>
  </si>
  <si>
    <t>Сколько дают картотеки? Гипотеза конвесрии в повторные. - см доля достписаний в оплатах (в руб)</t>
  </si>
  <si>
    <t>запросить позже</t>
  </si>
  <si>
    <t>Точно ли конверсии коррекные? - пересчитаем как воронку</t>
  </si>
  <si>
    <t>средний срок жизни  платного клиента , ltv</t>
  </si>
  <si>
    <t>Всего селлеров</t>
  </si>
  <si>
    <t>Сегмент по статусу активности - потенциал</t>
  </si>
  <si>
    <t xml:space="preserve">Кол-во селлеров по сегментам по оборотам в Т-Банке </t>
  </si>
  <si>
    <t>Кол-во селлеров по сегментам по оборотам в Т-Банке (за искл пересечений с MPStast и Точкой)</t>
  </si>
  <si>
    <t>?</t>
  </si>
  <si>
    <t>real_transaction_dttm</t>
  </si>
  <si>
    <t>&lt;NULL&gt;</t>
  </si>
  <si>
    <t>NEW М-тариф 3 месяца</t>
  </si>
  <si>
    <t>NEW М-тариф 6 месяцев</t>
  </si>
  <si>
    <t>NEW М-тариф год</t>
  </si>
  <si>
    <t>NEW М-тариф год ИУ</t>
  </si>
  <si>
    <t>NEW М-тариф месяц</t>
  </si>
  <si>
    <t>OLD М-тариф год</t>
  </si>
  <si>
    <t>OLD М-тариф месяц</t>
  </si>
  <si>
    <t>OLD Тариф с Маркетгуру месяц</t>
  </si>
  <si>
    <t>Досписание</t>
  </si>
  <si>
    <t>М-тариф месяц ИУ</t>
  </si>
  <si>
    <t>Свой тариф</t>
  </si>
  <si>
    <t>Свой тариф Автоотзывы</t>
  </si>
  <si>
    <t>Свой тариф Автоотзывы ИУ</t>
  </si>
  <si>
    <t>Свой тариф ИУ</t>
  </si>
  <si>
    <t>Свой тариф Магви</t>
  </si>
  <si>
    <t>Свой тариф Магви ИУ</t>
  </si>
  <si>
    <t>Свой тариф Фин.Аналитика</t>
  </si>
  <si>
    <t>Свой тариф Фин.Аналитика ИУ</t>
  </si>
  <si>
    <t>кол-во</t>
  </si>
  <si>
    <t>рубли</t>
  </si>
  <si>
    <t>за период</t>
  </si>
  <si>
    <r>
      <t xml:space="preserve">E. Гипотеза. Digital +  </t>
    </r>
    <r>
      <rPr>
        <b/>
        <sz val="14"/>
        <color theme="1"/>
        <rFont val="Calibri (Основной текст)"/>
        <charset val="204"/>
      </rPr>
      <t>Sales канал MPS</t>
    </r>
    <r>
      <rPr>
        <b/>
        <sz val="14"/>
        <color theme="1"/>
        <rFont val="Calibri"/>
        <family val="2"/>
        <scheme val="minor"/>
      </rPr>
      <t xml:space="preserve"> + Биллинг Т</t>
    </r>
  </si>
  <si>
    <t>/Оффер демо встречи</t>
  </si>
  <si>
    <t>TO BE (скидка 50%)</t>
  </si>
  <si>
    <t xml:space="preserve">AS IS </t>
  </si>
  <si>
    <t>ниже применила  конверсию - как в бизнес модели</t>
  </si>
  <si>
    <t>Воронка от 2 этапа - квалифицированные лиды</t>
  </si>
  <si>
    <t>ID</t>
  </si>
  <si>
    <t>Получить от MPStasts кол-во</t>
  </si>
  <si>
    <t>активный платный тариф MPStats</t>
  </si>
  <si>
    <t>исключаем из воронки</t>
  </si>
  <si>
    <t>нет пересечений</t>
  </si>
  <si>
    <t xml:space="preserve">был ранее платный тариф MPStats </t>
  </si>
  <si>
    <t>нет активного платного тарифа MPStats / не было ранее, но есть непротухший API</t>
  </si>
  <si>
    <t>ИБ?</t>
  </si>
  <si>
    <t>СR из модели (открыли РКО), чтобы корреткно учесть "стали клиентами Т"</t>
  </si>
  <si>
    <t>в разрезе по сегментам по обороту и активности</t>
  </si>
  <si>
    <t>решение</t>
  </si>
  <si>
    <t>ЦА</t>
  </si>
  <si>
    <t>вероятно незаинтересованный - снижаем CR в воронке</t>
  </si>
  <si>
    <t>какой компнаии передаем =сотрудник кто будет обрабтывать?</t>
  </si>
  <si>
    <t>NDA с ЮЛ на эту передачу данных с компанией - подписанный (наверно скан)</t>
  </si>
  <si>
    <t>Дата Т Банк - загружаем, ссылка и пароль - разные каналы (почта, тг/смс)</t>
  </si>
  <si>
    <t>1-2 дня</t>
  </si>
  <si>
    <t>Лиза/Карина?</t>
  </si>
  <si>
    <t>Сегмент по активности Т</t>
  </si>
  <si>
    <t>Сегмент 1.</t>
  </si>
  <si>
    <t xml:space="preserve">Сегмент 2. </t>
  </si>
  <si>
    <t xml:space="preserve">Сегмент 3. </t>
  </si>
  <si>
    <t xml:space="preserve">Сегмент 4. </t>
  </si>
  <si>
    <t>ИНН/ОГРН</t>
  </si>
  <si>
    <t>Есть АПИ</t>
  </si>
  <si>
    <t>LT</t>
  </si>
  <si>
    <t>В воронке имеет сымсл оставлять сначала АПИ потом триал иначе будут оставлять в МПСтатс, наша база для  для Селелр и ОБ не будет пополняться как раньше (сейчас можно взять триал без АПИ)</t>
  </si>
  <si>
    <t>Содержание (продление, удержание)</t>
  </si>
  <si>
    <t>кост на 1 сейлза</t>
  </si>
  <si>
    <t>кост на 1 РКО</t>
  </si>
  <si>
    <t>X</t>
  </si>
  <si>
    <t>Косты на маркетинг на 1 клиента с РКО</t>
  </si>
  <si>
    <t>разница не очищенный - очищенный доход Npv-PV (но что входит в неочищенный неизвестно, вероятно маркетинг)</t>
  </si>
  <si>
    <t>NPV РКО и др</t>
  </si>
  <si>
    <t>идея - заложить расходы пропорционально на Тариф?</t>
  </si>
  <si>
    <t>https://proteus.tcsbank.ru/superset/dashboard/50759/?native_filters_key=N1EflRdRl3eeD4pGUhCGkab9qHa_Xovcdedg2EUhsrPb6m9J-vOOQNoVLOXMOQ1R</t>
  </si>
  <si>
    <t>Косты сейлзов</t>
  </si>
  <si>
    <t>Сегмент 4. Клиенты без РКО в Т - Рынок. Открыли РКО</t>
  </si>
  <si>
    <t>Сегмент 3. Спящие клиенты в Т (нет транзакций по РКО). Проснулись</t>
  </si>
  <si>
    <t>//Согласились на демо встречу</t>
  </si>
  <si>
    <t>//Демо встреча состоялась</t>
  </si>
  <si>
    <t>/Дозвон sales (кто не согласился на демо)</t>
  </si>
  <si>
    <t xml:space="preserve">Сегмент 2. Активные клиенты в Т., но  без выплат от МП на РКО. </t>
  </si>
  <si>
    <t>CAC (расходы на продажи с маркетингом)</t>
  </si>
  <si>
    <t xml:space="preserve"> https://wiki.tcsbank.ru/pages/viewpage.action?pageId=8507435153 </t>
  </si>
  <si>
    <t>усредненные</t>
  </si>
  <si>
    <t>ФОТ (ком персонал + маркетинг)</t>
  </si>
  <si>
    <t>CAC (аллокация)</t>
  </si>
  <si>
    <t>Кол-во новых клиентов</t>
  </si>
  <si>
    <t>Кол-во активных клиентов</t>
  </si>
  <si>
    <t>CAC (продажи и маркетинг)</t>
  </si>
  <si>
    <t>триал?</t>
  </si>
  <si>
    <t>LTV (удельные расходы на продление и удержание)</t>
  </si>
  <si>
    <t>Пилот Точка - тариф со скидкой 50%</t>
  </si>
  <si>
    <t>Факт</t>
  </si>
  <si>
    <t>План</t>
  </si>
  <si>
    <t>CR</t>
  </si>
  <si>
    <t>регистрации</t>
  </si>
  <si>
    <t>покупка МПС</t>
  </si>
  <si>
    <t>ОРС</t>
  </si>
  <si>
    <t>ОРС - upd</t>
  </si>
  <si>
    <t>DIGITAL</t>
  </si>
  <si>
    <t xml:space="preserve">сейчас CR рассчитан </t>
  </si>
  <si>
    <t>ср в мес</t>
  </si>
  <si>
    <t>cnt_untouched</t>
  </si>
  <si>
    <t>база селлеров - активные с выплатами на МП</t>
  </si>
  <si>
    <t>cnt_visits</t>
  </si>
  <si>
    <t xml:space="preserve">Лизы - визиты селлеров в Селлер </t>
  </si>
  <si>
    <t>CR_untouched_visits</t>
  </si>
  <si>
    <t>от базы селлеров</t>
  </si>
  <si>
    <t>cnt_first_visits</t>
  </si>
  <si>
    <t>Лиды - первый визит селлера в Селлер</t>
  </si>
  <si>
    <t>CR_untouched_first_visit</t>
  </si>
  <si>
    <t>cnt_api</t>
  </si>
  <si>
    <r>
      <t xml:space="preserve">оставил АПИ </t>
    </r>
    <r>
      <rPr>
        <sz val="11"/>
        <color theme="1"/>
        <rFont val="Calibri (Основной текст)"/>
        <charset val="204"/>
      </rPr>
      <t>(без ограничений по времени)</t>
    </r>
  </si>
  <si>
    <t>CR_first_visit_api</t>
  </si>
  <si>
    <t>от первого визита</t>
  </si>
  <si>
    <t>cnt_act</t>
  </si>
  <si>
    <t>активировался</t>
  </si>
  <si>
    <t>CR_first_visit_act</t>
  </si>
  <si>
    <t>cnt_trial</t>
  </si>
  <si>
    <r>
      <t>триал</t>
    </r>
    <r>
      <rPr>
        <sz val="11"/>
        <color theme="1"/>
        <rFont val="Calibri (Основной текст)"/>
        <charset val="204"/>
      </rPr>
      <t xml:space="preserve"> (по ЦД во время триала)</t>
    </r>
  </si>
  <si>
    <t>CR_visit_trial</t>
  </si>
  <si>
    <t>cnt_payment_after_trial</t>
  </si>
  <si>
    <t>оплата после траила - не отменил</t>
  </si>
  <si>
    <t>CR_visit_payment_after_trial</t>
  </si>
  <si>
    <t>cnt_payment</t>
  </si>
  <si>
    <t>отменил триал - позже оплата/ не брал триал</t>
  </si>
  <si>
    <t>CR_visit_payment</t>
  </si>
  <si>
    <t>payments всего</t>
  </si>
  <si>
    <t>оплат всего</t>
  </si>
  <si>
    <t>RETENTION_AVG</t>
  </si>
  <si>
    <t>LT_AVG, мес</t>
  </si>
  <si>
    <t>PV_AVG_PER_CLIENT_MONTHLY, руб</t>
  </si>
  <si>
    <t>LTV, руб</t>
  </si>
  <si>
    <t>SALES</t>
  </si>
  <si>
    <t>visits</t>
  </si>
  <si>
    <t>CR_untouched_visit</t>
  </si>
  <si>
    <t>api</t>
  </si>
  <si>
    <t>CR_visit_api</t>
  </si>
  <si>
    <t>от визитов</t>
  </si>
  <si>
    <t>act</t>
  </si>
  <si>
    <t>CR_visit_act</t>
  </si>
  <si>
    <t>trials</t>
  </si>
  <si>
    <t>payments</t>
  </si>
  <si>
    <t>все сегменты в мес</t>
  </si>
  <si>
    <t xml:space="preserve">неизвестно - дозрешие данные или нет </t>
  </si>
  <si>
    <t xml:space="preserve">LTV </t>
  </si>
  <si>
    <t xml:space="preserve">MPStats (за май 25-апр 26) </t>
  </si>
  <si>
    <t xml:space="preserve">LTV (тарифы MPStats) </t>
  </si>
  <si>
    <t>as is MPS но с учетом скидки 50%</t>
  </si>
  <si>
    <t>as is MPS (ср янв апр 2026)</t>
  </si>
  <si>
    <t>уточнить по сегменту (сейчас ср по 1 и 2 сегменту)</t>
  </si>
  <si>
    <t>Доход от тарифов MPStats</t>
  </si>
  <si>
    <t>- Звонки КЦ</t>
  </si>
  <si>
    <t>- Звонки sales</t>
  </si>
  <si>
    <t>- демо sales</t>
  </si>
  <si>
    <t>- маркетинг</t>
  </si>
  <si>
    <t>- триал (входит?)</t>
  </si>
  <si>
    <t>Расход на 1 день триала на 1 клиента</t>
  </si>
  <si>
    <t xml:space="preserve">as is MPS </t>
  </si>
  <si>
    <t>Доход - расход</t>
  </si>
  <si>
    <t>Первая покупка тарифа MPS</t>
  </si>
  <si>
    <t>Повторные покупки тарифа MPS</t>
  </si>
  <si>
    <t>CR в Т-Банке выше</t>
  </si>
  <si>
    <t>Данные для расчета</t>
  </si>
  <si>
    <t>нужно понять итоговоый согласованный размер скидки</t>
  </si>
  <si>
    <t>но вообще абсолюты - от всех визитов cnt_visits - Заход и действие в 1 месяц, но не обязательно первый заход</t>
  </si>
  <si>
    <t>Общее</t>
  </si>
  <si>
    <t>Квалификация лидов (дозвон КЦ) - ЦА</t>
  </si>
  <si>
    <t>Лиды (визииты Селлер)</t>
  </si>
  <si>
    <t>Сегмент 1.  Активные селлеры в Т с выплатами от МП. 1 приоритет</t>
  </si>
  <si>
    <t xml:space="preserve">Сегмент 2. Активные селлеры в Т., но  без выплат от МП </t>
  </si>
  <si>
    <t>Сегмент 3. Спящие селлеры в Т (нет транзакций по РКО)</t>
  </si>
  <si>
    <t>Сегмент 4. Селлеры без РКО в Т - Рынок</t>
  </si>
  <si>
    <t>добавить самоходов</t>
  </si>
  <si>
    <t>логика дохода от др продуктов??</t>
  </si>
  <si>
    <t>Расход на привлечение MPStats</t>
  </si>
  <si>
    <t>Расход на содержание MPStats</t>
  </si>
  <si>
    <t>Расходы по др продуктам Т-Банк</t>
  </si>
  <si>
    <t>Доход Т-Банк  всего (тарифы + др продукты)</t>
  </si>
  <si>
    <t>гипотза - расходы в 3 раза ниже чем у MPStats с sales</t>
  </si>
  <si>
    <t>Расход на 1 клиента - тарифы MPStats</t>
  </si>
  <si>
    <t>Расход на 1 клиента - др продукты Т-Банка</t>
  </si>
  <si>
    <t>гипотеза - расходы в 3 раза ниже чем у MPStats с sales</t>
  </si>
  <si>
    <t>NPV продукты Т-Банк</t>
  </si>
  <si>
    <t>LTV (другие продукты Банка - PV)</t>
  </si>
  <si>
    <t>LTV (другие продукты Банка - NPV)</t>
  </si>
  <si>
    <t>Гипотеза LTV (NPV) по клиентам с тарифом MPS</t>
  </si>
  <si>
    <t>гипотеза - расходы такие же как у MPS</t>
  </si>
  <si>
    <t>гипотеза - LTV др продукты банка выше на X за счет ковенант</t>
  </si>
  <si>
    <t>гипотеза - LT (нет данных от MPS)</t>
  </si>
  <si>
    <t>гипотеза - LT +X мес за счет автосписания с РКО + частичного списания при недостатке ДС</t>
  </si>
  <si>
    <t xml:space="preserve">Распределение селлеров по сегментам по оборотам в Т-Банке </t>
  </si>
  <si>
    <t>Распределение селлеров по сегментам по оборотам в Т-Банке (за искл пересечений с MPStast и Точкой)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</si>
</sst>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yyyy\-mm\-dd"/>
    <numFmt numFmtId="166" formatCode="_-* #,##0\ &quot;₽&quot;_-;\-* #,##0\ &quot;₽&quot;_-;_-* &quot;-&quot;??\ &quot;₽&quot;_-;_-@_-"/>
    <numFmt numFmtId="171" formatCode="yyyy\-mm\-dd\ hh:mm:ss"/>
    <numFmt numFmtId="176" formatCode="0.0"/>
    <numFmt numFmtId="179" formatCode="#,##0\ &quot;₽&quot;"/>
  </numFmts>
  <fonts count="50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2"/>
      <color rgb="FFFF0000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5"/>
      <color rgb="FF3F4350"/>
      <name val="Arial"/>
      <family val="2"/>
    </font>
    <font>
      <b/>
      <sz val="15"/>
      <color rgb="FF3F4350"/>
      <name val="Arial"/>
      <family val="2"/>
    </font>
    <font>
      <sz val="12"/>
      <color theme="1"/>
      <name val="Calibri"/>
      <family val="2"/>
      <charset val="204"/>
      <scheme val="minor"/>
    </font>
    <font>
      <sz val="14"/>
      <color rgb="FFFF0000"/>
      <name val="Calibri"/>
      <family val="2"/>
      <scheme val="minor"/>
    </font>
    <font>
      <sz val="14"/>
      <color theme="0" tint="-0.49998474074526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4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172B4D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color rgb="FF7030A0"/>
      <name val="Calibri"/>
      <family val="2"/>
      <scheme val="minor"/>
    </font>
    <font>
      <sz val="10"/>
      <color rgb="FF000000"/>
      <name val="Calibri"/>
      <family val="2"/>
    </font>
    <font>
      <b/>
      <sz val="14"/>
      <color theme="1"/>
      <name val="Calibri (Основной текст)"/>
      <charset val="204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C00000"/>
      <name val="Calibri"/>
      <family val="2"/>
      <scheme val="minor"/>
    </font>
    <font>
      <i/>
      <sz val="12"/>
      <color rgb="FFC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Calibri (Основной текст)"/>
      <charset val="204"/>
    </font>
    <font>
      <b/>
      <sz val="11"/>
      <color indexed="8"/>
      <name val="Calibri"/>
      <family val="2"/>
      <scheme val="minor"/>
    </font>
    <font>
      <sz val="14"/>
      <color rgb="FF172B4D"/>
      <name val="Roboto"/>
    </font>
    <font>
      <i/>
      <sz val="11"/>
      <color theme="1"/>
      <name val="Calibri (Основной текст)"/>
      <charset val="204"/>
    </font>
    <font>
      <i/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4"/>
      <color rgb="FFC00000"/>
      <name val="Calibri"/>
      <family val="2"/>
      <charset val="204"/>
      <scheme val="minor"/>
    </font>
    <font>
      <sz val="14"/>
      <color theme="5" tint="-0.249977111117893"/>
      <name val="Calibri"/>
      <family val="2"/>
      <scheme val="minor"/>
    </font>
    <font>
      <sz val="14"/>
      <color theme="5" tint="-0.249977111117893"/>
      <name val="Calibri"/>
      <family val="2"/>
      <charset val="204"/>
      <scheme val="minor"/>
    </font>
    <font>
      <sz val="14"/>
      <color theme="5" tint="-0.499984740745262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7BF50"/>
        <bgColor rgb="FF17BF50"/>
      </patternFill>
    </fill>
    <fill>
      <patternFill patternType="solid">
        <fgColor rgb="FFEAF7EE"/>
        <bgColor rgb="FFEAF7EE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57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 wrapText="1"/>
    </xf>
    <xf numFmtId="0" fontId="1" fillId="3" borderId="1" xfId="0" applyFont="1" applyFill="1" applyBorder="1"/>
    <xf numFmtId="0" fontId="5" fillId="0" borderId="0" xfId="0" applyFont="1"/>
    <xf numFmtId="0" fontId="0" fillId="0" borderId="0" xfId="0" applyAlignment="1">
      <alignment wrapText="1"/>
    </xf>
    <xf numFmtId="0" fontId="6" fillId="0" borderId="0" xfId="1"/>
    <xf numFmtId="0" fontId="7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9" fillId="0" borderId="0" xfId="0" applyFont="1"/>
    <xf numFmtId="0" fontId="7" fillId="4" borderId="0" xfId="0" applyFont="1" applyFill="1"/>
    <xf numFmtId="0" fontId="0" fillId="4" borderId="0" xfId="0" applyFill="1"/>
    <xf numFmtId="0" fontId="2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0" borderId="0" xfId="0" applyFont="1"/>
    <xf numFmtId="0" fontId="1" fillId="0" borderId="3" xfId="0" applyFont="1" applyBorder="1" applyAlignment="1">
      <alignment vertical="top" wrapText="1"/>
    </xf>
    <xf numFmtId="0" fontId="1" fillId="0" borderId="1" xfId="0" applyFont="1" applyBorder="1"/>
    <xf numFmtId="0" fontId="2" fillId="0" borderId="0" xfId="0" applyFont="1"/>
    <xf numFmtId="0" fontId="2" fillId="0" borderId="4" xfId="0" applyFont="1" applyBorder="1" applyAlignment="1">
      <alignment vertical="top" wrapText="1"/>
    </xf>
    <xf numFmtId="0" fontId="12" fillId="4" borderId="1" xfId="0" applyFont="1" applyFill="1" applyBorder="1"/>
    <xf numFmtId="0" fontId="1" fillId="7" borderId="0" xfId="0" applyFont="1" applyFill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1" fillId="0" borderId="10" xfId="0" applyFont="1" applyBorder="1" applyAlignment="1">
      <alignment vertical="top" wrapText="1"/>
    </xf>
    <xf numFmtId="0" fontId="1" fillId="6" borderId="0" xfId="0" applyFont="1" applyFill="1" applyAlignment="1">
      <alignment vertical="top" wrapText="1"/>
    </xf>
    <xf numFmtId="0" fontId="2" fillId="8" borderId="0" xfId="0" applyFont="1" applyFill="1"/>
    <xf numFmtId="0" fontId="1" fillId="8" borderId="0" xfId="0" applyFont="1" applyFill="1"/>
    <xf numFmtId="0" fontId="1" fillId="0" borderId="9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2" fillId="3" borderId="1" xfId="0" applyFont="1" applyFill="1" applyBorder="1"/>
    <xf numFmtId="0" fontId="2" fillId="2" borderId="0" xfId="0" applyFont="1" applyFill="1"/>
    <xf numFmtId="0" fontId="1" fillId="4" borderId="1" xfId="0" applyFont="1" applyFill="1" applyBorder="1"/>
    <xf numFmtId="0" fontId="1" fillId="0" borderId="9" xfId="0" applyFont="1" applyBorder="1" applyAlignment="1">
      <alignment horizontal="right" vertical="top" wrapText="1"/>
    </xf>
    <xf numFmtId="164" fontId="1" fillId="0" borderId="9" xfId="0" applyNumberFormat="1" applyFont="1" applyBorder="1" applyAlignment="1">
      <alignment horizontal="right" vertical="top"/>
    </xf>
    <xf numFmtId="164" fontId="1" fillId="0" borderId="0" xfId="2" applyNumberFormat="1" applyFont="1" applyFill="1" applyBorder="1" applyAlignment="1">
      <alignment horizontal="right" vertical="top"/>
    </xf>
    <xf numFmtId="0" fontId="12" fillId="0" borderId="9" xfId="0" applyFont="1" applyBorder="1" applyAlignment="1">
      <alignment horizontal="right" vertical="top" wrapText="1"/>
    </xf>
    <xf numFmtId="164" fontId="1" fillId="0" borderId="0" xfId="2" applyNumberFormat="1" applyFont="1" applyFill="1" applyBorder="1" applyAlignment="1">
      <alignment horizontal="right" vertical="top" wrapText="1"/>
    </xf>
    <xf numFmtId="0" fontId="12" fillId="0" borderId="10" xfId="0" applyFont="1" applyBorder="1" applyAlignment="1">
      <alignment horizontal="right" vertical="top" wrapText="1"/>
    </xf>
    <xf numFmtId="0" fontId="1" fillId="0" borderId="10" xfId="0" applyFont="1" applyBorder="1" applyAlignment="1">
      <alignment horizontal="right" vertical="top" wrapText="1"/>
    </xf>
    <xf numFmtId="164" fontId="12" fillId="0" borderId="0" xfId="2" applyNumberFormat="1" applyFont="1" applyFill="1" applyBorder="1" applyAlignment="1">
      <alignment horizontal="right" vertical="top" wrapText="1"/>
    </xf>
    <xf numFmtId="0" fontId="1" fillId="5" borderId="9" xfId="0" applyFont="1" applyFill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6" borderId="9" xfId="0" applyFont="1" applyFill="1" applyBorder="1" applyAlignment="1">
      <alignment vertical="top"/>
    </xf>
    <xf numFmtId="0" fontId="1" fillId="3" borderId="9" xfId="0" applyFont="1" applyFill="1" applyBorder="1" applyAlignment="1">
      <alignment horizontal="left" vertical="top"/>
    </xf>
    <xf numFmtId="0" fontId="1" fillId="2" borderId="9" xfId="0" applyFont="1" applyFill="1" applyBorder="1" applyAlignment="1">
      <alignment vertical="top"/>
    </xf>
    <xf numFmtId="0" fontId="1" fillId="2" borderId="0" xfId="0" applyFont="1" applyFill="1" applyAlignment="1">
      <alignment vertical="top" wrapText="1"/>
    </xf>
    <xf numFmtId="0" fontId="16" fillId="9" borderId="12" xfId="0" applyFont="1" applyFill="1" applyBorder="1" applyAlignment="1">
      <alignment horizontal="left" vertical="center"/>
    </xf>
    <xf numFmtId="0" fontId="16" fillId="9" borderId="12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0" borderId="12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10" borderId="12" xfId="0" applyFont="1" applyFill="1" applyBorder="1" applyAlignment="1">
      <alignment horizontal="left" vertical="center"/>
    </xf>
    <xf numFmtId="10" fontId="17" fillId="10" borderId="1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10" borderId="12" xfId="0" applyFill="1" applyBorder="1" applyAlignment="1">
      <alignment horizontal="left" vertical="center"/>
    </xf>
    <xf numFmtId="0" fontId="0" fillId="10" borderId="12" xfId="0" applyFill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2" xfId="0" applyFont="1" applyBorder="1" applyAlignment="1">
      <alignment horizontal="center" vertical="center"/>
    </xf>
    <xf numFmtId="0" fontId="17" fillId="10" borderId="1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right" vertical="top"/>
    </xf>
    <xf numFmtId="9" fontId="12" fillId="0" borderId="9" xfId="0" applyNumberFormat="1" applyFont="1" applyBorder="1" applyAlignment="1">
      <alignment horizontal="right" vertical="top" wrapText="1"/>
    </xf>
    <xf numFmtId="0" fontId="1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0" fontId="19" fillId="0" borderId="1" xfId="0" applyFont="1" applyBorder="1" applyAlignment="1">
      <alignment horizontal="center" vertical="top"/>
    </xf>
    <xf numFmtId="165" fontId="0" fillId="0" borderId="0" xfId="0" applyNumberFormat="1"/>
    <xf numFmtId="0" fontId="19" fillId="11" borderId="1" xfId="0" applyFont="1" applyFill="1" applyBorder="1" applyAlignment="1">
      <alignment horizontal="center" vertical="top"/>
    </xf>
    <xf numFmtId="165" fontId="0" fillId="11" borderId="0" xfId="0" applyNumberFormat="1" applyFill="1"/>
    <xf numFmtId="0" fontId="0" fillId="11" borderId="0" xfId="0" applyFill="1"/>
    <xf numFmtId="164" fontId="0" fillId="11" borderId="0" xfId="2" applyNumberFormat="1" applyFont="1" applyFill="1"/>
    <xf numFmtId="1" fontId="0" fillId="11" borderId="0" xfId="2" applyNumberFormat="1" applyFont="1" applyFill="1"/>
    <xf numFmtId="0" fontId="1" fillId="6" borderId="1" xfId="0" applyFont="1" applyFill="1" applyBorder="1"/>
    <xf numFmtId="164" fontId="1" fillId="0" borderId="0" xfId="2" applyNumberFormat="1" applyFont="1"/>
    <xf numFmtId="164" fontId="1" fillId="0" borderId="1" xfId="2" applyNumberFormat="1" applyFont="1" applyBorder="1"/>
    <xf numFmtId="0" fontId="1" fillId="4" borderId="0" xfId="0" applyFont="1" applyFill="1" applyAlignment="1">
      <alignment vertical="top" wrapText="1"/>
    </xf>
    <xf numFmtId="0" fontId="18" fillId="0" borderId="0" xfId="0" applyFont="1"/>
    <xf numFmtId="164" fontId="1" fillId="0" borderId="0" xfId="2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0" fontId="1" fillId="12" borderId="13" xfId="0" applyFont="1" applyFill="1" applyBorder="1" applyAlignment="1">
      <alignment vertical="top" wrapText="1"/>
    </xf>
    <xf numFmtId="0" fontId="1" fillId="0" borderId="11" xfId="0" applyFont="1" applyBorder="1" applyAlignment="1">
      <alignment vertical="top" wrapText="1"/>
    </xf>
    <xf numFmtId="0" fontId="1" fillId="12" borderId="11" xfId="0" applyFont="1" applyFill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0" fillId="0" borderId="4" xfId="0" applyBorder="1"/>
    <xf numFmtId="0" fontId="1" fillId="0" borderId="9" xfId="0" applyFont="1" applyBorder="1"/>
    <xf numFmtId="0" fontId="1" fillId="0" borderId="0" xfId="0" quotePrefix="1" applyFont="1" applyAlignment="1">
      <alignment vertical="top" wrapText="1"/>
    </xf>
    <xf numFmtId="0" fontId="1" fillId="14" borderId="0" xfId="0" applyFont="1" applyFill="1"/>
    <xf numFmtId="0" fontId="21" fillId="14" borderId="0" xfId="0" applyFont="1" applyFill="1" applyAlignment="1">
      <alignment vertical="top"/>
    </xf>
    <xf numFmtId="0" fontId="2" fillId="14" borderId="0" xfId="0" applyFont="1" applyFill="1"/>
    <xf numFmtId="0" fontId="18" fillId="0" borderId="0" xfId="0" applyFont="1" applyAlignment="1">
      <alignment vertical="top" wrapText="1"/>
    </xf>
    <xf numFmtId="0" fontId="1" fillId="0" borderId="15" xfId="0" applyFont="1" applyBorder="1" applyAlignment="1">
      <alignment vertical="top" wrapText="1"/>
    </xf>
    <xf numFmtId="0" fontId="2" fillId="0" borderId="15" xfId="0" applyFont="1" applyBorder="1" applyAlignment="1">
      <alignment vertical="top" wrapText="1"/>
    </xf>
    <xf numFmtId="0" fontId="1" fillId="0" borderId="16" xfId="0" applyFont="1" applyBorder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1" fillId="0" borderId="16" xfId="0" applyFont="1" applyBorder="1"/>
    <xf numFmtId="0" fontId="2" fillId="6" borderId="14" xfId="0" applyFont="1" applyFill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2" fillId="6" borderId="16" xfId="0" applyFont="1" applyFill="1" applyBorder="1" applyAlignment="1">
      <alignment vertical="top" wrapText="1"/>
    </xf>
    <xf numFmtId="0" fontId="22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5" borderId="0" xfId="0" applyFont="1" applyFill="1" applyAlignment="1">
      <alignment vertical="top"/>
    </xf>
    <xf numFmtId="0" fontId="23" fillId="0" borderId="0" xfId="1" applyFont="1" applyAlignment="1">
      <alignment vertical="top"/>
    </xf>
    <xf numFmtId="0" fontId="24" fillId="0" borderId="0" xfId="0" applyFont="1" applyAlignment="1">
      <alignment vertical="top" wrapText="1"/>
    </xf>
    <xf numFmtId="0" fontId="22" fillId="3" borderId="0" xfId="0" applyFont="1" applyFill="1" applyAlignment="1">
      <alignment vertical="top"/>
    </xf>
    <xf numFmtId="0" fontId="22" fillId="4" borderId="0" xfId="0" applyFont="1" applyFill="1" applyAlignment="1">
      <alignment vertical="top"/>
    </xf>
    <xf numFmtId="0" fontId="25" fillId="0" borderId="0" xfId="0" applyFont="1" applyAlignment="1">
      <alignment vertical="top" wrapText="1"/>
    </xf>
    <xf numFmtId="0" fontId="22" fillId="6" borderId="0" xfId="0" applyFont="1" applyFill="1" applyAlignment="1">
      <alignment vertical="top"/>
    </xf>
    <xf numFmtId="0" fontId="26" fillId="0" borderId="0" xfId="0" applyFont="1" applyAlignment="1">
      <alignment vertical="top" wrapText="1"/>
    </xf>
    <xf numFmtId="0" fontId="6" fillId="0" borderId="0" xfId="1" applyAlignment="1">
      <alignment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9" fontId="1" fillId="0" borderId="9" xfId="0" applyNumberFormat="1" applyFont="1" applyBorder="1" applyAlignment="1">
      <alignment horizontal="right" vertical="top"/>
    </xf>
    <xf numFmtId="164" fontId="1" fillId="0" borderId="9" xfId="2" applyNumberFormat="1" applyFont="1" applyFill="1" applyBorder="1" applyAlignment="1">
      <alignment horizontal="right" vertical="top"/>
    </xf>
    <xf numFmtId="164" fontId="1" fillId="0" borderId="9" xfId="0" applyNumberFormat="1" applyFont="1" applyBorder="1" applyAlignment="1">
      <alignment horizontal="right" vertical="top" wrapText="1"/>
    </xf>
    <xf numFmtId="164" fontId="12" fillId="0" borderId="9" xfId="0" applyNumberFormat="1" applyFont="1" applyBorder="1" applyAlignment="1">
      <alignment horizontal="right" vertical="top" wrapText="1"/>
    </xf>
    <xf numFmtId="0" fontId="12" fillId="4" borderId="9" xfId="0" applyFont="1" applyFill="1" applyBorder="1" applyAlignment="1">
      <alignment horizontal="right" vertical="top" wrapText="1"/>
    </xf>
    <xf numFmtId="0" fontId="2" fillId="6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9" fontId="12" fillId="0" borderId="0" xfId="0" applyNumberFormat="1" applyFont="1" applyAlignment="1">
      <alignment horizontal="right" vertical="top" wrapText="1"/>
    </xf>
    <xf numFmtId="164" fontId="1" fillId="0" borderId="0" xfId="0" applyNumberFormat="1" applyFont="1" applyAlignment="1">
      <alignment horizontal="right" vertical="top"/>
    </xf>
    <xf numFmtId="0" fontId="12" fillId="0" borderId="0" xfId="0" applyFont="1" applyAlignment="1">
      <alignment horizontal="right" vertical="top" wrapText="1"/>
    </xf>
    <xf numFmtId="164" fontId="1" fillId="0" borderId="0" xfId="0" applyNumberFormat="1" applyFont="1" applyAlignment="1">
      <alignment horizontal="right" vertical="top" wrapText="1"/>
    </xf>
    <xf numFmtId="9" fontId="1" fillId="0" borderId="0" xfId="0" applyNumberFormat="1" applyFont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10" fontId="1" fillId="0" borderId="0" xfId="0" applyNumberFormat="1" applyFont="1" applyAlignment="1">
      <alignment horizontal="right" vertical="top" wrapText="1"/>
    </xf>
    <xf numFmtId="9" fontId="1" fillId="5" borderId="9" xfId="0" applyNumberFormat="1" applyFont="1" applyFill="1" applyBorder="1" applyAlignment="1">
      <alignment horizontal="right" vertical="top" wrapText="1"/>
    </xf>
    <xf numFmtId="164" fontId="1" fillId="5" borderId="0" xfId="0" applyNumberFormat="1" applyFont="1" applyFill="1" applyAlignment="1">
      <alignment horizontal="right" vertical="top" wrapText="1"/>
    </xf>
    <xf numFmtId="164" fontId="1" fillId="5" borderId="0" xfId="2" applyNumberFormat="1" applyFont="1" applyFill="1" applyBorder="1" applyAlignment="1">
      <alignment horizontal="right" vertical="top" wrapText="1"/>
    </xf>
    <xf numFmtId="164" fontId="12" fillId="0" borderId="0" xfId="0" applyNumberFormat="1" applyFont="1" applyAlignment="1">
      <alignment horizontal="right" vertical="top" wrapText="1"/>
    </xf>
    <xf numFmtId="0" fontId="2" fillId="5" borderId="0" xfId="0" applyFont="1" applyFill="1" applyAlignment="1">
      <alignment horizontal="left" vertical="top" wrapText="1"/>
    </xf>
    <xf numFmtId="9" fontId="1" fillId="5" borderId="0" xfId="0" applyNumberFormat="1" applyFont="1" applyFill="1" applyAlignment="1">
      <alignment horizontal="right" vertical="top"/>
    </xf>
    <xf numFmtId="9" fontId="1" fillId="0" borderId="0" xfId="0" applyNumberFormat="1" applyFont="1" applyAlignment="1">
      <alignment horizontal="right" vertical="top"/>
    </xf>
    <xf numFmtId="9" fontId="1" fillId="5" borderId="0" xfId="0" applyNumberFormat="1" applyFont="1" applyFill="1" applyAlignment="1">
      <alignment horizontal="right" vertical="top" wrapText="1"/>
    </xf>
    <xf numFmtId="164" fontId="12" fillId="0" borderId="10" xfId="0" applyNumberFormat="1" applyFont="1" applyBorder="1" applyAlignment="1">
      <alignment horizontal="right" vertical="top" wrapText="1"/>
    </xf>
    <xf numFmtId="164" fontId="1" fillId="0" borderId="0" xfId="2" applyNumberFormat="1" applyFont="1" applyBorder="1" applyAlignment="1">
      <alignment horizontal="right" vertical="top" wrapText="1"/>
    </xf>
    <xf numFmtId="1" fontId="1" fillId="3" borderId="1" xfId="0" applyNumberFormat="1" applyFont="1" applyFill="1" applyBorder="1"/>
    <xf numFmtId="164" fontId="1" fillId="0" borderId="0" xfId="2" applyNumberFormat="1" applyFont="1" applyBorder="1"/>
    <xf numFmtId="0" fontId="12" fillId="6" borderId="1" xfId="0" applyFont="1" applyFill="1" applyBorder="1"/>
    <xf numFmtId="10" fontId="2" fillId="0" borderId="0" xfId="0" applyNumberFormat="1" applyFont="1" applyAlignment="1">
      <alignment horizontal="right" vertical="top" wrapText="1"/>
    </xf>
    <xf numFmtId="10" fontId="2" fillId="0" borderId="9" xfId="0" applyNumberFormat="1" applyFont="1" applyBorder="1" applyAlignment="1">
      <alignment horizontal="right" vertical="top" wrapText="1"/>
    </xf>
    <xf numFmtId="164" fontId="2" fillId="0" borderId="0" xfId="0" applyNumberFormat="1" applyFont="1" applyAlignment="1">
      <alignment horizontal="right" vertical="top" wrapText="1"/>
    </xf>
    <xf numFmtId="0" fontId="1" fillId="0" borderId="14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1" fillId="5" borderId="16" xfId="0" applyFont="1" applyFill="1" applyBorder="1" applyAlignment="1">
      <alignment vertical="top" wrapText="1"/>
    </xf>
    <xf numFmtId="0" fontId="1" fillId="5" borderId="17" xfId="0" applyFont="1" applyFill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" fillId="0" borderId="18" xfId="0" quotePrefix="1" applyFont="1" applyBorder="1" applyAlignment="1">
      <alignment vertical="top" wrapText="1"/>
    </xf>
    <xf numFmtId="0" fontId="1" fillId="0" borderId="20" xfId="0" applyFont="1" applyBorder="1" applyAlignment="1">
      <alignment vertical="top" wrapText="1"/>
    </xf>
    <xf numFmtId="0" fontId="2" fillId="0" borderId="15" xfId="0" applyFont="1" applyBorder="1" applyAlignment="1">
      <alignment vertical="top"/>
    </xf>
    <xf numFmtId="1" fontId="1" fillId="7" borderId="1" xfId="0" applyNumberFormat="1" applyFont="1" applyFill="1" applyBorder="1"/>
    <xf numFmtId="164" fontId="1" fillId="7" borderId="1" xfId="2" applyNumberFormat="1" applyFont="1" applyFill="1" applyBorder="1"/>
    <xf numFmtId="0" fontId="1" fillId="0" borderId="0" xfId="0" applyFont="1" applyAlignment="1">
      <alignment wrapText="1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1" fontId="1" fillId="0" borderId="1" xfId="0" applyNumberFormat="1" applyFont="1" applyBorder="1"/>
    <xf numFmtId="0" fontId="2" fillId="0" borderId="1" xfId="0" applyFont="1" applyBorder="1"/>
    <xf numFmtId="0" fontId="2" fillId="6" borderId="15" xfId="0" applyFont="1" applyFill="1" applyBorder="1" applyAlignment="1">
      <alignment vertical="top" wrapText="1"/>
    </xf>
    <xf numFmtId="0" fontId="1" fillId="6" borderId="15" xfId="0" applyFont="1" applyFill="1" applyBorder="1" applyAlignment="1">
      <alignment vertical="top" wrapText="1"/>
    </xf>
    <xf numFmtId="164" fontId="1" fillId="2" borderId="0" xfId="2" applyNumberFormat="1" applyFont="1" applyFill="1" applyAlignment="1">
      <alignment vertical="top" wrapText="1"/>
    </xf>
    <xf numFmtId="0" fontId="18" fillId="0" borderId="0" xfId="0" applyFont="1" applyAlignment="1">
      <alignment vertical="top"/>
    </xf>
    <xf numFmtId="0" fontId="0" fillId="3" borderId="0" xfId="0" applyFill="1"/>
    <xf numFmtId="0" fontId="19" fillId="0" borderId="1" xfId="0" applyFont="1" applyBorder="1" applyAlignment="1">
      <alignment horizontal="center" vertical="top" wrapText="1"/>
    </xf>
    <xf numFmtId="0" fontId="19" fillId="3" borderId="1" xfId="0" applyFont="1" applyFill="1" applyBorder="1" applyAlignment="1">
      <alignment horizontal="center" vertical="top"/>
    </xf>
    <xf numFmtId="165" fontId="0" fillId="3" borderId="0" xfId="0" applyNumberFormat="1" applyFill="1"/>
    <xf numFmtId="0" fontId="19" fillId="3" borderId="1" xfId="0" applyFont="1" applyFill="1" applyBorder="1" applyAlignment="1">
      <alignment horizontal="center" vertical="top" wrapText="1"/>
    </xf>
    <xf numFmtId="9" fontId="0" fillId="3" borderId="0" xfId="2" applyFont="1" applyFill="1"/>
    <xf numFmtId="0" fontId="1" fillId="12" borderId="11" xfId="0" applyFont="1" applyFill="1" applyBorder="1" applyAlignment="1">
      <alignment vertical="top"/>
    </xf>
    <xf numFmtId="0" fontId="1" fillId="6" borderId="15" xfId="0" applyFont="1" applyFill="1" applyBorder="1" applyAlignment="1">
      <alignment vertical="top"/>
    </xf>
    <xf numFmtId="0" fontId="1" fillId="6" borderId="15" xfId="0" quotePrefix="1" applyFont="1" applyFill="1" applyBorder="1" applyAlignment="1">
      <alignment vertical="top" wrapText="1"/>
    </xf>
    <xf numFmtId="0" fontId="2" fillId="6" borderId="17" xfId="0" applyFont="1" applyFill="1" applyBorder="1" applyAlignment="1">
      <alignment vertical="top" wrapText="1"/>
    </xf>
    <xf numFmtId="0" fontId="1" fillId="6" borderId="18" xfId="0" applyFont="1" applyFill="1" applyBorder="1" applyAlignment="1">
      <alignment vertical="top"/>
    </xf>
    <xf numFmtId="0" fontId="1" fillId="6" borderId="18" xfId="0" applyFont="1" applyFill="1" applyBorder="1" applyAlignment="1">
      <alignment vertical="top" wrapText="1"/>
    </xf>
    <xf numFmtId="1" fontId="1" fillId="6" borderId="15" xfId="0" applyNumberFormat="1" applyFont="1" applyFill="1" applyBorder="1" applyAlignment="1">
      <alignment vertical="top" wrapText="1"/>
    </xf>
    <xf numFmtId="1" fontId="1" fillId="0" borderId="0" xfId="0" applyNumberFormat="1" applyFont="1" applyAlignment="1">
      <alignment vertical="top" wrapText="1"/>
    </xf>
    <xf numFmtId="166" fontId="1" fillId="6" borderId="15" xfId="0" applyNumberFormat="1" applyFont="1" applyFill="1" applyBorder="1" applyAlignment="1">
      <alignment vertical="top" wrapText="1"/>
    </xf>
    <xf numFmtId="164" fontId="1" fillId="0" borderId="9" xfId="2" applyNumberFormat="1" applyFont="1" applyBorder="1" applyAlignment="1">
      <alignment vertical="top" wrapText="1"/>
    </xf>
    <xf numFmtId="164" fontId="1" fillId="0" borderId="9" xfId="2" applyNumberFormat="1" applyFont="1" applyBorder="1" applyAlignment="1">
      <alignment vertical="top"/>
    </xf>
    <xf numFmtId="0" fontId="1" fillId="3" borderId="16" xfId="0" applyFont="1" applyFill="1" applyBorder="1" applyAlignment="1">
      <alignment vertical="top" wrapText="1"/>
    </xf>
    <xf numFmtId="166" fontId="2" fillId="6" borderId="15" xfId="0" applyNumberFormat="1" applyFont="1" applyFill="1" applyBorder="1" applyAlignment="1">
      <alignment vertical="top" wrapText="1"/>
    </xf>
    <xf numFmtId="164" fontId="1" fillId="0" borderId="0" xfId="2" applyNumberFormat="1" applyFont="1" applyFill="1" applyAlignment="1">
      <alignment vertical="top" wrapText="1"/>
    </xf>
    <xf numFmtId="9" fontId="18" fillId="0" borderId="0" xfId="0" applyNumberFormat="1" applyFont="1" applyAlignment="1">
      <alignment vertical="top"/>
    </xf>
    <xf numFmtId="0" fontId="29" fillId="0" borderId="0" xfId="0" applyFont="1"/>
    <xf numFmtId="0" fontId="30" fillId="0" borderId="0" xfId="0" applyFont="1"/>
    <xf numFmtId="0" fontId="11" fillId="0" borderId="0" xfId="0" applyFont="1"/>
    <xf numFmtId="0" fontId="1" fillId="15" borderId="1" xfId="0" applyFont="1" applyFill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4" fillId="0" borderId="0" xfId="0" applyFont="1"/>
    <xf numFmtId="0" fontId="0" fillId="0" borderId="0" xfId="0"/>
    <xf numFmtId="0" fontId="15" fillId="0" borderId="0" xfId="0" applyFont="1" applyAlignment="1">
      <alignment wrapText="1"/>
    </xf>
    <xf numFmtId="0" fontId="31" fillId="0" borderId="0" xfId="0" applyFont="1"/>
    <xf numFmtId="0" fontId="7" fillId="3" borderId="0" xfId="0" applyFont="1" applyFill="1"/>
    <xf numFmtId="0" fontId="6" fillId="3" borderId="0" xfId="1" applyFill="1"/>
    <xf numFmtId="0" fontId="31" fillId="3" borderId="0" xfId="0" applyFont="1" applyFill="1"/>
    <xf numFmtId="166" fontId="1" fillId="0" borderId="0" xfId="0" applyNumberFormat="1" applyFont="1" applyFill="1" applyAlignment="1">
      <alignment vertical="top" wrapText="1"/>
    </xf>
    <xf numFmtId="0" fontId="2" fillId="4" borderId="16" xfId="0" applyFont="1" applyFill="1" applyBorder="1"/>
    <xf numFmtId="0" fontId="1" fillId="4" borderId="16" xfId="0" applyFont="1" applyFill="1" applyBorder="1"/>
    <xf numFmtId="0" fontId="22" fillId="0" borderId="0" xfId="0" applyFont="1"/>
    <xf numFmtId="0" fontId="22" fillId="0" borderId="3" xfId="0" applyFont="1" applyBorder="1"/>
    <xf numFmtId="0" fontId="22" fillId="0" borderId="4" xfId="0" applyFont="1" applyBorder="1"/>
    <xf numFmtId="0" fontId="22" fillId="0" borderId="5" xfId="0" applyFont="1" applyBorder="1"/>
    <xf numFmtId="0" fontId="22" fillId="0" borderId="9" xfId="0" applyFont="1" applyBorder="1"/>
    <xf numFmtId="0" fontId="22" fillId="0" borderId="10" xfId="0" applyFont="1" applyBorder="1"/>
    <xf numFmtId="0" fontId="7" fillId="5" borderId="9" xfId="0" applyFont="1" applyFill="1" applyBorder="1"/>
    <xf numFmtId="0" fontId="7" fillId="5" borderId="10" xfId="0" applyFont="1" applyFill="1" applyBorder="1"/>
    <xf numFmtId="0" fontId="33" fillId="0" borderId="0" xfId="0" applyFont="1"/>
    <xf numFmtId="0" fontId="7" fillId="5" borderId="6" xfId="0" applyFont="1" applyFill="1" applyBorder="1"/>
    <xf numFmtId="0" fontId="22" fillId="0" borderId="7" xfId="0" applyFont="1" applyBorder="1"/>
    <xf numFmtId="0" fontId="7" fillId="5" borderId="8" xfId="0" applyFont="1" applyFill="1" applyBorder="1"/>
    <xf numFmtId="1" fontId="34" fillId="0" borderId="0" xfId="0" applyNumberFormat="1" applyFont="1"/>
    <xf numFmtId="1" fontId="22" fillId="0" borderId="0" xfId="0" applyNumberFormat="1" applyFont="1"/>
    <xf numFmtId="0" fontId="7" fillId="0" borderId="3" xfId="0" applyFont="1" applyBorder="1"/>
    <xf numFmtId="0" fontId="7" fillId="0" borderId="5" xfId="0" applyFont="1" applyBorder="1"/>
    <xf numFmtId="166" fontId="22" fillId="0" borderId="0" xfId="0" applyNumberFormat="1" applyFont="1"/>
    <xf numFmtId="0" fontId="22" fillId="0" borderId="6" xfId="0" applyFont="1" applyBorder="1"/>
    <xf numFmtId="166" fontId="22" fillId="0" borderId="7" xfId="0" applyNumberFormat="1" applyFont="1" applyBorder="1"/>
    <xf numFmtId="0" fontId="22" fillId="0" borderId="8" xfId="0" applyFont="1" applyBorder="1"/>
    <xf numFmtId="0" fontId="35" fillId="0" borderId="0" xfId="0" applyFont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5" borderId="9" xfId="0" applyFill="1" applyBorder="1"/>
    <xf numFmtId="0" fontId="0" fillId="5" borderId="0" xfId="0" applyFill="1"/>
    <xf numFmtId="164" fontId="0" fillId="5" borderId="10" xfId="2" applyNumberFormat="1" applyFont="1" applyFill="1" applyBorder="1"/>
    <xf numFmtId="0" fontId="0" fillId="0" borderId="6" xfId="0" applyBorder="1"/>
    <xf numFmtId="9" fontId="0" fillId="0" borderId="8" xfId="2" applyFont="1" applyBorder="1"/>
    <xf numFmtId="164" fontId="0" fillId="0" borderId="10" xfId="2" applyNumberFormat="1" applyFont="1" applyBorder="1"/>
    <xf numFmtId="0" fontId="0" fillId="0" borderId="7" xfId="0" applyBorder="1"/>
    <xf numFmtId="164" fontId="0" fillId="0" borderId="8" xfId="2" applyNumberFormat="1" applyFont="1" applyBorder="1"/>
    <xf numFmtId="0" fontId="38" fillId="0" borderId="0" xfId="0" applyFont="1" applyAlignment="1">
      <alignment wrapText="1"/>
    </xf>
    <xf numFmtId="0" fontId="0" fillId="0" borderId="4" xfId="0" applyBorder="1" applyAlignment="1">
      <alignment wrapText="1"/>
    </xf>
    <xf numFmtId="0" fontId="36" fillId="0" borderId="4" xfId="0" applyFont="1" applyBorder="1"/>
    <xf numFmtId="171" fontId="0" fillId="0" borderId="0" xfId="0" applyNumberFormat="1"/>
    <xf numFmtId="0" fontId="36" fillId="0" borderId="9" xfId="0" applyFont="1" applyBorder="1"/>
    <xf numFmtId="0" fontId="36" fillId="0" borderId="0" xfId="0" applyFont="1" applyAlignment="1">
      <alignment wrapText="1"/>
    </xf>
    <xf numFmtId="0" fontId="36" fillId="0" borderId="0" xfId="0" applyFont="1"/>
    <xf numFmtId="1" fontId="19" fillId="0" borderId="9" xfId="0" applyNumberFormat="1" applyFont="1" applyBorder="1"/>
    <xf numFmtId="0" fontId="19" fillId="0" borderId="10" xfId="0" applyFont="1" applyBorder="1"/>
    <xf numFmtId="164" fontId="19" fillId="0" borderId="10" xfId="2" applyNumberFormat="1" applyFont="1" applyFill="1" applyBorder="1"/>
    <xf numFmtId="164" fontId="36" fillId="0" borderId="0" xfId="2" applyNumberFormat="1" applyFont="1" applyFill="1" applyBorder="1"/>
    <xf numFmtId="1" fontId="36" fillId="0" borderId="0" xfId="0" applyNumberFormat="1" applyFont="1"/>
    <xf numFmtId="0" fontId="36" fillId="5" borderId="9" xfId="0" applyFont="1" applyFill="1" applyBorder="1"/>
    <xf numFmtId="0" fontId="36" fillId="5" borderId="0" xfId="0" applyFont="1" applyFill="1" applyAlignment="1">
      <alignment wrapText="1"/>
    </xf>
    <xf numFmtId="1" fontId="19" fillId="5" borderId="9" xfId="0" applyNumberFormat="1" applyFont="1" applyFill="1" applyBorder="1"/>
    <xf numFmtId="164" fontId="19" fillId="5" borderId="10" xfId="2" applyNumberFormat="1" applyFont="1" applyFill="1" applyBorder="1"/>
    <xf numFmtId="0" fontId="36" fillId="6" borderId="9" xfId="0" applyFont="1" applyFill="1" applyBorder="1"/>
    <xf numFmtId="0" fontId="36" fillId="6" borderId="0" xfId="0" applyFont="1" applyFill="1" applyAlignment="1">
      <alignment wrapText="1"/>
    </xf>
    <xf numFmtId="1" fontId="19" fillId="6" borderId="9" xfId="0" applyNumberFormat="1" applyFont="1" applyFill="1" applyBorder="1"/>
    <xf numFmtId="164" fontId="19" fillId="6" borderId="10" xfId="2" applyNumberFormat="1" applyFont="1" applyFill="1" applyBorder="1"/>
    <xf numFmtId="0" fontId="0" fillId="6" borderId="6" xfId="0" applyFill="1" applyBorder="1"/>
    <xf numFmtId="0" fontId="0" fillId="6" borderId="7" xfId="0" applyFill="1" applyBorder="1" applyAlignment="1">
      <alignment wrapText="1"/>
    </xf>
    <xf numFmtId="1" fontId="40" fillId="6" borderId="6" xfId="0" applyNumberFormat="1" applyFont="1" applyFill="1" applyBorder="1"/>
    <xf numFmtId="164" fontId="40" fillId="6" borderId="8" xfId="2" applyNumberFormat="1" applyFont="1" applyFill="1" applyBorder="1"/>
    <xf numFmtId="164" fontId="0" fillId="0" borderId="0" xfId="2" applyNumberFormat="1" applyFont="1" applyBorder="1"/>
    <xf numFmtId="9" fontId="0" fillId="0" borderId="7" xfId="2" applyFont="1" applyBorder="1" applyAlignment="1">
      <alignment wrapText="1"/>
    </xf>
    <xf numFmtId="9" fontId="0" fillId="0" borderId="7" xfId="2" applyFont="1" applyBorder="1"/>
    <xf numFmtId="9" fontId="0" fillId="0" borderId="0" xfId="2" applyFont="1" applyBorder="1"/>
    <xf numFmtId="1" fontId="0" fillId="0" borderId="10" xfId="2" applyNumberFormat="1" applyFont="1" applyBorder="1" applyAlignment="1">
      <alignment wrapText="1"/>
    </xf>
    <xf numFmtId="1" fontId="0" fillId="0" borderId="8" xfId="2" applyNumberFormat="1" applyFont="1" applyBorder="1" applyAlignment="1">
      <alignment wrapText="1"/>
    </xf>
    <xf numFmtId="1" fontId="40" fillId="0" borderId="9" xfId="0" applyNumberFormat="1" applyFont="1" applyBorder="1"/>
    <xf numFmtId="0" fontId="36" fillId="3" borderId="9" xfId="0" applyFont="1" applyFill="1" applyBorder="1"/>
    <xf numFmtId="0" fontId="36" fillId="3" borderId="0" xfId="0" applyFont="1" applyFill="1" applyAlignment="1">
      <alignment wrapText="1"/>
    </xf>
    <xf numFmtId="1" fontId="40" fillId="3" borderId="9" xfId="0" applyNumberFormat="1" applyFont="1" applyFill="1" applyBorder="1"/>
    <xf numFmtId="164" fontId="19" fillId="3" borderId="10" xfId="2" applyNumberFormat="1" applyFont="1" applyFill="1" applyBorder="1"/>
    <xf numFmtId="1" fontId="40" fillId="5" borderId="9" xfId="0" applyNumberFormat="1" applyFont="1" applyFill="1" applyBorder="1"/>
    <xf numFmtId="0" fontId="0" fillId="4" borderId="6" xfId="0" applyFill="1" applyBorder="1"/>
    <xf numFmtId="0" fontId="0" fillId="4" borderId="7" xfId="0" applyFill="1" applyBorder="1" applyAlignment="1">
      <alignment wrapText="1"/>
    </xf>
    <xf numFmtId="1" fontId="40" fillId="4" borderId="6" xfId="0" applyNumberFormat="1" applyFont="1" applyFill="1" applyBorder="1"/>
    <xf numFmtId="164" fontId="19" fillId="4" borderId="8" xfId="2" applyNumberFormat="1" applyFont="1" applyFill="1" applyBorder="1"/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 wrapText="1"/>
    </xf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9" fontId="0" fillId="3" borderId="8" xfId="2" applyFont="1" applyFill="1" applyBorder="1" applyAlignment="1">
      <alignment horizontal="right" wrapText="1"/>
    </xf>
    <xf numFmtId="9" fontId="0" fillId="3" borderId="7" xfId="2" applyFont="1" applyFill="1" applyBorder="1" applyAlignment="1">
      <alignment horizontal="right" wrapText="1"/>
    </xf>
    <xf numFmtId="0" fontId="0" fillId="0" borderId="9" xfId="0" applyBorder="1" applyAlignment="1">
      <alignment horizontal="right"/>
    </xf>
    <xf numFmtId="9" fontId="0" fillId="3" borderId="10" xfId="2" applyFont="1" applyFill="1" applyBorder="1" applyAlignment="1">
      <alignment horizontal="right" wrapText="1"/>
    </xf>
    <xf numFmtId="9" fontId="0" fillId="0" borderId="0" xfId="2" applyFont="1" applyBorder="1" applyAlignment="1">
      <alignment horizontal="right"/>
    </xf>
    <xf numFmtId="0" fontId="41" fillId="0" borderId="0" xfId="0" applyFont="1" applyAlignment="1">
      <alignment horizontal="right"/>
    </xf>
    <xf numFmtId="0" fontId="41" fillId="0" borderId="0" xfId="0" applyFont="1"/>
    <xf numFmtId="0" fontId="1" fillId="0" borderId="0" xfId="0" applyFont="1" applyFill="1" applyAlignment="1">
      <alignment vertical="top" wrapText="1"/>
    </xf>
    <xf numFmtId="0" fontId="1" fillId="0" borderId="0" xfId="0" applyFont="1" applyBorder="1" applyAlignment="1">
      <alignment vertical="top"/>
    </xf>
    <xf numFmtId="0" fontId="1" fillId="0" borderId="0" xfId="0" applyFont="1" applyBorder="1" applyAlignment="1">
      <alignment vertical="top" wrapText="1"/>
    </xf>
    <xf numFmtId="166" fontId="1" fillId="0" borderId="0" xfId="0" applyNumberFormat="1" applyFont="1" applyFill="1" applyBorder="1" applyAlignment="1">
      <alignment vertical="top" wrapText="1"/>
    </xf>
    <xf numFmtId="0" fontId="1" fillId="0" borderId="0" xfId="0" applyFont="1" applyBorder="1"/>
    <xf numFmtId="0" fontId="1" fillId="4" borderId="0" xfId="0" applyFont="1" applyFill="1" applyBorder="1" applyAlignment="1">
      <alignment vertical="top" wrapText="1"/>
    </xf>
    <xf numFmtId="166" fontId="1" fillId="4" borderId="0" xfId="0" applyNumberFormat="1" applyFont="1" applyFill="1" applyBorder="1" applyAlignment="1">
      <alignment vertical="top" wrapText="1"/>
    </xf>
    <xf numFmtId="0" fontId="1" fillId="6" borderId="0" xfId="0" applyFont="1" applyFill="1" applyBorder="1" applyAlignment="1">
      <alignment vertical="top" wrapText="1"/>
    </xf>
    <xf numFmtId="0" fontId="1" fillId="0" borderId="0" xfId="0" applyFont="1" applyFill="1" applyBorder="1" applyAlignment="1">
      <alignment vertical="top" wrapText="1"/>
    </xf>
    <xf numFmtId="0" fontId="1" fillId="3" borderId="0" xfId="0" applyFont="1" applyFill="1" applyBorder="1" applyAlignment="1">
      <alignment vertical="top" wrapText="1"/>
    </xf>
    <xf numFmtId="0" fontId="20" fillId="13" borderId="0" xfId="0" applyFont="1" applyFill="1" applyBorder="1" applyAlignment="1">
      <alignment vertical="top" wrapText="1"/>
    </xf>
    <xf numFmtId="0" fontId="2" fillId="0" borderId="0" xfId="0" applyFont="1" applyFill="1" applyBorder="1" applyAlignment="1">
      <alignment vertical="top" wrapText="1"/>
    </xf>
    <xf numFmtId="0" fontId="1" fillId="0" borderId="0" xfId="0" applyFont="1" applyFill="1" applyBorder="1" applyAlignment="1">
      <alignment vertical="top"/>
    </xf>
    <xf numFmtId="0" fontId="1" fillId="6" borderId="0" xfId="0" applyFont="1" applyFill="1" applyBorder="1" applyAlignment="1">
      <alignment vertical="top"/>
    </xf>
    <xf numFmtId="1" fontId="1" fillId="6" borderId="0" xfId="0" applyNumberFormat="1" applyFont="1" applyFill="1" applyBorder="1" applyAlignment="1">
      <alignment vertical="top" wrapText="1"/>
    </xf>
    <xf numFmtId="0" fontId="1" fillId="0" borderId="16" xfId="0" applyFont="1" applyFill="1" applyBorder="1"/>
    <xf numFmtId="1" fontId="1" fillId="0" borderId="0" xfId="0" applyNumberFormat="1" applyFont="1" applyFill="1" applyBorder="1" applyAlignment="1">
      <alignment vertical="top" wrapText="1"/>
    </xf>
    <xf numFmtId="0" fontId="1" fillId="0" borderId="0" xfId="0" applyFont="1" applyFill="1" applyBorder="1"/>
    <xf numFmtId="0" fontId="1" fillId="0" borderId="16" xfId="0" applyFont="1" applyFill="1" applyBorder="1" applyAlignment="1">
      <alignment vertical="top" wrapText="1"/>
    </xf>
    <xf numFmtId="0" fontId="2" fillId="0" borderId="0" xfId="0" applyFont="1" applyFill="1" applyAlignment="1">
      <alignment vertical="top" wrapText="1"/>
    </xf>
    <xf numFmtId="0" fontId="2" fillId="0" borderId="0" xfId="0" applyFont="1" applyFill="1" applyAlignment="1">
      <alignment vertical="top"/>
    </xf>
    <xf numFmtId="0" fontId="2" fillId="0" borderId="0" xfId="0" applyFont="1" applyFill="1" applyBorder="1" applyAlignment="1">
      <alignment vertical="top"/>
    </xf>
    <xf numFmtId="0" fontId="2" fillId="14" borderId="0" xfId="0" applyFont="1" applyFill="1" applyBorder="1" applyAlignment="1">
      <alignment vertical="top" wrapText="1"/>
    </xf>
    <xf numFmtId="0" fontId="1" fillId="14" borderId="0" xfId="0" applyFont="1" applyFill="1" applyBorder="1" applyAlignment="1">
      <alignment vertical="top"/>
    </xf>
    <xf numFmtId="1" fontId="1" fillId="14" borderId="0" xfId="0" applyNumberFormat="1" applyFont="1" applyFill="1" applyBorder="1" applyAlignment="1">
      <alignment vertical="top" wrapText="1"/>
    </xf>
    <xf numFmtId="0" fontId="1" fillId="14" borderId="0" xfId="0" applyFont="1" applyFill="1" applyBorder="1" applyAlignment="1">
      <alignment vertical="top" wrapText="1"/>
    </xf>
    <xf numFmtId="0" fontId="2" fillId="14" borderId="16" xfId="0" applyFont="1" applyFill="1" applyBorder="1" applyAlignment="1">
      <alignment vertical="top" wrapText="1"/>
    </xf>
    <xf numFmtId="0" fontId="20" fillId="14" borderId="0" xfId="0" applyFont="1" applyFill="1" applyBorder="1" applyAlignment="1">
      <alignment vertical="top"/>
    </xf>
    <xf numFmtId="0" fontId="20" fillId="14" borderId="0" xfId="0" applyFont="1" applyFill="1" applyBorder="1" applyAlignment="1">
      <alignment vertical="top" wrapText="1"/>
    </xf>
    <xf numFmtId="0" fontId="2" fillId="14" borderId="0" xfId="0" applyFont="1" applyFill="1" applyBorder="1" applyAlignment="1">
      <alignment vertical="top"/>
    </xf>
    <xf numFmtId="0" fontId="20" fillId="16" borderId="0" xfId="0" applyFont="1" applyFill="1" applyBorder="1" applyAlignment="1">
      <alignment vertical="top" wrapText="1"/>
    </xf>
    <xf numFmtId="1" fontId="1" fillId="14" borderId="0" xfId="0" applyNumberFormat="1" applyFont="1" applyFill="1" applyBorder="1" applyAlignment="1">
      <alignment vertical="top"/>
    </xf>
    <xf numFmtId="166" fontId="1" fillId="14" borderId="0" xfId="0" applyNumberFormat="1" applyFont="1" applyFill="1" applyBorder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4" fontId="12" fillId="0" borderId="0" xfId="2" applyNumberFormat="1" applyFont="1" applyAlignment="1">
      <alignment vertical="top"/>
    </xf>
    <xf numFmtId="0" fontId="12" fillId="0" borderId="0" xfId="0" applyFont="1" applyAlignment="1">
      <alignment vertical="top"/>
    </xf>
    <xf numFmtId="0" fontId="1" fillId="0" borderId="0" xfId="0" quotePrefix="1" applyFont="1" applyBorder="1" applyAlignment="1">
      <alignment vertical="top" wrapText="1"/>
    </xf>
    <xf numFmtId="0" fontId="20" fillId="0" borderId="0" xfId="0" quotePrefix="1" applyFont="1" applyAlignment="1">
      <alignment vertical="top" wrapText="1"/>
    </xf>
    <xf numFmtId="0" fontId="1" fillId="0" borderId="0" xfId="0" applyFont="1" applyFill="1" applyAlignment="1">
      <alignment vertical="top"/>
    </xf>
    <xf numFmtId="166" fontId="1" fillId="6" borderId="18" xfId="0" applyNumberFormat="1" applyFont="1" applyFill="1" applyBorder="1" applyAlignment="1">
      <alignment vertical="top" wrapText="1"/>
    </xf>
    <xf numFmtId="166" fontId="1" fillId="6" borderId="0" xfId="0" applyNumberFormat="1" applyFont="1" applyFill="1" applyBorder="1" applyAlignment="1">
      <alignment vertical="top" wrapText="1"/>
    </xf>
    <xf numFmtId="166" fontId="2" fillId="6" borderId="0" xfId="0" applyNumberFormat="1" applyFont="1" applyFill="1" applyBorder="1" applyAlignment="1">
      <alignment vertical="top" wrapText="1"/>
    </xf>
    <xf numFmtId="0" fontId="1" fillId="6" borderId="0" xfId="0" quotePrefix="1" applyFont="1" applyFill="1" applyBorder="1" applyAlignment="1">
      <alignment vertical="top" wrapText="1"/>
    </xf>
    <xf numFmtId="166" fontId="2" fillId="6" borderId="18" xfId="0" applyNumberFormat="1" applyFont="1" applyFill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1" fontId="2" fillId="0" borderId="0" xfId="0" applyNumberFormat="1" applyFont="1" applyBorder="1" applyAlignment="1">
      <alignment vertical="top" wrapText="1"/>
    </xf>
    <xf numFmtId="164" fontId="1" fillId="0" borderId="9" xfId="0" applyNumberFormat="1" applyFont="1" applyBorder="1" applyAlignment="1">
      <alignment vertical="top"/>
    </xf>
    <xf numFmtId="164" fontId="1" fillId="7" borderId="9" xfId="0" applyNumberFormat="1" applyFont="1" applyFill="1" applyBorder="1" applyAlignment="1">
      <alignment vertical="top"/>
    </xf>
    <xf numFmtId="164" fontId="1" fillId="7" borderId="9" xfId="0" applyNumberFormat="1" applyFont="1" applyFill="1" applyBorder="1" applyAlignment="1">
      <alignment vertical="top" wrapText="1"/>
    </xf>
    <xf numFmtId="164" fontId="1" fillId="0" borderId="9" xfId="0" applyNumberFormat="1" applyFont="1" applyBorder="1" applyAlignment="1">
      <alignment vertical="top" wrapText="1"/>
    </xf>
    <xf numFmtId="164" fontId="12" fillId="0" borderId="9" xfId="0" applyNumberFormat="1" applyFont="1" applyBorder="1" applyAlignment="1">
      <alignment vertical="top"/>
    </xf>
    <xf numFmtId="1" fontId="12" fillId="0" borderId="0" xfId="0" applyNumberFormat="1" applyFont="1" applyAlignment="1">
      <alignment vertical="top" wrapText="1"/>
    </xf>
    <xf numFmtId="1" fontId="1" fillId="0" borderId="0" xfId="0" applyNumberFormat="1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164" fontId="1" fillId="0" borderId="0" xfId="0" applyNumberFormat="1" applyFont="1" applyBorder="1" applyAlignment="1">
      <alignment vertical="top" wrapText="1"/>
    </xf>
    <xf numFmtId="166" fontId="1" fillId="0" borderId="0" xfId="0" applyNumberFormat="1" applyFont="1" applyBorder="1" applyAlignment="1">
      <alignment vertical="top" wrapText="1"/>
    </xf>
    <xf numFmtId="179" fontId="1" fillId="0" borderId="0" xfId="0" applyNumberFormat="1" applyFont="1" applyAlignment="1">
      <alignment vertical="top" wrapText="1"/>
    </xf>
    <xf numFmtId="166" fontId="1" fillId="7" borderId="0" xfId="0" applyNumberFormat="1" applyFont="1" applyFill="1"/>
    <xf numFmtId="9" fontId="1" fillId="0" borderId="18" xfId="2" applyFont="1" applyBorder="1" applyAlignment="1">
      <alignment vertical="top" wrapText="1"/>
    </xf>
    <xf numFmtId="0" fontId="1" fillId="12" borderId="16" xfId="0" applyFont="1" applyFill="1" applyBorder="1" applyAlignment="1">
      <alignment vertical="top" wrapText="1"/>
    </xf>
    <xf numFmtId="0" fontId="1" fillId="0" borderId="25" xfId="0" applyFont="1" applyBorder="1" applyAlignment="1">
      <alignment vertical="top" wrapText="1"/>
    </xf>
    <xf numFmtId="164" fontId="1" fillId="0" borderId="16" xfId="0" applyNumberFormat="1" applyFont="1" applyBorder="1" applyAlignment="1">
      <alignment vertical="top" wrapText="1"/>
    </xf>
    <xf numFmtId="0" fontId="2" fillId="0" borderId="25" xfId="0" applyFont="1" applyBorder="1" applyAlignment="1">
      <alignment vertical="top" wrapText="1"/>
    </xf>
    <xf numFmtId="164" fontId="1" fillId="7" borderId="16" xfId="0" applyNumberFormat="1" applyFont="1" applyFill="1" applyBorder="1" applyAlignment="1">
      <alignment vertical="top"/>
    </xf>
    <xf numFmtId="1" fontId="1" fillId="0" borderId="25" xfId="0" applyNumberFormat="1" applyFont="1" applyBorder="1" applyAlignment="1">
      <alignment vertical="top" wrapText="1"/>
    </xf>
    <xf numFmtId="164" fontId="1" fillId="7" borderId="16" xfId="0" applyNumberFormat="1" applyFont="1" applyFill="1" applyBorder="1" applyAlignment="1">
      <alignment vertical="top" wrapText="1"/>
    </xf>
    <xf numFmtId="1" fontId="2" fillId="0" borderId="25" xfId="0" applyNumberFormat="1" applyFont="1" applyBorder="1" applyAlignment="1">
      <alignment vertical="top" wrapText="1"/>
    </xf>
    <xf numFmtId="164" fontId="1" fillId="12" borderId="16" xfId="0" applyNumberFormat="1" applyFont="1" applyFill="1" applyBorder="1" applyAlignment="1">
      <alignment vertical="top" wrapText="1"/>
    </xf>
    <xf numFmtId="9" fontId="1" fillId="0" borderId="18" xfId="0" applyNumberFormat="1" applyFont="1" applyBorder="1" applyAlignment="1">
      <alignment vertical="top" wrapText="1"/>
    </xf>
    <xf numFmtId="9" fontId="1" fillId="0" borderId="26" xfId="2" applyFont="1" applyBorder="1" applyAlignment="1">
      <alignment vertical="top" wrapText="1"/>
    </xf>
    <xf numFmtId="0" fontId="2" fillId="6" borderId="14" xfId="0" applyFont="1" applyFill="1" applyBorder="1" applyAlignment="1">
      <alignment vertical="top"/>
    </xf>
    <xf numFmtId="0" fontId="2" fillId="6" borderId="24" xfId="0" applyFont="1" applyFill="1" applyBorder="1" applyAlignment="1">
      <alignment vertical="top" wrapText="1"/>
    </xf>
    <xf numFmtId="0" fontId="1" fillId="12" borderId="6" xfId="0" applyFont="1" applyFill="1" applyBorder="1" applyAlignment="1">
      <alignment vertical="top"/>
    </xf>
    <xf numFmtId="0" fontId="2" fillId="0" borderId="7" xfId="0" applyFont="1" applyBorder="1" applyAlignment="1">
      <alignment vertical="top" wrapText="1"/>
    </xf>
    <xf numFmtId="0" fontId="2" fillId="6" borderId="13" xfId="0" applyFont="1" applyFill="1" applyBorder="1" applyAlignment="1">
      <alignment vertical="top"/>
    </xf>
    <xf numFmtId="0" fontId="1" fillId="6" borderId="11" xfId="0" applyFont="1" applyFill="1" applyBorder="1" applyAlignment="1">
      <alignment vertical="top" wrapText="1"/>
    </xf>
    <xf numFmtId="0" fontId="2" fillId="6" borderId="11" xfId="0" applyFont="1" applyFill="1" applyBorder="1" applyAlignment="1">
      <alignment vertical="top" wrapText="1"/>
    </xf>
    <xf numFmtId="0" fontId="2" fillId="3" borderId="15" xfId="0" applyFont="1" applyFill="1" applyBorder="1" applyAlignment="1">
      <alignment vertical="top"/>
    </xf>
    <xf numFmtId="0" fontId="2" fillId="3" borderId="15" xfId="0" applyFont="1" applyFill="1" applyBorder="1" applyAlignment="1">
      <alignment vertical="top" wrapText="1"/>
    </xf>
    <xf numFmtId="0" fontId="2" fillId="2" borderId="22" xfId="0" applyFont="1" applyFill="1" applyBorder="1" applyAlignment="1">
      <alignment vertical="top"/>
    </xf>
    <xf numFmtId="0" fontId="1" fillId="2" borderId="15" xfId="0" applyFont="1" applyFill="1" applyBorder="1" applyAlignment="1">
      <alignment vertical="top" wrapText="1"/>
    </xf>
    <xf numFmtId="0" fontId="2" fillId="2" borderId="15" xfId="0" applyFont="1" applyFill="1" applyBorder="1" applyAlignment="1">
      <alignment vertical="top" wrapText="1"/>
    </xf>
    <xf numFmtId="0" fontId="2" fillId="2" borderId="23" xfId="0" applyFont="1" applyFill="1" applyBorder="1" applyAlignment="1">
      <alignment vertical="top" wrapText="1"/>
    </xf>
    <xf numFmtId="0" fontId="37" fillId="17" borderId="0" xfId="0" applyFont="1" applyFill="1"/>
    <xf numFmtId="0" fontId="0" fillId="17" borderId="0" xfId="0" applyFill="1" applyAlignment="1">
      <alignment wrapText="1"/>
    </xf>
    <xf numFmtId="0" fontId="0" fillId="17" borderId="0" xfId="0" applyFill="1"/>
    <xf numFmtId="176" fontId="0" fillId="0" borderId="5" xfId="2" applyNumberFormat="1" applyFont="1" applyBorder="1" applyAlignment="1">
      <alignment wrapText="1"/>
    </xf>
    <xf numFmtId="0" fontId="2" fillId="6" borderId="27" xfId="0" applyFont="1" applyFill="1" applyBorder="1" applyAlignment="1">
      <alignment vertical="top"/>
    </xf>
    <xf numFmtId="0" fontId="1" fillId="6" borderId="28" xfId="0" applyFont="1" applyFill="1" applyBorder="1" applyAlignment="1">
      <alignment vertical="top" wrapText="1"/>
    </xf>
    <xf numFmtId="0" fontId="2" fillId="6" borderId="28" xfId="0" applyFont="1" applyFill="1" applyBorder="1" applyAlignment="1">
      <alignment vertical="top" wrapText="1"/>
    </xf>
    <xf numFmtId="0" fontId="2" fillId="6" borderId="29" xfId="0" applyFont="1" applyFill="1" applyBorder="1" applyAlignment="1">
      <alignment vertical="top" wrapText="1"/>
    </xf>
    <xf numFmtId="0" fontId="12" fillId="12" borderId="17" xfId="0" applyFont="1" applyFill="1" applyBorder="1" applyAlignment="1">
      <alignment vertical="top" wrapText="1"/>
    </xf>
    <xf numFmtId="9" fontId="0" fillId="0" borderId="0" xfId="2" applyFont="1"/>
    <xf numFmtId="0" fontId="0" fillId="6" borderId="9" xfId="0" applyFill="1" applyBorder="1"/>
    <xf numFmtId="0" fontId="42" fillId="0" borderId="0" xfId="0" applyFont="1"/>
    <xf numFmtId="0" fontId="43" fillId="0" borderId="0" xfId="0" applyFont="1"/>
    <xf numFmtId="2" fontId="1" fillId="0" borderId="18" xfId="2" applyNumberFormat="1" applyFont="1" applyBorder="1" applyAlignment="1">
      <alignment vertical="top" wrapText="1"/>
    </xf>
    <xf numFmtId="0" fontId="2" fillId="3" borderId="24" xfId="0" applyFont="1" applyFill="1" applyBorder="1" applyAlignment="1">
      <alignment vertical="top" wrapText="1"/>
    </xf>
    <xf numFmtId="0" fontId="1" fillId="0" borderId="30" xfId="0" applyFont="1" applyBorder="1" applyAlignment="1">
      <alignment vertical="top" wrapText="1"/>
    </xf>
    <xf numFmtId="164" fontId="1" fillId="0" borderId="16" xfId="2" applyNumberFormat="1" applyFont="1" applyBorder="1" applyAlignment="1">
      <alignment vertical="top" wrapText="1"/>
    </xf>
    <xf numFmtId="0" fontId="1" fillId="0" borderId="26" xfId="0" applyFont="1" applyBorder="1" applyAlignment="1">
      <alignment vertical="top" wrapText="1"/>
    </xf>
    <xf numFmtId="0" fontId="1" fillId="12" borderId="31" xfId="0" applyFont="1" applyFill="1" applyBorder="1" applyAlignment="1">
      <alignment vertical="top" wrapText="1"/>
    </xf>
    <xf numFmtId="0" fontId="1" fillId="0" borderId="32" xfId="0" applyFont="1" applyBorder="1" applyAlignment="1">
      <alignment vertical="top" wrapText="1"/>
    </xf>
    <xf numFmtId="0" fontId="44" fillId="0" borderId="15" xfId="0" applyFont="1" applyBorder="1"/>
    <xf numFmtId="0" fontId="44" fillId="0" borderId="4" xfId="0" applyFont="1" applyBorder="1"/>
    <xf numFmtId="0" fontId="44" fillId="0" borderId="0" xfId="0" applyFont="1"/>
    <xf numFmtId="0" fontId="44" fillId="0" borderId="18" xfId="0" applyFont="1" applyBorder="1"/>
    <xf numFmtId="0" fontId="44" fillId="6" borderId="15" xfId="0" applyFont="1" applyFill="1" applyBorder="1"/>
    <xf numFmtId="0" fontId="44" fillId="6" borderId="0" xfId="0" applyFont="1" applyFill="1" applyBorder="1"/>
    <xf numFmtId="0" fontId="44" fillId="6" borderId="18" xfId="0" applyFont="1" applyFill="1" applyBorder="1"/>
    <xf numFmtId="0" fontId="44" fillId="0" borderId="0" xfId="0" applyFont="1" applyFill="1"/>
    <xf numFmtId="0" fontId="44" fillId="14" borderId="0" xfId="0" applyFont="1" applyFill="1" applyBorder="1"/>
    <xf numFmtId="0" fontId="44" fillId="0" borderId="0" xfId="0" applyFont="1" applyBorder="1"/>
    <xf numFmtId="0" fontId="44" fillId="0" borderId="0" xfId="0" applyFont="1" applyFill="1" applyBorder="1"/>
    <xf numFmtId="166" fontId="44" fillId="0" borderId="0" xfId="0" applyNumberFormat="1" applyFont="1" applyBorder="1"/>
    <xf numFmtId="166" fontId="45" fillId="2" borderId="0" xfId="0" applyNumberFormat="1" applyFont="1" applyFill="1" applyBorder="1"/>
    <xf numFmtId="1" fontId="40" fillId="14" borderId="9" xfId="0" applyNumberFormat="1" applyFont="1" applyFill="1" applyBorder="1"/>
    <xf numFmtId="164" fontId="19" fillId="14" borderId="10" xfId="2" applyNumberFormat="1" applyFont="1" applyFill="1" applyBorder="1"/>
    <xf numFmtId="166" fontId="18" fillId="14" borderId="0" xfId="0" applyNumberFormat="1" applyFont="1" applyFill="1" applyBorder="1" applyAlignment="1">
      <alignment vertical="top" wrapText="1"/>
    </xf>
    <xf numFmtId="164" fontId="1" fillId="7" borderId="0" xfId="0" applyNumberFormat="1" applyFont="1" applyFill="1" applyBorder="1" applyAlignment="1">
      <alignment vertical="top"/>
    </xf>
    <xf numFmtId="0" fontId="2" fillId="6" borderId="28" xfId="0" applyFont="1" applyFill="1" applyBorder="1" applyAlignment="1">
      <alignment vertical="top"/>
    </xf>
    <xf numFmtId="1" fontId="1" fillId="4" borderId="0" xfId="0" applyNumberFormat="1" applyFont="1" applyFill="1" applyBorder="1" applyAlignment="1">
      <alignment vertical="top" wrapText="1"/>
    </xf>
    <xf numFmtId="0" fontId="2" fillId="2" borderId="15" xfId="0" applyFont="1" applyFill="1" applyBorder="1" applyAlignment="1">
      <alignment vertical="top"/>
    </xf>
    <xf numFmtId="0" fontId="2" fillId="6" borderId="33" xfId="0" applyFont="1" applyFill="1" applyBorder="1" applyAlignment="1">
      <alignment vertical="top" wrapText="1"/>
    </xf>
    <xf numFmtId="0" fontId="1" fillId="6" borderId="34" xfId="0" applyFont="1" applyFill="1" applyBorder="1" applyAlignment="1">
      <alignment vertical="top"/>
    </xf>
    <xf numFmtId="166" fontId="1" fillId="6" borderId="34" xfId="0" applyNumberFormat="1" applyFont="1" applyFill="1" applyBorder="1" applyAlignment="1">
      <alignment vertical="top" wrapText="1"/>
    </xf>
    <xf numFmtId="0" fontId="1" fillId="6" borderId="34" xfId="0" applyFont="1" applyFill="1" applyBorder="1" applyAlignment="1">
      <alignment vertical="top" wrapText="1"/>
    </xf>
    <xf numFmtId="0" fontId="1" fillId="6" borderId="34" xfId="0" quotePrefix="1" applyFont="1" applyFill="1" applyBorder="1" applyAlignment="1">
      <alignment vertical="top" wrapText="1"/>
    </xf>
    <xf numFmtId="0" fontId="44" fillId="6" borderId="34" xfId="0" applyFont="1" applyFill="1" applyBorder="1"/>
    <xf numFmtId="166" fontId="2" fillId="6" borderId="34" xfId="0" applyNumberFormat="1" applyFont="1" applyFill="1" applyBorder="1" applyAlignment="1">
      <alignment vertical="top" wrapText="1"/>
    </xf>
    <xf numFmtId="0" fontId="1" fillId="17" borderId="16" xfId="0" applyFont="1" applyFill="1" applyBorder="1"/>
    <xf numFmtId="0" fontId="1" fillId="17" borderId="0" xfId="0" applyFont="1" applyFill="1" applyBorder="1" applyAlignment="1">
      <alignment vertical="top"/>
    </xf>
    <xf numFmtId="166" fontId="1" fillId="17" borderId="0" xfId="0" applyNumberFormat="1" applyFont="1" applyFill="1" applyBorder="1" applyAlignment="1">
      <alignment vertical="top" wrapText="1"/>
    </xf>
    <xf numFmtId="0" fontId="1" fillId="17" borderId="0" xfId="0" applyFont="1" applyFill="1" applyBorder="1" applyAlignment="1">
      <alignment vertical="top" wrapText="1"/>
    </xf>
    <xf numFmtId="0" fontId="1" fillId="17" borderId="0" xfId="0" applyFont="1" applyFill="1" applyBorder="1"/>
    <xf numFmtId="0" fontId="44" fillId="17" borderId="0" xfId="0" applyFont="1" applyFill="1" applyBorder="1"/>
    <xf numFmtId="0" fontId="2" fillId="0" borderId="16" xfId="0" applyFont="1" applyFill="1" applyBorder="1" applyAlignment="1">
      <alignment vertical="top" wrapText="1"/>
    </xf>
    <xf numFmtId="0" fontId="20" fillId="0" borderId="0" xfId="0" applyFont="1" applyFill="1" applyBorder="1" applyAlignment="1">
      <alignment vertical="top"/>
    </xf>
    <xf numFmtId="0" fontId="20" fillId="0" borderId="0" xfId="0" applyFont="1" applyFill="1" applyBorder="1" applyAlignment="1">
      <alignment vertical="top" wrapText="1"/>
    </xf>
    <xf numFmtId="166" fontId="46" fillId="7" borderId="0" xfId="0" applyNumberFormat="1" applyFont="1" applyFill="1" applyBorder="1"/>
    <xf numFmtId="166" fontId="46" fillId="7" borderId="0" xfId="0" applyNumberFormat="1" applyFont="1" applyFill="1" applyBorder="1" applyAlignment="1">
      <alignment vertical="top" wrapText="1"/>
    </xf>
    <xf numFmtId="166" fontId="47" fillId="2" borderId="0" xfId="0" applyNumberFormat="1" applyFont="1" applyFill="1" applyBorder="1"/>
    <xf numFmtId="176" fontId="46" fillId="2" borderId="0" xfId="0" applyNumberFormat="1" applyFont="1" applyFill="1" applyBorder="1" applyAlignment="1">
      <alignment vertical="top" wrapText="1"/>
    </xf>
    <xf numFmtId="0" fontId="46" fillId="0" borderId="0" xfId="0" applyFont="1" applyBorder="1" applyAlignment="1">
      <alignment vertical="top"/>
    </xf>
    <xf numFmtId="0" fontId="46" fillId="2" borderId="0" xfId="0" applyFont="1" applyFill="1" applyBorder="1" applyAlignment="1">
      <alignment vertical="top" wrapText="1"/>
    </xf>
    <xf numFmtId="166" fontId="46" fillId="2" borderId="0" xfId="0" applyNumberFormat="1" applyFont="1" applyFill="1" applyBorder="1" applyAlignment="1">
      <alignment vertical="top" wrapText="1"/>
    </xf>
    <xf numFmtId="166" fontId="1" fillId="0" borderId="0" xfId="0" applyNumberFormat="1" applyFont="1" applyFill="1"/>
    <xf numFmtId="0" fontId="2" fillId="18" borderId="17" xfId="0" applyFont="1" applyFill="1" applyBorder="1" applyAlignment="1">
      <alignment vertical="top" wrapText="1"/>
    </xf>
    <xf numFmtId="0" fontId="1" fillId="18" borderId="18" xfId="0" applyFont="1" applyFill="1" applyBorder="1" applyAlignment="1">
      <alignment vertical="top"/>
    </xf>
    <xf numFmtId="166" fontId="1" fillId="18" borderId="18" xfId="0" applyNumberFormat="1" applyFont="1" applyFill="1" applyBorder="1" applyAlignment="1">
      <alignment vertical="top" wrapText="1"/>
    </xf>
    <xf numFmtId="166" fontId="2" fillId="18" borderId="18" xfId="0" applyNumberFormat="1" applyFont="1" applyFill="1" applyBorder="1" applyAlignment="1">
      <alignment vertical="top" wrapText="1"/>
    </xf>
    <xf numFmtId="0" fontId="1" fillId="18" borderId="18" xfId="0" applyFont="1" applyFill="1" applyBorder="1" applyAlignment="1">
      <alignment vertical="top" wrapText="1"/>
    </xf>
    <xf numFmtId="0" fontId="44" fillId="18" borderId="18" xfId="0" applyFont="1" applyFill="1" applyBorder="1"/>
    <xf numFmtId="0" fontId="18" fillId="0" borderId="0" xfId="0" applyFont="1" applyBorder="1" applyAlignment="1">
      <alignment vertical="top"/>
    </xf>
    <xf numFmtId="164" fontId="1" fillId="7" borderId="0" xfId="0" applyNumberFormat="1" applyFont="1" applyFill="1" applyBorder="1" applyAlignment="1">
      <alignment vertical="top" wrapText="1"/>
    </xf>
    <xf numFmtId="164" fontId="1" fillId="12" borderId="0" xfId="0" applyNumberFormat="1" applyFont="1" applyFill="1" applyBorder="1" applyAlignment="1">
      <alignment vertical="top" wrapText="1"/>
    </xf>
    <xf numFmtId="0" fontId="12" fillId="12" borderId="18" xfId="0" applyFont="1" applyFill="1" applyBorder="1" applyAlignment="1">
      <alignment vertical="top" wrapText="1"/>
    </xf>
    <xf numFmtId="164" fontId="1" fillId="0" borderId="3" xfId="0" applyNumberFormat="1" applyFont="1" applyBorder="1" applyAlignment="1">
      <alignment vertical="top"/>
    </xf>
    <xf numFmtId="1" fontId="12" fillId="0" borderId="0" xfId="0" applyNumberFormat="1" applyFont="1" applyBorder="1" applyAlignment="1">
      <alignment vertical="top" wrapText="1"/>
    </xf>
    <xf numFmtId="0" fontId="2" fillId="6" borderId="35" xfId="0" applyFont="1" applyFill="1" applyBorder="1" applyAlignment="1">
      <alignment vertical="top"/>
    </xf>
    <xf numFmtId="0" fontId="2" fillId="0" borderId="32" xfId="0" applyFont="1" applyBorder="1" applyAlignment="1">
      <alignment vertical="top" wrapText="1"/>
    </xf>
    <xf numFmtId="0" fontId="2" fillId="0" borderId="36" xfId="0" applyFont="1" applyBorder="1" applyAlignment="1">
      <alignment vertical="top" wrapText="1"/>
    </xf>
    <xf numFmtId="1" fontId="12" fillId="0" borderId="25" xfId="0" applyNumberFormat="1" applyFont="1" applyBorder="1" applyAlignment="1">
      <alignment vertical="top" wrapText="1"/>
    </xf>
    <xf numFmtId="166" fontId="48" fillId="18" borderId="18" xfId="0" applyNumberFormat="1" applyFont="1" applyFill="1" applyBorder="1" applyAlignment="1">
      <alignment vertical="top" wrapText="1"/>
    </xf>
    <xf numFmtId="166" fontId="49" fillId="18" borderId="18" xfId="0" applyNumberFormat="1" applyFont="1" applyFill="1" applyBorder="1" applyAlignment="1">
      <alignment vertical="top" wrapText="1"/>
    </xf>
    <xf numFmtId="0" fontId="1" fillId="12" borderId="27" xfId="0" applyFont="1" applyFill="1" applyBorder="1" applyAlignment="1">
      <alignment vertical="top" wrapText="1"/>
    </xf>
    <xf numFmtId="0" fontId="1" fillId="0" borderId="28" xfId="0" applyFont="1" applyBorder="1" applyAlignment="1">
      <alignment vertical="top" wrapText="1"/>
    </xf>
    <xf numFmtId="0" fontId="1" fillId="0" borderId="29" xfId="0" applyFont="1" applyBorder="1" applyAlignment="1">
      <alignment vertical="top" wrapText="1"/>
    </xf>
  </cellXfs>
  <cellStyles count="3">
    <cellStyle name="Гиперссылка" xfId="1" builtinId="8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101600</xdr:rowOff>
    </xdr:from>
    <xdr:to>
      <xdr:col>9</xdr:col>
      <xdr:colOff>569806</xdr:colOff>
      <xdr:row>17</xdr:row>
      <xdr:rowOff>127000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6BB5E51-FF6F-074B-A136-CDB98DA38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2100"/>
          <a:ext cx="10958406" cy="3276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proteus.tcsbank.ru/superset/dashboard/50759/?native_filters_key=N1EflRdRl3eeD4pGUhCGkab9qHa_Xovcdedg2EUhsrPb6m9J-vOOQNoVLOXMOQ1R" TargetMode="External"/><Relationship Id="rId2" Type="http://schemas.openxmlformats.org/officeDocument/2006/relationships/hyperlink" Target="https://proteus.tcsbank.ru/superset/dashboard/35207/?native_filters_key=aLN1Xx1yD5vdgsrx8uoA0pvrJEUqFxG78QxXMsGytEGq4tZDfgeCUsezc9HMrNwl" TargetMode="External"/><Relationship Id="rId1" Type="http://schemas.openxmlformats.org/officeDocument/2006/relationships/hyperlink" Target="https://proteus.tcsbank.ru/superset/dashboard/35207/?native_filters_key=6UD6_31FByJJBSkeo1OjteN2ZrhDe0UXwiQb27k-OI1_2btiTS-ROCrKRUs0NQiB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time.tbank.ru/tinkoff/pl/18hcpdo657s35g9799tcxths91" TargetMode="External"/><Relationship Id="rId2" Type="http://schemas.openxmlformats.org/officeDocument/2006/relationships/hyperlink" Target="https://jira.tcsbank.ru/browse/ECA-2046" TargetMode="External"/><Relationship Id="rId1" Type="http://schemas.openxmlformats.org/officeDocument/2006/relationships/hyperlink" Target="https://jira.tcsbank.ru/browse/ECA-20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79573-AEBF-6C4C-9139-64F8131F6FE0}">
  <sheetPr>
    <tabColor theme="7" tint="0.79998168889431442"/>
  </sheetPr>
  <dimension ref="A1:BC93"/>
  <sheetViews>
    <sheetView tabSelected="1" topLeftCell="I1" workbookViewId="0">
      <selection activeCell="S12" sqref="S12"/>
    </sheetView>
  </sheetViews>
  <sheetFormatPr baseColWidth="10" defaultRowHeight="19" x14ac:dyDescent="0.25"/>
  <cols>
    <col min="1" max="1" width="53.33203125" style="1" customWidth="1"/>
    <col min="2" max="2" width="19.33203125" style="2" customWidth="1"/>
    <col min="3" max="7" width="19.33203125" style="1" customWidth="1"/>
    <col min="8" max="13" width="17" style="1" customWidth="1"/>
    <col min="14" max="14" width="16.33203125" style="1" customWidth="1"/>
    <col min="15" max="19" width="17" style="1" customWidth="1"/>
    <col min="20" max="25" width="14.33203125" style="1" customWidth="1"/>
    <col min="26" max="30" width="11.83203125" style="1" customWidth="1"/>
    <col min="31" max="31" width="13.83203125" style="1" customWidth="1"/>
    <col min="32" max="32" width="19.6640625" style="1" customWidth="1"/>
    <col min="33" max="37" width="17" style="1" customWidth="1"/>
    <col min="38" max="43" width="10.83203125" style="394"/>
    <col min="44" max="55" width="17" style="1" customWidth="1"/>
    <col min="56" max="16384" width="10.83203125" style="394"/>
  </cols>
  <sheetData>
    <row r="1" spans="1:55" s="392" customFormat="1" ht="20" thickBot="1" x14ac:dyDescent="0.3">
      <c r="A1" s="145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</row>
    <row r="2" spans="1:55" s="392" customFormat="1" ht="20" thickBot="1" x14ac:dyDescent="0.3">
      <c r="A2" s="145"/>
      <c r="B2" s="448" t="s">
        <v>44</v>
      </c>
      <c r="C2" s="377"/>
      <c r="D2" s="378"/>
      <c r="E2" s="378"/>
      <c r="F2" s="378"/>
      <c r="G2" s="379"/>
      <c r="H2" s="409" t="s">
        <v>43</v>
      </c>
      <c r="I2" s="377"/>
      <c r="J2" s="378"/>
      <c r="K2" s="378"/>
      <c r="L2" s="378"/>
      <c r="M2" s="378"/>
      <c r="N2" s="359" t="s">
        <v>41</v>
      </c>
      <c r="O2" s="162"/>
      <c r="P2" s="161"/>
      <c r="Q2" s="161"/>
      <c r="R2" s="161"/>
      <c r="S2" s="360"/>
      <c r="T2" s="366" t="s">
        <v>231</v>
      </c>
      <c r="U2" s="367"/>
      <c r="V2" s="367"/>
      <c r="W2" s="367"/>
      <c r="X2" s="367"/>
      <c r="Y2" s="386"/>
      <c r="Z2" s="411" t="s">
        <v>45</v>
      </c>
      <c r="AA2" s="369"/>
      <c r="AB2" s="370"/>
      <c r="AC2" s="370"/>
      <c r="AD2" s="370"/>
      <c r="AE2" s="371"/>
      <c r="AF2" s="152" t="s">
        <v>42</v>
      </c>
      <c r="AG2" s="93"/>
      <c r="AH2" s="94"/>
      <c r="AI2" s="94"/>
      <c r="AJ2" s="94"/>
      <c r="AK2" s="94"/>
    </row>
    <row r="3" spans="1:55" s="393" customFormat="1" ht="140" x14ac:dyDescent="0.25">
      <c r="A3" s="146" t="s">
        <v>40</v>
      </c>
      <c r="B3" s="361" t="s">
        <v>155</v>
      </c>
      <c r="C3" s="342" t="s">
        <v>38</v>
      </c>
      <c r="D3" s="342" t="s">
        <v>279</v>
      </c>
      <c r="E3" s="342" t="s">
        <v>275</v>
      </c>
      <c r="F3" s="342" t="s">
        <v>274</v>
      </c>
      <c r="G3" s="449" t="s">
        <v>35</v>
      </c>
      <c r="H3" s="84" t="s">
        <v>155</v>
      </c>
      <c r="I3" s="83" t="s">
        <v>368</v>
      </c>
      <c r="J3" s="83" t="s">
        <v>369</v>
      </c>
      <c r="K3" s="83" t="s">
        <v>370</v>
      </c>
      <c r="L3" s="83" t="s">
        <v>371</v>
      </c>
      <c r="M3" s="83" t="s">
        <v>35</v>
      </c>
      <c r="N3" s="454" t="s">
        <v>155</v>
      </c>
      <c r="O3" s="455" t="s">
        <v>368</v>
      </c>
      <c r="P3" s="455" t="s">
        <v>369</v>
      </c>
      <c r="Q3" s="455" t="s">
        <v>370</v>
      </c>
      <c r="R3" s="455" t="s">
        <v>371</v>
      </c>
      <c r="S3" s="456" t="s">
        <v>35</v>
      </c>
      <c r="T3" s="171" t="s">
        <v>155</v>
      </c>
      <c r="U3" s="342" t="s">
        <v>368</v>
      </c>
      <c r="V3" s="342" t="s">
        <v>369</v>
      </c>
      <c r="W3" s="342" t="s">
        <v>370</v>
      </c>
      <c r="X3" s="342" t="s">
        <v>371</v>
      </c>
      <c r="Y3" s="387" t="s">
        <v>35</v>
      </c>
      <c r="Z3" s="84" t="s">
        <v>155</v>
      </c>
      <c r="AA3" s="291" t="s">
        <v>368</v>
      </c>
      <c r="AB3" s="291" t="s">
        <v>369</v>
      </c>
      <c r="AC3" s="291" t="s">
        <v>370</v>
      </c>
      <c r="AD3" s="291" t="s">
        <v>371</v>
      </c>
      <c r="AE3" s="85" t="s">
        <v>35</v>
      </c>
      <c r="AF3" s="84" t="s">
        <v>155</v>
      </c>
      <c r="AG3" s="291" t="s">
        <v>368</v>
      </c>
      <c r="AH3" s="291" t="s">
        <v>369</v>
      </c>
      <c r="AI3" s="291" t="s">
        <v>370</v>
      </c>
      <c r="AJ3" s="291" t="s">
        <v>371</v>
      </c>
      <c r="AK3" s="83" t="s">
        <v>35</v>
      </c>
    </row>
    <row r="4" spans="1:55" ht="20" x14ac:dyDescent="0.25">
      <c r="A4" s="95" t="s">
        <v>46</v>
      </c>
      <c r="B4" s="446">
        <v>1</v>
      </c>
      <c r="C4" s="23">
        <f>Переменные!B45</f>
        <v>79000</v>
      </c>
      <c r="D4" s="23">
        <f>Переменные!C45</f>
        <v>33000</v>
      </c>
      <c r="E4" s="23">
        <f>Переменные!D45</f>
        <v>1820</v>
      </c>
      <c r="F4" s="23">
        <f>Переменные!E45</f>
        <v>4940</v>
      </c>
      <c r="G4" s="450">
        <f>SUM(C4:F4)</f>
        <v>118760</v>
      </c>
      <c r="H4" s="343">
        <f>B4</f>
        <v>1</v>
      </c>
      <c r="I4" s="291">
        <f>C4</f>
        <v>79000</v>
      </c>
      <c r="J4" s="291">
        <f>D4</f>
        <v>33000</v>
      </c>
      <c r="K4" s="291">
        <f>E4</f>
        <v>1820</v>
      </c>
      <c r="L4" s="291">
        <f>F4</f>
        <v>4940</v>
      </c>
      <c r="M4" s="333">
        <f>SUM(I4:L4)</f>
        <v>118760</v>
      </c>
      <c r="N4" s="350">
        <f>H4</f>
        <v>1</v>
      </c>
      <c r="O4" s="291">
        <f>I4</f>
        <v>79000</v>
      </c>
      <c r="P4" s="291">
        <f>J4</f>
        <v>33000</v>
      </c>
      <c r="Q4" s="291">
        <f>K4</f>
        <v>1820</v>
      </c>
      <c r="R4" s="291">
        <f>L4</f>
        <v>4940</v>
      </c>
      <c r="S4" s="351">
        <f>SUM(O4:R4)</f>
        <v>118760</v>
      </c>
      <c r="T4" s="291"/>
      <c r="U4" s="291"/>
      <c r="V4" s="291"/>
      <c r="W4" s="291"/>
      <c r="X4" s="291"/>
      <c r="Y4" s="349"/>
      <c r="Z4" s="291"/>
      <c r="AE4" s="25"/>
      <c r="AG4" s="1">
        <f>O4</f>
        <v>79000</v>
      </c>
      <c r="AH4" s="1">
        <f>P4</f>
        <v>33000</v>
      </c>
      <c r="AI4" s="1">
        <f>Q4</f>
        <v>1820</v>
      </c>
      <c r="AJ4" s="1">
        <f>R4</f>
        <v>4940</v>
      </c>
      <c r="AK4" s="1">
        <f>S4</f>
        <v>118760</v>
      </c>
      <c r="AR4" s="394"/>
      <c r="AS4" s="394"/>
      <c r="AT4" s="394"/>
      <c r="AU4" s="394"/>
      <c r="AV4" s="394"/>
      <c r="AW4" s="394"/>
      <c r="AX4" s="394"/>
      <c r="AY4" s="394"/>
      <c r="AZ4" s="394"/>
      <c r="BA4" s="394"/>
      <c r="BB4" s="394"/>
      <c r="BC4" s="394"/>
    </row>
    <row r="5" spans="1:55" ht="20" x14ac:dyDescent="0.25">
      <c r="A5" s="147" t="s">
        <v>367</v>
      </c>
      <c r="B5" s="336">
        <v>0.8</v>
      </c>
      <c r="C5" s="291">
        <f>C4*$B$5</f>
        <v>63200</v>
      </c>
      <c r="D5" s="291">
        <f t="shared" ref="D5:F5" si="0">D4*$B$5</f>
        <v>26400</v>
      </c>
      <c r="E5" s="291">
        <f t="shared" si="0"/>
        <v>1456</v>
      </c>
      <c r="F5" s="291">
        <f t="shared" si="0"/>
        <v>3952</v>
      </c>
      <c r="G5" s="351">
        <f>SUM(C5:F5)</f>
        <v>95008</v>
      </c>
      <c r="H5" s="408">
        <f>B5</f>
        <v>0.8</v>
      </c>
      <c r="I5" s="291">
        <f>C5</f>
        <v>63200</v>
      </c>
      <c r="J5" s="291">
        <f t="shared" ref="J5:L5" si="1">D5</f>
        <v>26400</v>
      </c>
      <c r="K5" s="291">
        <f t="shared" si="1"/>
        <v>1456</v>
      </c>
      <c r="L5" s="291">
        <f t="shared" si="1"/>
        <v>3952</v>
      </c>
      <c r="M5" s="333">
        <f>SUM(I5:L5)</f>
        <v>95008</v>
      </c>
      <c r="N5" s="352">
        <f>H5</f>
        <v>0.8</v>
      </c>
      <c r="O5" s="291">
        <f>I5</f>
        <v>63200</v>
      </c>
      <c r="P5" s="291">
        <f t="shared" ref="P5:R5" si="2">J5</f>
        <v>26400</v>
      </c>
      <c r="Q5" s="291">
        <f t="shared" si="2"/>
        <v>1456</v>
      </c>
      <c r="R5" s="291">
        <f t="shared" si="2"/>
        <v>3952</v>
      </c>
      <c r="S5" s="351">
        <f>SUM(O5:R5)</f>
        <v>95008</v>
      </c>
      <c r="T5" s="291"/>
      <c r="U5" s="291"/>
      <c r="V5" s="291"/>
      <c r="W5" s="291"/>
      <c r="X5" s="291"/>
      <c r="Y5" s="349"/>
      <c r="Z5" s="291"/>
      <c r="AE5" s="25"/>
      <c r="AG5" s="1">
        <f>AG4</f>
        <v>79000</v>
      </c>
      <c r="AH5" s="1">
        <f t="shared" ref="AH5:AK5" si="3">AH4</f>
        <v>33000</v>
      </c>
      <c r="AI5" s="1">
        <f t="shared" si="3"/>
        <v>1820</v>
      </c>
      <c r="AJ5" s="1">
        <f t="shared" si="3"/>
        <v>4940</v>
      </c>
      <c r="AK5" s="1">
        <f t="shared" si="3"/>
        <v>118760</v>
      </c>
      <c r="AR5" s="394"/>
      <c r="AS5" s="394"/>
      <c r="AT5" s="394"/>
      <c r="AU5" s="394"/>
      <c r="AV5" s="394"/>
      <c r="AW5" s="394"/>
      <c r="AX5" s="394"/>
      <c r="AY5" s="394"/>
      <c r="AZ5" s="394"/>
      <c r="BA5" s="394"/>
      <c r="BB5" s="394"/>
      <c r="BC5" s="394"/>
    </row>
    <row r="6" spans="1:55" ht="20" x14ac:dyDescent="0.25">
      <c r="A6" s="307" t="s">
        <v>0</v>
      </c>
      <c r="B6" s="339"/>
      <c r="C6" s="447"/>
      <c r="D6" s="447"/>
      <c r="E6" s="447"/>
      <c r="F6" s="447"/>
      <c r="G6" s="451"/>
      <c r="H6" s="343"/>
      <c r="I6" s="341"/>
      <c r="J6" s="341"/>
      <c r="K6" s="341"/>
      <c r="L6" s="341"/>
      <c r="M6" s="341"/>
      <c r="N6" s="95"/>
      <c r="O6" s="291"/>
      <c r="P6" s="291"/>
      <c r="Q6" s="291"/>
      <c r="R6" s="291"/>
      <c r="S6" s="349"/>
      <c r="T6" s="291"/>
      <c r="U6" s="291"/>
      <c r="V6" s="291"/>
      <c r="W6" s="291"/>
      <c r="X6" s="291"/>
      <c r="Y6" s="349"/>
      <c r="Z6" s="291"/>
      <c r="AE6" s="25"/>
      <c r="AR6" s="394"/>
      <c r="AS6" s="394"/>
      <c r="AT6" s="394"/>
      <c r="AU6" s="394"/>
      <c r="AV6" s="394"/>
      <c r="AW6" s="394"/>
      <c r="AX6" s="394"/>
      <c r="AY6" s="394"/>
      <c r="AZ6" s="394"/>
      <c r="BA6" s="394"/>
      <c r="BB6" s="394"/>
      <c r="BC6" s="394"/>
    </row>
    <row r="7" spans="1:55" ht="20" x14ac:dyDescent="0.25">
      <c r="A7" s="307" t="s">
        <v>62</v>
      </c>
      <c r="B7" s="335"/>
      <c r="C7" s="291"/>
      <c r="D7" s="291"/>
      <c r="E7" s="291"/>
      <c r="F7" s="291"/>
      <c r="G7" s="351"/>
      <c r="H7" s="343"/>
      <c r="I7" s="291"/>
      <c r="J7" s="291"/>
      <c r="K7" s="291"/>
      <c r="L7" s="291"/>
      <c r="M7" s="291"/>
      <c r="N7" s="95"/>
      <c r="O7" s="291"/>
      <c r="P7" s="291"/>
      <c r="Q7" s="291"/>
      <c r="R7" s="291"/>
      <c r="S7" s="349"/>
      <c r="T7" s="291"/>
      <c r="U7" s="291"/>
      <c r="V7" s="291"/>
      <c r="W7" s="291"/>
      <c r="X7" s="291"/>
      <c r="Y7" s="349"/>
      <c r="Z7" s="291"/>
      <c r="AE7" s="25"/>
      <c r="AR7" s="394"/>
      <c r="AS7" s="394"/>
      <c r="AT7" s="394"/>
      <c r="AU7" s="394"/>
      <c r="AV7" s="394"/>
      <c r="AW7" s="394"/>
      <c r="AX7" s="394"/>
      <c r="AY7" s="394"/>
      <c r="AZ7" s="394"/>
      <c r="BA7" s="394"/>
      <c r="BB7" s="394"/>
      <c r="BC7" s="394"/>
    </row>
    <row r="8" spans="1:55" ht="20" x14ac:dyDescent="0.25">
      <c r="A8" s="307" t="s">
        <v>60</v>
      </c>
      <c r="B8" s="335"/>
      <c r="C8" s="291"/>
      <c r="D8" s="291"/>
      <c r="E8" s="291"/>
      <c r="F8" s="291"/>
      <c r="G8" s="351"/>
      <c r="H8" s="343"/>
      <c r="I8" s="291"/>
      <c r="J8" s="291"/>
      <c r="K8" s="291"/>
      <c r="L8" s="291"/>
      <c r="M8" s="291"/>
      <c r="N8" s="95"/>
      <c r="O8" s="291"/>
      <c r="P8" s="291"/>
      <c r="Q8" s="291"/>
      <c r="R8" s="291"/>
      <c r="S8" s="349"/>
      <c r="T8" s="291"/>
      <c r="U8" s="291"/>
      <c r="V8" s="291"/>
      <c r="W8" s="291"/>
      <c r="X8" s="291"/>
      <c r="Y8" s="349"/>
      <c r="Z8" s="291"/>
      <c r="AE8" s="25"/>
      <c r="AR8" s="394"/>
      <c r="AS8" s="394"/>
      <c r="AT8" s="394"/>
      <c r="AU8" s="394"/>
      <c r="AV8" s="394"/>
      <c r="AW8" s="394"/>
      <c r="AX8" s="394"/>
      <c r="AY8" s="394"/>
      <c r="AZ8" s="394"/>
      <c r="BA8" s="394"/>
      <c r="BB8" s="394"/>
      <c r="BC8" s="394"/>
    </row>
    <row r="9" spans="1:55" ht="20" x14ac:dyDescent="0.25">
      <c r="A9" s="307" t="s">
        <v>39</v>
      </c>
      <c r="B9" s="335"/>
      <c r="C9" s="291"/>
      <c r="D9" s="291"/>
      <c r="E9" s="291"/>
      <c r="F9" s="291"/>
      <c r="G9" s="351"/>
      <c r="H9" s="343"/>
      <c r="I9" s="291"/>
      <c r="J9" s="291"/>
      <c r="K9" s="291"/>
      <c r="L9" s="291"/>
      <c r="M9" s="291"/>
      <c r="N9" s="95"/>
      <c r="O9" s="291"/>
      <c r="P9" s="291"/>
      <c r="Q9" s="291"/>
      <c r="R9" s="291"/>
      <c r="S9" s="349"/>
      <c r="T9" s="291"/>
      <c r="U9" s="291"/>
      <c r="V9" s="291"/>
      <c r="W9" s="291"/>
      <c r="X9" s="291"/>
      <c r="Y9" s="349"/>
      <c r="Z9" s="291"/>
      <c r="AE9" s="25"/>
      <c r="AR9" s="394"/>
      <c r="AS9" s="394"/>
      <c r="AT9" s="394"/>
      <c r="AU9" s="394"/>
      <c r="AV9" s="394"/>
      <c r="AW9" s="394"/>
      <c r="AX9" s="394"/>
      <c r="AY9" s="394"/>
      <c r="AZ9" s="394"/>
      <c r="BA9" s="394"/>
      <c r="BB9" s="394"/>
      <c r="BC9" s="394"/>
    </row>
    <row r="10" spans="1:55" ht="20" x14ac:dyDescent="0.25">
      <c r="A10" s="307" t="s">
        <v>144</v>
      </c>
      <c r="B10" s="339"/>
      <c r="C10" s="447"/>
      <c r="D10" s="447"/>
      <c r="E10" s="447"/>
      <c r="F10" s="447"/>
      <c r="G10" s="451"/>
      <c r="H10" s="343"/>
      <c r="I10" s="341"/>
      <c r="J10" s="341"/>
      <c r="K10" s="341"/>
      <c r="L10" s="341"/>
      <c r="M10" s="341"/>
      <c r="N10" s="95"/>
      <c r="O10" s="291"/>
      <c r="P10" s="291"/>
      <c r="Q10" s="291"/>
      <c r="R10" s="291"/>
      <c r="S10" s="349"/>
      <c r="T10" s="291"/>
      <c r="U10" s="291"/>
      <c r="V10" s="291"/>
      <c r="W10" s="291"/>
      <c r="X10" s="291"/>
      <c r="Y10" s="349"/>
      <c r="Z10" s="291"/>
      <c r="AE10" s="25"/>
      <c r="AR10" s="394"/>
      <c r="AS10" s="394"/>
      <c r="AT10" s="394"/>
      <c r="AU10" s="394"/>
      <c r="AV10" s="394"/>
      <c r="AW10" s="394"/>
      <c r="AX10" s="394"/>
      <c r="AY10" s="394"/>
      <c r="AZ10" s="394"/>
      <c r="BA10" s="394"/>
      <c r="BB10" s="394"/>
      <c r="BC10" s="394"/>
    </row>
    <row r="11" spans="1:55" ht="20" x14ac:dyDescent="0.25">
      <c r="A11" s="182" t="s">
        <v>366</v>
      </c>
      <c r="B11" s="337">
        <v>0.8</v>
      </c>
      <c r="C11" s="341">
        <f>$C$5*B11</f>
        <v>50560</v>
      </c>
      <c r="D11" s="341">
        <f>$D$5*B11</f>
        <v>21120</v>
      </c>
      <c r="E11" s="341">
        <f>$E$5*B11</f>
        <v>1164.8</v>
      </c>
      <c r="F11" s="341">
        <f>$F$5*B11</f>
        <v>3161.6000000000004</v>
      </c>
      <c r="G11" s="355">
        <f>SUM(C11:F11)</f>
        <v>76006.400000000009</v>
      </c>
      <c r="H11" s="443">
        <f>B11</f>
        <v>0.8</v>
      </c>
      <c r="I11" s="341">
        <f>$I$5*H11</f>
        <v>50560</v>
      </c>
      <c r="J11" s="341">
        <f>$J$5*H11</f>
        <v>21120</v>
      </c>
      <c r="K11" s="341">
        <f>$K$5*H11</f>
        <v>1164.8</v>
      </c>
      <c r="L11" s="341">
        <f>$L$5*H11</f>
        <v>3161.6000000000004</v>
      </c>
      <c r="M11" s="334">
        <f>SUM(I11:L11)</f>
        <v>76006.400000000009</v>
      </c>
      <c r="N11" s="95" t="s">
        <v>2</v>
      </c>
      <c r="O11" s="291" t="s">
        <v>2</v>
      </c>
      <c r="P11" s="291" t="s">
        <v>2</v>
      </c>
      <c r="Q11" s="291" t="s">
        <v>2</v>
      </c>
      <c r="R11" s="291" t="s">
        <v>2</v>
      </c>
      <c r="S11" s="349" t="s">
        <v>2</v>
      </c>
      <c r="T11" s="341"/>
      <c r="U11" s="341"/>
      <c r="V11" s="341"/>
      <c r="W11" s="341"/>
      <c r="X11" s="341"/>
      <c r="Y11" s="353"/>
      <c r="Z11" s="291"/>
      <c r="AE11" s="25"/>
      <c r="AR11" s="394"/>
      <c r="AS11" s="394"/>
      <c r="AT11" s="394"/>
      <c r="AU11" s="394"/>
      <c r="AV11" s="394"/>
      <c r="AW11" s="394"/>
      <c r="AX11" s="394"/>
      <c r="AY11" s="394"/>
      <c r="AZ11" s="394"/>
      <c r="BA11" s="394"/>
      <c r="BB11" s="394"/>
      <c r="BC11" s="394"/>
    </row>
    <row r="12" spans="1:55" ht="20" x14ac:dyDescent="0.25">
      <c r="A12" s="182" t="s">
        <v>232</v>
      </c>
      <c r="B12" s="338">
        <f>B11</f>
        <v>0.8</v>
      </c>
      <c r="C12" s="341">
        <f>$C$11*B12</f>
        <v>40448</v>
      </c>
      <c r="D12" s="341">
        <f>$D$11*B12</f>
        <v>16896</v>
      </c>
      <c r="E12" s="341">
        <f>$E$11*B12</f>
        <v>931.84</v>
      </c>
      <c r="F12" s="341">
        <f>$F$11*B12</f>
        <v>2529.2800000000007</v>
      </c>
      <c r="G12" s="355">
        <f t="shared" ref="G12:G16" si="4">SUM(C12:F12)</f>
        <v>60805.119999999995</v>
      </c>
      <c r="H12" s="343">
        <f t="shared" ref="H12:H15" si="5">B12</f>
        <v>0.8</v>
      </c>
      <c r="I12" s="341">
        <f t="shared" ref="I12:I16" si="6">$I$5*H12</f>
        <v>50560</v>
      </c>
      <c r="J12" s="341">
        <f t="shared" ref="J12:J16" si="7">$J$5*H12</f>
        <v>21120</v>
      </c>
      <c r="K12" s="341">
        <f t="shared" ref="K12:K16" si="8">$K$5*H12</f>
        <v>1164.8</v>
      </c>
      <c r="L12" s="341">
        <f t="shared" ref="L12:L16" si="9">$L$5*H12</f>
        <v>3161.6000000000004</v>
      </c>
      <c r="M12" s="334">
        <f t="shared" ref="M12:M16" si="10">SUM(I12:L12)</f>
        <v>76006.400000000009</v>
      </c>
      <c r="N12" s="95" t="s">
        <v>2</v>
      </c>
      <c r="O12" s="291" t="s">
        <v>2</v>
      </c>
      <c r="P12" s="291" t="s">
        <v>2</v>
      </c>
      <c r="Q12" s="291" t="s">
        <v>2</v>
      </c>
      <c r="R12" s="291" t="s">
        <v>2</v>
      </c>
      <c r="S12" s="349" t="s">
        <v>2</v>
      </c>
      <c r="T12" s="341"/>
      <c r="U12" s="341"/>
      <c r="V12" s="341"/>
      <c r="W12" s="341"/>
      <c r="X12" s="341"/>
      <c r="Y12" s="353"/>
      <c r="Z12" s="291"/>
      <c r="AE12" s="25"/>
      <c r="AR12" s="394"/>
      <c r="AS12" s="394"/>
      <c r="AT12" s="394"/>
      <c r="AU12" s="394"/>
      <c r="AV12" s="394"/>
      <c r="AW12" s="394"/>
      <c r="AX12" s="394"/>
      <c r="AY12" s="394"/>
      <c r="AZ12" s="394"/>
      <c r="BA12" s="394"/>
      <c r="BB12" s="394"/>
      <c r="BC12" s="394"/>
    </row>
    <row r="13" spans="1:55" ht="20" x14ac:dyDescent="0.25">
      <c r="A13" s="182" t="s">
        <v>276</v>
      </c>
      <c r="B13" s="338">
        <f>'Воронка MPS_обработано'!J10</f>
        <v>0.4</v>
      </c>
      <c r="C13" s="341">
        <f t="shared" ref="C13:C15" si="11">$C$11*B13</f>
        <v>20224</v>
      </c>
      <c r="D13" s="341">
        <f t="shared" ref="D13:D15" si="12">$D$11*B13</f>
        <v>8448</v>
      </c>
      <c r="E13" s="341">
        <f t="shared" ref="E13:E15" si="13">$E$11*B13</f>
        <v>465.92</v>
      </c>
      <c r="F13" s="341">
        <f t="shared" ref="F13:F15" si="14">$F$11*B13</f>
        <v>1264.6400000000003</v>
      </c>
      <c r="G13" s="355">
        <f t="shared" si="4"/>
        <v>30402.559999999998</v>
      </c>
      <c r="H13" s="343">
        <f t="shared" si="5"/>
        <v>0.4</v>
      </c>
      <c r="I13" s="341">
        <f t="shared" si="6"/>
        <v>25280</v>
      </c>
      <c r="J13" s="341">
        <f t="shared" si="7"/>
        <v>10560</v>
      </c>
      <c r="K13" s="341">
        <f t="shared" si="8"/>
        <v>582.4</v>
      </c>
      <c r="L13" s="341">
        <f t="shared" si="9"/>
        <v>1580.8000000000002</v>
      </c>
      <c r="M13" s="334">
        <f t="shared" si="10"/>
        <v>38003.200000000004</v>
      </c>
      <c r="N13" s="95" t="s">
        <v>2</v>
      </c>
      <c r="O13" s="291" t="s">
        <v>2</v>
      </c>
      <c r="P13" s="291" t="s">
        <v>2</v>
      </c>
      <c r="Q13" s="291" t="s">
        <v>2</v>
      </c>
      <c r="R13" s="291" t="s">
        <v>2</v>
      </c>
      <c r="S13" s="349" t="s">
        <v>2</v>
      </c>
      <c r="T13" s="341"/>
      <c r="U13" s="341"/>
      <c r="V13" s="341"/>
      <c r="W13" s="341"/>
      <c r="X13" s="341"/>
      <c r="Y13" s="353"/>
      <c r="Z13" s="291"/>
      <c r="AE13" s="25"/>
      <c r="AR13" s="394"/>
      <c r="AS13" s="394"/>
      <c r="AT13" s="394"/>
      <c r="AU13" s="394"/>
      <c r="AV13" s="394"/>
      <c r="AW13" s="394"/>
      <c r="AX13" s="394"/>
      <c r="AY13" s="394"/>
      <c r="AZ13" s="394"/>
      <c r="BA13" s="394"/>
      <c r="BB13" s="394"/>
      <c r="BC13" s="394"/>
    </row>
    <row r="14" spans="1:55" ht="20" x14ac:dyDescent="0.25">
      <c r="A14" s="182" t="s">
        <v>277</v>
      </c>
      <c r="B14" s="180">
        <f>'Воронка MPS_обработано'!J11</f>
        <v>0.29799999999999999</v>
      </c>
      <c r="C14" s="341">
        <f t="shared" si="11"/>
        <v>15066.88</v>
      </c>
      <c r="D14" s="341">
        <f t="shared" si="12"/>
        <v>6293.7599999999993</v>
      </c>
      <c r="E14" s="341">
        <f t="shared" si="13"/>
        <v>347.11039999999997</v>
      </c>
      <c r="F14" s="341">
        <f t="shared" si="14"/>
        <v>942.15680000000009</v>
      </c>
      <c r="G14" s="355">
        <f t="shared" si="4"/>
        <v>22649.907200000001</v>
      </c>
      <c r="H14" s="343">
        <f t="shared" si="5"/>
        <v>0.29799999999999999</v>
      </c>
      <c r="I14" s="341">
        <f t="shared" si="6"/>
        <v>18833.599999999999</v>
      </c>
      <c r="J14" s="341">
        <f t="shared" si="7"/>
        <v>7867.2</v>
      </c>
      <c r="K14" s="341">
        <f t="shared" si="8"/>
        <v>433.88799999999998</v>
      </c>
      <c r="L14" s="341">
        <f t="shared" si="9"/>
        <v>1177.6959999999999</v>
      </c>
      <c r="M14" s="334">
        <f t="shared" si="10"/>
        <v>28312.383999999998</v>
      </c>
      <c r="N14" s="95" t="s">
        <v>2</v>
      </c>
      <c r="O14" s="291" t="s">
        <v>2</v>
      </c>
      <c r="P14" s="291" t="s">
        <v>2</v>
      </c>
      <c r="Q14" s="291" t="s">
        <v>2</v>
      </c>
      <c r="R14" s="291" t="s">
        <v>2</v>
      </c>
      <c r="S14" s="349" t="s">
        <v>2</v>
      </c>
      <c r="T14" s="341"/>
      <c r="U14" s="341"/>
      <c r="V14" s="341"/>
      <c r="W14" s="341"/>
      <c r="X14" s="341"/>
      <c r="Y14" s="353"/>
      <c r="Z14" s="291"/>
      <c r="AE14" s="25"/>
      <c r="AR14" s="394"/>
      <c r="AS14" s="394"/>
      <c r="AT14" s="394"/>
      <c r="AU14" s="394"/>
      <c r="AV14" s="394"/>
      <c r="AW14" s="394"/>
      <c r="AX14" s="394"/>
      <c r="AY14" s="394"/>
      <c r="AZ14" s="394"/>
      <c r="BA14" s="394"/>
      <c r="BB14" s="394"/>
      <c r="BC14" s="394"/>
    </row>
    <row r="15" spans="1:55" ht="20" x14ac:dyDescent="0.25">
      <c r="A15" s="182" t="s">
        <v>278</v>
      </c>
      <c r="B15" s="180">
        <f>'Воронка MPS_обработано'!J12</f>
        <v>0.45500000000000002</v>
      </c>
      <c r="C15" s="341">
        <f t="shared" si="11"/>
        <v>23004.799999999999</v>
      </c>
      <c r="D15" s="341">
        <f t="shared" si="12"/>
        <v>9609.6</v>
      </c>
      <c r="E15" s="341">
        <f t="shared" si="13"/>
        <v>529.98400000000004</v>
      </c>
      <c r="F15" s="341">
        <f t="shared" si="14"/>
        <v>1438.5280000000002</v>
      </c>
      <c r="G15" s="355">
        <f t="shared" si="4"/>
        <v>34582.911999999997</v>
      </c>
      <c r="H15" s="343">
        <f t="shared" si="5"/>
        <v>0.45500000000000002</v>
      </c>
      <c r="I15" s="341">
        <f t="shared" si="6"/>
        <v>28756</v>
      </c>
      <c r="J15" s="341">
        <f t="shared" si="7"/>
        <v>12012</v>
      </c>
      <c r="K15" s="341">
        <f t="shared" si="8"/>
        <v>662.48</v>
      </c>
      <c r="L15" s="341">
        <f t="shared" si="9"/>
        <v>1798.16</v>
      </c>
      <c r="M15" s="334">
        <f t="shared" si="10"/>
        <v>43228.640000000007</v>
      </c>
      <c r="N15" s="95" t="s">
        <v>2</v>
      </c>
      <c r="O15" s="291" t="s">
        <v>2</v>
      </c>
      <c r="P15" s="291" t="s">
        <v>2</v>
      </c>
      <c r="Q15" s="291" t="s">
        <v>2</v>
      </c>
      <c r="R15" s="291" t="s">
        <v>2</v>
      </c>
      <c r="S15" s="349" t="s">
        <v>2</v>
      </c>
      <c r="T15" s="341"/>
      <c r="U15" s="341"/>
      <c r="V15" s="341"/>
      <c r="W15" s="341"/>
      <c r="X15" s="341"/>
      <c r="Y15" s="353"/>
      <c r="Z15" s="291"/>
      <c r="AE15" s="25"/>
      <c r="AR15" s="394"/>
      <c r="AS15" s="394"/>
      <c r="AT15" s="394"/>
      <c r="AU15" s="394"/>
      <c r="AV15" s="394"/>
      <c r="AW15" s="394"/>
      <c r="AX15" s="394"/>
      <c r="AY15" s="394"/>
      <c r="AZ15" s="394"/>
      <c r="BA15" s="394"/>
      <c r="BB15" s="394"/>
      <c r="BC15" s="394"/>
    </row>
    <row r="16" spans="1:55" ht="20" x14ac:dyDescent="0.25">
      <c r="A16" s="147" t="s">
        <v>359</v>
      </c>
      <c r="B16" s="181">
        <f>'Воронка MPS_обработано'!J14</f>
        <v>8.5384615384615392E-2</v>
      </c>
      <c r="C16" s="341">
        <f>$C$11*B16</f>
        <v>4317.0461538461541</v>
      </c>
      <c r="D16" s="341">
        <f>$D$11*B16</f>
        <v>1803.323076923077</v>
      </c>
      <c r="E16" s="341">
        <f>$E$11*B16</f>
        <v>99.456000000000003</v>
      </c>
      <c r="F16" s="341">
        <f>$F$11*B16</f>
        <v>269.95200000000006</v>
      </c>
      <c r="G16" s="355">
        <f t="shared" si="4"/>
        <v>6489.7772307692312</v>
      </c>
      <c r="H16" s="444">
        <f>B16*1.15</f>
        <v>9.819230769230769E-2</v>
      </c>
      <c r="I16" s="341">
        <f t="shared" si="6"/>
        <v>6205.7538461538461</v>
      </c>
      <c r="J16" s="341">
        <f t="shared" si="7"/>
        <v>2592.2769230769231</v>
      </c>
      <c r="K16" s="341">
        <f t="shared" si="8"/>
        <v>142.96799999999999</v>
      </c>
      <c r="L16" s="341">
        <f t="shared" si="9"/>
        <v>388.05599999999998</v>
      </c>
      <c r="M16" s="334">
        <f t="shared" si="10"/>
        <v>9329.05476923077</v>
      </c>
      <c r="N16" s="388">
        <f>'Воронка Селлер as is'!F11</f>
        <v>1.7475398710553106E-2</v>
      </c>
      <c r="O16" s="341">
        <f>$N$16*O5</f>
        <v>1104.4451985069563</v>
      </c>
      <c r="P16" s="341">
        <f t="shared" ref="P16:R16" si="15">$N$16*P5</f>
        <v>461.35052595860196</v>
      </c>
      <c r="Q16" s="341">
        <f t="shared" si="15"/>
        <v>25.444180522565322</v>
      </c>
      <c r="R16" s="341">
        <f t="shared" si="15"/>
        <v>69.062775704105874</v>
      </c>
      <c r="S16" s="355">
        <f>SUM(O16:R16)</f>
        <v>1660.3026806922296</v>
      </c>
      <c r="T16" s="341"/>
      <c r="U16" s="341"/>
      <c r="V16" s="341"/>
      <c r="W16" s="341"/>
      <c r="X16" s="341"/>
      <c r="Y16" s="353"/>
      <c r="Z16" s="291"/>
      <c r="AE16" s="25"/>
      <c r="AR16" s="394"/>
      <c r="AS16" s="394"/>
      <c r="AT16" s="394"/>
      <c r="AU16" s="394"/>
      <c r="AV16" s="394"/>
      <c r="AW16" s="394"/>
      <c r="AX16" s="394"/>
      <c r="AY16" s="394"/>
      <c r="AZ16" s="394"/>
      <c r="BA16" s="394"/>
      <c r="BB16" s="394"/>
      <c r="BC16" s="394"/>
    </row>
    <row r="17" spans="1:55" s="395" customFormat="1" ht="41" thickBot="1" x14ac:dyDescent="0.3">
      <c r="A17" s="148" t="s">
        <v>360</v>
      </c>
      <c r="B17" s="151"/>
      <c r="C17" s="96"/>
      <c r="D17" s="96"/>
      <c r="E17" s="96"/>
      <c r="F17" s="96"/>
      <c r="G17" s="358"/>
      <c r="H17" s="445" t="s">
        <v>361</v>
      </c>
      <c r="I17" s="96"/>
      <c r="J17" s="357"/>
      <c r="L17" s="357"/>
      <c r="M17" s="347"/>
      <c r="N17" s="99"/>
      <c r="O17" s="96"/>
      <c r="P17" s="96"/>
      <c r="Q17" s="96"/>
      <c r="R17" s="96"/>
      <c r="S17" s="389"/>
      <c r="T17" s="96"/>
      <c r="U17" s="96"/>
      <c r="V17" s="96"/>
      <c r="W17" s="96"/>
      <c r="X17" s="96"/>
      <c r="Y17" s="389"/>
      <c r="Z17" s="96"/>
      <c r="AA17" s="96"/>
      <c r="AB17" s="96"/>
      <c r="AC17" s="96"/>
      <c r="AD17" s="96"/>
      <c r="AE17" s="149"/>
      <c r="AF17" s="150"/>
      <c r="AG17" s="96"/>
      <c r="AH17" s="96"/>
      <c r="AI17" s="96"/>
      <c r="AJ17" s="96"/>
      <c r="AK17" s="96"/>
    </row>
    <row r="18" spans="1:55" ht="20" thickBot="1" x14ac:dyDescent="0.3">
      <c r="C18" s="164"/>
      <c r="N18" s="88"/>
      <c r="AF18" s="88"/>
    </row>
    <row r="19" spans="1:55" s="396" customFormat="1" ht="20" x14ac:dyDescent="0.25">
      <c r="A19" s="98" t="s">
        <v>350</v>
      </c>
      <c r="B19" s="172"/>
      <c r="C19" s="179">
        <f>(C16*C75*C32)+(C16*C76*C33)+(C16*C77*C34)+((C5-C11)*$N$16)</f>
        <v>104828834.69598484</v>
      </c>
      <c r="D19" s="179">
        <f>(D16*D75*D32)+(D16*D76*D33)+(D16*D77*D34)+((D5-D11)*$N$16)</f>
        <v>45478534.162730716</v>
      </c>
      <c r="E19" s="179">
        <f>(E16*E75*E32)+(E16*E76*E33)+(E16*E77*E34)+((E5-E11)*$N$16)</f>
        <v>2454724.9512679926</v>
      </c>
      <c r="F19" s="179">
        <f>(F16*F75*F32)+(F16*F76*F33)+(F16*F77*F34)+((F5-F11)*$N$16)</f>
        <v>6662824.86772741</v>
      </c>
      <c r="G19" s="183">
        <f>SUM(C19:F19)</f>
        <v>159424918.67771095</v>
      </c>
      <c r="H19" s="162"/>
      <c r="I19" s="179">
        <f>(I16*I75*I32)+(I16*I76*I33)+(I16*I77*I34)+((I5-I11)*$N$16)</f>
        <v>240901294.02113867</v>
      </c>
      <c r="J19" s="179">
        <f>(J16*J75*J32)+(J16*J76*J33)+(J16*J77*J34)+((J5-J11)*$N$16)</f>
        <v>103057985.98306209</v>
      </c>
      <c r="K19" s="179">
        <f>(K16*K75*K32)+(K16*K76*K33)+(K16*K77*K34)+((K5-K11)*$N$16)</f>
        <v>5606919.2230819436</v>
      </c>
      <c r="L19" s="179">
        <f>(L16*L75*L32)+(L16*L76*L33)+(L16*L77*L34)+((L5-L11)*$N$16)</f>
        <v>15218780.748365276</v>
      </c>
      <c r="M19" s="183">
        <f>SUM(I19:L19)</f>
        <v>364784979.97564799</v>
      </c>
      <c r="N19" s="173"/>
      <c r="O19" s="179">
        <f>(O16*O75*O32)+(O16*O76*O33)+(O16*O77*O34)</f>
        <v>42873442.958234273</v>
      </c>
      <c r="P19" s="179">
        <f>(P16*P75*P32)+(P16*P76*P33)+(P16*P77*P34)</f>
        <v>18341332.689187959</v>
      </c>
      <c r="Q19" s="179">
        <f>(Q16*Q75*Q32)+(Q16*Q76*Q33)+(Q16*Q77*Q34)</f>
        <v>997869.00149875623</v>
      </c>
      <c r="R19" s="179">
        <f>(R16*R75*R32)+(R16*R76*R33)+(R16*R77*R34)</f>
        <v>2708501.5754966242</v>
      </c>
      <c r="S19" s="183">
        <f>SUM(O19:R19)</f>
        <v>64921146.224417612</v>
      </c>
      <c r="T19" s="177"/>
      <c r="U19" s="177"/>
      <c r="V19" s="177"/>
      <c r="W19" s="177"/>
      <c r="X19" s="177"/>
      <c r="Y19" s="177"/>
      <c r="Z19" s="162"/>
      <c r="AA19" s="162"/>
      <c r="AB19" s="162"/>
      <c r="AC19" s="162"/>
      <c r="AD19" s="162"/>
      <c r="AE19" s="162"/>
      <c r="AF19" s="173"/>
      <c r="AG19" s="162"/>
      <c r="AH19" s="162"/>
      <c r="AI19" s="162"/>
      <c r="AJ19" s="162"/>
      <c r="AK19" s="162"/>
      <c r="AR19" s="162"/>
      <c r="AS19" s="162"/>
      <c r="AT19" s="162"/>
      <c r="AU19" s="162"/>
      <c r="AV19" s="162"/>
      <c r="AW19" s="162"/>
      <c r="AX19" s="162"/>
      <c r="AY19" s="162"/>
      <c r="AZ19" s="162"/>
      <c r="BA19" s="162"/>
      <c r="BB19" s="162"/>
      <c r="BC19" s="162"/>
    </row>
    <row r="20" spans="1:55" s="397" customFormat="1" ht="20" x14ac:dyDescent="0.25">
      <c r="A20" s="100" t="s">
        <v>374</v>
      </c>
      <c r="B20" s="302"/>
      <c r="C20" s="329">
        <f>C16*C49</f>
        <v>121524849.23076923</v>
      </c>
      <c r="D20" s="329">
        <f>D16*D49</f>
        <v>50763544.615384616</v>
      </c>
      <c r="E20" s="329">
        <f>E16*E49</f>
        <v>2799686.4</v>
      </c>
      <c r="F20" s="329">
        <f>F16*F49</f>
        <v>7599148.8000000017</v>
      </c>
      <c r="G20" s="329">
        <f>G16*G49</f>
        <v>182687229.04615387</v>
      </c>
      <c r="H20" s="296"/>
      <c r="I20" s="329">
        <f>I16*I49</f>
        <v>174691970.76923075</v>
      </c>
      <c r="J20" s="329">
        <f>J16*J49</f>
        <v>72972595.384615391</v>
      </c>
      <c r="K20" s="329">
        <f>K16*K49</f>
        <v>4024549.1999999997</v>
      </c>
      <c r="L20" s="329">
        <f>L16*L49</f>
        <v>10923776.4</v>
      </c>
      <c r="M20" s="329">
        <f t="shared" ref="M20:M22" si="16">SUM(I20:L20)</f>
        <v>262612891.75384614</v>
      </c>
      <c r="N20" s="331"/>
      <c r="O20" s="329">
        <f>O16*O49</f>
        <v>10363377.445990274</v>
      </c>
      <c r="P20" s="329">
        <f>P16*P49</f>
        <v>4329005.7685782155</v>
      </c>
      <c r="Q20" s="329">
        <f>Q16*Q49</f>
        <v>238751.22723673796</v>
      </c>
      <c r="R20" s="329">
        <f>R16*R49</f>
        <v>648039.04535686015</v>
      </c>
      <c r="S20" s="329">
        <f t="shared" ref="S20:S22" si="17">SUM(O20:R20)</f>
        <v>15579173.487162087</v>
      </c>
      <c r="T20" s="296"/>
      <c r="U20" s="296"/>
      <c r="V20" s="296"/>
      <c r="W20" s="296"/>
      <c r="X20" s="296"/>
      <c r="Y20" s="296"/>
      <c r="Z20" s="296"/>
      <c r="AA20" s="296"/>
      <c r="AB20" s="296"/>
      <c r="AC20" s="296"/>
      <c r="AD20" s="296"/>
      <c r="AE20" s="296"/>
      <c r="AF20" s="331"/>
      <c r="AG20" s="296"/>
      <c r="AH20" s="296"/>
      <c r="AI20" s="296"/>
      <c r="AJ20" s="296"/>
      <c r="AK20" s="296"/>
      <c r="AR20" s="296"/>
      <c r="AS20" s="296"/>
      <c r="AT20" s="296"/>
      <c r="AU20" s="296"/>
      <c r="AV20" s="296"/>
      <c r="AW20" s="296"/>
      <c r="AX20" s="296"/>
      <c r="AY20" s="296"/>
      <c r="AZ20" s="296"/>
      <c r="BA20" s="296"/>
      <c r="BB20" s="296"/>
      <c r="BC20" s="296"/>
    </row>
    <row r="21" spans="1:55" s="397" customFormat="1" ht="20" x14ac:dyDescent="0.25">
      <c r="A21" s="100" t="s">
        <v>375</v>
      </c>
      <c r="B21" s="302"/>
      <c r="C21" s="329">
        <f>C16*C55</f>
        <v>6799347.692307693</v>
      </c>
      <c r="D21" s="329">
        <f>D16*D55</f>
        <v>2840233.8461538465</v>
      </c>
      <c r="E21" s="329">
        <f>E16*E55</f>
        <v>156643.20000000001</v>
      </c>
      <c r="F21" s="329">
        <f>F16*F55</f>
        <v>425174.40000000008</v>
      </c>
      <c r="G21" s="329">
        <f>G16*G55</f>
        <v>10221399.13846154</v>
      </c>
      <c r="H21" s="296"/>
      <c r="I21" s="329">
        <f>I16*I55</f>
        <v>9774062.307692308</v>
      </c>
      <c r="J21" s="329">
        <f>J16*J55</f>
        <v>4082836.153846154</v>
      </c>
      <c r="K21" s="329">
        <f>K16*K55</f>
        <v>225174.59999999998</v>
      </c>
      <c r="L21" s="329">
        <f>L16*L55</f>
        <v>611188.19999999995</v>
      </c>
      <c r="M21" s="329">
        <f t="shared" si="16"/>
        <v>14693261.261538461</v>
      </c>
      <c r="N21" s="331"/>
      <c r="O21" s="329">
        <f>O16*O55</f>
        <v>1739501.1876484563</v>
      </c>
      <c r="P21" s="329">
        <f>P16*P55</f>
        <v>726627.07838479814</v>
      </c>
      <c r="Q21" s="329">
        <f>Q16*Q55</f>
        <v>40074.584323040384</v>
      </c>
      <c r="R21" s="329">
        <f>R16*R55</f>
        <v>108773.87173396675</v>
      </c>
      <c r="S21" s="329">
        <f t="shared" si="17"/>
        <v>2614976.7220902615</v>
      </c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  <c r="AE21" s="296"/>
      <c r="AF21" s="331"/>
      <c r="AG21" s="296"/>
      <c r="AH21" s="296"/>
      <c r="AI21" s="296"/>
      <c r="AJ21" s="296"/>
      <c r="AK21" s="296"/>
      <c r="AR21" s="296"/>
      <c r="AS21" s="296"/>
      <c r="AT21" s="296"/>
      <c r="AU21" s="296"/>
      <c r="AV21" s="296"/>
      <c r="AW21" s="296"/>
      <c r="AX21" s="296"/>
      <c r="AY21" s="296"/>
      <c r="AZ21" s="296"/>
      <c r="BA21" s="296"/>
      <c r="BB21" s="296"/>
      <c r="BC21" s="296"/>
    </row>
    <row r="22" spans="1:55" s="441" customFormat="1" ht="21" thickBot="1" x14ac:dyDescent="0.3">
      <c r="A22" s="436" t="s">
        <v>358</v>
      </c>
      <c r="B22" s="437"/>
      <c r="C22" s="452">
        <f>C19-(C20+C21)</f>
        <v>-23495362.227092087</v>
      </c>
      <c r="D22" s="452">
        <f>D19-D20-D21</f>
        <v>-8125244.2988077458</v>
      </c>
      <c r="E22" s="452">
        <f>E19-E20-E21</f>
        <v>-501604.64873200731</v>
      </c>
      <c r="F22" s="452">
        <f>F19-F20-F21</f>
        <v>-1361498.3322725918</v>
      </c>
      <c r="G22" s="453">
        <f>G19-G20-G21</f>
        <v>-33483709.50690446</v>
      </c>
      <c r="H22" s="440"/>
      <c r="I22" s="438">
        <f>I19-I20-I21</f>
        <v>56435260.944215611</v>
      </c>
      <c r="J22" s="438">
        <f>J19-J20-J21</f>
        <v>26002554.444600545</v>
      </c>
      <c r="K22" s="438">
        <f>K19-K20-K21</f>
        <v>1357195.4230819438</v>
      </c>
      <c r="L22" s="438">
        <f>L19-L20-L21</f>
        <v>3683816.148365275</v>
      </c>
      <c r="M22" s="439">
        <f t="shared" si="16"/>
        <v>87478826.960263371</v>
      </c>
      <c r="N22" s="440"/>
      <c r="O22" s="438">
        <f>O19-O20-O21</f>
        <v>30770564.324595544</v>
      </c>
      <c r="P22" s="438">
        <f>P19-P20-P21</f>
        <v>13285699.842224944</v>
      </c>
      <c r="Q22" s="438">
        <f>Q19-Q20-Q21</f>
        <v>719043.18993897783</v>
      </c>
      <c r="R22" s="438">
        <f>R19-R20-R21</f>
        <v>1951688.6584057973</v>
      </c>
      <c r="S22" s="439">
        <f t="shared" si="17"/>
        <v>46726996.015165262</v>
      </c>
      <c r="T22" s="440"/>
      <c r="U22" s="440"/>
      <c r="V22" s="440"/>
      <c r="W22" s="440"/>
      <c r="X22" s="440"/>
      <c r="Y22" s="440"/>
      <c r="Z22" s="440"/>
      <c r="AA22" s="440"/>
      <c r="AB22" s="440"/>
      <c r="AC22" s="440"/>
      <c r="AD22" s="440"/>
      <c r="AE22" s="440"/>
      <c r="AF22" s="440"/>
      <c r="AG22" s="440"/>
      <c r="AH22" s="440"/>
      <c r="AI22" s="440"/>
      <c r="AJ22" s="440"/>
      <c r="AK22" s="440"/>
      <c r="AR22" s="440"/>
      <c r="AS22" s="440"/>
      <c r="AT22" s="440"/>
      <c r="AU22" s="440"/>
      <c r="AV22" s="440"/>
      <c r="AW22" s="440"/>
      <c r="AX22" s="440"/>
      <c r="AY22" s="440"/>
      <c r="AZ22" s="440"/>
      <c r="BA22" s="440"/>
      <c r="BB22" s="440"/>
      <c r="BC22" s="440"/>
    </row>
    <row r="23" spans="1:55" ht="20" thickBot="1" x14ac:dyDescent="0.3">
      <c r="C23" s="164"/>
    </row>
    <row r="24" spans="1:55" s="417" customFormat="1" ht="21" thickBot="1" x14ac:dyDescent="0.3">
      <c r="A24" s="412" t="s">
        <v>382</v>
      </c>
      <c r="B24" s="413"/>
      <c r="C24" s="414">
        <f>C4*C44</f>
        <v>3160000000</v>
      </c>
      <c r="D24" s="414">
        <f t="shared" ref="D24:F24" si="18">D4*D44</f>
        <v>1320000000</v>
      </c>
      <c r="E24" s="414">
        <f t="shared" si="18"/>
        <v>72800000</v>
      </c>
      <c r="F24" s="414">
        <f t="shared" si="18"/>
        <v>197600000</v>
      </c>
      <c r="G24" s="418">
        <f>SUM(C24:F24)</f>
        <v>4750400000</v>
      </c>
      <c r="H24" s="415"/>
      <c r="I24" s="414">
        <f>((I4-I16)*C44)+(I16*I44)</f>
        <v>3234469046.1538458</v>
      </c>
      <c r="J24" s="414">
        <f t="shared" ref="J24:L24" si="19">((J4-J16)*D44)+(J16*J44)</f>
        <v>1351107323.0769231</v>
      </c>
      <c r="K24" s="414">
        <f t="shared" si="19"/>
        <v>74515616</v>
      </c>
      <c r="L24" s="414">
        <f t="shared" si="19"/>
        <v>202256672.00000003</v>
      </c>
      <c r="M24" s="418">
        <f>SUM(I24:L24)</f>
        <v>4862348657.2307692</v>
      </c>
      <c r="N24" s="416"/>
      <c r="O24" s="414">
        <f>((O4-O16)*C44)+(O16*O44)</f>
        <v>3173253342.3820834</v>
      </c>
      <c r="P24" s="414">
        <f t="shared" ref="P24:R24" si="20">((P4-P16)*D44)+(P16*P44)</f>
        <v>1325536206.3115032</v>
      </c>
      <c r="Q24" s="414">
        <f t="shared" si="20"/>
        <v>73105330.166270778</v>
      </c>
      <c r="R24" s="414">
        <f t="shared" si="20"/>
        <v>198428753.30844927</v>
      </c>
      <c r="S24" s="418">
        <f>SUM(O24:R24)</f>
        <v>4770323632.1683064</v>
      </c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416"/>
      <c r="AG24" s="415"/>
      <c r="AH24" s="415"/>
      <c r="AI24" s="415"/>
      <c r="AJ24" s="415"/>
      <c r="AK24" s="415"/>
      <c r="AR24" s="415"/>
      <c r="AS24" s="415"/>
      <c r="AT24" s="415"/>
      <c r="AU24" s="415"/>
      <c r="AV24" s="415"/>
      <c r="AW24" s="415"/>
      <c r="AX24" s="415"/>
      <c r="AY24" s="415"/>
      <c r="AZ24" s="415"/>
      <c r="BA24" s="415"/>
      <c r="BB24" s="415"/>
      <c r="BC24" s="415"/>
    </row>
    <row r="25" spans="1:55" x14ac:dyDescent="0.25">
      <c r="C25" s="164"/>
    </row>
    <row r="29" spans="1:55" s="399" customFormat="1" ht="20" x14ac:dyDescent="0.25">
      <c r="A29" s="308" t="s">
        <v>362</v>
      </c>
      <c r="B29" s="309"/>
      <c r="C29" s="308"/>
      <c r="D29" s="308"/>
      <c r="E29" s="308"/>
      <c r="F29" s="308"/>
      <c r="G29" s="308"/>
      <c r="H29" s="289"/>
      <c r="I29" s="289"/>
      <c r="J29" s="289"/>
      <c r="K29" s="289"/>
      <c r="L29" s="289"/>
      <c r="M29" s="289"/>
      <c r="N29" s="289"/>
      <c r="O29" s="289"/>
      <c r="P29" s="289"/>
      <c r="Q29" s="289"/>
      <c r="R29" s="289"/>
      <c r="S29" s="289"/>
      <c r="T29" s="308"/>
      <c r="U29" s="308"/>
      <c r="V29" s="308"/>
      <c r="W29" s="308"/>
      <c r="X29" s="308"/>
      <c r="Y29" s="308"/>
      <c r="Z29" s="308"/>
      <c r="AA29" s="308"/>
      <c r="AB29" s="308"/>
      <c r="AC29" s="308"/>
      <c r="AD29" s="308"/>
      <c r="AE29" s="308"/>
      <c r="AF29" s="289"/>
      <c r="AG29" s="289"/>
      <c r="AH29" s="289"/>
      <c r="AI29" s="289"/>
      <c r="AJ29" s="289"/>
      <c r="AK29" s="289"/>
      <c r="AR29" s="289"/>
      <c r="AS29" s="289"/>
      <c r="AT29" s="289"/>
      <c r="AU29" s="289"/>
      <c r="AV29" s="289"/>
      <c r="AW29" s="289"/>
      <c r="AX29" s="289"/>
      <c r="AY29" s="289"/>
      <c r="AZ29" s="289"/>
      <c r="BA29" s="289"/>
      <c r="BB29" s="289"/>
      <c r="BC29" s="289"/>
    </row>
    <row r="30" spans="1:55" s="400" customFormat="1" ht="20" x14ac:dyDescent="0.25">
      <c r="A30" s="311" t="s">
        <v>346</v>
      </c>
      <c r="B30" s="312"/>
      <c r="C30" s="320" t="s">
        <v>347</v>
      </c>
      <c r="D30" s="313"/>
      <c r="E30" s="313"/>
      <c r="F30" s="313"/>
      <c r="G30" s="313"/>
      <c r="H30" s="314"/>
      <c r="I30" s="314"/>
      <c r="J30" s="314"/>
      <c r="K30" s="314"/>
      <c r="L30" s="314"/>
      <c r="M30" s="314"/>
      <c r="N30" s="314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1"/>
      <c r="AA30" s="311"/>
      <c r="AB30" s="311"/>
      <c r="AC30" s="311"/>
      <c r="AD30" s="311"/>
      <c r="AE30" s="311"/>
      <c r="AF30" s="314"/>
      <c r="AG30" s="314"/>
      <c r="AH30" s="314"/>
      <c r="AI30" s="314"/>
      <c r="AJ30" s="314"/>
      <c r="AK30" s="314"/>
      <c r="AR30" s="314"/>
      <c r="AS30" s="314"/>
      <c r="AT30" s="314"/>
      <c r="AU30" s="314"/>
      <c r="AV30" s="314"/>
      <c r="AW30" s="314"/>
      <c r="AX30" s="314"/>
      <c r="AY30" s="314"/>
      <c r="AZ30" s="314"/>
      <c r="BA30" s="314"/>
      <c r="BB30" s="314"/>
      <c r="BC30" s="314"/>
    </row>
    <row r="31" spans="1:55" s="401" customFormat="1" ht="20" x14ac:dyDescent="0.25">
      <c r="A31" s="95" t="s">
        <v>160</v>
      </c>
      <c r="B31" s="290"/>
      <c r="C31" s="401" t="s">
        <v>363</v>
      </c>
      <c r="D31" s="291"/>
      <c r="E31" s="291"/>
      <c r="F31" s="291"/>
      <c r="G31" s="291"/>
      <c r="H31" s="291"/>
      <c r="I31" s="291"/>
      <c r="J31" s="291"/>
      <c r="K31" s="291"/>
      <c r="L31" s="291"/>
      <c r="M31" s="291"/>
      <c r="N31" s="291"/>
      <c r="P31" s="291"/>
      <c r="Q31" s="291"/>
      <c r="R31" s="291"/>
      <c r="S31" s="291"/>
      <c r="T31" s="291"/>
      <c r="U31" s="291"/>
      <c r="V31" s="291"/>
      <c r="W31" s="291"/>
      <c r="X31" s="291"/>
      <c r="Y31" s="291"/>
      <c r="Z31" s="291"/>
      <c r="AA31" s="291"/>
      <c r="AB31" s="291"/>
      <c r="AC31" s="291"/>
      <c r="AD31" s="291"/>
      <c r="AE31" s="291"/>
      <c r="AF31" s="291"/>
      <c r="AG31" s="291"/>
      <c r="AH31" s="291"/>
      <c r="AI31" s="291"/>
      <c r="AJ31" s="291"/>
      <c r="AK31" s="291"/>
      <c r="AR31" s="291"/>
      <c r="AS31" s="291"/>
      <c r="AT31" s="291"/>
      <c r="AU31" s="291"/>
      <c r="AV31" s="291"/>
      <c r="AW31" s="291"/>
      <c r="AX31" s="291"/>
      <c r="AY31" s="291"/>
      <c r="AZ31" s="291"/>
      <c r="BA31" s="291"/>
      <c r="BB31" s="291"/>
      <c r="BC31" s="291"/>
    </row>
    <row r="32" spans="1:55" s="402" customFormat="1" x14ac:dyDescent="0.25">
      <c r="A32" s="304" t="s">
        <v>72</v>
      </c>
      <c r="B32" s="301"/>
      <c r="C32" s="292">
        <f>C88/2</f>
        <v>58146</v>
      </c>
      <c r="D32" s="292">
        <f t="shared" ref="D32:G32" si="21">D88/2</f>
        <v>58146</v>
      </c>
      <c r="E32" s="292">
        <f t="shared" si="21"/>
        <v>58146</v>
      </c>
      <c r="F32" s="292">
        <f t="shared" si="21"/>
        <v>58146</v>
      </c>
      <c r="G32" s="292">
        <f t="shared" si="21"/>
        <v>58146</v>
      </c>
      <c r="I32" s="292">
        <f>C32+($C$36*(I$35-C$35))</f>
        <v>72682.5</v>
      </c>
      <c r="J32" s="292">
        <f>I32</f>
        <v>72682.5</v>
      </c>
      <c r="K32" s="292">
        <f t="shared" ref="K32:L32" si="22">J32</f>
        <v>72682.5</v>
      </c>
      <c r="L32" s="292">
        <f t="shared" si="22"/>
        <v>72682.5</v>
      </c>
      <c r="M32" s="291"/>
      <c r="N32" s="297"/>
      <c r="O32" s="292">
        <f>I32</f>
        <v>72682.5</v>
      </c>
      <c r="P32" s="292">
        <f>J32</f>
        <v>72682.5</v>
      </c>
      <c r="Q32" s="292">
        <f>K32</f>
        <v>72682.5</v>
      </c>
      <c r="R32" s="292">
        <f>L32</f>
        <v>72682.5</v>
      </c>
      <c r="S32" s="297"/>
      <c r="T32" s="305"/>
      <c r="U32" s="305"/>
      <c r="V32" s="305"/>
      <c r="W32" s="305"/>
      <c r="X32" s="305"/>
      <c r="Y32" s="305"/>
      <c r="Z32" s="306"/>
      <c r="AA32" s="306"/>
      <c r="AB32" s="306"/>
      <c r="AC32" s="306"/>
      <c r="AD32" s="306"/>
      <c r="AE32" s="306"/>
      <c r="AF32" s="297"/>
      <c r="AG32" s="297"/>
      <c r="AH32" s="297"/>
      <c r="AI32" s="297"/>
      <c r="AJ32" s="297"/>
      <c r="AK32" s="297"/>
      <c r="AR32" s="297"/>
      <c r="AS32" s="297"/>
      <c r="AT32" s="297"/>
      <c r="AU32" s="297"/>
      <c r="AV32" s="297"/>
      <c r="AW32" s="297"/>
      <c r="AX32" s="297"/>
      <c r="AY32" s="297"/>
      <c r="AZ32" s="297"/>
      <c r="BA32" s="297"/>
      <c r="BB32" s="297"/>
      <c r="BC32" s="297"/>
    </row>
    <row r="33" spans="1:55" s="402" customFormat="1" x14ac:dyDescent="0.25">
      <c r="A33" s="304" t="s">
        <v>75</v>
      </c>
      <c r="B33" s="301"/>
      <c r="C33" s="292">
        <f t="shared" ref="C33:G34" si="23">C89/2</f>
        <v>35293.5</v>
      </c>
      <c r="D33" s="292">
        <f t="shared" si="23"/>
        <v>35293.5</v>
      </c>
      <c r="E33" s="292">
        <f t="shared" si="23"/>
        <v>35293.5</v>
      </c>
      <c r="F33" s="292">
        <f t="shared" si="23"/>
        <v>35293.5</v>
      </c>
      <c r="G33" s="292">
        <f t="shared" si="23"/>
        <v>35293.5</v>
      </c>
      <c r="I33" s="292">
        <f>C33+($C$36*(I$35-C$35))</f>
        <v>49830</v>
      </c>
      <c r="J33" s="292">
        <f t="shared" ref="J33:L34" si="24">I33</f>
        <v>49830</v>
      </c>
      <c r="K33" s="292">
        <f t="shared" si="24"/>
        <v>49830</v>
      </c>
      <c r="L33" s="292">
        <f t="shared" si="24"/>
        <v>49830</v>
      </c>
      <c r="M33" s="291"/>
      <c r="N33" s="297"/>
      <c r="O33" s="292">
        <f t="shared" ref="O33:R34" si="25">I33</f>
        <v>49830</v>
      </c>
      <c r="P33" s="292">
        <f t="shared" si="25"/>
        <v>49830</v>
      </c>
      <c r="Q33" s="292">
        <f t="shared" si="25"/>
        <v>49830</v>
      </c>
      <c r="R33" s="292">
        <f t="shared" si="25"/>
        <v>49830</v>
      </c>
      <c r="S33" s="297"/>
      <c r="T33" s="305"/>
      <c r="U33" s="305"/>
      <c r="V33" s="305"/>
      <c r="W33" s="305"/>
      <c r="X33" s="305"/>
      <c r="Y33" s="305"/>
      <c r="Z33" s="306"/>
      <c r="AA33" s="306"/>
      <c r="AB33" s="306"/>
      <c r="AC33" s="306"/>
      <c r="AD33" s="306"/>
      <c r="AE33" s="306"/>
      <c r="AF33" s="297"/>
      <c r="AG33" s="297"/>
      <c r="AH33" s="297"/>
      <c r="AI33" s="297"/>
      <c r="AJ33" s="297"/>
      <c r="AK33" s="297"/>
      <c r="AR33" s="297"/>
      <c r="AS33" s="297"/>
      <c r="AT33" s="297"/>
      <c r="AU33" s="297"/>
      <c r="AV33" s="297"/>
      <c r="AW33" s="297"/>
      <c r="AX33" s="297"/>
      <c r="AY33" s="297"/>
      <c r="AZ33" s="297"/>
      <c r="BA33" s="297"/>
      <c r="BB33" s="297"/>
      <c r="BC33" s="297"/>
    </row>
    <row r="34" spans="1:55" s="402" customFormat="1" x14ac:dyDescent="0.25">
      <c r="A34" s="304" t="s">
        <v>76</v>
      </c>
      <c r="B34" s="301"/>
      <c r="C34" s="292">
        <f t="shared" si="23"/>
        <v>22557</v>
      </c>
      <c r="D34" s="292">
        <f t="shared" si="23"/>
        <v>22557</v>
      </c>
      <c r="E34" s="292">
        <f t="shared" si="23"/>
        <v>22557</v>
      </c>
      <c r="F34" s="292">
        <f t="shared" si="23"/>
        <v>22557</v>
      </c>
      <c r="G34" s="292">
        <f t="shared" si="23"/>
        <v>22557</v>
      </c>
      <c r="I34" s="292">
        <f>C34+($C$36*(I$35-C$35))</f>
        <v>37093.5</v>
      </c>
      <c r="J34" s="292">
        <f t="shared" si="24"/>
        <v>37093.5</v>
      </c>
      <c r="K34" s="292">
        <f t="shared" si="24"/>
        <v>37093.5</v>
      </c>
      <c r="L34" s="292">
        <f t="shared" si="24"/>
        <v>37093.5</v>
      </c>
      <c r="M34" s="291"/>
      <c r="N34" s="297"/>
      <c r="O34" s="292">
        <f t="shared" si="25"/>
        <v>37093.5</v>
      </c>
      <c r="P34" s="292">
        <f t="shared" si="25"/>
        <v>37093.5</v>
      </c>
      <c r="Q34" s="292">
        <f t="shared" si="25"/>
        <v>37093.5</v>
      </c>
      <c r="R34" s="292">
        <f t="shared" si="25"/>
        <v>37093.5</v>
      </c>
      <c r="S34" s="297"/>
      <c r="T34" s="305"/>
      <c r="U34" s="305"/>
      <c r="V34" s="305"/>
      <c r="W34" s="305"/>
      <c r="X34" s="305"/>
      <c r="Y34" s="305"/>
      <c r="Z34" s="306"/>
      <c r="AA34" s="306"/>
      <c r="AB34" s="306"/>
      <c r="AC34" s="306"/>
      <c r="AD34" s="306"/>
      <c r="AE34" s="306"/>
      <c r="AF34" s="297"/>
      <c r="AG34" s="297"/>
      <c r="AH34" s="297"/>
      <c r="AI34" s="297"/>
      <c r="AJ34" s="297"/>
      <c r="AK34" s="297"/>
      <c r="AR34" s="297"/>
      <c r="AS34" s="297"/>
      <c r="AT34" s="297"/>
      <c r="AU34" s="297"/>
      <c r="AV34" s="297"/>
      <c r="AW34" s="297"/>
      <c r="AX34" s="297"/>
      <c r="AY34" s="297"/>
      <c r="AZ34" s="297"/>
      <c r="BA34" s="297"/>
      <c r="BB34" s="297"/>
      <c r="BC34" s="297"/>
    </row>
    <row r="35" spans="1:55" s="401" customFormat="1" ht="20" x14ac:dyDescent="0.25">
      <c r="A35" s="201" t="s">
        <v>262</v>
      </c>
      <c r="B35" s="294" t="s">
        <v>193</v>
      </c>
      <c r="C35" s="433">
        <v>4</v>
      </c>
      <c r="D35" s="433">
        <v>4</v>
      </c>
      <c r="E35" s="433">
        <v>4</v>
      </c>
      <c r="F35" s="433">
        <v>4</v>
      </c>
      <c r="G35" s="433">
        <v>4</v>
      </c>
      <c r="I35" s="433">
        <v>5</v>
      </c>
      <c r="J35" s="433">
        <v>5</v>
      </c>
      <c r="K35" s="433">
        <v>5</v>
      </c>
      <c r="L35" s="433">
        <v>5</v>
      </c>
      <c r="M35" s="291"/>
      <c r="N35" s="291"/>
      <c r="O35" s="410">
        <f t="shared" ref="O35" si="26">I35</f>
        <v>5</v>
      </c>
      <c r="P35" s="410">
        <f t="shared" ref="P35" si="27">J35</f>
        <v>5</v>
      </c>
      <c r="Q35" s="410">
        <f t="shared" ref="Q35" si="28">K35</f>
        <v>5</v>
      </c>
      <c r="R35" s="410">
        <f t="shared" ref="R35" si="29">L35</f>
        <v>5</v>
      </c>
      <c r="S35" s="291"/>
      <c r="T35" s="291"/>
      <c r="U35" s="291"/>
      <c r="V35" s="291"/>
      <c r="W35" s="291"/>
      <c r="X35" s="291"/>
      <c r="Y35" s="291"/>
      <c r="Z35" s="293"/>
      <c r="AA35" s="293"/>
      <c r="AB35" s="293"/>
      <c r="AC35" s="293"/>
      <c r="AD35" s="293"/>
      <c r="AE35" s="293"/>
      <c r="AF35" s="291"/>
      <c r="AG35" s="291"/>
      <c r="AH35" s="291"/>
      <c r="AI35" s="291"/>
      <c r="AJ35" s="291"/>
      <c r="AK35" s="291"/>
      <c r="AR35" s="291"/>
      <c r="AS35" s="291"/>
      <c r="AT35" s="291"/>
      <c r="AU35" s="291"/>
      <c r="AV35" s="291"/>
      <c r="AW35" s="291"/>
      <c r="AX35" s="291"/>
      <c r="AY35" s="291"/>
      <c r="AZ35" s="291"/>
      <c r="BA35" s="291"/>
      <c r="BB35" s="291"/>
      <c r="BC35" s="291"/>
    </row>
    <row r="36" spans="1:55" s="401" customFormat="1" ht="20" x14ac:dyDescent="0.25">
      <c r="A36" s="202" t="s">
        <v>342</v>
      </c>
      <c r="B36" s="294" t="s">
        <v>193</v>
      </c>
      <c r="C36" s="434">
        <f>C32/C35</f>
        <v>14536.5</v>
      </c>
      <c r="D36" s="434">
        <f t="shared" ref="D36:G36" si="30">D32/D35</f>
        <v>14536.5</v>
      </c>
      <c r="E36" s="434">
        <f t="shared" si="30"/>
        <v>14536.5</v>
      </c>
      <c r="F36" s="434">
        <f t="shared" si="30"/>
        <v>14536.5</v>
      </c>
      <c r="G36" s="434">
        <f t="shared" si="30"/>
        <v>14536.5</v>
      </c>
      <c r="H36" s="291"/>
      <c r="I36" s="432" t="s">
        <v>389</v>
      </c>
      <c r="J36" s="291"/>
      <c r="K36" s="291"/>
      <c r="L36" s="291"/>
      <c r="M36" s="291"/>
      <c r="N36" s="291"/>
      <c r="O36" s="291"/>
      <c r="P36" s="291"/>
      <c r="Q36" s="291"/>
      <c r="R36" s="291"/>
      <c r="S36" s="291"/>
      <c r="T36" s="291"/>
      <c r="U36" s="291"/>
      <c r="V36" s="291"/>
      <c r="W36" s="291"/>
      <c r="X36" s="291"/>
      <c r="Y36" s="291"/>
      <c r="Z36" s="293"/>
      <c r="AA36" s="293"/>
      <c r="AB36" s="293"/>
      <c r="AC36" s="293"/>
      <c r="AD36" s="293"/>
      <c r="AE36" s="293"/>
      <c r="AF36" s="291"/>
      <c r="AG36" s="291"/>
      <c r="AH36" s="291"/>
      <c r="AI36" s="291"/>
      <c r="AJ36" s="291"/>
      <c r="AK36" s="291"/>
      <c r="AR36" s="291"/>
      <c r="AS36" s="291"/>
      <c r="AT36" s="291"/>
      <c r="AU36" s="291"/>
      <c r="AV36" s="291"/>
      <c r="AW36" s="291"/>
      <c r="AX36" s="291"/>
      <c r="AY36" s="291"/>
      <c r="AZ36" s="291"/>
      <c r="BA36" s="291"/>
      <c r="BB36" s="291"/>
      <c r="BC36" s="291"/>
    </row>
    <row r="37" spans="1:55" s="401" customFormat="1" ht="20" x14ac:dyDescent="0.25">
      <c r="A37" s="202" t="s">
        <v>72</v>
      </c>
      <c r="B37" s="294" t="s">
        <v>193</v>
      </c>
      <c r="C37" s="442" t="s">
        <v>388</v>
      </c>
      <c r="D37" s="291"/>
      <c r="E37" s="291"/>
      <c r="F37" s="291"/>
      <c r="G37" s="291"/>
      <c r="H37" s="291"/>
      <c r="I37" s="291"/>
      <c r="J37" s="291"/>
      <c r="K37" s="291"/>
      <c r="L37" s="291"/>
      <c r="M37" s="291"/>
      <c r="N37" s="291"/>
      <c r="O37" s="291"/>
      <c r="P37" s="291"/>
      <c r="Q37" s="291"/>
      <c r="R37" s="291"/>
      <c r="S37" s="291"/>
      <c r="T37" s="291"/>
      <c r="U37" s="291"/>
      <c r="V37" s="291"/>
      <c r="W37" s="291"/>
      <c r="X37" s="291"/>
      <c r="Y37" s="291"/>
      <c r="Z37" s="293"/>
      <c r="AA37" s="293"/>
      <c r="AB37" s="293"/>
      <c r="AC37" s="293"/>
      <c r="AD37" s="293"/>
      <c r="AE37" s="293"/>
      <c r="AF37" s="291"/>
      <c r="AG37" s="291"/>
      <c r="AH37" s="291"/>
      <c r="AI37" s="291"/>
      <c r="AJ37" s="291"/>
      <c r="AK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</row>
    <row r="38" spans="1:55" s="401" customFormat="1" ht="20" x14ac:dyDescent="0.25">
      <c r="A38" s="202" t="s">
        <v>75</v>
      </c>
      <c r="B38" s="294" t="s">
        <v>193</v>
      </c>
      <c r="C38" s="291"/>
      <c r="D38" s="291"/>
      <c r="E38" s="291"/>
      <c r="F38" s="291"/>
      <c r="G38" s="291"/>
      <c r="H38" s="291"/>
      <c r="I38" s="344"/>
      <c r="J38" s="291"/>
      <c r="K38" s="291"/>
      <c r="L38" s="291"/>
      <c r="M38" s="291"/>
      <c r="N38" s="291"/>
      <c r="O38" s="291"/>
      <c r="P38" s="291"/>
      <c r="Q38" s="291"/>
      <c r="R38" s="291"/>
      <c r="S38" s="291"/>
      <c r="T38" s="291"/>
      <c r="U38" s="291"/>
      <c r="V38" s="291"/>
      <c r="W38" s="291"/>
      <c r="X38" s="291"/>
      <c r="Y38" s="291"/>
      <c r="Z38" s="293"/>
      <c r="AA38" s="293"/>
      <c r="AB38" s="293"/>
      <c r="AC38" s="293"/>
      <c r="AD38" s="293"/>
      <c r="AE38" s="293"/>
      <c r="AF38" s="291"/>
      <c r="AG38" s="291"/>
      <c r="AH38" s="291"/>
      <c r="AI38" s="291"/>
      <c r="AJ38" s="291"/>
      <c r="AK38" s="291"/>
      <c r="AR38" s="291"/>
      <c r="AS38" s="291"/>
      <c r="AT38" s="291"/>
      <c r="AU38" s="291"/>
      <c r="AV38" s="291"/>
      <c r="AW38" s="291"/>
      <c r="AX38" s="291"/>
      <c r="AY38" s="291"/>
      <c r="AZ38" s="291"/>
      <c r="BA38" s="291"/>
      <c r="BB38" s="291"/>
      <c r="BC38" s="291"/>
    </row>
    <row r="39" spans="1:55" s="401" customFormat="1" ht="20" x14ac:dyDescent="0.25">
      <c r="A39" s="202" t="s">
        <v>76</v>
      </c>
      <c r="B39" s="294" t="s">
        <v>193</v>
      </c>
      <c r="C39" s="291"/>
      <c r="D39" s="291"/>
      <c r="E39" s="291"/>
      <c r="F39" s="291"/>
      <c r="G39" s="291"/>
      <c r="H39" s="291"/>
      <c r="I39" s="291"/>
      <c r="J39" s="291"/>
      <c r="K39" s="291"/>
      <c r="L39" s="291"/>
      <c r="M39" s="291"/>
      <c r="N39" s="291"/>
      <c r="O39" s="291"/>
      <c r="P39" s="291"/>
      <c r="Q39" s="291"/>
      <c r="R39" s="291"/>
      <c r="S39" s="291"/>
      <c r="T39" s="291"/>
      <c r="U39" s="291"/>
      <c r="V39" s="291"/>
      <c r="W39" s="291"/>
      <c r="X39" s="291"/>
      <c r="Y39" s="291"/>
      <c r="Z39" s="293"/>
      <c r="AA39" s="293"/>
      <c r="AB39" s="293"/>
      <c r="AC39" s="293"/>
      <c r="AD39" s="293"/>
      <c r="AE39" s="293"/>
      <c r="AF39" s="291"/>
      <c r="AG39" s="291"/>
      <c r="AH39" s="291"/>
      <c r="AI39" s="291"/>
      <c r="AJ39" s="291"/>
      <c r="AK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</row>
    <row r="40" spans="1:55" s="401" customFormat="1" x14ac:dyDescent="0.25">
      <c r="A40" s="97"/>
      <c r="B40" s="290"/>
      <c r="C40" s="292"/>
      <c r="D40" s="291"/>
      <c r="E40" s="291"/>
      <c r="F40" s="291"/>
      <c r="G40" s="291"/>
      <c r="H40" s="291"/>
      <c r="I40" s="291"/>
      <c r="J40" s="291"/>
      <c r="K40" s="291"/>
      <c r="L40" s="291"/>
      <c r="M40" s="291"/>
      <c r="N40" s="291"/>
      <c r="O40" s="291"/>
      <c r="P40" s="291"/>
      <c r="Q40" s="291"/>
      <c r="R40" s="291"/>
      <c r="S40" s="291"/>
      <c r="T40" s="291"/>
      <c r="U40" s="291"/>
      <c r="V40" s="291"/>
      <c r="W40" s="291"/>
      <c r="X40" s="291"/>
      <c r="Y40" s="291"/>
      <c r="Z40" s="293"/>
      <c r="AA40" s="293"/>
      <c r="AB40" s="293"/>
      <c r="AC40" s="293"/>
      <c r="AD40" s="293"/>
      <c r="AE40" s="293"/>
      <c r="AF40" s="291"/>
      <c r="AG40" s="291"/>
      <c r="AH40" s="291"/>
      <c r="AI40" s="291"/>
      <c r="AJ40" s="291"/>
      <c r="AK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</row>
    <row r="41" spans="1:55" s="424" customFormat="1" x14ac:dyDescent="0.25">
      <c r="A41" s="419" t="s">
        <v>162</v>
      </c>
      <c r="B41" s="420"/>
      <c r="C41" s="421"/>
      <c r="D41" s="422"/>
      <c r="E41" s="422"/>
      <c r="F41" s="422"/>
      <c r="G41" s="422"/>
      <c r="H41" s="422"/>
      <c r="I41" s="422"/>
      <c r="J41" s="422"/>
      <c r="K41" s="422"/>
      <c r="L41" s="422"/>
      <c r="M41" s="422"/>
      <c r="N41" s="422"/>
      <c r="O41" s="422"/>
      <c r="P41" s="422"/>
      <c r="Q41" s="422"/>
      <c r="R41" s="422"/>
      <c r="S41" s="422"/>
      <c r="T41" s="422"/>
      <c r="U41" s="422"/>
      <c r="V41" s="422"/>
      <c r="W41" s="422"/>
      <c r="X41" s="422"/>
      <c r="Y41" s="422"/>
      <c r="Z41" s="423"/>
      <c r="AA41" s="423"/>
      <c r="AB41" s="423"/>
      <c r="AC41" s="423"/>
      <c r="AD41" s="423"/>
      <c r="AE41" s="423"/>
      <c r="AF41" s="422"/>
      <c r="AG41" s="422"/>
      <c r="AH41" s="422"/>
      <c r="AI41" s="422"/>
      <c r="AJ41" s="422"/>
      <c r="AK41" s="422"/>
      <c r="AR41" s="422"/>
      <c r="AS41" s="422"/>
      <c r="AT41" s="422"/>
      <c r="AU41" s="422"/>
      <c r="AV41" s="422"/>
      <c r="AW41" s="422"/>
      <c r="AX41" s="422"/>
      <c r="AY41" s="422"/>
      <c r="AZ41" s="422"/>
      <c r="BA41" s="422"/>
      <c r="BB41" s="422"/>
      <c r="BC41" s="422"/>
    </row>
    <row r="42" spans="1:55" s="402" customFormat="1" ht="20" x14ac:dyDescent="0.25">
      <c r="A42" s="425" t="s">
        <v>383</v>
      </c>
      <c r="B42" s="426"/>
      <c r="C42" s="292">
        <v>60000</v>
      </c>
      <c r="D42" s="292">
        <f>C42</f>
        <v>60000</v>
      </c>
      <c r="E42" s="292">
        <f t="shared" ref="E42:G42" si="31">D42</f>
        <v>60000</v>
      </c>
      <c r="F42" s="292">
        <f t="shared" si="31"/>
        <v>60000</v>
      </c>
      <c r="G42" s="292">
        <f t="shared" si="31"/>
        <v>60000</v>
      </c>
      <c r="H42" s="297"/>
      <c r="I42" s="292">
        <f>C42</f>
        <v>60000</v>
      </c>
      <c r="J42" s="292">
        <f>D42</f>
        <v>60000</v>
      </c>
      <c r="K42" s="292">
        <f>E42</f>
        <v>60000</v>
      </c>
      <c r="L42" s="292">
        <f>F42</f>
        <v>60000</v>
      </c>
      <c r="M42" s="292"/>
      <c r="N42" s="427"/>
      <c r="O42" s="292">
        <f>I42</f>
        <v>60000</v>
      </c>
      <c r="P42" s="292">
        <f>J42</f>
        <v>60000</v>
      </c>
      <c r="Q42" s="292">
        <f>K42</f>
        <v>60000</v>
      </c>
      <c r="R42" s="292">
        <f>L42</f>
        <v>60000</v>
      </c>
      <c r="S42" s="297"/>
      <c r="T42" s="297"/>
      <c r="U42" s="297"/>
      <c r="V42" s="297"/>
      <c r="W42" s="297"/>
      <c r="X42" s="297"/>
      <c r="Y42" s="297"/>
      <c r="Z42" s="300"/>
      <c r="AA42" s="300"/>
      <c r="AB42" s="300"/>
      <c r="AC42" s="300"/>
      <c r="AD42" s="300"/>
      <c r="AE42" s="300"/>
      <c r="AF42" s="297"/>
      <c r="AG42" s="297"/>
      <c r="AH42" s="297"/>
      <c r="AI42" s="297"/>
      <c r="AJ42" s="297"/>
      <c r="AK42" s="297"/>
      <c r="AR42" s="297"/>
      <c r="AS42" s="297"/>
      <c r="AT42" s="297"/>
      <c r="AU42" s="297"/>
      <c r="AV42" s="297"/>
      <c r="AW42" s="297"/>
      <c r="AX42" s="297"/>
      <c r="AY42" s="297"/>
      <c r="AZ42" s="297"/>
      <c r="BA42" s="297"/>
      <c r="BB42" s="297"/>
      <c r="BC42" s="297"/>
    </row>
    <row r="43" spans="1:55" s="402" customFormat="1" ht="20" x14ac:dyDescent="0.25">
      <c r="A43" s="425" t="s">
        <v>384</v>
      </c>
      <c r="B43" s="426"/>
      <c r="C43" s="292">
        <v>40000</v>
      </c>
      <c r="D43" s="292">
        <f>C43</f>
        <v>40000</v>
      </c>
      <c r="E43" s="292">
        <f t="shared" ref="E43:E44" si="32">D43</f>
        <v>40000</v>
      </c>
      <c r="F43" s="292">
        <f t="shared" ref="F43:F44" si="33">E43</f>
        <v>40000</v>
      </c>
      <c r="G43" s="292">
        <f t="shared" ref="G43:G44" si="34">F43</f>
        <v>40000</v>
      </c>
      <c r="H43" s="297"/>
      <c r="I43" s="292">
        <f>C43</f>
        <v>40000</v>
      </c>
      <c r="J43" s="292">
        <f>D43</f>
        <v>40000</v>
      </c>
      <c r="K43" s="292">
        <f>E43</f>
        <v>40000</v>
      </c>
      <c r="L43" s="292">
        <f>F43</f>
        <v>40000</v>
      </c>
      <c r="M43" s="292"/>
      <c r="N43" s="427"/>
      <c r="O43" s="292">
        <f>I43</f>
        <v>40000</v>
      </c>
      <c r="P43" s="292">
        <f>J43</f>
        <v>40000</v>
      </c>
      <c r="Q43" s="292">
        <f>K43</f>
        <v>40000</v>
      </c>
      <c r="R43" s="292">
        <f>L43</f>
        <v>40000</v>
      </c>
      <c r="S43" s="297"/>
      <c r="T43" s="297"/>
      <c r="U43" s="297"/>
      <c r="V43" s="297"/>
      <c r="W43" s="297"/>
      <c r="X43" s="297"/>
      <c r="Y43" s="297"/>
      <c r="Z43" s="300"/>
      <c r="AA43" s="300"/>
      <c r="AB43" s="300"/>
      <c r="AC43" s="300"/>
      <c r="AD43" s="300"/>
      <c r="AE43" s="300"/>
      <c r="AF43" s="297"/>
      <c r="AG43" s="297"/>
      <c r="AH43" s="297"/>
      <c r="AI43" s="297"/>
      <c r="AJ43" s="297"/>
      <c r="AK43" s="297"/>
      <c r="AR43" s="297"/>
      <c r="AS43" s="297"/>
      <c r="AT43" s="297"/>
      <c r="AU43" s="297"/>
      <c r="AV43" s="297"/>
      <c r="AW43" s="297"/>
      <c r="AX43" s="297"/>
      <c r="AY43" s="297"/>
      <c r="AZ43" s="297"/>
      <c r="BA43" s="297"/>
      <c r="BB43" s="297"/>
      <c r="BC43" s="297"/>
    </row>
    <row r="44" spans="1:55" s="402" customFormat="1" ht="20" x14ac:dyDescent="0.25">
      <c r="A44" s="300" t="s">
        <v>385</v>
      </c>
      <c r="B44" s="426"/>
      <c r="C44" s="292">
        <f>C43</f>
        <v>40000</v>
      </c>
      <c r="D44" s="292">
        <f>C44</f>
        <v>40000</v>
      </c>
      <c r="E44" s="292">
        <f t="shared" si="32"/>
        <v>40000</v>
      </c>
      <c r="F44" s="292">
        <f t="shared" si="33"/>
        <v>40000</v>
      </c>
      <c r="G44" s="292">
        <f t="shared" si="34"/>
        <v>40000</v>
      </c>
      <c r="H44" s="297"/>
      <c r="I44" s="292">
        <f>C44*I45</f>
        <v>52000</v>
      </c>
      <c r="J44" s="292">
        <f>D44*J45</f>
        <v>52000</v>
      </c>
      <c r="K44" s="292">
        <f>E44*K45</f>
        <v>52000</v>
      </c>
      <c r="L44" s="292">
        <f>F44*L45</f>
        <v>52000</v>
      </c>
      <c r="M44" s="292"/>
      <c r="N44" s="427"/>
      <c r="O44" s="292">
        <f>I44</f>
        <v>52000</v>
      </c>
      <c r="P44" s="292">
        <f>J44</f>
        <v>52000</v>
      </c>
      <c r="Q44" s="292">
        <f>K44</f>
        <v>52000</v>
      </c>
      <c r="R44" s="292">
        <f>L44</f>
        <v>52000</v>
      </c>
      <c r="S44" s="297"/>
      <c r="T44" s="297"/>
      <c r="U44" s="297"/>
      <c r="V44" s="297"/>
      <c r="W44" s="297"/>
      <c r="X44" s="297"/>
      <c r="Y44" s="297"/>
      <c r="Z44" s="300"/>
      <c r="AA44" s="300"/>
      <c r="AB44" s="300"/>
      <c r="AC44" s="300"/>
      <c r="AD44" s="300"/>
      <c r="AE44" s="300"/>
      <c r="AF44" s="297"/>
      <c r="AG44" s="297"/>
      <c r="AH44" s="297"/>
      <c r="AI44" s="297"/>
      <c r="AJ44" s="297"/>
      <c r="AK44" s="297"/>
      <c r="AR44" s="297"/>
      <c r="AS44" s="297"/>
      <c r="AT44" s="297"/>
      <c r="AU44" s="297"/>
      <c r="AV44" s="297"/>
      <c r="AW44" s="297"/>
      <c r="AX44" s="297"/>
      <c r="AY44" s="297"/>
      <c r="AZ44" s="297"/>
      <c r="BA44" s="297"/>
      <c r="BB44" s="297"/>
      <c r="BC44" s="297"/>
    </row>
    <row r="45" spans="1:55" s="402" customFormat="1" x14ac:dyDescent="0.25">
      <c r="A45" s="297"/>
      <c r="B45" s="301"/>
      <c r="C45" s="301"/>
      <c r="D45" s="297"/>
      <c r="E45" s="297"/>
      <c r="F45" s="297"/>
      <c r="G45" s="297"/>
      <c r="H45" s="297"/>
      <c r="I45" s="431">
        <v>1.3</v>
      </c>
      <c r="J45" s="431">
        <f>I45</f>
        <v>1.3</v>
      </c>
      <c r="K45" s="431">
        <f t="shared" ref="K45:L45" si="35">J45</f>
        <v>1.3</v>
      </c>
      <c r="L45" s="431">
        <f t="shared" si="35"/>
        <v>1.3</v>
      </c>
      <c r="M45" s="297"/>
      <c r="N45" s="297"/>
      <c r="O45" s="297"/>
      <c r="P45" s="297"/>
      <c r="Q45" s="297"/>
      <c r="R45" s="297"/>
      <c r="S45" s="297"/>
      <c r="T45" s="297"/>
      <c r="U45" s="297"/>
      <c r="V45" s="297"/>
      <c r="W45" s="297"/>
      <c r="X45" s="297"/>
      <c r="Y45" s="297"/>
      <c r="Z45" s="297"/>
      <c r="AA45" s="297"/>
      <c r="AB45" s="297"/>
      <c r="AC45" s="297"/>
      <c r="AD45" s="297"/>
      <c r="AE45" s="297"/>
      <c r="AF45" s="297"/>
      <c r="AG45" s="297"/>
      <c r="AH45" s="297"/>
      <c r="AI45" s="297"/>
      <c r="AJ45" s="297"/>
      <c r="AK45" s="297"/>
      <c r="AR45" s="297"/>
      <c r="AS45" s="297"/>
      <c r="AT45" s="297"/>
      <c r="AU45" s="297"/>
      <c r="AV45" s="297"/>
      <c r="AW45" s="297"/>
      <c r="AX45" s="297"/>
      <c r="AY45" s="297"/>
      <c r="AZ45" s="297"/>
      <c r="BA45" s="297"/>
      <c r="BB45" s="297"/>
      <c r="BC45" s="297"/>
    </row>
    <row r="46" spans="1:55" s="401" customFormat="1" x14ac:dyDescent="0.25">
      <c r="A46" s="291"/>
      <c r="B46" s="290"/>
      <c r="C46" s="290"/>
      <c r="D46" s="291"/>
      <c r="E46" s="291"/>
      <c r="F46" s="291"/>
      <c r="G46" s="291"/>
      <c r="H46" s="291"/>
      <c r="I46" s="432" t="s">
        <v>387</v>
      </c>
      <c r="J46" s="291"/>
      <c r="K46" s="291"/>
      <c r="L46" s="291"/>
      <c r="M46" s="291"/>
      <c r="N46" s="291"/>
      <c r="O46" s="291"/>
      <c r="P46" s="291"/>
      <c r="Q46" s="291"/>
      <c r="R46" s="291"/>
      <c r="S46" s="291"/>
      <c r="T46" s="291"/>
      <c r="U46" s="291"/>
      <c r="V46" s="291"/>
      <c r="W46" s="291"/>
      <c r="X46" s="291"/>
      <c r="Y46" s="291"/>
      <c r="Z46" s="291"/>
      <c r="AA46" s="291"/>
      <c r="AB46" s="291"/>
      <c r="AC46" s="291"/>
      <c r="AD46" s="291"/>
      <c r="AE46" s="291"/>
      <c r="AF46" s="291"/>
      <c r="AG46" s="291"/>
      <c r="AH46" s="291"/>
      <c r="AI46" s="291"/>
      <c r="AJ46" s="291"/>
      <c r="AK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</row>
    <row r="47" spans="1:55" s="401" customFormat="1" x14ac:dyDescent="0.25">
      <c r="A47" s="291"/>
      <c r="B47" s="290"/>
      <c r="C47" s="290"/>
      <c r="D47" s="291"/>
      <c r="E47" s="291"/>
      <c r="F47" s="291"/>
      <c r="G47" s="291"/>
      <c r="H47" s="291"/>
      <c r="I47" s="432"/>
      <c r="J47" s="291"/>
      <c r="K47" s="291"/>
      <c r="L47" s="291"/>
      <c r="M47" s="291"/>
      <c r="N47" s="291"/>
      <c r="O47" s="291"/>
      <c r="P47" s="291"/>
      <c r="Q47" s="291"/>
      <c r="R47" s="291"/>
      <c r="S47" s="291"/>
      <c r="T47" s="291"/>
      <c r="U47" s="291"/>
      <c r="V47" s="291"/>
      <c r="W47" s="291"/>
      <c r="X47" s="291"/>
      <c r="Y47" s="291"/>
      <c r="Z47" s="291"/>
      <c r="AA47" s="291"/>
      <c r="AB47" s="291"/>
      <c r="AC47" s="291"/>
      <c r="AD47" s="291"/>
      <c r="AE47" s="291"/>
      <c r="AF47" s="291"/>
      <c r="AG47" s="291"/>
      <c r="AH47" s="291"/>
      <c r="AI47" s="291"/>
      <c r="AJ47" s="291"/>
      <c r="AK47" s="291"/>
      <c r="AR47" s="291"/>
      <c r="AS47" s="291"/>
      <c r="AT47" s="291"/>
      <c r="AU47" s="291"/>
      <c r="AV47" s="291"/>
      <c r="AW47" s="291"/>
      <c r="AX47" s="291"/>
      <c r="AY47" s="291"/>
      <c r="AZ47" s="291"/>
      <c r="BA47" s="291"/>
      <c r="BB47" s="291"/>
      <c r="BC47" s="291"/>
    </row>
    <row r="48" spans="1:55" s="400" customFormat="1" ht="20" x14ac:dyDescent="0.25">
      <c r="A48" s="311" t="s">
        <v>379</v>
      </c>
      <c r="B48" s="318"/>
      <c r="C48" s="312" t="s">
        <v>348</v>
      </c>
      <c r="D48" s="311"/>
      <c r="E48" s="311"/>
      <c r="F48" s="311"/>
      <c r="G48" s="311"/>
      <c r="H48" s="319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1"/>
      <c r="U48" s="311"/>
      <c r="V48" s="311"/>
      <c r="W48" s="311"/>
      <c r="X48" s="311"/>
      <c r="Y48" s="311"/>
      <c r="Z48" s="311"/>
      <c r="AA48" s="311"/>
      <c r="AB48" s="311"/>
      <c r="AC48" s="311"/>
      <c r="AD48" s="311"/>
      <c r="AE48" s="311"/>
      <c r="AF48" s="314"/>
      <c r="AG48" s="314"/>
      <c r="AH48" s="314"/>
      <c r="AI48" s="314"/>
      <c r="AJ48" s="314"/>
      <c r="AK48" s="314"/>
      <c r="AR48" s="319" t="s">
        <v>193</v>
      </c>
      <c r="AS48" s="314"/>
      <c r="AT48" s="314"/>
      <c r="AU48" s="314"/>
      <c r="AV48" s="314"/>
      <c r="AW48" s="314"/>
      <c r="AX48" s="314" t="s">
        <v>34</v>
      </c>
      <c r="AY48" s="314"/>
      <c r="AZ48" s="314"/>
      <c r="BA48" s="314"/>
      <c r="BB48" s="314"/>
      <c r="BC48" s="314"/>
    </row>
    <row r="49" spans="1:55" s="401" customFormat="1" ht="20" x14ac:dyDescent="0.25">
      <c r="A49" s="291" t="s">
        <v>280</v>
      </c>
      <c r="B49" s="290"/>
      <c r="C49" s="292">
        <v>28150</v>
      </c>
      <c r="D49" s="292">
        <f>C49</f>
        <v>28150</v>
      </c>
      <c r="E49" s="292">
        <f t="shared" ref="E49:G49" si="36">D49</f>
        <v>28150</v>
      </c>
      <c r="F49" s="292">
        <f t="shared" si="36"/>
        <v>28150</v>
      </c>
      <c r="G49" s="292">
        <f t="shared" si="36"/>
        <v>28150</v>
      </c>
      <c r="H49" s="291"/>
      <c r="I49" s="403">
        <f>C49</f>
        <v>28150</v>
      </c>
      <c r="J49" s="344">
        <f>D49</f>
        <v>28150</v>
      </c>
      <c r="K49" s="344">
        <f>E49</f>
        <v>28150</v>
      </c>
      <c r="L49" s="344">
        <f>F49</f>
        <v>28150</v>
      </c>
      <c r="M49" s="344"/>
      <c r="N49" s="291"/>
      <c r="O49" s="430">
        <f>I49/3</f>
        <v>9383.3333333333339</v>
      </c>
      <c r="P49" s="430">
        <f t="shared" ref="P49:R49" si="37">J49/3</f>
        <v>9383.3333333333339</v>
      </c>
      <c r="Q49" s="430">
        <f t="shared" si="37"/>
        <v>9383.3333333333339</v>
      </c>
      <c r="R49" s="430">
        <f t="shared" si="37"/>
        <v>9383.3333333333339</v>
      </c>
      <c r="S49" s="291"/>
      <c r="U49" s="298" t="s">
        <v>34</v>
      </c>
      <c r="V49" s="298" t="s">
        <v>34</v>
      </c>
      <c r="W49" s="298" t="s">
        <v>34</v>
      </c>
      <c r="X49" s="298" t="s">
        <v>34</v>
      </c>
      <c r="Y49" s="298" t="s">
        <v>34</v>
      </c>
      <c r="Z49" s="291"/>
      <c r="AA49" s="298" t="s">
        <v>34</v>
      </c>
      <c r="AB49" s="298" t="s">
        <v>34</v>
      </c>
      <c r="AC49" s="298" t="s">
        <v>34</v>
      </c>
      <c r="AD49" s="298" t="s">
        <v>34</v>
      </c>
      <c r="AE49" s="298" t="s">
        <v>34</v>
      </c>
      <c r="AF49" s="291"/>
      <c r="AG49" s="291"/>
      <c r="AH49" s="291"/>
      <c r="AI49" s="291"/>
      <c r="AJ49" s="291"/>
      <c r="AK49" s="291"/>
      <c r="AR49" s="299" t="s">
        <v>193</v>
      </c>
      <c r="AS49" s="291"/>
      <c r="AT49" s="291"/>
      <c r="AU49" s="291"/>
      <c r="AV49" s="291"/>
      <c r="AW49" s="291"/>
      <c r="AX49" s="298" t="s">
        <v>34</v>
      </c>
      <c r="AY49" s="291"/>
      <c r="AZ49" s="291"/>
      <c r="BA49" s="291"/>
      <c r="BB49" s="291"/>
      <c r="BC49" s="291"/>
    </row>
    <row r="50" spans="1:55" s="401" customFormat="1" ht="20" x14ac:dyDescent="0.25">
      <c r="A50" s="325" t="s">
        <v>351</v>
      </c>
      <c r="C50" s="294" t="s">
        <v>193</v>
      </c>
      <c r="D50" s="292"/>
      <c r="E50" s="292"/>
      <c r="F50" s="292"/>
      <c r="G50" s="292"/>
      <c r="H50" s="291"/>
      <c r="I50" s="291"/>
      <c r="J50" s="291"/>
      <c r="K50" s="291"/>
      <c r="L50" s="291"/>
      <c r="M50" s="291"/>
      <c r="N50" s="291"/>
      <c r="O50" s="432" t="s">
        <v>381</v>
      </c>
      <c r="P50" s="291"/>
      <c r="Q50" s="291"/>
      <c r="R50" s="291"/>
      <c r="S50" s="291"/>
      <c r="U50" s="298"/>
      <c r="V50" s="298"/>
      <c r="W50" s="298"/>
      <c r="X50" s="298"/>
      <c r="Y50" s="298"/>
      <c r="Z50" s="291"/>
      <c r="AA50" s="298"/>
      <c r="AB50" s="298"/>
      <c r="AC50" s="298"/>
      <c r="AD50" s="298"/>
      <c r="AE50" s="298"/>
      <c r="AF50" s="291"/>
      <c r="AG50" s="291"/>
      <c r="AH50" s="291"/>
      <c r="AI50" s="291"/>
      <c r="AJ50" s="291"/>
      <c r="AK50" s="291"/>
      <c r="AR50" s="299"/>
      <c r="AS50" s="291"/>
      <c r="AT50" s="291"/>
      <c r="AU50" s="291"/>
      <c r="AV50" s="291"/>
      <c r="AW50" s="291"/>
      <c r="AX50" s="298"/>
      <c r="AY50" s="291"/>
      <c r="AZ50" s="291"/>
      <c r="BA50" s="291"/>
      <c r="BB50" s="291"/>
      <c r="BC50" s="291"/>
    </row>
    <row r="51" spans="1:55" s="401" customFormat="1" ht="20" x14ac:dyDescent="0.25">
      <c r="A51" s="325" t="s">
        <v>352</v>
      </c>
      <c r="C51" s="294" t="s">
        <v>193</v>
      </c>
      <c r="D51" s="292"/>
      <c r="E51" s="292"/>
      <c r="F51" s="292"/>
      <c r="G51" s="292"/>
      <c r="H51" s="291"/>
      <c r="I51" s="291"/>
      <c r="J51" s="291"/>
      <c r="K51" s="291"/>
      <c r="L51" s="291"/>
      <c r="M51" s="291"/>
      <c r="N51" s="291"/>
      <c r="O51" s="291"/>
      <c r="P51" s="291"/>
      <c r="Q51" s="291"/>
      <c r="R51" s="291"/>
      <c r="S51" s="291"/>
      <c r="U51" s="298"/>
      <c r="V51" s="298"/>
      <c r="W51" s="298"/>
      <c r="X51" s="298"/>
      <c r="Y51" s="298"/>
      <c r="Z51" s="291"/>
      <c r="AA51" s="298"/>
      <c r="AB51" s="298"/>
      <c r="AC51" s="298"/>
      <c r="AD51" s="298"/>
      <c r="AE51" s="298"/>
      <c r="AF51" s="291"/>
      <c r="AG51" s="291"/>
      <c r="AH51" s="291"/>
      <c r="AI51" s="291"/>
      <c r="AJ51" s="291"/>
      <c r="AK51" s="291"/>
      <c r="AR51" s="299"/>
      <c r="AS51" s="291"/>
      <c r="AT51" s="291"/>
      <c r="AU51" s="291"/>
      <c r="AV51" s="291"/>
      <c r="AW51" s="291"/>
      <c r="AX51" s="298"/>
      <c r="AY51" s="291"/>
      <c r="AZ51" s="291"/>
      <c r="BA51" s="291"/>
      <c r="BB51" s="291"/>
      <c r="BC51" s="291"/>
    </row>
    <row r="52" spans="1:55" s="401" customFormat="1" ht="20" x14ac:dyDescent="0.25">
      <c r="A52" s="325" t="s">
        <v>353</v>
      </c>
      <c r="C52" s="294" t="s">
        <v>193</v>
      </c>
      <c r="D52" s="292"/>
      <c r="E52" s="292"/>
      <c r="F52" s="292"/>
      <c r="G52" s="292"/>
      <c r="H52" s="291"/>
      <c r="I52" s="291"/>
      <c r="J52" s="291"/>
      <c r="K52" s="291"/>
      <c r="L52" s="291"/>
      <c r="M52" s="291"/>
      <c r="N52" s="291"/>
      <c r="O52" s="291"/>
      <c r="P52" s="291"/>
      <c r="Q52" s="291"/>
      <c r="R52" s="291"/>
      <c r="S52" s="291"/>
      <c r="U52" s="298"/>
      <c r="V52" s="298"/>
      <c r="W52" s="298"/>
      <c r="X52" s="298"/>
      <c r="Y52" s="298"/>
      <c r="Z52" s="291"/>
      <c r="AA52" s="298"/>
      <c r="AB52" s="298"/>
      <c r="AC52" s="298"/>
      <c r="AD52" s="298"/>
      <c r="AE52" s="298"/>
      <c r="AF52" s="291"/>
      <c r="AG52" s="291"/>
      <c r="AH52" s="291"/>
      <c r="AI52" s="291"/>
      <c r="AJ52" s="291"/>
      <c r="AK52" s="291"/>
      <c r="AR52" s="299"/>
      <c r="AS52" s="291"/>
      <c r="AT52" s="291"/>
      <c r="AU52" s="291"/>
      <c r="AV52" s="291"/>
      <c r="AW52" s="291"/>
      <c r="AX52" s="298"/>
      <c r="AY52" s="291"/>
      <c r="AZ52" s="291"/>
      <c r="BA52" s="291"/>
      <c r="BB52" s="291"/>
      <c r="BC52" s="291"/>
    </row>
    <row r="53" spans="1:55" s="401" customFormat="1" ht="20" x14ac:dyDescent="0.25">
      <c r="A53" s="326" t="s">
        <v>354</v>
      </c>
      <c r="C53" s="294" t="s">
        <v>193</v>
      </c>
      <c r="D53" s="292"/>
      <c r="E53" s="292"/>
      <c r="F53" s="292"/>
      <c r="G53" s="292"/>
      <c r="H53" s="291"/>
      <c r="I53" s="291"/>
      <c r="J53" s="291"/>
      <c r="K53" s="291"/>
      <c r="L53" s="291"/>
      <c r="M53" s="291"/>
      <c r="N53" s="291"/>
      <c r="O53" s="291"/>
      <c r="P53" s="291"/>
      <c r="Q53" s="291"/>
      <c r="R53" s="291"/>
      <c r="S53" s="291"/>
      <c r="U53" s="298"/>
      <c r="V53" s="298"/>
      <c r="W53" s="298"/>
      <c r="X53" s="298"/>
      <c r="Y53" s="298"/>
      <c r="Z53" s="291"/>
      <c r="AA53" s="298"/>
      <c r="AB53" s="298"/>
      <c r="AC53" s="298"/>
      <c r="AD53" s="298"/>
      <c r="AE53" s="298"/>
      <c r="AF53" s="291"/>
      <c r="AG53" s="291"/>
      <c r="AH53" s="291"/>
      <c r="AI53" s="291"/>
      <c r="AJ53" s="291"/>
      <c r="AK53" s="291"/>
      <c r="AR53" s="299"/>
      <c r="AS53" s="291"/>
      <c r="AT53" s="291"/>
      <c r="AU53" s="291"/>
      <c r="AV53" s="291"/>
      <c r="AW53" s="291"/>
      <c r="AX53" s="298"/>
      <c r="AY53" s="291"/>
      <c r="AZ53" s="291"/>
      <c r="BA53" s="291"/>
      <c r="BB53" s="291"/>
      <c r="BC53" s="291"/>
    </row>
    <row r="54" spans="1:55" s="401" customFormat="1" ht="20" x14ac:dyDescent="0.25">
      <c r="A54" s="326" t="s">
        <v>355</v>
      </c>
      <c r="C54" s="294" t="s">
        <v>193</v>
      </c>
      <c r="D54" s="292"/>
      <c r="E54" s="292"/>
      <c r="F54" s="292"/>
      <c r="G54" s="292"/>
      <c r="H54" s="291"/>
      <c r="I54" s="291"/>
      <c r="J54" s="291"/>
      <c r="K54" s="291"/>
      <c r="L54" s="291"/>
      <c r="M54" s="291"/>
      <c r="N54" s="291"/>
      <c r="O54" s="291"/>
      <c r="P54" s="291"/>
      <c r="Q54" s="291"/>
      <c r="R54" s="291"/>
      <c r="S54" s="291"/>
      <c r="U54" s="298"/>
      <c r="V54" s="298"/>
      <c r="W54" s="298"/>
      <c r="X54" s="298"/>
      <c r="Y54" s="298"/>
      <c r="Z54" s="291"/>
      <c r="AA54" s="298"/>
      <c r="AB54" s="298"/>
      <c r="AC54" s="298"/>
      <c r="AD54" s="298"/>
      <c r="AE54" s="298"/>
      <c r="AF54" s="291"/>
      <c r="AG54" s="291"/>
      <c r="AH54" s="291"/>
      <c r="AI54" s="291"/>
      <c r="AJ54" s="291"/>
      <c r="AK54" s="291"/>
      <c r="AR54" s="299"/>
      <c r="AS54" s="291"/>
      <c r="AT54" s="291"/>
      <c r="AU54" s="291"/>
      <c r="AV54" s="291"/>
      <c r="AW54" s="291"/>
      <c r="AX54" s="298"/>
      <c r="AY54" s="291"/>
      <c r="AZ54" s="291"/>
      <c r="BA54" s="291"/>
      <c r="BB54" s="291"/>
      <c r="BC54" s="291"/>
    </row>
    <row r="55" spans="1:55" s="401" customFormat="1" ht="20" x14ac:dyDescent="0.25">
      <c r="A55" s="291" t="s">
        <v>264</v>
      </c>
      <c r="B55" s="290"/>
      <c r="C55" s="292">
        <v>1575</v>
      </c>
      <c r="D55" s="292">
        <f>C55</f>
        <v>1575</v>
      </c>
      <c r="E55" s="292">
        <f t="shared" ref="E55:G55" si="38">D55</f>
        <v>1575</v>
      </c>
      <c r="F55" s="292">
        <f t="shared" si="38"/>
        <v>1575</v>
      </c>
      <c r="G55" s="292">
        <f t="shared" si="38"/>
        <v>1575</v>
      </c>
      <c r="H55" s="291"/>
      <c r="I55" s="428">
        <f>C55</f>
        <v>1575</v>
      </c>
      <c r="J55" s="429">
        <f>D55</f>
        <v>1575</v>
      </c>
      <c r="K55" s="429">
        <f>E55</f>
        <v>1575</v>
      </c>
      <c r="L55" s="429">
        <f>F55</f>
        <v>1575</v>
      </c>
      <c r="M55" s="344"/>
      <c r="N55" s="291"/>
      <c r="O55" s="403">
        <f>I55</f>
        <v>1575</v>
      </c>
      <c r="P55" s="344">
        <f>J55</f>
        <v>1575</v>
      </c>
      <c r="Q55" s="344">
        <f>K55</f>
        <v>1575</v>
      </c>
      <c r="R55" s="344">
        <f>L55</f>
        <v>1575</v>
      </c>
      <c r="S55" s="291"/>
      <c r="U55" s="294" t="s">
        <v>193</v>
      </c>
      <c r="V55" s="294" t="s">
        <v>193</v>
      </c>
      <c r="W55" s="294" t="s">
        <v>193</v>
      </c>
      <c r="X55" s="294" t="s">
        <v>193</v>
      </c>
      <c r="Y55" s="294" t="s">
        <v>193</v>
      </c>
      <c r="Z55" s="291"/>
      <c r="AA55" s="294" t="s">
        <v>193</v>
      </c>
      <c r="AB55" s="294" t="s">
        <v>193</v>
      </c>
      <c r="AC55" s="294" t="s">
        <v>193</v>
      </c>
      <c r="AD55" s="294" t="s">
        <v>193</v>
      </c>
      <c r="AE55" s="294" t="s">
        <v>193</v>
      </c>
      <c r="AF55" s="291"/>
      <c r="AG55" s="291"/>
      <c r="AH55" s="291"/>
      <c r="AI55" s="291"/>
      <c r="AJ55" s="291"/>
      <c r="AK55" s="291"/>
      <c r="AR55" s="299" t="s">
        <v>193</v>
      </c>
      <c r="AS55" s="291"/>
      <c r="AT55" s="291"/>
      <c r="AU55" s="291"/>
      <c r="AV55" s="291"/>
      <c r="AW55" s="291"/>
      <c r="AX55" s="298" t="s">
        <v>34</v>
      </c>
      <c r="AY55" s="291"/>
      <c r="AZ55" s="291"/>
      <c r="BA55" s="291"/>
      <c r="BB55" s="291"/>
      <c r="BC55" s="291"/>
    </row>
    <row r="56" spans="1:55" x14ac:dyDescent="0.25">
      <c r="C56" s="322"/>
      <c r="D56" s="322"/>
      <c r="E56" s="322"/>
      <c r="F56" s="322"/>
      <c r="G56" s="322"/>
      <c r="I56" s="2" t="s">
        <v>386</v>
      </c>
    </row>
    <row r="57" spans="1:55" s="400" customFormat="1" ht="20" x14ac:dyDescent="0.25">
      <c r="A57" s="311" t="s">
        <v>380</v>
      </c>
      <c r="B57" s="318"/>
      <c r="C57" s="312" t="s">
        <v>348</v>
      </c>
      <c r="D57" s="311"/>
      <c r="E57" s="311"/>
      <c r="F57" s="311"/>
      <c r="G57" s="311"/>
      <c r="H57" s="319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  <c r="AD57" s="311"/>
      <c r="AE57" s="311"/>
      <c r="AF57" s="314"/>
      <c r="AG57" s="314"/>
      <c r="AH57" s="314"/>
      <c r="AI57" s="314"/>
      <c r="AJ57" s="314"/>
      <c r="AK57" s="314"/>
      <c r="AR57" s="319" t="s">
        <v>193</v>
      </c>
      <c r="AS57" s="314"/>
      <c r="AT57" s="314"/>
      <c r="AU57" s="314"/>
      <c r="AV57" s="314"/>
      <c r="AW57" s="314"/>
      <c r="AX57" s="314" t="s">
        <v>34</v>
      </c>
      <c r="AY57" s="314"/>
      <c r="AZ57" s="314"/>
      <c r="BA57" s="314"/>
      <c r="BB57" s="314"/>
      <c r="BC57" s="314"/>
    </row>
    <row r="58" spans="1:55" ht="20" x14ac:dyDescent="0.25">
      <c r="C58" s="407" t="s">
        <v>207</v>
      </c>
      <c r="D58" s="407" t="str">
        <f>C58</f>
        <v>?</v>
      </c>
      <c r="E58" s="407" t="str">
        <f t="shared" ref="E58" si="39">D58</f>
        <v>?</v>
      </c>
      <c r="F58" s="407" t="str">
        <f t="shared" ref="F58" si="40">E58</f>
        <v>?</v>
      </c>
      <c r="G58" s="407" t="str">
        <f t="shared" ref="G58" si="41">F58</f>
        <v>?</v>
      </c>
    </row>
    <row r="59" spans="1:55" x14ac:dyDescent="0.25">
      <c r="C59" s="322"/>
      <c r="D59" s="322"/>
      <c r="E59" s="322"/>
      <c r="F59" s="322"/>
      <c r="G59" s="322"/>
    </row>
    <row r="60" spans="1:55" s="400" customFormat="1" ht="20" x14ac:dyDescent="0.25">
      <c r="A60" s="311" t="s">
        <v>356</v>
      </c>
      <c r="B60" s="318"/>
      <c r="C60" s="312" t="s">
        <v>357</v>
      </c>
      <c r="D60" s="311"/>
      <c r="E60" s="311"/>
      <c r="F60" s="311"/>
      <c r="G60" s="311"/>
      <c r="H60" s="319" t="s">
        <v>193</v>
      </c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1"/>
      <c r="U60" s="311"/>
      <c r="V60" s="311"/>
      <c r="W60" s="311"/>
      <c r="X60" s="311"/>
      <c r="Y60" s="311"/>
      <c r="Z60" s="311"/>
      <c r="AA60" s="311"/>
      <c r="AB60" s="311"/>
      <c r="AC60" s="311"/>
      <c r="AD60" s="311"/>
      <c r="AE60" s="311"/>
      <c r="AF60" s="314"/>
      <c r="AG60" s="314"/>
      <c r="AH60" s="314"/>
      <c r="AI60" s="314"/>
      <c r="AJ60" s="314"/>
      <c r="AK60" s="314"/>
      <c r="AR60" s="319" t="s">
        <v>193</v>
      </c>
      <c r="AS60" s="314"/>
      <c r="AT60" s="314"/>
      <c r="AU60" s="314"/>
      <c r="AV60" s="314"/>
      <c r="AW60" s="314"/>
      <c r="AX60" s="314" t="s">
        <v>34</v>
      </c>
      <c r="AY60" s="314"/>
      <c r="AZ60" s="314"/>
      <c r="BA60" s="314"/>
      <c r="BB60" s="314"/>
      <c r="BC60" s="314"/>
    </row>
    <row r="61" spans="1:55" ht="20" x14ac:dyDescent="0.25">
      <c r="C61" s="294" t="s">
        <v>193</v>
      </c>
      <c r="D61" s="322"/>
      <c r="E61" s="322"/>
      <c r="F61" s="322"/>
      <c r="G61" s="322"/>
    </row>
    <row r="62" spans="1:55" s="399" customFormat="1" x14ac:dyDescent="0.25">
      <c r="A62" s="289"/>
      <c r="B62" s="327"/>
      <c r="C62" s="297"/>
      <c r="D62" s="200"/>
      <c r="E62" s="200"/>
      <c r="F62" s="200"/>
      <c r="G62" s="200"/>
      <c r="H62" s="289"/>
      <c r="I62" s="289"/>
      <c r="J62" s="289"/>
      <c r="K62" s="289"/>
      <c r="L62" s="289"/>
      <c r="M62" s="289"/>
      <c r="N62" s="289"/>
      <c r="O62" s="289"/>
      <c r="P62" s="289"/>
      <c r="Q62" s="289"/>
      <c r="R62" s="289"/>
      <c r="S62" s="289"/>
      <c r="T62" s="289"/>
      <c r="U62" s="289"/>
      <c r="V62" s="289"/>
      <c r="W62" s="289"/>
      <c r="X62" s="289"/>
      <c r="Y62" s="289"/>
      <c r="Z62" s="289"/>
      <c r="AA62" s="289"/>
      <c r="AB62" s="289"/>
      <c r="AC62" s="289"/>
      <c r="AD62" s="289"/>
      <c r="AE62" s="289"/>
      <c r="AF62" s="289"/>
      <c r="AG62" s="289"/>
      <c r="AH62" s="289"/>
      <c r="AI62" s="289"/>
      <c r="AJ62" s="289"/>
      <c r="AK62" s="289"/>
      <c r="AR62" s="289"/>
      <c r="AS62" s="289"/>
      <c r="AT62" s="289"/>
      <c r="AU62" s="289"/>
      <c r="AV62" s="289"/>
      <c r="AW62" s="289"/>
      <c r="AX62" s="289"/>
      <c r="AY62" s="289"/>
      <c r="AZ62" s="289"/>
      <c r="BA62" s="289"/>
      <c r="BB62" s="289"/>
      <c r="BC62" s="289"/>
    </row>
    <row r="63" spans="1:55" s="402" customFormat="1" ht="20" x14ac:dyDescent="0.25">
      <c r="A63" s="300" t="s">
        <v>69</v>
      </c>
      <c r="B63" s="310"/>
      <c r="C63" s="292">
        <f>Переменные!D70</f>
        <v>12400</v>
      </c>
      <c r="D63" s="292">
        <f>C63</f>
        <v>12400</v>
      </c>
      <c r="E63" s="292">
        <f t="shared" ref="E63:G63" si="42">D63</f>
        <v>12400</v>
      </c>
      <c r="F63" s="292">
        <f t="shared" si="42"/>
        <v>12400</v>
      </c>
      <c r="G63" s="292">
        <f t="shared" si="42"/>
        <v>12400</v>
      </c>
      <c r="H63" s="297"/>
      <c r="I63" s="297"/>
      <c r="J63" s="297"/>
      <c r="K63" s="297"/>
      <c r="L63" s="297"/>
      <c r="M63" s="297"/>
      <c r="N63" s="297"/>
      <c r="O63" s="297"/>
      <c r="P63" s="297"/>
      <c r="Q63" s="297"/>
      <c r="R63" s="297"/>
      <c r="S63" s="297"/>
      <c r="T63" s="297"/>
      <c r="U63" s="297"/>
      <c r="V63" s="297"/>
      <c r="W63" s="297"/>
      <c r="X63" s="297"/>
      <c r="Y63" s="297"/>
      <c r="Z63" s="300"/>
      <c r="AA63" s="300"/>
      <c r="AB63" s="300"/>
      <c r="AC63" s="300"/>
      <c r="AD63" s="300"/>
      <c r="AE63" s="300"/>
      <c r="AF63" s="297"/>
      <c r="AG63" s="297"/>
      <c r="AH63" s="297"/>
      <c r="AI63" s="297"/>
      <c r="AJ63" s="297"/>
      <c r="AK63" s="297"/>
      <c r="AR63" s="297"/>
      <c r="AS63" s="297"/>
      <c r="AT63" s="297"/>
      <c r="AU63" s="297"/>
      <c r="AV63" s="297"/>
      <c r="AW63" s="297"/>
      <c r="AX63" s="297"/>
      <c r="AY63" s="297"/>
      <c r="AZ63" s="297"/>
      <c r="BA63" s="297"/>
      <c r="BB63" s="297"/>
      <c r="BC63" s="297"/>
    </row>
    <row r="64" spans="1:55" s="402" customFormat="1" ht="20" x14ac:dyDescent="0.25">
      <c r="A64" s="300" t="s">
        <v>194</v>
      </c>
      <c r="B64" s="310"/>
      <c r="C64" s="297"/>
      <c r="D64" s="297"/>
      <c r="E64" s="297"/>
      <c r="F64" s="297"/>
      <c r="G64" s="297"/>
      <c r="H64" s="297"/>
      <c r="I64" s="297"/>
      <c r="J64" s="297"/>
      <c r="K64" s="297"/>
      <c r="L64" s="297"/>
      <c r="M64" s="297"/>
      <c r="N64" s="297"/>
      <c r="O64" s="297"/>
      <c r="P64" s="297"/>
      <c r="Q64" s="297"/>
      <c r="R64" s="297"/>
      <c r="S64" s="297"/>
      <c r="T64" s="297"/>
      <c r="U64" s="297"/>
      <c r="V64" s="297"/>
      <c r="W64" s="297"/>
      <c r="X64" s="297"/>
      <c r="Y64" s="297"/>
      <c r="Z64" s="300"/>
      <c r="AA64" s="300"/>
      <c r="AB64" s="300"/>
      <c r="AC64" s="300"/>
      <c r="AD64" s="300"/>
      <c r="AE64" s="300"/>
      <c r="AF64" s="297"/>
      <c r="AG64" s="297"/>
      <c r="AH64" s="297"/>
      <c r="AI64" s="297"/>
      <c r="AJ64" s="297"/>
      <c r="AK64" s="297"/>
      <c r="AR64" s="297"/>
      <c r="AS64" s="297"/>
      <c r="AT64" s="297"/>
      <c r="AU64" s="297"/>
      <c r="AV64" s="297"/>
      <c r="AW64" s="297"/>
      <c r="AX64" s="297"/>
      <c r="AY64" s="297"/>
      <c r="AZ64" s="297"/>
      <c r="BA64" s="297"/>
      <c r="BB64" s="297"/>
      <c r="BC64" s="297"/>
    </row>
    <row r="65" spans="1:31" ht="20" x14ac:dyDescent="0.25">
      <c r="A65" s="14" t="s">
        <v>161</v>
      </c>
      <c r="B65" s="67"/>
      <c r="C65" s="14"/>
      <c r="D65" s="14"/>
      <c r="E65" s="14"/>
      <c r="F65" s="14"/>
      <c r="G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 spans="1:31" ht="20" x14ac:dyDescent="0.25">
      <c r="A66" s="16" t="s">
        <v>72</v>
      </c>
      <c r="B66" s="16"/>
      <c r="C66" s="78" t="s">
        <v>193</v>
      </c>
      <c r="D66" s="14"/>
      <c r="E66" s="14"/>
      <c r="F66" s="14"/>
      <c r="G66" s="14"/>
      <c r="T66" s="14"/>
      <c r="U66" s="14"/>
      <c r="V66" s="14"/>
      <c r="W66" s="14"/>
      <c r="X66" s="14"/>
      <c r="Y66" s="14"/>
      <c r="Z66" s="16"/>
      <c r="AA66" s="16"/>
      <c r="AB66" s="16"/>
      <c r="AC66" s="16"/>
      <c r="AD66" s="16"/>
      <c r="AE66" s="16"/>
    </row>
    <row r="67" spans="1:31" ht="20" x14ac:dyDescent="0.25">
      <c r="A67" s="16" t="s">
        <v>75</v>
      </c>
      <c r="B67" s="16"/>
      <c r="C67" s="78" t="s">
        <v>193</v>
      </c>
      <c r="D67" s="14"/>
      <c r="E67" s="14"/>
      <c r="F67" s="14"/>
      <c r="G67" s="14"/>
      <c r="T67" s="14"/>
      <c r="U67" s="14"/>
      <c r="V67" s="14"/>
      <c r="W67" s="14"/>
      <c r="X67" s="14"/>
      <c r="Y67" s="14"/>
      <c r="Z67" s="16"/>
      <c r="AA67" s="16"/>
      <c r="AB67" s="16"/>
      <c r="AC67" s="16"/>
      <c r="AD67" s="16"/>
      <c r="AE67" s="16"/>
    </row>
    <row r="68" spans="1:31" ht="20" x14ac:dyDescent="0.25">
      <c r="A68" s="16" t="s">
        <v>76</v>
      </c>
      <c r="B68" s="16"/>
      <c r="C68" s="78" t="s">
        <v>193</v>
      </c>
      <c r="D68" s="14"/>
      <c r="E68" s="14"/>
      <c r="F68" s="14"/>
      <c r="G68" s="14"/>
      <c r="T68" s="14"/>
      <c r="U68" s="14"/>
      <c r="V68" s="14"/>
      <c r="W68" s="14"/>
      <c r="X68" s="14"/>
      <c r="Y68" s="14"/>
      <c r="Z68" s="16"/>
      <c r="AA68" s="16"/>
      <c r="AB68" s="16"/>
      <c r="AC68" s="16"/>
      <c r="AD68" s="16"/>
      <c r="AE68" s="16"/>
    </row>
    <row r="69" spans="1:31" ht="20" x14ac:dyDescent="0.25">
      <c r="A69" s="16" t="s">
        <v>32</v>
      </c>
      <c r="B69" s="16"/>
      <c r="C69" s="78" t="s">
        <v>193</v>
      </c>
      <c r="D69" s="14"/>
      <c r="E69" s="14"/>
      <c r="F69" s="14"/>
      <c r="G69" s="14"/>
      <c r="T69" s="14"/>
      <c r="U69" s="14"/>
      <c r="V69" s="14"/>
      <c r="W69" s="14"/>
      <c r="X69" s="14"/>
      <c r="Y69" s="14"/>
      <c r="Z69" s="16"/>
      <c r="AA69" s="16"/>
      <c r="AB69" s="16"/>
      <c r="AC69" s="16"/>
      <c r="AD69" s="16"/>
      <c r="AE69" s="16"/>
    </row>
    <row r="71" spans="1:31" ht="20" x14ac:dyDescent="0.25">
      <c r="A71" s="14" t="s">
        <v>78</v>
      </c>
      <c r="B71" s="67"/>
      <c r="C71" s="78" t="s">
        <v>193</v>
      </c>
      <c r="D71" s="14"/>
      <c r="E71" s="14"/>
      <c r="F71" s="14"/>
      <c r="G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spans="1:31" ht="20" x14ac:dyDescent="0.25">
      <c r="A72" s="14" t="s">
        <v>133</v>
      </c>
      <c r="B72" s="67"/>
      <c r="C72" s="78" t="s">
        <v>193</v>
      </c>
      <c r="D72" s="14"/>
      <c r="E72" s="14"/>
      <c r="F72" s="14"/>
      <c r="G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4" spans="1:31" ht="40" x14ac:dyDescent="0.25">
      <c r="A74" s="14" t="s">
        <v>390</v>
      </c>
      <c r="B74" s="67"/>
      <c r="C74" s="14"/>
      <c r="D74" s="14"/>
      <c r="E74" s="14"/>
      <c r="F74" s="14"/>
      <c r="G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spans="1:31" x14ac:dyDescent="0.25">
      <c r="A75" s="16" t="s">
        <v>72</v>
      </c>
      <c r="B75" s="16"/>
      <c r="C75" s="80">
        <f>Переменные!B25</f>
        <v>8.694447864089622E-3</v>
      </c>
      <c r="D75" s="80">
        <f>Переменные!C25</f>
        <v>2.2027710943333612E-2</v>
      </c>
      <c r="E75" s="163">
        <f>Переменные!D25</f>
        <v>1.437329940987314E-2</v>
      </c>
      <c r="F75" s="163">
        <f>Переменные!E25</f>
        <v>1.437329940987314E-2</v>
      </c>
      <c r="G75" s="163">
        <f>Переменные!F25</f>
        <v>1.437329940987314E-2</v>
      </c>
      <c r="I75" s="81">
        <f>C75</f>
        <v>8.694447864089622E-3</v>
      </c>
      <c r="J75" s="81">
        <f>D75</f>
        <v>2.2027710943333612E-2</v>
      </c>
      <c r="K75" s="81">
        <f>E75</f>
        <v>1.437329940987314E-2</v>
      </c>
      <c r="L75" s="81">
        <f>F75</f>
        <v>1.437329940987314E-2</v>
      </c>
      <c r="M75" s="81"/>
      <c r="N75" s="16"/>
      <c r="O75" s="81">
        <f>I75</f>
        <v>8.694447864089622E-3</v>
      </c>
      <c r="P75" s="81">
        <f>J75</f>
        <v>2.2027710943333612E-2</v>
      </c>
      <c r="Q75" s="81">
        <f>K75</f>
        <v>1.437329940987314E-2</v>
      </c>
      <c r="R75" s="81">
        <f>L75</f>
        <v>1.437329940987314E-2</v>
      </c>
      <c r="Z75" s="16"/>
      <c r="AA75" s="16"/>
      <c r="AB75" s="16"/>
      <c r="AC75" s="16"/>
      <c r="AD75" s="16"/>
      <c r="AE75" s="16"/>
    </row>
    <row r="76" spans="1:31" x14ac:dyDescent="0.25">
      <c r="A76" s="16" t="s">
        <v>75</v>
      </c>
      <c r="B76" s="16"/>
      <c r="C76" s="80">
        <f>Переменные!B26</f>
        <v>0.11118121383725224</v>
      </c>
      <c r="D76" s="80">
        <f>Переменные!C26</f>
        <v>0.14747365801045384</v>
      </c>
      <c r="E76" s="163">
        <f>Переменные!D26</f>
        <v>0.12663875048588288</v>
      </c>
      <c r="F76" s="163">
        <f>Переменные!E26</f>
        <v>0.12663875048588288</v>
      </c>
      <c r="G76" s="163">
        <f>Переменные!F26</f>
        <v>0.12663875048588288</v>
      </c>
      <c r="I76" s="81">
        <f t="shared" ref="I76:I78" si="43">C76</f>
        <v>0.11118121383725224</v>
      </c>
      <c r="J76" s="81">
        <f>D76</f>
        <v>0.14747365801045384</v>
      </c>
      <c r="K76" s="81">
        <f>E76</f>
        <v>0.12663875048588288</v>
      </c>
      <c r="L76" s="81">
        <f>F76</f>
        <v>0.12663875048588288</v>
      </c>
      <c r="M76" s="81"/>
      <c r="N76" s="16"/>
      <c r="O76" s="81">
        <f t="shared" ref="O76:O78" si="44">I76</f>
        <v>0.11118121383725224</v>
      </c>
      <c r="P76" s="81">
        <f>J76</f>
        <v>0.14747365801045384</v>
      </c>
      <c r="Q76" s="81">
        <f>K76</f>
        <v>0.12663875048588288</v>
      </c>
      <c r="R76" s="81">
        <f>L76</f>
        <v>0.12663875048588288</v>
      </c>
      <c r="Z76" s="16"/>
      <c r="AA76" s="16"/>
      <c r="AB76" s="16"/>
      <c r="AC76" s="16"/>
      <c r="AD76" s="16"/>
      <c r="AE76" s="16"/>
    </row>
    <row r="77" spans="1:31" x14ac:dyDescent="0.25">
      <c r="A77" s="16" t="s">
        <v>76</v>
      </c>
      <c r="B77" s="16"/>
      <c r="C77" s="80">
        <f>Переменные!B27</f>
        <v>0.8801243382986581</v>
      </c>
      <c r="D77" s="80">
        <f>Переменные!C27</f>
        <v>0.83049863104621258</v>
      </c>
      <c r="E77" s="163">
        <f>Переменные!D27</f>
        <v>0.858987950104244</v>
      </c>
      <c r="F77" s="163">
        <f>Переменные!E27</f>
        <v>0.858987950104244</v>
      </c>
      <c r="G77" s="163">
        <f>Переменные!F27</f>
        <v>0.858987950104244</v>
      </c>
      <c r="I77" s="81">
        <f t="shared" si="43"/>
        <v>0.8801243382986581</v>
      </c>
      <c r="J77" s="81">
        <f>D77</f>
        <v>0.83049863104621258</v>
      </c>
      <c r="K77" s="81">
        <f>E77</f>
        <v>0.858987950104244</v>
      </c>
      <c r="L77" s="81">
        <f>F77</f>
        <v>0.858987950104244</v>
      </c>
      <c r="M77" s="81"/>
      <c r="N77" s="16"/>
      <c r="O77" s="81">
        <f t="shared" si="44"/>
        <v>0.8801243382986581</v>
      </c>
      <c r="P77" s="81">
        <f>J77</f>
        <v>0.83049863104621258</v>
      </c>
      <c r="Q77" s="81">
        <f>K77</f>
        <v>0.858987950104244</v>
      </c>
      <c r="R77" s="81">
        <f>L77</f>
        <v>0.858987950104244</v>
      </c>
      <c r="Z77" s="16"/>
      <c r="AA77" s="16"/>
      <c r="AB77" s="16"/>
      <c r="AC77" s="16"/>
      <c r="AD77" s="16"/>
      <c r="AE77" s="16"/>
    </row>
    <row r="78" spans="1:31" x14ac:dyDescent="0.25">
      <c r="A78" s="16" t="s">
        <v>32</v>
      </c>
      <c r="B78" s="16"/>
      <c r="C78" s="80">
        <f>Переменные!B28</f>
        <v>0</v>
      </c>
      <c r="D78" s="80">
        <f>Переменные!C28</f>
        <v>0</v>
      </c>
      <c r="E78" s="163">
        <f>Переменные!D28</f>
        <v>0</v>
      </c>
      <c r="F78" s="163">
        <f>Переменные!E28</f>
        <v>0</v>
      </c>
      <c r="G78" s="163">
        <f>Переменные!F28</f>
        <v>0</v>
      </c>
      <c r="I78" s="81">
        <f t="shared" si="43"/>
        <v>0</v>
      </c>
      <c r="J78" s="81">
        <f>D78</f>
        <v>0</v>
      </c>
      <c r="K78" s="81">
        <f>E78</f>
        <v>0</v>
      </c>
      <c r="L78" s="81">
        <f>F78</f>
        <v>0</v>
      </c>
      <c r="M78" s="81"/>
      <c r="N78" s="16"/>
      <c r="O78" s="81">
        <f t="shared" si="44"/>
        <v>0</v>
      </c>
      <c r="P78" s="81">
        <f>J78</f>
        <v>0</v>
      </c>
      <c r="Q78" s="81">
        <f>K78</f>
        <v>0</v>
      </c>
      <c r="R78" s="81">
        <f>L78</f>
        <v>0</v>
      </c>
      <c r="Z78" s="16"/>
      <c r="AA78" s="16"/>
      <c r="AB78" s="16"/>
      <c r="AC78" s="16"/>
      <c r="AD78" s="16"/>
      <c r="AE78" s="16"/>
    </row>
    <row r="79" spans="1:31" x14ac:dyDescent="0.25">
      <c r="A79" s="16"/>
      <c r="B79" s="16"/>
      <c r="C79" s="80"/>
      <c r="D79" s="80"/>
      <c r="E79" s="323" t="s">
        <v>349</v>
      </c>
      <c r="F79" s="80"/>
      <c r="G79" s="80"/>
      <c r="N79" s="16"/>
      <c r="O79" s="80"/>
      <c r="P79" s="80"/>
      <c r="Z79" s="16"/>
      <c r="AA79" s="16"/>
      <c r="AB79" s="16"/>
      <c r="AC79" s="16"/>
      <c r="AD79" s="16"/>
      <c r="AE79" s="16"/>
    </row>
    <row r="80" spans="1:31" ht="60" x14ac:dyDescent="0.25">
      <c r="A80" s="14" t="s">
        <v>391</v>
      </c>
      <c r="B80" s="16"/>
      <c r="C80" s="80"/>
      <c r="D80" s="80"/>
      <c r="E80" s="80"/>
      <c r="F80" s="80"/>
      <c r="G80" s="80"/>
      <c r="N80" s="16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16"/>
      <c r="AA80" s="16"/>
      <c r="AB80" s="16"/>
      <c r="AC80" s="16"/>
      <c r="AD80" s="16"/>
      <c r="AE80" s="16"/>
    </row>
    <row r="81" spans="1:31" ht="20" x14ac:dyDescent="0.25">
      <c r="A81" s="16" t="s">
        <v>72</v>
      </c>
      <c r="B81" s="16"/>
      <c r="C81" s="78" t="s">
        <v>193</v>
      </c>
      <c r="N81" s="16"/>
      <c r="O81" s="184"/>
      <c r="P81" s="184"/>
      <c r="Q81" s="184"/>
      <c r="R81" s="184"/>
      <c r="S81" s="184"/>
      <c r="Z81" s="16"/>
      <c r="AA81" s="16"/>
      <c r="AB81" s="16"/>
      <c r="AC81" s="16"/>
      <c r="AD81" s="16"/>
      <c r="AE81" s="16"/>
    </row>
    <row r="82" spans="1:31" ht="20" x14ac:dyDescent="0.25">
      <c r="A82" s="16" t="s">
        <v>75</v>
      </c>
      <c r="B82" s="16"/>
      <c r="C82" s="78" t="s">
        <v>193</v>
      </c>
      <c r="N82" s="16"/>
      <c r="O82" s="184"/>
      <c r="P82" s="184"/>
      <c r="Q82" s="184"/>
      <c r="R82" s="184"/>
      <c r="S82" s="184"/>
      <c r="Z82" s="16"/>
      <c r="AA82" s="16"/>
      <c r="AB82" s="16"/>
      <c r="AC82" s="16"/>
      <c r="AD82" s="16"/>
      <c r="AE82" s="16"/>
    </row>
    <row r="83" spans="1:31" ht="20" x14ac:dyDescent="0.25">
      <c r="A83" s="16" t="s">
        <v>76</v>
      </c>
      <c r="B83" s="16"/>
      <c r="C83" s="78" t="s">
        <v>193</v>
      </c>
      <c r="N83" s="16"/>
      <c r="O83" s="184"/>
      <c r="P83" s="184"/>
      <c r="Q83" s="184"/>
      <c r="R83" s="184"/>
      <c r="S83" s="184"/>
      <c r="Z83" s="16"/>
      <c r="AA83" s="16"/>
      <c r="AB83" s="16"/>
      <c r="AC83" s="16"/>
      <c r="AD83" s="16"/>
      <c r="AE83" s="16"/>
    </row>
    <row r="84" spans="1:31" ht="20" x14ac:dyDescent="0.25">
      <c r="A84" s="16" t="s">
        <v>32</v>
      </c>
      <c r="B84" s="16"/>
      <c r="C84" s="78" t="s">
        <v>193</v>
      </c>
      <c r="N84" s="16"/>
      <c r="O84" s="184"/>
      <c r="P84" s="184"/>
      <c r="Q84" s="184"/>
      <c r="R84" s="184"/>
      <c r="S84" s="184"/>
      <c r="Z84" s="16"/>
      <c r="AA84" s="16"/>
      <c r="AB84" s="16"/>
      <c r="AC84" s="16"/>
      <c r="AD84" s="16"/>
      <c r="AE84" s="16"/>
    </row>
    <row r="85" spans="1:31" x14ac:dyDescent="0.25">
      <c r="O85" s="80"/>
      <c r="P85" s="80"/>
      <c r="Q85" s="80"/>
      <c r="R85" s="80"/>
      <c r="S85" s="80"/>
    </row>
    <row r="86" spans="1:31" x14ac:dyDescent="0.25">
      <c r="A86" s="19" t="s">
        <v>344</v>
      </c>
      <c r="C86" s="19" t="s">
        <v>345</v>
      </c>
      <c r="D86" s="19"/>
      <c r="E86" s="19"/>
      <c r="F86" s="19"/>
      <c r="G86" s="19"/>
      <c r="N86" s="19"/>
      <c r="O86" s="80"/>
      <c r="P86" s="80"/>
      <c r="Q86" s="80"/>
      <c r="R86" s="80"/>
      <c r="S86" s="80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</row>
    <row r="87" spans="1:31" x14ac:dyDescent="0.25">
      <c r="A87" s="16" t="s">
        <v>74</v>
      </c>
      <c r="B87" s="16"/>
      <c r="D87" s="16"/>
      <c r="E87" s="16"/>
      <c r="F87" s="16"/>
      <c r="G87" s="16"/>
      <c r="N87" s="19"/>
      <c r="O87" s="80"/>
      <c r="P87" s="80"/>
      <c r="Q87" s="80"/>
      <c r="R87" s="80"/>
      <c r="S87" s="80"/>
      <c r="T87" s="19"/>
      <c r="U87" s="19"/>
      <c r="V87" s="19"/>
      <c r="W87" s="19"/>
      <c r="X87" s="19"/>
      <c r="Y87" s="19"/>
      <c r="Z87" s="16"/>
      <c r="AA87" s="16"/>
      <c r="AB87" s="16"/>
      <c r="AC87" s="16"/>
      <c r="AD87" s="16"/>
      <c r="AE87" s="16"/>
    </row>
    <row r="88" spans="1:31" x14ac:dyDescent="0.25">
      <c r="A88" s="16" t="s">
        <v>72</v>
      </c>
      <c r="B88" s="16"/>
      <c r="C88" s="435">
        <f>Переменные!C51</f>
        <v>116292</v>
      </c>
      <c r="D88" s="435">
        <f>C88</f>
        <v>116292</v>
      </c>
      <c r="E88" s="435">
        <f t="shared" ref="E88:G88" si="45">D88</f>
        <v>116292</v>
      </c>
      <c r="F88" s="435">
        <f t="shared" si="45"/>
        <v>116292</v>
      </c>
      <c r="G88" s="435">
        <f t="shared" si="45"/>
        <v>116292</v>
      </c>
      <c r="I88" s="345">
        <f>C88</f>
        <v>116292</v>
      </c>
      <c r="J88" s="345">
        <f>D88</f>
        <v>116292</v>
      </c>
      <c r="K88" s="345">
        <f>E88</f>
        <v>116292</v>
      </c>
      <c r="L88" s="345">
        <f>F88</f>
        <v>116292</v>
      </c>
      <c r="N88" s="19"/>
      <c r="O88" s="345">
        <f>I88</f>
        <v>116292</v>
      </c>
      <c r="P88" s="345">
        <f>J88</f>
        <v>116292</v>
      </c>
      <c r="Q88" s="345">
        <f>K88</f>
        <v>116292</v>
      </c>
      <c r="R88" s="345">
        <f>L88</f>
        <v>116292</v>
      </c>
      <c r="S88" s="80"/>
      <c r="T88" s="19"/>
      <c r="U88" s="19"/>
      <c r="V88" s="19"/>
      <c r="W88" s="19"/>
      <c r="X88" s="19"/>
      <c r="Y88" s="19"/>
      <c r="Z88" s="16"/>
      <c r="AA88" s="16"/>
      <c r="AB88" s="16"/>
      <c r="AC88" s="16"/>
      <c r="AD88" s="16"/>
      <c r="AE88" s="16"/>
    </row>
    <row r="89" spans="1:31" x14ac:dyDescent="0.25">
      <c r="A89" s="16" t="s">
        <v>75</v>
      </c>
      <c r="B89" s="16"/>
      <c r="C89" s="435">
        <f>Переменные!C52</f>
        <v>70587</v>
      </c>
      <c r="D89" s="435">
        <f t="shared" ref="D89:G92" si="46">C89</f>
        <v>70587</v>
      </c>
      <c r="E89" s="435">
        <f t="shared" si="46"/>
        <v>70587</v>
      </c>
      <c r="F89" s="435">
        <f t="shared" si="46"/>
        <v>70587</v>
      </c>
      <c r="G89" s="435">
        <f t="shared" si="46"/>
        <v>70587</v>
      </c>
      <c r="I89" s="345">
        <f t="shared" ref="I89:I91" si="47">C89</f>
        <v>70587</v>
      </c>
      <c r="J89" s="345">
        <f>D89</f>
        <v>70587</v>
      </c>
      <c r="K89" s="345">
        <f>E89</f>
        <v>70587</v>
      </c>
      <c r="L89" s="345">
        <f>F89</f>
        <v>70587</v>
      </c>
      <c r="N89" s="19"/>
      <c r="O89" s="345">
        <f t="shared" ref="O89:O91" si="48">I89</f>
        <v>70587</v>
      </c>
      <c r="P89" s="345">
        <f>J89</f>
        <v>70587</v>
      </c>
      <c r="Q89" s="345">
        <f>K89</f>
        <v>70587</v>
      </c>
      <c r="R89" s="345">
        <f>L89</f>
        <v>70587</v>
      </c>
      <c r="S89" s="80"/>
      <c r="T89" s="19"/>
      <c r="U89" s="19"/>
      <c r="V89" s="19"/>
      <c r="W89" s="19"/>
      <c r="X89" s="19"/>
      <c r="Y89" s="19"/>
      <c r="Z89" s="16"/>
      <c r="AA89" s="16"/>
      <c r="AB89" s="16"/>
      <c r="AC89" s="16"/>
      <c r="AD89" s="16"/>
      <c r="AE89" s="16"/>
    </row>
    <row r="90" spans="1:31" x14ac:dyDescent="0.25">
      <c r="A90" s="16" t="s">
        <v>76</v>
      </c>
      <c r="B90" s="16"/>
      <c r="C90" s="435">
        <f>Переменные!C53</f>
        <v>45114</v>
      </c>
      <c r="D90" s="435">
        <f t="shared" si="46"/>
        <v>45114</v>
      </c>
      <c r="E90" s="435">
        <f t="shared" si="46"/>
        <v>45114</v>
      </c>
      <c r="F90" s="435">
        <f t="shared" si="46"/>
        <v>45114</v>
      </c>
      <c r="G90" s="435">
        <f t="shared" si="46"/>
        <v>45114</v>
      </c>
      <c r="I90" s="345">
        <f t="shared" si="47"/>
        <v>45114</v>
      </c>
      <c r="J90" s="345">
        <f>D90</f>
        <v>45114</v>
      </c>
      <c r="K90" s="345">
        <f>E90</f>
        <v>45114</v>
      </c>
      <c r="L90" s="345">
        <f>F90</f>
        <v>45114</v>
      </c>
      <c r="N90" s="19"/>
      <c r="O90" s="345">
        <f t="shared" si="48"/>
        <v>45114</v>
      </c>
      <c r="P90" s="345">
        <f>J90</f>
        <v>45114</v>
      </c>
      <c r="Q90" s="345">
        <f>K90</f>
        <v>45114</v>
      </c>
      <c r="R90" s="345">
        <f>L90</f>
        <v>45114</v>
      </c>
      <c r="S90" s="80"/>
      <c r="T90" s="19"/>
      <c r="U90" s="19"/>
      <c r="V90" s="19"/>
      <c r="W90" s="19"/>
      <c r="X90" s="19"/>
      <c r="Y90" s="19"/>
      <c r="Z90" s="16"/>
      <c r="AA90" s="16"/>
      <c r="AB90" s="16"/>
      <c r="AC90" s="16"/>
      <c r="AD90" s="16"/>
      <c r="AE90" s="16"/>
    </row>
    <row r="91" spans="1:31" x14ac:dyDescent="0.25">
      <c r="A91" s="16" t="s">
        <v>32</v>
      </c>
      <c r="B91" s="16"/>
      <c r="C91" s="435">
        <f>Переменные!C54</f>
        <v>28206</v>
      </c>
      <c r="D91" s="435">
        <f t="shared" si="46"/>
        <v>28206</v>
      </c>
      <c r="E91" s="435">
        <f t="shared" si="46"/>
        <v>28206</v>
      </c>
      <c r="F91" s="435">
        <f t="shared" si="46"/>
        <v>28206</v>
      </c>
      <c r="G91" s="435">
        <f t="shared" si="46"/>
        <v>28206</v>
      </c>
      <c r="I91" s="345">
        <f t="shared" si="47"/>
        <v>28206</v>
      </c>
      <c r="J91" s="345">
        <f>D91</f>
        <v>28206</v>
      </c>
      <c r="K91" s="345">
        <f>E91</f>
        <v>28206</v>
      </c>
      <c r="L91" s="345">
        <f>F91</f>
        <v>28206</v>
      </c>
      <c r="N91" s="19"/>
      <c r="O91" s="345">
        <f t="shared" si="48"/>
        <v>28206</v>
      </c>
      <c r="P91" s="345">
        <f>J91</f>
        <v>28206</v>
      </c>
      <c r="Q91" s="345">
        <f>K91</f>
        <v>28206</v>
      </c>
      <c r="R91" s="345">
        <f>L91</f>
        <v>28206</v>
      </c>
      <c r="S91" s="80"/>
      <c r="T91" s="19"/>
      <c r="U91" s="19"/>
      <c r="V91" s="19"/>
      <c r="W91" s="19"/>
      <c r="X91" s="19"/>
      <c r="Y91" s="19"/>
      <c r="Z91" s="16"/>
      <c r="AA91" s="16"/>
      <c r="AB91" s="16"/>
      <c r="AC91" s="16"/>
      <c r="AD91" s="16"/>
      <c r="AE91" s="16"/>
    </row>
    <row r="92" spans="1:31" x14ac:dyDescent="0.25">
      <c r="B92" s="164"/>
      <c r="C92" s="289">
        <f>Переменные!C54</f>
        <v>28206</v>
      </c>
      <c r="D92" s="435">
        <f t="shared" si="46"/>
        <v>28206</v>
      </c>
      <c r="E92" s="435">
        <f t="shared" si="46"/>
        <v>28206</v>
      </c>
      <c r="F92" s="435">
        <f t="shared" si="46"/>
        <v>28206</v>
      </c>
      <c r="G92" s="435">
        <f t="shared" si="46"/>
        <v>28206</v>
      </c>
      <c r="O92" s="80"/>
      <c r="P92" s="80"/>
      <c r="Q92" s="80"/>
      <c r="R92" s="80"/>
      <c r="S92" s="80"/>
      <c r="T92" s="19"/>
      <c r="U92" s="19"/>
      <c r="V92" s="19"/>
      <c r="W92" s="19"/>
      <c r="X92" s="19"/>
      <c r="Y92" s="19"/>
      <c r="Z92" s="92"/>
      <c r="AA92" s="92"/>
      <c r="AB92" s="92"/>
      <c r="AC92" s="92"/>
      <c r="AD92" s="92"/>
      <c r="AE92" s="92"/>
    </row>
    <row r="93" spans="1:31" x14ac:dyDescent="0.25">
      <c r="C93" s="324" t="s">
        <v>343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1C1F-47DE-1144-A843-D31F1564C291}">
  <sheetPr>
    <tabColor theme="0"/>
  </sheetPr>
  <dimension ref="A1:BC86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19" sqref="C19"/>
    </sheetView>
  </sheetViews>
  <sheetFormatPr baseColWidth="10" defaultRowHeight="19" x14ac:dyDescent="0.25"/>
  <cols>
    <col min="1" max="1" width="48.83203125" style="1" customWidth="1"/>
    <col min="2" max="2" width="19.33203125" style="2" customWidth="1"/>
    <col min="3" max="7" width="19.33203125" style="1" customWidth="1"/>
    <col min="8" max="13" width="17" style="1" customWidth="1"/>
    <col min="14" max="14" width="16.33203125" style="1" customWidth="1"/>
    <col min="15" max="19" width="17" style="1" customWidth="1"/>
    <col min="20" max="25" width="14.33203125" style="1" customWidth="1"/>
    <col min="26" max="30" width="11.83203125" style="1" customWidth="1"/>
    <col min="31" max="31" width="13.83203125" style="1" customWidth="1"/>
    <col min="32" max="32" width="19.6640625" style="1" customWidth="1"/>
    <col min="33" max="37" width="17" style="1" customWidth="1"/>
    <col min="38" max="43" width="10.83203125" style="394"/>
    <col min="44" max="55" width="17" style="1" customWidth="1"/>
    <col min="56" max="16384" width="10.83203125" style="394"/>
  </cols>
  <sheetData>
    <row r="1" spans="1:55" s="392" customFormat="1" ht="20" thickBot="1" x14ac:dyDescent="0.3">
      <c r="A1" s="145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</row>
    <row r="2" spans="1:55" s="392" customFormat="1" x14ac:dyDescent="0.25">
      <c r="A2" s="145"/>
      <c r="B2" s="363" t="s">
        <v>44</v>
      </c>
      <c r="C2" s="364"/>
      <c r="D2" s="365"/>
      <c r="E2" s="365"/>
      <c r="F2" s="365"/>
      <c r="G2" s="365"/>
      <c r="H2" s="376" t="s">
        <v>43</v>
      </c>
      <c r="I2" s="377"/>
      <c r="J2" s="378"/>
      <c r="K2" s="378"/>
      <c r="L2" s="378"/>
      <c r="M2" s="378"/>
      <c r="N2" s="376" t="s">
        <v>41</v>
      </c>
      <c r="O2" s="377"/>
      <c r="P2" s="378"/>
      <c r="Q2" s="378"/>
      <c r="R2" s="378"/>
      <c r="S2" s="379"/>
      <c r="T2" s="366" t="s">
        <v>231</v>
      </c>
      <c r="U2" s="367"/>
      <c r="V2" s="367"/>
      <c r="W2" s="367"/>
      <c r="X2" s="367"/>
      <c r="Y2" s="367"/>
      <c r="Z2" s="368" t="s">
        <v>45</v>
      </c>
      <c r="AA2" s="369"/>
      <c r="AB2" s="370"/>
      <c r="AC2" s="370"/>
      <c r="AD2" s="370"/>
      <c r="AE2" s="371"/>
      <c r="AF2" s="152" t="s">
        <v>42</v>
      </c>
      <c r="AG2" s="93"/>
      <c r="AH2" s="94"/>
      <c r="AI2" s="94"/>
      <c r="AJ2" s="94"/>
      <c r="AK2" s="94"/>
    </row>
    <row r="3" spans="1:55" s="393" customFormat="1" ht="140" x14ac:dyDescent="0.25">
      <c r="A3" s="146" t="s">
        <v>40</v>
      </c>
      <c r="B3" s="361" t="s">
        <v>155</v>
      </c>
      <c r="C3" s="342" t="s">
        <v>38</v>
      </c>
      <c r="D3" s="342" t="s">
        <v>279</v>
      </c>
      <c r="E3" s="342" t="s">
        <v>275</v>
      </c>
      <c r="F3" s="342" t="s">
        <v>274</v>
      </c>
      <c r="G3" s="362" t="s">
        <v>35</v>
      </c>
      <c r="H3" s="348" t="s">
        <v>155</v>
      </c>
      <c r="I3" s="291" t="s">
        <v>368</v>
      </c>
      <c r="J3" s="291" t="s">
        <v>369</v>
      </c>
      <c r="K3" s="291" t="s">
        <v>370</v>
      </c>
      <c r="L3" s="291" t="s">
        <v>371</v>
      </c>
      <c r="M3" s="291" t="s">
        <v>35</v>
      </c>
      <c r="N3" s="390" t="s">
        <v>155</v>
      </c>
      <c r="O3" s="291" t="s">
        <v>368</v>
      </c>
      <c r="P3" s="291" t="s">
        <v>369</v>
      </c>
      <c r="Q3" s="291" t="s">
        <v>370</v>
      </c>
      <c r="R3" s="291" t="s">
        <v>371</v>
      </c>
      <c r="S3" s="391" t="s">
        <v>35</v>
      </c>
      <c r="T3" s="171" t="s">
        <v>155</v>
      </c>
      <c r="U3" s="291" t="s">
        <v>368</v>
      </c>
      <c r="V3" s="291" t="s">
        <v>369</v>
      </c>
      <c r="W3" s="291" t="s">
        <v>370</v>
      </c>
      <c r="X3" s="291" t="s">
        <v>371</v>
      </c>
      <c r="Y3" s="83" t="s">
        <v>35</v>
      </c>
      <c r="Z3" s="82" t="s">
        <v>155</v>
      </c>
      <c r="AA3" s="291" t="s">
        <v>368</v>
      </c>
      <c r="AB3" s="291" t="s">
        <v>369</v>
      </c>
      <c r="AC3" s="291" t="s">
        <v>370</v>
      </c>
      <c r="AD3" s="291" t="s">
        <v>371</v>
      </c>
      <c r="AE3" s="85" t="s">
        <v>35</v>
      </c>
      <c r="AF3" s="84" t="s">
        <v>155</v>
      </c>
      <c r="AG3" s="291" t="s">
        <v>368</v>
      </c>
      <c r="AH3" s="291" t="s">
        <v>369</v>
      </c>
      <c r="AI3" s="291" t="s">
        <v>370</v>
      </c>
      <c r="AJ3" s="291" t="s">
        <v>371</v>
      </c>
      <c r="AK3" s="83" t="s">
        <v>35</v>
      </c>
    </row>
    <row r="4" spans="1:55" ht="20" x14ac:dyDescent="0.25">
      <c r="A4" s="95" t="s">
        <v>46</v>
      </c>
      <c r="B4" s="335">
        <v>1</v>
      </c>
      <c r="C4" s="1">
        <f>Переменные!B45</f>
        <v>79000</v>
      </c>
      <c r="D4" s="1">
        <f>Переменные!C45</f>
        <v>33000</v>
      </c>
      <c r="E4" s="1">
        <f>Переменные!D45</f>
        <v>1820</v>
      </c>
      <c r="F4" s="1">
        <f>Переменные!E45</f>
        <v>4940</v>
      </c>
      <c r="G4" s="333">
        <f>SUM(C4:F4)</f>
        <v>118760</v>
      </c>
      <c r="H4" s="350">
        <f>B4</f>
        <v>1</v>
      </c>
      <c r="I4" s="291">
        <f>C4</f>
        <v>79000</v>
      </c>
      <c r="J4" s="291">
        <f>D4</f>
        <v>33000</v>
      </c>
      <c r="K4" s="291">
        <f>E4</f>
        <v>1820</v>
      </c>
      <c r="L4" s="291">
        <f>F4</f>
        <v>4940</v>
      </c>
      <c r="M4" s="333">
        <f>SUM(I4:L4)</f>
        <v>118760</v>
      </c>
      <c r="N4" s="350">
        <f>H4</f>
        <v>1</v>
      </c>
      <c r="O4" s="291">
        <f>I4</f>
        <v>79000</v>
      </c>
      <c r="P4" s="291">
        <f>J4</f>
        <v>33000</v>
      </c>
      <c r="Q4" s="291">
        <f>K4</f>
        <v>1820</v>
      </c>
      <c r="R4" s="291">
        <f>L4</f>
        <v>4940</v>
      </c>
      <c r="S4" s="351">
        <f>SUM(O4:R4)</f>
        <v>118760</v>
      </c>
      <c r="Z4" s="29"/>
      <c r="AE4" s="25"/>
      <c r="AG4" s="1">
        <f>O4</f>
        <v>79000</v>
      </c>
      <c r="AH4" s="1">
        <f>P4</f>
        <v>33000</v>
      </c>
      <c r="AI4" s="1">
        <f>Q4</f>
        <v>1820</v>
      </c>
      <c r="AJ4" s="1">
        <f>R4</f>
        <v>4940</v>
      </c>
      <c r="AK4" s="1">
        <f>S4</f>
        <v>118760</v>
      </c>
      <c r="AR4" s="394"/>
      <c r="AS4" s="394"/>
      <c r="AT4" s="394"/>
      <c r="AU4" s="394"/>
      <c r="AV4" s="394"/>
      <c r="AW4" s="394"/>
      <c r="AX4" s="394"/>
      <c r="AY4" s="394"/>
      <c r="AZ4" s="394"/>
      <c r="BA4" s="394"/>
      <c r="BB4" s="394"/>
      <c r="BC4" s="394"/>
    </row>
    <row r="5" spans="1:55" ht="20" x14ac:dyDescent="0.25">
      <c r="A5" s="147" t="s">
        <v>367</v>
      </c>
      <c r="B5" s="336">
        <v>0.8</v>
      </c>
      <c r="C5" s="1">
        <f>C4*$B$5</f>
        <v>63200</v>
      </c>
      <c r="D5" s="1">
        <f t="shared" ref="D5:F5" si="0">D4*$B$5</f>
        <v>26400</v>
      </c>
      <c r="E5" s="1">
        <f t="shared" si="0"/>
        <v>1456</v>
      </c>
      <c r="F5" s="1">
        <f t="shared" si="0"/>
        <v>3952</v>
      </c>
      <c r="G5" s="333">
        <f>SUM(C5:F5)</f>
        <v>95008</v>
      </c>
      <c r="H5" s="352">
        <f>B5</f>
        <v>0.8</v>
      </c>
      <c r="I5" s="291">
        <f>C5</f>
        <v>63200</v>
      </c>
      <c r="J5" s="291">
        <f t="shared" ref="J5:M5" si="1">D5</f>
        <v>26400</v>
      </c>
      <c r="K5" s="291">
        <f t="shared" si="1"/>
        <v>1456</v>
      </c>
      <c r="L5" s="291">
        <f t="shared" si="1"/>
        <v>3952</v>
      </c>
      <c r="M5" s="333">
        <f>SUM(I5:L5)</f>
        <v>95008</v>
      </c>
      <c r="N5" s="352">
        <f>H5</f>
        <v>0.8</v>
      </c>
      <c r="O5" s="291">
        <f>I5</f>
        <v>63200</v>
      </c>
      <c r="P5" s="291">
        <f t="shared" ref="P5" si="2">J5</f>
        <v>26400</v>
      </c>
      <c r="Q5" s="291">
        <f t="shared" ref="Q5" si="3">K5</f>
        <v>1456</v>
      </c>
      <c r="R5" s="291">
        <f t="shared" ref="R5" si="4">L5</f>
        <v>3952</v>
      </c>
      <c r="S5" s="351">
        <f>SUM(O5:R5)</f>
        <v>95008</v>
      </c>
      <c r="Z5" s="29"/>
      <c r="AE5" s="25"/>
      <c r="AG5" s="1">
        <f>AG4</f>
        <v>79000</v>
      </c>
      <c r="AH5" s="1">
        <f t="shared" ref="AH5:AK5" si="5">AH4</f>
        <v>33000</v>
      </c>
      <c r="AI5" s="1">
        <f t="shared" si="5"/>
        <v>1820</v>
      </c>
      <c r="AJ5" s="1">
        <f t="shared" si="5"/>
        <v>4940</v>
      </c>
      <c r="AK5" s="1">
        <f t="shared" si="5"/>
        <v>118760</v>
      </c>
      <c r="AR5" s="394"/>
      <c r="AS5" s="394"/>
      <c r="AT5" s="394"/>
      <c r="AU5" s="394"/>
      <c r="AV5" s="394"/>
      <c r="AW5" s="394"/>
      <c r="AX5" s="394"/>
      <c r="AY5" s="394"/>
      <c r="AZ5" s="394"/>
      <c r="BA5" s="394"/>
      <c r="BB5" s="394"/>
      <c r="BC5" s="394"/>
    </row>
    <row r="6" spans="1:55" ht="20" x14ac:dyDescent="0.25">
      <c r="A6" s="307" t="s">
        <v>0</v>
      </c>
      <c r="B6" s="339"/>
      <c r="C6" s="340"/>
      <c r="D6" s="340"/>
      <c r="E6" s="340"/>
      <c r="F6" s="340"/>
      <c r="G6" s="340"/>
      <c r="H6" s="350"/>
      <c r="I6" s="341"/>
      <c r="J6" s="341"/>
      <c r="K6" s="341"/>
      <c r="L6" s="341"/>
      <c r="M6" s="341"/>
      <c r="N6" s="95"/>
      <c r="O6" s="291"/>
      <c r="P6" s="291"/>
      <c r="Q6" s="291"/>
      <c r="R6" s="291"/>
      <c r="S6" s="349"/>
      <c r="Z6" s="29"/>
      <c r="AE6" s="25"/>
      <c r="AR6" s="394"/>
      <c r="AS6" s="394"/>
      <c r="AT6" s="394"/>
      <c r="AU6" s="394"/>
      <c r="AV6" s="394"/>
      <c r="AW6" s="394"/>
      <c r="AX6" s="394"/>
      <c r="AY6" s="394"/>
      <c r="AZ6" s="394"/>
      <c r="BA6" s="394"/>
      <c r="BB6" s="394"/>
      <c r="BC6" s="394"/>
    </row>
    <row r="7" spans="1:55" ht="20" x14ac:dyDescent="0.25">
      <c r="A7" s="307" t="s">
        <v>62</v>
      </c>
      <c r="B7" s="335"/>
      <c r="G7" s="333"/>
      <c r="H7" s="350"/>
      <c r="I7" s="291"/>
      <c r="J7" s="291"/>
      <c r="K7" s="291"/>
      <c r="L7" s="291"/>
      <c r="M7" s="291"/>
      <c r="N7" s="95"/>
      <c r="O7" s="291"/>
      <c r="P7" s="291"/>
      <c r="Q7" s="291"/>
      <c r="R7" s="291"/>
      <c r="S7" s="349"/>
      <c r="Z7" s="29"/>
      <c r="AE7" s="25"/>
      <c r="AR7" s="394"/>
      <c r="AS7" s="394"/>
      <c r="AT7" s="394"/>
      <c r="AU7" s="394"/>
      <c r="AV7" s="394"/>
      <c r="AW7" s="394"/>
      <c r="AX7" s="394"/>
      <c r="AY7" s="394"/>
      <c r="AZ7" s="394"/>
      <c r="BA7" s="394"/>
      <c r="BB7" s="394"/>
      <c r="BC7" s="394"/>
    </row>
    <row r="8" spans="1:55" ht="20" x14ac:dyDescent="0.25">
      <c r="A8" s="307" t="s">
        <v>60</v>
      </c>
      <c r="B8" s="335"/>
      <c r="G8" s="333"/>
      <c r="H8" s="350"/>
      <c r="I8" s="291"/>
      <c r="J8" s="291"/>
      <c r="K8" s="291"/>
      <c r="L8" s="291"/>
      <c r="M8" s="291"/>
      <c r="N8" s="95"/>
      <c r="O8" s="291"/>
      <c r="P8" s="291"/>
      <c r="Q8" s="291"/>
      <c r="R8" s="291"/>
      <c r="S8" s="349"/>
      <c r="Z8" s="29"/>
      <c r="AE8" s="25"/>
      <c r="AR8" s="394"/>
      <c r="AS8" s="394"/>
      <c r="AT8" s="394"/>
      <c r="AU8" s="394"/>
      <c r="AV8" s="394"/>
      <c r="AW8" s="394"/>
      <c r="AX8" s="394"/>
      <c r="AY8" s="394"/>
      <c r="AZ8" s="394"/>
      <c r="BA8" s="394"/>
      <c r="BB8" s="394"/>
      <c r="BC8" s="394"/>
    </row>
    <row r="9" spans="1:55" ht="20" x14ac:dyDescent="0.25">
      <c r="A9" s="307" t="s">
        <v>39</v>
      </c>
      <c r="B9" s="335"/>
      <c r="G9" s="333"/>
      <c r="H9" s="350"/>
      <c r="I9" s="291"/>
      <c r="J9" s="291"/>
      <c r="K9" s="291"/>
      <c r="L9" s="291"/>
      <c r="M9" s="291"/>
      <c r="N9" s="95"/>
      <c r="O9" s="291"/>
      <c r="P9" s="291"/>
      <c r="Q9" s="291"/>
      <c r="R9" s="291"/>
      <c r="S9" s="349"/>
      <c r="Z9" s="29"/>
      <c r="AE9" s="25"/>
      <c r="AR9" s="394"/>
      <c r="AS9" s="394"/>
      <c r="AT9" s="394"/>
      <c r="AU9" s="394"/>
      <c r="AV9" s="394"/>
      <c r="AW9" s="394"/>
      <c r="AX9" s="394"/>
      <c r="AY9" s="394"/>
      <c r="AZ9" s="394"/>
      <c r="BA9" s="394"/>
      <c r="BB9" s="394"/>
      <c r="BC9" s="394"/>
    </row>
    <row r="10" spans="1:55" ht="20" x14ac:dyDescent="0.25">
      <c r="A10" s="307" t="s">
        <v>144</v>
      </c>
      <c r="B10" s="339"/>
      <c r="C10" s="340"/>
      <c r="D10" s="340"/>
      <c r="E10" s="340"/>
      <c r="F10" s="340"/>
      <c r="G10" s="340"/>
      <c r="H10" s="350"/>
      <c r="I10" s="341"/>
      <c r="J10" s="341"/>
      <c r="K10" s="341"/>
      <c r="L10" s="341"/>
      <c r="M10" s="341"/>
      <c r="N10" s="95"/>
      <c r="O10" s="291"/>
      <c r="P10" s="291"/>
      <c r="Q10" s="291"/>
      <c r="R10" s="291"/>
      <c r="S10" s="349"/>
      <c r="Z10" s="29"/>
      <c r="AE10" s="25"/>
      <c r="AR10" s="394"/>
      <c r="AS10" s="394"/>
      <c r="AT10" s="394"/>
      <c r="AU10" s="394"/>
      <c r="AV10" s="394"/>
      <c r="AW10" s="394"/>
      <c r="AX10" s="394"/>
      <c r="AY10" s="394"/>
      <c r="AZ10" s="394"/>
      <c r="BA10" s="394"/>
      <c r="BB10" s="394"/>
      <c r="BC10" s="394"/>
    </row>
    <row r="11" spans="1:55" ht="20" x14ac:dyDescent="0.25">
      <c r="A11" s="182" t="s">
        <v>366</v>
      </c>
      <c r="B11" s="337">
        <v>0.8</v>
      </c>
      <c r="C11" s="178">
        <f>$C$5*B11</f>
        <v>50560</v>
      </c>
      <c r="D11" s="178">
        <f>$D$5*B11</f>
        <v>21120</v>
      </c>
      <c r="E11" s="178">
        <f>$E$5*B11</f>
        <v>1164.8</v>
      </c>
      <c r="F11" s="178">
        <f>$F$5*B11</f>
        <v>3161.6000000000004</v>
      </c>
      <c r="G11" s="334">
        <f>SUM(C11:F11)</f>
        <v>76006.400000000009</v>
      </c>
      <c r="H11" s="354">
        <f>B11</f>
        <v>0.8</v>
      </c>
      <c r="I11" s="341">
        <f>$I$5*H11</f>
        <v>50560</v>
      </c>
      <c r="J11" s="341">
        <f>$J$5*H11</f>
        <v>21120</v>
      </c>
      <c r="K11" s="341">
        <f>$K$5*H11</f>
        <v>1164.8</v>
      </c>
      <c r="L11" s="341">
        <f>$L$5*H11</f>
        <v>3161.6000000000004</v>
      </c>
      <c r="M11" s="334">
        <f>SUM(I11:L11)</f>
        <v>76006.400000000009</v>
      </c>
      <c r="N11" s="95" t="s">
        <v>2</v>
      </c>
      <c r="O11" s="291" t="s">
        <v>2</v>
      </c>
      <c r="P11" s="291" t="s">
        <v>2</v>
      </c>
      <c r="Q11" s="291" t="s">
        <v>2</v>
      </c>
      <c r="R11" s="291" t="s">
        <v>2</v>
      </c>
      <c r="S11" s="349"/>
      <c r="T11" s="178"/>
      <c r="U11" s="178"/>
      <c r="V11" s="178"/>
      <c r="W11" s="178"/>
      <c r="X11" s="178"/>
      <c r="Y11" s="178"/>
      <c r="Z11" s="29"/>
      <c r="AE11" s="25"/>
      <c r="AR11" s="394"/>
      <c r="AS11" s="394"/>
      <c r="AT11" s="394"/>
      <c r="AU11" s="394"/>
      <c r="AV11" s="394"/>
      <c r="AW11" s="394"/>
      <c r="AX11" s="394"/>
      <c r="AY11" s="394"/>
      <c r="AZ11" s="394"/>
      <c r="BA11" s="394"/>
      <c r="BB11" s="394"/>
      <c r="BC11" s="394"/>
    </row>
    <row r="12" spans="1:55" ht="20" x14ac:dyDescent="0.25">
      <c r="A12" s="182" t="s">
        <v>232</v>
      </c>
      <c r="B12" s="338">
        <f>B11</f>
        <v>0.8</v>
      </c>
      <c r="C12" s="178">
        <f>$C$11*B12</f>
        <v>40448</v>
      </c>
      <c r="D12" s="178">
        <f>$D$11*B12</f>
        <v>16896</v>
      </c>
      <c r="E12" s="178">
        <f>$E$11*B12</f>
        <v>931.84</v>
      </c>
      <c r="F12" s="178">
        <f>$F$11*B12</f>
        <v>2529.2800000000007</v>
      </c>
      <c r="G12" s="334">
        <f t="shared" ref="G12:G16" si="6">SUM(C12:F12)</f>
        <v>60805.119999999995</v>
      </c>
      <c r="H12" s="350">
        <f t="shared" ref="H12:H15" si="7">B12</f>
        <v>0.8</v>
      </c>
      <c r="I12" s="341">
        <f t="shared" ref="I12:I16" si="8">$I$5*H12</f>
        <v>50560</v>
      </c>
      <c r="J12" s="341">
        <f t="shared" ref="J12:J16" si="9">$J$5*H12</f>
        <v>21120</v>
      </c>
      <c r="K12" s="341">
        <f t="shared" ref="K12:K16" si="10">$K$5*H12</f>
        <v>1164.8</v>
      </c>
      <c r="L12" s="341">
        <f t="shared" ref="L12:L16" si="11">$L$5*H12</f>
        <v>3161.6000000000004</v>
      </c>
      <c r="M12" s="334">
        <f t="shared" ref="M12:M16" si="12">SUM(I12:L12)</f>
        <v>76006.400000000009</v>
      </c>
      <c r="N12" s="95" t="s">
        <v>2</v>
      </c>
      <c r="O12" s="291" t="s">
        <v>2</v>
      </c>
      <c r="P12" s="291" t="s">
        <v>2</v>
      </c>
      <c r="Q12" s="291" t="s">
        <v>2</v>
      </c>
      <c r="R12" s="291" t="s">
        <v>2</v>
      </c>
      <c r="S12" s="349"/>
      <c r="T12" s="178"/>
      <c r="U12" s="178"/>
      <c r="V12" s="178"/>
      <c r="W12" s="178"/>
      <c r="X12" s="178"/>
      <c r="Y12" s="178"/>
      <c r="Z12" s="29"/>
      <c r="AE12" s="25"/>
      <c r="AR12" s="394"/>
      <c r="AS12" s="394"/>
      <c r="AT12" s="394"/>
      <c r="AU12" s="394"/>
      <c r="AV12" s="394"/>
      <c r="AW12" s="394"/>
      <c r="AX12" s="394"/>
      <c r="AY12" s="394"/>
      <c r="AZ12" s="394"/>
      <c r="BA12" s="394"/>
      <c r="BB12" s="394"/>
      <c r="BC12" s="394"/>
    </row>
    <row r="13" spans="1:55" ht="20" x14ac:dyDescent="0.25">
      <c r="A13" s="182" t="s">
        <v>276</v>
      </c>
      <c r="B13" s="338">
        <f>'Воронка MPS_обработано'!J10</f>
        <v>0.4</v>
      </c>
      <c r="C13" s="178">
        <f t="shared" ref="C13:C15" si="13">$C$11*B13</f>
        <v>20224</v>
      </c>
      <c r="D13" s="178">
        <f t="shared" ref="D13:D15" si="14">$D$11*B13</f>
        <v>8448</v>
      </c>
      <c r="E13" s="178">
        <f t="shared" ref="E13:E15" si="15">$E$11*B13</f>
        <v>465.92</v>
      </c>
      <c r="F13" s="178">
        <f t="shared" ref="F13:F15" si="16">$F$11*B13</f>
        <v>1264.6400000000003</v>
      </c>
      <c r="G13" s="334">
        <f t="shared" si="6"/>
        <v>30402.559999999998</v>
      </c>
      <c r="H13" s="350">
        <f t="shared" si="7"/>
        <v>0.4</v>
      </c>
      <c r="I13" s="341">
        <f t="shared" si="8"/>
        <v>25280</v>
      </c>
      <c r="J13" s="341">
        <f t="shared" si="9"/>
        <v>10560</v>
      </c>
      <c r="K13" s="341">
        <f t="shared" si="10"/>
        <v>582.4</v>
      </c>
      <c r="L13" s="341">
        <f t="shared" si="11"/>
        <v>1580.8000000000002</v>
      </c>
      <c r="M13" s="334">
        <f t="shared" si="12"/>
        <v>38003.200000000004</v>
      </c>
      <c r="N13" s="95" t="s">
        <v>2</v>
      </c>
      <c r="O13" s="291" t="s">
        <v>2</v>
      </c>
      <c r="P13" s="291" t="s">
        <v>2</v>
      </c>
      <c r="Q13" s="291" t="s">
        <v>2</v>
      </c>
      <c r="R13" s="291" t="s">
        <v>2</v>
      </c>
      <c r="S13" s="349"/>
      <c r="T13" s="178"/>
      <c r="U13" s="178"/>
      <c r="V13" s="178"/>
      <c r="W13" s="178"/>
      <c r="X13" s="178"/>
      <c r="Y13" s="178"/>
      <c r="Z13" s="29"/>
      <c r="AE13" s="25"/>
      <c r="AR13" s="394"/>
      <c r="AS13" s="394"/>
      <c r="AT13" s="394"/>
      <c r="AU13" s="394"/>
      <c r="AV13" s="394"/>
      <c r="AW13" s="394"/>
      <c r="AX13" s="394"/>
      <c r="AY13" s="394"/>
      <c r="AZ13" s="394"/>
      <c r="BA13" s="394"/>
      <c r="BB13" s="394"/>
      <c r="BC13" s="394"/>
    </row>
    <row r="14" spans="1:55" ht="20" x14ac:dyDescent="0.25">
      <c r="A14" s="182" t="s">
        <v>277</v>
      </c>
      <c r="B14" s="180">
        <f>'Воронка MPS_обработано'!J11</f>
        <v>0.29799999999999999</v>
      </c>
      <c r="C14" s="178">
        <f t="shared" si="13"/>
        <v>15066.88</v>
      </c>
      <c r="D14" s="178">
        <f t="shared" si="14"/>
        <v>6293.7599999999993</v>
      </c>
      <c r="E14" s="178">
        <f t="shared" si="15"/>
        <v>347.11039999999997</v>
      </c>
      <c r="F14" s="178">
        <f t="shared" si="16"/>
        <v>942.15680000000009</v>
      </c>
      <c r="G14" s="334">
        <f t="shared" si="6"/>
        <v>22649.907200000001</v>
      </c>
      <c r="H14" s="350">
        <f t="shared" si="7"/>
        <v>0.29799999999999999</v>
      </c>
      <c r="I14" s="341">
        <f t="shared" si="8"/>
        <v>18833.599999999999</v>
      </c>
      <c r="J14" s="341">
        <f t="shared" si="9"/>
        <v>7867.2</v>
      </c>
      <c r="K14" s="341">
        <f t="shared" si="10"/>
        <v>433.88799999999998</v>
      </c>
      <c r="L14" s="341">
        <f t="shared" si="11"/>
        <v>1177.6959999999999</v>
      </c>
      <c r="M14" s="334">
        <f t="shared" si="12"/>
        <v>28312.383999999998</v>
      </c>
      <c r="N14" s="95" t="s">
        <v>2</v>
      </c>
      <c r="O14" s="291" t="s">
        <v>2</v>
      </c>
      <c r="P14" s="291" t="s">
        <v>2</v>
      </c>
      <c r="Q14" s="291" t="s">
        <v>2</v>
      </c>
      <c r="R14" s="291" t="s">
        <v>2</v>
      </c>
      <c r="S14" s="349"/>
      <c r="T14" s="178"/>
      <c r="U14" s="178"/>
      <c r="V14" s="178"/>
      <c r="W14" s="178"/>
      <c r="X14" s="178"/>
      <c r="Y14" s="178"/>
      <c r="Z14" s="29"/>
      <c r="AE14" s="25"/>
      <c r="AR14" s="394"/>
      <c r="AS14" s="394"/>
      <c r="AT14" s="394"/>
      <c r="AU14" s="394"/>
      <c r="AV14" s="394"/>
      <c r="AW14" s="394"/>
      <c r="AX14" s="394"/>
      <c r="AY14" s="394"/>
      <c r="AZ14" s="394"/>
      <c r="BA14" s="394"/>
      <c r="BB14" s="394"/>
      <c r="BC14" s="394"/>
    </row>
    <row r="15" spans="1:55" ht="20" x14ac:dyDescent="0.25">
      <c r="A15" s="182" t="s">
        <v>278</v>
      </c>
      <c r="B15" s="180">
        <f>'Воронка MPS_обработано'!J12</f>
        <v>0.45500000000000002</v>
      </c>
      <c r="C15" s="178">
        <f t="shared" si="13"/>
        <v>23004.799999999999</v>
      </c>
      <c r="D15" s="178">
        <f t="shared" si="14"/>
        <v>9609.6</v>
      </c>
      <c r="E15" s="178">
        <f t="shared" si="15"/>
        <v>529.98400000000004</v>
      </c>
      <c r="F15" s="178">
        <f t="shared" si="16"/>
        <v>1438.5280000000002</v>
      </c>
      <c r="G15" s="334">
        <f t="shared" si="6"/>
        <v>34582.911999999997</v>
      </c>
      <c r="H15" s="350">
        <f t="shared" si="7"/>
        <v>0.45500000000000002</v>
      </c>
      <c r="I15" s="341">
        <f t="shared" si="8"/>
        <v>28756</v>
      </c>
      <c r="J15" s="341">
        <f t="shared" si="9"/>
        <v>12012</v>
      </c>
      <c r="K15" s="341">
        <f t="shared" si="10"/>
        <v>662.48</v>
      </c>
      <c r="L15" s="341">
        <f t="shared" si="11"/>
        <v>1798.16</v>
      </c>
      <c r="M15" s="334">
        <f t="shared" si="12"/>
        <v>43228.640000000007</v>
      </c>
      <c r="N15" s="95" t="s">
        <v>2</v>
      </c>
      <c r="O15" s="291" t="s">
        <v>2</v>
      </c>
      <c r="P15" s="291" t="s">
        <v>2</v>
      </c>
      <c r="Q15" s="291" t="s">
        <v>2</v>
      </c>
      <c r="R15" s="291" t="s">
        <v>2</v>
      </c>
      <c r="S15" s="349"/>
      <c r="T15" s="178"/>
      <c r="U15" s="178"/>
      <c r="V15" s="178"/>
      <c r="W15" s="178"/>
      <c r="X15" s="178"/>
      <c r="Y15" s="178"/>
      <c r="Z15" s="29"/>
      <c r="AE15" s="25"/>
      <c r="AR15" s="394"/>
      <c r="AS15" s="394"/>
      <c r="AT15" s="394"/>
      <c r="AU15" s="394"/>
      <c r="AV15" s="394"/>
      <c r="AW15" s="394"/>
      <c r="AX15" s="394"/>
      <c r="AY15" s="394"/>
      <c r="AZ15" s="394"/>
      <c r="BA15" s="394"/>
      <c r="BB15" s="394"/>
      <c r="BC15" s="394"/>
    </row>
    <row r="16" spans="1:55" ht="20" x14ac:dyDescent="0.25">
      <c r="A16" s="147" t="s">
        <v>359</v>
      </c>
      <c r="B16" s="181">
        <f>'Воронка MPS_обработано'!J14</f>
        <v>8.5384615384615392E-2</v>
      </c>
      <c r="C16" s="178">
        <f>$C$11*B16</f>
        <v>4317.0461538461541</v>
      </c>
      <c r="D16" s="178">
        <f>$D$11*B16</f>
        <v>1803.323076923077</v>
      </c>
      <c r="E16" s="178">
        <f>$E$11*B16</f>
        <v>99.456000000000003</v>
      </c>
      <c r="F16" s="178">
        <f>$F$11*B16</f>
        <v>269.95200000000006</v>
      </c>
      <c r="G16" s="334">
        <f t="shared" si="6"/>
        <v>6489.7772307692312</v>
      </c>
      <c r="H16" s="356">
        <f>B16*1.15</f>
        <v>9.819230769230769E-2</v>
      </c>
      <c r="I16" s="341">
        <f t="shared" si="8"/>
        <v>6205.7538461538461</v>
      </c>
      <c r="J16" s="341">
        <f t="shared" si="9"/>
        <v>2592.2769230769231</v>
      </c>
      <c r="K16" s="341">
        <f t="shared" si="10"/>
        <v>142.96799999999999</v>
      </c>
      <c r="L16" s="341">
        <f t="shared" si="11"/>
        <v>388.05599999999998</v>
      </c>
      <c r="M16" s="334">
        <f t="shared" si="12"/>
        <v>9329.05476923077</v>
      </c>
      <c r="N16" s="388">
        <f>'Воронка Селлер as is'!F11</f>
        <v>1.7475398710553106E-2</v>
      </c>
      <c r="O16" s="341">
        <f>$N$16*O5</f>
        <v>1104.4451985069563</v>
      </c>
      <c r="P16" s="341">
        <f t="shared" ref="P16:R16" si="17">$N$16*P5</f>
        <v>461.35052595860196</v>
      </c>
      <c r="Q16" s="341">
        <f t="shared" si="17"/>
        <v>25.444180522565322</v>
      </c>
      <c r="R16" s="341">
        <f t="shared" si="17"/>
        <v>69.062775704105874</v>
      </c>
      <c r="S16" s="355">
        <f>SUM(O16:R16)</f>
        <v>1660.3026806922296</v>
      </c>
      <c r="T16" s="178"/>
      <c r="U16" s="178"/>
      <c r="V16" s="178"/>
      <c r="W16" s="178"/>
      <c r="X16" s="178"/>
      <c r="Y16" s="178"/>
      <c r="Z16" s="29"/>
      <c r="AE16" s="25"/>
      <c r="AR16" s="394"/>
      <c r="AS16" s="394"/>
      <c r="AT16" s="394"/>
      <c r="AU16" s="394"/>
      <c r="AV16" s="394"/>
      <c r="AW16" s="394"/>
      <c r="AX16" s="394"/>
      <c r="AY16" s="394"/>
      <c r="AZ16" s="394"/>
      <c r="BA16" s="394"/>
      <c r="BB16" s="394"/>
      <c r="BC16" s="394"/>
    </row>
    <row r="17" spans="1:55" s="395" customFormat="1" ht="55" customHeight="1" thickBot="1" x14ac:dyDescent="0.3">
      <c r="A17" s="148" t="s">
        <v>360</v>
      </c>
      <c r="B17" s="96"/>
      <c r="C17" s="96"/>
      <c r="D17" s="96"/>
      <c r="E17" s="96"/>
      <c r="F17" s="96"/>
      <c r="G17" s="385"/>
      <c r="H17" s="380" t="s">
        <v>361</v>
      </c>
      <c r="I17" s="96"/>
      <c r="J17" s="357"/>
      <c r="L17" s="357"/>
      <c r="M17" s="347"/>
      <c r="N17" s="99"/>
      <c r="O17" s="96"/>
      <c r="P17" s="96"/>
      <c r="Q17" s="96"/>
      <c r="R17" s="96"/>
      <c r="S17" s="389"/>
      <c r="T17" s="96"/>
      <c r="U17" s="96"/>
      <c r="V17" s="96"/>
      <c r="W17" s="96"/>
      <c r="X17" s="96"/>
      <c r="Y17" s="96"/>
      <c r="Z17" s="151"/>
      <c r="AA17" s="96"/>
      <c r="AB17" s="96"/>
      <c r="AC17" s="96"/>
      <c r="AD17" s="96"/>
      <c r="AE17" s="149"/>
      <c r="AF17" s="150"/>
      <c r="AG17" s="96"/>
      <c r="AH17" s="96"/>
      <c r="AI17" s="96"/>
      <c r="AJ17" s="96"/>
      <c r="AK17" s="96"/>
    </row>
    <row r="18" spans="1:55" ht="22" customHeight="1" thickBot="1" x14ac:dyDescent="0.3">
      <c r="C18" s="394"/>
      <c r="N18" s="88"/>
      <c r="AF18" s="88"/>
    </row>
    <row r="19" spans="1:55" s="396" customFormat="1" ht="22" customHeight="1" x14ac:dyDescent="0.25">
      <c r="A19" s="98" t="s">
        <v>377</v>
      </c>
      <c r="B19" s="172"/>
      <c r="C19" s="179">
        <f>(C16*C68*C30)+(C16*C69*C31)+(C16*C70*C32)+(C16*C39)</f>
        <v>363851383.03771436</v>
      </c>
      <c r="D19" s="179">
        <f>(D16*D68*D30)+(D16*D69*D31)+(D16*D70*D32)+(D16*D39)</f>
        <v>153677826.50801015</v>
      </c>
      <c r="E19" s="179">
        <f>(E16*E68*E30)+(E16*E69*E31)+(E16*E70*E32)+(E16*E39)</f>
        <v>8422079.8624318875</v>
      </c>
      <c r="F19" s="179">
        <f>(F16*F68*F30)+(F16*F69*F31)+(F16*F70*F32)+(F16*F39)</f>
        <v>22859931.055172272</v>
      </c>
      <c r="G19" s="183">
        <f>(G16*G68*G30)+(G16*G69*G31)+(G16*G70*G32)+(G16*G39)</f>
        <v>549563848.6057204</v>
      </c>
      <c r="H19" s="162"/>
      <c r="I19" s="179">
        <f>(I16*I68*I30)+(I16*I69*I31)+(I16*I70*I32)+(I16*I39)</f>
        <v>523820688.74368888</v>
      </c>
      <c r="J19" s="179">
        <f>(J16*J68*J30)+(J16*J69*J31)+(J16*J70*J32)+(J16*J39)</f>
        <v>221741937.76341671</v>
      </c>
      <c r="K19" s="179">
        <f>(K16*K68*K30)+(K16*K69*K31)+(K16*K70*K32)+(K16*K39)</f>
        <v>12136611.174009541</v>
      </c>
      <c r="L19" s="179">
        <f>(L16*L68*L30)+(L16*L69*L31)+(L16*L70*L32)+(L16*L39)</f>
        <v>32942230.329454467</v>
      </c>
      <c r="M19" s="183">
        <f>SUM(I19:L19)</f>
        <v>790641468.01056957</v>
      </c>
      <c r="N19" s="173"/>
      <c r="O19" s="179">
        <f>(O16*O68*O30)+(O16*O69*O31)+(O16*O70*O32)+(O16*O39)</f>
        <v>93224974.580667838</v>
      </c>
      <c r="P19" s="179">
        <f>(P16*P68*P30)+(P16*P69*P31)+(P16*P70*P32)+(P16*P39)</f>
        <v>39463669.449637815</v>
      </c>
      <c r="Q19" s="179">
        <f>(Q16*Q68*Q30)+(Q16*Q69*Q31)+(Q16*Q70*Q32)+(Q16*Q39)</f>
        <v>2159966.7453114139</v>
      </c>
      <c r="R19" s="179">
        <f>(R16*R68*R30)+(R16*R69*R31)+(R16*R70*R32)+(R16*R39)</f>
        <v>5862766.8801309802</v>
      </c>
      <c r="S19" s="183">
        <f>SUM(O19:R19)</f>
        <v>140711377.65574804</v>
      </c>
      <c r="T19" s="177"/>
      <c r="U19" s="177"/>
      <c r="V19" s="177"/>
      <c r="W19" s="177"/>
      <c r="X19" s="177"/>
      <c r="Y19" s="177"/>
      <c r="Z19" s="162"/>
      <c r="AA19" s="162"/>
      <c r="AB19" s="162"/>
      <c r="AC19" s="162"/>
      <c r="AD19" s="162"/>
      <c r="AE19" s="162"/>
      <c r="AF19" s="173"/>
      <c r="AG19" s="162"/>
      <c r="AH19" s="162"/>
      <c r="AI19" s="162"/>
      <c r="AJ19" s="162"/>
      <c r="AK19" s="162"/>
      <c r="AR19" s="162"/>
      <c r="AS19" s="162"/>
      <c r="AT19" s="162"/>
      <c r="AU19" s="162"/>
      <c r="AV19" s="162"/>
      <c r="AW19" s="162"/>
      <c r="AX19" s="162"/>
      <c r="AY19" s="162"/>
      <c r="AZ19" s="162"/>
      <c r="BA19" s="162"/>
      <c r="BB19" s="162"/>
      <c r="BC19" s="162"/>
    </row>
    <row r="20" spans="1:55" s="397" customFormat="1" ht="22" customHeight="1" x14ac:dyDescent="0.25">
      <c r="A20" s="100" t="s">
        <v>350</v>
      </c>
      <c r="B20" s="302"/>
      <c r="C20" s="329">
        <f>C19-(C16*C39)</f>
        <v>104828613.80694512</v>
      </c>
      <c r="D20" s="329">
        <f>D19-(D16*D39)</f>
        <v>45478441.892625526</v>
      </c>
      <c r="E20" s="329">
        <f>E19-(E16*E39)</f>
        <v>2454719.8624318875</v>
      </c>
      <c r="F20" s="329">
        <f>F19-(F16*F39)</f>
        <v>6662811.0551722683</v>
      </c>
      <c r="G20" s="330">
        <f>G19-(G16*G39)</f>
        <v>160177214.75956655</v>
      </c>
      <c r="H20" s="296"/>
      <c r="I20" s="329">
        <f>I19-(I16*I39)</f>
        <v>151475457.9744581</v>
      </c>
      <c r="J20" s="329">
        <f>J19-(J16*J39)</f>
        <v>66205322.378801316</v>
      </c>
      <c r="K20" s="329">
        <f>K19-(K16*K39)</f>
        <v>3558531.174009541</v>
      </c>
      <c r="L20" s="329">
        <f>L19-(L16*L39)</f>
        <v>9658870.3294544667</v>
      </c>
      <c r="M20" s="330">
        <f t="shared" ref="M20:M24" si="18">SUM(I20:L20)</f>
        <v>230898181.85672343</v>
      </c>
      <c r="N20" s="331"/>
      <c r="O20" s="329">
        <f>O19-(O16*O39)</f>
        <v>26958262.670250461</v>
      </c>
      <c r="P20" s="329">
        <f>P19-(P16*P39)</f>
        <v>11782637.892121699</v>
      </c>
      <c r="Q20" s="329">
        <f>Q19-(Q16*Q39)</f>
        <v>633315.91395749454</v>
      </c>
      <c r="R20" s="329">
        <f>R19-(R16*R39)</f>
        <v>1719000.3378846277</v>
      </c>
      <c r="S20" s="330">
        <f t="shared" ref="S20:S24" si="19">SUM(O20:R20)</f>
        <v>41093216.814214282</v>
      </c>
      <c r="T20" s="303"/>
      <c r="U20" s="303"/>
      <c r="V20" s="303"/>
      <c r="W20" s="303"/>
      <c r="X20" s="303"/>
      <c r="Y20" s="303"/>
      <c r="Z20" s="296"/>
      <c r="AA20" s="296"/>
      <c r="AB20" s="296"/>
      <c r="AC20" s="296"/>
      <c r="AD20" s="296"/>
      <c r="AE20" s="296"/>
      <c r="AF20" s="331"/>
      <c r="AG20" s="296"/>
      <c r="AH20" s="296"/>
      <c r="AI20" s="296"/>
      <c r="AJ20" s="296"/>
      <c r="AK20" s="296"/>
      <c r="AR20" s="296"/>
      <c r="AS20" s="296"/>
      <c r="AT20" s="296"/>
      <c r="AU20" s="296"/>
      <c r="AV20" s="296"/>
      <c r="AW20" s="296"/>
      <c r="AX20" s="296"/>
      <c r="AY20" s="296"/>
      <c r="AZ20" s="296"/>
      <c r="BA20" s="296"/>
      <c r="BB20" s="296"/>
      <c r="BC20" s="296"/>
    </row>
    <row r="21" spans="1:55" s="397" customFormat="1" ht="22" customHeight="1" x14ac:dyDescent="0.25">
      <c r="A21" s="100" t="s">
        <v>374</v>
      </c>
      <c r="B21" s="302"/>
      <c r="C21" s="329">
        <f>C16*C42</f>
        <v>121524849.23076923</v>
      </c>
      <c r="D21" s="329">
        <f>D16*D42</f>
        <v>50763544.615384616</v>
      </c>
      <c r="E21" s="329">
        <f>E16*E42</f>
        <v>2799686.4</v>
      </c>
      <c r="F21" s="329">
        <f>F16*F42</f>
        <v>7599148.8000000017</v>
      </c>
      <c r="G21" s="329">
        <f>G16*G42</f>
        <v>182687229.04615387</v>
      </c>
      <c r="H21" s="296"/>
      <c r="I21" s="329">
        <f>I16*I42</f>
        <v>174691970.76923075</v>
      </c>
      <c r="J21" s="329">
        <f>J16*J42</f>
        <v>72972595.384615391</v>
      </c>
      <c r="K21" s="329">
        <f>K16*K42</f>
        <v>4024549.1999999997</v>
      </c>
      <c r="L21" s="329">
        <f>L16*L42</f>
        <v>10923776.4</v>
      </c>
      <c r="M21" s="329">
        <f t="shared" si="18"/>
        <v>262612891.75384614</v>
      </c>
      <c r="N21" s="331"/>
      <c r="O21" s="329">
        <f>O16*O42</f>
        <v>10363377.445990274</v>
      </c>
      <c r="P21" s="329">
        <f>P16*P42</f>
        <v>4329005.7685782155</v>
      </c>
      <c r="Q21" s="329">
        <f>Q16*Q42</f>
        <v>238751.22723673796</v>
      </c>
      <c r="R21" s="329">
        <f>R16*R42</f>
        <v>648039.04535686015</v>
      </c>
      <c r="S21" s="329">
        <f t="shared" si="19"/>
        <v>15579173.487162087</v>
      </c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  <c r="AE21" s="296"/>
      <c r="AF21" s="331"/>
      <c r="AG21" s="296"/>
      <c r="AH21" s="296"/>
      <c r="AI21" s="296"/>
      <c r="AJ21" s="296"/>
      <c r="AK21" s="296"/>
      <c r="AR21" s="296"/>
      <c r="AS21" s="296"/>
      <c r="AT21" s="296"/>
      <c r="AU21" s="296"/>
      <c r="AV21" s="296"/>
      <c r="AW21" s="296"/>
      <c r="AX21" s="296"/>
      <c r="AY21" s="296"/>
      <c r="AZ21" s="296"/>
      <c r="BA21" s="296"/>
      <c r="BB21" s="296"/>
      <c r="BC21" s="296"/>
    </row>
    <row r="22" spans="1:55" s="397" customFormat="1" ht="22" customHeight="1" x14ac:dyDescent="0.25">
      <c r="A22" s="100" t="s">
        <v>375</v>
      </c>
      <c r="B22" s="302"/>
      <c r="C22" s="329">
        <f>C16*C48</f>
        <v>6799347.692307693</v>
      </c>
      <c r="D22" s="329">
        <f>D16*D48</f>
        <v>2840233.8461538465</v>
      </c>
      <c r="E22" s="329">
        <f>E16*E48</f>
        <v>156643.20000000001</v>
      </c>
      <c r="F22" s="329">
        <f>F16*F48</f>
        <v>425174.40000000008</v>
      </c>
      <c r="G22" s="329">
        <f>G16*G48</f>
        <v>10221399.13846154</v>
      </c>
      <c r="H22" s="296"/>
      <c r="I22" s="329">
        <f>I16*I48</f>
        <v>9774062.307692308</v>
      </c>
      <c r="J22" s="329">
        <f>J16*J48</f>
        <v>4082836.153846154</v>
      </c>
      <c r="K22" s="329">
        <f>K16*K48</f>
        <v>225174.59999999998</v>
      </c>
      <c r="L22" s="329">
        <f>L16*L48</f>
        <v>611188.19999999995</v>
      </c>
      <c r="M22" s="329">
        <f t="shared" si="18"/>
        <v>14693261.261538461</v>
      </c>
      <c r="N22" s="331"/>
      <c r="O22" s="329">
        <f>O16*O48</f>
        <v>1739501.1876484563</v>
      </c>
      <c r="P22" s="329">
        <f>P16*P48</f>
        <v>726627.07838479814</v>
      </c>
      <c r="Q22" s="329">
        <f>Q16*Q48</f>
        <v>40074.584323040384</v>
      </c>
      <c r="R22" s="329">
        <f>R16*R48</f>
        <v>108773.87173396675</v>
      </c>
      <c r="S22" s="329">
        <f t="shared" si="19"/>
        <v>2614976.7220902615</v>
      </c>
      <c r="T22" s="296"/>
      <c r="U22" s="296"/>
      <c r="V22" s="296"/>
      <c r="W22" s="296"/>
      <c r="X22" s="296"/>
      <c r="Y22" s="296"/>
      <c r="Z22" s="296"/>
      <c r="AA22" s="296"/>
      <c r="AB22" s="296"/>
      <c r="AC22" s="296"/>
      <c r="AD22" s="296"/>
      <c r="AE22" s="296"/>
      <c r="AF22" s="331"/>
      <c r="AG22" s="296"/>
      <c r="AH22" s="296"/>
      <c r="AI22" s="296"/>
      <c r="AJ22" s="296"/>
      <c r="AK22" s="296"/>
      <c r="AR22" s="296"/>
      <c r="AS22" s="296"/>
      <c r="AT22" s="296"/>
      <c r="AU22" s="296"/>
      <c r="AV22" s="296"/>
      <c r="AW22" s="296"/>
      <c r="AX22" s="296"/>
      <c r="AY22" s="296"/>
      <c r="AZ22" s="296"/>
      <c r="BA22" s="296"/>
      <c r="BB22" s="296"/>
      <c r="BC22" s="296"/>
    </row>
    <row r="23" spans="1:55" s="397" customFormat="1" ht="22" customHeight="1" x14ac:dyDescent="0.25">
      <c r="A23" s="100" t="s">
        <v>376</v>
      </c>
      <c r="B23" s="302"/>
      <c r="C23" s="329"/>
      <c r="D23" s="329"/>
      <c r="E23" s="329"/>
      <c r="F23" s="329"/>
      <c r="G23" s="329"/>
      <c r="H23" s="296"/>
      <c r="I23" s="329"/>
      <c r="J23" s="329"/>
      <c r="K23" s="329"/>
      <c r="L23" s="329"/>
      <c r="M23" s="329"/>
      <c r="N23" s="331"/>
      <c r="O23" s="329"/>
      <c r="P23" s="329"/>
      <c r="Q23" s="329"/>
      <c r="R23" s="329"/>
      <c r="S23" s="329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  <c r="AE23" s="296"/>
      <c r="AF23" s="331"/>
      <c r="AG23" s="296"/>
      <c r="AH23" s="296"/>
      <c r="AI23" s="296"/>
      <c r="AJ23" s="296"/>
      <c r="AK23" s="296"/>
      <c r="AR23" s="296"/>
      <c r="AS23" s="296"/>
      <c r="AT23" s="296"/>
      <c r="AU23" s="296"/>
      <c r="AV23" s="296"/>
      <c r="AW23" s="296"/>
      <c r="AX23" s="296"/>
      <c r="AY23" s="296"/>
      <c r="AZ23" s="296"/>
      <c r="BA23" s="296"/>
      <c r="BB23" s="296"/>
      <c r="BC23" s="296"/>
    </row>
    <row r="24" spans="1:55" s="398" customFormat="1" ht="21" thickBot="1" x14ac:dyDescent="0.3">
      <c r="A24" s="174" t="s">
        <v>358</v>
      </c>
      <c r="B24" s="175"/>
      <c r="C24" s="328">
        <f>C19-C21-C22</f>
        <v>235527186.11463746</v>
      </c>
      <c r="D24" s="328">
        <f t="shared" ref="D24:G24" si="20">D19-D21-D22</f>
        <v>100074048.0464717</v>
      </c>
      <c r="E24" s="328">
        <f t="shared" si="20"/>
        <v>5465750.262431887</v>
      </c>
      <c r="F24" s="328">
        <f t="shared" si="20"/>
        <v>14835607.855172271</v>
      </c>
      <c r="G24" s="332">
        <f t="shared" si="20"/>
        <v>356655220.42110497</v>
      </c>
      <c r="H24" s="176"/>
      <c r="I24" s="328">
        <f>I19-I21-I22</f>
        <v>339354655.66676581</v>
      </c>
      <c r="J24" s="328">
        <f t="shared" ref="J24" si="21">J19-J21-J22</f>
        <v>144686506.22495517</v>
      </c>
      <c r="K24" s="328">
        <f t="shared" ref="K24" si="22">K19-K21-K22</f>
        <v>7886887.3740095422</v>
      </c>
      <c r="L24" s="328">
        <f t="shared" ref="L24" si="23">L19-L21-L22</f>
        <v>21407265.729454469</v>
      </c>
      <c r="M24" s="332">
        <f t="shared" si="18"/>
        <v>513335314.99518502</v>
      </c>
      <c r="N24" s="176"/>
      <c r="O24" s="328">
        <f>O19-O21-O22</f>
        <v>81122095.947029099</v>
      </c>
      <c r="P24" s="328">
        <f t="shared" ref="P24" si="24">P19-P21-P22</f>
        <v>34408036.602674797</v>
      </c>
      <c r="Q24" s="328">
        <f t="shared" ref="Q24" si="25">Q19-Q21-Q22</f>
        <v>1881140.9337516355</v>
      </c>
      <c r="R24" s="328">
        <f t="shared" ref="R24" si="26">R19-R21-R22</f>
        <v>5105953.9630401526</v>
      </c>
      <c r="S24" s="332">
        <f t="shared" si="19"/>
        <v>122517227.4464957</v>
      </c>
      <c r="T24" s="176"/>
      <c r="U24" s="176"/>
      <c r="V24" s="176"/>
      <c r="W24" s="176"/>
      <c r="X24" s="176"/>
      <c r="Y24" s="176"/>
      <c r="Z24" s="176"/>
      <c r="AA24" s="176"/>
      <c r="AB24" s="176"/>
      <c r="AC24" s="176"/>
      <c r="AD24" s="176"/>
      <c r="AE24" s="176"/>
      <c r="AF24" s="176"/>
      <c r="AG24" s="176"/>
      <c r="AH24" s="176"/>
      <c r="AI24" s="176"/>
      <c r="AJ24" s="176"/>
      <c r="AK24" s="176"/>
      <c r="AR24" s="176"/>
      <c r="AS24" s="176"/>
      <c r="AT24" s="176"/>
      <c r="AU24" s="176"/>
      <c r="AV24" s="176"/>
      <c r="AW24" s="176"/>
      <c r="AX24" s="176"/>
      <c r="AY24" s="176"/>
      <c r="AZ24" s="176"/>
      <c r="BA24" s="176"/>
      <c r="BB24" s="176"/>
      <c r="BC24" s="176"/>
    </row>
    <row r="25" spans="1:55" x14ac:dyDescent="0.25">
      <c r="C25" s="164" t="s">
        <v>373</v>
      </c>
    </row>
    <row r="26" spans="1:55" x14ac:dyDescent="0.25">
      <c r="C26" s="164" t="s">
        <v>372</v>
      </c>
    </row>
    <row r="27" spans="1:55" s="399" customFormat="1" ht="20" x14ac:dyDescent="0.25">
      <c r="A27" s="308" t="s">
        <v>362</v>
      </c>
      <c r="B27" s="309"/>
      <c r="C27" s="308"/>
      <c r="D27" s="308"/>
      <c r="E27" s="308"/>
      <c r="F27" s="308"/>
      <c r="G27" s="308"/>
      <c r="H27" s="289"/>
      <c r="I27" s="289"/>
      <c r="J27" s="289"/>
      <c r="K27" s="289"/>
      <c r="L27" s="289"/>
      <c r="M27" s="289"/>
      <c r="N27" s="289"/>
      <c r="O27" s="289"/>
      <c r="P27" s="289"/>
      <c r="Q27" s="289"/>
      <c r="R27" s="289"/>
      <c r="S27" s="289"/>
      <c r="T27" s="308"/>
      <c r="U27" s="308"/>
      <c r="V27" s="308"/>
      <c r="W27" s="308"/>
      <c r="X27" s="308"/>
      <c r="Y27" s="308"/>
      <c r="Z27" s="308"/>
      <c r="AA27" s="308"/>
      <c r="AB27" s="308"/>
      <c r="AC27" s="308"/>
      <c r="AD27" s="308"/>
      <c r="AE27" s="308"/>
      <c r="AF27" s="289"/>
      <c r="AG27" s="289"/>
      <c r="AH27" s="289"/>
      <c r="AI27" s="289"/>
      <c r="AJ27" s="289"/>
      <c r="AK27" s="289"/>
      <c r="AR27" s="289"/>
      <c r="AS27" s="289"/>
      <c r="AT27" s="289"/>
      <c r="AU27" s="289"/>
      <c r="AV27" s="289"/>
      <c r="AW27" s="289"/>
      <c r="AX27" s="289"/>
      <c r="AY27" s="289"/>
      <c r="AZ27" s="289"/>
      <c r="BA27" s="289"/>
      <c r="BB27" s="289"/>
      <c r="BC27" s="289"/>
    </row>
    <row r="28" spans="1:55" s="400" customFormat="1" ht="20" x14ac:dyDescent="0.25">
      <c r="A28" s="311" t="s">
        <v>346</v>
      </c>
      <c r="B28" s="312"/>
      <c r="C28" s="320" t="s">
        <v>347</v>
      </c>
      <c r="D28" s="313"/>
      <c r="E28" s="313"/>
      <c r="F28" s="313"/>
      <c r="G28" s="313"/>
      <c r="H28" s="314"/>
      <c r="I28" s="314"/>
      <c r="J28" s="314"/>
      <c r="K28" s="314"/>
      <c r="L28" s="314"/>
      <c r="M28" s="314"/>
      <c r="N28" s="314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1"/>
      <c r="AA28" s="311"/>
      <c r="AB28" s="311"/>
      <c r="AC28" s="311"/>
      <c r="AD28" s="311"/>
      <c r="AE28" s="311"/>
      <c r="AF28" s="314"/>
      <c r="AG28" s="314"/>
      <c r="AH28" s="314"/>
      <c r="AI28" s="314"/>
      <c r="AJ28" s="314"/>
      <c r="AK28" s="314"/>
      <c r="AR28" s="314"/>
      <c r="AS28" s="314"/>
      <c r="AT28" s="314"/>
      <c r="AU28" s="314"/>
      <c r="AV28" s="314"/>
      <c r="AW28" s="314"/>
      <c r="AX28" s="314"/>
      <c r="AY28" s="314"/>
      <c r="AZ28" s="314"/>
      <c r="BA28" s="314"/>
      <c r="BB28" s="314"/>
      <c r="BC28" s="314"/>
    </row>
    <row r="29" spans="1:55" s="401" customFormat="1" ht="20" x14ac:dyDescent="0.25">
      <c r="A29" s="95" t="s">
        <v>160</v>
      </c>
      <c r="B29" s="290"/>
      <c r="C29" s="401" t="s">
        <v>363</v>
      </c>
      <c r="D29" s="291"/>
      <c r="E29" s="291"/>
      <c r="F29" s="291"/>
      <c r="G29" s="291"/>
      <c r="H29" s="291"/>
      <c r="I29" s="291"/>
      <c r="J29" s="291"/>
      <c r="K29" s="291"/>
      <c r="L29" s="291"/>
      <c r="M29" s="291"/>
      <c r="N29" s="291"/>
      <c r="P29" s="291"/>
      <c r="Q29" s="291"/>
      <c r="R29" s="291"/>
      <c r="S29" s="291"/>
      <c r="T29" s="291"/>
      <c r="U29" s="291"/>
      <c r="V29" s="291"/>
      <c r="W29" s="291"/>
      <c r="X29" s="291"/>
      <c r="Y29" s="291"/>
      <c r="Z29" s="291"/>
      <c r="AA29" s="291"/>
      <c r="AB29" s="291"/>
      <c r="AC29" s="291"/>
      <c r="AD29" s="291"/>
      <c r="AE29" s="291"/>
      <c r="AF29" s="291"/>
      <c r="AG29" s="291"/>
      <c r="AH29" s="291"/>
      <c r="AI29" s="291"/>
      <c r="AJ29" s="291"/>
      <c r="AK29" s="291"/>
      <c r="AR29" s="291"/>
      <c r="AS29" s="291"/>
      <c r="AT29" s="291"/>
      <c r="AU29" s="291"/>
      <c r="AV29" s="291"/>
      <c r="AW29" s="291"/>
      <c r="AX29" s="291"/>
      <c r="AY29" s="291"/>
      <c r="AZ29" s="291"/>
      <c r="BA29" s="291"/>
      <c r="BB29" s="291"/>
      <c r="BC29" s="291"/>
    </row>
    <row r="30" spans="1:55" s="402" customFormat="1" x14ac:dyDescent="0.25">
      <c r="A30" s="304" t="s">
        <v>72</v>
      </c>
      <c r="B30" s="301"/>
      <c r="C30" s="292">
        <f>C81/2</f>
        <v>58146</v>
      </c>
      <c r="D30" s="292">
        <f t="shared" ref="D30:G30" si="27">D81/2</f>
        <v>58146</v>
      </c>
      <c r="E30" s="292">
        <f t="shared" si="27"/>
        <v>58146</v>
      </c>
      <c r="F30" s="292">
        <f t="shared" si="27"/>
        <v>58146</v>
      </c>
      <c r="G30" s="292">
        <f t="shared" si="27"/>
        <v>58146</v>
      </c>
      <c r="I30" s="292">
        <f>C30+C34*(I33-C33)</f>
        <v>72682.5</v>
      </c>
      <c r="J30" s="292">
        <f>D30+D34*(J33-D33)</f>
        <v>72682.5</v>
      </c>
      <c r="K30" s="292">
        <f>E30+E34*(K33-E33)</f>
        <v>72682.5</v>
      </c>
      <c r="L30" s="292">
        <f>F30+F34*(L33-F33)</f>
        <v>72682.5</v>
      </c>
      <c r="M30" s="291"/>
      <c r="N30" s="297"/>
      <c r="O30" s="292">
        <f>I30</f>
        <v>72682.5</v>
      </c>
      <c r="P30" s="292">
        <f>J30</f>
        <v>72682.5</v>
      </c>
      <c r="Q30" s="292">
        <f>K30</f>
        <v>72682.5</v>
      </c>
      <c r="R30" s="292">
        <f>L30</f>
        <v>72682.5</v>
      </c>
      <c r="S30" s="297"/>
      <c r="T30" s="305"/>
      <c r="U30" s="305"/>
      <c r="V30" s="305"/>
      <c r="W30" s="305"/>
      <c r="X30" s="305"/>
      <c r="Y30" s="305"/>
      <c r="Z30" s="306"/>
      <c r="AA30" s="306"/>
      <c r="AB30" s="306"/>
      <c r="AC30" s="306"/>
      <c r="AD30" s="306"/>
      <c r="AE30" s="306"/>
      <c r="AF30" s="297"/>
      <c r="AG30" s="297"/>
      <c r="AH30" s="297"/>
      <c r="AI30" s="297"/>
      <c r="AJ30" s="297"/>
      <c r="AK30" s="297"/>
      <c r="AR30" s="297"/>
      <c r="AS30" s="297"/>
      <c r="AT30" s="297"/>
      <c r="AU30" s="297"/>
      <c r="AV30" s="297"/>
      <c r="AW30" s="297"/>
      <c r="AX30" s="297"/>
      <c r="AY30" s="297"/>
      <c r="AZ30" s="297"/>
      <c r="BA30" s="297"/>
      <c r="BB30" s="297"/>
      <c r="BC30" s="297"/>
    </row>
    <row r="31" spans="1:55" s="402" customFormat="1" x14ac:dyDescent="0.25">
      <c r="A31" s="304" t="s">
        <v>75</v>
      </c>
      <c r="B31" s="301"/>
      <c r="C31" s="292">
        <f t="shared" ref="C31:G32" si="28">C82/2</f>
        <v>35293.5</v>
      </c>
      <c r="D31" s="292">
        <f t="shared" si="28"/>
        <v>35293.5</v>
      </c>
      <c r="E31" s="292">
        <f t="shared" si="28"/>
        <v>35293.5</v>
      </c>
      <c r="F31" s="292">
        <f t="shared" si="28"/>
        <v>35293.5</v>
      </c>
      <c r="G31" s="292">
        <f t="shared" si="28"/>
        <v>35293.5</v>
      </c>
      <c r="I31" s="292">
        <f>C31+C35*(H34-C34)</f>
        <v>35293.5</v>
      </c>
      <c r="J31" s="292">
        <f>D31+D35*(I34-D34)</f>
        <v>35293.5</v>
      </c>
      <c r="K31" s="292">
        <f>E31+E35*(J34-E34)</f>
        <v>35293.5</v>
      </c>
      <c r="L31" s="292">
        <f>F31+F35*(K34-F34)</f>
        <v>35293.5</v>
      </c>
      <c r="M31" s="291"/>
      <c r="N31" s="297"/>
      <c r="O31" s="292">
        <f t="shared" ref="O31:O32" si="29">I31</f>
        <v>35293.5</v>
      </c>
      <c r="P31" s="292">
        <f t="shared" ref="P31:P32" si="30">J31</f>
        <v>35293.5</v>
      </c>
      <c r="Q31" s="292">
        <f t="shared" ref="Q31:Q32" si="31">K31</f>
        <v>35293.5</v>
      </c>
      <c r="R31" s="292">
        <f t="shared" ref="R31:R32" si="32">L31</f>
        <v>35293.5</v>
      </c>
      <c r="S31" s="297"/>
      <c r="T31" s="305"/>
      <c r="U31" s="305"/>
      <c r="V31" s="305"/>
      <c r="W31" s="305"/>
      <c r="X31" s="305"/>
      <c r="Y31" s="305"/>
      <c r="Z31" s="306"/>
      <c r="AA31" s="306"/>
      <c r="AB31" s="306"/>
      <c r="AC31" s="306"/>
      <c r="AD31" s="306"/>
      <c r="AE31" s="306"/>
      <c r="AF31" s="297"/>
      <c r="AG31" s="297"/>
      <c r="AH31" s="297"/>
      <c r="AI31" s="297"/>
      <c r="AJ31" s="297"/>
      <c r="AK31" s="297"/>
      <c r="AR31" s="297"/>
      <c r="AS31" s="297"/>
      <c r="AT31" s="297"/>
      <c r="AU31" s="297"/>
      <c r="AV31" s="297"/>
      <c r="AW31" s="297"/>
      <c r="AX31" s="297"/>
      <c r="AY31" s="297"/>
      <c r="AZ31" s="297"/>
      <c r="BA31" s="297"/>
      <c r="BB31" s="297"/>
      <c r="BC31" s="297"/>
    </row>
    <row r="32" spans="1:55" s="402" customFormat="1" x14ac:dyDescent="0.25">
      <c r="A32" s="304" t="s">
        <v>76</v>
      </c>
      <c r="B32" s="301"/>
      <c r="C32" s="292">
        <f t="shared" si="28"/>
        <v>22557</v>
      </c>
      <c r="D32" s="292">
        <f t="shared" si="28"/>
        <v>22557</v>
      </c>
      <c r="E32" s="292">
        <f t="shared" si="28"/>
        <v>22557</v>
      </c>
      <c r="F32" s="292">
        <f t="shared" si="28"/>
        <v>22557</v>
      </c>
      <c r="G32" s="292">
        <f t="shared" si="28"/>
        <v>22557</v>
      </c>
      <c r="I32" s="292">
        <f>C32+C36*(H35-C35)</f>
        <v>22557</v>
      </c>
      <c r="J32" s="292">
        <f>D32+D36*(I35-D35)</f>
        <v>22557</v>
      </c>
      <c r="K32" s="292">
        <f>E32+E36*(J35-E35)</f>
        <v>22557</v>
      </c>
      <c r="L32" s="292">
        <f>F32+F36*(K35-F35)</f>
        <v>22557</v>
      </c>
      <c r="M32" s="291"/>
      <c r="N32" s="297"/>
      <c r="O32" s="292">
        <f t="shared" si="29"/>
        <v>22557</v>
      </c>
      <c r="P32" s="292">
        <f t="shared" si="30"/>
        <v>22557</v>
      </c>
      <c r="Q32" s="292">
        <f t="shared" si="31"/>
        <v>22557</v>
      </c>
      <c r="R32" s="292">
        <f t="shared" si="32"/>
        <v>22557</v>
      </c>
      <c r="S32" s="297"/>
      <c r="T32" s="305"/>
      <c r="U32" s="305"/>
      <c r="V32" s="305"/>
      <c r="W32" s="305"/>
      <c r="X32" s="305"/>
      <c r="Y32" s="305"/>
      <c r="Z32" s="306"/>
      <c r="AA32" s="306"/>
      <c r="AB32" s="306"/>
      <c r="AC32" s="306"/>
      <c r="AD32" s="306"/>
      <c r="AE32" s="306"/>
      <c r="AF32" s="297"/>
      <c r="AG32" s="297"/>
      <c r="AH32" s="297"/>
      <c r="AI32" s="297"/>
      <c r="AJ32" s="297"/>
      <c r="AK32" s="297"/>
      <c r="AR32" s="297"/>
      <c r="AS32" s="297"/>
      <c r="AT32" s="297"/>
      <c r="AU32" s="297"/>
      <c r="AV32" s="297"/>
      <c r="AW32" s="297"/>
      <c r="AX32" s="297"/>
      <c r="AY32" s="297"/>
      <c r="AZ32" s="297"/>
      <c r="BA32" s="297"/>
      <c r="BB32" s="297"/>
      <c r="BC32" s="297"/>
    </row>
    <row r="33" spans="1:55" s="401" customFormat="1" ht="20" x14ac:dyDescent="0.25">
      <c r="A33" s="201" t="s">
        <v>262</v>
      </c>
      <c r="B33" s="294" t="s">
        <v>193</v>
      </c>
      <c r="C33" s="294">
        <v>4</v>
      </c>
      <c r="D33" s="294">
        <v>4</v>
      </c>
      <c r="E33" s="294">
        <v>4</v>
      </c>
      <c r="F33" s="294">
        <v>4</v>
      </c>
      <c r="G33" s="294">
        <v>4</v>
      </c>
      <c r="I33" s="294">
        <v>5</v>
      </c>
      <c r="J33" s="294">
        <v>5</v>
      </c>
      <c r="K33" s="294">
        <v>5</v>
      </c>
      <c r="L33" s="294">
        <v>5</v>
      </c>
      <c r="M33" s="291"/>
      <c r="N33" s="291"/>
      <c r="O33" s="292"/>
      <c r="P33" s="292"/>
      <c r="Q33" s="292"/>
      <c r="R33" s="292"/>
      <c r="S33" s="291"/>
      <c r="T33" s="291"/>
      <c r="U33" s="291"/>
      <c r="V33" s="291"/>
      <c r="W33" s="291"/>
      <c r="X33" s="291"/>
      <c r="Y33" s="291"/>
      <c r="Z33" s="293"/>
      <c r="AA33" s="293"/>
      <c r="AB33" s="293"/>
      <c r="AC33" s="293"/>
      <c r="AD33" s="293"/>
      <c r="AE33" s="293"/>
      <c r="AF33" s="291"/>
      <c r="AG33" s="291"/>
      <c r="AH33" s="291"/>
      <c r="AI33" s="291"/>
      <c r="AJ33" s="291"/>
      <c r="AK33" s="291"/>
      <c r="AR33" s="291"/>
      <c r="AS33" s="291"/>
      <c r="AT33" s="291"/>
      <c r="AU33" s="291"/>
      <c r="AV33" s="291"/>
      <c r="AW33" s="291"/>
      <c r="AX33" s="291"/>
      <c r="AY33" s="291"/>
      <c r="AZ33" s="291"/>
      <c r="BA33" s="291"/>
      <c r="BB33" s="291"/>
      <c r="BC33" s="291"/>
    </row>
    <row r="34" spans="1:55" s="401" customFormat="1" ht="20" x14ac:dyDescent="0.25">
      <c r="A34" s="202" t="s">
        <v>342</v>
      </c>
      <c r="B34" s="294" t="s">
        <v>193</v>
      </c>
      <c r="C34" s="295">
        <f>C30/C33</f>
        <v>14536.5</v>
      </c>
      <c r="D34" s="295">
        <f t="shared" ref="D34:G34" si="33">D30/D33</f>
        <v>14536.5</v>
      </c>
      <c r="E34" s="295">
        <f t="shared" si="33"/>
        <v>14536.5</v>
      </c>
      <c r="F34" s="295">
        <f t="shared" si="33"/>
        <v>14536.5</v>
      </c>
      <c r="G34" s="295">
        <f t="shared" si="33"/>
        <v>14536.5</v>
      </c>
      <c r="H34" s="291"/>
      <c r="I34" s="291"/>
      <c r="J34" s="291"/>
      <c r="K34" s="291"/>
      <c r="L34" s="291"/>
      <c r="M34" s="291"/>
      <c r="N34" s="291"/>
      <c r="O34" s="291"/>
      <c r="P34" s="291"/>
      <c r="Q34" s="291"/>
      <c r="R34" s="291"/>
      <c r="S34" s="291"/>
      <c r="T34" s="291"/>
      <c r="U34" s="291"/>
      <c r="V34" s="291"/>
      <c r="W34" s="291"/>
      <c r="X34" s="291"/>
      <c r="Y34" s="291"/>
      <c r="Z34" s="293"/>
      <c r="AA34" s="293"/>
      <c r="AB34" s="293"/>
      <c r="AC34" s="293"/>
      <c r="AD34" s="293"/>
      <c r="AE34" s="293"/>
      <c r="AF34" s="291"/>
      <c r="AG34" s="291"/>
      <c r="AH34" s="291"/>
      <c r="AI34" s="291"/>
      <c r="AJ34" s="291"/>
      <c r="AK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</row>
    <row r="35" spans="1:55" s="401" customFormat="1" ht="20" x14ac:dyDescent="0.25">
      <c r="A35" s="202" t="s">
        <v>72</v>
      </c>
      <c r="B35" s="294" t="s">
        <v>193</v>
      </c>
      <c r="C35" s="295"/>
      <c r="D35" s="291"/>
      <c r="E35" s="291"/>
      <c r="F35" s="291"/>
      <c r="G35" s="291"/>
      <c r="H35" s="291"/>
      <c r="I35" s="291"/>
      <c r="J35" s="291"/>
      <c r="K35" s="291"/>
      <c r="L35" s="291"/>
      <c r="M35" s="291"/>
      <c r="N35" s="291"/>
      <c r="O35" s="291"/>
      <c r="P35" s="291"/>
      <c r="Q35" s="291"/>
      <c r="R35" s="291"/>
      <c r="S35" s="291"/>
      <c r="T35" s="291"/>
      <c r="U35" s="291"/>
      <c r="V35" s="291"/>
      <c r="W35" s="291"/>
      <c r="X35" s="291"/>
      <c r="Y35" s="291"/>
      <c r="Z35" s="293"/>
      <c r="AA35" s="293"/>
      <c r="AB35" s="293"/>
      <c r="AC35" s="293"/>
      <c r="AD35" s="293"/>
      <c r="AE35" s="293"/>
      <c r="AF35" s="291"/>
      <c r="AG35" s="291"/>
      <c r="AH35" s="291"/>
      <c r="AI35" s="291"/>
      <c r="AJ35" s="291"/>
      <c r="AK35" s="291"/>
      <c r="AR35" s="291"/>
      <c r="AS35" s="291"/>
      <c r="AT35" s="291"/>
      <c r="AU35" s="291"/>
      <c r="AV35" s="291"/>
      <c r="AW35" s="291"/>
      <c r="AX35" s="291"/>
      <c r="AY35" s="291"/>
      <c r="AZ35" s="291"/>
      <c r="BA35" s="291"/>
      <c r="BB35" s="291"/>
      <c r="BC35" s="291"/>
    </row>
    <row r="36" spans="1:55" s="401" customFormat="1" ht="20" x14ac:dyDescent="0.25">
      <c r="A36" s="202" t="s">
        <v>75</v>
      </c>
      <c r="B36" s="294" t="s">
        <v>193</v>
      </c>
      <c r="C36" s="295"/>
      <c r="D36" s="291"/>
      <c r="E36" s="291"/>
      <c r="F36" s="291"/>
      <c r="G36" s="291"/>
      <c r="H36" s="291"/>
      <c r="I36" s="291"/>
      <c r="J36" s="291"/>
      <c r="K36" s="291"/>
      <c r="L36" s="291"/>
      <c r="M36" s="291"/>
      <c r="N36" s="291"/>
      <c r="O36" s="291"/>
      <c r="P36" s="291"/>
      <c r="Q36" s="291"/>
      <c r="R36" s="291"/>
      <c r="S36" s="291"/>
      <c r="T36" s="291"/>
      <c r="U36" s="291"/>
      <c r="V36" s="291"/>
      <c r="W36" s="291"/>
      <c r="X36" s="291"/>
      <c r="Y36" s="291"/>
      <c r="Z36" s="293"/>
      <c r="AA36" s="293"/>
      <c r="AB36" s="293"/>
      <c r="AC36" s="293"/>
      <c r="AD36" s="293"/>
      <c r="AE36" s="293"/>
      <c r="AF36" s="291"/>
      <c r="AG36" s="291"/>
      <c r="AH36" s="291"/>
      <c r="AI36" s="291"/>
      <c r="AJ36" s="291"/>
      <c r="AK36" s="291"/>
      <c r="AR36" s="291"/>
      <c r="AS36" s="291"/>
      <c r="AT36" s="291"/>
      <c r="AU36" s="291"/>
      <c r="AV36" s="291"/>
      <c r="AW36" s="291"/>
      <c r="AX36" s="291"/>
      <c r="AY36" s="291"/>
      <c r="AZ36" s="291"/>
      <c r="BA36" s="291"/>
      <c r="BB36" s="291"/>
      <c r="BC36" s="291"/>
    </row>
    <row r="37" spans="1:55" s="401" customFormat="1" ht="20" x14ac:dyDescent="0.25">
      <c r="A37" s="202" t="s">
        <v>76</v>
      </c>
      <c r="B37" s="294" t="s">
        <v>193</v>
      </c>
      <c r="C37" s="295"/>
      <c r="D37" s="291"/>
      <c r="E37" s="291"/>
      <c r="F37" s="291"/>
      <c r="G37" s="291"/>
      <c r="H37" s="291"/>
      <c r="I37" s="291"/>
      <c r="J37" s="291"/>
      <c r="K37" s="291"/>
      <c r="L37" s="291"/>
      <c r="M37" s="291"/>
      <c r="N37" s="291"/>
      <c r="O37" s="291"/>
      <c r="P37" s="291"/>
      <c r="Q37" s="291"/>
      <c r="R37" s="291"/>
      <c r="S37" s="291"/>
      <c r="T37" s="291"/>
      <c r="U37" s="291"/>
      <c r="V37" s="291"/>
      <c r="W37" s="291"/>
      <c r="X37" s="291"/>
      <c r="Y37" s="291"/>
      <c r="Z37" s="293"/>
      <c r="AA37" s="293"/>
      <c r="AB37" s="293"/>
      <c r="AC37" s="293"/>
      <c r="AD37" s="293"/>
      <c r="AE37" s="293"/>
      <c r="AF37" s="291"/>
      <c r="AG37" s="291"/>
      <c r="AH37" s="291"/>
      <c r="AI37" s="291"/>
      <c r="AJ37" s="291"/>
      <c r="AK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</row>
    <row r="38" spans="1:55" s="401" customFormat="1" x14ac:dyDescent="0.25">
      <c r="A38" s="97"/>
      <c r="B38" s="290"/>
      <c r="C38" s="292"/>
      <c r="D38" s="291"/>
      <c r="E38" s="291"/>
      <c r="F38" s="291"/>
      <c r="G38" s="291"/>
      <c r="H38" s="291"/>
      <c r="I38" s="291"/>
      <c r="J38" s="291"/>
      <c r="K38" s="291"/>
      <c r="L38" s="291"/>
      <c r="M38" s="291"/>
      <c r="N38" s="291"/>
      <c r="O38" s="291"/>
      <c r="P38" s="291"/>
      <c r="Q38" s="291"/>
      <c r="R38" s="291"/>
      <c r="S38" s="291"/>
      <c r="T38" s="291"/>
      <c r="U38" s="291"/>
      <c r="V38" s="291"/>
      <c r="W38" s="291"/>
      <c r="X38" s="291"/>
      <c r="Y38" s="291"/>
      <c r="Z38" s="293"/>
      <c r="AA38" s="293"/>
      <c r="AB38" s="293"/>
      <c r="AC38" s="293"/>
      <c r="AD38" s="293"/>
      <c r="AE38" s="293"/>
      <c r="AF38" s="291"/>
      <c r="AG38" s="291"/>
      <c r="AH38" s="291"/>
      <c r="AI38" s="291"/>
      <c r="AJ38" s="291"/>
      <c r="AK38" s="291"/>
      <c r="AR38" s="291"/>
      <c r="AS38" s="291"/>
      <c r="AT38" s="291"/>
      <c r="AU38" s="291"/>
      <c r="AV38" s="291"/>
      <c r="AW38" s="291"/>
      <c r="AX38" s="291"/>
      <c r="AY38" s="291"/>
      <c r="AZ38" s="291"/>
      <c r="BA38" s="291"/>
      <c r="BB38" s="291"/>
      <c r="BC38" s="291"/>
    </row>
    <row r="39" spans="1:55" s="400" customFormat="1" ht="20" x14ac:dyDescent="0.25">
      <c r="A39" s="315" t="s">
        <v>162</v>
      </c>
      <c r="B39" s="316"/>
      <c r="C39" s="321">
        <v>60000</v>
      </c>
      <c r="D39" s="321">
        <f>C39</f>
        <v>60000</v>
      </c>
      <c r="E39" s="321">
        <f t="shared" ref="E39:G39" si="34">D39</f>
        <v>60000</v>
      </c>
      <c r="F39" s="321">
        <f t="shared" si="34"/>
        <v>60000</v>
      </c>
      <c r="G39" s="321">
        <f t="shared" si="34"/>
        <v>60000</v>
      </c>
      <c r="H39" s="314"/>
      <c r="I39" s="321">
        <f>C39</f>
        <v>60000</v>
      </c>
      <c r="J39" s="321">
        <f>D39</f>
        <v>60000</v>
      </c>
      <c r="K39" s="321">
        <f>E39</f>
        <v>60000</v>
      </c>
      <c r="L39" s="321">
        <f>F39</f>
        <v>60000</v>
      </c>
      <c r="M39" s="321"/>
      <c r="N39" s="317"/>
      <c r="O39" s="321">
        <f>I39</f>
        <v>60000</v>
      </c>
      <c r="P39" s="321">
        <f>J39</f>
        <v>60000</v>
      </c>
      <c r="Q39" s="321">
        <f>K39</f>
        <v>60000</v>
      </c>
      <c r="R39" s="321">
        <f>L39</f>
        <v>60000</v>
      </c>
      <c r="S39" s="314"/>
      <c r="T39" s="314"/>
      <c r="U39" s="314"/>
      <c r="V39" s="314"/>
      <c r="W39" s="314"/>
      <c r="X39" s="314"/>
      <c r="Y39" s="314"/>
      <c r="Z39" s="311"/>
      <c r="AA39" s="311"/>
      <c r="AB39" s="311"/>
      <c r="AC39" s="311"/>
      <c r="AD39" s="311"/>
      <c r="AE39" s="311"/>
      <c r="AF39" s="314"/>
      <c r="AG39" s="314"/>
      <c r="AH39" s="314"/>
      <c r="AI39" s="314"/>
      <c r="AJ39" s="314"/>
      <c r="AK39" s="314"/>
      <c r="AR39" s="314"/>
      <c r="AS39" s="314"/>
      <c r="AT39" s="314"/>
      <c r="AU39" s="314"/>
      <c r="AV39" s="314"/>
      <c r="AW39" s="314"/>
      <c r="AX39" s="314"/>
      <c r="AY39" s="314"/>
      <c r="AZ39" s="314"/>
      <c r="BA39" s="314"/>
      <c r="BB39" s="314"/>
      <c r="BC39" s="314"/>
    </row>
    <row r="40" spans="1:55" s="401" customFormat="1" x14ac:dyDescent="0.25">
      <c r="A40" s="291"/>
      <c r="B40" s="290"/>
      <c r="C40" s="290"/>
      <c r="D40" s="291"/>
      <c r="E40" s="291"/>
      <c r="F40" s="291"/>
      <c r="G40" s="291"/>
      <c r="H40" s="291"/>
      <c r="I40" s="291"/>
      <c r="J40" s="291"/>
      <c r="K40" s="291"/>
      <c r="L40" s="291"/>
      <c r="M40" s="291"/>
      <c r="N40" s="291"/>
      <c r="O40" s="291"/>
      <c r="P40" s="291"/>
      <c r="Q40" s="291"/>
      <c r="R40" s="291"/>
      <c r="S40" s="291"/>
      <c r="T40" s="291"/>
      <c r="U40" s="291"/>
      <c r="V40" s="291"/>
      <c r="W40" s="291"/>
      <c r="X40" s="291"/>
      <c r="Y40" s="291"/>
      <c r="Z40" s="291"/>
      <c r="AA40" s="291"/>
      <c r="AB40" s="291"/>
      <c r="AC40" s="291"/>
      <c r="AD40" s="291"/>
      <c r="AE40" s="291"/>
      <c r="AF40" s="291"/>
      <c r="AG40" s="291"/>
      <c r="AH40" s="291"/>
      <c r="AI40" s="291"/>
      <c r="AJ40" s="291"/>
      <c r="AK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</row>
    <row r="41" spans="1:55" s="400" customFormat="1" ht="20" x14ac:dyDescent="0.25">
      <c r="A41" s="311" t="s">
        <v>379</v>
      </c>
      <c r="B41" s="318"/>
      <c r="C41" s="312" t="s">
        <v>348</v>
      </c>
      <c r="D41" s="311"/>
      <c r="E41" s="311"/>
      <c r="F41" s="311"/>
      <c r="G41" s="311"/>
      <c r="H41" s="319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1"/>
      <c r="U41" s="311"/>
      <c r="V41" s="311"/>
      <c r="W41" s="311"/>
      <c r="X41" s="311"/>
      <c r="Y41" s="311"/>
      <c r="Z41" s="311"/>
      <c r="AA41" s="311"/>
      <c r="AB41" s="311"/>
      <c r="AC41" s="311"/>
      <c r="AD41" s="311"/>
      <c r="AE41" s="311"/>
      <c r="AF41" s="314"/>
      <c r="AG41" s="314"/>
      <c r="AH41" s="314"/>
      <c r="AI41" s="314"/>
      <c r="AJ41" s="314"/>
      <c r="AK41" s="314"/>
      <c r="AR41" s="319" t="s">
        <v>193</v>
      </c>
      <c r="AS41" s="314"/>
      <c r="AT41" s="314"/>
      <c r="AU41" s="314"/>
      <c r="AV41" s="314"/>
      <c r="AW41" s="314"/>
      <c r="AX41" s="314" t="s">
        <v>34</v>
      </c>
      <c r="AY41" s="314"/>
      <c r="AZ41" s="314"/>
      <c r="BA41" s="314"/>
      <c r="BB41" s="314"/>
      <c r="BC41" s="314"/>
    </row>
    <row r="42" spans="1:55" s="401" customFormat="1" ht="20" x14ac:dyDescent="0.25">
      <c r="A42" s="291" t="s">
        <v>280</v>
      </c>
      <c r="B42" s="290"/>
      <c r="C42" s="292">
        <v>28150</v>
      </c>
      <c r="D42" s="292">
        <f>C42</f>
        <v>28150</v>
      </c>
      <c r="E42" s="292">
        <f t="shared" ref="E42:G42" si="35">D42</f>
        <v>28150</v>
      </c>
      <c r="F42" s="292">
        <f t="shared" si="35"/>
        <v>28150</v>
      </c>
      <c r="G42" s="292">
        <f t="shared" si="35"/>
        <v>28150</v>
      </c>
      <c r="H42" s="291"/>
      <c r="I42" s="403">
        <f>C42</f>
        <v>28150</v>
      </c>
      <c r="J42" s="344">
        <f>D42</f>
        <v>28150</v>
      </c>
      <c r="K42" s="344">
        <f>E42</f>
        <v>28150</v>
      </c>
      <c r="L42" s="344">
        <f>F42</f>
        <v>28150</v>
      </c>
      <c r="M42" s="344"/>
      <c r="N42" s="291"/>
      <c r="O42" s="404">
        <f>I42/3</f>
        <v>9383.3333333333339</v>
      </c>
      <c r="P42" s="404">
        <f t="shared" ref="P42:R42" si="36">J42/3</f>
        <v>9383.3333333333339</v>
      </c>
      <c r="Q42" s="404">
        <f t="shared" si="36"/>
        <v>9383.3333333333339</v>
      </c>
      <c r="R42" s="404">
        <f t="shared" si="36"/>
        <v>9383.3333333333339</v>
      </c>
      <c r="S42" s="291"/>
      <c r="U42" s="298" t="s">
        <v>34</v>
      </c>
      <c r="V42" s="298" t="s">
        <v>34</v>
      </c>
      <c r="W42" s="298" t="s">
        <v>34</v>
      </c>
      <c r="X42" s="298" t="s">
        <v>34</v>
      </c>
      <c r="Y42" s="298" t="s">
        <v>34</v>
      </c>
      <c r="Z42" s="291"/>
      <c r="AA42" s="298" t="s">
        <v>34</v>
      </c>
      <c r="AB42" s="298" t="s">
        <v>34</v>
      </c>
      <c r="AC42" s="298" t="s">
        <v>34</v>
      </c>
      <c r="AD42" s="298" t="s">
        <v>34</v>
      </c>
      <c r="AE42" s="298" t="s">
        <v>34</v>
      </c>
      <c r="AF42" s="291"/>
      <c r="AG42" s="291"/>
      <c r="AH42" s="291"/>
      <c r="AI42" s="291"/>
      <c r="AJ42" s="291"/>
      <c r="AK42" s="291"/>
      <c r="AR42" s="299" t="s">
        <v>193</v>
      </c>
      <c r="AS42" s="291"/>
      <c r="AT42" s="291"/>
      <c r="AU42" s="291"/>
      <c r="AV42" s="291"/>
      <c r="AW42" s="291"/>
      <c r="AX42" s="298" t="s">
        <v>34</v>
      </c>
      <c r="AY42" s="291"/>
      <c r="AZ42" s="291"/>
      <c r="BA42" s="291"/>
      <c r="BB42" s="291"/>
      <c r="BC42" s="291"/>
    </row>
    <row r="43" spans="1:55" s="401" customFormat="1" ht="20" x14ac:dyDescent="0.25">
      <c r="A43" s="325" t="s">
        <v>351</v>
      </c>
      <c r="C43" s="294" t="s">
        <v>193</v>
      </c>
      <c r="D43" s="292"/>
      <c r="E43" s="292"/>
      <c r="F43" s="292"/>
      <c r="G43" s="292"/>
      <c r="H43" s="291"/>
      <c r="I43" s="291"/>
      <c r="J43" s="291"/>
      <c r="K43" s="291"/>
      <c r="L43" s="291"/>
      <c r="M43" s="291"/>
      <c r="N43" s="291"/>
      <c r="O43" s="290" t="s">
        <v>378</v>
      </c>
      <c r="P43" s="291"/>
      <c r="Q43" s="291"/>
      <c r="R43" s="291"/>
      <c r="S43" s="291"/>
      <c r="U43" s="298"/>
      <c r="V43" s="298"/>
      <c r="W43" s="298"/>
      <c r="X43" s="298"/>
      <c r="Y43" s="298"/>
      <c r="Z43" s="291"/>
      <c r="AA43" s="298"/>
      <c r="AB43" s="298"/>
      <c r="AC43" s="298"/>
      <c r="AD43" s="298"/>
      <c r="AE43" s="298"/>
      <c r="AF43" s="291"/>
      <c r="AG43" s="291"/>
      <c r="AH43" s="291"/>
      <c r="AI43" s="291"/>
      <c r="AJ43" s="291"/>
      <c r="AK43" s="291"/>
      <c r="AR43" s="299"/>
      <c r="AS43" s="291"/>
      <c r="AT43" s="291"/>
      <c r="AU43" s="291"/>
      <c r="AV43" s="291"/>
      <c r="AW43" s="291"/>
      <c r="AX43" s="298"/>
      <c r="AY43" s="291"/>
      <c r="AZ43" s="291"/>
      <c r="BA43" s="291"/>
      <c r="BB43" s="291"/>
      <c r="BC43" s="291"/>
    </row>
    <row r="44" spans="1:55" s="401" customFormat="1" ht="20" x14ac:dyDescent="0.25">
      <c r="A44" s="325" t="s">
        <v>352</v>
      </c>
      <c r="C44" s="294" t="s">
        <v>193</v>
      </c>
      <c r="D44" s="292"/>
      <c r="E44" s="292"/>
      <c r="F44" s="292"/>
      <c r="G44" s="292"/>
      <c r="H44" s="291"/>
      <c r="I44" s="291"/>
      <c r="J44" s="291"/>
      <c r="K44" s="291"/>
      <c r="L44" s="291"/>
      <c r="M44" s="291"/>
      <c r="N44" s="291"/>
      <c r="O44" s="291"/>
      <c r="P44" s="291"/>
      <c r="Q44" s="291"/>
      <c r="R44" s="291"/>
      <c r="S44" s="291"/>
      <c r="U44" s="298"/>
      <c r="V44" s="298"/>
      <c r="W44" s="298"/>
      <c r="X44" s="298"/>
      <c r="Y44" s="298"/>
      <c r="Z44" s="291"/>
      <c r="AA44" s="298"/>
      <c r="AB44" s="298"/>
      <c r="AC44" s="298"/>
      <c r="AD44" s="298"/>
      <c r="AE44" s="298"/>
      <c r="AF44" s="291"/>
      <c r="AG44" s="291"/>
      <c r="AH44" s="291"/>
      <c r="AI44" s="291"/>
      <c r="AJ44" s="291"/>
      <c r="AK44" s="291"/>
      <c r="AR44" s="299"/>
      <c r="AS44" s="291"/>
      <c r="AT44" s="291"/>
      <c r="AU44" s="291"/>
      <c r="AV44" s="291"/>
      <c r="AW44" s="291"/>
      <c r="AX44" s="298"/>
      <c r="AY44" s="291"/>
      <c r="AZ44" s="291"/>
      <c r="BA44" s="291"/>
      <c r="BB44" s="291"/>
      <c r="BC44" s="291"/>
    </row>
    <row r="45" spans="1:55" s="401" customFormat="1" ht="20" x14ac:dyDescent="0.25">
      <c r="A45" s="325" t="s">
        <v>353</v>
      </c>
      <c r="C45" s="294" t="s">
        <v>193</v>
      </c>
      <c r="D45" s="292"/>
      <c r="E45" s="292"/>
      <c r="F45" s="292"/>
      <c r="G45" s="292"/>
      <c r="H45" s="291"/>
      <c r="I45" s="291"/>
      <c r="J45" s="291"/>
      <c r="K45" s="291"/>
      <c r="L45" s="291"/>
      <c r="M45" s="291"/>
      <c r="N45" s="291"/>
      <c r="O45" s="291"/>
      <c r="P45" s="291"/>
      <c r="Q45" s="291"/>
      <c r="R45" s="291"/>
      <c r="S45" s="291"/>
      <c r="U45" s="298"/>
      <c r="V45" s="298"/>
      <c r="W45" s="298"/>
      <c r="X45" s="298"/>
      <c r="Y45" s="298"/>
      <c r="Z45" s="291"/>
      <c r="AA45" s="298"/>
      <c r="AB45" s="298"/>
      <c r="AC45" s="298"/>
      <c r="AD45" s="298"/>
      <c r="AE45" s="298"/>
      <c r="AF45" s="291"/>
      <c r="AG45" s="291"/>
      <c r="AH45" s="291"/>
      <c r="AI45" s="291"/>
      <c r="AJ45" s="291"/>
      <c r="AK45" s="291"/>
      <c r="AR45" s="299"/>
      <c r="AS45" s="291"/>
      <c r="AT45" s="291"/>
      <c r="AU45" s="291"/>
      <c r="AV45" s="291"/>
      <c r="AW45" s="291"/>
      <c r="AX45" s="298"/>
      <c r="AY45" s="291"/>
      <c r="AZ45" s="291"/>
      <c r="BA45" s="291"/>
      <c r="BB45" s="291"/>
      <c r="BC45" s="291"/>
    </row>
    <row r="46" spans="1:55" s="401" customFormat="1" ht="20" x14ac:dyDescent="0.25">
      <c r="A46" s="326" t="s">
        <v>354</v>
      </c>
      <c r="C46" s="294" t="s">
        <v>193</v>
      </c>
      <c r="D46" s="292"/>
      <c r="E46" s="292"/>
      <c r="F46" s="292"/>
      <c r="G46" s="292"/>
      <c r="H46" s="291"/>
      <c r="I46" s="291"/>
      <c r="J46" s="291"/>
      <c r="K46" s="291"/>
      <c r="L46" s="291"/>
      <c r="M46" s="291"/>
      <c r="N46" s="291"/>
      <c r="O46" s="291"/>
      <c r="P46" s="291"/>
      <c r="Q46" s="291"/>
      <c r="R46" s="291"/>
      <c r="S46" s="291"/>
      <c r="U46" s="298"/>
      <c r="V46" s="298"/>
      <c r="W46" s="298"/>
      <c r="X46" s="298"/>
      <c r="Y46" s="298"/>
      <c r="Z46" s="291"/>
      <c r="AA46" s="298"/>
      <c r="AB46" s="298"/>
      <c r="AC46" s="298"/>
      <c r="AD46" s="298"/>
      <c r="AE46" s="298"/>
      <c r="AF46" s="291"/>
      <c r="AG46" s="291"/>
      <c r="AH46" s="291"/>
      <c r="AI46" s="291"/>
      <c r="AJ46" s="291"/>
      <c r="AK46" s="291"/>
      <c r="AR46" s="299"/>
      <c r="AS46" s="291"/>
      <c r="AT46" s="291"/>
      <c r="AU46" s="291"/>
      <c r="AV46" s="291"/>
      <c r="AW46" s="291"/>
      <c r="AX46" s="298"/>
      <c r="AY46" s="291"/>
      <c r="AZ46" s="291"/>
      <c r="BA46" s="291"/>
      <c r="BB46" s="291"/>
      <c r="BC46" s="291"/>
    </row>
    <row r="47" spans="1:55" s="401" customFormat="1" ht="20" x14ac:dyDescent="0.25">
      <c r="A47" s="326" t="s">
        <v>355</v>
      </c>
      <c r="C47" s="294" t="s">
        <v>193</v>
      </c>
      <c r="D47" s="292"/>
      <c r="E47" s="292"/>
      <c r="F47" s="292"/>
      <c r="G47" s="292"/>
      <c r="H47" s="291"/>
      <c r="I47" s="291"/>
      <c r="J47" s="291"/>
      <c r="K47" s="291"/>
      <c r="L47" s="291"/>
      <c r="M47" s="291"/>
      <c r="N47" s="291"/>
      <c r="O47" s="291"/>
      <c r="P47" s="291"/>
      <c r="Q47" s="291"/>
      <c r="R47" s="291"/>
      <c r="S47" s="291"/>
      <c r="U47" s="298"/>
      <c r="V47" s="298"/>
      <c r="W47" s="298"/>
      <c r="X47" s="298"/>
      <c r="Y47" s="298"/>
      <c r="Z47" s="291"/>
      <c r="AA47" s="298"/>
      <c r="AB47" s="298"/>
      <c r="AC47" s="298"/>
      <c r="AD47" s="298"/>
      <c r="AE47" s="298"/>
      <c r="AF47" s="291"/>
      <c r="AG47" s="291"/>
      <c r="AH47" s="291"/>
      <c r="AI47" s="291"/>
      <c r="AJ47" s="291"/>
      <c r="AK47" s="291"/>
      <c r="AR47" s="299"/>
      <c r="AS47" s="291"/>
      <c r="AT47" s="291"/>
      <c r="AU47" s="291"/>
      <c r="AV47" s="291"/>
      <c r="AW47" s="291"/>
      <c r="AX47" s="298"/>
      <c r="AY47" s="291"/>
      <c r="AZ47" s="291"/>
      <c r="BA47" s="291"/>
      <c r="BB47" s="291"/>
      <c r="BC47" s="291"/>
    </row>
    <row r="48" spans="1:55" s="401" customFormat="1" ht="20" x14ac:dyDescent="0.25">
      <c r="A48" s="291" t="s">
        <v>264</v>
      </c>
      <c r="B48" s="290"/>
      <c r="C48" s="292">
        <v>1575</v>
      </c>
      <c r="D48" s="292">
        <f>C48</f>
        <v>1575</v>
      </c>
      <c r="E48" s="292">
        <f t="shared" ref="E48:G48" si="37">D48</f>
        <v>1575</v>
      </c>
      <c r="F48" s="292">
        <f t="shared" si="37"/>
        <v>1575</v>
      </c>
      <c r="G48" s="292">
        <f t="shared" si="37"/>
        <v>1575</v>
      </c>
      <c r="H48" s="291"/>
      <c r="I48" s="403">
        <f>C48</f>
        <v>1575</v>
      </c>
      <c r="J48" s="344">
        <f>D48</f>
        <v>1575</v>
      </c>
      <c r="K48" s="344">
        <f>E48</f>
        <v>1575</v>
      </c>
      <c r="L48" s="344">
        <f>F48</f>
        <v>1575</v>
      </c>
      <c r="M48" s="344"/>
      <c r="N48" s="291"/>
      <c r="O48" s="403">
        <f>I48</f>
        <v>1575</v>
      </c>
      <c r="P48" s="344">
        <f>J48</f>
        <v>1575</v>
      </c>
      <c r="Q48" s="344">
        <f>K48</f>
        <v>1575</v>
      </c>
      <c r="R48" s="344">
        <f>L48</f>
        <v>1575</v>
      </c>
      <c r="S48" s="291"/>
      <c r="U48" s="294" t="s">
        <v>193</v>
      </c>
      <c r="V48" s="294" t="s">
        <v>193</v>
      </c>
      <c r="W48" s="294" t="s">
        <v>193</v>
      </c>
      <c r="X48" s="294" t="s">
        <v>193</v>
      </c>
      <c r="Y48" s="294" t="s">
        <v>193</v>
      </c>
      <c r="Z48" s="291"/>
      <c r="AA48" s="294" t="s">
        <v>193</v>
      </c>
      <c r="AB48" s="294" t="s">
        <v>193</v>
      </c>
      <c r="AC48" s="294" t="s">
        <v>193</v>
      </c>
      <c r="AD48" s="294" t="s">
        <v>193</v>
      </c>
      <c r="AE48" s="294" t="s">
        <v>193</v>
      </c>
      <c r="AF48" s="291"/>
      <c r="AG48" s="291"/>
      <c r="AH48" s="291"/>
      <c r="AI48" s="291"/>
      <c r="AJ48" s="291"/>
      <c r="AK48" s="291"/>
      <c r="AR48" s="299" t="s">
        <v>193</v>
      </c>
      <c r="AS48" s="291"/>
      <c r="AT48" s="291"/>
      <c r="AU48" s="291"/>
      <c r="AV48" s="291"/>
      <c r="AW48" s="291"/>
      <c r="AX48" s="298" t="s">
        <v>34</v>
      </c>
      <c r="AY48" s="291"/>
      <c r="AZ48" s="291"/>
      <c r="BA48" s="291"/>
      <c r="BB48" s="291"/>
      <c r="BC48" s="291"/>
    </row>
    <row r="49" spans="1:55" x14ac:dyDescent="0.25">
      <c r="C49" s="322"/>
      <c r="D49" s="322"/>
      <c r="E49" s="322"/>
      <c r="F49" s="322"/>
      <c r="G49" s="322"/>
    </row>
    <row r="50" spans="1:55" s="400" customFormat="1" ht="20" x14ac:dyDescent="0.25">
      <c r="A50" s="311" t="s">
        <v>380</v>
      </c>
      <c r="B50" s="318"/>
      <c r="C50" s="312" t="s">
        <v>348</v>
      </c>
      <c r="D50" s="311"/>
      <c r="E50" s="311"/>
      <c r="F50" s="311"/>
      <c r="G50" s="311"/>
      <c r="H50" s="319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1"/>
      <c r="U50" s="311"/>
      <c r="V50" s="311"/>
      <c r="W50" s="311"/>
      <c r="X50" s="311"/>
      <c r="Y50" s="311"/>
      <c r="Z50" s="311"/>
      <c r="AA50" s="311"/>
      <c r="AB50" s="311"/>
      <c r="AC50" s="311"/>
      <c r="AD50" s="311"/>
      <c r="AE50" s="311"/>
      <c r="AF50" s="314"/>
      <c r="AG50" s="314"/>
      <c r="AH50" s="314"/>
      <c r="AI50" s="314"/>
      <c r="AJ50" s="314"/>
      <c r="AK50" s="314"/>
      <c r="AR50" s="319" t="s">
        <v>193</v>
      </c>
      <c r="AS50" s="314"/>
      <c r="AT50" s="314"/>
      <c r="AU50" s="314"/>
      <c r="AV50" s="314"/>
      <c r="AW50" s="314"/>
      <c r="AX50" s="314" t="s">
        <v>34</v>
      </c>
      <c r="AY50" s="314"/>
      <c r="AZ50" s="314"/>
      <c r="BA50" s="314"/>
      <c r="BB50" s="314"/>
      <c r="BC50" s="314"/>
    </row>
    <row r="51" spans="1:55" x14ac:dyDescent="0.25">
      <c r="C51" s="322"/>
      <c r="D51" s="322"/>
      <c r="E51" s="322"/>
      <c r="F51" s="322"/>
      <c r="G51" s="322"/>
    </row>
    <row r="52" spans="1:55" x14ac:dyDescent="0.25">
      <c r="C52" s="322"/>
      <c r="D52" s="322"/>
      <c r="E52" s="322"/>
      <c r="F52" s="322"/>
      <c r="G52" s="322"/>
    </row>
    <row r="53" spans="1:55" s="400" customFormat="1" ht="20" x14ac:dyDescent="0.25">
      <c r="A53" s="311" t="s">
        <v>356</v>
      </c>
      <c r="B53" s="318"/>
      <c r="C53" s="312" t="s">
        <v>357</v>
      </c>
      <c r="D53" s="311"/>
      <c r="E53" s="311"/>
      <c r="F53" s="311"/>
      <c r="G53" s="311"/>
      <c r="H53" s="319" t="s">
        <v>193</v>
      </c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1"/>
      <c r="U53" s="311"/>
      <c r="V53" s="311"/>
      <c r="W53" s="311"/>
      <c r="X53" s="311"/>
      <c r="Y53" s="311"/>
      <c r="Z53" s="311"/>
      <c r="AA53" s="311"/>
      <c r="AB53" s="311"/>
      <c r="AC53" s="311"/>
      <c r="AD53" s="311"/>
      <c r="AE53" s="311"/>
      <c r="AF53" s="314"/>
      <c r="AG53" s="314"/>
      <c r="AH53" s="314"/>
      <c r="AI53" s="314"/>
      <c r="AJ53" s="314"/>
      <c r="AK53" s="314"/>
      <c r="AR53" s="319" t="s">
        <v>193</v>
      </c>
      <c r="AS53" s="314"/>
      <c r="AT53" s="314"/>
      <c r="AU53" s="314"/>
      <c r="AV53" s="314"/>
      <c r="AW53" s="314"/>
      <c r="AX53" s="314" t="s">
        <v>34</v>
      </c>
      <c r="AY53" s="314"/>
      <c r="AZ53" s="314"/>
      <c r="BA53" s="314"/>
      <c r="BB53" s="314"/>
      <c r="BC53" s="314"/>
    </row>
    <row r="54" spans="1:55" ht="20" x14ac:dyDescent="0.25">
      <c r="C54" s="294" t="s">
        <v>193</v>
      </c>
      <c r="D54" s="322"/>
      <c r="E54" s="322"/>
      <c r="F54" s="322"/>
      <c r="G54" s="322"/>
    </row>
    <row r="55" spans="1:55" s="399" customFormat="1" x14ac:dyDescent="0.25">
      <c r="A55" s="289"/>
      <c r="B55" s="327"/>
      <c r="C55" s="297"/>
      <c r="D55" s="200"/>
      <c r="E55" s="200"/>
      <c r="F55" s="200"/>
      <c r="G55" s="200"/>
      <c r="H55" s="289"/>
      <c r="I55" s="289"/>
      <c r="J55" s="289"/>
      <c r="K55" s="289"/>
      <c r="L55" s="289"/>
      <c r="M55" s="289"/>
      <c r="N55" s="289"/>
      <c r="O55" s="289"/>
      <c r="P55" s="289"/>
      <c r="Q55" s="289"/>
      <c r="R55" s="289"/>
      <c r="S55" s="289"/>
      <c r="T55" s="289"/>
      <c r="U55" s="289"/>
      <c r="V55" s="289"/>
      <c r="W55" s="289"/>
      <c r="X55" s="289"/>
      <c r="Y55" s="289"/>
      <c r="Z55" s="289"/>
      <c r="AA55" s="289"/>
      <c r="AB55" s="289"/>
      <c r="AC55" s="289"/>
      <c r="AD55" s="289"/>
      <c r="AE55" s="289"/>
      <c r="AF55" s="289"/>
      <c r="AG55" s="289"/>
      <c r="AH55" s="289"/>
      <c r="AI55" s="289"/>
      <c r="AJ55" s="289"/>
      <c r="AK55" s="289"/>
      <c r="AR55" s="289"/>
      <c r="AS55" s="289"/>
      <c r="AT55" s="289"/>
      <c r="AU55" s="289"/>
      <c r="AV55" s="289"/>
      <c r="AW55" s="289"/>
      <c r="AX55" s="289"/>
      <c r="AY55" s="289"/>
      <c r="AZ55" s="289"/>
      <c r="BA55" s="289"/>
      <c r="BB55" s="289"/>
      <c r="BC55" s="289"/>
    </row>
    <row r="56" spans="1:55" s="402" customFormat="1" ht="20" x14ac:dyDescent="0.25">
      <c r="A56" s="300" t="s">
        <v>69</v>
      </c>
      <c r="B56" s="310"/>
      <c r="C56" s="292">
        <f>Переменные!D70</f>
        <v>12400</v>
      </c>
      <c r="D56" s="292">
        <f>C56</f>
        <v>12400</v>
      </c>
      <c r="E56" s="292">
        <f t="shared" ref="E56:G56" si="38">D56</f>
        <v>12400</v>
      </c>
      <c r="F56" s="292">
        <f t="shared" si="38"/>
        <v>12400</v>
      </c>
      <c r="G56" s="292">
        <f t="shared" si="38"/>
        <v>12400</v>
      </c>
      <c r="H56" s="297"/>
      <c r="I56" s="297"/>
      <c r="J56" s="297"/>
      <c r="K56" s="297"/>
      <c r="L56" s="297"/>
      <c r="M56" s="297"/>
      <c r="N56" s="297"/>
      <c r="O56" s="297"/>
      <c r="P56" s="297"/>
      <c r="Q56" s="297"/>
      <c r="R56" s="297"/>
      <c r="S56" s="297"/>
      <c r="T56" s="297"/>
      <c r="U56" s="297"/>
      <c r="V56" s="297"/>
      <c r="W56" s="297"/>
      <c r="X56" s="297"/>
      <c r="Y56" s="297"/>
      <c r="Z56" s="300"/>
      <c r="AA56" s="300"/>
      <c r="AB56" s="300"/>
      <c r="AC56" s="300"/>
      <c r="AD56" s="300"/>
      <c r="AE56" s="300"/>
      <c r="AF56" s="297"/>
      <c r="AG56" s="297"/>
      <c r="AH56" s="297"/>
      <c r="AI56" s="297"/>
      <c r="AJ56" s="297"/>
      <c r="AK56" s="297"/>
      <c r="AR56" s="297"/>
      <c r="AS56" s="297"/>
      <c r="AT56" s="297"/>
      <c r="AU56" s="297"/>
      <c r="AV56" s="297"/>
      <c r="AW56" s="297"/>
      <c r="AX56" s="297"/>
      <c r="AY56" s="297"/>
      <c r="AZ56" s="297"/>
      <c r="BA56" s="297"/>
      <c r="BB56" s="297"/>
      <c r="BC56" s="297"/>
    </row>
    <row r="57" spans="1:55" s="402" customFormat="1" ht="20" x14ac:dyDescent="0.25">
      <c r="A57" s="300" t="s">
        <v>194</v>
      </c>
      <c r="B57" s="310"/>
      <c r="C57" s="297"/>
      <c r="D57" s="297"/>
      <c r="E57" s="297"/>
      <c r="F57" s="297"/>
      <c r="G57" s="297"/>
      <c r="H57" s="297"/>
      <c r="I57" s="297"/>
      <c r="J57" s="297"/>
      <c r="K57" s="297"/>
      <c r="L57" s="297"/>
      <c r="M57" s="297"/>
      <c r="N57" s="297"/>
      <c r="O57" s="297"/>
      <c r="P57" s="297"/>
      <c r="Q57" s="297"/>
      <c r="R57" s="297"/>
      <c r="S57" s="297"/>
      <c r="T57" s="297"/>
      <c r="U57" s="297"/>
      <c r="V57" s="297"/>
      <c r="W57" s="297"/>
      <c r="X57" s="297"/>
      <c r="Y57" s="297"/>
      <c r="Z57" s="300"/>
      <c r="AA57" s="300"/>
      <c r="AB57" s="300"/>
      <c r="AC57" s="300"/>
      <c r="AD57" s="300"/>
      <c r="AE57" s="300"/>
      <c r="AF57" s="297"/>
      <c r="AG57" s="297"/>
      <c r="AH57" s="297"/>
      <c r="AI57" s="297"/>
      <c r="AJ57" s="297"/>
      <c r="AK57" s="297"/>
      <c r="AR57" s="297"/>
      <c r="AS57" s="297"/>
      <c r="AT57" s="297"/>
      <c r="AU57" s="297"/>
      <c r="AV57" s="297"/>
      <c r="AW57" s="297"/>
      <c r="AX57" s="297"/>
      <c r="AY57" s="297"/>
      <c r="AZ57" s="297"/>
      <c r="BA57" s="297"/>
      <c r="BB57" s="297"/>
      <c r="BC57" s="297"/>
    </row>
    <row r="58" spans="1:55" ht="20" x14ac:dyDescent="0.25">
      <c r="A58" s="14" t="s">
        <v>161</v>
      </c>
      <c r="B58" s="67"/>
      <c r="C58" s="14"/>
      <c r="D58" s="14"/>
      <c r="E58" s="14"/>
      <c r="F58" s="14"/>
      <c r="G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spans="1:55" ht="20" x14ac:dyDescent="0.25">
      <c r="A59" s="16" t="s">
        <v>72</v>
      </c>
      <c r="B59" s="16"/>
      <c r="C59" s="78" t="s">
        <v>193</v>
      </c>
      <c r="D59" s="14"/>
      <c r="E59" s="14"/>
      <c r="F59" s="14"/>
      <c r="G59" s="14"/>
      <c r="T59" s="14"/>
      <c r="U59" s="14"/>
      <c r="V59" s="14"/>
      <c r="W59" s="14"/>
      <c r="X59" s="14"/>
      <c r="Y59" s="14"/>
      <c r="Z59" s="16"/>
      <c r="AA59" s="16"/>
      <c r="AB59" s="16"/>
      <c r="AC59" s="16"/>
      <c r="AD59" s="16"/>
      <c r="AE59" s="16"/>
    </row>
    <row r="60" spans="1:55" ht="20" x14ac:dyDescent="0.25">
      <c r="A60" s="16" t="s">
        <v>75</v>
      </c>
      <c r="B60" s="16"/>
      <c r="C60" s="78" t="s">
        <v>193</v>
      </c>
      <c r="D60" s="14"/>
      <c r="E60" s="14"/>
      <c r="F60" s="14"/>
      <c r="G60" s="14"/>
      <c r="T60" s="14"/>
      <c r="U60" s="14"/>
      <c r="V60" s="14"/>
      <c r="W60" s="14"/>
      <c r="X60" s="14"/>
      <c r="Y60" s="14"/>
      <c r="Z60" s="16"/>
      <c r="AA60" s="16"/>
      <c r="AB60" s="16"/>
      <c r="AC60" s="16"/>
      <c r="AD60" s="16"/>
      <c r="AE60" s="16"/>
    </row>
    <row r="61" spans="1:55" ht="20" x14ac:dyDescent="0.25">
      <c r="A61" s="16" t="s">
        <v>76</v>
      </c>
      <c r="B61" s="16"/>
      <c r="C61" s="78" t="s">
        <v>193</v>
      </c>
      <c r="D61" s="14"/>
      <c r="E61" s="14"/>
      <c r="F61" s="14"/>
      <c r="G61" s="14"/>
      <c r="T61" s="14"/>
      <c r="U61" s="14"/>
      <c r="V61" s="14"/>
      <c r="W61" s="14"/>
      <c r="X61" s="14"/>
      <c r="Y61" s="14"/>
      <c r="Z61" s="16"/>
      <c r="AA61" s="16"/>
      <c r="AB61" s="16"/>
      <c r="AC61" s="16"/>
      <c r="AD61" s="16"/>
      <c r="AE61" s="16"/>
    </row>
    <row r="62" spans="1:55" ht="20" x14ac:dyDescent="0.25">
      <c r="A62" s="16" t="s">
        <v>32</v>
      </c>
      <c r="B62" s="16"/>
      <c r="C62" s="78" t="s">
        <v>193</v>
      </c>
      <c r="D62" s="14"/>
      <c r="E62" s="14"/>
      <c r="F62" s="14"/>
      <c r="G62" s="14"/>
      <c r="T62" s="14"/>
      <c r="U62" s="14"/>
      <c r="V62" s="14"/>
      <c r="W62" s="14"/>
      <c r="X62" s="14"/>
      <c r="Y62" s="14"/>
      <c r="Z62" s="16"/>
      <c r="AA62" s="16"/>
      <c r="AB62" s="16"/>
      <c r="AC62" s="16"/>
      <c r="AD62" s="16"/>
      <c r="AE62" s="16"/>
    </row>
    <row r="64" spans="1:55" ht="20" x14ac:dyDescent="0.25">
      <c r="A64" s="14" t="s">
        <v>78</v>
      </c>
      <c r="B64" s="67"/>
      <c r="C64" s="78" t="s">
        <v>193</v>
      </c>
      <c r="D64" s="14"/>
      <c r="E64" s="14"/>
      <c r="F64" s="14"/>
      <c r="G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 spans="1:31" ht="20" x14ac:dyDescent="0.25">
      <c r="A65" s="14" t="s">
        <v>133</v>
      </c>
      <c r="B65" s="67"/>
      <c r="C65" s="78" t="s">
        <v>193</v>
      </c>
      <c r="D65" s="14"/>
      <c r="E65" s="14"/>
      <c r="F65" s="14"/>
      <c r="G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7" spans="1:31" ht="40" x14ac:dyDescent="0.25">
      <c r="A67" s="14" t="s">
        <v>205</v>
      </c>
      <c r="B67" s="67"/>
      <c r="C67" s="14"/>
      <c r="D67" s="14"/>
      <c r="E67" s="14"/>
      <c r="F67" s="14"/>
      <c r="G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 spans="1:31" x14ac:dyDescent="0.25">
      <c r="A68" s="16" t="s">
        <v>72</v>
      </c>
      <c r="B68" s="16"/>
      <c r="C68" s="80">
        <f>Переменные!B25</f>
        <v>8.694447864089622E-3</v>
      </c>
      <c r="D68" s="80">
        <f>Переменные!C25</f>
        <v>2.2027710943333612E-2</v>
      </c>
      <c r="E68" s="163">
        <f>Переменные!D25</f>
        <v>1.437329940987314E-2</v>
      </c>
      <c r="F68" s="163">
        <f>Переменные!E25</f>
        <v>1.437329940987314E-2</v>
      </c>
      <c r="G68" s="163">
        <f>Переменные!F25</f>
        <v>1.437329940987314E-2</v>
      </c>
      <c r="I68" s="81">
        <f>C68</f>
        <v>8.694447864089622E-3</v>
      </c>
      <c r="J68" s="81">
        <f>D68</f>
        <v>2.2027710943333612E-2</v>
      </c>
      <c r="K68" s="81">
        <f>E68</f>
        <v>1.437329940987314E-2</v>
      </c>
      <c r="L68" s="81">
        <f>F68</f>
        <v>1.437329940987314E-2</v>
      </c>
      <c r="M68" s="81"/>
      <c r="N68" s="16"/>
      <c r="O68" s="81">
        <f>I68</f>
        <v>8.694447864089622E-3</v>
      </c>
      <c r="P68" s="81">
        <f>J68</f>
        <v>2.2027710943333612E-2</v>
      </c>
      <c r="Q68" s="81">
        <f>K68</f>
        <v>1.437329940987314E-2</v>
      </c>
      <c r="R68" s="81">
        <f>L68</f>
        <v>1.437329940987314E-2</v>
      </c>
      <c r="Z68" s="16"/>
      <c r="AA68" s="16"/>
      <c r="AB68" s="16"/>
      <c r="AC68" s="16"/>
      <c r="AD68" s="16"/>
      <c r="AE68" s="16"/>
    </row>
    <row r="69" spans="1:31" x14ac:dyDescent="0.25">
      <c r="A69" s="16" t="s">
        <v>75</v>
      </c>
      <c r="B69" s="16"/>
      <c r="C69" s="80">
        <f>Переменные!B26</f>
        <v>0.11118121383725224</v>
      </c>
      <c r="D69" s="80">
        <f>Переменные!C26</f>
        <v>0.14747365801045384</v>
      </c>
      <c r="E69" s="163">
        <f>Переменные!D26</f>
        <v>0.12663875048588288</v>
      </c>
      <c r="F69" s="163">
        <f>Переменные!E26</f>
        <v>0.12663875048588288</v>
      </c>
      <c r="G69" s="163">
        <f>Переменные!F26</f>
        <v>0.12663875048588288</v>
      </c>
      <c r="I69" s="81">
        <f t="shared" ref="I69:I71" si="39">C69</f>
        <v>0.11118121383725224</v>
      </c>
      <c r="J69" s="81">
        <f>D69</f>
        <v>0.14747365801045384</v>
      </c>
      <c r="K69" s="81">
        <f>E69</f>
        <v>0.12663875048588288</v>
      </c>
      <c r="L69" s="81">
        <f>F69</f>
        <v>0.12663875048588288</v>
      </c>
      <c r="M69" s="81"/>
      <c r="N69" s="16"/>
      <c r="O69" s="81">
        <f t="shared" ref="O69:O71" si="40">I69</f>
        <v>0.11118121383725224</v>
      </c>
      <c r="P69" s="81">
        <f>J69</f>
        <v>0.14747365801045384</v>
      </c>
      <c r="Q69" s="81">
        <f>K69</f>
        <v>0.12663875048588288</v>
      </c>
      <c r="R69" s="81">
        <f>L69</f>
        <v>0.12663875048588288</v>
      </c>
      <c r="Z69" s="16"/>
      <c r="AA69" s="16"/>
      <c r="AB69" s="16"/>
      <c r="AC69" s="16"/>
      <c r="AD69" s="16"/>
      <c r="AE69" s="16"/>
    </row>
    <row r="70" spans="1:31" x14ac:dyDescent="0.25">
      <c r="A70" s="16" t="s">
        <v>76</v>
      </c>
      <c r="B70" s="16"/>
      <c r="C70" s="80">
        <f>Переменные!B27</f>
        <v>0.8801243382986581</v>
      </c>
      <c r="D70" s="80">
        <f>Переменные!C27</f>
        <v>0.83049863104621258</v>
      </c>
      <c r="E70" s="163">
        <f>Переменные!D27</f>
        <v>0.858987950104244</v>
      </c>
      <c r="F70" s="163">
        <f>Переменные!E27</f>
        <v>0.858987950104244</v>
      </c>
      <c r="G70" s="163">
        <f>Переменные!F27</f>
        <v>0.858987950104244</v>
      </c>
      <c r="I70" s="81">
        <f t="shared" si="39"/>
        <v>0.8801243382986581</v>
      </c>
      <c r="J70" s="81">
        <f>D70</f>
        <v>0.83049863104621258</v>
      </c>
      <c r="K70" s="81">
        <f>E70</f>
        <v>0.858987950104244</v>
      </c>
      <c r="L70" s="81">
        <f>F70</f>
        <v>0.858987950104244</v>
      </c>
      <c r="M70" s="81"/>
      <c r="N70" s="16"/>
      <c r="O70" s="81">
        <f t="shared" si="40"/>
        <v>0.8801243382986581</v>
      </c>
      <c r="P70" s="81">
        <f>J70</f>
        <v>0.83049863104621258</v>
      </c>
      <c r="Q70" s="81">
        <f>K70</f>
        <v>0.858987950104244</v>
      </c>
      <c r="R70" s="81">
        <f>L70</f>
        <v>0.858987950104244</v>
      </c>
      <c r="Z70" s="16"/>
      <c r="AA70" s="16"/>
      <c r="AB70" s="16"/>
      <c r="AC70" s="16"/>
      <c r="AD70" s="16"/>
      <c r="AE70" s="16"/>
    </row>
    <row r="71" spans="1:31" x14ac:dyDescent="0.25">
      <c r="A71" s="16" t="s">
        <v>32</v>
      </c>
      <c r="B71" s="16"/>
      <c r="C71" s="80">
        <f>Переменные!B28</f>
        <v>0</v>
      </c>
      <c r="D71" s="80">
        <f>Переменные!C28</f>
        <v>0</v>
      </c>
      <c r="E71" s="163">
        <f>Переменные!D28</f>
        <v>0</v>
      </c>
      <c r="F71" s="163">
        <f>Переменные!E28</f>
        <v>0</v>
      </c>
      <c r="G71" s="163">
        <f>Переменные!F28</f>
        <v>0</v>
      </c>
      <c r="I71" s="81">
        <f t="shared" si="39"/>
        <v>0</v>
      </c>
      <c r="J71" s="81">
        <f>D71</f>
        <v>0</v>
      </c>
      <c r="K71" s="81">
        <f>E71</f>
        <v>0</v>
      </c>
      <c r="L71" s="81">
        <f>F71</f>
        <v>0</v>
      </c>
      <c r="M71" s="81"/>
      <c r="N71" s="16"/>
      <c r="O71" s="81">
        <f t="shared" si="40"/>
        <v>0</v>
      </c>
      <c r="P71" s="81">
        <f>J71</f>
        <v>0</v>
      </c>
      <c r="Q71" s="81">
        <f>K71</f>
        <v>0</v>
      </c>
      <c r="R71" s="81">
        <f>L71</f>
        <v>0</v>
      </c>
      <c r="Z71" s="16"/>
      <c r="AA71" s="16"/>
      <c r="AB71" s="16"/>
      <c r="AC71" s="16"/>
      <c r="AD71" s="16"/>
      <c r="AE71" s="16"/>
    </row>
    <row r="72" spans="1:31" x14ac:dyDescent="0.25">
      <c r="A72" s="16"/>
      <c r="B72" s="16"/>
      <c r="C72" s="80"/>
      <c r="D72" s="80"/>
      <c r="E72" s="323" t="s">
        <v>349</v>
      </c>
      <c r="F72" s="80"/>
      <c r="G72" s="80"/>
      <c r="N72" s="16"/>
      <c r="O72" s="80"/>
      <c r="P72" s="80"/>
      <c r="Z72" s="16"/>
      <c r="AA72" s="16"/>
      <c r="AB72" s="16"/>
      <c r="AC72" s="16"/>
      <c r="AD72" s="16"/>
      <c r="AE72" s="16"/>
    </row>
    <row r="73" spans="1:31" ht="60" x14ac:dyDescent="0.25">
      <c r="A73" s="14" t="s">
        <v>206</v>
      </c>
      <c r="B73" s="16"/>
      <c r="C73" s="80"/>
      <c r="D73" s="80"/>
      <c r="E73" s="80"/>
      <c r="F73" s="80"/>
      <c r="G73" s="80"/>
      <c r="N73" s="16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16"/>
      <c r="AA73" s="16"/>
      <c r="AB73" s="16"/>
      <c r="AC73" s="16"/>
      <c r="AD73" s="16"/>
      <c r="AE73" s="16"/>
    </row>
    <row r="74" spans="1:31" ht="20" x14ac:dyDescent="0.25">
      <c r="A74" s="16" t="s">
        <v>72</v>
      </c>
      <c r="B74" s="16"/>
      <c r="C74" s="78" t="s">
        <v>193</v>
      </c>
      <c r="N74" s="16"/>
      <c r="O74" s="184"/>
      <c r="P74" s="184"/>
      <c r="Q74" s="184"/>
      <c r="R74" s="184"/>
      <c r="S74" s="184"/>
      <c r="Z74" s="16"/>
      <c r="AA74" s="16"/>
      <c r="AB74" s="16"/>
      <c r="AC74" s="16"/>
      <c r="AD74" s="16"/>
      <c r="AE74" s="16"/>
    </row>
    <row r="75" spans="1:31" ht="20" x14ac:dyDescent="0.25">
      <c r="A75" s="16" t="s">
        <v>75</v>
      </c>
      <c r="B75" s="16"/>
      <c r="C75" s="78" t="s">
        <v>193</v>
      </c>
      <c r="N75" s="16"/>
      <c r="O75" s="184"/>
      <c r="P75" s="184"/>
      <c r="Q75" s="184"/>
      <c r="R75" s="184"/>
      <c r="S75" s="184"/>
      <c r="Z75" s="16"/>
      <c r="AA75" s="16"/>
      <c r="AB75" s="16"/>
      <c r="AC75" s="16"/>
      <c r="AD75" s="16"/>
      <c r="AE75" s="16"/>
    </row>
    <row r="76" spans="1:31" ht="20" x14ac:dyDescent="0.25">
      <c r="A76" s="16" t="s">
        <v>76</v>
      </c>
      <c r="B76" s="16"/>
      <c r="C76" s="78" t="s">
        <v>193</v>
      </c>
      <c r="N76" s="16"/>
      <c r="O76" s="184"/>
      <c r="P76" s="184"/>
      <c r="Q76" s="184"/>
      <c r="R76" s="184"/>
      <c r="S76" s="184"/>
      <c r="Z76" s="16"/>
      <c r="AA76" s="16"/>
      <c r="AB76" s="16"/>
      <c r="AC76" s="16"/>
      <c r="AD76" s="16"/>
      <c r="AE76" s="16"/>
    </row>
    <row r="77" spans="1:31" ht="20" x14ac:dyDescent="0.25">
      <c r="A77" s="16" t="s">
        <v>32</v>
      </c>
      <c r="B77" s="16"/>
      <c r="C77" s="78" t="s">
        <v>193</v>
      </c>
      <c r="N77" s="16"/>
      <c r="O77" s="184"/>
      <c r="P77" s="184"/>
      <c r="Q77" s="184"/>
      <c r="R77" s="184"/>
      <c r="S77" s="184"/>
      <c r="Z77" s="16"/>
      <c r="AA77" s="16"/>
      <c r="AB77" s="16"/>
      <c r="AC77" s="16"/>
      <c r="AD77" s="16"/>
      <c r="AE77" s="16"/>
    </row>
    <row r="78" spans="1:31" x14ac:dyDescent="0.25">
      <c r="O78" s="80"/>
      <c r="P78" s="80"/>
      <c r="Q78" s="80"/>
      <c r="R78" s="80"/>
      <c r="S78" s="80"/>
    </row>
    <row r="79" spans="1:31" x14ac:dyDescent="0.25">
      <c r="A79" s="19" t="s">
        <v>344</v>
      </c>
      <c r="C79" s="19" t="s">
        <v>345</v>
      </c>
      <c r="D79" s="19"/>
      <c r="E79" s="19"/>
      <c r="F79" s="19"/>
      <c r="G79" s="19"/>
      <c r="N79" s="19"/>
      <c r="O79" s="80"/>
      <c r="P79" s="80"/>
      <c r="Q79" s="80"/>
      <c r="R79" s="80"/>
      <c r="S79" s="80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</row>
    <row r="80" spans="1:31" x14ac:dyDescent="0.25">
      <c r="A80" s="16" t="s">
        <v>74</v>
      </c>
      <c r="B80" s="16"/>
      <c r="D80" s="16"/>
      <c r="E80" s="16"/>
      <c r="F80" s="16"/>
      <c r="G80" s="16"/>
      <c r="N80" s="19"/>
      <c r="O80" s="80"/>
      <c r="P80" s="80"/>
      <c r="Q80" s="80"/>
      <c r="R80" s="80"/>
      <c r="S80" s="80"/>
      <c r="T80" s="19"/>
      <c r="U80" s="19"/>
      <c r="V80" s="19"/>
      <c r="W80" s="19"/>
      <c r="X80" s="19"/>
      <c r="Y80" s="19"/>
      <c r="Z80" s="16"/>
      <c r="AA80" s="16"/>
      <c r="AB80" s="16"/>
      <c r="AC80" s="16"/>
      <c r="AD80" s="16"/>
      <c r="AE80" s="16"/>
    </row>
    <row r="81" spans="1:31" x14ac:dyDescent="0.25">
      <c r="A81" s="16" t="s">
        <v>72</v>
      </c>
      <c r="B81" s="16"/>
      <c r="C81" s="346">
        <f>Переменные!C51</f>
        <v>116292</v>
      </c>
      <c r="D81" s="346">
        <f>C81</f>
        <v>116292</v>
      </c>
      <c r="E81" s="346">
        <f t="shared" ref="E81:G81" si="41">D81</f>
        <v>116292</v>
      </c>
      <c r="F81" s="346">
        <f t="shared" si="41"/>
        <v>116292</v>
      </c>
      <c r="G81" s="346">
        <f t="shared" si="41"/>
        <v>116292</v>
      </c>
      <c r="I81" s="345">
        <f>C81</f>
        <v>116292</v>
      </c>
      <c r="J81" s="345">
        <f>D81</f>
        <v>116292</v>
      </c>
      <c r="K81" s="345">
        <f>E81</f>
        <v>116292</v>
      </c>
      <c r="L81" s="345">
        <f>F81</f>
        <v>116292</v>
      </c>
      <c r="N81" s="19"/>
      <c r="O81" s="345">
        <f>I81</f>
        <v>116292</v>
      </c>
      <c r="P81" s="345">
        <f>J81</f>
        <v>116292</v>
      </c>
      <c r="Q81" s="345">
        <f>K81</f>
        <v>116292</v>
      </c>
      <c r="R81" s="345">
        <f>L81</f>
        <v>116292</v>
      </c>
      <c r="S81" s="80"/>
      <c r="T81" s="19"/>
      <c r="U81" s="19"/>
      <c r="V81" s="19"/>
      <c r="W81" s="19"/>
      <c r="X81" s="19"/>
      <c r="Y81" s="19"/>
      <c r="Z81" s="16"/>
      <c r="AA81" s="16"/>
      <c r="AB81" s="16"/>
      <c r="AC81" s="16"/>
      <c r="AD81" s="16"/>
      <c r="AE81" s="16"/>
    </row>
    <row r="82" spans="1:31" x14ac:dyDescent="0.25">
      <c r="A82" s="16" t="s">
        <v>75</v>
      </c>
      <c r="B82" s="16"/>
      <c r="C82" s="346">
        <f>Переменные!C52</f>
        <v>70587</v>
      </c>
      <c r="D82" s="346">
        <f t="shared" ref="D82:G82" si="42">C82</f>
        <v>70587</v>
      </c>
      <c r="E82" s="346">
        <f t="shared" si="42"/>
        <v>70587</v>
      </c>
      <c r="F82" s="346">
        <f t="shared" si="42"/>
        <v>70587</v>
      </c>
      <c r="G82" s="346">
        <f t="shared" si="42"/>
        <v>70587</v>
      </c>
      <c r="I82" s="345">
        <f t="shared" ref="I82:I84" si="43">C82</f>
        <v>70587</v>
      </c>
      <c r="J82" s="345">
        <f>D82</f>
        <v>70587</v>
      </c>
      <c r="K82" s="345">
        <f>E82</f>
        <v>70587</v>
      </c>
      <c r="L82" s="345">
        <f>F82</f>
        <v>70587</v>
      </c>
      <c r="N82" s="19"/>
      <c r="O82" s="345">
        <f t="shared" ref="O82:O84" si="44">I82</f>
        <v>70587</v>
      </c>
      <c r="P82" s="345">
        <f>J82</f>
        <v>70587</v>
      </c>
      <c r="Q82" s="345">
        <f>K82</f>
        <v>70587</v>
      </c>
      <c r="R82" s="345">
        <f>L82</f>
        <v>70587</v>
      </c>
      <c r="S82" s="80"/>
      <c r="T82" s="19"/>
      <c r="U82" s="19"/>
      <c r="V82" s="19"/>
      <c r="W82" s="19"/>
      <c r="X82" s="19"/>
      <c r="Y82" s="19"/>
      <c r="Z82" s="16"/>
      <c r="AA82" s="16"/>
      <c r="AB82" s="16"/>
      <c r="AC82" s="16"/>
      <c r="AD82" s="16"/>
      <c r="AE82" s="16"/>
    </row>
    <row r="83" spans="1:31" x14ac:dyDescent="0.25">
      <c r="A83" s="16" t="s">
        <v>76</v>
      </c>
      <c r="B83" s="16"/>
      <c r="C83" s="346">
        <f>Переменные!C53</f>
        <v>45114</v>
      </c>
      <c r="D83" s="346">
        <f t="shared" ref="D83:G83" si="45">C83</f>
        <v>45114</v>
      </c>
      <c r="E83" s="346">
        <f t="shared" si="45"/>
        <v>45114</v>
      </c>
      <c r="F83" s="346">
        <f t="shared" si="45"/>
        <v>45114</v>
      </c>
      <c r="G83" s="346">
        <f t="shared" si="45"/>
        <v>45114</v>
      </c>
      <c r="I83" s="345">
        <f t="shared" si="43"/>
        <v>45114</v>
      </c>
      <c r="J83" s="345">
        <f>D83</f>
        <v>45114</v>
      </c>
      <c r="K83" s="345">
        <f>E83</f>
        <v>45114</v>
      </c>
      <c r="L83" s="345">
        <f>F83</f>
        <v>45114</v>
      </c>
      <c r="N83" s="19"/>
      <c r="O83" s="345">
        <f t="shared" si="44"/>
        <v>45114</v>
      </c>
      <c r="P83" s="345">
        <f>J83</f>
        <v>45114</v>
      </c>
      <c r="Q83" s="345">
        <f>K83</f>
        <v>45114</v>
      </c>
      <c r="R83" s="345">
        <f>L83</f>
        <v>45114</v>
      </c>
      <c r="S83" s="80"/>
      <c r="T83" s="19"/>
      <c r="U83" s="19"/>
      <c r="V83" s="19"/>
      <c r="W83" s="19"/>
      <c r="X83" s="19"/>
      <c r="Y83" s="19"/>
      <c r="Z83" s="16"/>
      <c r="AA83" s="16"/>
      <c r="AB83" s="16"/>
      <c r="AC83" s="16"/>
      <c r="AD83" s="16"/>
      <c r="AE83" s="16"/>
    </row>
    <row r="84" spans="1:31" x14ac:dyDescent="0.25">
      <c r="A84" s="16" t="s">
        <v>32</v>
      </c>
      <c r="B84" s="16"/>
      <c r="C84" s="346">
        <f>Переменные!C54</f>
        <v>28206</v>
      </c>
      <c r="D84" s="346">
        <f t="shared" ref="D84:G85" si="46">C84</f>
        <v>28206</v>
      </c>
      <c r="E84" s="346">
        <f t="shared" si="46"/>
        <v>28206</v>
      </c>
      <c r="F84" s="346">
        <f t="shared" si="46"/>
        <v>28206</v>
      </c>
      <c r="G84" s="346">
        <f t="shared" si="46"/>
        <v>28206</v>
      </c>
      <c r="I84" s="345">
        <f t="shared" si="43"/>
        <v>28206</v>
      </c>
      <c r="J84" s="345">
        <f>D84</f>
        <v>28206</v>
      </c>
      <c r="K84" s="345">
        <f>E84</f>
        <v>28206</v>
      </c>
      <c r="L84" s="345">
        <f>F84</f>
        <v>28206</v>
      </c>
      <c r="N84" s="19"/>
      <c r="O84" s="345">
        <f t="shared" si="44"/>
        <v>28206</v>
      </c>
      <c r="P84" s="345">
        <f>J84</f>
        <v>28206</v>
      </c>
      <c r="Q84" s="345">
        <f>K84</f>
        <v>28206</v>
      </c>
      <c r="R84" s="345">
        <f>L84</f>
        <v>28206</v>
      </c>
      <c r="S84" s="80"/>
      <c r="T84" s="19"/>
      <c r="U84" s="19"/>
      <c r="V84" s="19"/>
      <c r="W84" s="19"/>
      <c r="X84" s="19"/>
      <c r="Y84" s="19"/>
      <c r="Z84" s="16"/>
      <c r="AA84" s="16"/>
      <c r="AB84" s="16"/>
      <c r="AC84" s="16"/>
      <c r="AD84" s="16"/>
      <c r="AE84" s="16"/>
    </row>
    <row r="85" spans="1:31" x14ac:dyDescent="0.25">
      <c r="B85" s="164"/>
      <c r="C85" s="22">
        <f>Переменные!C54</f>
        <v>28206</v>
      </c>
      <c r="D85" s="346">
        <f t="shared" si="46"/>
        <v>28206</v>
      </c>
      <c r="E85" s="346">
        <f t="shared" ref="E85" si="47">D85</f>
        <v>28206</v>
      </c>
      <c r="F85" s="346">
        <f t="shared" ref="F85" si="48">E85</f>
        <v>28206</v>
      </c>
      <c r="G85" s="346">
        <f t="shared" ref="G85" si="49">F85</f>
        <v>28206</v>
      </c>
      <c r="O85" s="80"/>
      <c r="P85" s="80"/>
      <c r="Q85" s="80"/>
      <c r="R85" s="80"/>
      <c r="S85" s="80"/>
      <c r="T85" s="19"/>
      <c r="U85" s="19"/>
      <c r="V85" s="19"/>
      <c r="W85" s="19"/>
      <c r="X85" s="19"/>
      <c r="Y85" s="19"/>
      <c r="Z85" s="92"/>
      <c r="AA85" s="92"/>
      <c r="AB85" s="92"/>
      <c r="AC85" s="92"/>
      <c r="AD85" s="92"/>
      <c r="AE85" s="92"/>
    </row>
    <row r="86" spans="1:31" x14ac:dyDescent="0.25">
      <c r="C86" s="324" t="s">
        <v>343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C0FD-7393-1745-9AF4-81796922DD53}">
  <dimension ref="A1:P40"/>
  <sheetViews>
    <sheetView topLeftCell="A3" workbookViewId="0">
      <selection activeCell="F28" sqref="E27:F28"/>
    </sheetView>
  </sheetViews>
  <sheetFormatPr baseColWidth="10" defaultRowHeight="16" x14ac:dyDescent="0.2"/>
  <cols>
    <col min="1" max="1" width="21.5" customWidth="1"/>
    <col min="2" max="2" width="35.6640625" style="6" customWidth="1"/>
    <col min="3" max="3" width="23" customWidth="1"/>
    <col min="4" max="4" width="18.5" customWidth="1"/>
    <col min="5" max="5" width="13.83203125" customWidth="1"/>
    <col min="6" max="6" width="12" customWidth="1"/>
    <col min="7" max="11" width="18" customWidth="1"/>
    <col min="12" max="12" width="18.1640625" customWidth="1"/>
  </cols>
  <sheetData>
    <row r="1" spans="1:13" s="374" customFormat="1" x14ac:dyDescent="0.2">
      <c r="A1" s="372" t="s">
        <v>298</v>
      </c>
      <c r="B1" s="373"/>
    </row>
    <row r="2" spans="1:13" x14ac:dyDescent="0.2">
      <c r="A2" s="224"/>
      <c r="B2" s="237"/>
      <c r="C2" s="86"/>
      <c r="D2" s="238" t="s">
        <v>299</v>
      </c>
      <c r="E2" s="224" t="s">
        <v>300</v>
      </c>
      <c r="F2" s="225" t="s">
        <v>300</v>
      </c>
      <c r="G2" s="239">
        <v>46054</v>
      </c>
      <c r="H2" s="239">
        <v>46054</v>
      </c>
      <c r="I2" s="239">
        <v>46082</v>
      </c>
      <c r="J2" s="239">
        <v>46082</v>
      </c>
      <c r="K2" s="239">
        <v>46113</v>
      </c>
      <c r="L2" s="239"/>
    </row>
    <row r="3" spans="1:13" s="242" customFormat="1" ht="32" x14ac:dyDescent="0.2">
      <c r="A3" s="240" t="s">
        <v>301</v>
      </c>
      <c r="B3" s="241" t="s">
        <v>302</v>
      </c>
      <c r="C3" s="242" t="s">
        <v>293</v>
      </c>
      <c r="E3" s="243">
        <v>68103.666666666672</v>
      </c>
      <c r="F3" s="244"/>
      <c r="G3" s="242">
        <v>69572</v>
      </c>
      <c r="I3" s="242">
        <v>68231</v>
      </c>
      <c r="K3" s="242">
        <v>66508</v>
      </c>
    </row>
    <row r="4" spans="1:13" s="242" customFormat="1" x14ac:dyDescent="0.2">
      <c r="A4" s="240" t="s">
        <v>303</v>
      </c>
      <c r="B4" s="241" t="s">
        <v>304</v>
      </c>
      <c r="C4" s="242" t="s">
        <v>305</v>
      </c>
      <c r="D4" s="242" t="s">
        <v>306</v>
      </c>
      <c r="E4" s="243">
        <v>5894</v>
      </c>
      <c r="F4" s="245">
        <v>8.6995852377086444E-2</v>
      </c>
      <c r="G4" s="242">
        <v>4442</v>
      </c>
      <c r="H4" s="246">
        <f>G4/G3</f>
        <v>6.3847524866325528E-2</v>
      </c>
      <c r="I4" s="242">
        <v>5093</v>
      </c>
      <c r="J4" s="246">
        <f>I4/I3</f>
        <v>7.464349049552256E-2</v>
      </c>
      <c r="K4" s="242">
        <v>8147</v>
      </c>
      <c r="L4" s="246"/>
      <c r="M4" s="247"/>
    </row>
    <row r="5" spans="1:13" s="242" customFormat="1" x14ac:dyDescent="0.2">
      <c r="A5" s="240" t="s">
        <v>307</v>
      </c>
      <c r="B5" s="241" t="s">
        <v>308</v>
      </c>
      <c r="C5" s="242" t="s">
        <v>309</v>
      </c>
      <c r="D5" s="242" t="s">
        <v>306</v>
      </c>
      <c r="E5" s="243">
        <v>966</v>
      </c>
      <c r="F5" s="245">
        <v>1.4216249784894589E-2</v>
      </c>
      <c r="G5" s="242">
        <v>906</v>
      </c>
      <c r="H5" s="246">
        <f>G5/G3</f>
        <v>1.3022480308169953E-2</v>
      </c>
      <c r="I5" s="242">
        <v>856</v>
      </c>
      <c r="J5" s="246">
        <f>I5/I3</f>
        <v>1.2545617094868901E-2</v>
      </c>
      <c r="K5" s="242">
        <v>1136</v>
      </c>
      <c r="L5" s="246"/>
      <c r="M5" s="247"/>
    </row>
    <row r="6" spans="1:13" s="242" customFormat="1" x14ac:dyDescent="0.2">
      <c r="A6" s="248" t="s">
        <v>310</v>
      </c>
      <c r="B6" s="249" t="s">
        <v>311</v>
      </c>
      <c r="C6" s="242" t="s">
        <v>312</v>
      </c>
      <c r="D6" s="383" t="s">
        <v>313</v>
      </c>
      <c r="E6" s="250">
        <v>250.66666666666666</v>
      </c>
      <c r="F6" s="251">
        <v>0.25381320402315999</v>
      </c>
      <c r="G6" s="242">
        <v>199</v>
      </c>
      <c r="H6" s="246">
        <f>G6/G$5</f>
        <v>0.2196467991169978</v>
      </c>
      <c r="I6" s="242">
        <v>191</v>
      </c>
      <c r="J6" s="246">
        <f>I6/I$5</f>
        <v>0.22313084112149534</v>
      </c>
      <c r="K6" s="242">
        <v>362</v>
      </c>
      <c r="L6" s="246"/>
      <c r="M6" s="247"/>
    </row>
    <row r="7" spans="1:13" s="242" customFormat="1" x14ac:dyDescent="0.2">
      <c r="A7" s="252" t="s">
        <v>314</v>
      </c>
      <c r="B7" s="253" t="s">
        <v>315</v>
      </c>
      <c r="C7" s="242" t="s">
        <v>316</v>
      </c>
      <c r="D7" s="384" t="s">
        <v>313</v>
      </c>
      <c r="E7" s="254">
        <v>218.33333333333334</v>
      </c>
      <c r="F7" s="255">
        <v>0.22552123393466092</v>
      </c>
      <c r="G7" s="242">
        <v>200</v>
      </c>
      <c r="H7" s="246">
        <f>G7/G$5</f>
        <v>0.22075055187637968</v>
      </c>
      <c r="I7" s="242">
        <v>192</v>
      </c>
      <c r="J7" s="246">
        <f>I7/I$5</f>
        <v>0.22429906542056074</v>
      </c>
      <c r="K7" s="242">
        <v>263</v>
      </c>
      <c r="L7" s="246"/>
      <c r="M7" s="247"/>
    </row>
    <row r="8" spans="1:13" s="242" customFormat="1" x14ac:dyDescent="0.2">
      <c r="A8" s="248" t="s">
        <v>317</v>
      </c>
      <c r="B8" s="249" t="s">
        <v>318</v>
      </c>
      <c r="C8" s="242" t="s">
        <v>319</v>
      </c>
      <c r="D8" t="s">
        <v>337</v>
      </c>
      <c r="E8" s="250">
        <v>151</v>
      </c>
      <c r="F8" s="251">
        <v>2.5619273837801153E-2</v>
      </c>
      <c r="G8" s="242">
        <v>134</v>
      </c>
      <c r="H8" s="246">
        <f>G8/G$4</f>
        <v>3.0166591625393965E-2</v>
      </c>
      <c r="I8" s="242">
        <v>146</v>
      </c>
      <c r="J8" s="246">
        <f>I8/I$4</f>
        <v>2.8666797565285687E-2</v>
      </c>
      <c r="K8" s="242">
        <v>173</v>
      </c>
      <c r="L8" s="246"/>
      <c r="M8" s="247"/>
    </row>
    <row r="9" spans="1:13" s="242" customFormat="1" x14ac:dyDescent="0.2">
      <c r="A9" s="240" t="s">
        <v>320</v>
      </c>
      <c r="B9" s="241" t="s">
        <v>321</v>
      </c>
      <c r="C9" s="242" t="s">
        <v>322</v>
      </c>
      <c r="D9" t="s">
        <v>337</v>
      </c>
      <c r="E9" s="243">
        <v>71.666666666666671</v>
      </c>
      <c r="F9" s="245">
        <v>1.3210092717146257E-2</v>
      </c>
      <c r="G9" s="242">
        <v>79</v>
      </c>
      <c r="H9" s="246">
        <f>G9/G$4</f>
        <v>1.7784781629896444E-2</v>
      </c>
      <c r="I9" s="242">
        <v>70</v>
      </c>
      <c r="J9" s="246">
        <f>I9/I$4</f>
        <v>1.3744354997054781E-2</v>
      </c>
      <c r="K9" s="242">
        <v>66</v>
      </c>
      <c r="L9" s="246"/>
      <c r="M9" s="247"/>
    </row>
    <row r="10" spans="1:13" s="242" customFormat="1" ht="32" x14ac:dyDescent="0.2">
      <c r="A10" s="240" t="s">
        <v>323</v>
      </c>
      <c r="B10" s="241" t="s">
        <v>324</v>
      </c>
      <c r="C10" s="242" t="s">
        <v>325</v>
      </c>
      <c r="D10" t="s">
        <v>337</v>
      </c>
      <c r="E10" s="243">
        <v>31.333333333333332</v>
      </c>
      <c r="F10" s="245">
        <v>5.1173516914485573E-3</v>
      </c>
      <c r="G10" s="242">
        <v>20</v>
      </c>
      <c r="H10" s="246">
        <f>G10/G$4</f>
        <v>4.5024763619990991E-3</v>
      </c>
      <c r="I10" s="242">
        <v>24</v>
      </c>
      <c r="J10" s="246">
        <f>I10/I$4</f>
        <v>4.7123502847044967E-3</v>
      </c>
      <c r="K10" s="242">
        <v>50</v>
      </c>
      <c r="L10" s="246"/>
      <c r="M10" s="247"/>
    </row>
    <row r="11" spans="1:13" ht="17" x14ac:dyDescent="0.2">
      <c r="A11" s="256" t="s">
        <v>326</v>
      </c>
      <c r="B11" s="257" t="s">
        <v>327</v>
      </c>
      <c r="C11" s="234"/>
      <c r="D11" t="s">
        <v>337</v>
      </c>
      <c r="E11" s="258">
        <f>E10+E9</f>
        <v>103</v>
      </c>
      <c r="F11" s="259">
        <f>E11/E4</f>
        <v>1.7475398710553106E-2</v>
      </c>
      <c r="H11" s="260"/>
      <c r="J11" s="260"/>
      <c r="L11" s="260"/>
      <c r="M11" s="260"/>
    </row>
    <row r="12" spans="1:13" ht="96" x14ac:dyDescent="0.2">
      <c r="D12" s="236" t="s">
        <v>364</v>
      </c>
      <c r="E12" s="381"/>
      <c r="F12" s="381"/>
      <c r="G12" s="381"/>
      <c r="H12" s="260"/>
      <c r="J12" s="260"/>
      <c r="L12" s="260"/>
      <c r="M12" s="260"/>
    </row>
    <row r="13" spans="1:13" x14ac:dyDescent="0.2">
      <c r="E13" s="381"/>
      <c r="F13" s="381"/>
      <c r="H13" s="260"/>
      <c r="J13" s="260"/>
      <c r="L13" s="260"/>
      <c r="M13" s="260"/>
    </row>
    <row r="14" spans="1:13" s="374" customFormat="1" x14ac:dyDescent="0.2">
      <c r="A14" s="372" t="s">
        <v>365</v>
      </c>
      <c r="B14" s="373"/>
    </row>
    <row r="15" spans="1:13" x14ac:dyDescent="0.2">
      <c r="A15" s="224"/>
      <c r="B15" s="237">
        <v>0</v>
      </c>
      <c r="C15" s="86">
        <v>1</v>
      </c>
      <c r="D15" s="86">
        <v>2</v>
      </c>
      <c r="E15" s="86">
        <v>3</v>
      </c>
      <c r="F15" s="86">
        <v>4</v>
      </c>
      <c r="G15" s="86">
        <v>5</v>
      </c>
      <c r="H15" s="86">
        <v>6</v>
      </c>
      <c r="J15" s="260"/>
      <c r="L15" s="260"/>
      <c r="M15" s="260"/>
    </row>
    <row r="16" spans="1:13" x14ac:dyDescent="0.2">
      <c r="A16" s="231" t="s">
        <v>328</v>
      </c>
      <c r="B16" s="261">
        <v>1</v>
      </c>
      <c r="C16" s="262">
        <v>0.44721791257173082</v>
      </c>
      <c r="D16" s="262">
        <v>0.28408527909392306</v>
      </c>
      <c r="E16" s="262">
        <v>0.29794572957484949</v>
      </c>
      <c r="F16" s="262">
        <v>0.22764628183055638</v>
      </c>
      <c r="G16" s="262">
        <v>0.18555068226120858</v>
      </c>
      <c r="H16" s="232">
        <v>1.3157894736842099E-2</v>
      </c>
      <c r="J16" s="260"/>
      <c r="L16" s="260"/>
      <c r="M16" s="260"/>
    </row>
    <row r="17" spans="1:16" x14ac:dyDescent="0.2">
      <c r="A17" s="224" t="s">
        <v>329</v>
      </c>
      <c r="B17" s="375">
        <v>2.4556037800691102</v>
      </c>
      <c r="C17" s="263"/>
      <c r="D17" s="263"/>
      <c r="E17" s="263"/>
      <c r="F17" s="263"/>
      <c r="G17" s="263"/>
      <c r="H17" s="263"/>
      <c r="J17" s="260"/>
      <c r="L17" s="260"/>
      <c r="M17" s="260"/>
    </row>
    <row r="18" spans="1:16" x14ac:dyDescent="0.2">
      <c r="A18" s="226" t="s">
        <v>330</v>
      </c>
      <c r="B18" s="264">
        <v>3164</v>
      </c>
      <c r="C18" s="263"/>
      <c r="D18" s="263"/>
      <c r="E18" s="263"/>
      <c r="F18" s="263"/>
      <c r="G18" s="263"/>
      <c r="H18" s="263"/>
      <c r="J18" s="260"/>
      <c r="L18" s="260"/>
      <c r="M18" s="260"/>
    </row>
    <row r="19" spans="1:16" x14ac:dyDescent="0.2">
      <c r="A19" s="231" t="s">
        <v>331</v>
      </c>
      <c r="B19" s="265">
        <v>7769.5303601386649</v>
      </c>
      <c r="C19" s="263"/>
      <c r="D19" s="263"/>
      <c r="E19" s="263"/>
      <c r="F19" s="263"/>
      <c r="G19" s="263"/>
      <c r="H19" s="263"/>
      <c r="J19" s="260"/>
      <c r="L19" s="260"/>
      <c r="M19" s="260"/>
    </row>
    <row r="20" spans="1:16" x14ac:dyDescent="0.2">
      <c r="H20" s="260"/>
      <c r="J20" s="260"/>
      <c r="L20" s="260"/>
      <c r="M20" s="260"/>
    </row>
    <row r="21" spans="1:16" x14ac:dyDescent="0.2">
      <c r="H21" s="260"/>
      <c r="J21" s="260"/>
      <c r="L21" s="260"/>
      <c r="M21" s="260"/>
    </row>
    <row r="22" spans="1:16" s="374" customFormat="1" x14ac:dyDescent="0.2">
      <c r="A22" s="372" t="s">
        <v>332</v>
      </c>
    </row>
    <row r="23" spans="1:16" x14ac:dyDescent="0.2">
      <c r="A23" s="224"/>
      <c r="B23" s="86"/>
      <c r="C23" s="86"/>
      <c r="D23" s="86" t="s">
        <v>299</v>
      </c>
      <c r="E23" s="224" t="s">
        <v>300</v>
      </c>
      <c r="F23" s="225" t="s">
        <v>300</v>
      </c>
      <c r="G23" s="69">
        <v>45597</v>
      </c>
      <c r="H23" s="69">
        <v>45627</v>
      </c>
      <c r="I23" s="69">
        <v>45658</v>
      </c>
      <c r="J23" s="69">
        <v>45689</v>
      </c>
      <c r="K23" s="69">
        <v>45717</v>
      </c>
      <c r="L23" s="69">
        <v>45597</v>
      </c>
      <c r="M23" s="69">
        <v>45627</v>
      </c>
      <c r="N23" s="69">
        <v>45658</v>
      </c>
      <c r="O23" s="69">
        <v>45689</v>
      </c>
      <c r="P23" s="69">
        <v>45717</v>
      </c>
    </row>
    <row r="24" spans="1:16" ht="34" x14ac:dyDescent="0.2">
      <c r="A24" s="226" t="s">
        <v>301</v>
      </c>
      <c r="B24" s="6" t="s">
        <v>302</v>
      </c>
      <c r="E24" s="266">
        <f>AVERAGE(G24:K24)</f>
        <v>54137.2</v>
      </c>
      <c r="F24" s="244"/>
      <c r="G24">
        <v>56279</v>
      </c>
      <c r="H24">
        <v>54069</v>
      </c>
      <c r="I24">
        <v>53183</v>
      </c>
      <c r="J24">
        <v>52711</v>
      </c>
      <c r="K24">
        <v>54444</v>
      </c>
    </row>
    <row r="25" spans="1:16" ht="17" x14ac:dyDescent="0.2">
      <c r="A25" s="226" t="s">
        <v>333</v>
      </c>
      <c r="B25" s="6" t="s">
        <v>304</v>
      </c>
      <c r="C25" t="s">
        <v>334</v>
      </c>
      <c r="D25" t="s">
        <v>306</v>
      </c>
      <c r="E25" s="266">
        <f>AVERAGE(G25:K25)</f>
        <v>3784.8</v>
      </c>
      <c r="F25" s="245">
        <v>6.997723125728636E-2</v>
      </c>
      <c r="G25">
        <v>3521</v>
      </c>
      <c r="H25">
        <v>3767</v>
      </c>
      <c r="I25">
        <v>4195</v>
      </c>
      <c r="J25">
        <v>3480</v>
      </c>
      <c r="K25">
        <v>3961</v>
      </c>
      <c r="L25" s="263">
        <v>6.2563300698306651E-2</v>
      </c>
      <c r="M25" s="263">
        <v>6.967023617969631E-2</v>
      </c>
      <c r="N25" s="263">
        <v>7.8878589022808046E-2</v>
      </c>
      <c r="O25" s="263">
        <v>6.6020375253742103E-2</v>
      </c>
      <c r="P25" s="263">
        <v>7.2753655131878633E-2</v>
      </c>
    </row>
    <row r="26" spans="1:16" x14ac:dyDescent="0.2">
      <c r="A26" s="267" t="s">
        <v>307</v>
      </c>
      <c r="B26" s="268" t="s">
        <v>308</v>
      </c>
      <c r="C26" s="242" t="s">
        <v>309</v>
      </c>
      <c r="D26" s="242" t="s">
        <v>306</v>
      </c>
      <c r="E26" s="269" t="s">
        <v>207</v>
      </c>
      <c r="F26" s="270" t="s">
        <v>207</v>
      </c>
      <c r="L26" s="263"/>
      <c r="M26" s="263"/>
      <c r="N26" s="263"/>
      <c r="O26" s="263"/>
      <c r="P26" s="263"/>
    </row>
    <row r="27" spans="1:16" x14ac:dyDescent="0.2">
      <c r="A27" s="382" t="s">
        <v>335</v>
      </c>
      <c r="B27" s="253" t="s">
        <v>311</v>
      </c>
      <c r="C27" t="s">
        <v>336</v>
      </c>
      <c r="D27" t="s">
        <v>337</v>
      </c>
      <c r="E27" s="405">
        <f>AVERAGE(G27:K27)</f>
        <v>963</v>
      </c>
      <c r="F27" s="406">
        <v>0.25441623613151598</v>
      </c>
      <c r="G27">
        <v>855</v>
      </c>
      <c r="H27">
        <v>1005</v>
      </c>
      <c r="I27">
        <v>1043</v>
      </c>
      <c r="J27">
        <v>892</v>
      </c>
      <c r="K27">
        <v>1020</v>
      </c>
      <c r="L27" s="263">
        <v>0.24282874183470604</v>
      </c>
      <c r="M27" s="263">
        <v>0.26679054950889303</v>
      </c>
      <c r="N27" s="263">
        <v>0.24862932061978546</v>
      </c>
      <c r="O27" s="263">
        <v>0.25632183908045975</v>
      </c>
      <c r="P27" s="263">
        <v>0.25751072961373389</v>
      </c>
    </row>
    <row r="28" spans="1:16" x14ac:dyDescent="0.2">
      <c r="A28" s="382" t="s">
        <v>338</v>
      </c>
      <c r="B28" s="253" t="s">
        <v>315</v>
      </c>
      <c r="C28" t="s">
        <v>339</v>
      </c>
      <c r="D28" t="s">
        <v>337</v>
      </c>
      <c r="E28" s="405">
        <f>AVERAGE(G28:K28)</f>
        <v>575.6</v>
      </c>
      <c r="F28" s="406">
        <v>0.15247576666048568</v>
      </c>
      <c r="G28">
        <v>564</v>
      </c>
      <c r="H28">
        <v>629</v>
      </c>
      <c r="I28">
        <v>643</v>
      </c>
      <c r="J28">
        <v>541</v>
      </c>
      <c r="K28">
        <v>501</v>
      </c>
      <c r="L28" s="263">
        <v>0.16018176654359556</v>
      </c>
      <c r="M28" s="263">
        <v>0.16697637377223254</v>
      </c>
      <c r="N28" s="263">
        <v>0.15327771156138259</v>
      </c>
      <c r="O28" s="263">
        <v>0.15545977011494252</v>
      </c>
      <c r="P28" s="263">
        <v>0.12648321131027518</v>
      </c>
    </row>
    <row r="29" spans="1:16" x14ac:dyDescent="0.2">
      <c r="A29" s="226" t="s">
        <v>340</v>
      </c>
      <c r="B29" s="241" t="s">
        <v>318</v>
      </c>
      <c r="C29" t="s">
        <v>319</v>
      </c>
      <c r="D29" t="s">
        <v>337</v>
      </c>
      <c r="E29" s="271">
        <f>AVERAGE(G29:K29)</f>
        <v>103.8</v>
      </c>
      <c r="F29" s="251">
        <v>2.7300142362110619E-2</v>
      </c>
      <c r="G29">
        <v>129</v>
      </c>
      <c r="H29">
        <v>104</v>
      </c>
      <c r="I29">
        <v>93</v>
      </c>
      <c r="J29">
        <v>39</v>
      </c>
      <c r="K29">
        <v>154</v>
      </c>
      <c r="L29" s="263">
        <v>3.6637318943481968E-2</v>
      </c>
      <c r="M29" s="263">
        <v>2.760817626758694E-2</v>
      </c>
      <c r="N29" s="263">
        <v>2.2169249106078665E-2</v>
      </c>
      <c r="O29" s="263">
        <v>1.1206896551724138E-2</v>
      </c>
      <c r="P29" s="263">
        <v>3.8879070941681394E-2</v>
      </c>
    </row>
    <row r="30" spans="1:16" ht="17" x14ac:dyDescent="0.2">
      <c r="A30" s="272" t="s">
        <v>341</v>
      </c>
      <c r="B30" s="273" t="s">
        <v>327</v>
      </c>
      <c r="C30" s="234" t="s">
        <v>325</v>
      </c>
      <c r="D30" s="234" t="s">
        <v>337</v>
      </c>
      <c r="E30" s="274">
        <f>AVERAGE(G30:K30)</f>
        <v>29</v>
      </c>
      <c r="F30" s="275">
        <v>7.6274840913832746E-3</v>
      </c>
      <c r="G30">
        <v>36</v>
      </c>
      <c r="H30">
        <v>29</v>
      </c>
      <c r="I30">
        <v>26</v>
      </c>
      <c r="J30">
        <v>11</v>
      </c>
      <c r="K30">
        <v>43</v>
      </c>
      <c r="L30" s="263">
        <v>1.0224368077250781E-2</v>
      </c>
      <c r="M30" s="263">
        <v>7.6984337669232811E-3</v>
      </c>
      <c r="N30" s="263">
        <v>6.1978545887961863E-3</v>
      </c>
      <c r="O30" s="263">
        <v>3.160919540229885E-3</v>
      </c>
      <c r="P30" s="263">
        <v>1.0855844483716234E-2</v>
      </c>
    </row>
    <row r="32" spans="1:16" x14ac:dyDescent="0.2">
      <c r="A32" s="276"/>
      <c r="B32" s="277"/>
      <c r="C32" s="276"/>
      <c r="D32" s="276"/>
      <c r="E32" s="276"/>
      <c r="F32" s="276"/>
      <c r="G32" s="276"/>
      <c r="H32" s="276"/>
    </row>
    <row r="33" spans="1:8" x14ac:dyDescent="0.2">
      <c r="A33" s="278"/>
      <c r="B33" s="279">
        <v>0</v>
      </c>
      <c r="C33" s="280">
        <v>1</v>
      </c>
      <c r="D33" s="280">
        <v>2</v>
      </c>
      <c r="E33" s="280">
        <v>3</v>
      </c>
      <c r="F33" s="280">
        <v>4</v>
      </c>
      <c r="G33" s="280">
        <v>5</v>
      </c>
      <c r="H33" s="280">
        <v>6</v>
      </c>
    </row>
    <row r="34" spans="1:8" ht="17" x14ac:dyDescent="0.2">
      <c r="A34" s="281" t="s">
        <v>328</v>
      </c>
      <c r="B34" s="282" t="s">
        <v>207</v>
      </c>
      <c r="C34" s="283" t="s">
        <v>207</v>
      </c>
      <c r="D34" s="283" t="s">
        <v>207</v>
      </c>
      <c r="E34" s="283" t="s">
        <v>207</v>
      </c>
      <c r="F34" s="283" t="s">
        <v>207</v>
      </c>
      <c r="G34" s="283" t="s">
        <v>207</v>
      </c>
      <c r="H34" s="282" t="s">
        <v>207</v>
      </c>
    </row>
    <row r="35" spans="1:8" ht="17" x14ac:dyDescent="0.2">
      <c r="A35" s="284" t="s">
        <v>329</v>
      </c>
      <c r="B35" s="285" t="s">
        <v>207</v>
      </c>
      <c r="C35" s="286"/>
      <c r="D35" s="286"/>
      <c r="E35" s="286"/>
      <c r="F35" s="286"/>
      <c r="G35" s="286"/>
      <c r="H35" s="286"/>
    </row>
    <row r="36" spans="1:8" ht="17" x14ac:dyDescent="0.2">
      <c r="A36" s="226" t="s">
        <v>330</v>
      </c>
      <c r="B36" s="285" t="s">
        <v>207</v>
      </c>
      <c r="C36" s="286"/>
      <c r="D36" s="286"/>
      <c r="E36" s="286"/>
      <c r="F36" s="286"/>
      <c r="G36" s="286"/>
      <c r="H36" s="286"/>
    </row>
    <row r="37" spans="1:8" ht="17" x14ac:dyDescent="0.2">
      <c r="A37" s="281" t="s">
        <v>331</v>
      </c>
      <c r="B37" s="282" t="s">
        <v>207</v>
      </c>
      <c r="C37" s="286"/>
      <c r="D37" s="286"/>
      <c r="E37" s="286"/>
      <c r="F37" s="286"/>
      <c r="G37" s="286"/>
      <c r="H37" s="286"/>
    </row>
    <row r="38" spans="1:8" x14ac:dyDescent="0.2">
      <c r="A38" s="276"/>
      <c r="B38" s="277"/>
      <c r="C38" s="276"/>
      <c r="D38" s="276"/>
      <c r="E38" s="276"/>
      <c r="F38" s="276"/>
      <c r="G38" s="276"/>
      <c r="H38" s="276"/>
    </row>
    <row r="39" spans="1:8" ht="18" x14ac:dyDescent="0.2">
      <c r="A39" s="287"/>
      <c r="B39" s="277"/>
      <c r="C39" s="276"/>
      <c r="D39" s="276"/>
      <c r="E39" s="276"/>
      <c r="F39" s="276"/>
      <c r="G39" s="276"/>
      <c r="H39" s="276"/>
    </row>
    <row r="40" spans="1:8" ht="18" x14ac:dyDescent="0.2">
      <c r="A40" s="28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28E28-DD6C-6F47-AE29-C9676FEF6CE3}">
  <dimension ref="A1:G98"/>
  <sheetViews>
    <sheetView topLeftCell="A37" workbookViewId="0">
      <selection activeCell="D46" sqref="D46"/>
    </sheetView>
  </sheetViews>
  <sheetFormatPr baseColWidth="10" defaultRowHeight="19" x14ac:dyDescent="0.25"/>
  <cols>
    <col min="1" max="1" width="25.83203125" style="16" customWidth="1"/>
    <col min="2" max="2" width="24.6640625" style="16" customWidth="1"/>
    <col min="3" max="7" width="23.5" style="16" customWidth="1"/>
    <col min="8" max="8" width="10.83203125" style="16"/>
    <col min="9" max="9" width="20" style="16" customWidth="1"/>
    <col min="10" max="10" width="20.33203125" style="16" customWidth="1"/>
    <col min="11" max="11" width="21.6640625" style="16" customWidth="1"/>
    <col min="12" max="16384" width="10.83203125" style="16"/>
  </cols>
  <sheetData>
    <row r="1" spans="1:7" s="28" customFormat="1" x14ac:dyDescent="0.25">
      <c r="B1" s="27" t="s">
        <v>46</v>
      </c>
    </row>
    <row r="2" spans="1:7" x14ac:dyDescent="0.25">
      <c r="B2" s="19" t="s">
        <v>3</v>
      </c>
    </row>
    <row r="3" spans="1:7" x14ac:dyDescent="0.25">
      <c r="B3" s="16" t="s">
        <v>83</v>
      </c>
    </row>
    <row r="4" spans="1:7" ht="60" x14ac:dyDescent="0.25">
      <c r="B4" s="3" t="s">
        <v>54</v>
      </c>
      <c r="C4" s="3" t="s">
        <v>55</v>
      </c>
      <c r="D4" s="3" t="s">
        <v>36</v>
      </c>
      <c r="E4" s="3" t="s">
        <v>37</v>
      </c>
      <c r="F4" s="3" t="s">
        <v>35</v>
      </c>
    </row>
    <row r="5" spans="1:7" x14ac:dyDescent="0.25">
      <c r="B5" s="18">
        <v>79000</v>
      </c>
      <c r="C5" s="18">
        <v>33000</v>
      </c>
      <c r="D5" s="18">
        <v>13000</v>
      </c>
      <c r="E5" s="18">
        <v>247000</v>
      </c>
      <c r="F5" s="18">
        <f>SUM(B5:E5)</f>
        <v>372000</v>
      </c>
    </row>
    <row r="7" spans="1:7" x14ac:dyDescent="0.25">
      <c r="B7" s="19" t="s">
        <v>47</v>
      </c>
    </row>
    <row r="8" spans="1:7" ht="76" customHeight="1" x14ac:dyDescent="0.25">
      <c r="B8" s="3" t="s">
        <v>54</v>
      </c>
      <c r="C8" s="3" t="s">
        <v>55</v>
      </c>
      <c r="D8" s="3" t="s">
        <v>36</v>
      </c>
      <c r="E8" s="3" t="s">
        <v>37</v>
      </c>
      <c r="F8" s="3" t="s">
        <v>35</v>
      </c>
    </row>
    <row r="9" spans="1:7" x14ac:dyDescent="0.25">
      <c r="B9" s="141">
        <f>B5</f>
        <v>79000</v>
      </c>
      <c r="C9" s="141">
        <f t="shared" ref="C9:F9" si="0">C5</f>
        <v>33000</v>
      </c>
      <c r="D9" s="21">
        <f t="shared" si="0"/>
        <v>13000</v>
      </c>
      <c r="E9" s="21">
        <f t="shared" si="0"/>
        <v>247000</v>
      </c>
      <c r="F9" s="21">
        <f t="shared" si="0"/>
        <v>372000</v>
      </c>
    </row>
    <row r="10" spans="1:7" x14ac:dyDescent="0.25">
      <c r="D10" s="79" t="s">
        <v>235</v>
      </c>
      <c r="E10" s="79"/>
    </row>
    <row r="12" spans="1:7" s="89" customFormat="1" x14ac:dyDescent="0.25">
      <c r="B12" s="90" t="s">
        <v>163</v>
      </c>
      <c r="C12" s="91"/>
    </row>
    <row r="13" spans="1:7" x14ac:dyDescent="0.25">
      <c r="B13" s="19"/>
      <c r="C13" s="19"/>
    </row>
    <row r="14" spans="1:7" x14ac:dyDescent="0.25">
      <c r="B14" s="16" t="s">
        <v>83</v>
      </c>
      <c r="C14" s="19"/>
      <c r="D14" s="16" t="s">
        <v>195</v>
      </c>
      <c r="E14" s="16" t="s">
        <v>195</v>
      </c>
    </row>
    <row r="15" spans="1:7" ht="63" customHeight="1" x14ac:dyDescent="0.25">
      <c r="A15" s="30" t="s">
        <v>74</v>
      </c>
      <c r="B15" s="3" t="s">
        <v>54</v>
      </c>
      <c r="C15" s="3" t="s">
        <v>55</v>
      </c>
      <c r="D15" s="3" t="s">
        <v>36</v>
      </c>
      <c r="E15" s="3" t="s">
        <v>37</v>
      </c>
      <c r="F15" s="3" t="s">
        <v>35</v>
      </c>
      <c r="G15" s="66" t="s">
        <v>153</v>
      </c>
    </row>
    <row r="16" spans="1:7" x14ac:dyDescent="0.25">
      <c r="A16" s="18" t="s">
        <v>72</v>
      </c>
      <c r="B16" s="4">
        <v>565</v>
      </c>
      <c r="C16" s="4">
        <v>1062</v>
      </c>
      <c r="D16" s="139"/>
      <c r="E16" s="139"/>
      <c r="F16" s="139"/>
      <c r="G16" s="18">
        <f>B16+C16</f>
        <v>1627</v>
      </c>
    </row>
    <row r="17" spans="1:7" x14ac:dyDescent="0.25">
      <c r="A17" s="18" t="s">
        <v>75</v>
      </c>
      <c r="B17" s="4">
        <v>7225</v>
      </c>
      <c r="C17" s="4">
        <v>7110</v>
      </c>
      <c r="D17" s="139"/>
      <c r="E17" s="139"/>
      <c r="F17" s="139"/>
      <c r="G17" s="18">
        <f t="shared" ref="G17:G19" si="1">B17+C17</f>
        <v>14335</v>
      </c>
    </row>
    <row r="18" spans="1:7" x14ac:dyDescent="0.25">
      <c r="A18" s="18" t="s">
        <v>76</v>
      </c>
      <c r="B18" s="4">
        <v>57194</v>
      </c>
      <c r="C18" s="4">
        <v>40040</v>
      </c>
      <c r="D18" s="139"/>
      <c r="E18" s="139"/>
      <c r="F18" s="139"/>
      <c r="G18" s="18">
        <f t="shared" si="1"/>
        <v>97234</v>
      </c>
    </row>
    <row r="19" spans="1:7" x14ac:dyDescent="0.25">
      <c r="A19" s="18" t="s">
        <v>32</v>
      </c>
      <c r="B19" s="4"/>
      <c r="C19" s="4"/>
      <c r="D19" s="139"/>
      <c r="E19" s="139"/>
      <c r="F19" s="139"/>
      <c r="G19" s="18">
        <f t="shared" si="1"/>
        <v>0</v>
      </c>
    </row>
    <row r="20" spans="1:7" x14ac:dyDescent="0.25">
      <c r="A20" s="16" t="s">
        <v>154</v>
      </c>
      <c r="B20" s="16">
        <f>SUM(B16:B19)</f>
        <v>64984</v>
      </c>
      <c r="C20" s="16">
        <f>SUM(C16:C19)</f>
        <v>48212</v>
      </c>
      <c r="G20" s="16">
        <f>SUM(G16:G19)</f>
        <v>113196</v>
      </c>
    </row>
    <row r="22" spans="1:7" x14ac:dyDescent="0.25">
      <c r="B22" s="19"/>
    </row>
    <row r="23" spans="1:7" x14ac:dyDescent="0.25">
      <c r="B23" s="16" t="s">
        <v>83</v>
      </c>
    </row>
    <row r="24" spans="1:7" ht="60" x14ac:dyDescent="0.25">
      <c r="A24" s="30" t="s">
        <v>74</v>
      </c>
      <c r="B24" s="3" t="s">
        <v>54</v>
      </c>
      <c r="C24" s="3" t="s">
        <v>55</v>
      </c>
      <c r="D24" s="3" t="s">
        <v>36</v>
      </c>
      <c r="E24" s="3" t="s">
        <v>37</v>
      </c>
      <c r="F24" s="3" t="s">
        <v>35</v>
      </c>
      <c r="G24" s="66" t="s">
        <v>153</v>
      </c>
    </row>
    <row r="25" spans="1:7" x14ac:dyDescent="0.25">
      <c r="A25" s="18" t="s">
        <v>72</v>
      </c>
      <c r="B25" s="77">
        <f>B16/$B$20</f>
        <v>8.694447864089622E-3</v>
      </c>
      <c r="C25" s="77">
        <f>C16/$C$20</f>
        <v>2.2027710943333612E-2</v>
      </c>
      <c r="D25" s="154">
        <f>G25</f>
        <v>1.437329940987314E-2</v>
      </c>
      <c r="E25" s="154">
        <f>G25</f>
        <v>1.437329940987314E-2</v>
      </c>
      <c r="F25" s="154">
        <f>G25</f>
        <v>1.437329940987314E-2</v>
      </c>
      <c r="G25" s="77">
        <f>G16/$G$20</f>
        <v>1.437329940987314E-2</v>
      </c>
    </row>
    <row r="26" spans="1:7" x14ac:dyDescent="0.25">
      <c r="A26" s="18" t="s">
        <v>75</v>
      </c>
      <c r="B26" s="77">
        <f>B17/$B$20</f>
        <v>0.11118121383725224</v>
      </c>
      <c r="C26" s="77">
        <f>C17/$C$20</f>
        <v>0.14747365801045384</v>
      </c>
      <c r="D26" s="154">
        <f t="shared" ref="D26:D27" si="2">G26</f>
        <v>0.12663875048588288</v>
      </c>
      <c r="E26" s="154">
        <f t="shared" ref="E26:E27" si="3">G26</f>
        <v>0.12663875048588288</v>
      </c>
      <c r="F26" s="154">
        <f t="shared" ref="F26:F27" si="4">G26</f>
        <v>0.12663875048588288</v>
      </c>
      <c r="G26" s="77">
        <f>G17/$G$20</f>
        <v>0.12663875048588288</v>
      </c>
    </row>
    <row r="27" spans="1:7" x14ac:dyDescent="0.25">
      <c r="A27" s="18" t="s">
        <v>76</v>
      </c>
      <c r="B27" s="77">
        <f>B18/$B$20</f>
        <v>0.8801243382986581</v>
      </c>
      <c r="C27" s="77">
        <f>C18/$C$20</f>
        <v>0.83049863104621258</v>
      </c>
      <c r="D27" s="154">
        <f t="shared" si="2"/>
        <v>0.858987950104244</v>
      </c>
      <c r="E27" s="154">
        <f t="shared" si="3"/>
        <v>0.858987950104244</v>
      </c>
      <c r="F27" s="154">
        <f t="shared" si="4"/>
        <v>0.858987950104244</v>
      </c>
      <c r="G27" s="77">
        <f>G18/$G$20</f>
        <v>0.858987950104244</v>
      </c>
    </row>
    <row r="28" spans="1:7" x14ac:dyDescent="0.25">
      <c r="A28" s="18" t="s">
        <v>32</v>
      </c>
      <c r="B28" s="77"/>
      <c r="C28" s="77"/>
      <c r="D28" s="77"/>
      <c r="E28" s="77"/>
      <c r="F28" s="77"/>
      <c r="G28" s="77">
        <f>G19/$G$20</f>
        <v>0</v>
      </c>
    </row>
    <row r="29" spans="1:7" x14ac:dyDescent="0.25">
      <c r="B29" s="140"/>
      <c r="C29" s="140"/>
      <c r="D29" s="140"/>
      <c r="E29" s="140"/>
      <c r="F29" s="140"/>
      <c r="G29" s="140"/>
    </row>
    <row r="30" spans="1:7" x14ac:dyDescent="0.25">
      <c r="B30" s="16" t="s">
        <v>204</v>
      </c>
      <c r="C30" s="19"/>
      <c r="D30" s="16" t="s">
        <v>195</v>
      </c>
      <c r="E30" s="16" t="s">
        <v>195</v>
      </c>
    </row>
    <row r="31" spans="1:7" ht="60" x14ac:dyDescent="0.25">
      <c r="A31" s="30" t="s">
        <v>74</v>
      </c>
      <c r="B31" s="3" t="s">
        <v>54</v>
      </c>
      <c r="C31" s="3" t="s">
        <v>55</v>
      </c>
      <c r="D31" s="3" t="s">
        <v>36</v>
      </c>
      <c r="E31" s="3" t="s">
        <v>37</v>
      </c>
      <c r="F31" s="3" t="s">
        <v>35</v>
      </c>
      <c r="G31" s="66" t="s">
        <v>153</v>
      </c>
    </row>
    <row r="32" spans="1:7" x14ac:dyDescent="0.25">
      <c r="A32" s="18" t="s">
        <v>72</v>
      </c>
      <c r="B32" s="153">
        <f>$B$9*B25</f>
        <v>686.86138126308015</v>
      </c>
      <c r="C32" s="153">
        <f>$C$9*C25</f>
        <v>726.91446113000916</v>
      </c>
      <c r="D32" s="153">
        <f>$D$9*D25</f>
        <v>186.8528923283508</v>
      </c>
      <c r="E32" s="153">
        <f>$E$9*E25</f>
        <v>3550.2049542386653</v>
      </c>
      <c r="F32" s="153">
        <f>SUM(B32:E32)</f>
        <v>5150.8336889601051</v>
      </c>
      <c r="G32" s="159">
        <f>B32+C32</f>
        <v>1413.7758423930893</v>
      </c>
    </row>
    <row r="33" spans="1:7" x14ac:dyDescent="0.25">
      <c r="A33" s="18" t="s">
        <v>75</v>
      </c>
      <c r="B33" s="153">
        <f t="shared" ref="B33:B34" si="5">$B$9*B26</f>
        <v>8783.3158931429261</v>
      </c>
      <c r="C33" s="153">
        <f t="shared" ref="C33:C34" si="6">$C$9*C26</f>
        <v>4866.6307143449767</v>
      </c>
      <c r="D33" s="153">
        <f t="shared" ref="D33:D35" si="7">$D$9*D26</f>
        <v>1646.3037563164776</v>
      </c>
      <c r="E33" s="153">
        <f t="shared" ref="E33:E35" si="8">$E$9*E26</f>
        <v>31279.771370013073</v>
      </c>
      <c r="F33" s="153">
        <f t="shared" ref="F33:F35" si="9">SUM(B33:E33)</f>
        <v>46576.021733817455</v>
      </c>
      <c r="G33" s="159">
        <f t="shared" ref="G33:G35" si="10">B33+C33</f>
        <v>13649.946607487902</v>
      </c>
    </row>
    <row r="34" spans="1:7" x14ac:dyDescent="0.25">
      <c r="A34" s="18" t="s">
        <v>76</v>
      </c>
      <c r="B34" s="153">
        <f t="shared" si="5"/>
        <v>69529.822725593986</v>
      </c>
      <c r="C34" s="153">
        <f t="shared" si="6"/>
        <v>27406.454824525015</v>
      </c>
      <c r="D34" s="153">
        <f t="shared" si="7"/>
        <v>11166.843351355172</v>
      </c>
      <c r="E34" s="153">
        <f t="shared" si="8"/>
        <v>212170.02367574826</v>
      </c>
      <c r="F34" s="153">
        <f t="shared" si="9"/>
        <v>320273.14457722241</v>
      </c>
      <c r="G34" s="159">
        <f t="shared" si="10"/>
        <v>96936.277550119004</v>
      </c>
    </row>
    <row r="35" spans="1:7" x14ac:dyDescent="0.25">
      <c r="A35" s="18" t="s">
        <v>32</v>
      </c>
      <c r="B35" s="18"/>
      <c r="C35" s="18"/>
      <c r="D35" s="153">
        <f t="shared" si="7"/>
        <v>0</v>
      </c>
      <c r="E35" s="153">
        <f t="shared" si="8"/>
        <v>0</v>
      </c>
      <c r="F35" s="153">
        <f t="shared" si="9"/>
        <v>0</v>
      </c>
      <c r="G35" s="159">
        <f t="shared" si="10"/>
        <v>0</v>
      </c>
    </row>
    <row r="36" spans="1:7" x14ac:dyDescent="0.25">
      <c r="A36" s="16" t="s">
        <v>154</v>
      </c>
      <c r="B36" s="16">
        <f>SUM(B32:B35)</f>
        <v>79000</v>
      </c>
      <c r="C36" s="16">
        <f>SUM(C32:C35)</f>
        <v>33000</v>
      </c>
      <c r="D36" s="16">
        <f t="shared" ref="D36:F36" si="11">SUM(D32:D35)</f>
        <v>13000</v>
      </c>
      <c r="E36" s="16">
        <f t="shared" si="11"/>
        <v>247000</v>
      </c>
      <c r="F36" s="16">
        <f t="shared" si="11"/>
        <v>372000</v>
      </c>
      <c r="G36" s="16">
        <f>SUM(G32:G35)</f>
        <v>112000</v>
      </c>
    </row>
    <row r="39" spans="1:7" x14ac:dyDescent="0.25">
      <c r="B39" s="16" t="s">
        <v>83</v>
      </c>
      <c r="C39" s="19"/>
      <c r="D39" s="16" t="s">
        <v>195</v>
      </c>
      <c r="E39" s="16" t="s">
        <v>195</v>
      </c>
    </row>
    <row r="40" spans="1:7" ht="60" x14ac:dyDescent="0.25">
      <c r="A40" s="30" t="s">
        <v>74</v>
      </c>
      <c r="B40" s="3" t="s">
        <v>54</v>
      </c>
      <c r="C40" s="3" t="s">
        <v>55</v>
      </c>
      <c r="D40" s="3" t="s">
        <v>36</v>
      </c>
      <c r="E40" s="3" t="s">
        <v>37</v>
      </c>
      <c r="F40" s="3" t="s">
        <v>35</v>
      </c>
      <c r="G40" s="66" t="s">
        <v>153</v>
      </c>
    </row>
    <row r="41" spans="1:7" x14ac:dyDescent="0.25">
      <c r="A41" s="18" t="s">
        <v>72</v>
      </c>
      <c r="B41" s="153">
        <f>B32</f>
        <v>686.86138126308015</v>
      </c>
      <c r="C41" s="153">
        <f>C32</f>
        <v>726.91446113000916</v>
      </c>
      <c r="D41" s="153">
        <f>D32*$D$46</f>
        <v>26.159404925969117</v>
      </c>
      <c r="E41" s="153">
        <f>E32*$E$46</f>
        <v>71.004099084773301</v>
      </c>
      <c r="F41" s="153">
        <f>SUM(B41:E41)</f>
        <v>1510.9393464038317</v>
      </c>
      <c r="G41" s="159">
        <f>B41+C41</f>
        <v>1413.7758423930893</v>
      </c>
    </row>
    <row r="42" spans="1:7" x14ac:dyDescent="0.25">
      <c r="A42" s="18" t="s">
        <v>75</v>
      </c>
      <c r="B42" s="153">
        <f t="shared" ref="B42:C43" si="12">B33</f>
        <v>8783.3158931429261</v>
      </c>
      <c r="C42" s="153">
        <f t="shared" si="12"/>
        <v>4866.6307143449767</v>
      </c>
      <c r="D42" s="153">
        <f t="shared" ref="D42:D44" si="13">D33*$D$46</f>
        <v>230.48252588430688</v>
      </c>
      <c r="E42" s="153">
        <f t="shared" ref="E42:E44" si="14">E33*$E$46</f>
        <v>625.59542740026143</v>
      </c>
      <c r="F42" s="153">
        <f t="shared" ref="F42:F44" si="15">SUM(B42:E42)</f>
        <v>14506.02456077247</v>
      </c>
      <c r="G42" s="159">
        <f t="shared" ref="G42:G44" si="16">B42+C42</f>
        <v>13649.946607487902</v>
      </c>
    </row>
    <row r="43" spans="1:7" x14ac:dyDescent="0.25">
      <c r="A43" s="18" t="s">
        <v>76</v>
      </c>
      <c r="B43" s="153">
        <f t="shared" si="12"/>
        <v>69529.822725593986</v>
      </c>
      <c r="C43" s="153">
        <f t="shared" si="12"/>
        <v>27406.454824525015</v>
      </c>
      <c r="D43" s="153">
        <f t="shared" si="13"/>
        <v>1563.3580691897241</v>
      </c>
      <c r="E43" s="153">
        <f t="shared" si="14"/>
        <v>4243.4004735149656</v>
      </c>
      <c r="F43" s="153">
        <f t="shared" si="15"/>
        <v>102743.03609282369</v>
      </c>
      <c r="G43" s="159">
        <f t="shared" si="16"/>
        <v>96936.277550119004</v>
      </c>
    </row>
    <row r="44" spans="1:7" x14ac:dyDescent="0.25">
      <c r="A44" s="18" t="s">
        <v>32</v>
      </c>
      <c r="B44" s="18"/>
      <c r="C44" s="18"/>
      <c r="D44" s="153">
        <f t="shared" si="13"/>
        <v>0</v>
      </c>
      <c r="E44" s="153">
        <f t="shared" si="14"/>
        <v>0</v>
      </c>
      <c r="F44" s="153">
        <f t="shared" si="15"/>
        <v>0</v>
      </c>
      <c r="G44" s="159">
        <f t="shared" si="16"/>
        <v>0</v>
      </c>
    </row>
    <row r="45" spans="1:7" x14ac:dyDescent="0.25">
      <c r="A45" s="156" t="s">
        <v>203</v>
      </c>
      <c r="B45" s="157">
        <f>SUM(B41:B44)</f>
        <v>79000</v>
      </c>
      <c r="C45" s="157">
        <f>SUM(C41:C44)</f>
        <v>33000</v>
      </c>
      <c r="D45" s="157">
        <f t="shared" ref="D45:F45" si="17">SUM(D41:D44)</f>
        <v>1820</v>
      </c>
      <c r="E45" s="158">
        <f t="shared" si="17"/>
        <v>4940</v>
      </c>
      <c r="F45" s="160">
        <f t="shared" si="17"/>
        <v>118760</v>
      </c>
      <c r="G45" s="160">
        <f>SUM(G41:G44)</f>
        <v>112000</v>
      </c>
    </row>
    <row r="46" spans="1:7" s="2" customFormat="1" ht="80" x14ac:dyDescent="0.2">
      <c r="A46" s="92" t="s">
        <v>245</v>
      </c>
      <c r="B46" s="2" t="s">
        <v>2</v>
      </c>
      <c r="C46" s="2" t="s">
        <v>2</v>
      </c>
      <c r="D46" s="185">
        <v>0.14000000000000001</v>
      </c>
      <c r="E46" s="185">
        <v>0.02</v>
      </c>
    </row>
    <row r="47" spans="1:7" x14ac:dyDescent="0.25">
      <c r="B47" s="76"/>
      <c r="C47" s="76"/>
      <c r="G47" s="76"/>
    </row>
    <row r="48" spans="1:7" s="27" customFormat="1" x14ac:dyDescent="0.25">
      <c r="B48" s="27" t="s">
        <v>164</v>
      </c>
    </row>
    <row r="49" spans="2:4" s="19" customFormat="1" x14ac:dyDescent="0.25">
      <c r="B49" s="19" t="s">
        <v>234</v>
      </c>
      <c r="D49" s="19" t="s">
        <v>233</v>
      </c>
    </row>
    <row r="50" spans="2:4" s="19" customFormat="1" x14ac:dyDescent="0.25">
      <c r="B50" s="18" t="s">
        <v>74</v>
      </c>
      <c r="C50" s="18" t="s">
        <v>73</v>
      </c>
      <c r="D50" s="18" t="s">
        <v>73</v>
      </c>
    </row>
    <row r="51" spans="2:4" x14ac:dyDescent="0.25">
      <c r="B51" s="18" t="s">
        <v>72</v>
      </c>
      <c r="C51" s="189">
        <v>116292</v>
      </c>
      <c r="D51" s="18">
        <f>C51/2</f>
        <v>58146</v>
      </c>
    </row>
    <row r="52" spans="2:4" x14ac:dyDescent="0.25">
      <c r="B52" s="18" t="s">
        <v>75</v>
      </c>
      <c r="C52" s="189">
        <v>70587</v>
      </c>
      <c r="D52" s="18">
        <f t="shared" ref="D52:D54" si="18">C52/2</f>
        <v>35293.5</v>
      </c>
    </row>
    <row r="53" spans="2:4" x14ac:dyDescent="0.25">
      <c r="B53" s="18" t="s">
        <v>76</v>
      </c>
      <c r="C53" s="189">
        <v>45114</v>
      </c>
      <c r="D53" s="18">
        <f t="shared" si="18"/>
        <v>22557</v>
      </c>
    </row>
    <row r="54" spans="2:4" x14ac:dyDescent="0.25">
      <c r="B54" s="18" t="s">
        <v>32</v>
      </c>
      <c r="C54" s="189">
        <v>28206</v>
      </c>
      <c r="D54" s="18">
        <f t="shared" si="18"/>
        <v>14103</v>
      </c>
    </row>
    <row r="56" spans="2:4" x14ac:dyDescent="0.25">
      <c r="B56" s="79" t="s">
        <v>158</v>
      </c>
    </row>
    <row r="58" spans="2:4" s="28" customFormat="1" x14ac:dyDescent="0.25">
      <c r="B58" s="27" t="s">
        <v>68</v>
      </c>
    </row>
    <row r="59" spans="2:4" x14ac:dyDescent="0.25">
      <c r="B59" s="19" t="s">
        <v>79</v>
      </c>
    </row>
    <row r="60" spans="2:4" x14ac:dyDescent="0.25">
      <c r="B60" s="18" t="s">
        <v>48</v>
      </c>
      <c r="C60" s="18" t="s">
        <v>49</v>
      </c>
      <c r="D60" s="18" t="s">
        <v>50</v>
      </c>
    </row>
    <row r="61" spans="2:4" x14ac:dyDescent="0.25">
      <c r="B61" s="18">
        <v>6495</v>
      </c>
      <c r="C61" s="18">
        <v>14995</v>
      </c>
      <c r="D61" s="18">
        <v>34995</v>
      </c>
    </row>
    <row r="63" spans="2:4" x14ac:dyDescent="0.25">
      <c r="B63" s="19" t="s">
        <v>80</v>
      </c>
    </row>
    <row r="64" spans="2:4" x14ac:dyDescent="0.25">
      <c r="B64" s="18" t="s">
        <v>48</v>
      </c>
      <c r="C64" s="18" t="s">
        <v>49</v>
      </c>
      <c r="D64" s="18" t="s">
        <v>50</v>
      </c>
    </row>
    <row r="65" spans="2:4" x14ac:dyDescent="0.25">
      <c r="B65" s="31">
        <f>B61</f>
        <v>6495</v>
      </c>
      <c r="C65" s="31">
        <f t="shared" ref="C65:D65" si="19">C61</f>
        <v>14995</v>
      </c>
      <c r="D65" s="31">
        <f t="shared" si="19"/>
        <v>34995</v>
      </c>
    </row>
    <row r="67" spans="2:4" s="28" customFormat="1" x14ac:dyDescent="0.25">
      <c r="B67" s="27" t="s">
        <v>69</v>
      </c>
      <c r="C67" s="27"/>
    </row>
    <row r="68" spans="2:4" x14ac:dyDescent="0.25">
      <c r="B68" s="19" t="s">
        <v>132</v>
      </c>
      <c r="C68" s="19"/>
      <c r="D68" s="19" t="s">
        <v>145</v>
      </c>
    </row>
    <row r="69" spans="2:4" x14ac:dyDescent="0.25">
      <c r="B69" s="18">
        <v>31000</v>
      </c>
      <c r="C69" s="18" t="s">
        <v>70</v>
      </c>
      <c r="D69" s="18">
        <f>B69/2</f>
        <v>15500</v>
      </c>
    </row>
    <row r="70" spans="2:4" x14ac:dyDescent="0.25">
      <c r="B70" s="18">
        <f>0.8*B69</f>
        <v>24800</v>
      </c>
      <c r="C70" s="18" t="s">
        <v>81</v>
      </c>
      <c r="D70" s="18">
        <f>B70/2</f>
        <v>12400</v>
      </c>
    </row>
    <row r="71" spans="2:4" x14ac:dyDescent="0.25">
      <c r="B71" s="16" t="s">
        <v>71</v>
      </c>
    </row>
    <row r="73" spans="2:4" x14ac:dyDescent="0.25">
      <c r="B73" s="79" t="s">
        <v>159</v>
      </c>
    </row>
    <row r="75" spans="2:4" s="28" customFormat="1" x14ac:dyDescent="0.25">
      <c r="B75" s="27" t="s">
        <v>131</v>
      </c>
      <c r="C75" s="27"/>
    </row>
    <row r="76" spans="2:4" x14ac:dyDescent="0.25">
      <c r="B76" s="19" t="s">
        <v>132</v>
      </c>
      <c r="C76" s="19"/>
    </row>
    <row r="77" spans="2:4" x14ac:dyDescent="0.25">
      <c r="B77" s="75"/>
    </row>
    <row r="79" spans="2:4" s="28" customFormat="1" x14ac:dyDescent="0.25">
      <c r="B79" s="27" t="s">
        <v>78</v>
      </c>
      <c r="C79" s="27"/>
    </row>
    <row r="80" spans="2:4" x14ac:dyDescent="0.25">
      <c r="B80" s="19" t="s">
        <v>132</v>
      </c>
    </row>
    <row r="81" spans="1:5" x14ac:dyDescent="0.25">
      <c r="B81" s="33"/>
    </row>
    <row r="83" spans="1:5" s="28" customFormat="1" x14ac:dyDescent="0.25">
      <c r="B83" s="27" t="s">
        <v>133</v>
      </c>
      <c r="C83" s="27"/>
    </row>
    <row r="84" spans="1:5" x14ac:dyDescent="0.25">
      <c r="B84" s="19" t="s">
        <v>132</v>
      </c>
      <c r="C84" s="19"/>
    </row>
    <row r="85" spans="1:5" x14ac:dyDescent="0.25">
      <c r="B85" s="33"/>
    </row>
    <row r="88" spans="1:5" s="28" customFormat="1" x14ac:dyDescent="0.25">
      <c r="B88" s="27" t="s">
        <v>147</v>
      </c>
    </row>
    <row r="89" spans="1:5" x14ac:dyDescent="0.25">
      <c r="B89" s="19" t="s">
        <v>150</v>
      </c>
      <c r="D89" s="16" t="s">
        <v>152</v>
      </c>
    </row>
    <row r="90" spans="1:5" x14ac:dyDescent="0.25">
      <c r="B90" s="16" t="s">
        <v>149</v>
      </c>
      <c r="C90" s="16" t="s">
        <v>151</v>
      </c>
      <c r="D90" s="16" t="s">
        <v>149</v>
      </c>
      <c r="E90" s="16" t="s">
        <v>151</v>
      </c>
    </row>
    <row r="91" spans="1:5" x14ac:dyDescent="0.25">
      <c r="A91" s="16" t="s">
        <v>148</v>
      </c>
      <c r="B91" s="33"/>
      <c r="C91" s="33"/>
      <c r="D91" s="4"/>
      <c r="E91" s="4"/>
    </row>
    <row r="93" spans="1:5" s="32" customFormat="1" x14ac:dyDescent="0.25">
      <c r="B93" s="32" t="s">
        <v>82</v>
      </c>
    </row>
    <row r="94" spans="1:5" x14ac:dyDescent="0.25">
      <c r="B94" s="33"/>
    </row>
    <row r="96" spans="1:5" s="28" customFormat="1" x14ac:dyDescent="0.25">
      <c r="B96" s="27" t="s">
        <v>51</v>
      </c>
      <c r="C96" s="27"/>
    </row>
    <row r="97" spans="2:3" x14ac:dyDescent="0.25">
      <c r="B97" s="18" t="s">
        <v>52</v>
      </c>
      <c r="C97" s="18" t="s">
        <v>53</v>
      </c>
    </row>
    <row r="98" spans="2:3" x14ac:dyDescent="0.25">
      <c r="B98" s="18">
        <v>60000</v>
      </c>
      <c r="C98" s="18">
        <v>40000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E91F-9855-E142-8E07-3455258BDEC9}">
  <dimension ref="A1:F9"/>
  <sheetViews>
    <sheetView workbookViewId="0">
      <selection activeCell="G26" sqref="G26"/>
    </sheetView>
  </sheetViews>
  <sheetFormatPr baseColWidth="10" defaultRowHeight="16" x14ac:dyDescent="0.2"/>
  <cols>
    <col min="1" max="1" width="14.1640625" customWidth="1"/>
  </cols>
  <sheetData>
    <row r="1" spans="1:6" ht="21" x14ac:dyDescent="0.25">
      <c r="A1" s="223" t="s">
        <v>290</v>
      </c>
    </row>
    <row r="4" spans="1:6" x14ac:dyDescent="0.2">
      <c r="A4" t="s">
        <v>291</v>
      </c>
      <c r="E4" t="s">
        <v>292</v>
      </c>
    </row>
    <row r="5" spans="1:6" x14ac:dyDescent="0.2">
      <c r="A5" s="224"/>
      <c r="B5" s="86"/>
      <c r="C5" s="225" t="s">
        <v>293</v>
      </c>
      <c r="E5" s="224"/>
      <c r="F5" s="225" t="s">
        <v>293</v>
      </c>
    </row>
    <row r="6" spans="1:6" x14ac:dyDescent="0.2">
      <c r="A6" s="226" t="s">
        <v>294</v>
      </c>
      <c r="B6">
        <v>22953</v>
      </c>
      <c r="C6" s="227"/>
      <c r="E6" s="226">
        <v>30000</v>
      </c>
      <c r="F6" s="227"/>
    </row>
    <row r="7" spans="1:6" x14ac:dyDescent="0.2">
      <c r="A7" s="228" t="s">
        <v>295</v>
      </c>
      <c r="B7" s="229">
        <v>184</v>
      </c>
      <c r="C7" s="230">
        <f>B7/B6</f>
        <v>8.0163813009192699E-3</v>
      </c>
      <c r="E7" s="231">
        <v>1200</v>
      </c>
      <c r="F7" s="232">
        <f>E7/E6</f>
        <v>0.04</v>
      </c>
    </row>
    <row r="8" spans="1:6" x14ac:dyDescent="0.2">
      <c r="A8" s="226" t="s">
        <v>296</v>
      </c>
      <c r="B8">
        <v>170</v>
      </c>
      <c r="C8" s="233">
        <f>B8/B6</f>
        <v>7.4064392454145428E-3</v>
      </c>
    </row>
    <row r="9" spans="1:6" x14ac:dyDescent="0.2">
      <c r="A9" s="231" t="s">
        <v>297</v>
      </c>
      <c r="B9" s="234">
        <v>320</v>
      </c>
      <c r="C9" s="235">
        <f>B9/B6</f>
        <v>1.3941532697250904E-2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59CFF-7D53-7347-9E36-1394251406F2}">
  <dimension ref="A1:H40"/>
  <sheetViews>
    <sheetView topLeftCell="A14" workbookViewId="0">
      <selection activeCell="B31" sqref="B31"/>
    </sheetView>
  </sheetViews>
  <sheetFormatPr baseColWidth="10" defaultRowHeight="16" x14ac:dyDescent="0.2"/>
  <cols>
    <col min="1" max="1" width="49.6640625" customWidth="1"/>
  </cols>
  <sheetData>
    <row r="1" spans="1:1" x14ac:dyDescent="0.2">
      <c r="A1" t="s">
        <v>281</v>
      </c>
    </row>
    <row r="20" spans="1:8" x14ac:dyDescent="0.2">
      <c r="A20" s="203"/>
      <c r="B20" s="203"/>
      <c r="C20" s="203"/>
      <c r="D20" s="203"/>
      <c r="E20" s="203"/>
      <c r="F20" s="203"/>
    </row>
    <row r="21" spans="1:8" x14ac:dyDescent="0.2">
      <c r="A21" s="203"/>
      <c r="B21" s="203"/>
      <c r="C21" s="203"/>
      <c r="D21" s="203"/>
      <c r="E21" s="203"/>
      <c r="F21" s="203" t="s">
        <v>282</v>
      </c>
    </row>
    <row r="22" spans="1:8" x14ac:dyDescent="0.2">
      <c r="A22" s="204" t="s">
        <v>283</v>
      </c>
      <c r="B22" s="205">
        <v>36900000</v>
      </c>
      <c r="C22" s="205"/>
      <c r="D22" s="205"/>
      <c r="E22" s="205"/>
      <c r="F22" s="206"/>
    </row>
    <row r="23" spans="1:8" x14ac:dyDescent="0.2">
      <c r="A23" s="207" t="s">
        <v>284</v>
      </c>
      <c r="B23" s="203"/>
      <c r="C23" s="203"/>
      <c r="D23" s="203"/>
      <c r="E23" s="203"/>
      <c r="F23" s="208"/>
    </row>
    <row r="24" spans="1:8" x14ac:dyDescent="0.2">
      <c r="A24" s="207"/>
      <c r="B24" s="203"/>
      <c r="C24" s="203"/>
      <c r="D24" s="203"/>
      <c r="E24" s="203"/>
      <c r="F24" s="208"/>
    </row>
    <row r="25" spans="1:8" x14ac:dyDescent="0.2">
      <c r="A25" s="207" t="s">
        <v>285</v>
      </c>
      <c r="B25" s="203">
        <v>754</v>
      </c>
      <c r="C25" s="203"/>
      <c r="D25" s="203"/>
      <c r="E25" s="203"/>
      <c r="F25" s="208"/>
    </row>
    <row r="26" spans="1:8" x14ac:dyDescent="0.2">
      <c r="A26" s="207" t="s">
        <v>286</v>
      </c>
      <c r="B26" s="203">
        <v>10974</v>
      </c>
      <c r="C26" s="203"/>
      <c r="D26" s="203"/>
      <c r="E26" s="203"/>
      <c r="F26" s="208"/>
    </row>
    <row r="27" spans="1:8" x14ac:dyDescent="0.2">
      <c r="A27" s="207"/>
      <c r="B27" s="203"/>
      <c r="C27" s="203"/>
      <c r="D27" s="203"/>
      <c r="E27" s="203"/>
      <c r="F27" s="208"/>
    </row>
    <row r="28" spans="1:8" x14ac:dyDescent="0.2">
      <c r="A28" s="209" t="s">
        <v>287</v>
      </c>
      <c r="B28" s="203">
        <v>24100</v>
      </c>
      <c r="C28" s="203">
        <v>27800</v>
      </c>
      <c r="D28" s="203">
        <v>35000</v>
      </c>
      <c r="E28" s="203">
        <v>25700</v>
      </c>
      <c r="F28" s="210">
        <f>AVERAGE(B28:E28)</f>
        <v>28150</v>
      </c>
      <c r="H28" s="211" t="s">
        <v>288</v>
      </c>
    </row>
    <row r="29" spans="1:8" x14ac:dyDescent="0.2">
      <c r="A29" s="212" t="s">
        <v>289</v>
      </c>
      <c r="B29" s="213">
        <v>1600</v>
      </c>
      <c r="C29" s="213">
        <v>1500</v>
      </c>
      <c r="D29" s="213">
        <v>1700</v>
      </c>
      <c r="E29" s="213">
        <v>1500</v>
      </c>
      <c r="F29" s="214">
        <f>AVERAGE(B29:E29)</f>
        <v>1575</v>
      </c>
    </row>
    <row r="30" spans="1:8" x14ac:dyDescent="0.2">
      <c r="A30" s="203"/>
      <c r="B30" s="203"/>
      <c r="C30" s="203"/>
      <c r="D30" s="203"/>
      <c r="E30" s="203"/>
      <c r="F30" s="203"/>
    </row>
    <row r="31" spans="1:8" x14ac:dyDescent="0.2">
      <c r="A31" s="203"/>
      <c r="B31" s="215"/>
      <c r="C31" s="203"/>
      <c r="D31" s="203"/>
      <c r="E31" s="203"/>
      <c r="F31" s="203"/>
    </row>
    <row r="32" spans="1:8" x14ac:dyDescent="0.2">
      <c r="A32" s="203"/>
      <c r="B32" s="216"/>
      <c r="C32" s="203"/>
      <c r="D32" s="203"/>
      <c r="E32" s="203"/>
      <c r="F32" s="203"/>
    </row>
    <row r="33" spans="1:6" x14ac:dyDescent="0.2">
      <c r="A33" s="203"/>
      <c r="B33" s="203"/>
      <c r="C33" s="203"/>
      <c r="D33" s="203"/>
      <c r="E33" s="203"/>
      <c r="F33" s="203"/>
    </row>
    <row r="34" spans="1:6" x14ac:dyDescent="0.2">
      <c r="A34" s="217" t="s">
        <v>74</v>
      </c>
      <c r="B34" s="217" t="s">
        <v>73</v>
      </c>
      <c r="C34" s="218" t="s">
        <v>262</v>
      </c>
      <c r="D34" s="203"/>
      <c r="E34" s="203"/>
      <c r="F34" s="203"/>
    </row>
    <row r="35" spans="1:6" x14ac:dyDescent="0.2">
      <c r="A35" s="207" t="s">
        <v>72</v>
      </c>
      <c r="B35" s="219">
        <v>58146</v>
      </c>
      <c r="C35" s="208"/>
      <c r="D35" s="203"/>
      <c r="E35" s="203"/>
      <c r="F35" s="203"/>
    </row>
    <row r="36" spans="1:6" x14ac:dyDescent="0.2">
      <c r="A36" s="207" t="s">
        <v>75</v>
      </c>
      <c r="B36" s="219">
        <v>35293.5</v>
      </c>
      <c r="C36" s="208"/>
      <c r="D36" s="203"/>
      <c r="E36" s="203"/>
      <c r="F36" s="203"/>
    </row>
    <row r="37" spans="1:6" x14ac:dyDescent="0.2">
      <c r="A37" s="207" t="s">
        <v>76</v>
      </c>
      <c r="B37" s="219">
        <v>22557</v>
      </c>
      <c r="C37" s="208"/>
      <c r="D37" s="203"/>
      <c r="E37" s="203"/>
      <c r="F37" s="203"/>
    </row>
    <row r="38" spans="1:6" x14ac:dyDescent="0.2">
      <c r="A38" s="220" t="s">
        <v>32</v>
      </c>
      <c r="B38" s="221">
        <v>14103</v>
      </c>
      <c r="C38" s="222"/>
      <c r="D38" s="203"/>
      <c r="E38" s="203"/>
      <c r="F38" s="203"/>
    </row>
    <row r="39" spans="1:6" x14ac:dyDescent="0.2">
      <c r="A39" s="203"/>
      <c r="B39" s="203"/>
      <c r="C39" s="203"/>
      <c r="D39" s="203"/>
      <c r="E39" s="203"/>
      <c r="F39" s="203"/>
    </row>
    <row r="40" spans="1:6" x14ac:dyDescent="0.2">
      <c r="B40">
        <f>B22/B25</f>
        <v>48938.992042440317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BDC60-0D8E-DD4A-ACA0-3B5B341E859E}">
  <dimension ref="A1:O33"/>
  <sheetViews>
    <sheetView zoomScale="90" zoomScaleNormal="90" workbookViewId="0">
      <pane xSplit="2" ySplit="2" topLeftCell="C6" activePane="bottomRight" state="frozen"/>
      <selection pane="topRight" activeCell="B1" sqref="B1"/>
      <selection pane="bottomLeft" activeCell="A4" sqref="A4"/>
      <selection pane="bottomRight" activeCell="F14" sqref="F14"/>
    </sheetView>
  </sheetViews>
  <sheetFormatPr baseColWidth="10" defaultRowHeight="19" x14ac:dyDescent="0.2"/>
  <cols>
    <col min="1" max="1" width="23.5" style="2" customWidth="1"/>
    <col min="2" max="2" width="45.33203125" style="1" customWidth="1"/>
    <col min="3" max="3" width="47" style="1" customWidth="1"/>
    <col min="4" max="4" width="13.83203125" style="34" customWidth="1"/>
    <col min="5" max="8" width="13.83203125" style="1" customWidth="1"/>
    <col min="9" max="9" width="13.83203125" style="40" customWidth="1"/>
    <col min="10" max="10" width="13.83203125" style="127" customWidth="1"/>
    <col min="11" max="14" width="13.83203125" style="1" customWidth="1"/>
    <col min="15" max="15" width="13.83203125" style="40" customWidth="1"/>
    <col min="16" max="16384" width="10.83203125" style="2"/>
  </cols>
  <sheetData>
    <row r="1" spans="1:15" x14ac:dyDescent="0.25">
      <c r="D1" s="190" t="s">
        <v>191</v>
      </c>
      <c r="E1" s="191"/>
      <c r="F1" s="191"/>
      <c r="G1" s="191"/>
      <c r="H1" s="191"/>
      <c r="I1" s="192"/>
      <c r="J1" s="190" t="s">
        <v>236</v>
      </c>
      <c r="K1" s="191"/>
      <c r="L1" s="191"/>
      <c r="M1" s="191"/>
      <c r="N1" s="191"/>
      <c r="O1" s="192"/>
    </row>
    <row r="2" spans="1:15" s="23" customFormat="1" ht="120" x14ac:dyDescent="0.2">
      <c r="A2" s="17"/>
      <c r="B2" s="20" t="s">
        <v>40</v>
      </c>
      <c r="C2" s="20" t="s">
        <v>64</v>
      </c>
      <c r="D2" s="113" t="s">
        <v>86</v>
      </c>
      <c r="E2" s="120" t="s">
        <v>87</v>
      </c>
      <c r="F2" s="121" t="s">
        <v>88</v>
      </c>
      <c r="G2" s="121" t="s">
        <v>65</v>
      </c>
      <c r="H2" s="121" t="s">
        <v>66</v>
      </c>
      <c r="I2" s="114" t="s">
        <v>95</v>
      </c>
      <c r="J2" s="133" t="s">
        <v>86</v>
      </c>
      <c r="K2" s="120" t="s">
        <v>87</v>
      </c>
      <c r="L2" s="121" t="s">
        <v>88</v>
      </c>
      <c r="M2" s="121" t="s">
        <v>65</v>
      </c>
      <c r="N2" s="121" t="s">
        <v>66</v>
      </c>
      <c r="O2" s="114" t="s">
        <v>95</v>
      </c>
    </row>
    <row r="3" spans="1:15" ht="40" x14ac:dyDescent="0.2">
      <c r="A3" s="42" t="s">
        <v>97</v>
      </c>
      <c r="B3" s="24" t="s">
        <v>61</v>
      </c>
      <c r="D3" s="129">
        <v>1</v>
      </c>
      <c r="E3" s="136">
        <v>1</v>
      </c>
      <c r="F3" s="136">
        <v>1</v>
      </c>
      <c r="G3" s="123" t="s">
        <v>2</v>
      </c>
      <c r="H3" s="123" t="s">
        <v>2</v>
      </c>
      <c r="I3" s="39" t="s">
        <v>32</v>
      </c>
      <c r="J3" s="122">
        <v>1</v>
      </c>
      <c r="K3" s="122">
        <v>1</v>
      </c>
      <c r="L3" s="122">
        <v>1</v>
      </c>
      <c r="M3" s="123" t="s">
        <v>2</v>
      </c>
      <c r="N3" s="123" t="s">
        <v>2</v>
      </c>
      <c r="O3" s="39" t="s">
        <v>32</v>
      </c>
    </row>
    <row r="4" spans="1:15" ht="20" x14ac:dyDescent="0.2">
      <c r="A4" s="46" t="s">
        <v>99</v>
      </c>
      <c r="B4" s="47" t="s">
        <v>62</v>
      </c>
      <c r="C4" s="2"/>
      <c r="D4" s="65">
        <v>1</v>
      </c>
      <c r="E4" s="122">
        <v>1</v>
      </c>
      <c r="F4" s="122">
        <v>1</v>
      </c>
      <c r="G4" s="123" t="s">
        <v>2</v>
      </c>
      <c r="H4" s="123" t="s">
        <v>2</v>
      </c>
      <c r="I4" s="39" t="s">
        <v>32</v>
      </c>
      <c r="J4" s="122">
        <v>1</v>
      </c>
      <c r="K4" s="122">
        <v>1</v>
      </c>
      <c r="L4" s="122">
        <v>1</v>
      </c>
      <c r="M4" s="123" t="s">
        <v>2</v>
      </c>
      <c r="N4" s="123" t="s">
        <v>2</v>
      </c>
      <c r="O4" s="39" t="s">
        <v>32</v>
      </c>
    </row>
    <row r="5" spans="1:15" ht="41" customHeight="1" x14ac:dyDescent="0.2">
      <c r="A5" s="46"/>
      <c r="B5" s="47" t="s">
        <v>60</v>
      </c>
      <c r="C5" s="1" t="s">
        <v>89</v>
      </c>
      <c r="D5" s="65">
        <v>1</v>
      </c>
      <c r="E5" s="122">
        <v>1</v>
      </c>
      <c r="F5" s="122">
        <v>1</v>
      </c>
      <c r="G5" s="123" t="s">
        <v>2</v>
      </c>
      <c r="H5" s="123" t="s">
        <v>2</v>
      </c>
      <c r="I5" s="39" t="s">
        <v>32</v>
      </c>
      <c r="J5" s="122">
        <v>1</v>
      </c>
      <c r="K5" s="122">
        <v>1</v>
      </c>
      <c r="L5" s="122">
        <v>1</v>
      </c>
      <c r="M5" s="123" t="s">
        <v>2</v>
      </c>
      <c r="N5" s="123" t="s">
        <v>2</v>
      </c>
      <c r="O5" s="39" t="s">
        <v>32</v>
      </c>
    </row>
    <row r="6" spans="1:15" ht="20" x14ac:dyDescent="0.2">
      <c r="A6" s="46"/>
      <c r="B6" s="47" t="s">
        <v>39</v>
      </c>
      <c r="D6" s="37" t="s">
        <v>32</v>
      </c>
      <c r="E6" s="124" t="s">
        <v>32</v>
      </c>
      <c r="F6" s="124" t="s">
        <v>32</v>
      </c>
      <c r="G6" s="123" t="s">
        <v>2</v>
      </c>
      <c r="H6" s="123" t="s">
        <v>2</v>
      </c>
      <c r="I6" s="39" t="s">
        <v>32</v>
      </c>
      <c r="J6" s="124" t="s">
        <v>32</v>
      </c>
      <c r="K6" s="124" t="s">
        <v>32</v>
      </c>
      <c r="L6" s="124" t="s">
        <v>32</v>
      </c>
      <c r="M6" s="123" t="s">
        <v>2</v>
      </c>
      <c r="N6" s="123" t="s">
        <v>2</v>
      </c>
      <c r="O6" s="39" t="s">
        <v>32</v>
      </c>
    </row>
    <row r="7" spans="1:15" ht="20" x14ac:dyDescent="0.2">
      <c r="A7" s="46"/>
      <c r="B7" s="47" t="s">
        <v>0</v>
      </c>
      <c r="D7" s="37" t="s">
        <v>32</v>
      </c>
      <c r="E7" s="124" t="s">
        <v>32</v>
      </c>
      <c r="F7" s="124" t="s">
        <v>32</v>
      </c>
      <c r="G7" s="123" t="s">
        <v>2</v>
      </c>
      <c r="H7" s="123" t="s">
        <v>2</v>
      </c>
      <c r="I7" s="39" t="s">
        <v>32</v>
      </c>
      <c r="J7" s="124" t="s">
        <v>32</v>
      </c>
      <c r="K7" s="124" t="s">
        <v>32</v>
      </c>
      <c r="L7" s="124" t="s">
        <v>32</v>
      </c>
      <c r="M7" s="123" t="s">
        <v>2</v>
      </c>
      <c r="N7" s="123" t="s">
        <v>2</v>
      </c>
      <c r="O7" s="39" t="s">
        <v>32</v>
      </c>
    </row>
    <row r="8" spans="1:15" ht="38" customHeight="1" x14ac:dyDescent="0.2">
      <c r="A8" s="42" t="s">
        <v>97</v>
      </c>
      <c r="B8" s="24" t="s">
        <v>85</v>
      </c>
      <c r="C8" s="1" t="s">
        <v>59</v>
      </c>
      <c r="D8" s="115">
        <v>0.13</v>
      </c>
      <c r="E8" s="125">
        <f>D10</f>
        <v>5.2000000000000005E-2</v>
      </c>
      <c r="F8" s="38">
        <f>D8-D10</f>
        <v>7.8E-2</v>
      </c>
      <c r="G8" s="123" t="s">
        <v>2</v>
      </c>
      <c r="H8" s="123" t="s">
        <v>2</v>
      </c>
      <c r="I8" s="39" t="s">
        <v>2</v>
      </c>
      <c r="J8" s="134">
        <v>0.13</v>
      </c>
      <c r="K8" s="130">
        <f>E8</f>
        <v>5.2000000000000005E-2</v>
      </c>
      <c r="L8" s="131">
        <f>F8</f>
        <v>7.8E-2</v>
      </c>
      <c r="M8" s="123" t="s">
        <v>2</v>
      </c>
      <c r="N8" s="123" t="s">
        <v>2</v>
      </c>
      <c r="O8" s="39" t="s">
        <v>2</v>
      </c>
    </row>
    <row r="9" spans="1:15" ht="20" x14ac:dyDescent="0.2">
      <c r="A9" s="42"/>
      <c r="B9" s="24" t="s">
        <v>56</v>
      </c>
      <c r="D9" s="115">
        <f>D8</f>
        <v>0.13</v>
      </c>
      <c r="E9" s="123">
        <f>E8</f>
        <v>5.2000000000000005E-2</v>
      </c>
      <c r="F9" s="123">
        <f>F8</f>
        <v>7.8E-2</v>
      </c>
      <c r="G9" s="123" t="s">
        <v>2</v>
      </c>
      <c r="H9" s="123" t="s">
        <v>2</v>
      </c>
      <c r="I9" s="39" t="s">
        <v>2</v>
      </c>
      <c r="J9" s="135">
        <f>J8</f>
        <v>0.13</v>
      </c>
      <c r="K9" s="123">
        <f t="shared" ref="K9:L9" si="0">K8</f>
        <v>5.2000000000000005E-2</v>
      </c>
      <c r="L9" s="123">
        <f t="shared" si="0"/>
        <v>7.8E-2</v>
      </c>
      <c r="M9" s="123" t="s">
        <v>2</v>
      </c>
      <c r="N9" s="123" t="s">
        <v>2</v>
      </c>
      <c r="O9" s="39" t="s">
        <v>2</v>
      </c>
    </row>
    <row r="10" spans="1:15" ht="40" x14ac:dyDescent="0.2">
      <c r="A10" s="44" t="s">
        <v>93</v>
      </c>
      <c r="B10" s="26" t="s">
        <v>57</v>
      </c>
      <c r="C10" s="1" t="s">
        <v>67</v>
      </c>
      <c r="D10" s="35">
        <f>40%*D9</f>
        <v>5.2000000000000005E-2</v>
      </c>
      <c r="E10" s="125">
        <f>E9</f>
        <v>5.2000000000000005E-2</v>
      </c>
      <c r="F10" s="126">
        <v>0</v>
      </c>
      <c r="G10" s="123" t="s">
        <v>2</v>
      </c>
      <c r="H10" s="123" t="s">
        <v>2</v>
      </c>
      <c r="I10" s="39" t="s">
        <v>2</v>
      </c>
      <c r="J10" s="135">
        <v>0.4</v>
      </c>
      <c r="K10" s="126">
        <f>J10</f>
        <v>0.4</v>
      </c>
      <c r="L10" s="126">
        <v>0</v>
      </c>
      <c r="M10" s="123" t="s">
        <v>2</v>
      </c>
      <c r="N10" s="123" t="s">
        <v>2</v>
      </c>
      <c r="O10" s="39" t="s">
        <v>2</v>
      </c>
    </row>
    <row r="11" spans="1:15" ht="20" x14ac:dyDescent="0.2">
      <c r="A11" s="44"/>
      <c r="B11" s="26" t="s">
        <v>58</v>
      </c>
      <c r="C11" s="1" t="s">
        <v>90</v>
      </c>
      <c r="D11" s="116">
        <f>E11</f>
        <v>3.8739999999999997E-2</v>
      </c>
      <c r="E11" s="36">
        <f>29.8%*D8</f>
        <v>3.8739999999999997E-2</v>
      </c>
      <c r="F11" s="126">
        <v>0</v>
      </c>
      <c r="G11" s="123" t="s">
        <v>2</v>
      </c>
      <c r="H11" s="123" t="s">
        <v>2</v>
      </c>
      <c r="I11" s="39" t="s">
        <v>2</v>
      </c>
      <c r="J11" s="36">
        <f>K11</f>
        <v>0.29799999999999999</v>
      </c>
      <c r="K11" s="36">
        <v>0.29799999999999999</v>
      </c>
      <c r="L11" s="126">
        <v>0</v>
      </c>
      <c r="M11" s="123" t="s">
        <v>2</v>
      </c>
      <c r="N11" s="123" t="s">
        <v>2</v>
      </c>
      <c r="O11" s="39" t="s">
        <v>2</v>
      </c>
    </row>
    <row r="12" spans="1:15" ht="77" customHeight="1" x14ac:dyDescent="0.2">
      <c r="A12" s="45" t="s">
        <v>94</v>
      </c>
      <c r="B12" s="15" t="s">
        <v>63</v>
      </c>
      <c r="C12" s="1" t="s">
        <v>91</v>
      </c>
      <c r="D12" s="117">
        <f>F12</f>
        <v>5.9150000000000001E-2</v>
      </c>
      <c r="E12" s="127" t="s">
        <v>2</v>
      </c>
      <c r="F12" s="38">
        <f>45.5%*D8</f>
        <v>5.9150000000000001E-2</v>
      </c>
      <c r="G12" s="38">
        <f>15.2%*F12</f>
        <v>8.9908000000000002E-3</v>
      </c>
      <c r="H12" s="38">
        <f>84.8%*F12</f>
        <v>5.0159200000000001E-2</v>
      </c>
      <c r="I12" s="39" t="s">
        <v>2</v>
      </c>
      <c r="J12" s="125">
        <f>L12</f>
        <v>0.45500000000000002</v>
      </c>
      <c r="K12" s="127" t="s">
        <v>2</v>
      </c>
      <c r="L12" s="125">
        <v>0.45500000000000002</v>
      </c>
      <c r="M12" s="38">
        <f>15.2%*L12</f>
        <v>6.9159999999999999E-2</v>
      </c>
      <c r="N12" s="38">
        <f>84.8%*L12</f>
        <v>0.38584000000000002</v>
      </c>
      <c r="O12" s="39" t="s">
        <v>2</v>
      </c>
    </row>
    <row r="13" spans="1:15" ht="44" customHeight="1" x14ac:dyDescent="0.2">
      <c r="A13" s="42" t="s">
        <v>97</v>
      </c>
      <c r="B13" s="24" t="s">
        <v>98</v>
      </c>
      <c r="C13" s="1" t="s">
        <v>192</v>
      </c>
      <c r="D13" s="118" t="s">
        <v>32</v>
      </c>
      <c r="E13" s="128">
        <f>20%*E11</f>
        <v>7.7479999999999997E-3</v>
      </c>
      <c r="F13" s="41" t="s">
        <v>32</v>
      </c>
      <c r="G13" s="41" t="s">
        <v>32</v>
      </c>
      <c r="H13" s="41" t="s">
        <v>32</v>
      </c>
      <c r="I13" s="39" t="s">
        <v>2</v>
      </c>
      <c r="J13" s="132" t="s">
        <v>32</v>
      </c>
      <c r="K13" s="125">
        <f>K11/K10*20%</f>
        <v>0.14899999999999999</v>
      </c>
      <c r="L13" s="41" t="s">
        <v>32</v>
      </c>
      <c r="M13" s="41" t="s">
        <v>32</v>
      </c>
      <c r="N13" s="41" t="s">
        <v>32</v>
      </c>
      <c r="O13" s="39" t="s">
        <v>2</v>
      </c>
    </row>
    <row r="14" spans="1:15" ht="80" x14ac:dyDescent="0.2">
      <c r="A14" s="42"/>
      <c r="B14" s="24" t="s">
        <v>96</v>
      </c>
      <c r="C14" s="1" t="s">
        <v>92</v>
      </c>
      <c r="D14" s="143">
        <f>E14+F14</f>
        <v>1.11E-2</v>
      </c>
      <c r="E14" s="142">
        <v>7.0000000000000001E-3</v>
      </c>
      <c r="F14" s="142">
        <v>4.1000000000000003E-3</v>
      </c>
      <c r="G14" s="128">
        <f>34%*G12</f>
        <v>3.0568720000000004E-3</v>
      </c>
      <c r="H14" s="128">
        <f>2%*H12</f>
        <v>1.0031840000000001E-3</v>
      </c>
      <c r="I14" s="39" t="s">
        <v>32</v>
      </c>
      <c r="J14" s="144">
        <f>D14/J8</f>
        <v>8.5384615384615392E-2</v>
      </c>
      <c r="K14" s="144">
        <f>E14/K8</f>
        <v>0.13461538461538461</v>
      </c>
      <c r="L14" s="142">
        <f>F14/F8</f>
        <v>5.2564102564102572E-2</v>
      </c>
      <c r="M14" s="128">
        <f>G14/F8</f>
        <v>3.9190666666666672E-2</v>
      </c>
      <c r="N14" s="128">
        <f>H14/F8</f>
        <v>1.2861333333333334E-2</v>
      </c>
      <c r="O14" s="39" t="s">
        <v>32</v>
      </c>
    </row>
    <row r="15" spans="1:15" ht="20" x14ac:dyDescent="0.2">
      <c r="A15" s="46" t="s">
        <v>99</v>
      </c>
      <c r="B15" s="47" t="s">
        <v>129</v>
      </c>
      <c r="D15" s="118" t="s">
        <v>32</v>
      </c>
      <c r="E15" s="132" t="s">
        <v>32</v>
      </c>
      <c r="F15" s="132" t="s">
        <v>32</v>
      </c>
      <c r="G15" s="132" t="s">
        <v>32</v>
      </c>
      <c r="H15" s="132" t="s">
        <v>32</v>
      </c>
      <c r="I15" s="137" t="s">
        <v>32</v>
      </c>
      <c r="J15" s="118" t="s">
        <v>32</v>
      </c>
      <c r="K15" s="132" t="s">
        <v>32</v>
      </c>
      <c r="L15" s="132" t="s">
        <v>32</v>
      </c>
      <c r="M15" s="132" t="s">
        <v>32</v>
      </c>
      <c r="N15" s="132" t="s">
        <v>32</v>
      </c>
      <c r="O15" s="137" t="s">
        <v>32</v>
      </c>
    </row>
    <row r="16" spans="1:15" x14ac:dyDescent="0.2">
      <c r="E16" s="128"/>
      <c r="F16" s="127"/>
      <c r="G16" s="127"/>
      <c r="H16" s="127"/>
      <c r="K16" s="128"/>
      <c r="L16" s="127"/>
      <c r="M16" s="127"/>
      <c r="N16" s="127"/>
    </row>
    <row r="17" spans="2:15" x14ac:dyDescent="0.2">
      <c r="E17" s="128"/>
      <c r="F17" s="138"/>
      <c r="G17" s="127"/>
      <c r="H17" s="127"/>
      <c r="K17" s="128"/>
      <c r="L17" s="127"/>
      <c r="M17" s="127"/>
      <c r="N17" s="127"/>
    </row>
    <row r="18" spans="2:15" x14ac:dyDescent="0.2">
      <c r="E18" s="128"/>
      <c r="F18" s="127"/>
      <c r="G18" s="127"/>
      <c r="H18" s="127"/>
      <c r="K18" s="128"/>
      <c r="L18" s="127"/>
      <c r="M18" s="127"/>
      <c r="N18" s="127"/>
    </row>
    <row r="19" spans="2:15" ht="20" x14ac:dyDescent="0.2">
      <c r="B19" s="14" t="s">
        <v>100</v>
      </c>
      <c r="E19" s="128"/>
      <c r="F19" s="127"/>
      <c r="G19" s="127"/>
      <c r="H19" s="127"/>
      <c r="K19" s="128"/>
      <c r="L19" s="127"/>
      <c r="M19" s="127"/>
      <c r="N19" s="127"/>
    </row>
    <row r="20" spans="2:15" ht="20" x14ac:dyDescent="0.2">
      <c r="B20" s="1" t="s">
        <v>69</v>
      </c>
      <c r="C20" s="1" t="s">
        <v>146</v>
      </c>
      <c r="D20" s="34">
        <v>26350</v>
      </c>
      <c r="E20" s="127"/>
      <c r="F20" s="127"/>
      <c r="G20" s="127"/>
      <c r="H20" s="127"/>
      <c r="K20" s="127"/>
      <c r="L20" s="127"/>
      <c r="M20" s="127"/>
      <c r="N20" s="127"/>
    </row>
    <row r="21" spans="2:15" ht="20" x14ac:dyDescent="0.2">
      <c r="B21" s="1" t="s">
        <v>78</v>
      </c>
      <c r="D21" s="119" t="s">
        <v>32</v>
      </c>
      <c r="E21" s="127"/>
      <c r="F21" s="127"/>
      <c r="G21" s="127"/>
      <c r="H21" s="127"/>
      <c r="K21" s="127"/>
      <c r="L21" s="127"/>
      <c r="M21" s="127"/>
      <c r="N21" s="127"/>
    </row>
    <row r="22" spans="2:15" x14ac:dyDescent="0.2">
      <c r="D22" s="37"/>
      <c r="E22" s="127"/>
      <c r="F22" s="127"/>
      <c r="G22" s="127"/>
      <c r="H22" s="127"/>
      <c r="K22" s="127"/>
      <c r="L22" s="127"/>
      <c r="M22" s="127"/>
      <c r="N22" s="127"/>
    </row>
    <row r="23" spans="2:15" ht="20" x14ac:dyDescent="0.2">
      <c r="B23" s="1" t="s">
        <v>133</v>
      </c>
      <c r="D23" s="119" t="s">
        <v>32</v>
      </c>
      <c r="E23" s="127"/>
      <c r="F23" s="127"/>
      <c r="G23" s="127"/>
      <c r="H23" s="127"/>
      <c r="K23" s="127"/>
      <c r="L23" s="127"/>
      <c r="M23" s="127"/>
      <c r="N23" s="127"/>
    </row>
    <row r="24" spans="2:15" ht="20" x14ac:dyDescent="0.2">
      <c r="B24" s="1" t="s">
        <v>77</v>
      </c>
      <c r="C24" s="2"/>
      <c r="D24" s="43"/>
      <c r="E24" s="127"/>
      <c r="F24" s="127"/>
      <c r="G24" s="127"/>
      <c r="H24" s="127"/>
      <c r="I24" s="64"/>
      <c r="K24" s="127"/>
      <c r="L24" s="127"/>
      <c r="M24" s="127"/>
      <c r="N24" s="127"/>
      <c r="O24" s="64"/>
    </row>
    <row r="25" spans="2:15" x14ac:dyDescent="0.25">
      <c r="B25" s="16" t="s">
        <v>72</v>
      </c>
      <c r="C25" s="2"/>
      <c r="D25" s="87">
        <v>116292</v>
      </c>
      <c r="E25" s="127"/>
      <c r="F25" s="127"/>
      <c r="G25" s="127"/>
      <c r="H25" s="127"/>
      <c r="I25" s="64"/>
      <c r="K25" s="127"/>
      <c r="L25" s="127"/>
      <c r="M25" s="127"/>
      <c r="N25" s="127"/>
      <c r="O25" s="64"/>
    </row>
    <row r="26" spans="2:15" x14ac:dyDescent="0.25">
      <c r="B26" s="16" t="s">
        <v>75</v>
      </c>
      <c r="C26" s="2"/>
      <c r="D26" s="87">
        <v>70587</v>
      </c>
      <c r="I26" s="64"/>
      <c r="O26" s="64"/>
    </row>
    <row r="27" spans="2:15" x14ac:dyDescent="0.25">
      <c r="B27" s="16" t="s">
        <v>76</v>
      </c>
      <c r="C27" s="2"/>
      <c r="D27" s="87">
        <v>45114</v>
      </c>
    </row>
    <row r="28" spans="2:15" x14ac:dyDescent="0.25">
      <c r="B28" s="16" t="s">
        <v>32</v>
      </c>
      <c r="D28" s="87">
        <v>28206</v>
      </c>
    </row>
    <row r="30" spans="2:15" ht="20" x14ac:dyDescent="0.2">
      <c r="B30" s="1" t="s">
        <v>130</v>
      </c>
      <c r="D30" s="119" t="s">
        <v>32</v>
      </c>
    </row>
    <row r="32" spans="2:15" ht="20" x14ac:dyDescent="0.2">
      <c r="B32" s="1" t="s">
        <v>156</v>
      </c>
      <c r="D32" s="119" t="s">
        <v>32</v>
      </c>
    </row>
    <row r="33" spans="2:4" ht="40" x14ac:dyDescent="0.2">
      <c r="B33" s="1" t="s">
        <v>157</v>
      </c>
      <c r="D33" s="119" t="s">
        <v>32</v>
      </c>
    </row>
  </sheetData>
  <mergeCells count="2">
    <mergeCell ref="D1:I1"/>
    <mergeCell ref="J1:O1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78D63-2353-A14F-A44F-541062431287}">
  <dimension ref="A1:C22"/>
  <sheetViews>
    <sheetView workbookViewId="0">
      <selection activeCell="A19" sqref="A19"/>
    </sheetView>
  </sheetViews>
  <sheetFormatPr baseColWidth="10" defaultColWidth="8.83203125" defaultRowHeight="16" x14ac:dyDescent="0.2"/>
  <cols>
    <col min="1" max="1" width="36" customWidth="1"/>
    <col min="2" max="2" width="34.5" customWidth="1"/>
    <col min="3" max="3" width="77.1640625" customWidth="1"/>
  </cols>
  <sheetData>
    <row r="1" spans="1:3" ht="17" x14ac:dyDescent="0.2">
      <c r="A1" s="193" t="s">
        <v>101</v>
      </c>
      <c r="B1" s="194"/>
    </row>
    <row r="2" spans="1:3" ht="42" customHeight="1" x14ac:dyDescent="0.2">
      <c r="A2" s="195" t="s">
        <v>102</v>
      </c>
      <c r="B2" s="194"/>
    </row>
    <row r="4" spans="1:3" x14ac:dyDescent="0.2">
      <c r="A4" s="48" t="s">
        <v>103</v>
      </c>
      <c r="B4" s="49" t="s">
        <v>104</v>
      </c>
      <c r="C4" s="50"/>
    </row>
    <row r="5" spans="1:3" x14ac:dyDescent="0.2">
      <c r="A5" s="51" t="s">
        <v>105</v>
      </c>
      <c r="B5" s="52" t="s">
        <v>106</v>
      </c>
      <c r="C5" s="53"/>
    </row>
    <row r="6" spans="1:3" x14ac:dyDescent="0.2">
      <c r="A6" s="51" t="s">
        <v>107</v>
      </c>
      <c r="B6" s="52" t="s">
        <v>108</v>
      </c>
      <c r="C6" s="53"/>
    </row>
    <row r="7" spans="1:3" x14ac:dyDescent="0.2">
      <c r="A7" s="51" t="s">
        <v>109</v>
      </c>
      <c r="B7" s="52" t="s">
        <v>110</v>
      </c>
      <c r="C7" s="53"/>
    </row>
    <row r="8" spans="1:3" x14ac:dyDescent="0.2">
      <c r="A8" s="51" t="s">
        <v>111</v>
      </c>
      <c r="B8" s="52" t="s">
        <v>112</v>
      </c>
      <c r="C8" s="53"/>
    </row>
    <row r="9" spans="1:3" x14ac:dyDescent="0.2">
      <c r="A9" s="54" t="s">
        <v>113</v>
      </c>
      <c r="B9" s="55">
        <v>7.0000000000000001E-3</v>
      </c>
      <c r="C9" s="56"/>
    </row>
    <row r="14" spans="1:3" x14ac:dyDescent="0.2">
      <c r="A14" s="48" t="s">
        <v>114</v>
      </c>
      <c r="B14" s="57" t="s">
        <v>115</v>
      </c>
      <c r="C14" s="58"/>
    </row>
    <row r="15" spans="1:3" x14ac:dyDescent="0.2">
      <c r="A15" s="51" t="s">
        <v>105</v>
      </c>
      <c r="B15" s="52" t="s">
        <v>106</v>
      </c>
      <c r="C15" s="53"/>
    </row>
    <row r="16" spans="1:3" x14ac:dyDescent="0.2">
      <c r="A16" s="51" t="s">
        <v>116</v>
      </c>
      <c r="B16" s="52" t="s">
        <v>117</v>
      </c>
      <c r="C16" s="53"/>
    </row>
    <row r="17" spans="1:3" x14ac:dyDescent="0.2">
      <c r="A17" s="59" t="s">
        <v>118</v>
      </c>
      <c r="B17" s="60" t="s">
        <v>119</v>
      </c>
      <c r="C17" s="53"/>
    </row>
    <row r="18" spans="1:3" x14ac:dyDescent="0.2">
      <c r="A18" s="59" t="s">
        <v>120</v>
      </c>
      <c r="B18" s="60" t="s">
        <v>121</v>
      </c>
      <c r="C18" s="53"/>
    </row>
    <row r="19" spans="1:3" x14ac:dyDescent="0.2">
      <c r="A19" s="59" t="s">
        <v>122</v>
      </c>
      <c r="B19" s="60" t="s">
        <v>123</v>
      </c>
      <c r="C19" s="53"/>
    </row>
    <row r="20" spans="1:3" x14ac:dyDescent="0.2">
      <c r="A20" s="59" t="s">
        <v>124</v>
      </c>
      <c r="B20" s="60" t="s">
        <v>125</v>
      </c>
      <c r="C20" s="53"/>
    </row>
    <row r="21" spans="1:3" x14ac:dyDescent="0.2">
      <c r="A21" s="61" t="s">
        <v>126</v>
      </c>
      <c r="B21" s="62" t="s">
        <v>127</v>
      </c>
      <c r="C21" s="56"/>
    </row>
    <row r="22" spans="1:3" x14ac:dyDescent="0.2">
      <c r="A22" s="54" t="s">
        <v>113</v>
      </c>
      <c r="B22" s="63" t="s">
        <v>128</v>
      </c>
      <c r="C22" s="56"/>
    </row>
  </sheetData>
  <mergeCells count="2">
    <mergeCell ref="A1:B1"/>
    <mergeCell ref="A2:B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AB3F-4473-104D-9448-0BEBC2F8392D}">
  <dimension ref="A1:E44"/>
  <sheetViews>
    <sheetView workbookViewId="0">
      <selection activeCell="B24" sqref="B24"/>
    </sheetView>
  </sheetViews>
  <sheetFormatPr baseColWidth="10" defaultRowHeight="16" x14ac:dyDescent="0.2"/>
  <cols>
    <col min="1" max="1" width="54.5" customWidth="1"/>
    <col min="2" max="2" width="68.1640625" customWidth="1"/>
    <col min="3" max="3" width="20.6640625" customWidth="1"/>
  </cols>
  <sheetData>
    <row r="1" spans="1:5" ht="34" x14ac:dyDescent="0.2">
      <c r="A1" s="9" t="s">
        <v>16</v>
      </c>
      <c r="B1" t="s">
        <v>15</v>
      </c>
      <c r="C1" s="5"/>
      <c r="E1" t="s">
        <v>17</v>
      </c>
    </row>
    <row r="2" spans="1:5" x14ac:dyDescent="0.2">
      <c r="A2" s="9"/>
      <c r="B2" t="s">
        <v>20</v>
      </c>
      <c r="C2" s="5"/>
    </row>
    <row r="3" spans="1:5" x14ac:dyDescent="0.2">
      <c r="A3" s="9"/>
      <c r="B3" t="s">
        <v>21</v>
      </c>
      <c r="C3" s="5"/>
    </row>
    <row r="4" spans="1:5" x14ac:dyDescent="0.2">
      <c r="A4" s="6"/>
      <c r="B4" t="s">
        <v>6</v>
      </c>
      <c r="C4" s="5"/>
    </row>
    <row r="5" spans="1:5" x14ac:dyDescent="0.2">
      <c r="B5" t="s">
        <v>7</v>
      </c>
    </row>
    <row r="6" spans="1:5" x14ac:dyDescent="0.2">
      <c r="A6" t="s">
        <v>19</v>
      </c>
      <c r="B6" t="s">
        <v>22</v>
      </c>
    </row>
    <row r="8" spans="1:5" x14ac:dyDescent="0.2">
      <c r="A8" s="8" t="s">
        <v>4</v>
      </c>
      <c r="B8" s="7" t="s">
        <v>10</v>
      </c>
      <c r="C8" s="5" t="s">
        <v>9</v>
      </c>
    </row>
    <row r="9" spans="1:5" x14ac:dyDescent="0.2">
      <c r="A9" s="10"/>
      <c r="B9" s="10" t="s">
        <v>14</v>
      </c>
      <c r="C9" s="10" t="s">
        <v>31</v>
      </c>
    </row>
    <row r="10" spans="1:5" x14ac:dyDescent="0.2">
      <c r="A10" s="10" t="s">
        <v>11</v>
      </c>
      <c r="B10" s="10">
        <v>36400</v>
      </c>
      <c r="C10" s="10">
        <v>34500</v>
      </c>
    </row>
    <row r="11" spans="1:5" x14ac:dyDescent="0.2">
      <c r="A11" s="10" t="s">
        <v>12</v>
      </c>
      <c r="B11" s="10">
        <v>36200</v>
      </c>
      <c r="C11" s="10">
        <v>28300</v>
      </c>
    </row>
    <row r="12" spans="1:5" x14ac:dyDescent="0.2">
      <c r="A12" s="10" t="s">
        <v>13</v>
      </c>
      <c r="B12" s="10">
        <v>4880</v>
      </c>
      <c r="C12" s="10">
        <v>4100</v>
      </c>
    </row>
    <row r="13" spans="1:5" x14ac:dyDescent="0.2">
      <c r="A13" s="10" t="s">
        <v>32</v>
      </c>
      <c r="B13" s="10">
        <v>1730</v>
      </c>
      <c r="C13" s="10">
        <v>12400</v>
      </c>
    </row>
    <row r="14" spans="1:5" x14ac:dyDescent="0.2">
      <c r="A14" s="10"/>
      <c r="B14" s="10">
        <f>SUM(B10:B13)</f>
        <v>79210</v>
      </c>
      <c r="C14" s="10">
        <f>SUM(C10:C13)</f>
        <v>79300</v>
      </c>
    </row>
    <row r="15" spans="1:5" x14ac:dyDescent="0.2">
      <c r="A15" s="12" t="s">
        <v>5</v>
      </c>
      <c r="B15" s="13" t="s">
        <v>34</v>
      </c>
    </row>
    <row r="17" spans="1:2" x14ac:dyDescent="0.2">
      <c r="A17" s="12" t="s">
        <v>8</v>
      </c>
      <c r="B17" s="13" t="s">
        <v>33</v>
      </c>
    </row>
    <row r="18" spans="1:2" x14ac:dyDescent="0.2">
      <c r="B18" t="s">
        <v>18</v>
      </c>
    </row>
    <row r="20" spans="1:2" x14ac:dyDescent="0.2">
      <c r="A20" t="s">
        <v>29</v>
      </c>
    </row>
    <row r="21" spans="1:2" x14ac:dyDescent="0.2">
      <c r="A21" s="7" t="s">
        <v>28</v>
      </c>
    </row>
    <row r="23" spans="1:2" ht="19" x14ac:dyDescent="0.2">
      <c r="A23" s="11" t="s">
        <v>23</v>
      </c>
      <c r="B23" t="s">
        <v>24</v>
      </c>
    </row>
    <row r="24" spans="1:2" ht="19" x14ac:dyDescent="0.2">
      <c r="A24" s="11" t="s">
        <v>25</v>
      </c>
      <c r="B24" t="s">
        <v>26</v>
      </c>
    </row>
    <row r="25" spans="1:2" ht="19" x14ac:dyDescent="0.2">
      <c r="A25" s="11" t="s">
        <v>27</v>
      </c>
      <c r="B25" t="s">
        <v>30</v>
      </c>
    </row>
    <row r="30" spans="1:2" x14ac:dyDescent="0.2">
      <c r="A30" s="8" t="s">
        <v>84</v>
      </c>
    </row>
    <row r="32" spans="1:2" s="165" customFormat="1" x14ac:dyDescent="0.2">
      <c r="A32" s="197" t="s">
        <v>268</v>
      </c>
      <c r="B32" s="199">
        <f>60000-43000</f>
        <v>17000</v>
      </c>
    </row>
    <row r="33" spans="1:2" x14ac:dyDescent="0.2">
      <c r="B33" s="196" t="s">
        <v>269</v>
      </c>
    </row>
    <row r="34" spans="1:2" x14ac:dyDescent="0.2">
      <c r="B34" s="196"/>
    </row>
    <row r="35" spans="1:2" s="165" customFormat="1" x14ac:dyDescent="0.2">
      <c r="A35" s="197" t="s">
        <v>273</v>
      </c>
      <c r="B35" s="198" t="s">
        <v>272</v>
      </c>
    </row>
    <row r="36" spans="1:2" x14ac:dyDescent="0.2">
      <c r="A36" t="s">
        <v>265</v>
      </c>
      <c r="B36">
        <v>100000</v>
      </c>
    </row>
    <row r="37" spans="1:2" x14ac:dyDescent="0.2">
      <c r="A37" t="s">
        <v>266</v>
      </c>
      <c r="B37" s="8">
        <v>7100</v>
      </c>
    </row>
    <row r="38" spans="1:2" x14ac:dyDescent="0.2">
      <c r="A38" t="s">
        <v>270</v>
      </c>
      <c r="B38" s="8">
        <v>60000</v>
      </c>
    </row>
    <row r="40" spans="1:2" x14ac:dyDescent="0.2">
      <c r="B40" t="s">
        <v>271</v>
      </c>
    </row>
    <row r="41" spans="1:2" x14ac:dyDescent="0.2">
      <c r="B41" t="s">
        <v>267</v>
      </c>
    </row>
    <row r="42" spans="1:2" x14ac:dyDescent="0.2">
      <c r="B42">
        <v>58146</v>
      </c>
    </row>
    <row r="43" spans="1:2" x14ac:dyDescent="0.2">
      <c r="B43">
        <v>35293.5</v>
      </c>
    </row>
    <row r="44" spans="1:2" x14ac:dyDescent="0.2">
      <c r="B44">
        <v>22557</v>
      </c>
    </row>
  </sheetData>
  <hyperlinks>
    <hyperlink ref="B8" r:id="rId1" xr:uid="{B1C72D04-7547-6744-A07F-F25F768086EB}"/>
    <hyperlink ref="A21" r:id="rId2" xr:uid="{12C71B04-CEDE-1646-A3CC-D3794ED288A7}"/>
    <hyperlink ref="B35" r:id="rId3" xr:uid="{A0557143-F48A-E04A-B3C9-F9DE8A16628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44B37-2C9E-5048-8903-9883E4216AC5}">
  <dimension ref="A1:N46"/>
  <sheetViews>
    <sheetView topLeftCell="A3" workbookViewId="0">
      <selection activeCell="Q3" sqref="Q1:Q1048576"/>
    </sheetView>
  </sheetViews>
  <sheetFormatPr baseColWidth="10" defaultColWidth="8.83203125" defaultRowHeight="16" x14ac:dyDescent="0.2"/>
  <cols>
    <col min="2" max="2" width="12.5" customWidth="1"/>
    <col min="3" max="3" width="19" customWidth="1"/>
    <col min="4" max="4" width="24.6640625" customWidth="1"/>
    <col min="5" max="5" width="13.5" customWidth="1"/>
    <col min="6" max="6" width="16.33203125" customWidth="1"/>
    <col min="9" max="9" width="15.83203125" customWidth="1"/>
  </cols>
  <sheetData>
    <row r="1" spans="1:14" x14ac:dyDescent="0.2">
      <c r="B1" s="68" t="s">
        <v>134</v>
      </c>
      <c r="C1" s="68" t="s">
        <v>135</v>
      </c>
      <c r="D1" s="68" t="s">
        <v>136</v>
      </c>
      <c r="E1" s="68" t="s">
        <v>137</v>
      </c>
      <c r="F1" s="68" t="s">
        <v>138</v>
      </c>
      <c r="I1" s="68" t="s">
        <v>134</v>
      </c>
      <c r="J1" s="68" t="s">
        <v>139</v>
      </c>
      <c r="K1" s="68" t="s">
        <v>140</v>
      </c>
      <c r="L1" s="68" t="s">
        <v>141</v>
      </c>
      <c r="M1" s="68" t="s">
        <v>142</v>
      </c>
      <c r="N1" s="68" t="s">
        <v>143</v>
      </c>
    </row>
    <row r="2" spans="1:14" x14ac:dyDescent="0.2">
      <c r="A2" s="68">
        <v>0</v>
      </c>
      <c r="B2" s="69">
        <v>44896</v>
      </c>
      <c r="C2">
        <v>0.52317327766179544</v>
      </c>
      <c r="D2">
        <v>0.47494780793319408</v>
      </c>
      <c r="E2">
        <v>0</v>
      </c>
      <c r="F2">
        <v>0</v>
      </c>
      <c r="H2" s="68">
        <v>0</v>
      </c>
      <c r="I2" s="69">
        <v>44896</v>
      </c>
      <c r="J2">
        <v>2506</v>
      </c>
      <c r="K2">
        <v>2275</v>
      </c>
      <c r="L2">
        <v>0</v>
      </c>
      <c r="M2">
        <v>4790</v>
      </c>
      <c r="N2">
        <v>0</v>
      </c>
    </row>
    <row r="3" spans="1:14" x14ac:dyDescent="0.2">
      <c r="A3" s="68">
        <v>1</v>
      </c>
      <c r="B3" s="69">
        <v>44927</v>
      </c>
      <c r="C3">
        <v>0.48473520249221191</v>
      </c>
      <c r="D3">
        <v>0.42866043613707172</v>
      </c>
      <c r="E3">
        <v>0</v>
      </c>
      <c r="F3">
        <v>0</v>
      </c>
      <c r="H3" s="68">
        <v>1</v>
      </c>
      <c r="I3" s="69">
        <v>44927</v>
      </c>
      <c r="J3">
        <v>778</v>
      </c>
      <c r="K3">
        <v>688</v>
      </c>
      <c r="L3">
        <v>0</v>
      </c>
      <c r="M3">
        <v>1605</v>
      </c>
      <c r="N3">
        <v>0</v>
      </c>
    </row>
    <row r="4" spans="1:14" x14ac:dyDescent="0.2">
      <c r="A4" s="68">
        <v>2</v>
      </c>
      <c r="B4" s="69">
        <v>44958</v>
      </c>
      <c r="C4">
        <v>0.49058295964125559</v>
      </c>
      <c r="D4">
        <v>0.4295964125560538</v>
      </c>
      <c r="E4">
        <v>0</v>
      </c>
      <c r="F4">
        <v>0</v>
      </c>
      <c r="H4" s="68">
        <v>2</v>
      </c>
      <c r="I4" s="69">
        <v>44958</v>
      </c>
      <c r="J4">
        <v>547</v>
      </c>
      <c r="K4">
        <v>479</v>
      </c>
      <c r="L4">
        <v>0</v>
      </c>
      <c r="M4">
        <v>1115</v>
      </c>
      <c r="N4">
        <v>0</v>
      </c>
    </row>
    <row r="5" spans="1:14" x14ac:dyDescent="0.2">
      <c r="A5" s="68">
        <v>3</v>
      </c>
      <c r="B5" s="69">
        <v>44986</v>
      </c>
      <c r="C5">
        <v>0.40740740740740738</v>
      </c>
      <c r="D5">
        <v>0.27805417357656159</v>
      </c>
      <c r="E5">
        <v>0</v>
      </c>
      <c r="F5">
        <v>0</v>
      </c>
      <c r="H5" s="68">
        <v>3</v>
      </c>
      <c r="I5" s="69">
        <v>44986</v>
      </c>
      <c r="J5">
        <v>737</v>
      </c>
      <c r="K5">
        <v>503</v>
      </c>
      <c r="L5">
        <v>0</v>
      </c>
      <c r="M5">
        <v>1809</v>
      </c>
      <c r="N5">
        <v>0</v>
      </c>
    </row>
    <row r="6" spans="1:14" x14ac:dyDescent="0.2">
      <c r="A6" s="68">
        <v>4</v>
      </c>
      <c r="B6" s="69">
        <v>45017</v>
      </c>
      <c r="C6">
        <v>0.34640810929925081</v>
      </c>
      <c r="D6">
        <v>0.21507271925958571</v>
      </c>
      <c r="E6">
        <v>0</v>
      </c>
      <c r="F6">
        <v>0</v>
      </c>
      <c r="H6" s="68">
        <v>4</v>
      </c>
      <c r="I6" s="69">
        <v>45017</v>
      </c>
      <c r="J6">
        <v>786</v>
      </c>
      <c r="K6">
        <v>488</v>
      </c>
      <c r="L6">
        <v>0</v>
      </c>
      <c r="M6">
        <v>2269</v>
      </c>
      <c r="N6">
        <v>0</v>
      </c>
    </row>
    <row r="7" spans="1:14" x14ac:dyDescent="0.2">
      <c r="A7" s="68">
        <v>5</v>
      </c>
      <c r="B7" s="69">
        <v>45047</v>
      </c>
      <c r="C7">
        <v>0.29070691024622719</v>
      </c>
      <c r="D7">
        <v>0.1850675138999206</v>
      </c>
      <c r="E7">
        <v>0</v>
      </c>
      <c r="F7">
        <v>0</v>
      </c>
      <c r="H7" s="68">
        <v>5</v>
      </c>
      <c r="I7" s="69">
        <v>45047</v>
      </c>
      <c r="J7">
        <v>366</v>
      </c>
      <c r="K7">
        <v>233</v>
      </c>
      <c r="L7">
        <v>0</v>
      </c>
      <c r="M7">
        <v>1259</v>
      </c>
      <c r="N7">
        <v>0</v>
      </c>
    </row>
    <row r="8" spans="1:14" x14ac:dyDescent="0.2">
      <c r="A8" s="68">
        <v>6</v>
      </c>
      <c r="B8" s="69">
        <v>45078</v>
      </c>
      <c r="C8">
        <v>0.3112208892025406</v>
      </c>
      <c r="D8">
        <v>0.24841213832039519</v>
      </c>
      <c r="E8">
        <v>0</v>
      </c>
      <c r="F8">
        <v>0</v>
      </c>
      <c r="H8" s="68">
        <v>6</v>
      </c>
      <c r="I8" s="69">
        <v>45078</v>
      </c>
      <c r="J8">
        <v>441</v>
      </c>
      <c r="K8">
        <v>352</v>
      </c>
      <c r="L8">
        <v>0</v>
      </c>
      <c r="M8">
        <v>1417</v>
      </c>
      <c r="N8">
        <v>0</v>
      </c>
    </row>
    <row r="9" spans="1:14" x14ac:dyDescent="0.2">
      <c r="A9" s="68">
        <v>7</v>
      </c>
      <c r="B9" s="69">
        <v>45108</v>
      </c>
      <c r="C9">
        <v>0.31468531468531469</v>
      </c>
      <c r="D9">
        <v>0.39429800968262507</v>
      </c>
      <c r="E9">
        <v>0</v>
      </c>
      <c r="F9">
        <v>0</v>
      </c>
      <c r="H9" s="68">
        <v>7</v>
      </c>
      <c r="I9" s="69">
        <v>45108</v>
      </c>
      <c r="J9">
        <v>585</v>
      </c>
      <c r="K9">
        <v>733</v>
      </c>
      <c r="L9">
        <v>0</v>
      </c>
      <c r="M9">
        <v>1859</v>
      </c>
      <c r="N9">
        <v>0</v>
      </c>
    </row>
    <row r="10" spans="1:14" x14ac:dyDescent="0.2">
      <c r="A10" s="68">
        <v>8</v>
      </c>
      <c r="B10" s="69">
        <v>45139</v>
      </c>
      <c r="C10">
        <v>0.27371273712737132</v>
      </c>
      <c r="D10">
        <v>0.36720867208672092</v>
      </c>
      <c r="E10">
        <v>0</v>
      </c>
      <c r="F10">
        <v>1.309846431797651E-2</v>
      </c>
      <c r="H10" s="68">
        <v>8</v>
      </c>
      <c r="I10" s="69">
        <v>45139</v>
      </c>
      <c r="J10">
        <v>606</v>
      </c>
      <c r="K10">
        <v>813</v>
      </c>
      <c r="L10">
        <v>0</v>
      </c>
      <c r="M10">
        <v>2214</v>
      </c>
      <c r="N10">
        <v>29</v>
      </c>
    </row>
    <row r="11" spans="1:14" x14ac:dyDescent="0.2">
      <c r="A11" s="68">
        <v>9</v>
      </c>
      <c r="B11" s="69">
        <v>45170</v>
      </c>
      <c r="C11">
        <v>0.24294960702727689</v>
      </c>
      <c r="D11">
        <v>0.2387887193712436</v>
      </c>
      <c r="E11">
        <v>0</v>
      </c>
      <c r="F11">
        <v>5.1317614424410539E-2</v>
      </c>
      <c r="H11" s="68">
        <v>9</v>
      </c>
      <c r="I11" s="69">
        <v>45170</v>
      </c>
      <c r="J11">
        <v>1051</v>
      </c>
      <c r="K11">
        <v>1033</v>
      </c>
      <c r="L11">
        <v>0</v>
      </c>
      <c r="M11">
        <v>4326</v>
      </c>
      <c r="N11">
        <v>222</v>
      </c>
    </row>
    <row r="12" spans="1:14" x14ac:dyDescent="0.2">
      <c r="A12" s="68">
        <v>10</v>
      </c>
      <c r="B12" s="69">
        <v>45200</v>
      </c>
      <c r="C12">
        <v>0.38375314861460957</v>
      </c>
      <c r="D12">
        <v>0.2306045340050378</v>
      </c>
      <c r="E12">
        <v>0</v>
      </c>
      <c r="F12">
        <v>4.2191435768261967E-2</v>
      </c>
      <c r="H12" s="68">
        <v>10</v>
      </c>
      <c r="I12" s="69">
        <v>45200</v>
      </c>
      <c r="J12">
        <v>3047</v>
      </c>
      <c r="K12">
        <v>1831</v>
      </c>
      <c r="L12">
        <v>0</v>
      </c>
      <c r="M12">
        <v>7940</v>
      </c>
      <c r="N12">
        <v>335</v>
      </c>
    </row>
    <row r="13" spans="1:14" x14ac:dyDescent="0.2">
      <c r="A13" s="68">
        <v>11</v>
      </c>
      <c r="B13" s="69">
        <v>45231</v>
      </c>
      <c r="C13">
        <v>0.3466644261468661</v>
      </c>
      <c r="D13">
        <v>0.2239959670643589</v>
      </c>
      <c r="E13">
        <v>0</v>
      </c>
      <c r="F13">
        <v>3.461603091917325E-2</v>
      </c>
      <c r="H13" s="68">
        <v>11</v>
      </c>
      <c r="I13" s="69">
        <v>45231</v>
      </c>
      <c r="J13">
        <v>2063</v>
      </c>
      <c r="K13">
        <v>1333</v>
      </c>
      <c r="L13">
        <v>0</v>
      </c>
      <c r="M13">
        <v>5951</v>
      </c>
      <c r="N13">
        <v>206</v>
      </c>
    </row>
    <row r="14" spans="1:14" x14ac:dyDescent="0.2">
      <c r="A14" s="68">
        <v>12</v>
      </c>
      <c r="B14" s="69">
        <v>45261</v>
      </c>
      <c r="C14">
        <v>0.39618609238862401</v>
      </c>
      <c r="D14">
        <v>0.2064770672365609</v>
      </c>
      <c r="E14">
        <v>0</v>
      </c>
      <c r="F14">
        <v>2.663159625184942E-2</v>
      </c>
      <c r="H14" s="68">
        <v>12</v>
      </c>
      <c r="I14" s="69">
        <v>45261</v>
      </c>
      <c r="J14">
        <v>2410</v>
      </c>
      <c r="K14">
        <v>1256</v>
      </c>
      <c r="L14">
        <v>0</v>
      </c>
      <c r="M14">
        <v>6083</v>
      </c>
      <c r="N14">
        <v>162</v>
      </c>
    </row>
    <row r="15" spans="1:14" x14ac:dyDescent="0.2">
      <c r="A15" s="68">
        <v>13</v>
      </c>
      <c r="B15" s="69">
        <v>45292</v>
      </c>
      <c r="C15">
        <v>0.38477431659249839</v>
      </c>
      <c r="D15">
        <v>0.23219961856325491</v>
      </c>
      <c r="E15">
        <v>0</v>
      </c>
      <c r="F15">
        <v>3.5600762873490149E-2</v>
      </c>
      <c r="H15" s="68">
        <v>13</v>
      </c>
      <c r="I15" s="69">
        <v>45292</v>
      </c>
      <c r="J15">
        <v>2421</v>
      </c>
      <c r="K15">
        <v>1461</v>
      </c>
      <c r="L15">
        <v>0</v>
      </c>
      <c r="M15">
        <v>6292</v>
      </c>
      <c r="N15">
        <v>224</v>
      </c>
    </row>
    <row r="16" spans="1:14" x14ac:dyDescent="0.2">
      <c r="A16" s="68">
        <v>14</v>
      </c>
      <c r="B16" s="69">
        <v>45323</v>
      </c>
      <c r="C16">
        <v>0.35522151898734178</v>
      </c>
      <c r="D16">
        <v>0.24541139240506329</v>
      </c>
      <c r="E16">
        <v>0</v>
      </c>
      <c r="F16">
        <v>3.212025316455696E-2</v>
      </c>
      <c r="H16" s="68">
        <v>14</v>
      </c>
      <c r="I16" s="69">
        <v>45323</v>
      </c>
      <c r="J16">
        <v>2245</v>
      </c>
      <c r="K16">
        <v>1551</v>
      </c>
      <c r="L16">
        <v>0</v>
      </c>
      <c r="M16">
        <v>6320</v>
      </c>
      <c r="N16">
        <v>203</v>
      </c>
    </row>
    <row r="17" spans="1:14" x14ac:dyDescent="0.2">
      <c r="A17" s="68">
        <v>15</v>
      </c>
      <c r="B17" s="69">
        <v>45352</v>
      </c>
      <c r="C17">
        <v>0.39979641175722103</v>
      </c>
      <c r="D17">
        <v>0.2245832803155618</v>
      </c>
      <c r="E17">
        <v>0</v>
      </c>
      <c r="F17">
        <v>2.4557831785214399E-2</v>
      </c>
      <c r="H17" s="68">
        <v>15</v>
      </c>
      <c r="I17" s="69">
        <v>45352</v>
      </c>
      <c r="J17">
        <v>3142</v>
      </c>
      <c r="K17">
        <v>1765</v>
      </c>
      <c r="L17">
        <v>0</v>
      </c>
      <c r="M17">
        <v>7859</v>
      </c>
      <c r="N17">
        <v>193</v>
      </c>
    </row>
    <row r="18" spans="1:14" x14ac:dyDescent="0.2">
      <c r="A18" s="68">
        <v>16</v>
      </c>
      <c r="B18" s="69">
        <v>45383</v>
      </c>
      <c r="C18">
        <v>0.39657585872725309</v>
      </c>
      <c r="D18">
        <v>0.16033164638742331</v>
      </c>
      <c r="E18">
        <v>0</v>
      </c>
      <c r="F18">
        <v>1.690535156670615E-2</v>
      </c>
      <c r="H18" s="68">
        <v>16</v>
      </c>
      <c r="I18" s="69">
        <v>45383</v>
      </c>
      <c r="J18">
        <v>3683</v>
      </c>
      <c r="K18">
        <v>1489</v>
      </c>
      <c r="L18">
        <v>0</v>
      </c>
      <c r="M18">
        <v>9287</v>
      </c>
      <c r="N18">
        <v>157</v>
      </c>
    </row>
    <row r="19" spans="1:14" x14ac:dyDescent="0.2">
      <c r="A19" s="68">
        <v>17</v>
      </c>
      <c r="B19" s="69">
        <v>45413</v>
      </c>
      <c r="C19">
        <v>0.29031085257225958</v>
      </c>
      <c r="D19">
        <v>0.1577894928194874</v>
      </c>
      <c r="E19">
        <v>0</v>
      </c>
      <c r="F19">
        <v>2.3995637156880571E-2</v>
      </c>
      <c r="H19" s="68">
        <v>17</v>
      </c>
      <c r="I19" s="69">
        <v>45413</v>
      </c>
      <c r="J19">
        <v>1597</v>
      </c>
      <c r="K19">
        <v>868</v>
      </c>
      <c r="L19">
        <v>0</v>
      </c>
      <c r="M19">
        <v>5501</v>
      </c>
      <c r="N19">
        <v>132</v>
      </c>
    </row>
    <row r="20" spans="1:14" x14ac:dyDescent="0.2">
      <c r="A20" s="68">
        <v>18</v>
      </c>
      <c r="B20" s="69">
        <v>45444</v>
      </c>
      <c r="C20">
        <v>0.26909722222222221</v>
      </c>
      <c r="D20">
        <v>0.16631944444444441</v>
      </c>
      <c r="E20">
        <v>0</v>
      </c>
      <c r="F20">
        <v>1.7013888888888891E-2</v>
      </c>
      <c r="H20" s="68">
        <v>18</v>
      </c>
      <c r="I20" s="69">
        <v>45444</v>
      </c>
      <c r="J20">
        <v>1550</v>
      </c>
      <c r="K20">
        <v>958</v>
      </c>
      <c r="L20">
        <v>0</v>
      </c>
      <c r="M20">
        <v>5760</v>
      </c>
      <c r="N20">
        <v>98</v>
      </c>
    </row>
    <row r="21" spans="1:14" x14ac:dyDescent="0.2">
      <c r="A21" s="68">
        <v>19</v>
      </c>
      <c r="B21" s="69">
        <v>45474</v>
      </c>
      <c r="C21">
        <v>0.37830006439150032</v>
      </c>
      <c r="D21">
        <v>0.216677398583387</v>
      </c>
      <c r="E21">
        <v>0</v>
      </c>
      <c r="F21">
        <v>1.835157759175789E-2</v>
      </c>
      <c r="H21" s="68">
        <v>19</v>
      </c>
      <c r="I21" s="69">
        <v>45474</v>
      </c>
      <c r="J21">
        <v>2350</v>
      </c>
      <c r="K21">
        <v>1346</v>
      </c>
      <c r="L21">
        <v>0</v>
      </c>
      <c r="M21">
        <v>6212</v>
      </c>
      <c r="N21">
        <v>114</v>
      </c>
    </row>
    <row r="22" spans="1:14" x14ac:dyDescent="0.2">
      <c r="A22" s="68">
        <v>20</v>
      </c>
      <c r="B22" s="69">
        <v>45505</v>
      </c>
      <c r="C22">
        <v>0.29905098212315162</v>
      </c>
      <c r="D22">
        <v>0.2015007724564114</v>
      </c>
      <c r="E22">
        <v>0</v>
      </c>
      <c r="F22">
        <v>2.2511586846170821E-2</v>
      </c>
      <c r="H22" s="68">
        <v>20</v>
      </c>
      <c r="I22" s="69">
        <v>45505</v>
      </c>
      <c r="J22">
        <v>1355</v>
      </c>
      <c r="K22">
        <v>913</v>
      </c>
      <c r="L22">
        <v>0</v>
      </c>
      <c r="M22">
        <v>4531</v>
      </c>
      <c r="N22">
        <v>102</v>
      </c>
    </row>
    <row r="23" spans="1:14" x14ac:dyDescent="0.2">
      <c r="A23" s="68">
        <v>21</v>
      </c>
      <c r="B23" s="69">
        <v>45536</v>
      </c>
      <c r="C23">
        <v>0.25826598089639968</v>
      </c>
      <c r="D23">
        <v>0.16972814107274059</v>
      </c>
      <c r="E23">
        <v>0</v>
      </c>
      <c r="F23">
        <v>2.4981631153563551E-2</v>
      </c>
      <c r="H23" s="68">
        <v>21</v>
      </c>
      <c r="I23" s="69">
        <v>45536</v>
      </c>
      <c r="J23">
        <v>1406</v>
      </c>
      <c r="K23">
        <v>924</v>
      </c>
      <c r="L23">
        <v>0</v>
      </c>
      <c r="M23">
        <v>5444</v>
      </c>
      <c r="N23">
        <v>136</v>
      </c>
    </row>
    <row r="24" spans="1:14" x14ac:dyDescent="0.2">
      <c r="A24" s="68">
        <v>22</v>
      </c>
      <c r="B24" s="69">
        <v>45566</v>
      </c>
      <c r="C24">
        <v>0.30654761904761912</v>
      </c>
      <c r="D24">
        <v>0.18347338935574231</v>
      </c>
      <c r="E24">
        <v>0</v>
      </c>
      <c r="F24">
        <v>2.5210084033613449E-2</v>
      </c>
      <c r="H24" s="68">
        <v>22</v>
      </c>
      <c r="I24" s="69">
        <v>45566</v>
      </c>
      <c r="J24">
        <v>1751</v>
      </c>
      <c r="K24">
        <v>1048</v>
      </c>
      <c r="L24">
        <v>0</v>
      </c>
      <c r="M24">
        <v>5712</v>
      </c>
      <c r="N24">
        <v>144</v>
      </c>
    </row>
    <row r="25" spans="1:14" x14ac:dyDescent="0.2">
      <c r="A25" s="68">
        <v>23</v>
      </c>
      <c r="B25" s="69">
        <v>45597</v>
      </c>
      <c r="C25">
        <v>0.24273902904388381</v>
      </c>
      <c r="D25">
        <v>0.16005935976256089</v>
      </c>
      <c r="E25">
        <v>0</v>
      </c>
      <c r="F25">
        <v>2.310790756836973E-2</v>
      </c>
      <c r="H25" s="68">
        <v>23</v>
      </c>
      <c r="I25" s="69">
        <v>45597</v>
      </c>
      <c r="J25">
        <v>1145</v>
      </c>
      <c r="K25">
        <v>755</v>
      </c>
      <c r="L25">
        <v>0</v>
      </c>
      <c r="M25">
        <v>4717</v>
      </c>
      <c r="N25">
        <v>109</v>
      </c>
    </row>
    <row r="26" spans="1:14" x14ac:dyDescent="0.2">
      <c r="A26" s="68">
        <v>24</v>
      </c>
      <c r="B26" s="69">
        <v>45627</v>
      </c>
      <c r="C26">
        <v>0.26682224815246991</v>
      </c>
      <c r="D26">
        <v>0.16705562038117461</v>
      </c>
      <c r="E26">
        <v>0</v>
      </c>
      <c r="F26">
        <v>2.6059898872034231E-2</v>
      </c>
      <c r="H26" s="68">
        <v>24</v>
      </c>
      <c r="I26" s="69">
        <v>45627</v>
      </c>
      <c r="J26">
        <v>1372</v>
      </c>
      <c r="K26">
        <v>859</v>
      </c>
      <c r="L26">
        <v>0</v>
      </c>
      <c r="M26">
        <v>5142</v>
      </c>
      <c r="N26">
        <v>134</v>
      </c>
    </row>
    <row r="27" spans="1:14" x14ac:dyDescent="0.2">
      <c r="A27" s="68">
        <v>25</v>
      </c>
      <c r="B27" s="69">
        <v>45658</v>
      </c>
      <c r="C27">
        <v>0.24859287054408999</v>
      </c>
      <c r="D27">
        <v>0.1532833020637899</v>
      </c>
      <c r="E27">
        <v>0</v>
      </c>
      <c r="F27">
        <v>2.1763602251407131E-2</v>
      </c>
      <c r="H27" s="68">
        <v>25</v>
      </c>
      <c r="I27" s="69">
        <v>45658</v>
      </c>
      <c r="J27">
        <v>1325</v>
      </c>
      <c r="K27">
        <v>817</v>
      </c>
      <c r="L27">
        <v>0</v>
      </c>
      <c r="M27">
        <v>5330</v>
      </c>
      <c r="N27">
        <v>116</v>
      </c>
    </row>
    <row r="28" spans="1:14" x14ac:dyDescent="0.2">
      <c r="A28" s="68">
        <v>26</v>
      </c>
      <c r="B28" s="69">
        <v>45689</v>
      </c>
      <c r="C28">
        <v>0.25638210266264072</v>
      </c>
      <c r="D28">
        <v>0.15536645621740319</v>
      </c>
      <c r="E28">
        <v>0</v>
      </c>
      <c r="F28">
        <v>2.7998902003842991E-2</v>
      </c>
      <c r="H28" s="68">
        <v>26</v>
      </c>
      <c r="I28" s="69">
        <v>45689</v>
      </c>
      <c r="J28">
        <v>934</v>
      </c>
      <c r="K28">
        <v>566</v>
      </c>
      <c r="L28">
        <v>0</v>
      </c>
      <c r="M28">
        <v>3643</v>
      </c>
      <c r="N28">
        <v>102</v>
      </c>
    </row>
    <row r="29" spans="1:14" x14ac:dyDescent="0.2">
      <c r="A29" s="68">
        <v>27</v>
      </c>
      <c r="B29" s="69">
        <v>45717</v>
      </c>
      <c r="C29">
        <v>0.25739089629282019</v>
      </c>
      <c r="D29">
        <v>0.1264664476771469</v>
      </c>
      <c r="E29">
        <v>0</v>
      </c>
      <c r="F29">
        <v>2.6278742374472079E-2</v>
      </c>
      <c r="H29" s="68">
        <v>27</v>
      </c>
      <c r="I29" s="69">
        <v>45717</v>
      </c>
      <c r="J29">
        <v>1097</v>
      </c>
      <c r="K29">
        <v>539</v>
      </c>
      <c r="L29">
        <v>0</v>
      </c>
      <c r="M29">
        <v>4262</v>
      </c>
      <c r="N29">
        <v>112</v>
      </c>
    </row>
    <row r="30" spans="1:14" x14ac:dyDescent="0.2">
      <c r="A30" s="68">
        <v>28</v>
      </c>
      <c r="B30" s="69">
        <v>45748</v>
      </c>
      <c r="C30">
        <v>0.31634485855410871</v>
      </c>
      <c r="D30">
        <v>0.1084418500224517</v>
      </c>
      <c r="E30">
        <v>0</v>
      </c>
      <c r="F30">
        <v>1.6614279299506061E-2</v>
      </c>
      <c r="H30" s="68">
        <v>28</v>
      </c>
      <c r="I30" s="69">
        <v>45748</v>
      </c>
      <c r="J30">
        <v>1409</v>
      </c>
      <c r="K30">
        <v>483</v>
      </c>
      <c r="L30">
        <v>0</v>
      </c>
      <c r="M30">
        <v>4454</v>
      </c>
      <c r="N30">
        <v>74</v>
      </c>
    </row>
    <row r="31" spans="1:14" x14ac:dyDescent="0.2">
      <c r="A31" s="68">
        <v>29</v>
      </c>
      <c r="B31" s="69">
        <v>45778</v>
      </c>
      <c r="C31">
        <v>0.19230769230769229</v>
      </c>
      <c r="D31">
        <v>9.0365944734876774E-2</v>
      </c>
      <c r="E31">
        <v>0</v>
      </c>
      <c r="F31">
        <v>1.568334578043316E-2</v>
      </c>
      <c r="H31" s="68">
        <v>29</v>
      </c>
      <c r="I31" s="69">
        <v>45778</v>
      </c>
      <c r="J31">
        <v>515</v>
      </c>
      <c r="K31">
        <v>242</v>
      </c>
      <c r="L31">
        <v>0</v>
      </c>
      <c r="M31">
        <v>2678</v>
      </c>
      <c r="N31">
        <v>42</v>
      </c>
    </row>
    <row r="32" spans="1:14" x14ac:dyDescent="0.2">
      <c r="A32" s="68">
        <v>30</v>
      </c>
      <c r="B32" s="69">
        <v>45809</v>
      </c>
      <c r="C32">
        <v>0.19392123287671231</v>
      </c>
      <c r="D32">
        <v>8.3476027397260275E-2</v>
      </c>
      <c r="E32">
        <v>0</v>
      </c>
      <c r="F32">
        <v>1.7123287671232879E-2</v>
      </c>
      <c r="H32" s="68">
        <v>30</v>
      </c>
      <c r="I32" s="69">
        <v>45809</v>
      </c>
      <c r="J32">
        <v>453</v>
      </c>
      <c r="K32">
        <v>195</v>
      </c>
      <c r="L32">
        <v>0</v>
      </c>
      <c r="M32">
        <v>2336</v>
      </c>
      <c r="N32">
        <v>40</v>
      </c>
    </row>
    <row r="33" spans="1:14" x14ac:dyDescent="0.2">
      <c r="A33" s="68">
        <v>31</v>
      </c>
      <c r="B33" s="69">
        <v>45839</v>
      </c>
      <c r="C33">
        <v>0.26991317478293703</v>
      </c>
      <c r="D33">
        <v>9.6262740656851642E-2</v>
      </c>
      <c r="E33">
        <v>7.5500188750471874E-4</v>
      </c>
      <c r="F33">
        <v>1.9630049075122689E-2</v>
      </c>
      <c r="H33" s="68">
        <v>31</v>
      </c>
      <c r="I33" s="69">
        <v>45839</v>
      </c>
      <c r="J33">
        <v>715</v>
      </c>
      <c r="K33">
        <v>255</v>
      </c>
      <c r="L33">
        <v>2</v>
      </c>
      <c r="M33">
        <v>2649</v>
      </c>
      <c r="N33">
        <v>52</v>
      </c>
    </row>
    <row r="34" spans="1:14" x14ac:dyDescent="0.2">
      <c r="A34" s="68">
        <v>32</v>
      </c>
      <c r="B34" s="69">
        <v>45870</v>
      </c>
      <c r="C34">
        <v>0.19503722084367239</v>
      </c>
      <c r="D34">
        <v>8.2878411910669969E-2</v>
      </c>
      <c r="E34">
        <v>1.786600496277916E-2</v>
      </c>
      <c r="F34">
        <v>2.0347394540942931E-2</v>
      </c>
      <c r="H34" s="68">
        <v>32</v>
      </c>
      <c r="I34" s="69">
        <v>45870</v>
      </c>
      <c r="J34">
        <v>393</v>
      </c>
      <c r="K34">
        <v>167</v>
      </c>
      <c r="L34">
        <v>36</v>
      </c>
      <c r="M34">
        <v>2015</v>
      </c>
      <c r="N34">
        <v>41</v>
      </c>
    </row>
    <row r="35" spans="1:14" x14ac:dyDescent="0.2">
      <c r="A35" s="68">
        <v>33</v>
      </c>
      <c r="B35" s="69">
        <v>45901</v>
      </c>
      <c r="C35">
        <v>0.1248741188318228</v>
      </c>
      <c r="D35">
        <v>7.3514602215508554E-2</v>
      </c>
      <c r="E35">
        <v>1.1581067472306141E-2</v>
      </c>
      <c r="F35">
        <v>1.7875125881168179E-2</v>
      </c>
      <c r="H35" s="68">
        <v>33</v>
      </c>
      <c r="I35" s="69">
        <v>45901</v>
      </c>
      <c r="J35">
        <v>496</v>
      </c>
      <c r="K35">
        <v>292</v>
      </c>
      <c r="L35">
        <v>46</v>
      </c>
      <c r="M35">
        <v>3972</v>
      </c>
      <c r="N35">
        <v>71</v>
      </c>
    </row>
    <row r="36" spans="1:14" x14ac:dyDescent="0.2">
      <c r="A36" s="68">
        <v>34</v>
      </c>
      <c r="B36" s="69">
        <v>45931</v>
      </c>
      <c r="C36">
        <v>0.1675353685778109</v>
      </c>
      <c r="D36">
        <v>7.5452965996525193E-2</v>
      </c>
      <c r="E36">
        <v>4.7158103747828254E-3</v>
      </c>
      <c r="F36">
        <v>1.0176222387689249E-2</v>
      </c>
      <c r="H36" s="68">
        <v>34</v>
      </c>
      <c r="I36" s="69">
        <v>45931</v>
      </c>
      <c r="J36">
        <v>675</v>
      </c>
      <c r="K36">
        <v>304</v>
      </c>
      <c r="L36">
        <v>19</v>
      </c>
      <c r="M36">
        <v>4029</v>
      </c>
      <c r="N36">
        <v>41</v>
      </c>
    </row>
    <row r="37" spans="1:14" x14ac:dyDescent="0.2">
      <c r="A37" s="68">
        <v>35</v>
      </c>
      <c r="B37" s="69">
        <v>45962</v>
      </c>
      <c r="C37">
        <v>0.14640883977900551</v>
      </c>
      <c r="D37">
        <v>7.4980268350434101E-2</v>
      </c>
      <c r="E37">
        <v>7.8926598263614842E-3</v>
      </c>
      <c r="F37">
        <v>1.3417521704814519E-2</v>
      </c>
      <c r="H37" s="68">
        <v>35</v>
      </c>
      <c r="I37" s="69">
        <v>45962</v>
      </c>
      <c r="J37">
        <v>371</v>
      </c>
      <c r="K37">
        <v>190</v>
      </c>
      <c r="L37">
        <v>20</v>
      </c>
      <c r="M37">
        <v>2534</v>
      </c>
      <c r="N37">
        <v>34</v>
      </c>
    </row>
    <row r="38" spans="1:14" x14ac:dyDescent="0.2">
      <c r="A38" s="68">
        <v>36</v>
      </c>
      <c r="B38" s="69">
        <v>45992</v>
      </c>
      <c r="C38">
        <v>0.1263440860215054</v>
      </c>
      <c r="D38">
        <v>0.1095430107526882</v>
      </c>
      <c r="E38">
        <v>4.7043010752688174E-3</v>
      </c>
      <c r="F38">
        <v>1.0080645161290321E-2</v>
      </c>
      <c r="H38" s="68">
        <v>36</v>
      </c>
      <c r="I38" s="69">
        <v>45992</v>
      </c>
      <c r="J38">
        <v>376</v>
      </c>
      <c r="K38">
        <v>326</v>
      </c>
      <c r="L38">
        <v>14</v>
      </c>
      <c r="M38">
        <v>2976</v>
      </c>
      <c r="N38">
        <v>30</v>
      </c>
    </row>
    <row r="39" spans="1:14" s="72" customFormat="1" x14ac:dyDescent="0.2">
      <c r="A39" s="70">
        <v>37</v>
      </c>
      <c r="B39" s="71">
        <v>46023</v>
      </c>
      <c r="C39" s="72">
        <v>0.1228457799381352</v>
      </c>
      <c r="D39" s="72">
        <v>0.13698630136986301</v>
      </c>
      <c r="E39" s="72">
        <v>6.1864781263809114E-3</v>
      </c>
      <c r="F39" s="72">
        <v>1.016349977905435E-2</v>
      </c>
      <c r="H39" s="70">
        <v>37</v>
      </c>
      <c r="I39" s="71">
        <v>46023</v>
      </c>
      <c r="J39" s="72">
        <v>278</v>
      </c>
      <c r="K39" s="72">
        <v>310</v>
      </c>
      <c r="L39" s="72">
        <v>14</v>
      </c>
      <c r="M39" s="72">
        <v>2263</v>
      </c>
      <c r="N39" s="72">
        <v>23</v>
      </c>
    </row>
    <row r="40" spans="1:14" s="72" customFormat="1" x14ac:dyDescent="0.2">
      <c r="A40" s="70">
        <v>38</v>
      </c>
      <c r="B40" s="71">
        <v>46054</v>
      </c>
      <c r="C40" s="72">
        <v>0.1255946717411989</v>
      </c>
      <c r="D40" s="72">
        <v>0.13320647002854419</v>
      </c>
      <c r="E40" s="72">
        <v>2.85442435775452E-3</v>
      </c>
      <c r="F40" s="72">
        <v>1.04662226450999E-2</v>
      </c>
      <c r="H40" s="70">
        <v>38</v>
      </c>
      <c r="I40" s="71">
        <v>46054</v>
      </c>
      <c r="J40" s="72">
        <v>264</v>
      </c>
      <c r="K40" s="72">
        <v>280</v>
      </c>
      <c r="L40" s="72">
        <v>6</v>
      </c>
      <c r="M40" s="72">
        <v>2102</v>
      </c>
      <c r="N40" s="72">
        <v>22</v>
      </c>
    </row>
    <row r="41" spans="1:14" s="72" customFormat="1" x14ac:dyDescent="0.2">
      <c r="A41" s="70">
        <v>39</v>
      </c>
      <c r="B41" s="71">
        <v>46082</v>
      </c>
      <c r="C41" s="72">
        <v>0.1342031686859273</v>
      </c>
      <c r="D41" s="72">
        <v>0.15517241379310351</v>
      </c>
      <c r="E41" s="72">
        <v>6.9897483690587138E-3</v>
      </c>
      <c r="F41" s="72">
        <v>1.3047530288909599E-2</v>
      </c>
      <c r="H41" s="70">
        <v>39</v>
      </c>
      <c r="I41" s="71">
        <v>46082</v>
      </c>
      <c r="J41" s="72">
        <v>288</v>
      </c>
      <c r="K41" s="72">
        <v>333</v>
      </c>
      <c r="L41" s="72">
        <v>15</v>
      </c>
      <c r="M41" s="72">
        <v>2146</v>
      </c>
      <c r="N41" s="72">
        <v>28</v>
      </c>
    </row>
    <row r="42" spans="1:14" s="72" customFormat="1" x14ac:dyDescent="0.2">
      <c r="A42" s="70">
        <v>40</v>
      </c>
      <c r="B42" s="71">
        <v>46113</v>
      </c>
      <c r="C42" s="72">
        <v>0.21121416526138281</v>
      </c>
      <c r="D42" s="72">
        <v>0.15851602023608771</v>
      </c>
      <c r="E42" s="72">
        <v>2.951096121416526E-3</v>
      </c>
      <c r="F42" s="72">
        <v>3.7942664418212481E-3</v>
      </c>
      <c r="H42" s="70">
        <v>40</v>
      </c>
      <c r="I42" s="71">
        <v>46113</v>
      </c>
      <c r="J42" s="72">
        <v>501</v>
      </c>
      <c r="K42" s="72">
        <v>376</v>
      </c>
      <c r="L42" s="72">
        <v>7</v>
      </c>
      <c r="M42" s="72">
        <v>2372</v>
      </c>
      <c r="N42" s="72">
        <v>9</v>
      </c>
    </row>
    <row r="43" spans="1:14" s="72" customFormat="1" x14ac:dyDescent="0.2">
      <c r="A43" s="70">
        <v>41</v>
      </c>
      <c r="B43" s="71">
        <v>46143</v>
      </c>
      <c r="C43" s="72">
        <v>0.1087087087087087</v>
      </c>
      <c r="D43" s="72">
        <v>0.1705705705705706</v>
      </c>
      <c r="E43" s="72">
        <v>4.8048048048048048E-2</v>
      </c>
      <c r="F43" s="72">
        <v>9.0090090090090089E-3</v>
      </c>
      <c r="H43" s="70">
        <v>41</v>
      </c>
      <c r="I43" s="71">
        <v>46143</v>
      </c>
      <c r="J43" s="72">
        <v>181</v>
      </c>
      <c r="K43" s="72">
        <v>284</v>
      </c>
      <c r="L43" s="72">
        <v>80</v>
      </c>
      <c r="M43" s="72">
        <v>1665</v>
      </c>
      <c r="N43" s="72">
        <v>15</v>
      </c>
    </row>
    <row r="44" spans="1:14" x14ac:dyDescent="0.2">
      <c r="A44" s="68">
        <v>42</v>
      </c>
      <c r="B44" s="69">
        <v>46174</v>
      </c>
      <c r="C44">
        <v>0.10444444444444451</v>
      </c>
      <c r="D44">
        <v>0.1822222222222222</v>
      </c>
      <c r="E44">
        <v>7.1111111111111111E-2</v>
      </c>
      <c r="F44">
        <v>8.8888888888888889E-3</v>
      </c>
      <c r="H44" s="68">
        <v>42</v>
      </c>
      <c r="I44" s="69">
        <v>46174</v>
      </c>
      <c r="J44">
        <v>47</v>
      </c>
      <c r="K44">
        <v>82</v>
      </c>
      <c r="L44">
        <v>32</v>
      </c>
      <c r="M44">
        <v>450</v>
      </c>
      <c r="N44">
        <v>4</v>
      </c>
    </row>
    <row r="46" spans="1:14" x14ac:dyDescent="0.2">
      <c r="C46" s="73">
        <f>AVERAGE(C39:C43)</f>
        <v>0.14051329886707059</v>
      </c>
      <c r="D46" s="73">
        <f>AVERAGE(D39:D43)</f>
        <v>0.15089035519963379</v>
      </c>
      <c r="J46" s="74">
        <f>AVERAGE(J39:J43)</f>
        <v>302.39999999999998</v>
      </c>
      <c r="K46" s="74">
        <f>AVERAGE(K39:K43)</f>
        <v>316.60000000000002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8B89-CF3D-F64F-A07A-1E59C11791E6}">
  <dimension ref="A1:AR39"/>
  <sheetViews>
    <sheetView topLeftCell="A2" workbookViewId="0">
      <selection activeCell="AH39" sqref="AH39"/>
    </sheetView>
  </sheetViews>
  <sheetFormatPr baseColWidth="10" defaultColWidth="8.83203125" defaultRowHeight="16" x14ac:dyDescent="0.2"/>
  <cols>
    <col min="2" max="2" width="11.1640625" customWidth="1"/>
    <col min="12" max="12" width="8.83203125" style="165"/>
    <col min="24" max="24" width="10.5" customWidth="1"/>
    <col min="34" max="34" width="8.83203125" style="165"/>
  </cols>
  <sheetData>
    <row r="1" spans="1:44" x14ac:dyDescent="0.2">
      <c r="B1" t="s">
        <v>229</v>
      </c>
      <c r="X1" t="s">
        <v>228</v>
      </c>
    </row>
    <row r="2" spans="1:44" s="6" customFormat="1" ht="80" x14ac:dyDescent="0.2">
      <c r="B2" s="166" t="s">
        <v>208</v>
      </c>
      <c r="C2" s="166" t="s">
        <v>209</v>
      </c>
      <c r="D2" s="166" t="s">
        <v>210</v>
      </c>
      <c r="E2" s="166" t="s">
        <v>211</v>
      </c>
      <c r="F2" s="166" t="s">
        <v>212</v>
      </c>
      <c r="G2" s="166" t="s">
        <v>213</v>
      </c>
      <c r="H2" s="166" t="s">
        <v>214</v>
      </c>
      <c r="I2" s="166" t="s">
        <v>215</v>
      </c>
      <c r="J2" s="166" t="s">
        <v>216</v>
      </c>
      <c r="K2" s="166" t="s">
        <v>217</v>
      </c>
      <c r="L2" s="169" t="s">
        <v>218</v>
      </c>
      <c r="M2" s="166" t="s">
        <v>219</v>
      </c>
      <c r="N2" s="166" t="s">
        <v>220</v>
      </c>
      <c r="O2" s="166" t="s">
        <v>221</v>
      </c>
      <c r="P2" s="166" t="s">
        <v>222</v>
      </c>
      <c r="Q2" s="166" t="s">
        <v>223</v>
      </c>
      <c r="R2" s="166" t="s">
        <v>224</v>
      </c>
      <c r="S2" s="166" t="s">
        <v>225</v>
      </c>
      <c r="T2" s="166" t="s">
        <v>226</v>
      </c>
      <c r="U2" s="166" t="s">
        <v>227</v>
      </c>
      <c r="V2" s="6" t="s">
        <v>154</v>
      </c>
      <c r="X2" s="166" t="s">
        <v>208</v>
      </c>
      <c r="Y2" s="166" t="s">
        <v>209</v>
      </c>
      <c r="Z2" s="166" t="s">
        <v>210</v>
      </c>
      <c r="AA2" s="166" t="s">
        <v>211</v>
      </c>
      <c r="AB2" s="166" t="s">
        <v>212</v>
      </c>
      <c r="AC2" s="166" t="s">
        <v>213</v>
      </c>
      <c r="AD2" s="166" t="s">
        <v>214</v>
      </c>
      <c r="AE2" s="166" t="s">
        <v>215</v>
      </c>
      <c r="AF2" s="166" t="s">
        <v>216</v>
      </c>
      <c r="AG2" s="166" t="s">
        <v>217</v>
      </c>
      <c r="AH2" s="169" t="s">
        <v>218</v>
      </c>
      <c r="AI2" s="166" t="s">
        <v>219</v>
      </c>
      <c r="AJ2" s="166" t="s">
        <v>220</v>
      </c>
      <c r="AK2" s="166" t="s">
        <v>221</v>
      </c>
      <c r="AL2" s="166" t="s">
        <v>222</v>
      </c>
      <c r="AM2" s="166" t="s">
        <v>223</v>
      </c>
      <c r="AN2" s="166" t="s">
        <v>224</v>
      </c>
      <c r="AO2" s="166" t="s">
        <v>225</v>
      </c>
      <c r="AP2" s="166" t="s">
        <v>226</v>
      </c>
      <c r="AQ2" s="166" t="s">
        <v>227</v>
      </c>
      <c r="AR2" s="6" t="s">
        <v>154</v>
      </c>
    </row>
    <row r="3" spans="1:44" x14ac:dyDescent="0.2">
      <c r="A3" s="68">
        <v>0</v>
      </c>
      <c r="B3" s="69">
        <v>45139</v>
      </c>
      <c r="J3">
        <v>15000</v>
      </c>
      <c r="W3" s="68">
        <v>0</v>
      </c>
      <c r="X3" s="69">
        <v>45139</v>
      </c>
      <c r="AF3">
        <v>3</v>
      </c>
    </row>
    <row r="4" spans="1:44" x14ac:dyDescent="0.2">
      <c r="A4" s="68">
        <v>1</v>
      </c>
      <c r="B4" s="69">
        <v>45170</v>
      </c>
      <c r="J4">
        <v>335000</v>
      </c>
      <c r="W4" s="68">
        <v>1</v>
      </c>
      <c r="X4" s="69">
        <v>45170</v>
      </c>
      <c r="AF4">
        <v>67</v>
      </c>
    </row>
    <row r="5" spans="1:44" x14ac:dyDescent="0.2">
      <c r="A5" s="68">
        <v>2</v>
      </c>
      <c r="B5" s="69">
        <v>45200</v>
      </c>
      <c r="J5">
        <v>630000</v>
      </c>
      <c r="W5" s="68">
        <v>2</v>
      </c>
      <c r="X5" s="69">
        <v>45200</v>
      </c>
      <c r="AF5">
        <v>126</v>
      </c>
    </row>
    <row r="6" spans="1:44" x14ac:dyDescent="0.2">
      <c r="A6" s="68">
        <v>3</v>
      </c>
      <c r="B6" s="69">
        <v>45231</v>
      </c>
      <c r="J6">
        <v>695000</v>
      </c>
      <c r="W6" s="68">
        <v>3</v>
      </c>
      <c r="X6" s="69">
        <v>45231</v>
      </c>
      <c r="AF6">
        <v>139</v>
      </c>
    </row>
    <row r="7" spans="1:44" x14ac:dyDescent="0.2">
      <c r="A7" s="68">
        <v>4</v>
      </c>
      <c r="B7" s="69">
        <v>45261</v>
      </c>
      <c r="I7">
        <v>48000</v>
      </c>
      <c r="J7">
        <v>720000</v>
      </c>
      <c r="W7" s="68">
        <v>4</v>
      </c>
      <c r="X7" s="69">
        <v>45261</v>
      </c>
      <c r="AE7">
        <v>1</v>
      </c>
      <c r="AF7">
        <v>144</v>
      </c>
    </row>
    <row r="8" spans="1:44" x14ac:dyDescent="0.2">
      <c r="A8" s="68">
        <v>5</v>
      </c>
      <c r="B8" s="69">
        <v>45292</v>
      </c>
      <c r="I8">
        <v>48000</v>
      </c>
      <c r="J8">
        <v>720000</v>
      </c>
      <c r="W8" s="68">
        <v>5</v>
      </c>
      <c r="X8" s="69">
        <v>45292</v>
      </c>
      <c r="AE8">
        <v>1</v>
      </c>
      <c r="AF8">
        <v>144</v>
      </c>
    </row>
    <row r="9" spans="1:44" x14ac:dyDescent="0.2">
      <c r="A9" s="68">
        <v>6</v>
      </c>
      <c r="B9" s="69">
        <v>45323</v>
      </c>
      <c r="I9">
        <v>96000</v>
      </c>
      <c r="J9">
        <v>840000</v>
      </c>
      <c r="W9" s="68">
        <v>6</v>
      </c>
      <c r="X9" s="69">
        <v>45323</v>
      </c>
      <c r="AE9">
        <v>2</v>
      </c>
      <c r="AF9">
        <v>168</v>
      </c>
    </row>
    <row r="10" spans="1:44" x14ac:dyDescent="0.2">
      <c r="A10" s="68">
        <v>7</v>
      </c>
      <c r="B10" s="69">
        <v>45352</v>
      </c>
      <c r="I10">
        <v>48000</v>
      </c>
      <c r="J10">
        <v>940000</v>
      </c>
      <c r="W10" s="68">
        <v>7</v>
      </c>
      <c r="X10" s="69">
        <v>45352</v>
      </c>
      <c r="AE10">
        <v>1</v>
      </c>
      <c r="AF10">
        <v>188</v>
      </c>
    </row>
    <row r="11" spans="1:44" x14ac:dyDescent="0.2">
      <c r="A11" s="68">
        <v>8</v>
      </c>
      <c r="B11" s="69">
        <v>45383</v>
      </c>
      <c r="I11">
        <v>48000</v>
      </c>
      <c r="J11">
        <v>760000</v>
      </c>
      <c r="W11" s="68">
        <v>8</v>
      </c>
      <c r="X11" s="69">
        <v>45383</v>
      </c>
      <c r="AE11">
        <v>1</v>
      </c>
      <c r="AF11">
        <v>152</v>
      </c>
    </row>
    <row r="12" spans="1:44" x14ac:dyDescent="0.2">
      <c r="A12" s="68">
        <v>9</v>
      </c>
      <c r="B12" s="69">
        <v>45413</v>
      </c>
      <c r="I12">
        <v>48000</v>
      </c>
      <c r="J12">
        <v>625000</v>
      </c>
      <c r="W12" s="68">
        <v>9</v>
      </c>
      <c r="X12" s="69">
        <v>45413</v>
      </c>
      <c r="AE12">
        <v>1</v>
      </c>
      <c r="AF12">
        <v>125</v>
      </c>
    </row>
    <row r="13" spans="1:44" x14ac:dyDescent="0.2">
      <c r="A13" s="68">
        <v>10</v>
      </c>
      <c r="B13" s="69">
        <v>45444</v>
      </c>
      <c r="I13">
        <v>48000</v>
      </c>
      <c r="J13">
        <v>550000</v>
      </c>
      <c r="W13" s="68">
        <v>10</v>
      </c>
      <c r="X13" s="69">
        <v>45444</v>
      </c>
      <c r="AE13">
        <v>1</v>
      </c>
      <c r="AF13">
        <v>110</v>
      </c>
    </row>
    <row r="14" spans="1:44" x14ac:dyDescent="0.2">
      <c r="A14" s="68">
        <v>11</v>
      </c>
      <c r="B14" s="69">
        <v>45474</v>
      </c>
      <c r="J14">
        <v>570000</v>
      </c>
      <c r="K14">
        <v>45000</v>
      </c>
      <c r="W14" s="68">
        <v>11</v>
      </c>
      <c r="X14" s="69">
        <v>45474</v>
      </c>
      <c r="AF14">
        <v>114</v>
      </c>
      <c r="AG14">
        <v>6</v>
      </c>
    </row>
    <row r="15" spans="1:44" x14ac:dyDescent="0.2">
      <c r="A15" s="68">
        <v>12</v>
      </c>
      <c r="B15" s="69">
        <v>45505</v>
      </c>
      <c r="I15">
        <v>48000</v>
      </c>
      <c r="J15">
        <v>520000</v>
      </c>
      <c r="K15">
        <v>67500</v>
      </c>
      <c r="W15" s="68">
        <v>12</v>
      </c>
      <c r="X15" s="69">
        <v>45505</v>
      </c>
      <c r="AE15">
        <v>1</v>
      </c>
      <c r="AF15">
        <v>104</v>
      </c>
      <c r="AG15">
        <v>9</v>
      </c>
    </row>
    <row r="16" spans="1:44" x14ac:dyDescent="0.2">
      <c r="A16" s="68">
        <v>13</v>
      </c>
      <c r="B16" s="69">
        <v>45536</v>
      </c>
      <c r="J16">
        <v>525000</v>
      </c>
      <c r="K16">
        <v>45000</v>
      </c>
      <c r="W16" s="68">
        <v>13</v>
      </c>
      <c r="X16" s="69">
        <v>45536</v>
      </c>
      <c r="AF16">
        <v>105</v>
      </c>
      <c r="AG16">
        <v>6</v>
      </c>
    </row>
    <row r="17" spans="1:43" x14ac:dyDescent="0.2">
      <c r="A17" s="68">
        <v>14</v>
      </c>
      <c r="B17" s="69">
        <v>45566</v>
      </c>
      <c r="C17">
        <v>300</v>
      </c>
      <c r="E17">
        <v>30000</v>
      </c>
      <c r="F17">
        <v>1056000</v>
      </c>
      <c r="J17">
        <v>375000</v>
      </c>
      <c r="K17">
        <v>30000</v>
      </c>
      <c r="W17" s="68">
        <v>14</v>
      </c>
      <c r="X17" s="69">
        <v>45566</v>
      </c>
      <c r="Y17">
        <v>3</v>
      </c>
      <c r="AA17">
        <v>1</v>
      </c>
      <c r="AB17">
        <v>22</v>
      </c>
      <c r="AF17">
        <v>75</v>
      </c>
      <c r="AG17">
        <v>4</v>
      </c>
    </row>
    <row r="18" spans="1:43" x14ac:dyDescent="0.2">
      <c r="A18" s="68">
        <v>15</v>
      </c>
      <c r="B18" s="69">
        <v>45597</v>
      </c>
      <c r="D18">
        <v>100500</v>
      </c>
      <c r="F18">
        <v>2016000</v>
      </c>
      <c r="H18">
        <v>160000</v>
      </c>
      <c r="J18">
        <v>185000</v>
      </c>
      <c r="K18">
        <v>30000</v>
      </c>
      <c r="W18" s="68">
        <v>15</v>
      </c>
      <c r="X18" s="69">
        <v>45597</v>
      </c>
      <c r="Z18">
        <v>5</v>
      </c>
      <c r="AB18">
        <v>42</v>
      </c>
      <c r="AD18">
        <v>16</v>
      </c>
      <c r="AF18">
        <v>37</v>
      </c>
      <c r="AG18">
        <v>4</v>
      </c>
    </row>
    <row r="19" spans="1:43" x14ac:dyDescent="0.2">
      <c r="A19" s="68">
        <v>16</v>
      </c>
      <c r="B19" s="69">
        <v>45627</v>
      </c>
      <c r="D19">
        <v>20100</v>
      </c>
      <c r="F19">
        <v>1632000</v>
      </c>
      <c r="G19">
        <v>107997</v>
      </c>
      <c r="H19">
        <v>140000</v>
      </c>
      <c r="J19">
        <v>140000</v>
      </c>
      <c r="W19" s="68">
        <v>16</v>
      </c>
      <c r="X19" s="69">
        <v>45627</v>
      </c>
      <c r="Z19">
        <v>1</v>
      </c>
      <c r="AB19">
        <v>34</v>
      </c>
      <c r="AC19">
        <v>3</v>
      </c>
      <c r="AD19">
        <v>14</v>
      </c>
      <c r="AF19">
        <v>28</v>
      </c>
    </row>
    <row r="20" spans="1:43" x14ac:dyDescent="0.2">
      <c r="A20" s="68">
        <v>17</v>
      </c>
      <c r="B20" s="69">
        <v>45658</v>
      </c>
      <c r="D20">
        <v>20100</v>
      </c>
      <c r="E20">
        <v>30000</v>
      </c>
      <c r="F20">
        <v>1872000</v>
      </c>
      <c r="H20">
        <v>140000</v>
      </c>
      <c r="J20">
        <v>105000</v>
      </c>
      <c r="W20" s="68">
        <v>17</v>
      </c>
      <c r="X20" s="69">
        <v>45658</v>
      </c>
      <c r="Z20">
        <v>1</v>
      </c>
      <c r="AA20">
        <v>1</v>
      </c>
      <c r="AB20">
        <v>39</v>
      </c>
      <c r="AD20">
        <v>14</v>
      </c>
      <c r="AF20">
        <v>21</v>
      </c>
    </row>
    <row r="21" spans="1:43" x14ac:dyDescent="0.2">
      <c r="A21" s="68">
        <v>18</v>
      </c>
      <c r="B21" s="69">
        <v>45689</v>
      </c>
      <c r="D21">
        <v>80400</v>
      </c>
      <c r="E21">
        <v>60000</v>
      </c>
      <c r="F21">
        <v>528000</v>
      </c>
      <c r="G21">
        <v>107997</v>
      </c>
      <c r="H21">
        <v>140000</v>
      </c>
      <c r="J21">
        <v>95000</v>
      </c>
      <c r="W21" s="68">
        <v>18</v>
      </c>
      <c r="X21" s="69">
        <v>45689</v>
      </c>
      <c r="Z21">
        <v>4</v>
      </c>
      <c r="AA21">
        <v>2</v>
      </c>
      <c r="AB21">
        <v>11</v>
      </c>
      <c r="AC21">
        <v>3</v>
      </c>
      <c r="AD21">
        <v>14</v>
      </c>
      <c r="AF21">
        <v>19</v>
      </c>
    </row>
    <row r="22" spans="1:43" x14ac:dyDescent="0.2">
      <c r="A22" s="68">
        <v>19</v>
      </c>
      <c r="B22" s="69">
        <v>45717</v>
      </c>
      <c r="D22">
        <v>80400</v>
      </c>
      <c r="E22">
        <v>60000</v>
      </c>
      <c r="F22">
        <v>192000</v>
      </c>
      <c r="G22">
        <v>251993</v>
      </c>
      <c r="H22">
        <v>270000</v>
      </c>
      <c r="J22">
        <v>65000</v>
      </c>
      <c r="N22">
        <v>125958</v>
      </c>
      <c r="Q22">
        <v>115942</v>
      </c>
      <c r="W22" s="68">
        <v>19</v>
      </c>
      <c r="X22" s="69">
        <v>45717</v>
      </c>
      <c r="Z22">
        <v>4</v>
      </c>
      <c r="AA22">
        <v>2</v>
      </c>
      <c r="AB22">
        <v>4</v>
      </c>
      <c r="AC22">
        <v>7</v>
      </c>
      <c r="AD22">
        <v>27</v>
      </c>
      <c r="AF22">
        <v>13</v>
      </c>
      <c r="AJ22">
        <v>42</v>
      </c>
      <c r="AM22">
        <v>58</v>
      </c>
    </row>
    <row r="23" spans="1:43" x14ac:dyDescent="0.2">
      <c r="A23" s="68">
        <v>20</v>
      </c>
      <c r="B23" s="69">
        <v>45748</v>
      </c>
      <c r="D23">
        <v>40200</v>
      </c>
      <c r="E23">
        <v>60000</v>
      </c>
      <c r="F23">
        <v>96000</v>
      </c>
      <c r="H23">
        <v>190000</v>
      </c>
      <c r="J23">
        <v>50000</v>
      </c>
      <c r="N23">
        <v>212929</v>
      </c>
      <c r="Q23">
        <v>75962</v>
      </c>
      <c r="W23" s="68">
        <v>20</v>
      </c>
      <c r="X23" s="69">
        <v>45748</v>
      </c>
      <c r="Z23">
        <v>2</v>
      </c>
      <c r="AA23">
        <v>2</v>
      </c>
      <c r="AB23">
        <v>2</v>
      </c>
      <c r="AD23">
        <v>19</v>
      </c>
      <c r="AF23">
        <v>10</v>
      </c>
      <c r="AJ23">
        <v>71</v>
      </c>
      <c r="AM23">
        <v>38</v>
      </c>
    </row>
    <row r="24" spans="1:43" x14ac:dyDescent="0.2">
      <c r="A24" s="68">
        <v>21</v>
      </c>
      <c r="B24" s="69">
        <v>45778</v>
      </c>
      <c r="D24">
        <v>40200</v>
      </c>
      <c r="F24">
        <v>96000</v>
      </c>
      <c r="G24">
        <v>35999</v>
      </c>
      <c r="H24">
        <v>190000</v>
      </c>
      <c r="J24">
        <v>50000</v>
      </c>
      <c r="N24">
        <v>203932</v>
      </c>
      <c r="Q24">
        <v>71964</v>
      </c>
      <c r="W24" s="68">
        <v>21</v>
      </c>
      <c r="X24" s="69">
        <v>45778</v>
      </c>
      <c r="Z24">
        <v>2</v>
      </c>
      <c r="AB24">
        <v>2</v>
      </c>
      <c r="AC24">
        <v>1</v>
      </c>
      <c r="AD24">
        <v>19</v>
      </c>
      <c r="AF24">
        <v>10</v>
      </c>
      <c r="AJ24">
        <v>68</v>
      </c>
      <c r="AM24">
        <v>36</v>
      </c>
    </row>
    <row r="25" spans="1:43" x14ac:dyDescent="0.2">
      <c r="A25" s="68">
        <v>22</v>
      </c>
      <c r="B25" s="69">
        <v>45809</v>
      </c>
      <c r="D25">
        <v>80400</v>
      </c>
      <c r="F25">
        <v>48000</v>
      </c>
      <c r="H25">
        <v>160000</v>
      </c>
      <c r="J25">
        <v>40000</v>
      </c>
      <c r="N25">
        <v>143952</v>
      </c>
      <c r="O25">
        <v>29990</v>
      </c>
      <c r="P25">
        <v>9995</v>
      </c>
      <c r="Q25">
        <v>65967</v>
      </c>
      <c r="T25">
        <v>44985</v>
      </c>
      <c r="U25">
        <v>3998</v>
      </c>
      <c r="W25" s="68">
        <v>22</v>
      </c>
      <c r="X25" s="69">
        <v>45809</v>
      </c>
      <c r="Z25">
        <v>4</v>
      </c>
      <c r="AB25">
        <v>1</v>
      </c>
      <c r="AD25">
        <v>16</v>
      </c>
      <c r="AF25">
        <v>8</v>
      </c>
      <c r="AJ25">
        <v>48</v>
      </c>
      <c r="AK25">
        <v>10</v>
      </c>
      <c r="AL25">
        <v>5</v>
      </c>
      <c r="AM25">
        <v>33</v>
      </c>
      <c r="AP25">
        <v>15</v>
      </c>
      <c r="AQ25">
        <v>2</v>
      </c>
    </row>
    <row r="26" spans="1:43" x14ac:dyDescent="0.2">
      <c r="A26" s="68">
        <v>23</v>
      </c>
      <c r="B26" s="69">
        <v>45839</v>
      </c>
      <c r="D26">
        <v>60300</v>
      </c>
      <c r="E26">
        <v>60000</v>
      </c>
      <c r="F26">
        <v>96000</v>
      </c>
      <c r="H26">
        <v>170000</v>
      </c>
      <c r="J26">
        <v>40000</v>
      </c>
      <c r="O26">
        <v>83972</v>
      </c>
      <c r="P26">
        <v>45977</v>
      </c>
      <c r="T26">
        <v>161946</v>
      </c>
      <c r="W26" s="68">
        <v>23</v>
      </c>
      <c r="X26" s="69">
        <v>45839</v>
      </c>
      <c r="Z26">
        <v>3</v>
      </c>
      <c r="AA26">
        <v>2</v>
      </c>
      <c r="AB26">
        <v>2</v>
      </c>
      <c r="AD26">
        <v>17</v>
      </c>
      <c r="AF26">
        <v>8</v>
      </c>
      <c r="AK26">
        <v>28</v>
      </c>
      <c r="AL26">
        <v>23</v>
      </c>
      <c r="AP26">
        <v>54</v>
      </c>
    </row>
    <row r="27" spans="1:43" x14ac:dyDescent="0.2">
      <c r="A27" s="68">
        <v>24</v>
      </c>
      <c r="B27" s="69">
        <v>45870</v>
      </c>
      <c r="E27">
        <v>30000</v>
      </c>
      <c r="H27">
        <v>80000</v>
      </c>
      <c r="J27">
        <v>40000</v>
      </c>
      <c r="O27">
        <v>83972</v>
      </c>
      <c r="P27">
        <v>41979</v>
      </c>
      <c r="T27">
        <v>188937</v>
      </c>
      <c r="W27" s="68">
        <v>24</v>
      </c>
      <c r="X27" s="69">
        <v>45870</v>
      </c>
      <c r="AA27">
        <v>1</v>
      </c>
      <c r="AD27">
        <v>8</v>
      </c>
      <c r="AF27">
        <v>8</v>
      </c>
      <c r="AK27">
        <v>28</v>
      </c>
      <c r="AL27">
        <v>21</v>
      </c>
      <c r="AP27">
        <v>63</v>
      </c>
    </row>
    <row r="28" spans="1:43" x14ac:dyDescent="0.2">
      <c r="A28" s="68">
        <v>25</v>
      </c>
      <c r="B28" s="69">
        <v>45901</v>
      </c>
      <c r="D28">
        <v>20100</v>
      </c>
      <c r="F28">
        <v>48000</v>
      </c>
      <c r="H28">
        <v>80000</v>
      </c>
      <c r="J28">
        <v>30000</v>
      </c>
      <c r="M28">
        <v>162000</v>
      </c>
      <c r="O28">
        <v>86971</v>
      </c>
      <c r="P28">
        <v>39980</v>
      </c>
      <c r="S28">
        <v>5243</v>
      </c>
      <c r="T28">
        <v>191936</v>
      </c>
      <c r="W28" s="68">
        <v>25</v>
      </c>
      <c r="X28" s="69">
        <v>45901</v>
      </c>
      <c r="Z28">
        <v>1</v>
      </c>
      <c r="AB28">
        <v>1</v>
      </c>
      <c r="AD28">
        <v>8</v>
      </c>
      <c r="AF28">
        <v>6</v>
      </c>
      <c r="AI28">
        <v>54</v>
      </c>
      <c r="AK28">
        <v>29</v>
      </c>
      <c r="AL28">
        <v>20</v>
      </c>
      <c r="AO28">
        <v>7</v>
      </c>
      <c r="AP28">
        <v>64</v>
      </c>
    </row>
    <row r="29" spans="1:43" x14ac:dyDescent="0.2">
      <c r="A29" s="68">
        <v>26</v>
      </c>
      <c r="B29" s="69">
        <v>45931</v>
      </c>
      <c r="D29">
        <v>40200</v>
      </c>
      <c r="F29">
        <v>192000</v>
      </c>
      <c r="H29">
        <v>50000</v>
      </c>
      <c r="J29">
        <v>25000</v>
      </c>
      <c r="M29">
        <v>834000</v>
      </c>
      <c r="O29">
        <v>77974</v>
      </c>
      <c r="P29">
        <v>39980</v>
      </c>
      <c r="R29">
        <v>19992</v>
      </c>
      <c r="S29">
        <v>9737</v>
      </c>
      <c r="T29">
        <v>227924</v>
      </c>
      <c r="W29" s="68">
        <v>26</v>
      </c>
      <c r="X29" s="69">
        <v>45931</v>
      </c>
      <c r="Z29">
        <v>2</v>
      </c>
      <c r="AB29">
        <v>4</v>
      </c>
      <c r="AD29">
        <v>5</v>
      </c>
      <c r="AF29">
        <v>5</v>
      </c>
      <c r="AI29">
        <v>278</v>
      </c>
      <c r="AK29">
        <v>26</v>
      </c>
      <c r="AL29">
        <v>20</v>
      </c>
      <c r="AN29">
        <v>8</v>
      </c>
      <c r="AO29">
        <v>13</v>
      </c>
      <c r="AP29">
        <v>76</v>
      </c>
    </row>
    <row r="30" spans="1:43" x14ac:dyDescent="0.2">
      <c r="A30" s="68">
        <v>27</v>
      </c>
      <c r="B30" s="69">
        <v>45962</v>
      </c>
      <c r="D30">
        <v>20100</v>
      </c>
      <c r="F30">
        <v>288000</v>
      </c>
      <c r="H30">
        <v>40000</v>
      </c>
      <c r="J30">
        <v>20000</v>
      </c>
      <c r="M30">
        <v>975000</v>
      </c>
      <c r="O30">
        <v>77974</v>
      </c>
      <c r="P30">
        <v>31984</v>
      </c>
      <c r="R30">
        <v>37485</v>
      </c>
      <c r="T30">
        <v>197934</v>
      </c>
      <c r="W30" s="68">
        <v>27</v>
      </c>
      <c r="X30" s="69">
        <v>45962</v>
      </c>
      <c r="Z30">
        <v>1</v>
      </c>
      <c r="AB30">
        <v>6</v>
      </c>
      <c r="AD30">
        <v>4</v>
      </c>
      <c r="AF30">
        <v>4</v>
      </c>
      <c r="AI30">
        <v>325</v>
      </c>
      <c r="AK30">
        <v>26</v>
      </c>
      <c r="AL30">
        <v>16</v>
      </c>
      <c r="AN30">
        <v>15</v>
      </c>
      <c r="AP30">
        <v>66</v>
      </c>
    </row>
    <row r="31" spans="1:43" x14ac:dyDescent="0.2">
      <c r="A31" s="68">
        <v>28</v>
      </c>
      <c r="B31" s="69">
        <v>45992</v>
      </c>
      <c r="D31">
        <v>20100</v>
      </c>
      <c r="F31">
        <v>184529.96</v>
      </c>
      <c r="H31">
        <v>10000</v>
      </c>
      <c r="J31">
        <v>17024.8</v>
      </c>
      <c r="L31" s="165">
        <v>167844.6</v>
      </c>
      <c r="M31">
        <v>934466.69</v>
      </c>
      <c r="O31">
        <v>70976</v>
      </c>
      <c r="P31">
        <v>25987</v>
      </c>
      <c r="R31">
        <v>24391.119999999999</v>
      </c>
      <c r="T31">
        <v>217456.73</v>
      </c>
      <c r="W31" s="68">
        <v>28</v>
      </c>
      <c r="X31" s="69">
        <v>45992</v>
      </c>
      <c r="Z31">
        <v>1</v>
      </c>
      <c r="AB31">
        <v>6</v>
      </c>
      <c r="AD31">
        <v>1</v>
      </c>
      <c r="AF31">
        <v>4</v>
      </c>
      <c r="AH31" s="165">
        <v>54</v>
      </c>
      <c r="AI31">
        <v>329</v>
      </c>
      <c r="AK31">
        <v>24</v>
      </c>
      <c r="AL31">
        <v>13</v>
      </c>
      <c r="AN31">
        <v>10</v>
      </c>
      <c r="AP31">
        <v>74</v>
      </c>
    </row>
    <row r="32" spans="1:43" s="165" customFormat="1" x14ac:dyDescent="0.2">
      <c r="A32" s="167">
        <v>29</v>
      </c>
      <c r="B32" s="168">
        <v>46023</v>
      </c>
      <c r="D32" s="165">
        <v>20100</v>
      </c>
      <c r="F32" s="165">
        <v>233105.99</v>
      </c>
      <c r="J32" s="165">
        <v>15000</v>
      </c>
      <c r="L32" s="165">
        <v>622092.50000000012</v>
      </c>
      <c r="M32" s="165">
        <v>894472.48999999987</v>
      </c>
      <c r="O32" s="165">
        <v>83089.13</v>
      </c>
      <c r="R32" s="165">
        <v>33194.81</v>
      </c>
      <c r="T32" s="165">
        <v>213944.3</v>
      </c>
      <c r="W32" s="167">
        <v>29</v>
      </c>
      <c r="X32" s="168">
        <v>46023</v>
      </c>
      <c r="Z32" s="165">
        <v>1</v>
      </c>
      <c r="AB32" s="165">
        <v>7</v>
      </c>
      <c r="AF32" s="165">
        <v>3</v>
      </c>
      <c r="AH32" s="165">
        <v>208</v>
      </c>
      <c r="AI32" s="165">
        <v>341</v>
      </c>
      <c r="AK32" s="165">
        <v>33</v>
      </c>
      <c r="AN32" s="165">
        <v>13</v>
      </c>
      <c r="AP32" s="165">
        <v>76</v>
      </c>
    </row>
    <row r="33" spans="1:44" s="165" customFormat="1" x14ac:dyDescent="0.2">
      <c r="A33" s="167">
        <v>30</v>
      </c>
      <c r="B33" s="168">
        <v>46054</v>
      </c>
      <c r="F33" s="165">
        <v>151499.66</v>
      </c>
      <c r="I33" s="165">
        <v>48000</v>
      </c>
      <c r="J33" s="165">
        <v>15000</v>
      </c>
      <c r="L33" s="165">
        <v>583326.00999999989</v>
      </c>
      <c r="M33" s="165">
        <v>852573.53999999992</v>
      </c>
      <c r="O33" s="165">
        <v>84413.87000000001</v>
      </c>
      <c r="R33" s="165">
        <v>19992</v>
      </c>
      <c r="T33" s="165">
        <v>177148.99</v>
      </c>
      <c r="W33" s="167">
        <v>30</v>
      </c>
      <c r="X33" s="168">
        <v>46054</v>
      </c>
      <c r="AB33" s="165">
        <v>5</v>
      </c>
      <c r="AE33" s="165">
        <v>1</v>
      </c>
      <c r="AF33" s="165">
        <v>3</v>
      </c>
      <c r="AH33" s="165">
        <v>202</v>
      </c>
      <c r="AI33" s="165">
        <v>331</v>
      </c>
      <c r="AK33" s="165">
        <v>35</v>
      </c>
      <c r="AN33" s="165">
        <v>8</v>
      </c>
      <c r="AP33" s="165">
        <v>71</v>
      </c>
    </row>
    <row r="34" spans="1:44" s="165" customFormat="1" x14ac:dyDescent="0.2">
      <c r="A34" s="167">
        <v>31</v>
      </c>
      <c r="B34" s="168">
        <v>46082</v>
      </c>
      <c r="F34" s="165">
        <v>26974.68</v>
      </c>
      <c r="J34" s="165">
        <v>10012.75</v>
      </c>
      <c r="L34" s="165">
        <v>669344.91999999993</v>
      </c>
      <c r="M34" s="165">
        <v>842216.02999999991</v>
      </c>
      <c r="O34" s="165">
        <v>71863.89</v>
      </c>
      <c r="R34" s="165">
        <v>22991</v>
      </c>
      <c r="T34" s="165">
        <v>202310.26</v>
      </c>
      <c r="W34" s="167">
        <v>31</v>
      </c>
      <c r="X34" s="168">
        <v>46082</v>
      </c>
      <c r="AB34" s="165">
        <v>2</v>
      </c>
      <c r="AF34" s="165">
        <v>3</v>
      </c>
      <c r="AH34" s="165">
        <v>234</v>
      </c>
      <c r="AI34" s="165">
        <v>324</v>
      </c>
      <c r="AK34" s="165">
        <v>30</v>
      </c>
      <c r="AN34" s="165">
        <v>9</v>
      </c>
      <c r="AP34" s="165">
        <v>76</v>
      </c>
    </row>
    <row r="35" spans="1:44" s="165" customFormat="1" x14ac:dyDescent="0.2">
      <c r="A35" s="167">
        <v>32</v>
      </c>
      <c r="B35" s="168">
        <v>46113</v>
      </c>
      <c r="D35" s="165">
        <v>20100</v>
      </c>
      <c r="J35" s="165">
        <v>6433.75</v>
      </c>
      <c r="L35" s="165">
        <v>655249.57999999973</v>
      </c>
      <c r="M35" s="165">
        <v>911338.04999999993</v>
      </c>
      <c r="O35" s="165">
        <v>96695.4</v>
      </c>
      <c r="R35" s="165">
        <v>15494</v>
      </c>
      <c r="T35" s="165">
        <v>232764.62</v>
      </c>
      <c r="W35" s="167">
        <v>32</v>
      </c>
      <c r="X35" s="168">
        <v>46113</v>
      </c>
      <c r="Z35" s="165">
        <v>1</v>
      </c>
      <c r="AF35" s="165">
        <v>2</v>
      </c>
      <c r="AH35" s="165">
        <v>251</v>
      </c>
      <c r="AI35" s="165">
        <v>346</v>
      </c>
      <c r="AK35" s="165">
        <v>40</v>
      </c>
      <c r="AN35" s="165">
        <v>6</v>
      </c>
      <c r="AP35" s="165">
        <v>84</v>
      </c>
    </row>
    <row r="36" spans="1:44" x14ac:dyDescent="0.2">
      <c r="A36" s="68">
        <v>33</v>
      </c>
      <c r="B36" s="69">
        <v>46143</v>
      </c>
      <c r="L36" s="165">
        <v>45733.16</v>
      </c>
      <c r="M36">
        <v>75328.759999999995</v>
      </c>
      <c r="T36">
        <v>15892.6</v>
      </c>
      <c r="W36" s="68">
        <v>33</v>
      </c>
      <c r="X36" s="69">
        <v>46143</v>
      </c>
      <c r="AH36" s="165">
        <v>17</v>
      </c>
      <c r="AI36">
        <v>31</v>
      </c>
      <c r="AP36">
        <v>6</v>
      </c>
    </row>
    <row r="37" spans="1:44" x14ac:dyDescent="0.2">
      <c r="B37" t="s">
        <v>230</v>
      </c>
      <c r="C37">
        <f>SUM(C32:C35)</f>
        <v>0</v>
      </c>
      <c r="D37">
        <f>SUM(D32:D35)</f>
        <v>40200</v>
      </c>
      <c r="E37">
        <f t="shared" ref="E37:T37" si="0">SUM(E32:E35)</f>
        <v>0</v>
      </c>
      <c r="F37">
        <f t="shared" si="0"/>
        <v>411580.33</v>
      </c>
      <c r="G37">
        <f t="shared" si="0"/>
        <v>0</v>
      </c>
      <c r="H37">
        <f t="shared" si="0"/>
        <v>0</v>
      </c>
      <c r="I37">
        <f t="shared" si="0"/>
        <v>48000</v>
      </c>
      <c r="J37">
        <f t="shared" si="0"/>
        <v>46446.5</v>
      </c>
      <c r="K37">
        <f t="shared" si="0"/>
        <v>0</v>
      </c>
      <c r="L37" s="165">
        <f t="shared" si="0"/>
        <v>2530013.0099999998</v>
      </c>
      <c r="M37">
        <f t="shared" si="0"/>
        <v>3500600.1099999994</v>
      </c>
      <c r="N37">
        <f t="shared" si="0"/>
        <v>0</v>
      </c>
      <c r="O37">
        <f t="shared" si="0"/>
        <v>336062.29000000004</v>
      </c>
      <c r="P37">
        <f t="shared" si="0"/>
        <v>0</v>
      </c>
      <c r="Q37">
        <f t="shared" si="0"/>
        <v>0</v>
      </c>
      <c r="R37">
        <f t="shared" si="0"/>
        <v>91671.81</v>
      </c>
      <c r="S37">
        <f t="shared" si="0"/>
        <v>0</v>
      </c>
      <c r="T37">
        <f t="shared" si="0"/>
        <v>826168.17</v>
      </c>
      <c r="V37">
        <f>SUM(D37:T37)</f>
        <v>7830742.2199999988</v>
      </c>
      <c r="X37" t="s">
        <v>230</v>
      </c>
      <c r="Y37">
        <f>SUM(Y32:Y35)</f>
        <v>0</v>
      </c>
      <c r="Z37">
        <f>SUM(Z32:Z35)</f>
        <v>2</v>
      </c>
      <c r="AA37">
        <f t="shared" ref="AA37:AP37" si="1">SUM(AA32:AA35)</f>
        <v>0</v>
      </c>
      <c r="AB37">
        <f t="shared" si="1"/>
        <v>14</v>
      </c>
      <c r="AC37">
        <f t="shared" si="1"/>
        <v>0</v>
      </c>
      <c r="AD37">
        <f t="shared" si="1"/>
        <v>0</v>
      </c>
      <c r="AE37">
        <f t="shared" si="1"/>
        <v>1</v>
      </c>
      <c r="AF37">
        <f t="shared" si="1"/>
        <v>11</v>
      </c>
      <c r="AG37">
        <f t="shared" si="1"/>
        <v>0</v>
      </c>
      <c r="AH37" s="165">
        <f t="shared" si="1"/>
        <v>895</v>
      </c>
      <c r="AI37">
        <f t="shared" si="1"/>
        <v>1342</v>
      </c>
      <c r="AJ37">
        <f t="shared" si="1"/>
        <v>0</v>
      </c>
      <c r="AK37">
        <f t="shared" si="1"/>
        <v>138</v>
      </c>
      <c r="AL37">
        <f t="shared" si="1"/>
        <v>0</v>
      </c>
      <c r="AM37">
        <f t="shared" si="1"/>
        <v>0</v>
      </c>
      <c r="AN37">
        <f t="shared" si="1"/>
        <v>36</v>
      </c>
      <c r="AO37">
        <f t="shared" si="1"/>
        <v>0</v>
      </c>
      <c r="AP37">
        <f t="shared" si="1"/>
        <v>307</v>
      </c>
      <c r="AR37">
        <f>SUM(Z37:AP37)</f>
        <v>2746</v>
      </c>
    </row>
    <row r="39" spans="1:44" x14ac:dyDescent="0.2">
      <c r="L39" s="170">
        <f>L37/V37</f>
        <v>0.32308725519507653</v>
      </c>
      <c r="AH39" s="170">
        <f>AH37/AR37</f>
        <v>0.32592862345229423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CF46-2F93-1D4F-8971-E0665D52E954}">
  <dimension ref="A1:E20"/>
  <sheetViews>
    <sheetView topLeftCell="A2" workbookViewId="0">
      <selection activeCell="D15" sqref="D15"/>
    </sheetView>
  </sheetViews>
  <sheetFormatPr baseColWidth="10" defaultRowHeight="19" x14ac:dyDescent="0.25"/>
  <cols>
    <col min="1" max="1" width="46.1640625" style="16" customWidth="1"/>
    <col min="2" max="2" width="54.5" style="16" customWidth="1"/>
    <col min="3" max="3" width="30.33203125" style="16" customWidth="1"/>
    <col min="4" max="4" width="26.6640625" style="16" customWidth="1"/>
    <col min="5" max="5" width="23.83203125" style="16" customWidth="1"/>
    <col min="6" max="6" width="83.5" style="16" customWidth="1"/>
    <col min="7" max="7" width="38.33203125" style="16" customWidth="1"/>
    <col min="8" max="16384" width="10.83203125" style="16"/>
  </cols>
  <sheetData>
    <row r="1" spans="1:5" x14ac:dyDescent="0.25">
      <c r="A1" s="160" t="s">
        <v>237</v>
      </c>
      <c r="B1" s="160" t="s">
        <v>74</v>
      </c>
      <c r="C1" s="160" t="s">
        <v>255</v>
      </c>
      <c r="D1" s="19"/>
      <c r="E1" s="19" t="s">
        <v>261</v>
      </c>
    </row>
    <row r="2" spans="1:5" ht="60" x14ac:dyDescent="0.25">
      <c r="A2" s="18" t="s">
        <v>260</v>
      </c>
      <c r="B2" s="18" t="s">
        <v>72</v>
      </c>
      <c r="C2" s="3" t="s">
        <v>256</v>
      </c>
      <c r="D2" s="3" t="s">
        <v>54</v>
      </c>
    </row>
    <row r="3" spans="1:5" ht="60" x14ac:dyDescent="0.25">
      <c r="B3" s="18" t="s">
        <v>75</v>
      </c>
      <c r="C3" s="3" t="s">
        <v>257</v>
      </c>
      <c r="D3" s="3" t="s">
        <v>55</v>
      </c>
    </row>
    <row r="4" spans="1:5" ht="60" x14ac:dyDescent="0.25">
      <c r="A4" s="18"/>
      <c r="B4" s="18" t="s">
        <v>76</v>
      </c>
      <c r="C4" s="3" t="s">
        <v>258</v>
      </c>
      <c r="D4" s="3" t="s">
        <v>36</v>
      </c>
    </row>
    <row r="5" spans="1:5" ht="40" x14ac:dyDescent="0.25">
      <c r="A5" s="18"/>
      <c r="B5" s="18" t="s">
        <v>32</v>
      </c>
      <c r="C5" s="3" t="s">
        <v>259</v>
      </c>
      <c r="D5" s="3" t="s">
        <v>37</v>
      </c>
    </row>
    <row r="8" spans="1:5" x14ac:dyDescent="0.25">
      <c r="A8" s="188" t="s">
        <v>253</v>
      </c>
      <c r="B8" s="188" t="s">
        <v>244</v>
      </c>
    </row>
    <row r="9" spans="1:5" x14ac:dyDescent="0.25">
      <c r="A9" s="188"/>
      <c r="B9" s="188" t="s">
        <v>250</v>
      </c>
    </row>
    <row r="10" spans="1:5" x14ac:dyDescent="0.25">
      <c r="A10" s="188" t="s">
        <v>254</v>
      </c>
      <c r="B10" s="188" t="s">
        <v>251</v>
      </c>
    </row>
    <row r="11" spans="1:5" x14ac:dyDescent="0.25">
      <c r="B11" s="188"/>
    </row>
    <row r="12" spans="1:5" x14ac:dyDescent="0.25">
      <c r="B12" s="188" t="s">
        <v>252</v>
      </c>
    </row>
    <row r="14" spans="1:5" x14ac:dyDescent="0.25">
      <c r="A14" s="19" t="s">
        <v>238</v>
      </c>
      <c r="B14" s="186" t="s">
        <v>247</v>
      </c>
    </row>
    <row r="15" spans="1:5" x14ac:dyDescent="0.25">
      <c r="A15" s="16" t="s">
        <v>239</v>
      </c>
      <c r="B15" s="187" t="s">
        <v>240</v>
      </c>
    </row>
    <row r="16" spans="1:5" x14ac:dyDescent="0.25">
      <c r="A16" s="16" t="s">
        <v>242</v>
      </c>
      <c r="B16" s="187" t="s">
        <v>249</v>
      </c>
    </row>
    <row r="17" spans="1:2" ht="40" x14ac:dyDescent="0.25">
      <c r="A17" s="155" t="s">
        <v>243</v>
      </c>
      <c r="B17" s="187" t="s">
        <v>207</v>
      </c>
    </row>
    <row r="18" spans="1:2" x14ac:dyDescent="0.25">
      <c r="A18" s="16" t="s">
        <v>241</v>
      </c>
      <c r="B18" s="187" t="s">
        <v>248</v>
      </c>
    </row>
    <row r="20" spans="1:2" x14ac:dyDescent="0.25">
      <c r="A20" s="19" t="s">
        <v>246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23D9E-C43D-EF4B-8B64-4612BB09D338}">
  <dimension ref="A1:E28"/>
  <sheetViews>
    <sheetView zoomScale="110" zoomScaleNormal="110" workbookViewId="0">
      <selection activeCell="D21" sqref="D21"/>
    </sheetView>
  </sheetViews>
  <sheetFormatPr baseColWidth="10" defaultRowHeight="16" x14ac:dyDescent="0.2"/>
  <cols>
    <col min="1" max="1" width="24.5" style="103" customWidth="1"/>
    <col min="2" max="2" width="60.5" style="101" customWidth="1"/>
    <col min="3" max="3" width="23" style="101" customWidth="1"/>
    <col min="4" max="4" width="36.6640625" style="103" customWidth="1"/>
    <col min="5" max="5" width="16" style="103" customWidth="1"/>
    <col min="6" max="16384" width="10.83203125" style="103"/>
  </cols>
  <sheetData>
    <row r="1" spans="1:5" x14ac:dyDescent="0.2">
      <c r="A1" s="102" t="s">
        <v>1</v>
      </c>
    </row>
    <row r="2" spans="1:5" x14ac:dyDescent="0.2">
      <c r="E2" s="103" t="s">
        <v>198</v>
      </c>
    </row>
    <row r="3" spans="1:5" ht="17" x14ac:dyDescent="0.2">
      <c r="A3" s="104" t="s">
        <v>165</v>
      </c>
      <c r="B3" s="101" t="s">
        <v>201</v>
      </c>
      <c r="C3" s="111" t="s">
        <v>177</v>
      </c>
      <c r="D3" s="105" t="s">
        <v>166</v>
      </c>
      <c r="E3" s="103">
        <v>11</v>
      </c>
    </row>
    <row r="4" spans="1:5" ht="17" x14ac:dyDescent="0.2">
      <c r="A4" s="104"/>
      <c r="B4" s="106" t="s">
        <v>202</v>
      </c>
      <c r="C4" s="111" t="s">
        <v>177</v>
      </c>
      <c r="E4" s="103">
        <v>11</v>
      </c>
    </row>
    <row r="5" spans="1:5" ht="51" x14ac:dyDescent="0.2">
      <c r="A5" s="104"/>
      <c r="B5" s="106" t="s">
        <v>181</v>
      </c>
      <c r="C5" s="111"/>
      <c r="E5" s="103">
        <v>11</v>
      </c>
    </row>
    <row r="6" spans="1:5" ht="17" x14ac:dyDescent="0.2">
      <c r="A6" s="107" t="s">
        <v>167</v>
      </c>
      <c r="B6" s="101" t="s">
        <v>168</v>
      </c>
      <c r="C6" s="111" t="s">
        <v>177</v>
      </c>
      <c r="D6" s="105" t="s">
        <v>166</v>
      </c>
      <c r="E6" s="103">
        <v>11</v>
      </c>
    </row>
    <row r="7" spans="1:5" ht="17" x14ac:dyDescent="0.2">
      <c r="A7" s="110" t="s">
        <v>152</v>
      </c>
      <c r="B7" s="101" t="s">
        <v>197</v>
      </c>
      <c r="C7" s="111" t="s">
        <v>177</v>
      </c>
      <c r="D7" s="105"/>
      <c r="E7" s="103">
        <v>11</v>
      </c>
    </row>
    <row r="8" spans="1:5" ht="20" customHeight="1" x14ac:dyDescent="0.2">
      <c r="A8" s="110" t="s">
        <v>152</v>
      </c>
      <c r="B8" s="101" t="s">
        <v>196</v>
      </c>
      <c r="C8" s="111"/>
      <c r="D8" s="105"/>
      <c r="E8" s="103" t="s">
        <v>200</v>
      </c>
    </row>
    <row r="9" spans="1:5" ht="34" x14ac:dyDescent="0.2">
      <c r="A9" s="110" t="s">
        <v>152</v>
      </c>
      <c r="B9" s="101" t="s">
        <v>199</v>
      </c>
      <c r="C9" s="111" t="s">
        <v>183</v>
      </c>
      <c r="D9" s="105"/>
    </row>
    <row r="10" spans="1:5" ht="17" x14ac:dyDescent="0.2">
      <c r="A10" s="108" t="s">
        <v>169</v>
      </c>
      <c r="B10" s="101" t="s">
        <v>170</v>
      </c>
      <c r="C10" s="101" t="s">
        <v>178</v>
      </c>
    </row>
    <row r="11" spans="1:5" ht="17" x14ac:dyDescent="0.2">
      <c r="A11" s="108"/>
      <c r="B11" s="109" t="s">
        <v>171</v>
      </c>
      <c r="C11" s="101" t="s">
        <v>178</v>
      </c>
    </row>
    <row r="12" spans="1:5" ht="34" x14ac:dyDescent="0.2">
      <c r="A12" s="108"/>
      <c r="B12" s="101" t="s">
        <v>172</v>
      </c>
      <c r="C12" s="101" t="s">
        <v>178</v>
      </c>
    </row>
    <row r="13" spans="1:5" ht="17" x14ac:dyDescent="0.2">
      <c r="A13" s="108"/>
      <c r="B13" s="101" t="s">
        <v>173</v>
      </c>
      <c r="C13" s="101" t="s">
        <v>178</v>
      </c>
    </row>
    <row r="14" spans="1:5" ht="17" x14ac:dyDescent="0.2">
      <c r="A14" s="108"/>
      <c r="B14" s="101" t="s">
        <v>174</v>
      </c>
      <c r="C14" s="101" t="s">
        <v>178</v>
      </c>
    </row>
    <row r="15" spans="1:5" ht="17" x14ac:dyDescent="0.2">
      <c r="A15" s="108"/>
      <c r="B15" s="101" t="s">
        <v>175</v>
      </c>
      <c r="C15" s="101" t="s">
        <v>178</v>
      </c>
    </row>
    <row r="16" spans="1:5" ht="51" x14ac:dyDescent="0.2">
      <c r="A16" s="108"/>
      <c r="B16" s="101" t="s">
        <v>176</v>
      </c>
      <c r="C16" s="101" t="s">
        <v>180</v>
      </c>
    </row>
    <row r="17" spans="1:4" ht="17" x14ac:dyDescent="0.2">
      <c r="A17" s="110" t="s">
        <v>152</v>
      </c>
      <c r="B17" s="101" t="s">
        <v>174</v>
      </c>
      <c r="C17" s="101" t="s">
        <v>179</v>
      </c>
    </row>
    <row r="18" spans="1:4" ht="17" x14ac:dyDescent="0.2">
      <c r="A18" s="110" t="s">
        <v>152</v>
      </c>
      <c r="B18" s="101" t="s">
        <v>175</v>
      </c>
      <c r="C18" s="101" t="s">
        <v>179</v>
      </c>
    </row>
    <row r="21" spans="1:4" ht="68" x14ac:dyDescent="0.2">
      <c r="A21" s="103" t="s">
        <v>184</v>
      </c>
      <c r="B21" s="101" t="s">
        <v>263</v>
      </c>
      <c r="C21" s="101" t="s">
        <v>182</v>
      </c>
    </row>
    <row r="25" spans="1:4" ht="17" x14ac:dyDescent="0.2">
      <c r="B25" s="101" t="s">
        <v>186</v>
      </c>
    </row>
    <row r="26" spans="1:4" ht="34" x14ac:dyDescent="0.2">
      <c r="B26" s="101" t="s">
        <v>187</v>
      </c>
      <c r="C26" s="101" t="s">
        <v>177</v>
      </c>
      <c r="D26" s="112" t="s">
        <v>185</v>
      </c>
    </row>
    <row r="27" spans="1:4" ht="17" x14ac:dyDescent="0.2">
      <c r="B27" s="101" t="s">
        <v>188</v>
      </c>
      <c r="C27" s="101" t="s">
        <v>177</v>
      </c>
    </row>
    <row r="28" spans="1:4" ht="17" x14ac:dyDescent="0.2">
      <c r="B28" s="101" t="s">
        <v>189</v>
      </c>
      <c r="C28" s="101" t="s">
        <v>190</v>
      </c>
    </row>
  </sheetData>
  <hyperlinks>
    <hyperlink ref="D3" r:id="rId1" xr:uid="{6E837917-C714-CD49-ADF6-803F3EA08613}"/>
    <hyperlink ref="D6" r:id="rId2" xr:uid="{A0D7C395-A132-0B45-B84A-3D2E51A0EDCD}"/>
    <hyperlink ref="D26" r:id="rId3" xr:uid="{33644CB1-48EE-BA4B-A5C9-5BAD2F3D4F7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Гипотезы_new</vt:lpstr>
      <vt:lpstr>Гипотезы</vt:lpstr>
      <vt:lpstr>Воронка Селлер as is</vt:lpstr>
      <vt:lpstr>Переменные</vt:lpstr>
      <vt:lpstr>Пилот Точка</vt:lpstr>
      <vt:lpstr>MPS др метрики</vt:lpstr>
      <vt:lpstr>Воронка MPS_обработано</vt:lpstr>
      <vt:lpstr>Воронка MPS_исх</vt:lpstr>
      <vt:lpstr>рабоч</vt:lpstr>
      <vt:lpstr>Селлер апи_исх</vt:lpstr>
      <vt:lpstr>Селлер оплаты_исх</vt:lpstr>
      <vt:lpstr>базы</vt:lpstr>
      <vt:lpstr>Вопросы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balabaeva</dc:creator>
  <cp:lastModifiedBy>y balabaeva</cp:lastModifiedBy>
  <dcterms:created xsi:type="dcterms:W3CDTF">2026-05-26T07:29:26Z</dcterms:created>
  <dcterms:modified xsi:type="dcterms:W3CDTF">2026-06-17T11:18:45Z</dcterms:modified>
</cp:coreProperties>
</file>