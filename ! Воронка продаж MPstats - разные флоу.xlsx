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.balabaeva/Desktop/Селлер/! MPStats/Воронка/"/>
    </mc:Choice>
  </mc:AlternateContent>
  <xr:revisionPtr revIDLastSave="0" documentId="13_ncr:1_{269E7B6E-9F0D-FD49-B4BD-93F4204AF12A}" xr6:coauthVersionLast="47" xr6:coauthVersionMax="47" xr10:uidLastSave="{00000000-0000-0000-0000-000000000000}"/>
  <bookViews>
    <workbookView xWindow="40" yWindow="840" windowWidth="29920" windowHeight="16880" xr2:uid="{041A7F1C-756F-014C-8317-A22146C33BA3}"/>
  </bookViews>
  <sheets>
    <sheet name="Гипотеза T" sheetId="7" r:id="rId1"/>
    <sheet name="базы" sheetId="13" r:id="rId2"/>
    <sheet name="Переменные" sheetId="6" r:id="rId3"/>
    <sheet name="Воронка MPStats_обработано" sheetId="1" r:id="rId4"/>
    <sheet name="Воронка MPStats_исх" sheetId="8" r:id="rId5"/>
    <sheet name="Воронка Селлер as is" sheetId="5" r:id="rId6"/>
    <sheet name="Селлер апи_исх" sheetId="9" r:id="rId7"/>
    <sheet name="Селлер оплаты_исх" sheetId="12" r:id="rId8"/>
    <sheet name="рабоч" sheetId="2" r:id="rId9"/>
    <sheet name="Вопросы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7" l="1"/>
  <c r="D52" i="6" l="1"/>
  <c r="D53" i="6"/>
  <c r="D54" i="6"/>
  <c r="D51" i="6"/>
  <c r="B12" i="7"/>
  <c r="B16" i="7"/>
  <c r="B15" i="7"/>
  <c r="B14" i="7"/>
  <c r="B13" i="7"/>
  <c r="D33" i="7" l="1"/>
  <c r="E33" i="7" s="1"/>
  <c r="F33" i="7" s="1"/>
  <c r="G33" i="7" s="1"/>
  <c r="AH39" i="12"/>
  <c r="L39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AR37" i="12" s="1"/>
  <c r="Y37" i="12"/>
  <c r="C37" i="12"/>
  <c r="V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D37" i="12"/>
  <c r="C68" i="7"/>
  <c r="C29" i="7" s="1"/>
  <c r="C69" i="7"/>
  <c r="C30" i="7" s="1"/>
  <c r="C70" i="7"/>
  <c r="D70" i="7" s="1"/>
  <c r="E70" i="7" s="1"/>
  <c r="F70" i="7" s="1"/>
  <c r="G70" i="7" s="1"/>
  <c r="C67" i="7"/>
  <c r="C28" i="7" s="1"/>
  <c r="D57" i="7"/>
  <c r="E57" i="7"/>
  <c r="F57" i="7"/>
  <c r="G57" i="7"/>
  <c r="C57" i="7"/>
  <c r="G44" i="6"/>
  <c r="G35" i="6"/>
  <c r="G17" i="6"/>
  <c r="G18" i="6"/>
  <c r="G19" i="6"/>
  <c r="G16" i="6"/>
  <c r="L14" i="1"/>
  <c r="N14" i="1"/>
  <c r="M14" i="1"/>
  <c r="E13" i="1"/>
  <c r="K13" i="1"/>
  <c r="E9" i="6"/>
  <c r="D9" i="6"/>
  <c r="C9" i="6"/>
  <c r="B9" i="6"/>
  <c r="D67" i="7" l="1"/>
  <c r="E67" i="7" s="1"/>
  <c r="F67" i="7" s="1"/>
  <c r="G67" i="7" s="1"/>
  <c r="D28" i="7"/>
  <c r="E28" i="7" s="1"/>
  <c r="F28" i="7" s="1"/>
  <c r="G28" i="7" s="1"/>
  <c r="D69" i="7"/>
  <c r="E69" i="7" s="1"/>
  <c r="F69" i="7" s="1"/>
  <c r="G69" i="7" s="1"/>
  <c r="D30" i="7"/>
  <c r="E30" i="7" s="1"/>
  <c r="F30" i="7" s="1"/>
  <c r="G30" i="7" s="1"/>
  <c r="D68" i="7"/>
  <c r="E68" i="7" s="1"/>
  <c r="F68" i="7" s="1"/>
  <c r="G68" i="7" s="1"/>
  <c r="D29" i="7"/>
  <c r="E29" i="7" s="1"/>
  <c r="F29" i="7" s="1"/>
  <c r="G29" i="7" s="1"/>
  <c r="E35" i="6"/>
  <c r="E44" i="6" s="1"/>
  <c r="D35" i="6"/>
  <c r="D44" i="6" s="1"/>
  <c r="F44" i="6" s="1"/>
  <c r="F35" i="6" l="1"/>
  <c r="H14" i="1"/>
  <c r="G14" i="1"/>
  <c r="J14" i="1"/>
  <c r="K14" i="1"/>
  <c r="D14" i="1"/>
  <c r="N12" i="1"/>
  <c r="M12" i="1"/>
  <c r="J11" i="1"/>
  <c r="J12" i="1"/>
  <c r="J9" i="1"/>
  <c r="K10" i="1"/>
  <c r="B70" i="6"/>
  <c r="D70" i="6" s="1"/>
  <c r="C43" i="7" s="1"/>
  <c r="G20" i="6"/>
  <c r="G26" i="6" s="1"/>
  <c r="F26" i="6" s="1"/>
  <c r="G55" i="7" s="1"/>
  <c r="C20" i="6"/>
  <c r="C25" i="6" s="1"/>
  <c r="D54" i="7" s="1"/>
  <c r="B20" i="6"/>
  <c r="D69" i="6"/>
  <c r="K46" i="9"/>
  <c r="J46" i="9"/>
  <c r="D46" i="9"/>
  <c r="C46" i="9"/>
  <c r="D13" i="5"/>
  <c r="D12" i="5"/>
  <c r="C14" i="5"/>
  <c r="D14" i="5" s="1"/>
  <c r="D4" i="5"/>
  <c r="E11" i="1"/>
  <c r="C65" i="6"/>
  <c r="D65" i="6"/>
  <c r="B65" i="6"/>
  <c r="F12" i="1"/>
  <c r="H12" i="1" s="1"/>
  <c r="F5" i="6"/>
  <c r="F9" i="6" s="1"/>
  <c r="D43" i="7" l="1"/>
  <c r="E43" i="7" s="1"/>
  <c r="F43" i="7" s="1"/>
  <c r="C23" i="7"/>
  <c r="D23" i="7" s="1"/>
  <c r="E23" i="7" s="1"/>
  <c r="F23" i="7" s="1"/>
  <c r="G23" i="7" s="1"/>
  <c r="G43" i="7"/>
  <c r="C32" i="6"/>
  <c r="C41" i="6" s="1"/>
  <c r="E26" i="6"/>
  <c r="F55" i="7" s="1"/>
  <c r="D26" i="6"/>
  <c r="E55" i="7" s="1"/>
  <c r="G25" i="6"/>
  <c r="C27" i="6"/>
  <c r="D56" i="7" s="1"/>
  <c r="C26" i="6"/>
  <c r="D55" i="7" s="1"/>
  <c r="B25" i="6"/>
  <c r="C54" i="7" s="1"/>
  <c r="G28" i="6"/>
  <c r="G27" i="6"/>
  <c r="B27" i="6"/>
  <c r="C56" i="7" s="1"/>
  <c r="B26" i="6"/>
  <c r="C55" i="7" s="1"/>
  <c r="G12" i="1"/>
  <c r="D12" i="1"/>
  <c r="D9" i="1"/>
  <c r="D10" i="1" s="1"/>
  <c r="B32" i="6" l="1"/>
  <c r="C34" i="6"/>
  <c r="C43" i="6" s="1"/>
  <c r="E33" i="6"/>
  <c r="E42" i="6" s="1"/>
  <c r="B34" i="6"/>
  <c r="C33" i="6"/>
  <c r="C42" i="6" s="1"/>
  <c r="D33" i="6"/>
  <c r="D42" i="6" s="1"/>
  <c r="B33" i="6"/>
  <c r="E27" i="6"/>
  <c r="F27" i="6"/>
  <c r="G56" i="7" s="1"/>
  <c r="D27" i="6"/>
  <c r="F25" i="6"/>
  <c r="G54" i="7" s="1"/>
  <c r="E25" i="6"/>
  <c r="D25" i="6"/>
  <c r="F8" i="1"/>
  <c r="L8" i="1" s="1"/>
  <c r="L9" i="1" s="1"/>
  <c r="E8" i="1"/>
  <c r="D11" i="1"/>
  <c r="C45" i="6" l="1"/>
  <c r="B42" i="6"/>
  <c r="G42" i="6" s="1"/>
  <c r="G33" i="6"/>
  <c r="D32" i="6"/>
  <c r="D41" i="6" s="1"/>
  <c r="E54" i="7"/>
  <c r="E32" i="6"/>
  <c r="E41" i="6" s="1"/>
  <c r="F54" i="7"/>
  <c r="B41" i="6"/>
  <c r="G41" i="6" s="1"/>
  <c r="G32" i="6"/>
  <c r="G36" i="6" s="1"/>
  <c r="D4" i="7"/>
  <c r="D5" i="7" s="1"/>
  <c r="D11" i="7" s="1"/>
  <c r="V4" i="7"/>
  <c r="B43" i="6"/>
  <c r="G43" i="6" s="1"/>
  <c r="G34" i="6"/>
  <c r="D34" i="6"/>
  <c r="D43" i="6" s="1"/>
  <c r="E56" i="7"/>
  <c r="E34" i="6"/>
  <c r="E43" i="6" s="1"/>
  <c r="F56" i="7"/>
  <c r="F42" i="6"/>
  <c r="D45" i="6"/>
  <c r="E45" i="6"/>
  <c r="C36" i="6"/>
  <c r="E36" i="6"/>
  <c r="B36" i="6"/>
  <c r="F33" i="6"/>
  <c r="E9" i="1"/>
  <c r="E10" i="1" s="1"/>
  <c r="K8" i="1"/>
  <c r="K9" i="1" s="1"/>
  <c r="F9" i="1"/>
  <c r="D15" i="7" l="1"/>
  <c r="D14" i="7"/>
  <c r="D13" i="7"/>
  <c r="D12" i="7"/>
  <c r="D16" i="7"/>
  <c r="D19" i="7" s="1"/>
  <c r="D20" i="7" s="1"/>
  <c r="F41" i="6"/>
  <c r="F32" i="6"/>
  <c r="X4" i="7"/>
  <c r="F4" i="7"/>
  <c r="F5" i="7" s="1"/>
  <c r="F11" i="7" s="1"/>
  <c r="V5" i="7"/>
  <c r="AB4" i="7"/>
  <c r="G45" i="6"/>
  <c r="F43" i="6"/>
  <c r="W4" i="7"/>
  <c r="E4" i="7"/>
  <c r="E5" i="7" s="1"/>
  <c r="E11" i="7" s="1"/>
  <c r="F45" i="6"/>
  <c r="F34" i="6"/>
  <c r="F36" i="6" s="1"/>
  <c r="D36" i="6"/>
  <c r="B45" i="6"/>
  <c r="C14" i="2"/>
  <c r="B14" i="2"/>
  <c r="F13" i="7" l="1"/>
  <c r="F15" i="7"/>
  <c r="F16" i="7"/>
  <c r="F19" i="7" s="1"/>
  <c r="F20" i="7" s="1"/>
  <c r="F14" i="7"/>
  <c r="F12" i="7"/>
  <c r="E16" i="7"/>
  <c r="E19" i="7" s="1"/>
  <c r="E20" i="7" s="1"/>
  <c r="E14" i="7"/>
  <c r="E12" i="7"/>
  <c r="E15" i="7"/>
  <c r="E13" i="7"/>
  <c r="U4" i="7"/>
  <c r="C4" i="7"/>
  <c r="W5" i="7"/>
  <c r="AC4" i="7"/>
  <c r="AH4" i="7"/>
  <c r="AH5" i="7" s="1"/>
  <c r="AB5" i="7"/>
  <c r="D21" i="7"/>
  <c r="X5" i="7"/>
  <c r="AD4" i="7"/>
  <c r="F21" i="7" l="1"/>
  <c r="AJ4" i="7"/>
  <c r="AJ5" i="7" s="1"/>
  <c r="AD5" i="7"/>
  <c r="C5" i="7"/>
  <c r="G4" i="7"/>
  <c r="AI4" i="7"/>
  <c r="AI5" i="7" s="1"/>
  <c r="AC5" i="7"/>
  <c r="E21" i="7"/>
  <c r="Y4" i="7"/>
  <c r="U5" i="7"/>
  <c r="AA4" i="7"/>
  <c r="G5" i="7" l="1"/>
  <c r="C11" i="7"/>
  <c r="Y5" i="7"/>
  <c r="AE4" i="7"/>
  <c r="AG4" i="7"/>
  <c r="AG5" i="7" s="1"/>
  <c r="AA5" i="7"/>
  <c r="C13" i="7" l="1"/>
  <c r="G13" i="7" s="1"/>
  <c r="C12" i="7"/>
  <c r="C14" i="7"/>
  <c r="G14" i="7" s="1"/>
  <c r="G11" i="7"/>
  <c r="C15" i="7"/>
  <c r="G15" i="7" s="1"/>
  <c r="C16" i="7"/>
  <c r="C21" i="7"/>
  <c r="AE5" i="7"/>
  <c r="AK4" i="7"/>
  <c r="AK5" i="7" s="1"/>
  <c r="C19" i="7" l="1"/>
  <c r="C20" i="7" s="1"/>
  <c r="G16" i="7"/>
  <c r="G19" i="7" s="1"/>
  <c r="G20" i="7" s="1"/>
  <c r="G12" i="7"/>
  <c r="G2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E2" authorId="0" shapeId="0" xr:uid="{9B9CF1BF-D00C-0B41-B6DA-DB3501EB554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F2" authorId="0" shapeId="0" xr:uid="{B0AD466A-4421-844E-A067-2899A17991A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G2" authorId="0" shapeId="0" xr:uid="{FF0DB9A2-7151-1547-A657-A82309B87F8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H2" authorId="0" shapeId="0" xr:uid="{5792192D-DF30-C54F-84A7-A02F188C448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K2" authorId="0" shapeId="0" xr:uid="{2E187968-2B72-0648-8E9F-C23EC4F3641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L2" authorId="0" shapeId="0" xr:uid="{59E561C1-F6C1-4A47-8A76-C265979AA77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M2" authorId="0" shapeId="0" xr:uid="{D0F2E80A-BC79-F448-9FE3-FAB322B9395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N2" authorId="0" shapeId="0" xr:uid="{451985BF-826D-B74A-B1D4-3C3352E4D13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C8" authorId="0" shapeId="0" xr:uid="{DDEAC26C-4DA0-E541-94D4-AC0FBFE428F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1"/>
            <color rgb="FF000000"/>
            <rFont val="Calibri"/>
            <family val="2"/>
            <scheme val="minor"/>
          </rPr>
          <t xml:space="preserve">Квалификация ЦА </t>
        </r>
        <r>
          <rPr>
            <sz val="11"/>
            <color rgb="FF000000"/>
            <rFont val="Calibri"/>
            <family val="2"/>
            <scheme val="minor"/>
          </rPr>
          <t>MPSTats</t>
        </r>
        <r>
          <rPr>
            <sz val="11"/>
            <color rgb="FF000000"/>
            <rFont val="Calibri"/>
            <family val="2"/>
            <scheme val="minor"/>
          </rPr>
          <t xml:space="preserve"> 
</t>
        </r>
        <r>
          <rPr>
            <sz val="11"/>
            <color rgb="FF000000"/>
            <rFont val="Calibri"/>
            <family val="2"/>
            <scheme val="minor"/>
          </rPr>
          <t xml:space="preserve">- 150 000 - есть для старта
</t>
        </r>
        <r>
          <rPr>
            <sz val="11"/>
            <color rgb="FF000000"/>
            <rFont val="Calibri"/>
            <family val="2"/>
            <scheme val="minor"/>
          </rPr>
          <t xml:space="preserve">- в теч 2 мес планирует начать торговать на МП
</t>
        </r>
        <r>
          <rPr>
            <sz val="11"/>
            <color rgb="FF000000"/>
            <rFont val="Calibri"/>
            <family val="2"/>
            <scheme val="minor"/>
          </rPr>
          <t xml:space="preserve">- селлер - есть рега на МП (озон вб яндекс)
</t>
        </r>
        <r>
          <rPr>
            <sz val="11"/>
            <color rgb="FF000000"/>
            <rFont val="Calibri"/>
            <family val="2"/>
            <scheme val="minor"/>
          </rPr>
          <t xml:space="preserve">
</t>
        </r>
        <r>
          <rPr>
            <sz val="11"/>
            <color rgb="FF000000"/>
            <rFont val="Calibri"/>
            <family val="2"/>
            <scheme val="minor"/>
          </rPr>
          <t>Хантеры =  квалиф. лид, согласились на демо-втречу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ОТП = квалиф лид, не согласились на демо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C1" authorId="0" shapeId="0" xr:uid="{08F1D1F1-07A1-FF40-A76B-E67253CC7DB6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база на апр 26, остальные метрики - усредненные за период</t>
        </r>
      </text>
    </comment>
  </commentList>
</comments>
</file>

<file path=xl/sharedStrings.xml><?xml version="1.0" encoding="utf-8"?>
<sst xmlns="http://schemas.openxmlformats.org/spreadsheetml/2006/main" count="732" uniqueCount="309">
  <si>
    <t>База селлеров Т-Банк</t>
  </si>
  <si>
    <t>Оставление API ключа</t>
  </si>
  <si>
    <t>Триал выдан</t>
  </si>
  <si>
    <t>Вопросы</t>
  </si>
  <si>
    <t>-</t>
  </si>
  <si>
    <t>AS IS</t>
  </si>
  <si>
    <t>кол- во селлеров  Т - сегменты по оборотам</t>
  </si>
  <si>
    <t>сколько остается за вычетом пересчений с МПС и Точкой?</t>
  </si>
  <si>
    <t>преза от Н: S - 515 тыс, М - 31,5 , L - 1,8</t>
  </si>
  <si>
    <t>это типа малый средний и большой ибзнес?</t>
  </si>
  <si>
    <t>какому сегменту - какой тариф продавать?</t>
  </si>
  <si>
    <t>Саша - уточняю по фильтрам</t>
  </si>
  <si>
    <t xml:space="preserve">https://proteus.tcsbank.ru/superset/dashboard/35207/?native_filters_key=6UD6_31FByJJBSkeo1OjteN2ZrhDe0UXwiQb27k-OI1_2btiTS-ROCrKRUs0NQiB </t>
  </si>
  <si>
    <t>S</t>
  </si>
  <si>
    <t>Core</t>
  </si>
  <si>
    <t>M</t>
  </si>
  <si>
    <t>t segment (апр 26)</t>
  </si>
  <si>
    <t>MPStsts за счет S, а M (2-3 тыс) и L (100)</t>
  </si>
  <si>
    <t xml:space="preserve">какие сегменты по обороту имелись ввиду: хотим раскачать за счет  S </t>
  </si>
  <si>
    <t xml:space="preserve">по этому отчету похоже на правду https://proteus.tcsbank.ru/superset/dashboard/46771/?native_filters_key=i_cpHlkPJC3wQAO8lt2_Tg8N-LHsXqmC68he0NAQEyNRwaKHgbBgPwIpTLJmR6wH </t>
  </si>
  <si>
    <t>см текущие данные Селлер</t>
  </si>
  <si>
    <t>сегменты селлеров SE</t>
  </si>
  <si>
    <t>Саша: SE до 100 млн годового оборота, ME 100млн-1млрд, LE &gt;1млрд</t>
  </si>
  <si>
    <t>Карина: s до 120 млн в год, m до 16 млрд, по le нет верхнего порога</t>
  </si>
  <si>
    <t>S - до 100 тыс, Core - 2 млн, M больше 2 млн</t>
  </si>
  <si>
    <t xml:space="preserve">t_segment </t>
  </si>
  <si>
    <t>по выплатам</t>
  </si>
  <si>
    <r>
      <t>receipt_seller_segment</t>
    </r>
    <r>
      <rPr>
        <sz val="15"/>
        <color rgb="FF3F4350"/>
        <rFont val="Arial"/>
        <family val="2"/>
      </rPr>
      <t xml:space="preserve"> </t>
    </r>
  </si>
  <si>
    <t>по внешним чековым данным</t>
  </si>
  <si>
    <t>mnpl_segment</t>
  </si>
  <si>
    <t>https://proteus.tcsbank.ru/superset/dashboard/35207/?native_filters_key=aLN1Xx1yD5vdgsrx8uoA0pvrJEUqFxG78QxXMsGytEGq4tZDfgeCUsezc9HMrNwl</t>
  </si>
  <si>
    <t>Отчет по базе селлеров</t>
  </si>
  <si>
    <t>маниплэйс, старый источник внешних данных по оборотам, данные получались парсингом, невалиден начиная с 2025-09-01</t>
  </si>
  <si>
    <t>по чекам (апр 26)</t>
  </si>
  <si>
    <t>Unk</t>
  </si>
  <si>
    <t>Карина в целом опредялеят?</t>
  </si>
  <si>
    <t>Карина?</t>
  </si>
  <si>
    <t>Все сегменты</t>
  </si>
  <si>
    <t>Сегмент 3. Спящие клиенты в Т (нет транзакций по РКО)</t>
  </si>
  <si>
    <t>Сегмент 4. Клиенты без РКО в Т - Рынок</t>
  </si>
  <si>
    <t>Сегмент 1.  Активные клиенты в Т с выплатами от МП. 1 приоритет</t>
  </si>
  <si>
    <t xml:space="preserve">Активация триала </t>
  </si>
  <si>
    <t>Воронка</t>
  </si>
  <si>
    <t>А. Гипотеза. Digital канал + Биллинг Т</t>
  </si>
  <si>
    <t>B. Гипотеза. Sales канал Т + Биллинг Т</t>
  </si>
  <si>
    <t>С. Гипотеза. Sales канал MPS + Биллинг Т</t>
  </si>
  <si>
    <t>D. Гипотеза. Sales канал MPS + Биллинг MPS</t>
  </si>
  <si>
    <t>F. Гипотеза. Digital +  Sales канал Т + Биллинг Т</t>
  </si>
  <si>
    <t>База селлеров</t>
  </si>
  <si>
    <t>TO BE - убрать пересечение баз с MPS и Точкой</t>
  </si>
  <si>
    <t>Базовый</t>
  </si>
  <si>
    <t>Бизнес</t>
  </si>
  <si>
    <t>Корпоративный</t>
  </si>
  <si>
    <t>Ср доход на 1 клиента по банку - от других продуктов Банка</t>
  </si>
  <si>
    <t>PV</t>
  </si>
  <si>
    <t>NPV</t>
  </si>
  <si>
    <t xml:space="preserve">Сегмент 1.  Активные клиенты в Т с выплатами от МП. </t>
  </si>
  <si>
    <t xml:space="preserve">Сегмент 2. Активные клиенты в Т., но  без выплат от МП </t>
  </si>
  <si>
    <t>Сегмент 2. Активные клиенты в Т, но  без выплат от МП на РКО</t>
  </si>
  <si>
    <t>Сегмент 2. Активные клиенты в Т., но  без выплат от МП на РКО</t>
  </si>
  <si>
    <t>Оффер демо встречи</t>
  </si>
  <si>
    <t>Согласились на демо встречу</t>
  </si>
  <si>
    <t>Демо встреча состоялась</t>
  </si>
  <si>
    <t>доля Хантеры-40%, ОТП - 60%, Самоходы - Unk</t>
  </si>
  <si>
    <t>Триала выдан</t>
  </si>
  <si>
    <t>Лиды (заявка на сайте MPS/ первое посещение Селлера)</t>
  </si>
  <si>
    <t xml:space="preserve">Оффер триала </t>
  </si>
  <si>
    <t>Дозвон sales (продажа без демо)</t>
  </si>
  <si>
    <t>Допродажа платного тарифа</t>
  </si>
  <si>
    <t>Комментарий к воронке</t>
  </si>
  <si>
    <t>Из них: горячие</t>
  </si>
  <si>
    <t>Из них: заинтересованные</t>
  </si>
  <si>
    <t>40% соглашаются на встречу = Хантеры, 60% не соглашаются = ОТП</t>
  </si>
  <si>
    <t>Стоимость тарифов MPStats</t>
  </si>
  <si>
    <t>Ср чек первой покупки</t>
  </si>
  <si>
    <t>оптимистично</t>
  </si>
  <si>
    <t>в основном покупка тарифа на 3/6 мес</t>
  </si>
  <si>
    <t>10 + млн</t>
  </si>
  <si>
    <t>LTV</t>
  </si>
  <si>
    <t>Сегмент по обороту</t>
  </si>
  <si>
    <t>1-10 млн</t>
  </si>
  <si>
    <t>менее 1 млн</t>
  </si>
  <si>
    <t>LTV по сегментам по оборотам селеров</t>
  </si>
  <si>
    <t>Ср время от лида до первой покупки</t>
  </si>
  <si>
    <t>AS IS (скидка 50%)</t>
  </si>
  <si>
    <t>TO BE (после согласования с юристами и налоговиками)</t>
  </si>
  <si>
    <t>реалистчно - гипотеза</t>
  </si>
  <si>
    <t>Стоимость 1 дня триала MPStats</t>
  </si>
  <si>
    <t>Сегмент по статусу активности</t>
  </si>
  <si>
    <t>в нашем отчете Селлер  - по чековым данным</t>
  </si>
  <si>
    <t>Квалификация лидов (звонок КЦ) - ЦА</t>
  </si>
  <si>
    <t xml:space="preserve">Mpstats все лиды   </t>
  </si>
  <si>
    <t>Хантеры (демо)</t>
  </si>
  <si>
    <t>ОТП (звонок, без демо)</t>
  </si>
  <si>
    <t>сейчас выдают триал всем автоматом после реги лида</t>
  </si>
  <si>
    <t xml:space="preserve">демо состоялось = 29,8% от квалиф. лидов </t>
  </si>
  <si>
    <t>дозвон = 45,5% от квалиф. лидов . Из них: Горячие  - доля 15,2% (знают про MPStats, высок.  вероятность покупки), Заинтересованные - доля 84,8% (не послали)</t>
  </si>
  <si>
    <t>Хантеры - 0,7% сквозной СR от лидов; ОТП - 0,41% сквозной СR от лидов или 6,85% от звонка  (горячие 34% - от звонка, заинтересован - 2% от звонка)</t>
  </si>
  <si>
    <t>1 флоу</t>
  </si>
  <si>
    <t>2 флоу</t>
  </si>
  <si>
    <t xml:space="preserve">Mpstats Самоходы (оплатили сами без демо и звонка) </t>
  </si>
  <si>
    <t>Оплата тарифа</t>
  </si>
  <si>
    <t>Общий флоу</t>
  </si>
  <si>
    <t>Выставлние счета</t>
  </si>
  <si>
    <t>Не считают в воронке</t>
  </si>
  <si>
    <t>Дополнительные данные для расчетов</t>
  </si>
  <si>
    <t>Воронка продаж: ОТП и Хантеры — средние CR за фев / апр / май 2026</t>
  </si>
  <si>
    <t>Только CR. Среднее по фев/апр/май (март исключён — акция демо-доступов размыла конверсии; лист сам усредняет эти 3 месяца). Источник цифр — лист «Ретро для июня».</t>
  </si>
  <si>
    <t>ХАНТЕРЫ (встречи)</t>
  </si>
  <si>
    <t>СРЕДНЕЕ (Февраль/Апрель/Май)</t>
  </si>
  <si>
    <t>CR лид → квал</t>
  </si>
  <si>
    <t>13%</t>
  </si>
  <si>
    <t>CR квал → встреча</t>
  </si>
  <si>
    <t>29,8%</t>
  </si>
  <si>
    <t>CR встреча → счёт</t>
  </si>
  <si>
    <t>20%</t>
  </si>
  <si>
    <t>CR счёт → оплата</t>
  </si>
  <si>
    <t>90%</t>
  </si>
  <si>
    <t>Сквозной CR лид → оплата</t>
  </si>
  <si>
    <t>ОТП (звонки) — 2 корзины</t>
  </si>
  <si>
    <t>СРЕДНЕЕ</t>
  </si>
  <si>
    <t>CR квал → звонок</t>
  </si>
  <si>
    <t>45,5%</t>
  </si>
  <si>
    <t xml:space="preserve">  доля → корзина ГОРЯЧИЕ</t>
  </si>
  <si>
    <t>15,2%</t>
  </si>
  <si>
    <t xml:space="preserve">  доля → корзина ЗАИНТЕРЕС.</t>
  </si>
  <si>
    <t>84,8%</t>
  </si>
  <si>
    <t xml:space="preserve">  конв. ГОРЯЧИЕ → оплата</t>
  </si>
  <si>
    <t>34%</t>
  </si>
  <si>
    <t xml:space="preserve">  конв. ЗАИНТЕРЕС → оплата</t>
  </si>
  <si>
    <t>2%</t>
  </si>
  <si>
    <t>CR звонок → оплата (итог 2 корзин)</t>
  </si>
  <si>
    <t>6,85%</t>
  </si>
  <si>
    <t>0,41%</t>
  </si>
  <si>
    <t>Повторная покупка</t>
  </si>
  <si>
    <t>Пересечение селлеров Т-Точка-Mpstats</t>
  </si>
  <si>
    <t>CR первой покупки</t>
  </si>
  <si>
    <t>AS IS - MPStats</t>
  </si>
  <si>
    <t>CR повторной покупки</t>
  </si>
  <si>
    <r>
      <rPr>
        <b/>
        <sz val="14"/>
        <color theme="1"/>
        <rFont val="Calibri"/>
        <family val="2"/>
        <scheme val="minor"/>
      </rPr>
      <t>Селлер Digital канал</t>
    </r>
    <r>
      <rPr>
        <sz val="14"/>
        <color theme="1"/>
        <rFont val="Calibri"/>
        <family val="2"/>
        <scheme val="minor"/>
      </rPr>
      <t xml:space="preserve"> (с апр25 до апр26)</t>
    </r>
  </si>
  <si>
    <r>
      <rPr>
        <b/>
        <sz val="14"/>
        <color theme="1"/>
        <rFont val="Calibri"/>
        <family val="2"/>
        <scheme val="minor"/>
      </rPr>
      <t>Селлер Sales канал</t>
    </r>
    <r>
      <rPr>
        <sz val="14"/>
        <color theme="1"/>
        <rFont val="Calibri"/>
        <family val="2"/>
        <scheme val="minor"/>
      </rPr>
      <t xml:space="preserve"> (ноя 24-мар25)</t>
    </r>
  </si>
  <si>
    <t>79- с выплатами от МП на РКО, 33- по внешним данным без выплат на РКО</t>
  </si>
  <si>
    <t>Лиды (первое посещение Селлера)</t>
  </si>
  <si>
    <t xml:space="preserve">9200 - MAU, из них селлеров - 5400, первые посещения селлеров - 1300. </t>
  </si>
  <si>
    <t>Комментарий</t>
  </si>
  <si>
    <t>триал доступен всем</t>
  </si>
  <si>
    <t>Оффер триала</t>
  </si>
  <si>
    <t>Триал активирован</t>
  </si>
  <si>
    <t>нет четких криериев активации тариал, но модно посмотрать факт ЦД во время триала</t>
  </si>
  <si>
    <t>CR в покупку тарифов</t>
  </si>
  <si>
    <t>фин аналитика/ отзывы 3000 р</t>
  </si>
  <si>
    <t>ИУ месячный М тариф 3000 р</t>
  </si>
  <si>
    <t>М тариф  10000 р - до сент 25  (после только ИУ 3000)</t>
  </si>
  <si>
    <t>Ср срок жизни клиента/ретеншн подписки</t>
  </si>
  <si>
    <t>CR от лидов</t>
  </si>
  <si>
    <t>Повторные покупки</t>
  </si>
  <si>
    <t>Оплата тарифа всего</t>
  </si>
  <si>
    <t>Гранулярность</t>
  </si>
  <si>
    <t>CR API</t>
  </si>
  <si>
    <t>CR Активация</t>
  </si>
  <si>
    <t>CR Налоги</t>
  </si>
  <si>
    <t>CR Себестоимость</t>
  </si>
  <si>
    <t>API</t>
  </si>
  <si>
    <t>Активации</t>
  </si>
  <si>
    <t>Налоги</t>
  </si>
  <si>
    <t>Реги</t>
  </si>
  <si>
    <t>Себестоимость</t>
  </si>
  <si>
    <t>Активация</t>
  </si>
  <si>
    <t>Ср за янв-май 2026 по отчету - 15,1% (317)</t>
  </si>
  <si>
    <r>
      <t xml:space="preserve">900 - первые оставления АПИ. </t>
    </r>
    <r>
      <rPr>
        <sz val="14"/>
        <color rgb="FFC00000"/>
        <rFont val="Calibri (Основной текст)"/>
        <charset val="204"/>
      </rPr>
      <t>Почему высокий CR АПИ?</t>
    </r>
    <r>
      <rPr>
        <sz val="14"/>
        <color theme="1"/>
        <rFont val="Calibri"/>
        <family val="2"/>
        <scheme val="minor"/>
      </rPr>
      <t xml:space="preserve"> </t>
    </r>
    <r>
      <rPr>
        <sz val="14"/>
        <color theme="1"/>
        <rFont val="Calibri (Основной текст)"/>
        <charset val="204"/>
      </rPr>
      <t xml:space="preserve">Ср за янв-май 2026 по отчету - </t>
    </r>
    <r>
      <rPr>
        <sz val="14"/>
        <color theme="1"/>
        <rFont val="Calibri"/>
        <family val="2"/>
        <scheme val="minor"/>
      </rPr>
      <t>14,1% (302)</t>
    </r>
  </si>
  <si>
    <t>Активация в Селлере</t>
  </si>
  <si>
    <t>TO BE - Тбанк (скидка)</t>
  </si>
  <si>
    <t>31000 (оптимистично), скорее меньше - 85%</t>
  </si>
  <si>
    <t xml:space="preserve">Ср расход на 1 продажу </t>
  </si>
  <si>
    <t>На привлечение</t>
  </si>
  <si>
    <t>Sales - демо</t>
  </si>
  <si>
    <t>MPStats</t>
  </si>
  <si>
    <t>Sales - звонок</t>
  </si>
  <si>
    <t>Т-банк</t>
  </si>
  <si>
    <t>Сегмент 1+ Сегмент 2</t>
  </si>
  <si>
    <t>Всего</t>
  </si>
  <si>
    <r>
      <t xml:space="preserve">покупка в рамках окончания триала -110. </t>
    </r>
    <r>
      <rPr>
        <sz val="14"/>
        <color rgb="FFC00000"/>
        <rFont val="Calibri (Основной текст)"/>
        <charset val="204"/>
      </rPr>
      <t>Это корректные конверсии?</t>
    </r>
  </si>
  <si>
    <r>
      <t xml:space="preserve">покупка без триала /  по окончанию триала отключили и купили позже -100. </t>
    </r>
    <r>
      <rPr>
        <sz val="14"/>
        <color rgb="FFC00000"/>
        <rFont val="Calibri (Основной текст)"/>
        <charset val="204"/>
      </rPr>
      <t>Это корректные конверсии?</t>
    </r>
  </si>
  <si>
    <r>
      <rPr>
        <sz val="14"/>
        <color rgb="FFC00000"/>
        <rFont val="Calibri (Основной текст)"/>
        <charset val="204"/>
      </rPr>
      <t>почему больше чем первичные покупки?</t>
    </r>
    <r>
      <rPr>
        <sz val="14"/>
        <color rgb="FF0070C0"/>
        <rFont val="Calibri"/>
        <family val="2"/>
        <scheme val="minor"/>
      </rPr>
      <t xml:space="preserve"> Тк это усредненные</t>
    </r>
  </si>
  <si>
    <t>Переменные</t>
  </si>
  <si>
    <t>Расходы на 1 клиента - привлечение</t>
  </si>
  <si>
    <t>Расходы на 1 клиента - содержание (триал, саппорт)</t>
  </si>
  <si>
    <t>но вероятно это недозревшие данные - тк апр 26</t>
  </si>
  <si>
    <t>ср чек по сегментам</t>
  </si>
  <si>
    <t>LTV по сегментам</t>
  </si>
  <si>
    <t>Расход на 1 клиента</t>
  </si>
  <si>
    <t>Ср чек первой покупки по сегментам</t>
  </si>
  <si>
    <t>Дополнительные данные для расчета</t>
  </si>
  <si>
    <t>LTV (тарифы)</t>
  </si>
  <si>
    <t>LTV (другие продукты Банка)</t>
  </si>
  <si>
    <t xml:space="preserve">Распределение кол-ва селлеров по сегментам по оборотам </t>
  </si>
  <si>
    <t>LTV MPStats (за май 2025-апрель 2026)</t>
  </si>
  <si>
    <t xml:space="preserve">но вероятно это не дозревшие данные </t>
  </si>
  <si>
    <t>LTV на базе MPStats (за май 25-апр 26) - 50%</t>
  </si>
  <si>
    <t>Воронка DIGITAL</t>
  </si>
  <si>
    <t>https://jira.tcsbank.ru/browse/ECA-2046</t>
  </si>
  <si>
    <t>Воронка SALES</t>
  </si>
  <si>
    <t>Когда сможем построить?</t>
  </si>
  <si>
    <t>MPST</t>
  </si>
  <si>
    <t>LTV по сегментам - дозревший?</t>
  </si>
  <si>
    <t>Ср чек первой покупки - есть общий без сегментации</t>
  </si>
  <si>
    <t xml:space="preserve">Ср чек первой покупки (по сегментам) и Ср время до первой покупки - какой доход получим за X времени? </t>
  </si>
  <si>
    <t>Ретеншн (по сегментам) - за какое время получим доход?</t>
  </si>
  <si>
    <t>Расходы на привлечение (sales, КЦ)</t>
  </si>
  <si>
    <t>Расходы на содержание (триал, поддержка)</t>
  </si>
  <si>
    <t>Пересечение баз - какой базе продаем, какие сегменты - какие тарифы (за вычетом пересечений баз: есть тариф - исключаем, есть апи и нет тарифа - низкая вреоятность покупки)</t>
  </si>
  <si>
    <t>Саша</t>
  </si>
  <si>
    <t>MPS</t>
  </si>
  <si>
    <t>Карина</t>
  </si>
  <si>
    <t>Карина/ MPS</t>
  </si>
  <si>
    <t>Триал - сейчас доступен без АПИ?</t>
  </si>
  <si>
    <t>факт прохождения триала - можно глянуть сколько % совершают ЦД в рамках триала (и мб ограничить платными фичами) - влияет на расходы</t>
  </si>
  <si>
    <t>Юля</t>
  </si>
  <si>
    <t>Юля/Саша</t>
  </si>
  <si>
    <t xml:space="preserve">В воронке имеет сымсл оставлять сначала АПИ потом триал иначе будут оставлять в МПСтатс, наша база для  для Селелр и ОБ не будет пополняться как раньше </t>
  </si>
  <si>
    <t>Флоу</t>
  </si>
  <si>
    <t xml:space="preserve">https://time.tbank.ru/tinkoff/pl/18hcpdo657s35g9799tcxths91 </t>
  </si>
  <si>
    <t>Измененеи мтерик</t>
  </si>
  <si>
    <t>Навигация - подключился? Видел?</t>
  </si>
  <si>
    <t>Онбординг</t>
  </si>
  <si>
    <t>Маркетинг</t>
  </si>
  <si>
    <t>Нина</t>
  </si>
  <si>
    <t>Воронка от 1го этапа  - лиды</t>
  </si>
  <si>
    <t>большая часть продаж - через счет, но есть и для ФЛ способы оплаты. Хантеры: 20% от демо - выставление счета</t>
  </si>
  <si>
    <t>MPS?</t>
  </si>
  <si>
    <t>Через какое время</t>
  </si>
  <si>
    <t>можем уточнить</t>
  </si>
  <si>
    <t>Распределение по сегментам - остальные - теоритически можем?- ДА</t>
  </si>
  <si>
    <t xml:space="preserve">Распределение по сегментам - корректное? Пересчитать. </t>
  </si>
  <si>
    <t>Срок</t>
  </si>
  <si>
    <t>Сколько дают картотеки? Гипотеза конвесрии в повторные. - см доля достписаний в оплатах (в руб)</t>
  </si>
  <si>
    <t>запросить позже</t>
  </si>
  <si>
    <t>Точно ли конверсии коррекные? - пересчитаем как воронку</t>
  </si>
  <si>
    <t>средний срок жизни  платного клиента , ltv</t>
  </si>
  <si>
    <t>Всего селлеров</t>
  </si>
  <si>
    <t>Сегмент по статусу активности - потенциал</t>
  </si>
  <si>
    <t xml:space="preserve">Кол-во селлеров по сегментам по оборотам в Т-Банке </t>
  </si>
  <si>
    <t>Кол-во селлеров по сегментам по оборотам в Т-Банке (за искл пересечений с MPStast и Точкой)</t>
  </si>
  <si>
    <t>?</t>
  </si>
  <si>
    <t>real_transaction_dttm</t>
  </si>
  <si>
    <t>&lt;NULL&gt;</t>
  </si>
  <si>
    <t>NEW М-тариф 3 месяца</t>
  </si>
  <si>
    <t>NEW М-тариф 6 месяцев</t>
  </si>
  <si>
    <t>NEW М-тариф год</t>
  </si>
  <si>
    <t>NEW М-тариф год ИУ</t>
  </si>
  <si>
    <t>NEW М-тариф месяц</t>
  </si>
  <si>
    <t>OLD М-тариф год</t>
  </si>
  <si>
    <t>OLD М-тариф месяц</t>
  </si>
  <si>
    <t>OLD Тариф с Маркетгуру месяц</t>
  </si>
  <si>
    <t>Досписание</t>
  </si>
  <si>
    <t>М-тариф месяц ИУ</t>
  </si>
  <si>
    <t>Свой тариф</t>
  </si>
  <si>
    <t>Свой тариф Автоотзывы</t>
  </si>
  <si>
    <t>Свой тариф Автоотзывы ИУ</t>
  </si>
  <si>
    <t>Свой тариф ИУ</t>
  </si>
  <si>
    <t>Свой тариф Магви</t>
  </si>
  <si>
    <t>Свой тариф Магви ИУ</t>
  </si>
  <si>
    <t>Свой тариф Фин.Аналитика</t>
  </si>
  <si>
    <t>Свой тариф Фин.Аналитика ИУ</t>
  </si>
  <si>
    <t>кол-во</t>
  </si>
  <si>
    <t>рубли</t>
  </si>
  <si>
    <t>за период</t>
  </si>
  <si>
    <t>35% оплат Т - досписания</t>
  </si>
  <si>
    <t>Расход</t>
  </si>
  <si>
    <t>Карина - ок цифра?</t>
  </si>
  <si>
    <r>
      <t xml:space="preserve">E. Гипотеза. Digital +  </t>
    </r>
    <r>
      <rPr>
        <b/>
        <sz val="14"/>
        <color theme="1"/>
        <rFont val="Calibri (Основной текст)"/>
        <charset val="204"/>
      </rPr>
      <t>Sales канал MPS</t>
    </r>
    <r>
      <rPr>
        <b/>
        <sz val="14"/>
        <color theme="1"/>
        <rFont val="Calibri"/>
        <family val="2"/>
        <scheme val="minor"/>
      </rPr>
      <t xml:space="preserve"> + Биллинг Т</t>
    </r>
  </si>
  <si>
    <t>/Оффер демо встречи</t>
  </si>
  <si>
    <t>/Дозвон sales (продажа без демо)</t>
  </si>
  <si>
    <t>TO BE (скидка 50%)</t>
  </si>
  <si>
    <t xml:space="preserve">AS IS </t>
  </si>
  <si>
    <t>Доход всего</t>
  </si>
  <si>
    <t>ниже применила  конверсию - как в бизнес модели</t>
  </si>
  <si>
    <t>Воронка от 2 этапа - квалифицированные лиды</t>
  </si>
  <si>
    <t>Дохот от тарифов MPStats</t>
  </si>
  <si>
    <t>Доход с первой покупки на 1 клиента</t>
  </si>
  <si>
    <t>ID</t>
  </si>
  <si>
    <t>Получить от MPStasts кол-во</t>
  </si>
  <si>
    <t>активный платный тариф MPStats</t>
  </si>
  <si>
    <t>Содержание (триал, поддержка)</t>
  </si>
  <si>
    <t>исключаем из воронки</t>
  </si>
  <si>
    <t>нет пересечений</t>
  </si>
  <si>
    <t xml:space="preserve">был ранее платный тариф MPStats </t>
  </si>
  <si>
    <t>нет активного платного тарифа MPStats / не было ранее, но есть непротухший API</t>
  </si>
  <si>
    <t>Оплата тарифа - первая покупка</t>
  </si>
  <si>
    <t>ИБ?</t>
  </si>
  <si>
    <t>Привлечение (sales, КЦ)</t>
  </si>
  <si>
    <t>СR из модели (открыли РКО), чтобы корреткно учесть "стали клиентами Т"</t>
  </si>
  <si>
    <t>в разрезе по сегментам по обороту и активности</t>
  </si>
  <si>
    <t>решение</t>
  </si>
  <si>
    <t>ЦА</t>
  </si>
  <si>
    <t>вероятно незаинтересованный - снижаем CR в воронке</t>
  </si>
  <si>
    <t>какой компнаии передаем =сотрудник кто будет обрабтывать?</t>
  </si>
  <si>
    <t>NDA с ЮЛ на эту передачу данных с компанией - подписанный (наверно скан)</t>
  </si>
  <si>
    <t>Дата Т Банк - загружаем, ссылка и пароль - разные каналы (почта, тг/смс)</t>
  </si>
  <si>
    <t>1-2 дня</t>
  </si>
  <si>
    <t>Лиза/Карина?</t>
  </si>
  <si>
    <t>Сегмент по активности Т</t>
  </si>
  <si>
    <t>Сегмент 1.</t>
  </si>
  <si>
    <t xml:space="preserve">Сегмент 2. </t>
  </si>
  <si>
    <t xml:space="preserve">Сегмент 3. </t>
  </si>
  <si>
    <t xml:space="preserve">Сегмент 4. </t>
  </si>
  <si>
    <t>ИНН/ОГРН</t>
  </si>
  <si>
    <t>Есть АПИ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</si>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</sst>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0.0%"/>
    <numFmt numFmtId="165" formatCode="yyyy\-mm\-dd"/>
    <numFmt numFmtId="176" formatCode="_-* #,##0\ &quot;₽&quot;_-;\-* #,##0\ &quot;₽&quot;_-;_-* &quot;-&quot;??\ &quot;₽&quot;_-;_-@_-"/>
  </numFmts>
  <fonts count="36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2"/>
      <color rgb="FFFF0000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5"/>
      <color rgb="FF3F4350"/>
      <name val="Arial"/>
      <family val="2"/>
    </font>
    <font>
      <b/>
      <sz val="15"/>
      <color rgb="FF3F4350"/>
      <name val="Arial"/>
      <family val="2"/>
    </font>
    <font>
      <sz val="12"/>
      <color theme="1"/>
      <name val="Calibri"/>
      <family val="2"/>
      <charset val="204"/>
      <scheme val="minor"/>
    </font>
    <font>
      <sz val="14"/>
      <color rgb="FFFF0000"/>
      <name val="Calibri"/>
      <family val="2"/>
      <scheme val="minor"/>
    </font>
    <font>
      <sz val="14"/>
      <color theme="0" tint="-0.49998474074526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4"/>
      <color rgb="FFC00000"/>
      <name val="Calibri"/>
      <family val="2"/>
      <scheme val="minor"/>
    </font>
    <font>
      <sz val="14"/>
      <color rgb="FFC00000"/>
      <name val="Calibri (Основной текст)"/>
      <charset val="204"/>
    </font>
    <font>
      <b/>
      <sz val="11"/>
      <color theme="1"/>
      <name val="Calibri"/>
      <family val="2"/>
      <scheme val="minor"/>
    </font>
    <font>
      <sz val="14"/>
      <color theme="1"/>
      <name val="Calibri (Основной текст)"/>
      <charset val="204"/>
    </font>
    <font>
      <sz val="14"/>
      <color rgb="FF0070C0"/>
      <name val="Calibri"/>
      <family val="2"/>
      <scheme val="minor"/>
    </font>
    <font>
      <sz val="14"/>
      <color rgb="FF0070C0"/>
      <name val="Calibri"/>
      <family val="2"/>
      <charset val="204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172B4D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7030A0"/>
      <name val="Calibri"/>
      <family val="2"/>
      <scheme val="minor"/>
    </font>
    <font>
      <sz val="10"/>
      <color rgb="FF000000"/>
      <name val="Calibri"/>
      <family val="2"/>
    </font>
    <font>
      <b/>
      <sz val="14"/>
      <color theme="1"/>
      <name val="Calibri (Основной текст)"/>
      <charset val="204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7BF50"/>
        <bgColor rgb="FF17BF50"/>
      </patternFill>
    </fill>
    <fill>
      <patternFill patternType="solid">
        <fgColor rgb="FFEAF7EE"/>
        <bgColor rgb="FFEAF7EE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291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 wrapText="1"/>
    </xf>
    <xf numFmtId="0" fontId="1" fillId="3" borderId="1" xfId="0" applyFont="1" applyFill="1" applyBorder="1"/>
    <xf numFmtId="0" fontId="5" fillId="0" borderId="0" xfId="0" applyFont="1"/>
    <xf numFmtId="0" fontId="0" fillId="0" borderId="0" xfId="0" applyAlignment="1">
      <alignment wrapText="1"/>
    </xf>
    <xf numFmtId="0" fontId="6" fillId="0" borderId="0" xfId="1"/>
    <xf numFmtId="0" fontId="7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9" fillId="0" borderId="0" xfId="0" applyFont="1"/>
    <xf numFmtId="0" fontId="7" fillId="4" borderId="0" xfId="0" applyFont="1" applyFill="1"/>
    <xf numFmtId="0" fontId="0" fillId="4" borderId="0" xfId="0" applyFill="1"/>
    <xf numFmtId="0" fontId="2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0" borderId="0" xfId="0" applyFont="1"/>
    <xf numFmtId="0" fontId="1" fillId="0" borderId="3" xfId="0" applyFont="1" applyBorder="1" applyAlignment="1">
      <alignment vertical="top" wrapText="1"/>
    </xf>
    <xf numFmtId="0" fontId="1" fillId="0" borderId="1" xfId="0" applyFont="1" applyBorder="1"/>
    <xf numFmtId="0" fontId="11" fillId="0" borderId="0" xfId="0" applyFont="1" applyAlignment="1">
      <alignment vertical="top" wrapText="1"/>
    </xf>
    <xf numFmtId="0" fontId="2" fillId="0" borderId="0" xfId="0" applyFont="1"/>
    <xf numFmtId="0" fontId="2" fillId="0" borderId="4" xfId="0" applyFont="1" applyBorder="1" applyAlignment="1">
      <alignment vertical="top" wrapText="1"/>
    </xf>
    <xf numFmtId="0" fontId="2" fillId="3" borderId="5" xfId="0" applyFont="1" applyFill="1" applyBorder="1" applyAlignment="1">
      <alignment vertical="top" wrapText="1"/>
    </xf>
    <xf numFmtId="0" fontId="12" fillId="4" borderId="1" xfId="0" applyFont="1" applyFill="1" applyBorder="1"/>
    <xf numFmtId="0" fontId="1" fillId="7" borderId="0" xfId="0" applyFont="1" applyFill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1" fillId="0" borderId="10" xfId="0" applyFont="1" applyBorder="1" applyAlignment="1">
      <alignment vertical="top" wrapText="1"/>
    </xf>
    <xf numFmtId="0" fontId="1" fillId="6" borderId="0" xfId="0" applyFont="1" applyFill="1" applyAlignment="1">
      <alignment vertical="top" wrapText="1"/>
    </xf>
    <xf numFmtId="0" fontId="2" fillId="8" borderId="0" xfId="0" applyFont="1" applyFill="1"/>
    <xf numFmtId="0" fontId="1" fillId="8" borderId="0" xfId="0" applyFont="1" applyFill="1"/>
    <xf numFmtId="0" fontId="1" fillId="0" borderId="9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2" fillId="3" borderId="1" xfId="0" applyFont="1" applyFill="1" applyBorder="1"/>
    <xf numFmtId="0" fontId="2" fillId="2" borderId="0" xfId="0" applyFont="1" applyFill="1"/>
    <xf numFmtId="0" fontId="1" fillId="4" borderId="1" xfId="0" applyFont="1" applyFill="1" applyBorder="1"/>
    <xf numFmtId="0" fontId="1" fillId="0" borderId="9" xfId="0" applyFont="1" applyBorder="1" applyAlignment="1">
      <alignment horizontal="right" vertical="top" wrapText="1"/>
    </xf>
    <xf numFmtId="164" fontId="1" fillId="0" borderId="9" xfId="0" applyNumberFormat="1" applyFont="1" applyBorder="1" applyAlignment="1">
      <alignment horizontal="right" vertical="top"/>
    </xf>
    <xf numFmtId="164" fontId="1" fillId="0" borderId="0" xfId="2" applyNumberFormat="1" applyFont="1" applyFill="1" applyBorder="1" applyAlignment="1">
      <alignment horizontal="right" vertical="top"/>
    </xf>
    <xf numFmtId="0" fontId="12" fillId="0" borderId="9" xfId="0" applyFont="1" applyBorder="1" applyAlignment="1">
      <alignment horizontal="right" vertical="top" wrapText="1"/>
    </xf>
    <xf numFmtId="0" fontId="1" fillId="0" borderId="13" xfId="0" applyFont="1" applyBorder="1" applyAlignment="1">
      <alignment vertical="top" wrapText="1"/>
    </xf>
    <xf numFmtId="164" fontId="1" fillId="0" borderId="0" xfId="2" applyNumberFormat="1" applyFont="1" applyFill="1" applyBorder="1" applyAlignment="1">
      <alignment horizontal="right" vertical="top" wrapText="1"/>
    </xf>
    <xf numFmtId="0" fontId="12" fillId="0" borderId="10" xfId="0" applyFont="1" applyBorder="1" applyAlignment="1">
      <alignment horizontal="right" vertical="top" wrapText="1"/>
    </xf>
    <xf numFmtId="0" fontId="1" fillId="0" borderId="10" xfId="0" applyFont="1" applyBorder="1" applyAlignment="1">
      <alignment horizontal="right" vertical="top" wrapText="1"/>
    </xf>
    <xf numFmtId="0" fontId="1" fillId="0" borderId="13" xfId="0" applyFont="1" applyBorder="1" applyAlignment="1">
      <alignment vertical="top"/>
    </xf>
    <xf numFmtId="164" fontId="12" fillId="0" borderId="0" xfId="2" applyNumberFormat="1" applyFont="1" applyFill="1" applyBorder="1" applyAlignment="1">
      <alignment horizontal="right" vertical="top" wrapText="1"/>
    </xf>
    <xf numFmtId="0" fontId="1" fillId="5" borderId="9" xfId="0" applyFont="1" applyFill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6" borderId="9" xfId="0" applyFont="1" applyFill="1" applyBorder="1" applyAlignment="1">
      <alignment vertical="top"/>
    </xf>
    <xf numFmtId="0" fontId="1" fillId="3" borderId="9" xfId="0" applyFont="1" applyFill="1" applyBorder="1" applyAlignment="1">
      <alignment horizontal="left" vertical="top"/>
    </xf>
    <xf numFmtId="0" fontId="1" fillId="0" borderId="6" xfId="0" applyFont="1" applyBorder="1" applyAlignment="1">
      <alignment vertical="top"/>
    </xf>
    <xf numFmtId="0" fontId="1" fillId="2" borderId="9" xfId="0" applyFont="1" applyFill="1" applyBorder="1" applyAlignment="1">
      <alignment vertical="top"/>
    </xf>
    <xf numFmtId="0" fontId="1" fillId="2" borderId="0" xfId="0" applyFont="1" applyFill="1" applyAlignment="1">
      <alignment vertical="top" wrapText="1"/>
    </xf>
    <xf numFmtId="0" fontId="16" fillId="9" borderId="15" xfId="0" applyFont="1" applyFill="1" applyBorder="1" applyAlignment="1">
      <alignment horizontal="left" vertical="center"/>
    </xf>
    <xf numFmtId="0" fontId="16" fillId="9" borderId="15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10" borderId="15" xfId="0" applyFont="1" applyFill="1" applyBorder="1" applyAlignment="1">
      <alignment horizontal="left" vertical="center"/>
    </xf>
    <xf numFmtId="10" fontId="17" fillId="10" borderId="1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10" borderId="15" xfId="0" applyFill="1" applyBorder="1" applyAlignment="1">
      <alignment horizontal="left" vertical="center"/>
    </xf>
    <xf numFmtId="0" fontId="0" fillId="10" borderId="15" xfId="0" applyFill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5" xfId="0" applyFont="1" applyBorder="1" applyAlignment="1">
      <alignment horizontal="center" vertical="center"/>
    </xf>
    <xf numFmtId="0" fontId="17" fillId="10" borderId="15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right" vertical="top"/>
    </xf>
    <xf numFmtId="9" fontId="12" fillId="0" borderId="9" xfId="0" applyNumberFormat="1" applyFont="1" applyBorder="1" applyAlignment="1">
      <alignment horizontal="right" vertical="top" wrapText="1"/>
    </xf>
    <xf numFmtId="0" fontId="1" fillId="0" borderId="1" xfId="0" applyFont="1" applyBorder="1" applyAlignment="1">
      <alignment vertical="top"/>
    </xf>
    <xf numFmtId="9" fontId="1" fillId="0" borderId="0" xfId="2" applyFont="1" applyAlignment="1">
      <alignment vertical="top" wrapText="1"/>
    </xf>
    <xf numFmtId="0" fontId="2" fillId="0" borderId="0" xfId="0" applyFont="1" applyAlignment="1">
      <alignment vertical="top"/>
    </xf>
    <xf numFmtId="0" fontId="12" fillId="3" borderId="0" xfId="0" applyFont="1" applyFill="1" applyAlignment="1">
      <alignment vertical="top"/>
    </xf>
    <xf numFmtId="164" fontId="1" fillId="0" borderId="10" xfId="2" applyNumberFormat="1" applyFont="1" applyBorder="1" applyAlignment="1">
      <alignment vertical="top"/>
    </xf>
    <xf numFmtId="0" fontId="18" fillId="0" borderId="9" xfId="0" applyFont="1" applyBorder="1" applyAlignment="1">
      <alignment vertical="top"/>
    </xf>
    <xf numFmtId="9" fontId="18" fillId="0" borderId="10" xfId="2" applyFont="1" applyBorder="1" applyAlignment="1">
      <alignment vertical="top"/>
    </xf>
    <xf numFmtId="0" fontId="12" fillId="0" borderId="9" xfId="0" applyFont="1" applyBorder="1" applyAlignment="1">
      <alignment vertical="top"/>
    </xf>
    <xf numFmtId="0" fontId="12" fillId="0" borderId="10" xfId="0" applyFont="1" applyBorder="1" applyAlignment="1">
      <alignment vertical="top"/>
    </xf>
    <xf numFmtId="0" fontId="1" fillId="0" borderId="10" xfId="0" applyFont="1" applyBorder="1" applyAlignment="1">
      <alignment vertical="top"/>
    </xf>
    <xf numFmtId="0" fontId="18" fillId="0" borderId="8" xfId="0" applyFont="1" applyBorder="1" applyAlignment="1">
      <alignment vertical="top" wrapText="1"/>
    </xf>
    <xf numFmtId="9" fontId="1" fillId="0" borderId="9" xfId="2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14" xfId="0" applyFont="1" applyBorder="1" applyAlignment="1">
      <alignment vertical="top" wrapText="1"/>
    </xf>
    <xf numFmtId="0" fontId="2" fillId="3" borderId="12" xfId="0" applyFont="1" applyFill="1" applyBorder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3" borderId="5" xfId="0" applyFont="1" applyFill="1" applyBorder="1" applyAlignment="1">
      <alignment vertical="top" wrapText="1"/>
    </xf>
    <xf numFmtId="0" fontId="20" fillId="0" borderId="1" xfId="0" applyFont="1" applyBorder="1" applyAlignment="1">
      <alignment horizontal="center" vertical="top"/>
    </xf>
    <xf numFmtId="165" fontId="0" fillId="0" borderId="0" xfId="0" applyNumberFormat="1"/>
    <xf numFmtId="0" fontId="20" fillId="11" borderId="1" xfId="0" applyFont="1" applyFill="1" applyBorder="1" applyAlignment="1">
      <alignment horizontal="center" vertical="top"/>
    </xf>
    <xf numFmtId="165" fontId="0" fillId="11" borderId="0" xfId="0" applyNumberFormat="1" applyFill="1"/>
    <xf numFmtId="0" fontId="0" fillId="11" borderId="0" xfId="0" applyFill="1"/>
    <xf numFmtId="164" fontId="0" fillId="11" borderId="0" xfId="2" applyNumberFormat="1" applyFont="1" applyFill="1"/>
    <xf numFmtId="1" fontId="0" fillId="11" borderId="0" xfId="2" applyNumberFormat="1" applyFont="1" applyFill="1"/>
    <xf numFmtId="0" fontId="1" fillId="6" borderId="1" xfId="0" applyFont="1" applyFill="1" applyBorder="1"/>
    <xf numFmtId="164" fontId="1" fillId="0" borderId="0" xfId="2" applyNumberFormat="1" applyFont="1"/>
    <xf numFmtId="164" fontId="1" fillId="0" borderId="1" xfId="2" applyNumberFormat="1" applyFont="1" applyBorder="1"/>
    <xf numFmtId="164" fontId="18" fillId="0" borderId="10" xfId="2" applyNumberFormat="1" applyFont="1" applyFill="1" applyBorder="1" applyAlignment="1">
      <alignment vertical="top" wrapText="1"/>
    </xf>
    <xf numFmtId="0" fontId="22" fillId="0" borderId="6" xfId="0" applyFont="1" applyBorder="1" applyAlignment="1">
      <alignment vertical="top" wrapText="1"/>
    </xf>
    <xf numFmtId="0" fontId="23" fillId="0" borderId="8" xfId="0" applyFont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8" fillId="0" borderId="0" xfId="0" applyFont="1"/>
    <xf numFmtId="164" fontId="1" fillId="0" borderId="0" xfId="2" applyNumberFormat="1" applyFont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0" fillId="7" borderId="0" xfId="0" applyFill="1"/>
    <xf numFmtId="164" fontId="1" fillId="0" borderId="0" xfId="0" applyNumberFormat="1" applyFont="1" applyAlignment="1">
      <alignment vertical="top" wrapText="1"/>
    </xf>
    <xf numFmtId="0" fontId="1" fillId="12" borderId="16" xfId="0" applyFont="1" applyFill="1" applyBorder="1" applyAlignment="1">
      <alignment vertical="top" wrapText="1"/>
    </xf>
    <xf numFmtId="0" fontId="1" fillId="0" borderId="11" xfId="0" applyFont="1" applyBorder="1" applyAlignment="1">
      <alignment vertical="top" wrapText="1"/>
    </xf>
    <xf numFmtId="0" fontId="1" fillId="12" borderId="11" xfId="0" applyFont="1" applyFill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0" fillId="0" borderId="4" xfId="0" applyBorder="1"/>
    <xf numFmtId="0" fontId="1" fillId="0" borderId="9" xfId="0" applyFont="1" applyBorder="1"/>
    <xf numFmtId="0" fontId="1" fillId="0" borderId="0" xfId="0" quotePrefix="1" applyFont="1" applyAlignment="1">
      <alignment vertical="top" wrapText="1"/>
    </xf>
    <xf numFmtId="0" fontId="1" fillId="14" borderId="0" xfId="0" applyFont="1" applyFill="1"/>
    <xf numFmtId="0" fontId="25" fillId="14" borderId="0" xfId="0" applyFont="1" applyFill="1" applyAlignment="1">
      <alignment vertical="top"/>
    </xf>
    <xf numFmtId="0" fontId="2" fillId="14" borderId="0" xfId="0" applyFont="1" applyFill="1"/>
    <xf numFmtId="0" fontId="18" fillId="0" borderId="0" xfId="0" applyFont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" fillId="0" borderId="19" xfId="0" applyFont="1" applyBorder="1"/>
    <xf numFmtId="0" fontId="0" fillId="0" borderId="21" xfId="0" applyBorder="1"/>
    <xf numFmtId="0" fontId="2" fillId="6" borderId="17" xfId="0" applyFont="1" applyFill="1" applyBorder="1" applyAlignment="1">
      <alignment vertical="top" wrapText="1"/>
    </xf>
    <xf numFmtId="0" fontId="0" fillId="0" borderId="18" xfId="0" applyBorder="1"/>
    <xf numFmtId="0" fontId="1" fillId="0" borderId="20" xfId="0" applyFont="1" applyBorder="1" applyAlignment="1">
      <alignment vertical="top" wrapText="1"/>
    </xf>
    <xf numFmtId="0" fontId="1" fillId="3" borderId="21" xfId="0" applyFont="1" applyFill="1" applyBorder="1" applyAlignment="1">
      <alignment vertical="top" wrapText="1"/>
    </xf>
    <xf numFmtId="0" fontId="24" fillId="13" borderId="21" xfId="0" applyFont="1" applyFill="1" applyBorder="1" applyAlignment="1">
      <alignment vertical="top" wrapText="1"/>
    </xf>
    <xf numFmtId="0" fontId="2" fillId="6" borderId="19" xfId="0" applyFont="1" applyFill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6" fillId="0" borderId="0" xfId="0" applyFont="1" applyAlignment="1">
      <alignment vertical="top"/>
    </xf>
    <xf numFmtId="0" fontId="26" fillId="5" borderId="0" xfId="0" applyFont="1" applyFill="1" applyAlignment="1">
      <alignment vertical="top"/>
    </xf>
    <xf numFmtId="0" fontId="27" fillId="0" borderId="0" xfId="1" applyFont="1" applyAlignment="1">
      <alignment vertical="top"/>
    </xf>
    <xf numFmtId="0" fontId="28" fillId="0" borderId="0" xfId="0" applyFont="1" applyAlignment="1">
      <alignment vertical="top" wrapText="1"/>
    </xf>
    <xf numFmtId="0" fontId="26" fillId="3" borderId="0" xfId="0" applyFont="1" applyFill="1" applyAlignment="1">
      <alignment vertical="top"/>
    </xf>
    <xf numFmtId="0" fontId="26" fillId="4" borderId="0" xfId="0" applyFont="1" applyFill="1" applyAlignment="1">
      <alignment vertical="top"/>
    </xf>
    <xf numFmtId="0" fontId="29" fillId="0" borderId="0" xfId="0" applyFont="1" applyAlignment="1">
      <alignment vertical="top" wrapText="1"/>
    </xf>
    <xf numFmtId="0" fontId="26" fillId="6" borderId="0" xfId="0" applyFont="1" applyFill="1" applyAlignment="1">
      <alignment vertical="top"/>
    </xf>
    <xf numFmtId="0" fontId="30" fillId="0" borderId="0" xfId="0" applyFont="1" applyAlignment="1">
      <alignment vertical="top" wrapText="1"/>
    </xf>
    <xf numFmtId="0" fontId="31" fillId="0" borderId="0" xfId="0" applyFont="1" applyAlignment="1">
      <alignment vertical="top" wrapText="1"/>
    </xf>
    <xf numFmtId="0" fontId="6" fillId="0" borderId="0" xfId="1" applyAlignment="1">
      <alignment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9" fontId="1" fillId="0" borderId="9" xfId="0" applyNumberFormat="1" applyFont="1" applyBorder="1" applyAlignment="1">
      <alignment horizontal="right" vertical="top"/>
    </xf>
    <xf numFmtId="164" fontId="1" fillId="0" borderId="9" xfId="2" applyNumberFormat="1" applyFont="1" applyFill="1" applyBorder="1" applyAlignment="1">
      <alignment horizontal="right" vertical="top"/>
    </xf>
    <xf numFmtId="164" fontId="1" fillId="0" borderId="9" xfId="0" applyNumberFormat="1" applyFont="1" applyBorder="1" applyAlignment="1">
      <alignment horizontal="right" vertical="top" wrapText="1"/>
    </xf>
    <xf numFmtId="164" fontId="12" fillId="0" borderId="9" xfId="0" applyNumberFormat="1" applyFont="1" applyBorder="1" applyAlignment="1">
      <alignment horizontal="right" vertical="top" wrapText="1"/>
    </xf>
    <xf numFmtId="0" fontId="12" fillId="4" borderId="9" xfId="0" applyFont="1" applyFill="1" applyBorder="1" applyAlignment="1">
      <alignment horizontal="right" vertical="top" wrapText="1"/>
    </xf>
    <xf numFmtId="0" fontId="2" fillId="6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9" fontId="12" fillId="0" borderId="0" xfId="0" applyNumberFormat="1" applyFont="1" applyAlignment="1">
      <alignment horizontal="right" vertical="top" wrapText="1"/>
    </xf>
    <xf numFmtId="164" fontId="1" fillId="0" borderId="0" xfId="0" applyNumberFormat="1" applyFont="1" applyAlignment="1">
      <alignment horizontal="right" vertical="top"/>
    </xf>
    <xf numFmtId="0" fontId="12" fillId="0" borderId="0" xfId="0" applyFont="1" applyAlignment="1">
      <alignment horizontal="right" vertical="top" wrapText="1"/>
    </xf>
    <xf numFmtId="164" fontId="1" fillId="0" borderId="0" xfId="0" applyNumberFormat="1" applyFont="1" applyAlignment="1">
      <alignment horizontal="right" vertical="top" wrapText="1"/>
    </xf>
    <xf numFmtId="9" fontId="1" fillId="0" borderId="0" xfId="0" applyNumberFormat="1" applyFont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10" fontId="1" fillId="0" borderId="0" xfId="0" applyNumberFormat="1" applyFont="1" applyAlignment="1">
      <alignment horizontal="right" vertical="top" wrapText="1"/>
    </xf>
    <xf numFmtId="9" fontId="1" fillId="5" borderId="9" xfId="0" applyNumberFormat="1" applyFont="1" applyFill="1" applyBorder="1" applyAlignment="1">
      <alignment horizontal="right" vertical="top" wrapText="1"/>
    </xf>
    <xf numFmtId="164" fontId="1" fillId="5" borderId="0" xfId="0" applyNumberFormat="1" applyFont="1" applyFill="1" applyAlignment="1">
      <alignment horizontal="right" vertical="top" wrapText="1"/>
    </xf>
    <xf numFmtId="164" fontId="1" fillId="5" borderId="0" xfId="2" applyNumberFormat="1" applyFont="1" applyFill="1" applyBorder="1" applyAlignment="1">
      <alignment horizontal="right" vertical="top" wrapText="1"/>
    </xf>
    <xf numFmtId="164" fontId="12" fillId="0" borderId="0" xfId="0" applyNumberFormat="1" applyFont="1" applyAlignment="1">
      <alignment horizontal="right" vertical="top" wrapText="1"/>
    </xf>
    <xf numFmtId="0" fontId="2" fillId="5" borderId="0" xfId="0" applyFont="1" applyFill="1" applyAlignment="1">
      <alignment horizontal="left" vertical="top" wrapText="1"/>
    </xf>
    <xf numFmtId="9" fontId="1" fillId="5" borderId="0" xfId="0" applyNumberFormat="1" applyFont="1" applyFill="1" applyAlignment="1">
      <alignment horizontal="right" vertical="top"/>
    </xf>
    <xf numFmtId="9" fontId="1" fillId="0" borderId="0" xfId="0" applyNumberFormat="1" applyFont="1" applyAlignment="1">
      <alignment horizontal="right" vertical="top"/>
    </xf>
    <xf numFmtId="9" fontId="1" fillId="5" borderId="0" xfId="0" applyNumberFormat="1" applyFont="1" applyFill="1" applyAlignment="1">
      <alignment horizontal="right" vertical="top" wrapText="1"/>
    </xf>
    <xf numFmtId="164" fontId="12" fillId="0" borderId="10" xfId="0" applyNumberFormat="1" applyFont="1" applyBorder="1" applyAlignment="1">
      <alignment horizontal="right" vertical="top" wrapText="1"/>
    </xf>
    <xf numFmtId="164" fontId="1" fillId="0" borderId="0" xfId="2" applyNumberFormat="1" applyFont="1" applyBorder="1" applyAlignment="1">
      <alignment horizontal="right" vertical="top" wrapText="1"/>
    </xf>
    <xf numFmtId="1" fontId="1" fillId="3" borderId="1" xfId="0" applyNumberFormat="1" applyFont="1" applyFill="1" applyBorder="1"/>
    <xf numFmtId="164" fontId="1" fillId="0" borderId="0" xfId="2" applyNumberFormat="1" applyFont="1" applyBorder="1"/>
    <xf numFmtId="0" fontId="12" fillId="6" borderId="1" xfId="0" applyFont="1" applyFill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4" fillId="0" borderId="0" xfId="0" applyFont="1"/>
    <xf numFmtId="0" fontId="0" fillId="0" borderId="0" xfId="0"/>
    <xf numFmtId="0" fontId="15" fillId="0" borderId="0" xfId="0" applyFont="1" applyAlignment="1">
      <alignment wrapText="1"/>
    </xf>
    <xf numFmtId="10" fontId="2" fillId="0" borderId="0" xfId="0" applyNumberFormat="1" applyFont="1" applyAlignment="1">
      <alignment horizontal="right" vertical="top" wrapText="1"/>
    </xf>
    <xf numFmtId="10" fontId="2" fillId="0" borderId="9" xfId="0" applyNumberFormat="1" applyFont="1" applyBorder="1" applyAlignment="1">
      <alignment horizontal="right" vertical="top" wrapText="1"/>
    </xf>
    <xf numFmtId="10" fontId="1" fillId="0" borderId="0" xfId="0" applyNumberFormat="1" applyFont="1" applyFill="1" applyAlignment="1">
      <alignment horizontal="right" vertical="top" wrapText="1"/>
    </xf>
    <xf numFmtId="164" fontId="2" fillId="0" borderId="0" xfId="0" applyNumberFormat="1" applyFont="1" applyAlignment="1">
      <alignment horizontal="right" vertical="top" wrapText="1"/>
    </xf>
    <xf numFmtId="0" fontId="1" fillId="0" borderId="0" xfId="0" applyFont="1" applyBorder="1" applyAlignment="1">
      <alignment vertical="top" wrapText="1"/>
    </xf>
    <xf numFmtId="0" fontId="1" fillId="7" borderId="0" xfId="0" applyFont="1" applyFill="1" applyBorder="1" applyAlignment="1">
      <alignment vertical="top" wrapText="1"/>
    </xf>
    <xf numFmtId="0" fontId="1" fillId="7" borderId="10" xfId="0" applyFont="1" applyFill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0" fillId="0" borderId="0" xfId="0" applyBorder="1"/>
    <xf numFmtId="0" fontId="2" fillId="0" borderId="22" xfId="0" applyFont="1" applyBorder="1" applyAlignment="1">
      <alignment vertical="top" wrapText="1"/>
    </xf>
    <xf numFmtId="0" fontId="1" fillId="5" borderId="19" xfId="0" applyFont="1" applyFill="1" applyBorder="1" applyAlignment="1">
      <alignment vertical="top" wrapText="1"/>
    </xf>
    <xf numFmtId="0" fontId="1" fillId="7" borderId="19" xfId="0" applyFont="1" applyFill="1" applyBorder="1" applyAlignment="1">
      <alignment vertical="top" wrapText="1"/>
    </xf>
    <xf numFmtId="0" fontId="1" fillId="5" borderId="20" xfId="0" applyFont="1" applyFill="1" applyBorder="1" applyAlignment="1">
      <alignment vertical="top" wrapText="1"/>
    </xf>
    <xf numFmtId="0" fontId="1" fillId="0" borderId="24" xfId="0" applyFont="1" applyBorder="1" applyAlignment="1">
      <alignment vertical="top" wrapText="1"/>
    </xf>
    <xf numFmtId="0" fontId="1" fillId="0" borderId="21" xfId="0" quotePrefix="1" applyFont="1" applyBorder="1" applyAlignment="1">
      <alignment vertical="top" wrapText="1"/>
    </xf>
    <xf numFmtId="0" fontId="1" fillId="0" borderId="23" xfId="0" applyFont="1" applyBorder="1" applyAlignment="1">
      <alignment vertical="top" wrapText="1"/>
    </xf>
    <xf numFmtId="0" fontId="2" fillId="0" borderId="25" xfId="0" applyFont="1" applyBorder="1" applyAlignment="1">
      <alignment vertical="top"/>
    </xf>
    <xf numFmtId="0" fontId="2" fillId="0" borderId="26" xfId="0" applyFont="1" applyBorder="1" applyAlignment="1">
      <alignment vertical="top" wrapText="1"/>
    </xf>
    <xf numFmtId="0" fontId="2" fillId="0" borderId="18" xfId="0" applyFont="1" applyBorder="1" applyAlignment="1">
      <alignment vertical="top"/>
    </xf>
    <xf numFmtId="1" fontId="1" fillId="7" borderId="1" xfId="0" applyNumberFormat="1" applyFont="1" applyFill="1" applyBorder="1"/>
    <xf numFmtId="164" fontId="1" fillId="7" borderId="1" xfId="2" applyNumberFormat="1" applyFont="1" applyFill="1" applyBorder="1"/>
    <xf numFmtId="0" fontId="1" fillId="0" borderId="0" xfId="0" applyFont="1" applyAlignment="1">
      <alignment wrapText="1"/>
    </xf>
    <xf numFmtId="0" fontId="1" fillId="0" borderId="0" xfId="0" applyFont="1" applyBorder="1" applyAlignment="1">
      <alignment vertical="top"/>
    </xf>
    <xf numFmtId="0" fontId="1" fillId="0" borderId="0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1" fontId="1" fillId="0" borderId="1" xfId="0" applyNumberFormat="1" applyFont="1" applyBorder="1"/>
    <xf numFmtId="0" fontId="2" fillId="0" borderId="1" xfId="0" applyFont="1" applyBorder="1"/>
    <xf numFmtId="0" fontId="2" fillId="0" borderId="26" xfId="0" applyFont="1" applyFill="1" applyBorder="1" applyAlignment="1">
      <alignment vertical="top" wrapText="1"/>
    </xf>
    <xf numFmtId="0" fontId="1" fillId="4" borderId="0" xfId="0" applyFont="1" applyFill="1" applyBorder="1" applyAlignment="1">
      <alignment vertical="top" wrapText="1"/>
    </xf>
    <xf numFmtId="0" fontId="2" fillId="6" borderId="18" xfId="0" applyFont="1" applyFill="1" applyBorder="1" applyAlignment="1">
      <alignment vertical="top" wrapText="1"/>
    </xf>
    <xf numFmtId="0" fontId="2" fillId="6" borderId="0" xfId="0" applyFont="1" applyFill="1" applyBorder="1" applyAlignment="1">
      <alignment vertical="top" wrapText="1"/>
    </xf>
    <xf numFmtId="0" fontId="1" fillId="6" borderId="18" xfId="0" applyFont="1" applyFill="1" applyBorder="1" applyAlignment="1">
      <alignment vertical="top" wrapText="1"/>
    </xf>
    <xf numFmtId="0" fontId="0" fillId="6" borderId="18" xfId="0" applyFill="1" applyBorder="1"/>
    <xf numFmtId="0" fontId="2" fillId="0" borderId="0" xfId="0" applyFont="1" applyBorder="1"/>
    <xf numFmtId="164" fontId="1" fillId="2" borderId="0" xfId="2" applyNumberFormat="1" applyFont="1" applyFill="1" applyAlignment="1">
      <alignment vertical="top" wrapText="1"/>
    </xf>
    <xf numFmtId="0" fontId="18" fillId="0" borderId="0" xfId="0" applyFont="1" applyAlignment="1">
      <alignment vertical="top"/>
    </xf>
    <xf numFmtId="0" fontId="0" fillId="3" borderId="0" xfId="0" applyFill="1"/>
    <xf numFmtId="176" fontId="1" fillId="2" borderId="0" xfId="0" applyNumberFormat="1" applyFont="1" applyFill="1" applyBorder="1"/>
    <xf numFmtId="0" fontId="1" fillId="6" borderId="0" xfId="0" applyFont="1" applyFill="1" applyBorder="1" applyAlignment="1">
      <alignment vertical="top" wrapText="1"/>
    </xf>
    <xf numFmtId="1" fontId="1" fillId="6" borderId="0" xfId="0" applyNumberFormat="1" applyFont="1" applyFill="1" applyBorder="1" applyAlignment="1">
      <alignment vertical="top" wrapText="1"/>
    </xf>
    <xf numFmtId="0" fontId="0" fillId="6" borderId="0" xfId="0" applyFill="1" applyBorder="1"/>
    <xf numFmtId="1" fontId="1" fillId="7" borderId="0" xfId="0" applyNumberFormat="1" applyFont="1" applyFill="1" applyBorder="1" applyAlignment="1">
      <alignment vertical="top" wrapText="1"/>
    </xf>
    <xf numFmtId="0" fontId="24" fillId="6" borderId="0" xfId="0" applyFont="1" applyFill="1" applyBorder="1" applyAlignment="1">
      <alignment vertical="top" wrapText="1"/>
    </xf>
    <xf numFmtId="0" fontId="24" fillId="15" borderId="0" xfId="0" applyFont="1" applyFill="1" applyBorder="1" applyAlignment="1">
      <alignment vertical="top" wrapText="1"/>
    </xf>
    <xf numFmtId="0" fontId="1" fillId="3" borderId="0" xfId="0" applyFont="1" applyFill="1" applyBorder="1" applyAlignment="1">
      <alignment vertical="top" wrapText="1"/>
    </xf>
    <xf numFmtId="0" fontId="24" fillId="13" borderId="0" xfId="0" applyFont="1" applyFill="1" applyBorder="1" applyAlignment="1">
      <alignment vertical="top" wrapText="1"/>
    </xf>
    <xf numFmtId="0" fontId="1" fillId="4" borderId="21" xfId="0" applyFont="1" applyFill="1" applyBorder="1" applyAlignment="1">
      <alignment vertical="top" wrapText="1"/>
    </xf>
    <xf numFmtId="0" fontId="1" fillId="0" borderId="0" xfId="0" applyFont="1" applyFill="1" applyBorder="1" applyAlignment="1">
      <alignment vertical="top" wrapText="1"/>
    </xf>
    <xf numFmtId="0" fontId="1" fillId="0" borderId="21" xfId="0" applyFont="1" applyFill="1" applyBorder="1" applyAlignment="1">
      <alignment vertical="top" wrapText="1"/>
    </xf>
    <xf numFmtId="0" fontId="20" fillId="0" borderId="1" xfId="0" applyFont="1" applyBorder="1" applyAlignment="1">
      <alignment horizontal="center" vertical="top" wrapText="1"/>
    </xf>
    <xf numFmtId="0" fontId="20" fillId="3" borderId="1" xfId="0" applyFont="1" applyFill="1" applyBorder="1" applyAlignment="1">
      <alignment horizontal="center" vertical="top"/>
    </xf>
    <xf numFmtId="165" fontId="0" fillId="3" borderId="0" xfId="0" applyNumberFormat="1" applyFill="1"/>
    <xf numFmtId="0" fontId="20" fillId="3" borderId="1" xfId="0" applyFont="1" applyFill="1" applyBorder="1" applyAlignment="1">
      <alignment horizontal="center" vertical="top" wrapText="1"/>
    </xf>
    <xf numFmtId="9" fontId="0" fillId="3" borderId="0" xfId="2" applyFont="1" applyFill="1"/>
    <xf numFmtId="0" fontId="1" fillId="12" borderId="11" xfId="0" applyFont="1" applyFill="1" applyBorder="1" applyAlignment="1">
      <alignment vertical="top"/>
    </xf>
    <xf numFmtId="0" fontId="1" fillId="6" borderId="18" xfId="0" applyFont="1" applyFill="1" applyBorder="1" applyAlignment="1">
      <alignment vertical="top"/>
    </xf>
    <xf numFmtId="0" fontId="1" fillId="6" borderId="0" xfId="0" applyFont="1" applyFill="1" applyBorder="1" applyAlignment="1">
      <alignment vertical="top"/>
    </xf>
    <xf numFmtId="0" fontId="24" fillId="6" borderId="0" xfId="0" applyFont="1" applyFill="1" applyBorder="1" applyAlignment="1">
      <alignment vertical="top"/>
    </xf>
    <xf numFmtId="0" fontId="2" fillId="6" borderId="0" xfId="0" applyFont="1" applyFill="1" applyBorder="1" applyAlignment="1">
      <alignment vertical="top"/>
    </xf>
    <xf numFmtId="0" fontId="1" fillId="0" borderId="21" xfId="0" applyFont="1" applyBorder="1" applyAlignment="1">
      <alignment vertical="top"/>
    </xf>
    <xf numFmtId="0" fontId="2" fillId="7" borderId="0" xfId="0" applyFont="1" applyFill="1" applyAlignment="1">
      <alignment vertical="top"/>
    </xf>
    <xf numFmtId="0" fontId="1" fillId="0" borderId="0" xfId="0" applyFont="1" applyAlignment="1"/>
    <xf numFmtId="0" fontId="1" fillId="0" borderId="0" xfId="0" applyFont="1" applyBorder="1" applyAlignment="1"/>
    <xf numFmtId="0" fontId="1" fillId="6" borderId="18" xfId="0" quotePrefix="1" applyFont="1" applyFill="1" applyBorder="1" applyAlignment="1">
      <alignment vertical="top" wrapText="1"/>
    </xf>
    <xf numFmtId="0" fontId="2" fillId="6" borderId="20" xfId="0" applyFont="1" applyFill="1" applyBorder="1" applyAlignment="1">
      <alignment vertical="top" wrapText="1"/>
    </xf>
    <xf numFmtId="0" fontId="1" fillId="6" borderId="21" xfId="0" applyFont="1" applyFill="1" applyBorder="1" applyAlignment="1">
      <alignment vertical="top"/>
    </xf>
    <xf numFmtId="0" fontId="1" fillId="6" borderId="21" xfId="0" applyFont="1" applyFill="1" applyBorder="1" applyAlignment="1">
      <alignment vertical="top" wrapText="1"/>
    </xf>
    <xf numFmtId="0" fontId="1" fillId="6" borderId="21" xfId="0" quotePrefix="1" applyFont="1" applyFill="1" applyBorder="1" applyAlignment="1">
      <alignment vertical="top" wrapText="1"/>
    </xf>
    <xf numFmtId="0" fontId="0" fillId="6" borderId="21" xfId="0" applyFill="1" applyBorder="1"/>
    <xf numFmtId="1" fontId="1" fillId="6" borderId="18" xfId="0" applyNumberFormat="1" applyFont="1" applyFill="1" applyBorder="1" applyAlignment="1">
      <alignment vertical="top" wrapText="1"/>
    </xf>
    <xf numFmtId="1" fontId="1" fillId="0" borderId="0" xfId="0" applyNumberFormat="1" applyFont="1" applyBorder="1" applyAlignment="1">
      <alignment vertical="top" wrapText="1"/>
    </xf>
    <xf numFmtId="44" fontId="1" fillId="6" borderId="21" xfId="0" applyNumberFormat="1" applyFont="1" applyFill="1" applyBorder="1" applyAlignment="1">
      <alignment vertical="top" wrapText="1"/>
    </xf>
    <xf numFmtId="176" fontId="1" fillId="6" borderId="18" xfId="0" applyNumberFormat="1" applyFont="1" applyFill="1" applyBorder="1" applyAlignment="1">
      <alignment vertical="top" wrapText="1"/>
    </xf>
    <xf numFmtId="0" fontId="2" fillId="0" borderId="0" xfId="0" applyFont="1" applyFill="1"/>
    <xf numFmtId="176" fontId="1" fillId="7" borderId="0" xfId="0" applyNumberFormat="1" applyFont="1" applyFill="1" applyBorder="1" applyAlignment="1">
      <alignment vertical="top" wrapText="1"/>
    </xf>
    <xf numFmtId="0" fontId="1" fillId="12" borderId="16" xfId="0" applyFont="1" applyFill="1" applyBorder="1" applyAlignment="1">
      <alignment vertical="top"/>
    </xf>
    <xf numFmtId="9" fontId="1" fillId="0" borderId="9" xfId="0" applyNumberFormat="1" applyFont="1" applyBorder="1" applyAlignment="1">
      <alignment vertical="top"/>
    </xf>
    <xf numFmtId="9" fontId="1" fillId="0" borderId="9" xfId="0" applyNumberFormat="1" applyFont="1" applyBorder="1" applyAlignment="1">
      <alignment vertical="top" wrapText="1"/>
    </xf>
    <xf numFmtId="0" fontId="1" fillId="6" borderId="0" xfId="0" quotePrefix="1" applyFont="1" applyFill="1" applyBorder="1" applyAlignment="1">
      <alignment vertical="top" wrapText="1"/>
    </xf>
    <xf numFmtId="9" fontId="1" fillId="7" borderId="9" xfId="0" applyNumberFormat="1" applyFont="1" applyFill="1" applyBorder="1" applyAlignment="1">
      <alignment vertical="top"/>
    </xf>
    <xf numFmtId="9" fontId="1" fillId="7" borderId="9" xfId="0" applyNumberFormat="1" applyFont="1" applyFill="1" applyBorder="1" applyAlignment="1">
      <alignment vertical="top" wrapText="1"/>
    </xf>
    <xf numFmtId="164" fontId="1" fillId="0" borderId="9" xfId="2" applyNumberFormat="1" applyFont="1" applyBorder="1" applyAlignment="1">
      <alignment vertical="top" wrapText="1"/>
    </xf>
    <xf numFmtId="164" fontId="1" fillId="0" borderId="9" xfId="2" applyNumberFormat="1" applyFont="1" applyBorder="1" applyAlignment="1">
      <alignment vertical="top"/>
    </xf>
    <xf numFmtId="0" fontId="1" fillId="3" borderId="19" xfId="0" applyFont="1" applyFill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9" fontId="1" fillId="0" borderId="9" xfId="0" applyNumberFormat="1" applyFont="1" applyFill="1" applyBorder="1" applyAlignment="1">
      <alignment vertical="top" wrapText="1"/>
    </xf>
    <xf numFmtId="1" fontId="2" fillId="0" borderId="10" xfId="0" applyNumberFormat="1" applyFont="1" applyBorder="1" applyAlignment="1">
      <alignment vertical="top" wrapText="1"/>
    </xf>
    <xf numFmtId="176" fontId="2" fillId="6" borderId="18" xfId="0" applyNumberFormat="1" applyFont="1" applyFill="1" applyBorder="1" applyAlignment="1">
      <alignment vertical="top" wrapText="1"/>
    </xf>
    <xf numFmtId="176" fontId="1" fillId="6" borderId="0" xfId="0" applyNumberFormat="1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25" xfId="0" applyFont="1" applyFill="1" applyBorder="1" applyAlignment="1">
      <alignment vertical="top"/>
    </xf>
    <xf numFmtId="0" fontId="1" fillId="0" borderId="18" xfId="0" applyFont="1" applyFill="1" applyBorder="1" applyAlignment="1">
      <alignment vertical="top" wrapText="1"/>
    </xf>
    <xf numFmtId="0" fontId="2" fillId="0" borderId="18" xfId="0" applyFont="1" applyFill="1" applyBorder="1" applyAlignment="1">
      <alignment vertical="top" wrapText="1"/>
    </xf>
    <xf numFmtId="0" fontId="1" fillId="16" borderId="0" xfId="0" applyFont="1" applyFill="1" applyBorder="1" applyAlignment="1">
      <alignment vertical="top" wrapText="1"/>
    </xf>
    <xf numFmtId="0" fontId="1" fillId="16" borderId="21" xfId="0" applyFont="1" applyFill="1" applyBorder="1" applyAlignment="1">
      <alignment vertical="top" wrapText="1"/>
    </xf>
    <xf numFmtId="0" fontId="1" fillId="0" borderId="0" xfId="0" applyFont="1" applyFill="1"/>
    <xf numFmtId="0" fontId="1" fillId="0" borderId="0" xfId="0" applyFont="1" applyFill="1" applyAlignment="1"/>
    <xf numFmtId="0" fontId="1" fillId="0" borderId="0" xfId="0" applyFont="1" applyFill="1" applyAlignment="1">
      <alignment vertical="top" wrapText="1"/>
    </xf>
    <xf numFmtId="164" fontId="1" fillId="0" borderId="0" xfId="2" applyNumberFormat="1" applyFont="1" applyFill="1" applyAlignment="1">
      <alignment vertical="top" wrapText="1"/>
    </xf>
    <xf numFmtId="0" fontId="0" fillId="0" borderId="0" xfId="0" applyFill="1"/>
    <xf numFmtId="0" fontId="1" fillId="16" borderId="0" xfId="0" applyFont="1" applyFill="1" applyAlignment="1">
      <alignment vertical="top" wrapText="1"/>
    </xf>
    <xf numFmtId="0" fontId="2" fillId="0" borderId="19" xfId="0" applyFont="1" applyFill="1" applyBorder="1" applyAlignment="1">
      <alignment vertical="top" wrapText="1"/>
    </xf>
    <xf numFmtId="0" fontId="1" fillId="0" borderId="0" xfId="0" applyFont="1" applyFill="1" applyBorder="1" applyAlignment="1">
      <alignment vertical="top"/>
    </xf>
    <xf numFmtId="0" fontId="0" fillId="0" borderId="0" xfId="0" applyFill="1" applyBorder="1"/>
    <xf numFmtId="9" fontId="18" fillId="0" borderId="0" xfId="0" applyNumberFormat="1" applyFont="1" applyAlignment="1">
      <alignment vertical="top"/>
    </xf>
    <xf numFmtId="0" fontId="34" fillId="0" borderId="0" xfId="0" applyFont="1"/>
    <xf numFmtId="0" fontId="35" fillId="0" borderId="0" xfId="0" applyFont="1"/>
    <xf numFmtId="0" fontId="11" fillId="0" borderId="0" xfId="0" applyFont="1"/>
    <xf numFmtId="176" fontId="1" fillId="4" borderId="0" xfId="0" applyNumberFormat="1" applyFont="1" applyFill="1" applyBorder="1" applyAlignment="1">
      <alignment vertical="top" wrapText="1"/>
    </xf>
    <xf numFmtId="0" fontId="2" fillId="16" borderId="19" xfId="0" applyFont="1" applyFill="1" applyBorder="1"/>
    <xf numFmtId="0" fontId="1" fillId="17" borderId="1" xfId="0" applyFont="1" applyFill="1" applyBorder="1"/>
  </cellXfs>
  <cellStyles count="3">
    <cellStyle name="Гиперссылка" xfId="1" builtinId="8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proteus.tcsbank.ru/superset/dashboard/35207/?native_filters_key=aLN1Xx1yD5vdgsrx8uoA0pvrJEUqFxG78QxXMsGytEGq4tZDfgeCUsezc9HMrNwl" TargetMode="External"/><Relationship Id="rId1" Type="http://schemas.openxmlformats.org/officeDocument/2006/relationships/hyperlink" Target="https://proteus.tcsbank.ru/superset/dashboard/35207/?native_filters_key=6UD6_31FByJJBSkeo1OjteN2ZrhDe0UXwiQb27k-OI1_2btiTS-ROCrKRUs0NQiB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time.tbank.ru/tinkoff/pl/18hcpdo657s35g9799tcxths91" TargetMode="External"/><Relationship Id="rId2" Type="http://schemas.openxmlformats.org/officeDocument/2006/relationships/hyperlink" Target="https://jira.tcsbank.ru/browse/ECA-2046" TargetMode="External"/><Relationship Id="rId1" Type="http://schemas.openxmlformats.org/officeDocument/2006/relationships/hyperlink" Target="https://jira.tcsbank.ru/browse/ECA-20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1C1F-47DE-1144-A843-D31F1564C291}">
  <dimension ref="A1:AW71"/>
  <sheetViews>
    <sheetView tabSelected="1" workbookViewId="0">
      <pane xSplit="1" ySplit="3" topLeftCell="B22" activePane="bottomRight" state="frozen"/>
      <selection pane="topRight" activeCell="B1" sqref="B1"/>
      <selection pane="bottomLeft" activeCell="A4" sqref="A4"/>
      <selection pane="bottomRight" activeCell="C31" sqref="C31"/>
    </sheetView>
  </sheetViews>
  <sheetFormatPr baseColWidth="10" defaultRowHeight="19" x14ac:dyDescent="0.2"/>
  <cols>
    <col min="1" max="1" width="48.83203125" style="1" customWidth="1"/>
    <col min="2" max="2" width="19.33203125" style="2" customWidth="1"/>
    <col min="3" max="7" width="19.33203125" style="1" customWidth="1"/>
    <col min="8" max="13" width="14.33203125" style="1" customWidth="1"/>
    <col min="14" max="18" width="11.83203125" style="1" customWidth="1"/>
    <col min="19" max="19" width="13.83203125" style="1" customWidth="1"/>
    <col min="20" max="20" width="21.83203125" style="1" customWidth="1"/>
    <col min="21" max="25" width="17" style="1" customWidth="1"/>
    <col min="26" max="26" width="19.6640625" style="1" customWidth="1"/>
    <col min="27" max="49" width="17" style="1" customWidth="1"/>
  </cols>
  <sheetData>
    <row r="1" spans="1:49" s="125" customFormat="1" ht="20" thickBot="1" x14ac:dyDescent="0.25">
      <c r="A1" s="185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</row>
    <row r="2" spans="1:49" s="125" customFormat="1" x14ac:dyDescent="0.2">
      <c r="A2" s="185"/>
      <c r="B2" s="270" t="s">
        <v>46</v>
      </c>
      <c r="C2" s="271"/>
      <c r="D2" s="272"/>
      <c r="E2" s="272"/>
      <c r="F2" s="272"/>
      <c r="G2" s="207"/>
      <c r="H2" s="196" t="s">
        <v>270</v>
      </c>
      <c r="I2" s="119"/>
      <c r="J2" s="119"/>
      <c r="K2" s="119"/>
      <c r="L2" s="119"/>
      <c r="M2" s="119"/>
      <c r="N2" s="194" t="s">
        <v>47</v>
      </c>
      <c r="O2" s="118"/>
      <c r="P2" s="119"/>
      <c r="Q2" s="119"/>
      <c r="R2" s="119"/>
      <c r="S2" s="207"/>
      <c r="T2" s="194" t="s">
        <v>43</v>
      </c>
      <c r="U2" s="118"/>
      <c r="V2" s="119"/>
      <c r="W2" s="119"/>
      <c r="X2" s="119"/>
      <c r="Y2" s="195"/>
      <c r="Z2" s="196" t="s">
        <v>44</v>
      </c>
      <c r="AA2" s="118"/>
      <c r="AB2" s="119"/>
      <c r="AC2" s="119"/>
      <c r="AD2" s="119"/>
      <c r="AE2" s="119"/>
      <c r="AF2" s="194" t="s">
        <v>45</v>
      </c>
      <c r="AG2" s="118"/>
      <c r="AH2" s="119"/>
      <c r="AI2" s="119"/>
      <c r="AJ2" s="119"/>
      <c r="AK2" s="195"/>
    </row>
    <row r="3" spans="1:49" s="111" customFormat="1" ht="140" x14ac:dyDescent="0.2">
      <c r="A3" s="187" t="s">
        <v>42</v>
      </c>
      <c r="B3" s="255" t="s">
        <v>184</v>
      </c>
      <c r="C3" s="108" t="s">
        <v>40</v>
      </c>
      <c r="D3" s="108" t="s">
        <v>59</v>
      </c>
      <c r="E3" s="108" t="s">
        <v>38</v>
      </c>
      <c r="F3" s="108" t="s">
        <v>39</v>
      </c>
      <c r="G3" s="269" t="s">
        <v>37</v>
      </c>
      <c r="H3" s="234" t="s">
        <v>184</v>
      </c>
      <c r="I3" s="108" t="s">
        <v>40</v>
      </c>
      <c r="J3" s="108" t="s">
        <v>59</v>
      </c>
      <c r="K3" s="108" t="s">
        <v>38</v>
      </c>
      <c r="L3" s="108" t="s">
        <v>39</v>
      </c>
      <c r="M3" s="108" t="s">
        <v>37</v>
      </c>
      <c r="N3" s="107" t="s">
        <v>184</v>
      </c>
      <c r="O3" s="108" t="s">
        <v>40</v>
      </c>
      <c r="P3" s="108" t="s">
        <v>59</v>
      </c>
      <c r="Q3" s="108" t="s">
        <v>38</v>
      </c>
      <c r="R3" s="108" t="s">
        <v>39</v>
      </c>
      <c r="S3" s="110" t="s">
        <v>37</v>
      </c>
      <c r="T3" s="107" t="s">
        <v>184</v>
      </c>
      <c r="U3" s="108" t="s">
        <v>40</v>
      </c>
      <c r="V3" s="108" t="s">
        <v>57</v>
      </c>
      <c r="W3" s="108" t="s">
        <v>38</v>
      </c>
      <c r="X3" s="108" t="s">
        <v>39</v>
      </c>
      <c r="Y3" s="110" t="s">
        <v>37</v>
      </c>
      <c r="Z3" s="109" t="s">
        <v>184</v>
      </c>
      <c r="AA3" s="108" t="s">
        <v>40</v>
      </c>
      <c r="AB3" s="108" t="s">
        <v>57</v>
      </c>
      <c r="AC3" s="108" t="s">
        <v>38</v>
      </c>
      <c r="AD3" s="108" t="s">
        <v>39</v>
      </c>
      <c r="AE3" s="108" t="s">
        <v>37</v>
      </c>
      <c r="AF3" s="107" t="s">
        <v>184</v>
      </c>
      <c r="AG3" s="108" t="s">
        <v>40</v>
      </c>
      <c r="AH3" s="108" t="s">
        <v>57</v>
      </c>
      <c r="AI3" s="108" t="s">
        <v>38</v>
      </c>
      <c r="AJ3" s="108" t="s">
        <v>39</v>
      </c>
      <c r="AK3" s="110" t="s">
        <v>37</v>
      </c>
    </row>
    <row r="4" spans="1:49" s="186" customFormat="1" ht="20" x14ac:dyDescent="0.2">
      <c r="A4" s="120" t="s">
        <v>48</v>
      </c>
      <c r="B4" s="256">
        <v>1</v>
      </c>
      <c r="C4" s="182">
        <f>Переменные!B45</f>
        <v>79000</v>
      </c>
      <c r="D4" s="182">
        <f>Переменные!C45</f>
        <v>33000</v>
      </c>
      <c r="E4" s="182">
        <f>Переменные!D45</f>
        <v>1820</v>
      </c>
      <c r="F4" s="182">
        <f>Переменные!E45</f>
        <v>4940</v>
      </c>
      <c r="G4" s="264">
        <f>SUM(C4:F4)</f>
        <v>118760</v>
      </c>
      <c r="H4" s="182"/>
      <c r="I4" s="182"/>
      <c r="J4" s="182"/>
      <c r="K4" s="182"/>
      <c r="L4" s="182"/>
      <c r="M4" s="182"/>
      <c r="N4" s="31"/>
      <c r="O4" s="182"/>
      <c r="P4" s="182"/>
      <c r="Q4" s="182"/>
      <c r="R4" s="182"/>
      <c r="S4" s="27"/>
      <c r="T4" s="31"/>
      <c r="U4" s="182">
        <f>Переменные!B45</f>
        <v>79000</v>
      </c>
      <c r="V4" s="182">
        <f>Переменные!C45</f>
        <v>33000</v>
      </c>
      <c r="W4" s="182">
        <f>Переменные!D45</f>
        <v>1820</v>
      </c>
      <c r="X4" s="182">
        <f>Переменные!E45</f>
        <v>4940</v>
      </c>
      <c r="Y4" s="27">
        <f>SUM(U4:X4)</f>
        <v>118760</v>
      </c>
      <c r="Z4" s="182"/>
      <c r="AA4" s="182">
        <f>U4</f>
        <v>79000</v>
      </c>
      <c r="AB4" s="182">
        <f t="shared" ref="AB4:AE4" si="0">V4</f>
        <v>33000</v>
      </c>
      <c r="AC4" s="182">
        <f t="shared" si="0"/>
        <v>1820</v>
      </c>
      <c r="AD4" s="182">
        <f t="shared" si="0"/>
        <v>4940</v>
      </c>
      <c r="AE4" s="182">
        <f t="shared" si="0"/>
        <v>118760</v>
      </c>
      <c r="AF4" s="31"/>
      <c r="AG4" s="182">
        <f>AA4</f>
        <v>79000</v>
      </c>
      <c r="AH4" s="182">
        <f t="shared" ref="AH4:AK4" si="1">AB4</f>
        <v>33000</v>
      </c>
      <c r="AI4" s="182">
        <f t="shared" si="1"/>
        <v>1820</v>
      </c>
      <c r="AJ4" s="182">
        <f t="shared" si="1"/>
        <v>4940</v>
      </c>
      <c r="AK4" s="27">
        <f t="shared" si="1"/>
        <v>118760</v>
      </c>
    </row>
    <row r="5" spans="1:49" s="186" customFormat="1" ht="20" x14ac:dyDescent="0.2">
      <c r="A5" s="188" t="s">
        <v>142</v>
      </c>
      <c r="B5" s="259">
        <v>0.8</v>
      </c>
      <c r="C5" s="182">
        <f>C4*$B$5</f>
        <v>63200</v>
      </c>
      <c r="D5" s="182">
        <f t="shared" ref="D5:F5" si="2">D4*$B$5</f>
        <v>26400</v>
      </c>
      <c r="E5" s="182">
        <f t="shared" si="2"/>
        <v>1456</v>
      </c>
      <c r="F5" s="182">
        <f t="shared" si="2"/>
        <v>3952</v>
      </c>
      <c r="G5" s="264">
        <f>SUM(C5:F5)</f>
        <v>95008</v>
      </c>
      <c r="H5" s="182"/>
      <c r="I5" s="182"/>
      <c r="J5" s="182"/>
      <c r="K5" s="182"/>
      <c r="L5" s="182"/>
      <c r="M5" s="182"/>
      <c r="N5" s="31"/>
      <c r="O5" s="182"/>
      <c r="P5" s="182"/>
      <c r="Q5" s="182"/>
      <c r="R5" s="182"/>
      <c r="S5" s="27"/>
      <c r="T5" s="31"/>
      <c r="U5" s="182">
        <f>U4</f>
        <v>79000</v>
      </c>
      <c r="V5" s="182">
        <f t="shared" ref="V5:Y5" si="3">V4</f>
        <v>33000</v>
      </c>
      <c r="W5" s="182">
        <f t="shared" si="3"/>
        <v>1820</v>
      </c>
      <c r="X5" s="182">
        <f t="shared" si="3"/>
        <v>4940</v>
      </c>
      <c r="Y5" s="27">
        <f t="shared" si="3"/>
        <v>118760</v>
      </c>
      <c r="Z5" s="182"/>
      <c r="AA5" s="182">
        <f>AA4</f>
        <v>79000</v>
      </c>
      <c r="AB5" s="182">
        <f t="shared" ref="AB5:AE5" si="4">AB4</f>
        <v>33000</v>
      </c>
      <c r="AC5" s="182">
        <f t="shared" si="4"/>
        <v>1820</v>
      </c>
      <c r="AD5" s="182">
        <f t="shared" si="4"/>
        <v>4940</v>
      </c>
      <c r="AE5" s="182">
        <f t="shared" si="4"/>
        <v>118760</v>
      </c>
      <c r="AF5" s="31"/>
      <c r="AG5" s="182">
        <f>AG4</f>
        <v>79000</v>
      </c>
      <c r="AH5" s="182">
        <f t="shared" ref="AH5:AK5" si="5">AH4</f>
        <v>33000</v>
      </c>
      <c r="AI5" s="182">
        <f t="shared" si="5"/>
        <v>1820</v>
      </c>
      <c r="AJ5" s="182">
        <f t="shared" si="5"/>
        <v>4940</v>
      </c>
      <c r="AK5" s="27">
        <f t="shared" si="5"/>
        <v>118760</v>
      </c>
    </row>
    <row r="6" spans="1:49" s="186" customFormat="1" ht="20" x14ac:dyDescent="0.2">
      <c r="A6" s="188" t="s">
        <v>1</v>
      </c>
      <c r="B6" s="47"/>
      <c r="C6" s="182"/>
      <c r="D6" s="182"/>
      <c r="E6" s="182"/>
      <c r="F6" s="182"/>
      <c r="G6" s="264"/>
      <c r="H6" s="182"/>
      <c r="I6" s="182"/>
      <c r="J6" s="182"/>
      <c r="K6" s="182"/>
      <c r="L6" s="182"/>
      <c r="M6" s="182"/>
      <c r="N6" s="31"/>
      <c r="O6" s="182"/>
      <c r="P6" s="182"/>
      <c r="Q6" s="182"/>
      <c r="R6" s="182"/>
      <c r="S6" s="27"/>
      <c r="T6" s="31"/>
      <c r="U6" s="182"/>
      <c r="V6" s="182"/>
      <c r="W6" s="182"/>
      <c r="X6" s="182"/>
      <c r="Y6" s="27"/>
      <c r="Z6" s="182"/>
      <c r="AA6" s="182"/>
      <c r="AB6" s="182"/>
      <c r="AC6" s="182"/>
      <c r="AD6" s="182"/>
      <c r="AE6" s="182"/>
      <c r="AF6" s="31"/>
      <c r="AG6" s="182"/>
      <c r="AH6" s="182"/>
      <c r="AI6" s="182"/>
      <c r="AJ6" s="182"/>
      <c r="AK6" s="27"/>
    </row>
    <row r="7" spans="1:49" s="186" customFormat="1" ht="20" x14ac:dyDescent="0.2">
      <c r="A7" s="189" t="s">
        <v>66</v>
      </c>
      <c r="B7" s="47"/>
      <c r="C7" s="182"/>
      <c r="D7" s="182"/>
      <c r="E7" s="182"/>
      <c r="F7" s="182"/>
      <c r="G7" s="264"/>
      <c r="H7" s="182"/>
      <c r="I7" s="182"/>
      <c r="J7" s="182"/>
      <c r="K7" s="182"/>
      <c r="L7" s="182"/>
      <c r="M7" s="182"/>
      <c r="N7" s="31"/>
      <c r="O7" s="182"/>
      <c r="P7" s="182"/>
      <c r="Q7" s="182"/>
      <c r="R7" s="182"/>
      <c r="S7" s="27"/>
      <c r="T7" s="31"/>
      <c r="U7" s="182"/>
      <c r="V7" s="182"/>
      <c r="W7" s="182"/>
      <c r="X7" s="182"/>
      <c r="Y7" s="27"/>
      <c r="Z7" s="182"/>
      <c r="AA7" s="182"/>
      <c r="AB7" s="182"/>
      <c r="AC7" s="182"/>
      <c r="AD7" s="182"/>
      <c r="AE7" s="182"/>
      <c r="AF7" s="31"/>
      <c r="AG7" s="182"/>
      <c r="AH7" s="182"/>
      <c r="AI7" s="182"/>
      <c r="AJ7" s="182"/>
      <c r="AK7" s="27"/>
    </row>
    <row r="8" spans="1:49" s="186" customFormat="1" ht="20" x14ac:dyDescent="0.2">
      <c r="A8" s="189" t="s">
        <v>64</v>
      </c>
      <c r="B8" s="47"/>
      <c r="C8" s="182"/>
      <c r="D8" s="182"/>
      <c r="E8" s="182"/>
      <c r="F8" s="182"/>
      <c r="G8" s="264"/>
      <c r="H8" s="182"/>
      <c r="I8" s="182"/>
      <c r="J8" s="182"/>
      <c r="K8" s="182"/>
      <c r="L8" s="182"/>
      <c r="M8" s="182"/>
      <c r="N8" s="31"/>
      <c r="O8" s="182"/>
      <c r="P8" s="182"/>
      <c r="Q8" s="182"/>
      <c r="R8" s="182"/>
      <c r="S8" s="27"/>
      <c r="T8" s="31"/>
      <c r="U8" s="182"/>
      <c r="V8" s="182"/>
      <c r="W8" s="182"/>
      <c r="X8" s="182"/>
      <c r="Y8" s="27"/>
      <c r="Z8" s="182"/>
      <c r="AA8" s="182"/>
      <c r="AB8" s="182"/>
      <c r="AC8" s="182"/>
      <c r="AD8" s="182"/>
      <c r="AE8" s="182"/>
      <c r="AF8" s="31"/>
      <c r="AG8" s="182"/>
      <c r="AH8" s="182"/>
      <c r="AI8" s="182"/>
      <c r="AJ8" s="182"/>
      <c r="AK8" s="27"/>
    </row>
    <row r="9" spans="1:49" s="186" customFormat="1" ht="20" x14ac:dyDescent="0.2">
      <c r="A9" s="189" t="s">
        <v>41</v>
      </c>
      <c r="B9" s="47"/>
      <c r="C9" s="182"/>
      <c r="D9" s="182"/>
      <c r="E9" s="182"/>
      <c r="F9" s="182"/>
      <c r="G9" s="264"/>
      <c r="H9" s="182"/>
      <c r="I9" s="182"/>
      <c r="J9" s="182"/>
      <c r="K9" s="182"/>
      <c r="L9" s="182"/>
      <c r="M9" s="182"/>
      <c r="N9" s="31"/>
      <c r="O9" s="182"/>
      <c r="P9" s="182"/>
      <c r="Q9" s="182"/>
      <c r="R9" s="182"/>
      <c r="S9" s="27"/>
      <c r="T9" s="31"/>
      <c r="U9" s="182"/>
      <c r="V9" s="182"/>
      <c r="W9" s="182"/>
      <c r="X9" s="182"/>
      <c r="Y9" s="27"/>
      <c r="Z9" s="182"/>
      <c r="AA9" s="182"/>
      <c r="AB9" s="182"/>
      <c r="AC9" s="182"/>
      <c r="AD9" s="182"/>
      <c r="AE9" s="182"/>
      <c r="AF9" s="31"/>
      <c r="AG9" s="182"/>
      <c r="AH9" s="182"/>
      <c r="AI9" s="182"/>
      <c r="AJ9" s="182"/>
      <c r="AK9" s="27"/>
    </row>
    <row r="10" spans="1:49" s="186" customFormat="1" ht="20" x14ac:dyDescent="0.2">
      <c r="A10" s="189" t="s">
        <v>170</v>
      </c>
      <c r="B10" s="47"/>
      <c r="C10" s="182"/>
      <c r="D10" s="182"/>
      <c r="E10" s="182"/>
      <c r="F10" s="182"/>
      <c r="G10" s="264"/>
      <c r="H10" s="182"/>
      <c r="I10" s="182"/>
      <c r="J10" s="182"/>
      <c r="K10" s="182"/>
      <c r="L10" s="182"/>
      <c r="M10" s="182"/>
      <c r="N10" s="31"/>
      <c r="O10" s="182"/>
      <c r="P10" s="182"/>
      <c r="Q10" s="182"/>
      <c r="R10" s="182"/>
      <c r="S10" s="27"/>
      <c r="T10" s="31"/>
      <c r="U10" s="182"/>
      <c r="V10" s="182"/>
      <c r="W10" s="182"/>
      <c r="X10" s="182"/>
      <c r="Y10" s="27"/>
      <c r="Z10" s="182"/>
      <c r="AA10" s="182"/>
      <c r="AB10" s="182"/>
      <c r="AC10" s="182"/>
      <c r="AD10" s="182"/>
      <c r="AE10" s="182"/>
      <c r="AF10" s="31"/>
      <c r="AG10" s="182"/>
      <c r="AH10" s="182"/>
      <c r="AI10" s="182"/>
      <c r="AJ10" s="182"/>
      <c r="AK10" s="27"/>
    </row>
    <row r="11" spans="1:49" s="186" customFormat="1" ht="20" x14ac:dyDescent="0.2">
      <c r="A11" s="263" t="s">
        <v>90</v>
      </c>
      <c r="B11" s="260">
        <v>0.8</v>
      </c>
      <c r="C11" s="250">
        <f>$C$5*B11</f>
        <v>50560</v>
      </c>
      <c r="D11" s="250">
        <f>$D$5*B11</f>
        <v>21120</v>
      </c>
      <c r="E11" s="250">
        <f>$E$5*B11</f>
        <v>1164.8</v>
      </c>
      <c r="F11" s="250">
        <f>$F$5*B11</f>
        <v>3161.6000000000004</v>
      </c>
      <c r="G11" s="266">
        <f>SUM(C11:F11)</f>
        <v>76006.400000000009</v>
      </c>
      <c r="H11" s="250"/>
      <c r="I11" s="250"/>
      <c r="J11" s="250"/>
      <c r="K11" s="250"/>
      <c r="L11" s="250"/>
      <c r="M11" s="250"/>
      <c r="N11" s="31"/>
      <c r="O11" s="182"/>
      <c r="P11" s="182"/>
      <c r="Q11" s="182"/>
      <c r="R11" s="182"/>
      <c r="S11" s="27"/>
      <c r="T11" s="31"/>
      <c r="U11" s="182" t="s">
        <v>4</v>
      </c>
      <c r="V11" s="182" t="s">
        <v>4</v>
      </c>
      <c r="W11" s="182" t="s">
        <v>4</v>
      </c>
      <c r="X11" s="182" t="s">
        <v>4</v>
      </c>
      <c r="Y11" s="27" t="s">
        <v>4</v>
      </c>
      <c r="Z11" s="182"/>
      <c r="AA11" s="182"/>
      <c r="AB11" s="182"/>
      <c r="AC11" s="182"/>
      <c r="AD11" s="182"/>
      <c r="AE11" s="182"/>
      <c r="AF11" s="31"/>
      <c r="AG11" s="182"/>
      <c r="AH11" s="182"/>
      <c r="AI11" s="182"/>
      <c r="AJ11" s="182"/>
      <c r="AK11" s="27"/>
    </row>
    <row r="12" spans="1:49" s="186" customFormat="1" ht="20" x14ac:dyDescent="0.2">
      <c r="A12" s="263" t="s">
        <v>271</v>
      </c>
      <c r="B12" s="265">
        <f>B11</f>
        <v>0.8</v>
      </c>
      <c r="C12" s="250">
        <f>$C$11*B12</f>
        <v>40448</v>
      </c>
      <c r="D12" s="250">
        <f>$D$11*B12</f>
        <v>16896</v>
      </c>
      <c r="E12" s="250">
        <f>$E$11*B12</f>
        <v>931.84</v>
      </c>
      <c r="F12" s="250">
        <f>$F$11*B12</f>
        <v>2529.2800000000007</v>
      </c>
      <c r="G12" s="266">
        <f t="shared" ref="G12:G16" si="6">SUM(C12:F12)</f>
        <v>60805.119999999995</v>
      </c>
      <c r="H12" s="250"/>
      <c r="I12" s="250"/>
      <c r="J12" s="250"/>
      <c r="K12" s="250"/>
      <c r="L12" s="250"/>
      <c r="M12" s="250"/>
      <c r="N12" s="31"/>
      <c r="O12" s="182"/>
      <c r="P12" s="182"/>
      <c r="Q12" s="182"/>
      <c r="R12" s="182"/>
      <c r="S12" s="27"/>
      <c r="T12" s="31"/>
      <c r="U12" s="182" t="s">
        <v>4</v>
      </c>
      <c r="V12" s="182" t="s">
        <v>4</v>
      </c>
      <c r="W12" s="182" t="s">
        <v>4</v>
      </c>
      <c r="X12" s="182" t="s">
        <v>4</v>
      </c>
      <c r="Y12" s="27" t="s">
        <v>4</v>
      </c>
      <c r="Z12" s="182"/>
      <c r="AA12" s="182"/>
      <c r="AB12" s="182"/>
      <c r="AC12" s="182"/>
      <c r="AD12" s="182"/>
      <c r="AE12" s="182"/>
      <c r="AF12" s="31"/>
      <c r="AG12" s="182"/>
      <c r="AH12" s="182"/>
      <c r="AI12" s="182"/>
      <c r="AJ12" s="182"/>
      <c r="AK12" s="27"/>
    </row>
    <row r="13" spans="1:49" s="186" customFormat="1" ht="20" x14ac:dyDescent="0.2">
      <c r="A13" s="263" t="s">
        <v>61</v>
      </c>
      <c r="B13" s="257">
        <f>'Воронка MPStats_обработано'!J10</f>
        <v>0.4</v>
      </c>
      <c r="C13" s="250">
        <f t="shared" ref="C13:C15" si="7">$C$11*B13</f>
        <v>20224</v>
      </c>
      <c r="D13" s="250">
        <f t="shared" ref="D13:D15" si="8">$D$11*B13</f>
        <v>8448</v>
      </c>
      <c r="E13" s="250">
        <f t="shared" ref="E13:E15" si="9">$E$11*B13</f>
        <v>465.92</v>
      </c>
      <c r="F13" s="250">
        <f t="shared" ref="F13:F15" si="10">$F$11*B13</f>
        <v>1264.6400000000003</v>
      </c>
      <c r="G13" s="266">
        <f t="shared" si="6"/>
        <v>30402.559999999998</v>
      </c>
      <c r="H13" s="250"/>
      <c r="I13" s="250"/>
      <c r="J13" s="250"/>
      <c r="K13" s="250"/>
      <c r="L13" s="250"/>
      <c r="M13" s="250"/>
      <c r="N13" s="31"/>
      <c r="O13" s="182"/>
      <c r="P13" s="182"/>
      <c r="Q13" s="182"/>
      <c r="R13" s="182"/>
      <c r="S13" s="27"/>
      <c r="T13" s="31"/>
      <c r="U13" s="182" t="s">
        <v>4</v>
      </c>
      <c r="V13" s="182" t="s">
        <v>4</v>
      </c>
      <c r="W13" s="182" t="s">
        <v>4</v>
      </c>
      <c r="X13" s="182" t="s">
        <v>4</v>
      </c>
      <c r="Y13" s="27" t="s">
        <v>4</v>
      </c>
      <c r="Z13" s="182"/>
      <c r="AA13" s="182"/>
      <c r="AB13" s="182"/>
      <c r="AC13" s="182"/>
      <c r="AD13" s="182"/>
      <c r="AE13" s="182"/>
      <c r="AF13" s="31"/>
      <c r="AG13" s="182"/>
      <c r="AH13" s="182"/>
      <c r="AI13" s="182"/>
      <c r="AJ13" s="182"/>
      <c r="AK13" s="27"/>
    </row>
    <row r="14" spans="1:49" s="186" customFormat="1" ht="20" x14ac:dyDescent="0.2">
      <c r="A14" s="263" t="s">
        <v>62</v>
      </c>
      <c r="B14" s="261">
        <f>'Воронка MPStats_обработано'!J11</f>
        <v>0.29799999999999999</v>
      </c>
      <c r="C14" s="250">
        <f t="shared" si="7"/>
        <v>15066.88</v>
      </c>
      <c r="D14" s="250">
        <f t="shared" si="8"/>
        <v>6293.7599999999993</v>
      </c>
      <c r="E14" s="250">
        <f t="shared" si="9"/>
        <v>347.11039999999997</v>
      </c>
      <c r="F14" s="250">
        <f t="shared" si="10"/>
        <v>942.15680000000009</v>
      </c>
      <c r="G14" s="266">
        <f t="shared" si="6"/>
        <v>22649.907200000001</v>
      </c>
      <c r="H14" s="250"/>
      <c r="I14" s="250"/>
      <c r="J14" s="250"/>
      <c r="K14" s="250"/>
      <c r="L14" s="250"/>
      <c r="M14" s="250"/>
      <c r="N14" s="31"/>
      <c r="O14" s="182"/>
      <c r="P14" s="182"/>
      <c r="Q14" s="182"/>
      <c r="R14" s="182"/>
      <c r="S14" s="27"/>
      <c r="T14" s="31"/>
      <c r="U14" s="182" t="s">
        <v>4</v>
      </c>
      <c r="V14" s="182" t="s">
        <v>4</v>
      </c>
      <c r="W14" s="182" t="s">
        <v>4</v>
      </c>
      <c r="X14" s="182" t="s">
        <v>4</v>
      </c>
      <c r="Y14" s="27" t="s">
        <v>4</v>
      </c>
      <c r="Z14" s="182"/>
      <c r="AA14" s="182"/>
      <c r="AB14" s="182"/>
      <c r="AC14" s="182"/>
      <c r="AD14" s="182"/>
      <c r="AE14" s="182"/>
      <c r="AF14" s="31"/>
      <c r="AG14" s="182"/>
      <c r="AH14" s="182"/>
      <c r="AI14" s="182"/>
      <c r="AJ14" s="182"/>
      <c r="AK14" s="27"/>
    </row>
    <row r="15" spans="1:49" s="186" customFormat="1" ht="20" x14ac:dyDescent="0.2">
      <c r="A15" s="263" t="s">
        <v>272</v>
      </c>
      <c r="B15" s="261">
        <f>'Воронка MPStats_обработано'!J12</f>
        <v>0.45500000000000002</v>
      </c>
      <c r="C15" s="250">
        <f t="shared" si="7"/>
        <v>23004.799999999999</v>
      </c>
      <c r="D15" s="250">
        <f t="shared" si="8"/>
        <v>9609.6</v>
      </c>
      <c r="E15" s="250">
        <f t="shared" si="9"/>
        <v>529.98400000000004</v>
      </c>
      <c r="F15" s="250">
        <f t="shared" si="10"/>
        <v>1438.5280000000002</v>
      </c>
      <c r="G15" s="266">
        <f t="shared" si="6"/>
        <v>34582.911999999997</v>
      </c>
      <c r="H15" s="250"/>
      <c r="I15" s="250"/>
      <c r="J15" s="250"/>
      <c r="K15" s="250"/>
      <c r="L15" s="250"/>
      <c r="M15" s="250"/>
      <c r="N15" s="31"/>
      <c r="O15" s="182"/>
      <c r="P15" s="182"/>
      <c r="Q15" s="182"/>
      <c r="R15" s="182"/>
      <c r="S15" s="27"/>
      <c r="T15" s="31"/>
      <c r="U15" s="182" t="s">
        <v>4</v>
      </c>
      <c r="V15" s="182" t="s">
        <v>4</v>
      </c>
      <c r="W15" s="182" t="s">
        <v>4</v>
      </c>
      <c r="X15" s="182" t="s">
        <v>4</v>
      </c>
      <c r="Y15" s="27" t="s">
        <v>4</v>
      </c>
      <c r="Z15" s="182"/>
      <c r="AA15" s="182"/>
      <c r="AB15" s="182"/>
      <c r="AC15" s="182"/>
      <c r="AD15" s="182"/>
      <c r="AE15" s="182"/>
      <c r="AF15" s="31"/>
      <c r="AG15" s="182"/>
      <c r="AH15" s="182"/>
      <c r="AI15" s="182"/>
      <c r="AJ15" s="182"/>
      <c r="AK15" s="27"/>
    </row>
    <row r="16" spans="1:49" s="186" customFormat="1" ht="40" x14ac:dyDescent="0.2">
      <c r="A16" s="188" t="s">
        <v>288</v>
      </c>
      <c r="B16" s="262">
        <f>'Воронка MPStats_обработано'!J14</f>
        <v>8.5384615384615392E-2</v>
      </c>
      <c r="C16" s="250">
        <f>$C$11*B16</f>
        <v>4317.0461538461541</v>
      </c>
      <c r="D16" s="250">
        <f>$D$11*B16</f>
        <v>1803.323076923077</v>
      </c>
      <c r="E16" s="250">
        <f>$E$11*B16</f>
        <v>99.456000000000003</v>
      </c>
      <c r="F16" s="250">
        <f>$F$11*B16</f>
        <v>269.95200000000006</v>
      </c>
      <c r="G16" s="266">
        <f t="shared" si="6"/>
        <v>6489.7772307692312</v>
      </c>
      <c r="H16" s="250"/>
      <c r="I16" s="250"/>
      <c r="J16" s="250"/>
      <c r="K16" s="250"/>
      <c r="L16" s="250"/>
      <c r="M16" s="250"/>
      <c r="N16" s="31"/>
      <c r="O16" s="182"/>
      <c r="P16" s="182"/>
      <c r="Q16" s="182"/>
      <c r="R16" s="182"/>
      <c r="S16" s="27"/>
      <c r="T16" s="31" t="s">
        <v>267</v>
      </c>
      <c r="U16" s="183">
        <v>1</v>
      </c>
      <c r="V16" s="183">
        <v>2</v>
      </c>
      <c r="W16" s="183"/>
      <c r="X16" s="183"/>
      <c r="Y16" s="184"/>
      <c r="Z16" s="182"/>
      <c r="AA16" s="182"/>
      <c r="AB16" s="182"/>
      <c r="AC16" s="182"/>
      <c r="AD16" s="182"/>
      <c r="AE16" s="182"/>
      <c r="AF16" s="31"/>
      <c r="AG16" s="182"/>
      <c r="AH16" s="182"/>
      <c r="AI16" s="182"/>
      <c r="AJ16" s="182"/>
      <c r="AK16" s="27"/>
    </row>
    <row r="17" spans="1:49" s="123" customFormat="1" ht="35" customHeight="1" thickBot="1" x14ac:dyDescent="0.25">
      <c r="A17" s="190" t="s">
        <v>155</v>
      </c>
      <c r="B17" s="228"/>
      <c r="C17" s="228"/>
      <c r="D17" s="228"/>
      <c r="E17" s="228"/>
      <c r="F17" s="228"/>
      <c r="G17" s="228"/>
      <c r="H17" s="121" t="s">
        <v>267</v>
      </c>
      <c r="I17" s="121"/>
      <c r="J17" s="121"/>
      <c r="K17" s="121"/>
      <c r="L17" s="121"/>
      <c r="M17" s="121"/>
      <c r="N17" s="193"/>
      <c r="O17" s="121"/>
      <c r="P17" s="121"/>
      <c r="Q17" s="121"/>
      <c r="R17" s="121"/>
      <c r="S17" s="191"/>
      <c r="T17" s="193" t="s">
        <v>267</v>
      </c>
      <c r="U17" s="121"/>
      <c r="V17" s="121"/>
      <c r="W17" s="121"/>
      <c r="X17" s="121"/>
      <c r="Y17" s="191"/>
      <c r="Z17" s="192"/>
      <c r="AA17" s="121"/>
      <c r="AB17" s="121"/>
      <c r="AC17" s="121"/>
      <c r="AD17" s="121"/>
      <c r="AE17" s="121"/>
      <c r="AF17" s="193"/>
      <c r="AG17" s="121"/>
      <c r="AH17" s="121"/>
      <c r="AI17" s="121"/>
      <c r="AJ17" s="121"/>
      <c r="AK17" s="191"/>
    </row>
    <row r="18" spans="1:49" ht="22" customHeight="1" thickBot="1" x14ac:dyDescent="0.25">
      <c r="T18" s="113"/>
      <c r="Z18" s="113"/>
    </row>
    <row r="19" spans="1:49" s="212" customFormat="1" ht="22" customHeight="1" x14ac:dyDescent="0.2">
      <c r="A19" s="124" t="s">
        <v>275</v>
      </c>
      <c r="B19" s="235"/>
      <c r="C19" s="252">
        <f>(C16*C54*C28)+(C16*C55*C29)+(C16*C56*C30)+(C16*C33)</f>
        <v>363851383.03771436</v>
      </c>
      <c r="D19" s="252">
        <f t="shared" ref="D19:G19" si="11">(D16*D54*D28)+(D16*D55*D29)+(D16*D56*D30)+(D16*D33)</f>
        <v>153677826.50801015</v>
      </c>
      <c r="E19" s="252">
        <f t="shared" si="11"/>
        <v>8422079.8624318875</v>
      </c>
      <c r="F19" s="252">
        <f t="shared" si="11"/>
        <v>22859931.055172272</v>
      </c>
      <c r="G19" s="267">
        <f t="shared" si="11"/>
        <v>549563848.6057204</v>
      </c>
      <c r="H19" s="249"/>
      <c r="I19" s="249"/>
      <c r="J19" s="249"/>
      <c r="K19" s="249"/>
      <c r="L19" s="249"/>
      <c r="M19" s="249"/>
      <c r="N19" s="211"/>
      <c r="O19" s="211"/>
      <c r="P19" s="211"/>
      <c r="Q19" s="211"/>
      <c r="R19" s="211"/>
      <c r="S19" s="211"/>
      <c r="T19" s="243"/>
      <c r="U19" s="211"/>
      <c r="V19" s="211"/>
      <c r="W19" s="211"/>
      <c r="X19" s="211"/>
      <c r="Y19" s="211"/>
      <c r="Z19" s="243"/>
      <c r="AA19" s="211"/>
      <c r="AB19" s="211"/>
      <c r="AC19" s="211"/>
      <c r="AD19" s="211"/>
      <c r="AE19" s="211"/>
      <c r="AF19" s="211"/>
      <c r="AG19" s="211"/>
      <c r="AH19" s="211"/>
      <c r="AI19" s="211"/>
      <c r="AJ19" s="211"/>
      <c r="AK19" s="211"/>
      <c r="AL19" s="211"/>
      <c r="AM19" s="211"/>
      <c r="AN19" s="211"/>
      <c r="AO19" s="211"/>
      <c r="AP19" s="211"/>
      <c r="AQ19" s="211"/>
      <c r="AR19" s="211"/>
      <c r="AS19" s="211"/>
      <c r="AT19" s="211"/>
      <c r="AU19" s="211"/>
      <c r="AV19" s="211"/>
      <c r="AW19" s="211"/>
    </row>
    <row r="20" spans="1:49" s="220" customFormat="1" ht="22" customHeight="1" x14ac:dyDescent="0.2">
      <c r="A20" s="129" t="s">
        <v>278</v>
      </c>
      <c r="B20" s="236"/>
      <c r="C20" s="268">
        <f>C19-(C16*C33)</f>
        <v>104828613.80694512</v>
      </c>
      <c r="D20" s="268">
        <f t="shared" ref="D20:G20" si="12">D19-(D16*D33)</f>
        <v>45478441.892625526</v>
      </c>
      <c r="E20" s="268">
        <f t="shared" si="12"/>
        <v>2454719.8624318875</v>
      </c>
      <c r="F20" s="268">
        <f t="shared" si="12"/>
        <v>6662811.0551722683</v>
      </c>
      <c r="G20" s="268">
        <f t="shared" si="12"/>
        <v>160177214.75956655</v>
      </c>
      <c r="H20" s="219"/>
      <c r="I20" s="219"/>
      <c r="J20" s="219"/>
      <c r="K20" s="219"/>
      <c r="L20" s="219"/>
      <c r="M20" s="219"/>
      <c r="N20" s="218"/>
      <c r="O20" s="218"/>
      <c r="P20" s="218"/>
      <c r="Q20" s="218"/>
      <c r="R20" s="218"/>
      <c r="S20" s="218"/>
      <c r="T20" s="258"/>
      <c r="U20" s="218"/>
      <c r="V20" s="218"/>
      <c r="W20" s="218"/>
      <c r="X20" s="218"/>
      <c r="Y20" s="218"/>
      <c r="Z20" s="258"/>
      <c r="AA20" s="218"/>
      <c r="AB20" s="218"/>
      <c r="AC20" s="218"/>
      <c r="AD20" s="218"/>
      <c r="AE20" s="218"/>
      <c r="AF20" s="218"/>
      <c r="AG20" s="218"/>
      <c r="AH20" s="218"/>
      <c r="AI20" s="218"/>
      <c r="AJ20" s="218"/>
      <c r="AK20" s="218"/>
      <c r="AL20" s="218"/>
      <c r="AM20" s="218"/>
      <c r="AN20" s="218"/>
      <c r="AO20" s="218"/>
      <c r="AP20" s="218"/>
      <c r="AQ20" s="218"/>
      <c r="AR20" s="218"/>
      <c r="AS20" s="218"/>
      <c r="AT20" s="218"/>
      <c r="AU20" s="218"/>
      <c r="AV20" s="218"/>
      <c r="AW20" s="218"/>
    </row>
    <row r="21" spans="1:49" s="248" customFormat="1" ht="22" customHeight="1" thickBot="1" x14ac:dyDescent="0.25">
      <c r="A21" s="244" t="s">
        <v>268</v>
      </c>
      <c r="B21" s="245"/>
      <c r="C21" s="251">
        <f>C35*C16</f>
        <v>0</v>
      </c>
      <c r="D21" s="251">
        <f>D35*D16</f>
        <v>0</v>
      </c>
      <c r="E21" s="251">
        <f t="shared" ref="E21:G21" si="13">E35*E16</f>
        <v>0</v>
      </c>
      <c r="F21" s="251">
        <f t="shared" si="13"/>
        <v>0</v>
      </c>
      <c r="G21" s="251">
        <f t="shared" si="13"/>
        <v>0</v>
      </c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7"/>
      <c r="U21" s="246"/>
      <c r="V21" s="246"/>
      <c r="W21" s="246"/>
      <c r="X21" s="246"/>
      <c r="Y21" s="246"/>
      <c r="Z21" s="247"/>
      <c r="AA21" s="246"/>
      <c r="AB21" s="246"/>
      <c r="AC21" s="246"/>
      <c r="AD21" s="246"/>
      <c r="AE21" s="246"/>
      <c r="AF21" s="246"/>
      <c r="AG21" s="246"/>
      <c r="AH21" s="246"/>
      <c r="AI21" s="246"/>
      <c r="AJ21" s="246"/>
      <c r="AK21" s="246"/>
      <c r="AL21" s="246"/>
      <c r="AM21" s="246"/>
      <c r="AN21" s="246"/>
      <c r="AO21" s="246"/>
      <c r="AP21" s="246"/>
      <c r="AQ21" s="246"/>
      <c r="AR21" s="246"/>
      <c r="AS21" s="246"/>
      <c r="AT21" s="246"/>
      <c r="AU21" s="246"/>
      <c r="AV21" s="246"/>
      <c r="AW21" s="246"/>
    </row>
    <row r="22" spans="1:49" ht="20" thickBot="1" x14ac:dyDescent="0.25"/>
    <row r="23" spans="1:49" s="212" customFormat="1" ht="20" x14ac:dyDescent="0.2">
      <c r="A23" s="124" t="s">
        <v>279</v>
      </c>
      <c r="B23" s="235"/>
      <c r="C23" s="211">
        <f>C43</f>
        <v>12400</v>
      </c>
      <c r="D23" s="211">
        <f>C23</f>
        <v>12400</v>
      </c>
      <c r="E23" s="211">
        <f t="shared" ref="E23:G23" si="14">D23</f>
        <v>12400</v>
      </c>
      <c r="F23" s="211">
        <f t="shared" si="14"/>
        <v>12400</v>
      </c>
      <c r="G23" s="211">
        <f t="shared" si="14"/>
        <v>12400</v>
      </c>
      <c r="H23" s="211"/>
      <c r="I23" s="211"/>
      <c r="J23" s="211"/>
      <c r="K23" s="211"/>
      <c r="L23" s="211"/>
      <c r="M23" s="211"/>
      <c r="N23" s="209"/>
      <c r="O23" s="209"/>
      <c r="P23" s="209"/>
      <c r="Q23" s="209"/>
      <c r="R23" s="209"/>
      <c r="S23" s="209"/>
      <c r="T23" s="211"/>
      <c r="U23" s="211"/>
      <c r="V23" s="211"/>
      <c r="W23" s="211"/>
      <c r="X23" s="211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1"/>
      <c r="AJ23" s="211"/>
      <c r="AK23" s="211"/>
      <c r="AL23" s="211"/>
      <c r="AM23" s="211"/>
      <c r="AN23" s="211"/>
      <c r="AO23" s="211"/>
      <c r="AP23" s="211"/>
      <c r="AQ23" s="211"/>
      <c r="AR23" s="211"/>
      <c r="AS23" s="211"/>
      <c r="AT23" s="211"/>
      <c r="AU23" s="211"/>
      <c r="AV23" s="211"/>
      <c r="AW23" s="211"/>
    </row>
    <row r="24" spans="1:49" s="283" customFormat="1" ht="20" x14ac:dyDescent="0.2">
      <c r="A24" s="281" t="s">
        <v>230</v>
      </c>
      <c r="B24" s="282"/>
      <c r="C24" s="208" t="s">
        <v>229</v>
      </c>
      <c r="D24" s="208" t="s">
        <v>229</v>
      </c>
      <c r="E24" s="208" t="s">
        <v>229</v>
      </c>
      <c r="F24" s="208" t="s">
        <v>229</v>
      </c>
      <c r="G24" s="208" t="s">
        <v>229</v>
      </c>
      <c r="H24" s="227"/>
      <c r="I24" s="227"/>
      <c r="J24" s="227"/>
      <c r="K24" s="227"/>
      <c r="L24" s="227"/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  <c r="AA24" s="227"/>
      <c r="AB24" s="227"/>
      <c r="AC24" s="227"/>
      <c r="AD24" s="227"/>
      <c r="AE24" s="227"/>
      <c r="AF24" s="227"/>
      <c r="AG24" s="227"/>
      <c r="AH24" s="227"/>
      <c r="AI24" s="227"/>
      <c r="AJ24" s="227"/>
      <c r="AK24" s="227"/>
      <c r="AL24" s="227"/>
      <c r="AM24" s="227"/>
      <c r="AN24" s="227"/>
      <c r="AO24" s="227"/>
      <c r="AP24" s="227"/>
      <c r="AQ24" s="227"/>
      <c r="AR24" s="227"/>
      <c r="AS24" s="227"/>
      <c r="AT24" s="227"/>
      <c r="AU24" s="227"/>
      <c r="AV24" s="227"/>
      <c r="AW24" s="227"/>
    </row>
    <row r="25" spans="1:49" s="186" customFormat="1" x14ac:dyDescent="0.2">
      <c r="A25" s="120"/>
      <c r="B25" s="200"/>
      <c r="C25" s="182"/>
      <c r="D25" s="182"/>
      <c r="E25" s="182"/>
      <c r="F25" s="182"/>
      <c r="G25" s="182"/>
      <c r="H25" s="182"/>
      <c r="I25" s="182"/>
      <c r="J25" s="182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  <c r="AD25" s="182"/>
      <c r="AE25" s="182"/>
      <c r="AF25" s="182"/>
      <c r="AG25" s="182"/>
      <c r="AH25" s="182"/>
      <c r="AI25" s="182"/>
      <c r="AJ25" s="182"/>
      <c r="AK25" s="182"/>
      <c r="AL25" s="182"/>
      <c r="AM25" s="182"/>
      <c r="AN25" s="182"/>
      <c r="AO25" s="182"/>
      <c r="AP25" s="182"/>
      <c r="AQ25" s="182"/>
      <c r="AR25" s="182"/>
      <c r="AS25" s="182"/>
      <c r="AT25" s="182"/>
      <c r="AU25" s="182"/>
      <c r="AV25" s="182"/>
      <c r="AW25" s="182"/>
    </row>
    <row r="26" spans="1:49" s="220" customFormat="1" ht="20" x14ac:dyDescent="0.2">
      <c r="A26" s="129" t="s">
        <v>193</v>
      </c>
      <c r="B26" s="236"/>
      <c r="C26" s="219"/>
      <c r="D26" s="219"/>
      <c r="E26" s="219"/>
      <c r="F26" s="219"/>
      <c r="G26" s="219"/>
      <c r="H26" s="219"/>
      <c r="I26" s="219"/>
      <c r="J26" s="219"/>
      <c r="K26" s="219"/>
      <c r="L26" s="219"/>
      <c r="M26" s="219"/>
      <c r="N26" s="210"/>
      <c r="O26" s="210"/>
      <c r="P26" s="210"/>
      <c r="Q26" s="210"/>
      <c r="R26" s="210"/>
      <c r="S26" s="210"/>
      <c r="T26" s="218"/>
      <c r="U26" s="219"/>
      <c r="V26" s="219"/>
      <c r="W26" s="219"/>
      <c r="X26" s="219"/>
      <c r="Y26" s="219"/>
      <c r="Z26" s="218"/>
      <c r="AA26" s="218"/>
      <c r="AB26" s="218"/>
      <c r="AC26" s="218"/>
      <c r="AD26" s="218"/>
      <c r="AE26" s="218"/>
      <c r="AF26" s="218"/>
      <c r="AG26" s="218"/>
      <c r="AH26" s="218"/>
      <c r="AI26" s="218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8"/>
      <c r="AU26" s="218"/>
      <c r="AV26" s="218"/>
      <c r="AW26" s="218"/>
    </row>
    <row r="27" spans="1:49" s="186" customFormat="1" ht="20" x14ac:dyDescent="0.2">
      <c r="A27" s="120" t="s">
        <v>189</v>
      </c>
      <c r="B27" s="200"/>
      <c r="D27" s="182"/>
      <c r="E27" s="182"/>
      <c r="F27" s="182"/>
      <c r="G27" s="182"/>
      <c r="H27" s="182"/>
      <c r="I27" s="182"/>
      <c r="J27" s="182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V27" s="182"/>
      <c r="W27" s="182"/>
      <c r="X27" s="182"/>
      <c r="Y27" s="182"/>
      <c r="Z27" s="182"/>
      <c r="AA27" s="182"/>
      <c r="AB27" s="182"/>
      <c r="AC27" s="182"/>
      <c r="AD27" s="182"/>
      <c r="AE27" s="182"/>
      <c r="AF27" s="182"/>
      <c r="AG27" s="182"/>
      <c r="AH27" s="182"/>
      <c r="AI27" s="182"/>
      <c r="AJ27" s="182"/>
      <c r="AK27" s="182"/>
      <c r="AL27" s="182"/>
      <c r="AM27" s="182"/>
      <c r="AN27" s="182"/>
      <c r="AO27" s="182"/>
      <c r="AP27" s="182"/>
      <c r="AQ27" s="182"/>
      <c r="AR27" s="182"/>
      <c r="AS27" s="182"/>
      <c r="AT27" s="182"/>
      <c r="AU27" s="182"/>
      <c r="AV27" s="182"/>
      <c r="AW27" s="182"/>
    </row>
    <row r="28" spans="1:49" s="186" customFormat="1" x14ac:dyDescent="0.25">
      <c r="A28" s="122" t="s">
        <v>77</v>
      </c>
      <c r="B28" s="200"/>
      <c r="C28" s="254">
        <f>C67</f>
        <v>58146</v>
      </c>
      <c r="D28" s="254">
        <f>C28</f>
        <v>58146</v>
      </c>
      <c r="E28" s="254">
        <f t="shared" ref="E28:G28" si="15">D28</f>
        <v>58146</v>
      </c>
      <c r="F28" s="254">
        <f t="shared" si="15"/>
        <v>58146</v>
      </c>
      <c r="G28" s="254">
        <f t="shared" si="15"/>
        <v>58146</v>
      </c>
      <c r="H28" s="221"/>
      <c r="I28" s="221"/>
      <c r="J28" s="221"/>
      <c r="K28" s="221"/>
      <c r="L28" s="221"/>
      <c r="M28" s="221"/>
      <c r="N28" s="201"/>
      <c r="O28" s="201"/>
      <c r="P28" s="201"/>
      <c r="Q28" s="201"/>
      <c r="R28" s="201"/>
      <c r="S28" s="201"/>
      <c r="T28" s="182"/>
      <c r="U28" s="182"/>
      <c r="V28" s="182"/>
      <c r="W28" s="182"/>
      <c r="X28" s="182"/>
      <c r="Y28" s="182"/>
      <c r="Z28" s="182"/>
      <c r="AA28" s="182"/>
      <c r="AB28" s="182"/>
      <c r="AC28" s="182"/>
      <c r="AD28" s="182"/>
      <c r="AE28" s="182"/>
      <c r="AF28" s="182"/>
      <c r="AG28" s="182"/>
      <c r="AH28" s="182"/>
      <c r="AI28" s="182"/>
      <c r="AJ28" s="182"/>
      <c r="AK28" s="182"/>
      <c r="AL28" s="182"/>
      <c r="AM28" s="182"/>
      <c r="AN28" s="182"/>
      <c r="AO28" s="182"/>
      <c r="AP28" s="182"/>
      <c r="AQ28" s="182"/>
      <c r="AR28" s="182"/>
      <c r="AS28" s="182"/>
      <c r="AT28" s="182"/>
      <c r="AU28" s="182"/>
      <c r="AV28" s="182"/>
      <c r="AW28" s="182"/>
    </row>
    <row r="29" spans="1:49" s="186" customFormat="1" x14ac:dyDescent="0.25">
      <c r="A29" s="122" t="s">
        <v>80</v>
      </c>
      <c r="B29" s="200"/>
      <c r="C29" s="254">
        <f t="shared" ref="C29:C30" si="16">C68</f>
        <v>35293.5</v>
      </c>
      <c r="D29" s="254">
        <f t="shared" ref="D29:G30" si="17">C29</f>
        <v>35293.5</v>
      </c>
      <c r="E29" s="254">
        <f t="shared" si="17"/>
        <v>35293.5</v>
      </c>
      <c r="F29" s="254">
        <f t="shared" si="17"/>
        <v>35293.5</v>
      </c>
      <c r="G29" s="254">
        <f t="shared" si="17"/>
        <v>35293.5</v>
      </c>
      <c r="H29" s="221"/>
      <c r="I29" s="221"/>
      <c r="J29" s="221"/>
      <c r="K29" s="221"/>
      <c r="L29" s="221"/>
      <c r="M29" s="221"/>
      <c r="N29" s="201"/>
      <c r="O29" s="201"/>
      <c r="P29" s="201"/>
      <c r="Q29" s="201"/>
      <c r="R29" s="201"/>
      <c r="S29" s="201"/>
      <c r="T29" s="182"/>
      <c r="U29" s="182"/>
      <c r="V29" s="182"/>
      <c r="W29" s="182"/>
      <c r="X29" s="182"/>
      <c r="Y29" s="182"/>
      <c r="Z29" s="182"/>
      <c r="AA29" s="182"/>
      <c r="AB29" s="182"/>
      <c r="AC29" s="182"/>
      <c r="AD29" s="182"/>
      <c r="AE29" s="182"/>
      <c r="AF29" s="182"/>
      <c r="AG29" s="182"/>
      <c r="AH29" s="182"/>
      <c r="AI29" s="182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2"/>
      <c r="AU29" s="182"/>
      <c r="AV29" s="182"/>
      <c r="AW29" s="182"/>
    </row>
    <row r="30" spans="1:49" s="186" customFormat="1" x14ac:dyDescent="0.25">
      <c r="A30" s="122" t="s">
        <v>81</v>
      </c>
      <c r="B30" s="200"/>
      <c r="C30" s="254">
        <f t="shared" si="16"/>
        <v>22557</v>
      </c>
      <c r="D30" s="254">
        <f t="shared" si="17"/>
        <v>22557</v>
      </c>
      <c r="E30" s="254">
        <f t="shared" si="17"/>
        <v>22557</v>
      </c>
      <c r="F30" s="254">
        <f t="shared" si="17"/>
        <v>22557</v>
      </c>
      <c r="G30" s="254">
        <f t="shared" si="17"/>
        <v>22557</v>
      </c>
      <c r="H30" s="221"/>
      <c r="I30" s="221"/>
      <c r="J30" s="221"/>
      <c r="K30" s="221"/>
      <c r="L30" s="221"/>
      <c r="M30" s="221"/>
      <c r="N30" s="201"/>
      <c r="O30" s="201"/>
      <c r="P30" s="201"/>
      <c r="Q30" s="201"/>
      <c r="R30" s="201"/>
      <c r="S30" s="201"/>
      <c r="T30" s="182"/>
      <c r="U30" s="182"/>
      <c r="V30" s="182"/>
      <c r="W30" s="182"/>
      <c r="X30" s="182"/>
      <c r="Y30" s="182"/>
      <c r="Z30" s="182"/>
      <c r="AA30" s="182"/>
      <c r="AB30" s="182"/>
      <c r="AC30" s="182"/>
      <c r="AD30" s="182"/>
      <c r="AE30" s="182"/>
      <c r="AF30" s="182"/>
      <c r="AG30" s="182"/>
      <c r="AH30" s="182"/>
      <c r="AI30" s="182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2"/>
      <c r="AU30" s="182"/>
      <c r="AV30" s="182"/>
      <c r="AW30" s="182"/>
    </row>
    <row r="31" spans="1:49" s="186" customFormat="1" ht="20" x14ac:dyDescent="0.25">
      <c r="A31" s="289" t="s">
        <v>308</v>
      </c>
      <c r="B31" s="200"/>
      <c r="C31" s="273">
        <v>5</v>
      </c>
      <c r="D31" s="208" t="s">
        <v>229</v>
      </c>
      <c r="E31" s="208" t="s">
        <v>229</v>
      </c>
      <c r="F31" s="208" t="s">
        <v>229</v>
      </c>
      <c r="G31" s="208" t="s">
        <v>229</v>
      </c>
      <c r="H31" s="182"/>
      <c r="I31" s="182"/>
      <c r="J31" s="182"/>
      <c r="K31" s="182"/>
      <c r="L31" s="182"/>
      <c r="M31" s="182"/>
      <c r="N31" s="201"/>
      <c r="O31" s="201"/>
      <c r="P31" s="201"/>
      <c r="Q31" s="201"/>
      <c r="R31" s="201"/>
      <c r="S31" s="201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  <c r="AD31" s="182"/>
      <c r="AE31" s="182"/>
      <c r="AF31" s="182"/>
      <c r="AG31" s="182"/>
      <c r="AH31" s="182"/>
      <c r="AI31" s="182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2"/>
      <c r="AU31" s="182"/>
      <c r="AV31" s="182"/>
      <c r="AW31" s="182"/>
    </row>
    <row r="32" spans="1:49" s="186" customFormat="1" x14ac:dyDescent="0.25">
      <c r="A32" s="122"/>
      <c r="B32" s="200"/>
      <c r="C32" s="288">
        <f>C28/C31</f>
        <v>11629.2</v>
      </c>
      <c r="D32" s="182"/>
      <c r="E32" s="182"/>
      <c r="F32" s="182"/>
      <c r="G32" s="182"/>
      <c r="H32" s="182"/>
      <c r="I32" s="182"/>
      <c r="J32" s="182"/>
      <c r="K32" s="182"/>
      <c r="L32" s="182"/>
      <c r="M32" s="182"/>
      <c r="N32" s="201"/>
      <c r="O32" s="201"/>
      <c r="P32" s="201"/>
      <c r="Q32" s="201"/>
      <c r="R32" s="201"/>
      <c r="S32" s="201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182"/>
      <c r="AH32" s="182"/>
      <c r="AI32" s="182"/>
      <c r="AJ32" s="182"/>
      <c r="AK32" s="182"/>
      <c r="AL32" s="182"/>
      <c r="AM32" s="182"/>
      <c r="AN32" s="182"/>
      <c r="AO32" s="182"/>
      <c r="AP32" s="182"/>
      <c r="AQ32" s="182"/>
      <c r="AR32" s="182"/>
      <c r="AS32" s="182"/>
      <c r="AT32" s="182"/>
      <c r="AU32" s="182"/>
      <c r="AV32" s="182"/>
      <c r="AW32" s="182"/>
    </row>
    <row r="33" spans="1:49" s="220" customFormat="1" ht="20" x14ac:dyDescent="0.2">
      <c r="A33" s="129" t="s">
        <v>194</v>
      </c>
      <c r="B33" s="237"/>
      <c r="C33" s="218">
        <v>60000</v>
      </c>
      <c r="D33" s="218">
        <f>C33</f>
        <v>60000</v>
      </c>
      <c r="E33" s="218">
        <f t="shared" ref="E33:G33" si="18">D33</f>
        <v>60000</v>
      </c>
      <c r="F33" s="218">
        <f t="shared" si="18"/>
        <v>60000</v>
      </c>
      <c r="G33" s="218">
        <f t="shared" si="18"/>
        <v>60000</v>
      </c>
      <c r="H33" s="218"/>
      <c r="I33" s="218"/>
      <c r="J33" s="218"/>
      <c r="K33" s="218"/>
      <c r="L33" s="218"/>
      <c r="M33" s="218"/>
      <c r="N33" s="210"/>
      <c r="O33" s="210"/>
      <c r="P33" s="210"/>
      <c r="Q33" s="210"/>
      <c r="R33" s="210"/>
      <c r="S33" s="210"/>
      <c r="T33" s="222"/>
      <c r="U33" s="218"/>
      <c r="V33" s="218"/>
      <c r="W33" s="218"/>
      <c r="X33" s="218"/>
      <c r="Y33" s="218"/>
      <c r="Z33" s="218"/>
      <c r="AA33" s="218"/>
      <c r="AB33" s="218"/>
      <c r="AC33" s="218"/>
      <c r="AD33" s="218"/>
      <c r="AE33" s="218"/>
      <c r="AF33" s="218"/>
      <c r="AG33" s="218"/>
      <c r="AH33" s="218"/>
      <c r="AI33" s="218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8"/>
      <c r="AU33" s="218"/>
      <c r="AV33" s="218"/>
      <c r="AW33" s="218"/>
    </row>
    <row r="34" spans="1:49" s="186" customFormat="1" x14ac:dyDescent="0.2">
      <c r="A34" s="120"/>
      <c r="B34" s="200"/>
      <c r="C34" s="200" t="s">
        <v>269</v>
      </c>
      <c r="D34" s="182"/>
      <c r="E34" s="182"/>
      <c r="F34" s="182"/>
      <c r="G34" s="182"/>
      <c r="H34" s="182"/>
      <c r="I34" s="182"/>
      <c r="J34" s="182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2"/>
      <c r="AW34" s="182"/>
    </row>
    <row r="35" spans="1:49" s="220" customFormat="1" ht="20" x14ac:dyDescent="0.2">
      <c r="A35" s="129" t="s">
        <v>190</v>
      </c>
      <c r="B35" s="238"/>
      <c r="C35" s="210"/>
      <c r="D35" s="210"/>
      <c r="E35" s="210"/>
      <c r="F35" s="210"/>
      <c r="G35" s="210"/>
      <c r="H35" s="210"/>
      <c r="I35" s="210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  <c r="AD35" s="218"/>
      <c r="AE35" s="218"/>
      <c r="AF35" s="223" t="s">
        <v>229</v>
      </c>
      <c r="AG35" s="218"/>
      <c r="AH35" s="218"/>
      <c r="AI35" s="218"/>
      <c r="AJ35" s="218"/>
      <c r="AK35" s="218"/>
      <c r="AL35" s="223" t="s">
        <v>229</v>
      </c>
      <c r="AM35" s="218"/>
      <c r="AN35" s="218"/>
      <c r="AO35" s="218"/>
      <c r="AP35" s="218"/>
      <c r="AQ35" s="218"/>
      <c r="AR35" s="218" t="s">
        <v>36</v>
      </c>
      <c r="AS35" s="218"/>
      <c r="AT35" s="218"/>
      <c r="AU35" s="218"/>
      <c r="AV35" s="218"/>
      <c r="AW35" s="218"/>
    </row>
    <row r="36" spans="1:49" s="186" customFormat="1" ht="20" x14ac:dyDescent="0.2">
      <c r="A36" s="120" t="s">
        <v>290</v>
      </c>
      <c r="B36" s="200"/>
      <c r="C36" s="273" t="s">
        <v>229</v>
      </c>
      <c r="D36" s="273" t="s">
        <v>229</v>
      </c>
      <c r="E36" s="273" t="s">
        <v>229</v>
      </c>
      <c r="F36" s="273" t="s">
        <v>229</v>
      </c>
      <c r="G36" s="273" t="s">
        <v>229</v>
      </c>
      <c r="I36" s="224" t="s">
        <v>36</v>
      </c>
      <c r="J36" s="224" t="s">
        <v>36</v>
      </c>
      <c r="K36" s="224" t="s">
        <v>36</v>
      </c>
      <c r="L36" s="224" t="s">
        <v>36</v>
      </c>
      <c r="M36" s="224" t="s">
        <v>36</v>
      </c>
      <c r="N36" s="182"/>
      <c r="O36" s="224" t="s">
        <v>36</v>
      </c>
      <c r="P36" s="224" t="s">
        <v>36</v>
      </c>
      <c r="Q36" s="224" t="s">
        <v>36</v>
      </c>
      <c r="R36" s="224" t="s">
        <v>36</v>
      </c>
      <c r="S36" s="224" t="s">
        <v>36</v>
      </c>
      <c r="T36" s="182"/>
      <c r="U36" s="182"/>
      <c r="V36" s="182"/>
      <c r="W36" s="182"/>
      <c r="X36" s="182"/>
      <c r="Y36" s="182"/>
      <c r="Z36" s="227"/>
      <c r="AA36" s="182"/>
      <c r="AB36" s="182"/>
      <c r="AC36" s="182"/>
      <c r="AD36" s="182"/>
      <c r="AE36" s="182"/>
      <c r="AF36" s="225" t="s">
        <v>229</v>
      </c>
      <c r="AG36" s="182"/>
      <c r="AH36" s="182"/>
      <c r="AI36" s="182"/>
      <c r="AJ36" s="182"/>
      <c r="AK36" s="182"/>
      <c r="AL36" s="225" t="s">
        <v>229</v>
      </c>
      <c r="AM36" s="182"/>
      <c r="AN36" s="182"/>
      <c r="AO36" s="182"/>
      <c r="AP36" s="182"/>
      <c r="AQ36" s="182"/>
      <c r="AR36" s="224" t="s">
        <v>36</v>
      </c>
      <c r="AS36" s="182"/>
      <c r="AT36" s="182"/>
      <c r="AU36" s="182"/>
      <c r="AV36" s="182"/>
      <c r="AW36" s="182"/>
    </row>
    <row r="37" spans="1:49" s="123" customFormat="1" ht="21" thickBot="1" x14ac:dyDescent="0.25">
      <c r="A37" s="126" t="s">
        <v>283</v>
      </c>
      <c r="B37" s="239"/>
      <c r="C37" s="274" t="s">
        <v>229</v>
      </c>
      <c r="D37" s="274" t="s">
        <v>229</v>
      </c>
      <c r="E37" s="274" t="s">
        <v>229</v>
      </c>
      <c r="F37" s="274" t="s">
        <v>229</v>
      </c>
      <c r="G37" s="274" t="s">
        <v>229</v>
      </c>
      <c r="I37" s="226" t="s">
        <v>229</v>
      </c>
      <c r="J37" s="226" t="s">
        <v>229</v>
      </c>
      <c r="K37" s="226" t="s">
        <v>229</v>
      </c>
      <c r="L37" s="226" t="s">
        <v>229</v>
      </c>
      <c r="M37" s="226" t="s">
        <v>229</v>
      </c>
      <c r="N37" s="121"/>
      <c r="O37" s="226" t="s">
        <v>229</v>
      </c>
      <c r="P37" s="226" t="s">
        <v>229</v>
      </c>
      <c r="Q37" s="226" t="s">
        <v>229</v>
      </c>
      <c r="R37" s="226" t="s">
        <v>229</v>
      </c>
      <c r="S37" s="226" t="s">
        <v>229</v>
      </c>
      <c r="T37" s="121"/>
      <c r="U37" s="121"/>
      <c r="V37" s="121"/>
      <c r="W37" s="121"/>
      <c r="X37" s="121"/>
      <c r="Y37" s="121"/>
      <c r="Z37" s="228"/>
      <c r="AA37" s="121"/>
      <c r="AB37" s="121"/>
      <c r="AC37" s="121"/>
      <c r="AD37" s="121"/>
      <c r="AE37" s="121"/>
      <c r="AF37" s="128" t="s">
        <v>229</v>
      </c>
      <c r="AG37" s="121"/>
      <c r="AH37" s="121"/>
      <c r="AI37" s="121"/>
      <c r="AJ37" s="121"/>
      <c r="AK37" s="121"/>
      <c r="AL37" s="128" t="s">
        <v>229</v>
      </c>
      <c r="AM37" s="121"/>
      <c r="AN37" s="121"/>
      <c r="AO37" s="121"/>
      <c r="AP37" s="121"/>
      <c r="AQ37" s="121"/>
      <c r="AR37" s="127" t="s">
        <v>36</v>
      </c>
      <c r="AS37" s="121"/>
      <c r="AT37" s="121"/>
      <c r="AU37" s="121"/>
      <c r="AV37" s="121"/>
      <c r="AW37" s="121"/>
    </row>
    <row r="42" spans="1:49" s="105" customFormat="1" ht="20" x14ac:dyDescent="0.2">
      <c r="A42" s="104" t="s">
        <v>192</v>
      </c>
      <c r="B42" s="240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ht="20" x14ac:dyDescent="0.2">
      <c r="A43" s="14" t="s">
        <v>74</v>
      </c>
      <c r="B43" s="73"/>
      <c r="C43" s="1">
        <f>Переменные!D70</f>
        <v>12400</v>
      </c>
      <c r="D43" s="1">
        <f>C43</f>
        <v>12400</v>
      </c>
      <c r="E43" s="1">
        <f t="shared" ref="E43:G43" si="19">D43</f>
        <v>12400</v>
      </c>
      <c r="F43" s="1">
        <f t="shared" si="19"/>
        <v>12400</v>
      </c>
      <c r="G43" s="1">
        <f t="shared" si="19"/>
        <v>12400</v>
      </c>
      <c r="N43" s="14"/>
      <c r="O43" s="14"/>
      <c r="P43" s="14"/>
      <c r="Q43" s="14"/>
      <c r="R43" s="14"/>
      <c r="S43" s="14"/>
    </row>
    <row r="44" spans="1:49" ht="20" x14ac:dyDescent="0.2">
      <c r="A44" s="14" t="s">
        <v>191</v>
      </c>
      <c r="B44" s="7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spans="1:49" ht="20" x14ac:dyDescent="0.25">
      <c r="A45" s="16" t="s">
        <v>77</v>
      </c>
      <c r="B45" s="241"/>
      <c r="C45" s="101" t="s">
        <v>229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6"/>
      <c r="O45" s="16"/>
      <c r="P45" s="16"/>
      <c r="Q45" s="16"/>
      <c r="R45" s="16"/>
      <c r="S45" s="16"/>
    </row>
    <row r="46" spans="1:49" ht="20" x14ac:dyDescent="0.25">
      <c r="A46" s="16" t="s">
        <v>80</v>
      </c>
      <c r="B46" s="241"/>
      <c r="C46" s="101" t="s">
        <v>229</v>
      </c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6"/>
      <c r="O46" s="16"/>
      <c r="P46" s="16"/>
      <c r="Q46" s="16"/>
      <c r="R46" s="16"/>
      <c r="S46" s="16"/>
    </row>
    <row r="47" spans="1:49" ht="20" x14ac:dyDescent="0.25">
      <c r="A47" s="16" t="s">
        <v>81</v>
      </c>
      <c r="B47" s="241"/>
      <c r="C47" s="101" t="s">
        <v>229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  <c r="O47" s="16"/>
      <c r="P47" s="16"/>
      <c r="Q47" s="16"/>
      <c r="R47" s="16"/>
      <c r="S47" s="16"/>
    </row>
    <row r="48" spans="1:49" ht="20" x14ac:dyDescent="0.25">
      <c r="A48" s="16" t="s">
        <v>34</v>
      </c>
      <c r="B48" s="241"/>
      <c r="C48" s="101" t="s">
        <v>229</v>
      </c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/>
      <c r="O48" s="16"/>
      <c r="P48" s="16"/>
      <c r="Q48" s="16"/>
      <c r="R48" s="16"/>
      <c r="S48" s="16"/>
    </row>
    <row r="50" spans="1:49" ht="20" x14ac:dyDescent="0.2">
      <c r="A50" s="14" t="s">
        <v>83</v>
      </c>
      <c r="B50" s="73"/>
      <c r="C50" s="101" t="s">
        <v>229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</row>
    <row r="51" spans="1:49" ht="20" x14ac:dyDescent="0.2">
      <c r="A51" s="14" t="s">
        <v>138</v>
      </c>
      <c r="B51" s="73"/>
      <c r="C51" s="101" t="s">
        <v>229</v>
      </c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3" spans="1:49" ht="40" x14ac:dyDescent="0.2">
      <c r="A53" s="14" t="s">
        <v>241</v>
      </c>
      <c r="B53" s="73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</row>
    <row r="54" spans="1:49" x14ac:dyDescent="0.25">
      <c r="A54" s="16" t="s">
        <v>77</v>
      </c>
      <c r="B54" s="241"/>
      <c r="C54" s="103">
        <f>Переменные!B25</f>
        <v>8.694447864089622E-3</v>
      </c>
      <c r="D54" s="103">
        <f>Переменные!C25</f>
        <v>2.2027710943333612E-2</v>
      </c>
      <c r="E54" s="214">
        <f>Переменные!D25</f>
        <v>1.437329940987314E-2</v>
      </c>
      <c r="F54" s="214">
        <f>Переменные!E25</f>
        <v>1.437329940987314E-2</v>
      </c>
      <c r="G54" s="214">
        <f>Переменные!F25</f>
        <v>1.437329940987314E-2</v>
      </c>
      <c r="H54" s="214"/>
      <c r="I54" s="214"/>
      <c r="J54" s="214"/>
      <c r="K54" s="214"/>
      <c r="L54" s="214"/>
      <c r="M54" s="214"/>
      <c r="N54" s="16"/>
      <c r="O54" s="16"/>
      <c r="P54" s="16"/>
      <c r="Q54" s="16"/>
      <c r="R54" s="16"/>
      <c r="S54" s="16"/>
      <c r="T54" s="16"/>
      <c r="V54" s="106"/>
    </row>
    <row r="55" spans="1:49" x14ac:dyDescent="0.25">
      <c r="A55" s="16" t="s">
        <v>80</v>
      </c>
      <c r="B55" s="241"/>
      <c r="C55" s="103">
        <f>Переменные!B26</f>
        <v>0.11118121383725224</v>
      </c>
      <c r="D55" s="103">
        <f>Переменные!C26</f>
        <v>0.14747365801045384</v>
      </c>
      <c r="E55" s="214">
        <f>Переменные!D26</f>
        <v>0.12663875048588288</v>
      </c>
      <c r="F55" s="214">
        <f>Переменные!E26</f>
        <v>0.12663875048588288</v>
      </c>
      <c r="G55" s="214">
        <f>Переменные!F26</f>
        <v>0.12663875048588288</v>
      </c>
      <c r="H55" s="214"/>
      <c r="I55" s="214"/>
      <c r="J55" s="214"/>
      <c r="K55" s="214"/>
      <c r="L55" s="214"/>
      <c r="M55" s="214"/>
      <c r="N55" s="16"/>
      <c r="O55" s="16"/>
      <c r="P55" s="16"/>
      <c r="Q55" s="16"/>
      <c r="R55" s="16"/>
      <c r="S55" s="16"/>
      <c r="T55" s="16"/>
      <c r="V55" s="106"/>
    </row>
    <row r="56" spans="1:49" x14ac:dyDescent="0.25">
      <c r="A56" s="16" t="s">
        <v>81</v>
      </c>
      <c r="B56" s="241"/>
      <c r="C56" s="103">
        <f>Переменные!B27</f>
        <v>0.8801243382986581</v>
      </c>
      <c r="D56" s="103">
        <f>Переменные!C27</f>
        <v>0.83049863104621258</v>
      </c>
      <c r="E56" s="214">
        <f>Переменные!D27</f>
        <v>0.858987950104244</v>
      </c>
      <c r="F56" s="214">
        <f>Переменные!E27</f>
        <v>0.858987950104244</v>
      </c>
      <c r="G56" s="214">
        <f>Переменные!F27</f>
        <v>0.858987950104244</v>
      </c>
      <c r="H56" s="214"/>
      <c r="I56" s="214"/>
      <c r="J56" s="214"/>
      <c r="K56" s="214"/>
      <c r="L56" s="214"/>
      <c r="M56" s="214"/>
      <c r="N56" s="16"/>
      <c r="O56" s="16"/>
      <c r="P56" s="16"/>
      <c r="Q56" s="16"/>
      <c r="R56" s="16"/>
      <c r="S56" s="16"/>
      <c r="T56" s="16"/>
      <c r="V56" s="106"/>
    </row>
    <row r="57" spans="1:49" x14ac:dyDescent="0.25">
      <c r="A57" s="16" t="s">
        <v>34</v>
      </c>
      <c r="B57" s="241"/>
      <c r="C57" s="103">
        <f>Переменные!B28</f>
        <v>0</v>
      </c>
      <c r="D57" s="103">
        <f>Переменные!C28</f>
        <v>0</v>
      </c>
      <c r="E57" s="214">
        <f>Переменные!D28</f>
        <v>0</v>
      </c>
      <c r="F57" s="214">
        <f>Переменные!E28</f>
        <v>0</v>
      </c>
      <c r="G57" s="214">
        <f>Переменные!F28</f>
        <v>0</v>
      </c>
      <c r="H57" s="214"/>
      <c r="I57" s="214"/>
      <c r="J57" s="214"/>
      <c r="K57" s="214"/>
      <c r="L57" s="214"/>
      <c r="M57" s="214"/>
      <c r="N57" s="16"/>
      <c r="O57" s="16"/>
      <c r="P57" s="16"/>
      <c r="Q57" s="16"/>
      <c r="R57" s="16"/>
      <c r="S57" s="16"/>
      <c r="T57" s="16"/>
      <c r="V57" s="106"/>
    </row>
    <row r="58" spans="1:49" x14ac:dyDescent="0.25">
      <c r="A58" s="16"/>
      <c r="B58" s="241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6"/>
      <c r="O58" s="16"/>
      <c r="P58" s="16"/>
      <c r="Q58" s="16"/>
      <c r="R58" s="16"/>
      <c r="S58" s="16"/>
      <c r="T58" s="16"/>
      <c r="U58" s="103"/>
      <c r="V58" s="103"/>
    </row>
    <row r="59" spans="1:49" ht="60" x14ac:dyDescent="0.25">
      <c r="A59" s="14" t="s">
        <v>242</v>
      </c>
      <c r="B59" s="241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6"/>
      <c r="O59" s="16"/>
      <c r="P59" s="16"/>
      <c r="Q59" s="16"/>
      <c r="R59" s="16"/>
      <c r="S59" s="16"/>
      <c r="T59" s="16"/>
      <c r="U59" s="103"/>
      <c r="V59" s="103"/>
      <c r="W59" s="103"/>
      <c r="X59" s="103"/>
      <c r="Y59" s="103"/>
    </row>
    <row r="60" spans="1:49" s="279" customFormat="1" ht="20" x14ac:dyDescent="0.25">
      <c r="A60" s="275" t="s">
        <v>77</v>
      </c>
      <c r="B60" s="276"/>
      <c r="C60" s="280" t="s">
        <v>229</v>
      </c>
      <c r="D60" s="280" t="s">
        <v>229</v>
      </c>
      <c r="E60" s="280" t="s">
        <v>229</v>
      </c>
      <c r="F60" s="280" t="s">
        <v>229</v>
      </c>
      <c r="G60" s="280" t="s">
        <v>229</v>
      </c>
      <c r="H60" s="277"/>
      <c r="I60" s="277"/>
      <c r="J60" s="277"/>
      <c r="K60" s="277"/>
      <c r="L60" s="277"/>
      <c r="M60" s="277"/>
      <c r="N60" s="275"/>
      <c r="O60" s="275"/>
      <c r="P60" s="275"/>
      <c r="Q60" s="275"/>
      <c r="R60" s="275"/>
      <c r="S60" s="275"/>
      <c r="T60" s="275"/>
      <c r="U60" s="278"/>
      <c r="V60" s="278"/>
      <c r="W60" s="278"/>
      <c r="X60" s="278"/>
      <c r="Y60" s="278"/>
      <c r="Z60" s="277"/>
      <c r="AA60" s="277"/>
      <c r="AB60" s="277"/>
      <c r="AC60" s="277"/>
      <c r="AD60" s="277"/>
      <c r="AE60" s="277"/>
      <c r="AF60" s="277"/>
      <c r="AG60" s="277"/>
      <c r="AH60" s="277"/>
      <c r="AI60" s="277"/>
      <c r="AJ60" s="277"/>
      <c r="AK60" s="277"/>
      <c r="AL60" s="277"/>
      <c r="AM60" s="277"/>
      <c r="AN60" s="277"/>
      <c r="AO60" s="277"/>
      <c r="AP60" s="277"/>
      <c r="AQ60" s="277"/>
      <c r="AR60" s="277"/>
      <c r="AS60" s="277"/>
      <c r="AT60" s="277"/>
      <c r="AU60" s="277"/>
      <c r="AV60" s="277"/>
      <c r="AW60" s="277"/>
    </row>
    <row r="61" spans="1:49" s="279" customFormat="1" ht="20" x14ac:dyDescent="0.25">
      <c r="A61" s="275" t="s">
        <v>80</v>
      </c>
      <c r="B61" s="276"/>
      <c r="C61" s="280" t="s">
        <v>229</v>
      </c>
      <c r="D61" s="280" t="s">
        <v>229</v>
      </c>
      <c r="E61" s="280" t="s">
        <v>229</v>
      </c>
      <c r="F61" s="280" t="s">
        <v>229</v>
      </c>
      <c r="G61" s="280" t="s">
        <v>229</v>
      </c>
      <c r="H61" s="277"/>
      <c r="I61" s="277"/>
      <c r="J61" s="277"/>
      <c r="K61" s="277"/>
      <c r="L61" s="277"/>
      <c r="M61" s="277"/>
      <c r="N61" s="275"/>
      <c r="O61" s="275"/>
      <c r="P61" s="275"/>
      <c r="Q61" s="275"/>
      <c r="R61" s="275"/>
      <c r="S61" s="275"/>
      <c r="T61" s="275"/>
      <c r="U61" s="278"/>
      <c r="V61" s="278"/>
      <c r="W61" s="278"/>
      <c r="X61" s="278"/>
      <c r="Y61" s="278"/>
      <c r="Z61" s="277"/>
      <c r="AA61" s="277"/>
      <c r="AB61" s="277"/>
      <c r="AC61" s="277"/>
      <c r="AD61" s="277"/>
      <c r="AE61" s="277"/>
      <c r="AF61" s="277"/>
      <c r="AG61" s="277"/>
      <c r="AH61" s="277"/>
      <c r="AI61" s="277"/>
      <c r="AJ61" s="277"/>
      <c r="AK61" s="277"/>
      <c r="AL61" s="277"/>
      <c r="AM61" s="277"/>
      <c r="AN61" s="277"/>
      <c r="AO61" s="277"/>
      <c r="AP61" s="277"/>
      <c r="AQ61" s="277"/>
      <c r="AR61" s="277"/>
      <c r="AS61" s="277"/>
      <c r="AT61" s="277"/>
      <c r="AU61" s="277"/>
      <c r="AV61" s="277"/>
      <c r="AW61" s="277"/>
    </row>
    <row r="62" spans="1:49" s="279" customFormat="1" ht="20" x14ac:dyDescent="0.25">
      <c r="A62" s="275" t="s">
        <v>81</v>
      </c>
      <c r="B62" s="276"/>
      <c r="C62" s="280" t="s">
        <v>229</v>
      </c>
      <c r="D62" s="280" t="s">
        <v>229</v>
      </c>
      <c r="E62" s="280" t="s">
        <v>229</v>
      </c>
      <c r="F62" s="280" t="s">
        <v>229</v>
      </c>
      <c r="G62" s="280" t="s">
        <v>229</v>
      </c>
      <c r="H62" s="277"/>
      <c r="I62" s="277"/>
      <c r="J62" s="277"/>
      <c r="K62" s="277"/>
      <c r="L62" s="277"/>
      <c r="M62" s="277"/>
      <c r="N62" s="275"/>
      <c r="O62" s="275"/>
      <c r="P62" s="275"/>
      <c r="Q62" s="275"/>
      <c r="R62" s="275"/>
      <c r="S62" s="275"/>
      <c r="T62" s="275"/>
      <c r="U62" s="278"/>
      <c r="V62" s="278"/>
      <c r="W62" s="278"/>
      <c r="X62" s="278"/>
      <c r="Y62" s="278"/>
      <c r="Z62" s="277"/>
      <c r="AA62" s="277"/>
      <c r="AB62" s="277"/>
      <c r="AC62" s="277"/>
      <c r="AD62" s="277"/>
      <c r="AE62" s="277"/>
      <c r="AF62" s="277"/>
      <c r="AG62" s="277"/>
      <c r="AH62" s="277"/>
      <c r="AI62" s="277"/>
      <c r="AJ62" s="277"/>
      <c r="AK62" s="277"/>
      <c r="AL62" s="277"/>
      <c r="AM62" s="277"/>
      <c r="AN62" s="277"/>
      <c r="AO62" s="277"/>
      <c r="AP62" s="277"/>
      <c r="AQ62" s="277"/>
      <c r="AR62" s="277"/>
      <c r="AS62" s="277"/>
      <c r="AT62" s="277"/>
      <c r="AU62" s="277"/>
      <c r="AV62" s="277"/>
      <c r="AW62" s="277"/>
    </row>
    <row r="63" spans="1:49" s="279" customFormat="1" ht="20" x14ac:dyDescent="0.25">
      <c r="A63" s="275" t="s">
        <v>34</v>
      </c>
      <c r="B63" s="276"/>
      <c r="C63" s="280" t="s">
        <v>229</v>
      </c>
      <c r="D63" s="280" t="s">
        <v>229</v>
      </c>
      <c r="E63" s="280" t="s">
        <v>229</v>
      </c>
      <c r="F63" s="280" t="s">
        <v>229</v>
      </c>
      <c r="G63" s="280" t="s">
        <v>229</v>
      </c>
      <c r="H63" s="277"/>
      <c r="I63" s="277"/>
      <c r="J63" s="277"/>
      <c r="K63" s="277"/>
      <c r="L63" s="277"/>
      <c r="M63" s="277"/>
      <c r="N63" s="275"/>
      <c r="O63" s="275"/>
      <c r="P63" s="275"/>
      <c r="Q63" s="275"/>
      <c r="R63" s="275"/>
      <c r="S63" s="275"/>
      <c r="T63" s="275"/>
      <c r="U63" s="278"/>
      <c r="V63" s="278"/>
      <c r="W63" s="278"/>
      <c r="X63" s="278"/>
      <c r="Y63" s="278"/>
      <c r="Z63" s="277"/>
      <c r="AA63" s="277"/>
      <c r="AB63" s="277"/>
      <c r="AC63" s="277"/>
      <c r="AD63" s="277"/>
      <c r="AE63" s="277"/>
      <c r="AF63" s="277"/>
      <c r="AG63" s="277"/>
      <c r="AH63" s="277"/>
      <c r="AI63" s="277"/>
      <c r="AJ63" s="277"/>
      <c r="AK63" s="277"/>
      <c r="AL63" s="277"/>
      <c r="AM63" s="277"/>
      <c r="AN63" s="277"/>
      <c r="AO63" s="277"/>
      <c r="AP63" s="277"/>
      <c r="AQ63" s="277"/>
      <c r="AR63" s="277"/>
      <c r="AS63" s="277"/>
      <c r="AT63" s="277"/>
      <c r="AU63" s="277"/>
      <c r="AV63" s="277"/>
      <c r="AW63" s="277"/>
    </row>
    <row r="64" spans="1:49" x14ac:dyDescent="0.2">
      <c r="U64" s="103"/>
      <c r="V64" s="103"/>
      <c r="W64" s="103"/>
      <c r="X64" s="103"/>
      <c r="Y64" s="103"/>
    </row>
    <row r="65" spans="1:25" x14ac:dyDescent="0.25">
      <c r="A65" s="213" t="s">
        <v>198</v>
      </c>
      <c r="B65" s="215" t="s">
        <v>197</v>
      </c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103"/>
      <c r="V65" s="103"/>
      <c r="W65" s="103"/>
      <c r="X65" s="103"/>
      <c r="Y65" s="103"/>
    </row>
    <row r="66" spans="1:25" x14ac:dyDescent="0.25">
      <c r="A66" s="201" t="s">
        <v>79</v>
      </c>
      <c r="B66" s="242"/>
      <c r="C66" s="201"/>
      <c r="D66" s="201"/>
      <c r="E66" s="201"/>
      <c r="F66" s="201"/>
      <c r="G66" s="201"/>
      <c r="H66" s="201"/>
      <c r="I66" s="201"/>
      <c r="J66" s="201"/>
      <c r="K66" s="201"/>
      <c r="L66" s="201"/>
      <c r="M66" s="201"/>
      <c r="N66" s="201"/>
      <c r="O66" s="201"/>
      <c r="P66" s="201"/>
      <c r="Q66" s="201"/>
      <c r="R66" s="201"/>
      <c r="S66" s="201"/>
      <c r="T66" s="20"/>
      <c r="U66" s="103"/>
      <c r="V66" s="103"/>
      <c r="W66" s="103"/>
      <c r="X66" s="103"/>
      <c r="Y66" s="103"/>
    </row>
    <row r="67" spans="1:25" x14ac:dyDescent="0.25">
      <c r="A67" s="201" t="s">
        <v>77</v>
      </c>
      <c r="B67" s="242"/>
      <c r="C67" s="217">
        <f>Переменные!C51/2</f>
        <v>58146</v>
      </c>
      <c r="D67" s="217">
        <f>C67</f>
        <v>58146</v>
      </c>
      <c r="E67" s="217">
        <f t="shared" ref="E67:G67" si="20">D67</f>
        <v>58146</v>
      </c>
      <c r="F67" s="217">
        <f t="shared" si="20"/>
        <v>58146</v>
      </c>
      <c r="G67" s="217">
        <f t="shared" si="20"/>
        <v>58146</v>
      </c>
      <c r="H67" s="217"/>
      <c r="I67" s="217"/>
      <c r="J67" s="217"/>
      <c r="K67" s="217"/>
      <c r="L67" s="217"/>
      <c r="M67" s="217"/>
      <c r="N67" s="201"/>
      <c r="O67" s="201"/>
      <c r="P67" s="201"/>
      <c r="Q67" s="201"/>
      <c r="R67" s="201"/>
      <c r="S67" s="201"/>
      <c r="T67" s="20"/>
      <c r="U67" s="103"/>
      <c r="V67" s="103"/>
      <c r="W67" s="103"/>
      <c r="X67" s="103"/>
      <c r="Y67" s="103"/>
    </row>
    <row r="68" spans="1:25" x14ac:dyDescent="0.25">
      <c r="A68" s="201" t="s">
        <v>80</v>
      </c>
      <c r="B68" s="242"/>
      <c r="C68" s="217">
        <f>Переменные!C52/2</f>
        <v>35293.5</v>
      </c>
      <c r="D68" s="217">
        <f t="shared" ref="D68:G68" si="21">C68</f>
        <v>35293.5</v>
      </c>
      <c r="E68" s="217">
        <f t="shared" si="21"/>
        <v>35293.5</v>
      </c>
      <c r="F68" s="217">
        <f t="shared" si="21"/>
        <v>35293.5</v>
      </c>
      <c r="G68" s="217">
        <f t="shared" si="21"/>
        <v>35293.5</v>
      </c>
      <c r="H68" s="217"/>
      <c r="I68" s="217"/>
      <c r="J68" s="217"/>
      <c r="K68" s="217"/>
      <c r="L68" s="217"/>
      <c r="M68" s="217"/>
      <c r="N68" s="201"/>
      <c r="O68" s="201"/>
      <c r="P68" s="201"/>
      <c r="Q68" s="201"/>
      <c r="R68" s="201"/>
      <c r="S68" s="201"/>
      <c r="T68" s="20"/>
      <c r="U68" s="103"/>
      <c r="V68" s="103"/>
      <c r="W68" s="103"/>
      <c r="X68" s="103"/>
      <c r="Y68" s="103"/>
    </row>
    <row r="69" spans="1:25" x14ac:dyDescent="0.25">
      <c r="A69" s="201" t="s">
        <v>81</v>
      </c>
      <c r="B69" s="242"/>
      <c r="C69" s="217">
        <f>Переменные!C53/2</f>
        <v>22557</v>
      </c>
      <c r="D69" s="217">
        <f t="shared" ref="D69:G69" si="22">C69</f>
        <v>22557</v>
      </c>
      <c r="E69" s="217">
        <f t="shared" si="22"/>
        <v>22557</v>
      </c>
      <c r="F69" s="217">
        <f t="shared" si="22"/>
        <v>22557</v>
      </c>
      <c r="G69" s="217">
        <f t="shared" si="22"/>
        <v>22557</v>
      </c>
      <c r="H69" s="217"/>
      <c r="I69" s="217"/>
      <c r="J69" s="217"/>
      <c r="K69" s="217"/>
      <c r="L69" s="217"/>
      <c r="M69" s="217"/>
      <c r="N69" s="201"/>
      <c r="O69" s="201"/>
      <c r="P69" s="201"/>
      <c r="Q69" s="201"/>
      <c r="R69" s="201"/>
      <c r="S69" s="201"/>
      <c r="T69" s="20"/>
      <c r="U69" s="103"/>
      <c r="V69" s="103"/>
      <c r="W69" s="103"/>
      <c r="X69" s="103"/>
      <c r="Y69" s="103"/>
    </row>
    <row r="70" spans="1:25" x14ac:dyDescent="0.25">
      <c r="A70" s="201" t="s">
        <v>34</v>
      </c>
      <c r="B70" s="242"/>
      <c r="C70" s="217">
        <f>Переменные!C54/2</f>
        <v>14103</v>
      </c>
      <c r="D70" s="217">
        <f t="shared" ref="D70:G70" si="23">C70</f>
        <v>14103</v>
      </c>
      <c r="E70" s="217">
        <f t="shared" si="23"/>
        <v>14103</v>
      </c>
      <c r="F70" s="217">
        <f t="shared" si="23"/>
        <v>14103</v>
      </c>
      <c r="G70" s="217">
        <f t="shared" si="23"/>
        <v>14103</v>
      </c>
      <c r="H70" s="217"/>
      <c r="I70" s="217"/>
      <c r="J70" s="217"/>
      <c r="K70" s="217"/>
      <c r="L70" s="217"/>
      <c r="M70" s="217"/>
      <c r="N70" s="201"/>
      <c r="O70" s="201"/>
      <c r="P70" s="201"/>
      <c r="Q70" s="201"/>
      <c r="R70" s="201"/>
      <c r="S70" s="201"/>
      <c r="T70" s="20"/>
      <c r="U70" s="103"/>
      <c r="V70" s="103"/>
      <c r="W70" s="103"/>
      <c r="X70" s="103"/>
      <c r="Y70" s="103"/>
    </row>
    <row r="71" spans="1:25" x14ac:dyDescent="0.2">
      <c r="B71" s="215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U71" s="103"/>
      <c r="V71" s="103"/>
      <c r="W71" s="103"/>
      <c r="X71" s="103"/>
      <c r="Y71" s="10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CF46-2F93-1D4F-8971-E0665D52E954}">
  <dimension ref="A1:E20"/>
  <sheetViews>
    <sheetView workbookViewId="0">
      <selection activeCell="E1" sqref="E1"/>
    </sheetView>
  </sheetViews>
  <sheetFormatPr baseColWidth="10" defaultRowHeight="19" x14ac:dyDescent="0.25"/>
  <cols>
    <col min="1" max="1" width="46.1640625" style="16" customWidth="1"/>
    <col min="2" max="2" width="54.5" style="16" customWidth="1"/>
    <col min="3" max="3" width="30.33203125" style="16" customWidth="1"/>
    <col min="4" max="4" width="26.6640625" style="16" customWidth="1"/>
    <col min="5" max="5" width="23.83203125" style="16" customWidth="1"/>
    <col min="6" max="6" width="83.5" style="16" customWidth="1"/>
    <col min="7" max="7" width="38.33203125" style="16" customWidth="1"/>
    <col min="8" max="16384" width="10.83203125" style="16"/>
  </cols>
  <sheetData>
    <row r="1" spans="1:5" x14ac:dyDescent="0.25">
      <c r="A1" s="206" t="s">
        <v>280</v>
      </c>
      <c r="B1" s="206" t="s">
        <v>79</v>
      </c>
      <c r="C1" s="206" t="s">
        <v>301</v>
      </c>
      <c r="D1" s="213"/>
      <c r="E1" s="20" t="s">
        <v>307</v>
      </c>
    </row>
    <row r="2" spans="1:5" ht="60" x14ac:dyDescent="0.25">
      <c r="A2" s="18" t="s">
        <v>306</v>
      </c>
      <c r="B2" s="18" t="s">
        <v>77</v>
      </c>
      <c r="C2" s="3" t="s">
        <v>302</v>
      </c>
      <c r="D2" s="3" t="s">
        <v>56</v>
      </c>
    </row>
    <row r="3" spans="1:5" ht="60" x14ac:dyDescent="0.25">
      <c r="B3" s="18" t="s">
        <v>80</v>
      </c>
      <c r="C3" s="3" t="s">
        <v>303</v>
      </c>
      <c r="D3" s="3" t="s">
        <v>58</v>
      </c>
    </row>
    <row r="4" spans="1:5" ht="60" x14ac:dyDescent="0.25">
      <c r="A4" s="18"/>
      <c r="B4" s="18" t="s">
        <v>81</v>
      </c>
      <c r="C4" s="3" t="s">
        <v>304</v>
      </c>
      <c r="D4" s="3" t="s">
        <v>38</v>
      </c>
    </row>
    <row r="5" spans="1:5" ht="40" x14ac:dyDescent="0.25">
      <c r="A5" s="18"/>
      <c r="B5" s="18" t="s">
        <v>34</v>
      </c>
      <c r="C5" s="3" t="s">
        <v>305</v>
      </c>
      <c r="D5" s="3" t="s">
        <v>39</v>
      </c>
    </row>
    <row r="8" spans="1:5" x14ac:dyDescent="0.25">
      <c r="A8" s="287" t="s">
        <v>299</v>
      </c>
      <c r="B8" s="287" t="s">
        <v>289</v>
      </c>
    </row>
    <row r="9" spans="1:5" x14ac:dyDescent="0.25">
      <c r="A9" s="287"/>
      <c r="B9" s="287" t="s">
        <v>296</v>
      </c>
    </row>
    <row r="10" spans="1:5" x14ac:dyDescent="0.25">
      <c r="A10" s="287" t="s">
        <v>300</v>
      </c>
      <c r="B10" s="287" t="s">
        <v>297</v>
      </c>
    </row>
    <row r="11" spans="1:5" x14ac:dyDescent="0.25">
      <c r="B11" s="287"/>
    </row>
    <row r="12" spans="1:5" x14ac:dyDescent="0.25">
      <c r="B12" s="287" t="s">
        <v>298</v>
      </c>
    </row>
    <row r="14" spans="1:5" x14ac:dyDescent="0.25">
      <c r="A14" s="20" t="s">
        <v>281</v>
      </c>
      <c r="B14" s="285" t="s">
        <v>293</v>
      </c>
    </row>
    <row r="15" spans="1:5" x14ac:dyDescent="0.25">
      <c r="A15" s="16" t="s">
        <v>282</v>
      </c>
      <c r="B15" s="286" t="s">
        <v>284</v>
      </c>
    </row>
    <row r="16" spans="1:5" x14ac:dyDescent="0.25">
      <c r="A16" s="16" t="s">
        <v>286</v>
      </c>
      <c r="B16" s="286" t="s">
        <v>295</v>
      </c>
    </row>
    <row r="17" spans="1:2" ht="40" x14ac:dyDescent="0.25">
      <c r="A17" s="199" t="s">
        <v>287</v>
      </c>
      <c r="B17" s="286" t="s">
        <v>243</v>
      </c>
    </row>
    <row r="18" spans="1:2" x14ac:dyDescent="0.25">
      <c r="A18" s="16" t="s">
        <v>285</v>
      </c>
      <c r="B18" s="286" t="s">
        <v>294</v>
      </c>
    </row>
    <row r="20" spans="1:2" x14ac:dyDescent="0.25">
      <c r="A20" s="20" t="s">
        <v>292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28E28-DD6C-6F47-AE29-C9676FEF6CE3}">
  <dimension ref="A1:G98"/>
  <sheetViews>
    <sheetView topLeftCell="A37" workbookViewId="0">
      <selection activeCell="B54" sqref="B54"/>
    </sheetView>
  </sheetViews>
  <sheetFormatPr baseColWidth="10" defaultRowHeight="19" x14ac:dyDescent="0.25"/>
  <cols>
    <col min="1" max="1" width="25.83203125" style="16" customWidth="1"/>
    <col min="2" max="2" width="24.6640625" style="16" customWidth="1"/>
    <col min="3" max="7" width="23.5" style="16" customWidth="1"/>
    <col min="8" max="8" width="10.83203125" style="16"/>
    <col min="9" max="9" width="20" style="16" customWidth="1"/>
    <col min="10" max="10" width="20.33203125" style="16" customWidth="1"/>
    <col min="11" max="11" width="21.6640625" style="16" customWidth="1"/>
    <col min="12" max="16384" width="10.83203125" style="16"/>
  </cols>
  <sheetData>
    <row r="1" spans="1:7" s="30" customFormat="1" x14ac:dyDescent="0.25">
      <c r="B1" s="29" t="s">
        <v>48</v>
      </c>
    </row>
    <row r="2" spans="1:7" x14ac:dyDescent="0.25">
      <c r="B2" s="20" t="s">
        <v>5</v>
      </c>
    </row>
    <row r="3" spans="1:7" x14ac:dyDescent="0.25">
      <c r="B3" s="16" t="s">
        <v>88</v>
      </c>
    </row>
    <row r="4" spans="1:7" ht="60" x14ac:dyDescent="0.25">
      <c r="B4" s="3" t="s">
        <v>56</v>
      </c>
      <c r="C4" s="3" t="s">
        <v>58</v>
      </c>
      <c r="D4" s="3" t="s">
        <v>38</v>
      </c>
      <c r="E4" s="3" t="s">
        <v>39</v>
      </c>
      <c r="F4" s="3" t="s">
        <v>37</v>
      </c>
    </row>
    <row r="5" spans="1:7" x14ac:dyDescent="0.25">
      <c r="B5" s="18">
        <v>79000</v>
      </c>
      <c r="C5" s="18">
        <v>33000</v>
      </c>
      <c r="D5" s="18">
        <v>13000</v>
      </c>
      <c r="E5" s="18">
        <v>247000</v>
      </c>
      <c r="F5" s="18">
        <f>SUM(B5:E5)</f>
        <v>372000</v>
      </c>
    </row>
    <row r="7" spans="1:7" x14ac:dyDescent="0.25">
      <c r="B7" s="20" t="s">
        <v>49</v>
      </c>
    </row>
    <row r="8" spans="1:7" ht="76" customHeight="1" x14ac:dyDescent="0.25">
      <c r="B8" s="3" t="s">
        <v>56</v>
      </c>
      <c r="C8" s="3" t="s">
        <v>58</v>
      </c>
      <c r="D8" s="3" t="s">
        <v>38</v>
      </c>
      <c r="E8" s="3" t="s">
        <v>39</v>
      </c>
      <c r="F8" s="3" t="s">
        <v>37</v>
      </c>
    </row>
    <row r="9" spans="1:7" x14ac:dyDescent="0.25">
      <c r="B9" s="171">
        <f>B5</f>
        <v>79000</v>
      </c>
      <c r="C9" s="171">
        <f t="shared" ref="C9:F9" si="0">C5</f>
        <v>33000</v>
      </c>
      <c r="D9" s="23">
        <f t="shared" si="0"/>
        <v>13000</v>
      </c>
      <c r="E9" s="23">
        <f t="shared" si="0"/>
        <v>247000</v>
      </c>
      <c r="F9" s="23">
        <f t="shared" si="0"/>
        <v>372000</v>
      </c>
    </row>
    <row r="10" spans="1:7" x14ac:dyDescent="0.25">
      <c r="D10" s="102" t="s">
        <v>276</v>
      </c>
      <c r="E10" s="102"/>
    </row>
    <row r="12" spans="1:7" s="114" customFormat="1" x14ac:dyDescent="0.25">
      <c r="B12" s="115" t="s">
        <v>195</v>
      </c>
      <c r="C12" s="116"/>
    </row>
    <row r="13" spans="1:7" x14ac:dyDescent="0.25">
      <c r="B13" s="20"/>
      <c r="C13" s="20"/>
    </row>
    <row r="14" spans="1:7" x14ac:dyDescent="0.25">
      <c r="B14" s="16" t="s">
        <v>88</v>
      </c>
      <c r="C14" s="20"/>
      <c r="D14" s="16" t="s">
        <v>231</v>
      </c>
      <c r="E14" s="16" t="s">
        <v>231</v>
      </c>
    </row>
    <row r="15" spans="1:7" ht="63" customHeight="1" x14ac:dyDescent="0.25">
      <c r="A15" s="32" t="s">
        <v>79</v>
      </c>
      <c r="B15" s="3" t="s">
        <v>56</v>
      </c>
      <c r="C15" s="3" t="s">
        <v>58</v>
      </c>
      <c r="D15" s="3" t="s">
        <v>38</v>
      </c>
      <c r="E15" s="3" t="s">
        <v>39</v>
      </c>
      <c r="F15" s="3" t="s">
        <v>37</v>
      </c>
      <c r="G15" s="71" t="s">
        <v>179</v>
      </c>
    </row>
    <row r="16" spans="1:7" x14ac:dyDescent="0.25">
      <c r="A16" s="18" t="s">
        <v>77</v>
      </c>
      <c r="B16" s="4">
        <v>565</v>
      </c>
      <c r="C16" s="4">
        <v>1062</v>
      </c>
      <c r="D16" s="169"/>
      <c r="E16" s="169"/>
      <c r="F16" s="169"/>
      <c r="G16" s="18">
        <f>B16+C16</f>
        <v>1627</v>
      </c>
    </row>
    <row r="17" spans="1:7" x14ac:dyDescent="0.25">
      <c r="A17" s="18" t="s">
        <v>80</v>
      </c>
      <c r="B17" s="4">
        <v>7225</v>
      </c>
      <c r="C17" s="4">
        <v>7110</v>
      </c>
      <c r="D17" s="169"/>
      <c r="E17" s="169"/>
      <c r="F17" s="169"/>
      <c r="G17" s="18">
        <f t="shared" ref="G17:G19" si="1">B17+C17</f>
        <v>14335</v>
      </c>
    </row>
    <row r="18" spans="1:7" x14ac:dyDescent="0.25">
      <c r="A18" s="18" t="s">
        <v>81</v>
      </c>
      <c r="B18" s="4">
        <v>57194</v>
      </c>
      <c r="C18" s="4">
        <v>40040</v>
      </c>
      <c r="D18" s="169"/>
      <c r="E18" s="169"/>
      <c r="F18" s="169"/>
      <c r="G18" s="18">
        <f t="shared" si="1"/>
        <v>97234</v>
      </c>
    </row>
    <row r="19" spans="1:7" x14ac:dyDescent="0.25">
      <c r="A19" s="18" t="s">
        <v>34</v>
      </c>
      <c r="B19" s="4"/>
      <c r="C19" s="4"/>
      <c r="D19" s="169"/>
      <c r="E19" s="169"/>
      <c r="F19" s="169"/>
      <c r="G19" s="18">
        <f t="shared" si="1"/>
        <v>0</v>
      </c>
    </row>
    <row r="20" spans="1:7" x14ac:dyDescent="0.25">
      <c r="A20" s="16" t="s">
        <v>180</v>
      </c>
      <c r="B20" s="16">
        <f>SUM(B16:B19)</f>
        <v>64984</v>
      </c>
      <c r="C20" s="16">
        <f>SUM(C16:C19)</f>
        <v>48212</v>
      </c>
      <c r="G20" s="16">
        <f>SUM(G16:G19)</f>
        <v>113196</v>
      </c>
    </row>
    <row r="22" spans="1:7" x14ac:dyDescent="0.25">
      <c r="B22" s="20"/>
    </row>
    <row r="23" spans="1:7" x14ac:dyDescent="0.25">
      <c r="B23" s="16" t="s">
        <v>88</v>
      </c>
    </row>
    <row r="24" spans="1:7" ht="60" x14ac:dyDescent="0.25">
      <c r="A24" s="32" t="s">
        <v>79</v>
      </c>
      <c r="B24" s="3" t="s">
        <v>56</v>
      </c>
      <c r="C24" s="3" t="s">
        <v>58</v>
      </c>
      <c r="D24" s="3" t="s">
        <v>38</v>
      </c>
      <c r="E24" s="3" t="s">
        <v>39</v>
      </c>
      <c r="F24" s="3" t="s">
        <v>37</v>
      </c>
      <c r="G24" s="71" t="s">
        <v>179</v>
      </c>
    </row>
    <row r="25" spans="1:7" x14ac:dyDescent="0.25">
      <c r="A25" s="18" t="s">
        <v>77</v>
      </c>
      <c r="B25" s="97">
        <f>B16/$B$20</f>
        <v>8.694447864089622E-3</v>
      </c>
      <c r="C25" s="97">
        <f>C16/$C$20</f>
        <v>2.2027710943333612E-2</v>
      </c>
      <c r="D25" s="198">
        <f>G25</f>
        <v>1.437329940987314E-2</v>
      </c>
      <c r="E25" s="198">
        <f>G25</f>
        <v>1.437329940987314E-2</v>
      </c>
      <c r="F25" s="198">
        <f>G25</f>
        <v>1.437329940987314E-2</v>
      </c>
      <c r="G25" s="97">
        <f>G16/$G$20</f>
        <v>1.437329940987314E-2</v>
      </c>
    </row>
    <row r="26" spans="1:7" x14ac:dyDescent="0.25">
      <c r="A26" s="18" t="s">
        <v>80</v>
      </c>
      <c r="B26" s="97">
        <f>B17/$B$20</f>
        <v>0.11118121383725224</v>
      </c>
      <c r="C26" s="97">
        <f>C17/$C$20</f>
        <v>0.14747365801045384</v>
      </c>
      <c r="D26" s="198">
        <f t="shared" ref="D26:D27" si="2">G26</f>
        <v>0.12663875048588288</v>
      </c>
      <c r="E26" s="198">
        <f t="shared" ref="E26:E27" si="3">G26</f>
        <v>0.12663875048588288</v>
      </c>
      <c r="F26" s="198">
        <f t="shared" ref="F26:F27" si="4">G26</f>
        <v>0.12663875048588288</v>
      </c>
      <c r="G26" s="97">
        <f>G17/$G$20</f>
        <v>0.12663875048588288</v>
      </c>
    </row>
    <row r="27" spans="1:7" x14ac:dyDescent="0.25">
      <c r="A27" s="18" t="s">
        <v>81</v>
      </c>
      <c r="B27" s="97">
        <f>B18/$B$20</f>
        <v>0.8801243382986581</v>
      </c>
      <c r="C27" s="97">
        <f>C18/$C$20</f>
        <v>0.83049863104621258</v>
      </c>
      <c r="D27" s="198">
        <f t="shared" si="2"/>
        <v>0.858987950104244</v>
      </c>
      <c r="E27" s="198">
        <f t="shared" si="3"/>
        <v>0.858987950104244</v>
      </c>
      <c r="F27" s="198">
        <f t="shared" si="4"/>
        <v>0.858987950104244</v>
      </c>
      <c r="G27" s="97">
        <f>G18/$G$20</f>
        <v>0.858987950104244</v>
      </c>
    </row>
    <row r="28" spans="1:7" x14ac:dyDescent="0.25">
      <c r="A28" s="18" t="s">
        <v>34</v>
      </c>
      <c r="B28" s="97"/>
      <c r="C28" s="97"/>
      <c r="D28" s="97"/>
      <c r="E28" s="97"/>
      <c r="F28" s="97"/>
      <c r="G28" s="97">
        <f>G19/$G$20</f>
        <v>0</v>
      </c>
    </row>
    <row r="29" spans="1:7" x14ac:dyDescent="0.25">
      <c r="B29" s="170"/>
      <c r="C29" s="170"/>
      <c r="D29" s="170"/>
      <c r="E29" s="170"/>
      <c r="F29" s="170"/>
      <c r="G29" s="170"/>
    </row>
    <row r="30" spans="1:7" x14ac:dyDescent="0.25">
      <c r="B30" s="16" t="s">
        <v>240</v>
      </c>
      <c r="C30" s="20"/>
      <c r="D30" s="16" t="s">
        <v>231</v>
      </c>
      <c r="E30" s="16" t="s">
        <v>231</v>
      </c>
      <c r="F30" s="201"/>
      <c r="G30" s="201"/>
    </row>
    <row r="31" spans="1:7" ht="60" x14ac:dyDescent="0.25">
      <c r="A31" s="32" t="s">
        <v>79</v>
      </c>
      <c r="B31" s="3" t="s">
        <v>56</v>
      </c>
      <c r="C31" s="3" t="s">
        <v>58</v>
      </c>
      <c r="D31" s="3" t="s">
        <v>38</v>
      </c>
      <c r="E31" s="3" t="s">
        <v>39</v>
      </c>
      <c r="F31" s="3" t="s">
        <v>37</v>
      </c>
      <c r="G31" s="71" t="s">
        <v>179</v>
      </c>
    </row>
    <row r="32" spans="1:7" x14ac:dyDescent="0.25">
      <c r="A32" s="18" t="s">
        <v>77</v>
      </c>
      <c r="B32" s="197">
        <f>$B$9*B25</f>
        <v>686.86138126308015</v>
      </c>
      <c r="C32" s="197">
        <f>$C$9*C25</f>
        <v>726.91446113000916</v>
      </c>
      <c r="D32" s="197">
        <f>$D$9*D25</f>
        <v>186.8528923283508</v>
      </c>
      <c r="E32" s="197">
        <f>$E$9*E25</f>
        <v>3550.2049542386653</v>
      </c>
      <c r="F32" s="197">
        <f>SUM(B32:E32)</f>
        <v>5150.8336889601051</v>
      </c>
      <c r="G32" s="205">
        <f>B32+C32</f>
        <v>1413.7758423930893</v>
      </c>
    </row>
    <row r="33" spans="1:7" x14ac:dyDescent="0.25">
      <c r="A33" s="18" t="s">
        <v>80</v>
      </c>
      <c r="B33" s="197">
        <f t="shared" ref="B33:B34" si="5">$B$9*B26</f>
        <v>8783.3158931429261</v>
      </c>
      <c r="C33" s="197">
        <f t="shared" ref="C33:C34" si="6">$C$9*C26</f>
        <v>4866.6307143449767</v>
      </c>
      <c r="D33" s="197">
        <f t="shared" ref="D33:D35" si="7">$D$9*D26</f>
        <v>1646.3037563164776</v>
      </c>
      <c r="E33" s="197">
        <f t="shared" ref="E33:E35" si="8">$E$9*E26</f>
        <v>31279.771370013073</v>
      </c>
      <c r="F33" s="197">
        <f t="shared" ref="F33:F35" si="9">SUM(B33:E33)</f>
        <v>46576.021733817455</v>
      </c>
      <c r="G33" s="205">
        <f t="shared" ref="G33:G35" si="10">B33+C33</f>
        <v>13649.946607487902</v>
      </c>
    </row>
    <row r="34" spans="1:7" x14ac:dyDescent="0.25">
      <c r="A34" s="18" t="s">
        <v>81</v>
      </c>
      <c r="B34" s="197">
        <f t="shared" si="5"/>
        <v>69529.822725593986</v>
      </c>
      <c r="C34" s="197">
        <f t="shared" si="6"/>
        <v>27406.454824525015</v>
      </c>
      <c r="D34" s="197">
        <f t="shared" si="7"/>
        <v>11166.843351355172</v>
      </c>
      <c r="E34" s="197">
        <f t="shared" si="8"/>
        <v>212170.02367574826</v>
      </c>
      <c r="F34" s="197">
        <f t="shared" si="9"/>
        <v>320273.14457722241</v>
      </c>
      <c r="G34" s="205">
        <f t="shared" si="10"/>
        <v>96936.277550119004</v>
      </c>
    </row>
    <row r="35" spans="1:7" x14ac:dyDescent="0.25">
      <c r="A35" s="18" t="s">
        <v>34</v>
      </c>
      <c r="B35" s="18"/>
      <c r="C35" s="18"/>
      <c r="D35" s="197">
        <f t="shared" si="7"/>
        <v>0</v>
      </c>
      <c r="E35" s="197">
        <f t="shared" si="8"/>
        <v>0</v>
      </c>
      <c r="F35" s="197">
        <f t="shared" si="9"/>
        <v>0</v>
      </c>
      <c r="G35" s="205">
        <f t="shared" si="10"/>
        <v>0</v>
      </c>
    </row>
    <row r="36" spans="1:7" x14ac:dyDescent="0.25">
      <c r="A36" s="16" t="s">
        <v>180</v>
      </c>
      <c r="B36" s="16">
        <f>SUM(B32:B35)</f>
        <v>79000</v>
      </c>
      <c r="C36" s="16">
        <f>SUM(C32:C35)</f>
        <v>33000</v>
      </c>
      <c r="D36" s="16">
        <f t="shared" ref="D36:F36" si="11">SUM(D32:D35)</f>
        <v>13000</v>
      </c>
      <c r="E36" s="16">
        <f t="shared" si="11"/>
        <v>247000</v>
      </c>
      <c r="F36" s="201">
        <f t="shared" si="11"/>
        <v>372000</v>
      </c>
      <c r="G36" s="201">
        <f>SUM(G32:G35)</f>
        <v>112000</v>
      </c>
    </row>
    <row r="37" spans="1:7" x14ac:dyDescent="0.25">
      <c r="F37" s="201"/>
      <c r="G37" s="201"/>
    </row>
    <row r="38" spans="1:7" x14ac:dyDescent="0.25">
      <c r="F38" s="201"/>
      <c r="G38" s="201"/>
    </row>
    <row r="39" spans="1:7" x14ac:dyDescent="0.25">
      <c r="B39" s="16" t="s">
        <v>88</v>
      </c>
      <c r="C39" s="20"/>
      <c r="D39" s="16" t="s">
        <v>231</v>
      </c>
      <c r="E39" s="16" t="s">
        <v>231</v>
      </c>
      <c r="F39" s="201"/>
      <c r="G39" s="201"/>
    </row>
    <row r="40" spans="1:7" ht="60" x14ac:dyDescent="0.25">
      <c r="A40" s="32" t="s">
        <v>79</v>
      </c>
      <c r="B40" s="3" t="s">
        <v>56</v>
      </c>
      <c r="C40" s="3" t="s">
        <v>58</v>
      </c>
      <c r="D40" s="3" t="s">
        <v>38</v>
      </c>
      <c r="E40" s="3" t="s">
        <v>39</v>
      </c>
      <c r="F40" s="3" t="s">
        <v>37</v>
      </c>
      <c r="G40" s="71" t="s">
        <v>179</v>
      </c>
    </row>
    <row r="41" spans="1:7" x14ac:dyDescent="0.25">
      <c r="A41" s="18" t="s">
        <v>77</v>
      </c>
      <c r="B41" s="197">
        <f>B32</f>
        <v>686.86138126308015</v>
      </c>
      <c r="C41" s="197">
        <f>C32</f>
        <v>726.91446113000916</v>
      </c>
      <c r="D41" s="197">
        <f>D32*$D$46</f>
        <v>26.159404925969117</v>
      </c>
      <c r="E41" s="197">
        <f>E32*$E$46</f>
        <v>71.004099084773301</v>
      </c>
      <c r="F41" s="197">
        <f>SUM(B41:E41)</f>
        <v>1510.9393464038317</v>
      </c>
      <c r="G41" s="205">
        <f>B41+C41</f>
        <v>1413.7758423930893</v>
      </c>
    </row>
    <row r="42" spans="1:7" x14ac:dyDescent="0.25">
      <c r="A42" s="18" t="s">
        <v>80</v>
      </c>
      <c r="B42" s="197">
        <f t="shared" ref="B42:F43" si="12">B33</f>
        <v>8783.3158931429261</v>
      </c>
      <c r="C42" s="197">
        <f t="shared" si="12"/>
        <v>4866.6307143449767</v>
      </c>
      <c r="D42" s="197">
        <f t="shared" ref="D42:D44" si="13">D33*$D$46</f>
        <v>230.48252588430688</v>
      </c>
      <c r="E42" s="197">
        <f t="shared" ref="E42:E44" si="14">E33*$E$46</f>
        <v>625.59542740026143</v>
      </c>
      <c r="F42" s="197">
        <f t="shared" ref="F42:F44" si="15">SUM(B42:E42)</f>
        <v>14506.02456077247</v>
      </c>
      <c r="G42" s="205">
        <f t="shared" ref="G42:G44" si="16">B42+C42</f>
        <v>13649.946607487902</v>
      </c>
    </row>
    <row r="43" spans="1:7" x14ac:dyDescent="0.25">
      <c r="A43" s="18" t="s">
        <v>81</v>
      </c>
      <c r="B43" s="197">
        <f t="shared" si="12"/>
        <v>69529.822725593986</v>
      </c>
      <c r="C43" s="197">
        <f t="shared" si="12"/>
        <v>27406.454824525015</v>
      </c>
      <c r="D43" s="197">
        <f t="shared" si="13"/>
        <v>1563.3580691897241</v>
      </c>
      <c r="E43" s="197">
        <f t="shared" si="14"/>
        <v>4243.4004735149656</v>
      </c>
      <c r="F43" s="197">
        <f t="shared" si="15"/>
        <v>102743.03609282369</v>
      </c>
      <c r="G43" s="205">
        <f t="shared" si="16"/>
        <v>96936.277550119004</v>
      </c>
    </row>
    <row r="44" spans="1:7" x14ac:dyDescent="0.25">
      <c r="A44" s="18" t="s">
        <v>34</v>
      </c>
      <c r="B44" s="18"/>
      <c r="C44" s="18"/>
      <c r="D44" s="197">
        <f t="shared" si="13"/>
        <v>0</v>
      </c>
      <c r="E44" s="197">
        <f t="shared" si="14"/>
        <v>0</v>
      </c>
      <c r="F44" s="197">
        <f t="shared" si="15"/>
        <v>0</v>
      </c>
      <c r="G44" s="205">
        <f t="shared" si="16"/>
        <v>0</v>
      </c>
    </row>
    <row r="45" spans="1:7" x14ac:dyDescent="0.25">
      <c r="A45" s="202" t="s">
        <v>239</v>
      </c>
      <c r="B45" s="203">
        <f>SUM(B41:B44)</f>
        <v>79000</v>
      </c>
      <c r="C45" s="203">
        <f>SUM(C41:C44)</f>
        <v>33000</v>
      </c>
      <c r="D45" s="203">
        <f t="shared" ref="D45:F45" si="17">SUM(D41:D44)</f>
        <v>1820</v>
      </c>
      <c r="E45" s="204">
        <f t="shared" si="17"/>
        <v>4940</v>
      </c>
      <c r="F45" s="206">
        <f t="shared" si="17"/>
        <v>118760</v>
      </c>
      <c r="G45" s="206">
        <f>SUM(G41:G44)</f>
        <v>112000</v>
      </c>
    </row>
    <row r="46" spans="1:7" s="2" customFormat="1" ht="80" x14ac:dyDescent="0.2">
      <c r="A46" s="117" t="s">
        <v>291</v>
      </c>
      <c r="B46" s="2" t="s">
        <v>4</v>
      </c>
      <c r="C46" s="2" t="s">
        <v>4</v>
      </c>
      <c r="D46" s="284">
        <v>0.14000000000000001</v>
      </c>
      <c r="E46" s="284">
        <v>0.02</v>
      </c>
    </row>
    <row r="47" spans="1:7" x14ac:dyDescent="0.25">
      <c r="B47" s="96"/>
      <c r="C47" s="96"/>
      <c r="G47" s="96"/>
    </row>
    <row r="48" spans="1:7" s="29" customFormat="1" x14ac:dyDescent="0.25">
      <c r="B48" s="29" t="s">
        <v>196</v>
      </c>
    </row>
    <row r="49" spans="2:4" s="253" customFormat="1" x14ac:dyDescent="0.25">
      <c r="B49" s="20" t="s">
        <v>274</v>
      </c>
      <c r="D49" s="20" t="s">
        <v>273</v>
      </c>
    </row>
    <row r="50" spans="2:4" s="20" customFormat="1" x14ac:dyDescent="0.25">
      <c r="B50" s="18" t="s">
        <v>79</v>
      </c>
      <c r="C50" s="18" t="s">
        <v>78</v>
      </c>
      <c r="D50" s="18" t="s">
        <v>78</v>
      </c>
    </row>
    <row r="51" spans="2:4" x14ac:dyDescent="0.25">
      <c r="B51" s="18" t="s">
        <v>77</v>
      </c>
      <c r="C51" s="290">
        <v>116292</v>
      </c>
      <c r="D51" s="18">
        <f>C51/2</f>
        <v>58146</v>
      </c>
    </row>
    <row r="52" spans="2:4" x14ac:dyDescent="0.25">
      <c r="B52" s="18" t="s">
        <v>80</v>
      </c>
      <c r="C52" s="290">
        <v>70587</v>
      </c>
      <c r="D52" s="18">
        <f t="shared" ref="D52:D54" si="18">C52/2</f>
        <v>35293.5</v>
      </c>
    </row>
    <row r="53" spans="2:4" x14ac:dyDescent="0.25">
      <c r="B53" s="18" t="s">
        <v>81</v>
      </c>
      <c r="C53" s="290">
        <v>45114</v>
      </c>
      <c r="D53" s="18">
        <f t="shared" si="18"/>
        <v>22557</v>
      </c>
    </row>
    <row r="54" spans="2:4" x14ac:dyDescent="0.25">
      <c r="B54" s="18" t="s">
        <v>34</v>
      </c>
      <c r="C54" s="290">
        <v>28206</v>
      </c>
      <c r="D54" s="18">
        <f t="shared" si="18"/>
        <v>14103</v>
      </c>
    </row>
    <row r="56" spans="2:4" x14ac:dyDescent="0.25">
      <c r="B56" s="102" t="s">
        <v>187</v>
      </c>
    </row>
    <row r="58" spans="2:4" s="30" customFormat="1" x14ac:dyDescent="0.25">
      <c r="B58" s="29" t="s">
        <v>73</v>
      </c>
    </row>
    <row r="59" spans="2:4" x14ac:dyDescent="0.25">
      <c r="B59" s="20" t="s">
        <v>84</v>
      </c>
    </row>
    <row r="60" spans="2:4" x14ac:dyDescent="0.25">
      <c r="B60" s="18" t="s">
        <v>50</v>
      </c>
      <c r="C60" s="18" t="s">
        <v>51</v>
      </c>
      <c r="D60" s="18" t="s">
        <v>52</v>
      </c>
    </row>
    <row r="61" spans="2:4" x14ac:dyDescent="0.25">
      <c r="B61" s="18">
        <v>6495</v>
      </c>
      <c r="C61" s="18">
        <v>14995</v>
      </c>
      <c r="D61" s="18">
        <v>34995</v>
      </c>
    </row>
    <row r="63" spans="2:4" x14ac:dyDescent="0.25">
      <c r="B63" s="20" t="s">
        <v>85</v>
      </c>
    </row>
    <row r="64" spans="2:4" x14ac:dyDescent="0.25">
      <c r="B64" s="18" t="s">
        <v>50</v>
      </c>
      <c r="C64" s="18" t="s">
        <v>51</v>
      </c>
      <c r="D64" s="18" t="s">
        <v>52</v>
      </c>
    </row>
    <row r="65" spans="2:4" x14ac:dyDescent="0.25">
      <c r="B65" s="33">
        <f>B61</f>
        <v>6495</v>
      </c>
      <c r="C65" s="33">
        <f t="shared" ref="C65:D65" si="19">C61</f>
        <v>14995</v>
      </c>
      <c r="D65" s="33">
        <f t="shared" si="19"/>
        <v>34995</v>
      </c>
    </row>
    <row r="67" spans="2:4" s="30" customFormat="1" x14ac:dyDescent="0.25">
      <c r="B67" s="29" t="s">
        <v>74</v>
      </c>
      <c r="C67" s="29"/>
    </row>
    <row r="68" spans="2:4" x14ac:dyDescent="0.25">
      <c r="B68" s="20" t="s">
        <v>137</v>
      </c>
      <c r="C68" s="20"/>
      <c r="D68" s="20" t="s">
        <v>171</v>
      </c>
    </row>
    <row r="69" spans="2:4" x14ac:dyDescent="0.25">
      <c r="B69" s="18">
        <v>31000</v>
      </c>
      <c r="C69" s="18" t="s">
        <v>75</v>
      </c>
      <c r="D69" s="18">
        <f>B69/2</f>
        <v>15500</v>
      </c>
    </row>
    <row r="70" spans="2:4" x14ac:dyDescent="0.25">
      <c r="B70" s="18">
        <f>0.8*B69</f>
        <v>24800</v>
      </c>
      <c r="C70" s="18" t="s">
        <v>86</v>
      </c>
      <c r="D70" s="18">
        <f>B70/2</f>
        <v>12400</v>
      </c>
    </row>
    <row r="71" spans="2:4" x14ac:dyDescent="0.25">
      <c r="B71" s="16" t="s">
        <v>76</v>
      </c>
    </row>
    <row r="73" spans="2:4" x14ac:dyDescent="0.25">
      <c r="B73" s="102" t="s">
        <v>188</v>
      </c>
    </row>
    <row r="75" spans="2:4" s="30" customFormat="1" x14ac:dyDescent="0.25">
      <c r="B75" s="29" t="s">
        <v>136</v>
      </c>
      <c r="C75" s="29"/>
    </row>
    <row r="76" spans="2:4" x14ac:dyDescent="0.25">
      <c r="B76" s="20" t="s">
        <v>137</v>
      </c>
      <c r="C76" s="20"/>
    </row>
    <row r="77" spans="2:4" x14ac:dyDescent="0.25">
      <c r="B77" s="95"/>
    </row>
    <row r="79" spans="2:4" s="30" customFormat="1" x14ac:dyDescent="0.25">
      <c r="B79" s="29" t="s">
        <v>83</v>
      </c>
      <c r="C79" s="29"/>
    </row>
    <row r="80" spans="2:4" x14ac:dyDescent="0.25">
      <c r="B80" s="20" t="s">
        <v>137</v>
      </c>
    </row>
    <row r="81" spans="1:5" x14ac:dyDescent="0.25">
      <c r="B81" s="35"/>
    </row>
    <row r="83" spans="1:5" s="30" customFormat="1" x14ac:dyDescent="0.25">
      <c r="B83" s="29" t="s">
        <v>138</v>
      </c>
      <c r="C83" s="29"/>
    </row>
    <row r="84" spans="1:5" x14ac:dyDescent="0.25">
      <c r="B84" s="20" t="s">
        <v>137</v>
      </c>
      <c r="C84" s="20"/>
    </row>
    <row r="85" spans="1:5" x14ac:dyDescent="0.25">
      <c r="B85" s="35"/>
    </row>
    <row r="88" spans="1:5" s="30" customFormat="1" x14ac:dyDescent="0.25">
      <c r="B88" s="29" t="s">
        <v>173</v>
      </c>
    </row>
    <row r="89" spans="1:5" x14ac:dyDescent="0.25">
      <c r="B89" s="20" t="s">
        <v>176</v>
      </c>
      <c r="D89" s="16" t="s">
        <v>178</v>
      </c>
    </row>
    <row r="90" spans="1:5" x14ac:dyDescent="0.25">
      <c r="B90" s="16" t="s">
        <v>175</v>
      </c>
      <c r="C90" s="16" t="s">
        <v>177</v>
      </c>
      <c r="D90" s="16" t="s">
        <v>175</v>
      </c>
      <c r="E90" s="16" t="s">
        <v>177</v>
      </c>
    </row>
    <row r="91" spans="1:5" x14ac:dyDescent="0.25">
      <c r="A91" s="16" t="s">
        <v>174</v>
      </c>
      <c r="B91" s="35"/>
      <c r="C91" s="35"/>
      <c r="D91" s="4"/>
      <c r="E91" s="4"/>
    </row>
    <row r="93" spans="1:5" s="34" customFormat="1" x14ac:dyDescent="0.25">
      <c r="B93" s="34" t="s">
        <v>87</v>
      </c>
    </row>
    <row r="94" spans="1:5" x14ac:dyDescent="0.25">
      <c r="B94" s="35"/>
    </row>
    <row r="96" spans="1:5" s="30" customFormat="1" x14ac:dyDescent="0.25">
      <c r="B96" s="29" t="s">
        <v>53</v>
      </c>
      <c r="C96" s="29"/>
    </row>
    <row r="97" spans="2:3" x14ac:dyDescent="0.25">
      <c r="B97" s="18" t="s">
        <v>54</v>
      </c>
      <c r="C97" s="18" t="s">
        <v>55</v>
      </c>
    </row>
    <row r="98" spans="2:3" x14ac:dyDescent="0.25">
      <c r="B98" s="18">
        <v>60000</v>
      </c>
      <c r="C98" s="18">
        <v>40000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BDC60-0D8E-DD4A-ACA0-3B5B341E859E}">
  <dimension ref="A1:O33"/>
  <sheetViews>
    <sheetView zoomScale="90" zoomScaleNormal="90" workbookViewId="0">
      <pane xSplit="2" ySplit="2" topLeftCell="C3" activePane="bottomRight" state="frozen"/>
      <selection pane="topRight" activeCell="B1" sqref="B1"/>
      <selection pane="bottomLeft" activeCell="A4" sqref="A4"/>
      <selection pane="bottomRight" activeCell="E10" sqref="E10"/>
    </sheetView>
  </sheetViews>
  <sheetFormatPr baseColWidth="10" defaultRowHeight="19" x14ac:dyDescent="0.2"/>
  <cols>
    <col min="1" max="1" width="23.5" style="2" customWidth="1"/>
    <col min="2" max="2" width="45.33203125" style="1" customWidth="1"/>
    <col min="3" max="3" width="47" style="1" customWidth="1"/>
    <col min="4" max="4" width="13.83203125" style="36" customWidth="1"/>
    <col min="5" max="8" width="13.83203125" style="1" customWidth="1"/>
    <col min="9" max="9" width="13.83203125" style="43" customWidth="1"/>
    <col min="10" max="10" width="13.83203125" style="157" customWidth="1"/>
    <col min="11" max="14" width="13.83203125" style="1" customWidth="1"/>
    <col min="15" max="15" width="13.83203125" style="43" customWidth="1"/>
    <col min="16" max="16384" width="10.83203125" style="2"/>
  </cols>
  <sheetData>
    <row r="1" spans="1:15" x14ac:dyDescent="0.25">
      <c r="D1" s="172" t="s">
        <v>227</v>
      </c>
      <c r="E1" s="173"/>
      <c r="F1" s="173"/>
      <c r="G1" s="173"/>
      <c r="H1" s="173"/>
      <c r="I1" s="174"/>
      <c r="J1" s="172" t="s">
        <v>277</v>
      </c>
      <c r="K1" s="173"/>
      <c r="L1" s="173"/>
      <c r="M1" s="173"/>
      <c r="N1" s="173"/>
      <c r="O1" s="174"/>
    </row>
    <row r="2" spans="1:15" s="25" customFormat="1" ht="120" x14ac:dyDescent="0.2">
      <c r="A2" s="17"/>
      <c r="B2" s="21" t="s">
        <v>42</v>
      </c>
      <c r="C2" s="21" t="s">
        <v>69</v>
      </c>
      <c r="D2" s="143" t="s">
        <v>91</v>
      </c>
      <c r="E2" s="150" t="s">
        <v>92</v>
      </c>
      <c r="F2" s="151" t="s">
        <v>93</v>
      </c>
      <c r="G2" s="151" t="s">
        <v>70</v>
      </c>
      <c r="H2" s="151" t="s">
        <v>71</v>
      </c>
      <c r="I2" s="144" t="s">
        <v>100</v>
      </c>
      <c r="J2" s="163" t="s">
        <v>91</v>
      </c>
      <c r="K2" s="150" t="s">
        <v>92</v>
      </c>
      <c r="L2" s="151" t="s">
        <v>93</v>
      </c>
      <c r="M2" s="151" t="s">
        <v>70</v>
      </c>
      <c r="N2" s="151" t="s">
        <v>71</v>
      </c>
      <c r="O2" s="144" t="s">
        <v>100</v>
      </c>
    </row>
    <row r="3" spans="1:15" ht="40" x14ac:dyDescent="0.2">
      <c r="A3" s="46" t="s">
        <v>102</v>
      </c>
      <c r="B3" s="26" t="s">
        <v>65</v>
      </c>
      <c r="D3" s="159">
        <v>1</v>
      </c>
      <c r="E3" s="166">
        <v>1</v>
      </c>
      <c r="F3" s="166">
        <v>1</v>
      </c>
      <c r="G3" s="153" t="s">
        <v>4</v>
      </c>
      <c r="H3" s="153" t="s">
        <v>4</v>
      </c>
      <c r="I3" s="42" t="s">
        <v>34</v>
      </c>
      <c r="J3" s="152">
        <v>1</v>
      </c>
      <c r="K3" s="152">
        <v>1</v>
      </c>
      <c r="L3" s="152">
        <v>1</v>
      </c>
      <c r="M3" s="153" t="s">
        <v>4</v>
      </c>
      <c r="N3" s="153" t="s">
        <v>4</v>
      </c>
      <c r="O3" s="42" t="s">
        <v>34</v>
      </c>
    </row>
    <row r="4" spans="1:15" ht="20" x14ac:dyDescent="0.2">
      <c r="A4" s="51" t="s">
        <v>104</v>
      </c>
      <c r="B4" s="52" t="s">
        <v>66</v>
      </c>
      <c r="C4" s="2"/>
      <c r="D4" s="70">
        <v>1</v>
      </c>
      <c r="E4" s="152">
        <v>1</v>
      </c>
      <c r="F4" s="152">
        <v>1</v>
      </c>
      <c r="G4" s="153" t="s">
        <v>4</v>
      </c>
      <c r="H4" s="153" t="s">
        <v>4</v>
      </c>
      <c r="I4" s="42" t="s">
        <v>34</v>
      </c>
      <c r="J4" s="152">
        <v>1</v>
      </c>
      <c r="K4" s="152">
        <v>1</v>
      </c>
      <c r="L4" s="152">
        <v>1</v>
      </c>
      <c r="M4" s="153" t="s">
        <v>4</v>
      </c>
      <c r="N4" s="153" t="s">
        <v>4</v>
      </c>
      <c r="O4" s="42" t="s">
        <v>34</v>
      </c>
    </row>
    <row r="5" spans="1:15" ht="41" customHeight="1" x14ac:dyDescent="0.2">
      <c r="A5" s="51"/>
      <c r="B5" s="52" t="s">
        <v>64</v>
      </c>
      <c r="C5" s="1" t="s">
        <v>94</v>
      </c>
      <c r="D5" s="70">
        <v>1</v>
      </c>
      <c r="E5" s="152">
        <v>1</v>
      </c>
      <c r="F5" s="152">
        <v>1</v>
      </c>
      <c r="G5" s="153" t="s">
        <v>4</v>
      </c>
      <c r="H5" s="153" t="s">
        <v>4</v>
      </c>
      <c r="I5" s="42" t="s">
        <v>34</v>
      </c>
      <c r="J5" s="152">
        <v>1</v>
      </c>
      <c r="K5" s="152">
        <v>1</v>
      </c>
      <c r="L5" s="152">
        <v>1</v>
      </c>
      <c r="M5" s="153" t="s">
        <v>4</v>
      </c>
      <c r="N5" s="153" t="s">
        <v>4</v>
      </c>
      <c r="O5" s="42" t="s">
        <v>34</v>
      </c>
    </row>
    <row r="6" spans="1:15" ht="20" x14ac:dyDescent="0.2">
      <c r="A6" s="51"/>
      <c r="B6" s="52" t="s">
        <v>41</v>
      </c>
      <c r="D6" s="39" t="s">
        <v>34</v>
      </c>
      <c r="E6" s="154" t="s">
        <v>34</v>
      </c>
      <c r="F6" s="154" t="s">
        <v>34</v>
      </c>
      <c r="G6" s="153" t="s">
        <v>4</v>
      </c>
      <c r="H6" s="153" t="s">
        <v>4</v>
      </c>
      <c r="I6" s="42" t="s">
        <v>34</v>
      </c>
      <c r="J6" s="154" t="s">
        <v>34</v>
      </c>
      <c r="K6" s="154" t="s">
        <v>34</v>
      </c>
      <c r="L6" s="154" t="s">
        <v>34</v>
      </c>
      <c r="M6" s="153" t="s">
        <v>4</v>
      </c>
      <c r="N6" s="153" t="s">
        <v>4</v>
      </c>
      <c r="O6" s="42" t="s">
        <v>34</v>
      </c>
    </row>
    <row r="7" spans="1:15" ht="20" x14ac:dyDescent="0.2">
      <c r="A7" s="51"/>
      <c r="B7" s="52" t="s">
        <v>1</v>
      </c>
      <c r="D7" s="39" t="s">
        <v>34</v>
      </c>
      <c r="E7" s="154" t="s">
        <v>34</v>
      </c>
      <c r="F7" s="154" t="s">
        <v>34</v>
      </c>
      <c r="G7" s="153" t="s">
        <v>4</v>
      </c>
      <c r="H7" s="153" t="s">
        <v>4</v>
      </c>
      <c r="I7" s="42" t="s">
        <v>34</v>
      </c>
      <c r="J7" s="154" t="s">
        <v>34</v>
      </c>
      <c r="K7" s="154" t="s">
        <v>34</v>
      </c>
      <c r="L7" s="154" t="s">
        <v>34</v>
      </c>
      <c r="M7" s="153" t="s">
        <v>4</v>
      </c>
      <c r="N7" s="153" t="s">
        <v>4</v>
      </c>
      <c r="O7" s="42" t="s">
        <v>34</v>
      </c>
    </row>
    <row r="8" spans="1:15" ht="38" customHeight="1" x14ac:dyDescent="0.2">
      <c r="A8" s="46" t="s">
        <v>102</v>
      </c>
      <c r="B8" s="26" t="s">
        <v>90</v>
      </c>
      <c r="C8" s="1" t="s">
        <v>63</v>
      </c>
      <c r="D8" s="145">
        <v>0.13</v>
      </c>
      <c r="E8" s="155">
        <f>D10</f>
        <v>5.2000000000000005E-2</v>
      </c>
      <c r="F8" s="41">
        <f>D8-D10</f>
        <v>7.8E-2</v>
      </c>
      <c r="G8" s="153" t="s">
        <v>4</v>
      </c>
      <c r="H8" s="153" t="s">
        <v>4</v>
      </c>
      <c r="I8" s="42" t="s">
        <v>4</v>
      </c>
      <c r="J8" s="164">
        <v>0.13</v>
      </c>
      <c r="K8" s="160">
        <f>E8</f>
        <v>5.2000000000000005E-2</v>
      </c>
      <c r="L8" s="161">
        <f>F8</f>
        <v>7.8E-2</v>
      </c>
      <c r="M8" s="153" t="s">
        <v>4</v>
      </c>
      <c r="N8" s="153" t="s">
        <v>4</v>
      </c>
      <c r="O8" s="42" t="s">
        <v>4</v>
      </c>
    </row>
    <row r="9" spans="1:15" ht="20" x14ac:dyDescent="0.2">
      <c r="A9" s="46"/>
      <c r="B9" s="26" t="s">
        <v>60</v>
      </c>
      <c r="D9" s="145">
        <f>D8</f>
        <v>0.13</v>
      </c>
      <c r="E9" s="153">
        <f>E8</f>
        <v>5.2000000000000005E-2</v>
      </c>
      <c r="F9" s="153">
        <f>F8</f>
        <v>7.8E-2</v>
      </c>
      <c r="G9" s="153" t="s">
        <v>4</v>
      </c>
      <c r="H9" s="153" t="s">
        <v>4</v>
      </c>
      <c r="I9" s="42" t="s">
        <v>4</v>
      </c>
      <c r="J9" s="165">
        <f>J8</f>
        <v>0.13</v>
      </c>
      <c r="K9" s="153">
        <f t="shared" ref="K9:L9" si="0">K8</f>
        <v>5.2000000000000005E-2</v>
      </c>
      <c r="L9" s="153">
        <f t="shared" si="0"/>
        <v>7.8E-2</v>
      </c>
      <c r="M9" s="153" t="s">
        <v>4</v>
      </c>
      <c r="N9" s="153" t="s">
        <v>4</v>
      </c>
      <c r="O9" s="42" t="s">
        <v>4</v>
      </c>
    </row>
    <row r="10" spans="1:15" ht="40" x14ac:dyDescent="0.2">
      <c r="A10" s="48" t="s">
        <v>98</v>
      </c>
      <c r="B10" s="28" t="s">
        <v>61</v>
      </c>
      <c r="C10" s="1" t="s">
        <v>72</v>
      </c>
      <c r="D10" s="37">
        <f>40%*D9</f>
        <v>5.2000000000000005E-2</v>
      </c>
      <c r="E10" s="155">
        <f>E9</f>
        <v>5.2000000000000005E-2</v>
      </c>
      <c r="F10" s="156">
        <v>0</v>
      </c>
      <c r="G10" s="153" t="s">
        <v>4</v>
      </c>
      <c r="H10" s="153" t="s">
        <v>4</v>
      </c>
      <c r="I10" s="42" t="s">
        <v>4</v>
      </c>
      <c r="J10" s="165">
        <v>0.4</v>
      </c>
      <c r="K10" s="156">
        <f>J10</f>
        <v>0.4</v>
      </c>
      <c r="L10" s="156">
        <v>0</v>
      </c>
      <c r="M10" s="153" t="s">
        <v>4</v>
      </c>
      <c r="N10" s="153" t="s">
        <v>4</v>
      </c>
      <c r="O10" s="42" t="s">
        <v>4</v>
      </c>
    </row>
    <row r="11" spans="1:15" ht="20" x14ac:dyDescent="0.2">
      <c r="A11" s="48"/>
      <c r="B11" s="28" t="s">
        <v>62</v>
      </c>
      <c r="C11" s="1" t="s">
        <v>95</v>
      </c>
      <c r="D11" s="146">
        <f>E11</f>
        <v>3.8739999999999997E-2</v>
      </c>
      <c r="E11" s="38">
        <f>29.8%*D8</f>
        <v>3.8739999999999997E-2</v>
      </c>
      <c r="F11" s="156">
        <v>0</v>
      </c>
      <c r="G11" s="153" t="s">
        <v>4</v>
      </c>
      <c r="H11" s="153" t="s">
        <v>4</v>
      </c>
      <c r="I11" s="42" t="s">
        <v>4</v>
      </c>
      <c r="J11" s="38">
        <f>K11</f>
        <v>0.29799999999999999</v>
      </c>
      <c r="K11" s="38">
        <v>0.29799999999999999</v>
      </c>
      <c r="L11" s="156">
        <v>0</v>
      </c>
      <c r="M11" s="153" t="s">
        <v>4</v>
      </c>
      <c r="N11" s="153" t="s">
        <v>4</v>
      </c>
      <c r="O11" s="42" t="s">
        <v>4</v>
      </c>
    </row>
    <row r="12" spans="1:15" ht="77" customHeight="1" x14ac:dyDescent="0.2">
      <c r="A12" s="49" t="s">
        <v>99</v>
      </c>
      <c r="B12" s="15" t="s">
        <v>67</v>
      </c>
      <c r="C12" s="1" t="s">
        <v>96</v>
      </c>
      <c r="D12" s="147">
        <f>F12</f>
        <v>5.9150000000000001E-2</v>
      </c>
      <c r="E12" s="157" t="s">
        <v>4</v>
      </c>
      <c r="F12" s="41">
        <f>45.5%*D8</f>
        <v>5.9150000000000001E-2</v>
      </c>
      <c r="G12" s="41">
        <f>15.2%*F12</f>
        <v>8.9908000000000002E-3</v>
      </c>
      <c r="H12" s="41">
        <f>84.8%*F12</f>
        <v>5.0159200000000001E-2</v>
      </c>
      <c r="I12" s="42" t="s">
        <v>4</v>
      </c>
      <c r="J12" s="155">
        <f>L12</f>
        <v>0.45500000000000002</v>
      </c>
      <c r="K12" s="157" t="s">
        <v>4</v>
      </c>
      <c r="L12" s="155">
        <v>0.45500000000000002</v>
      </c>
      <c r="M12" s="41">
        <f>15.2%*L12</f>
        <v>6.9159999999999999E-2</v>
      </c>
      <c r="N12" s="41">
        <f>84.8%*L12</f>
        <v>0.38584000000000002</v>
      </c>
      <c r="O12" s="42" t="s">
        <v>4</v>
      </c>
    </row>
    <row r="13" spans="1:15" ht="44" customHeight="1" x14ac:dyDescent="0.2">
      <c r="A13" s="46" t="s">
        <v>102</v>
      </c>
      <c r="B13" s="26" t="s">
        <v>103</v>
      </c>
      <c r="C13" s="1" t="s">
        <v>228</v>
      </c>
      <c r="D13" s="148" t="s">
        <v>34</v>
      </c>
      <c r="E13" s="158">
        <f>20%*E11</f>
        <v>7.7479999999999997E-3</v>
      </c>
      <c r="F13" s="45" t="s">
        <v>34</v>
      </c>
      <c r="G13" s="45" t="s">
        <v>34</v>
      </c>
      <c r="H13" s="45" t="s">
        <v>34</v>
      </c>
      <c r="I13" s="42" t="s">
        <v>4</v>
      </c>
      <c r="J13" s="162" t="s">
        <v>34</v>
      </c>
      <c r="K13" s="155">
        <f>K11/K10*20%</f>
        <v>0.14899999999999999</v>
      </c>
      <c r="L13" s="45" t="s">
        <v>34</v>
      </c>
      <c r="M13" s="45" t="s">
        <v>34</v>
      </c>
      <c r="N13" s="45" t="s">
        <v>34</v>
      </c>
      <c r="O13" s="42" t="s">
        <v>4</v>
      </c>
    </row>
    <row r="14" spans="1:15" ht="80" x14ac:dyDescent="0.2">
      <c r="A14" s="46"/>
      <c r="B14" s="26" t="s">
        <v>101</v>
      </c>
      <c r="C14" s="1" t="s">
        <v>97</v>
      </c>
      <c r="D14" s="179">
        <f>E14+F14</f>
        <v>1.11E-2</v>
      </c>
      <c r="E14" s="178">
        <v>7.0000000000000001E-3</v>
      </c>
      <c r="F14" s="178">
        <v>4.1000000000000003E-3</v>
      </c>
      <c r="G14" s="158">
        <f>34%*G12</f>
        <v>3.0568720000000004E-3</v>
      </c>
      <c r="H14" s="158">
        <f>2%*H12</f>
        <v>1.0031840000000001E-3</v>
      </c>
      <c r="I14" s="42" t="s">
        <v>34</v>
      </c>
      <c r="J14" s="181">
        <f>D14/J8</f>
        <v>8.5384615384615392E-2</v>
      </c>
      <c r="K14" s="181">
        <f>E14/K8</f>
        <v>0.13461538461538461</v>
      </c>
      <c r="L14" s="178">
        <f>F14/F8</f>
        <v>5.2564102564102572E-2</v>
      </c>
      <c r="M14" s="180">
        <f>G14/F8</f>
        <v>3.9190666666666672E-2</v>
      </c>
      <c r="N14" s="180">
        <f>H14/F8</f>
        <v>1.2861333333333334E-2</v>
      </c>
      <c r="O14" s="42" t="s">
        <v>34</v>
      </c>
    </row>
    <row r="15" spans="1:15" ht="20" x14ac:dyDescent="0.2">
      <c r="A15" s="51" t="s">
        <v>104</v>
      </c>
      <c r="B15" s="52" t="s">
        <v>134</v>
      </c>
      <c r="D15" s="148" t="s">
        <v>34</v>
      </c>
      <c r="E15" s="162" t="s">
        <v>34</v>
      </c>
      <c r="F15" s="162" t="s">
        <v>34</v>
      </c>
      <c r="G15" s="162" t="s">
        <v>34</v>
      </c>
      <c r="H15" s="162" t="s">
        <v>34</v>
      </c>
      <c r="I15" s="167" t="s">
        <v>34</v>
      </c>
      <c r="J15" s="148" t="s">
        <v>34</v>
      </c>
      <c r="K15" s="162" t="s">
        <v>34</v>
      </c>
      <c r="L15" s="162" t="s">
        <v>34</v>
      </c>
      <c r="M15" s="162" t="s">
        <v>34</v>
      </c>
      <c r="N15" s="162" t="s">
        <v>34</v>
      </c>
      <c r="O15" s="167" t="s">
        <v>34</v>
      </c>
    </row>
    <row r="16" spans="1:15" x14ac:dyDescent="0.2">
      <c r="E16" s="158"/>
      <c r="F16" s="157"/>
      <c r="G16" s="157"/>
      <c r="H16" s="157"/>
      <c r="K16" s="158"/>
      <c r="L16" s="157"/>
      <c r="M16" s="157"/>
      <c r="N16" s="157"/>
    </row>
    <row r="17" spans="2:15" x14ac:dyDescent="0.2">
      <c r="E17" s="158"/>
      <c r="F17" s="168"/>
      <c r="G17" s="157"/>
      <c r="H17" s="157"/>
      <c r="K17" s="158"/>
      <c r="L17" s="157"/>
      <c r="M17" s="157"/>
      <c r="N17" s="157"/>
    </row>
    <row r="18" spans="2:15" x14ac:dyDescent="0.2">
      <c r="E18" s="158"/>
      <c r="F18" s="157"/>
      <c r="G18" s="157"/>
      <c r="H18" s="157"/>
      <c r="K18" s="158"/>
      <c r="L18" s="157"/>
      <c r="M18" s="157"/>
      <c r="N18" s="157"/>
    </row>
    <row r="19" spans="2:15" ht="20" x14ac:dyDescent="0.2">
      <c r="B19" s="14" t="s">
        <v>105</v>
      </c>
      <c r="E19" s="158"/>
      <c r="F19" s="157"/>
      <c r="G19" s="157"/>
      <c r="H19" s="157"/>
      <c r="K19" s="158"/>
      <c r="L19" s="157"/>
      <c r="M19" s="157"/>
      <c r="N19" s="157"/>
    </row>
    <row r="20" spans="2:15" ht="20" x14ac:dyDescent="0.2">
      <c r="B20" s="1" t="s">
        <v>74</v>
      </c>
      <c r="C20" s="1" t="s">
        <v>172</v>
      </c>
      <c r="D20" s="36">
        <v>26350</v>
      </c>
      <c r="E20" s="157"/>
      <c r="F20" s="157"/>
      <c r="G20" s="157"/>
      <c r="H20" s="157"/>
      <c r="K20" s="157"/>
      <c r="L20" s="157"/>
      <c r="M20" s="157"/>
      <c r="N20" s="157"/>
    </row>
    <row r="21" spans="2:15" ht="20" x14ac:dyDescent="0.2">
      <c r="B21" s="1" t="s">
        <v>83</v>
      </c>
      <c r="D21" s="149" t="s">
        <v>34</v>
      </c>
      <c r="E21" s="157"/>
      <c r="F21" s="157"/>
      <c r="G21" s="157"/>
      <c r="H21" s="157"/>
      <c r="K21" s="157"/>
      <c r="L21" s="157"/>
      <c r="M21" s="157"/>
      <c r="N21" s="157"/>
    </row>
    <row r="22" spans="2:15" x14ac:dyDescent="0.2">
      <c r="D22" s="39"/>
      <c r="E22" s="157"/>
      <c r="F22" s="157"/>
      <c r="G22" s="157"/>
      <c r="H22" s="157"/>
      <c r="K22" s="157"/>
      <c r="L22" s="157"/>
      <c r="M22" s="157"/>
      <c r="N22" s="157"/>
    </row>
    <row r="23" spans="2:15" ht="20" x14ac:dyDescent="0.2">
      <c r="B23" s="1" t="s">
        <v>138</v>
      </c>
      <c r="D23" s="149" t="s">
        <v>34</v>
      </c>
      <c r="E23" s="157"/>
      <c r="F23" s="157"/>
      <c r="G23" s="157"/>
      <c r="H23" s="157"/>
      <c r="K23" s="157"/>
      <c r="L23" s="157"/>
      <c r="M23" s="157"/>
      <c r="N23" s="157"/>
    </row>
    <row r="24" spans="2:15" ht="20" x14ac:dyDescent="0.2">
      <c r="B24" s="1" t="s">
        <v>82</v>
      </c>
      <c r="C24" s="2"/>
      <c r="D24" s="47"/>
      <c r="E24" s="157"/>
      <c r="F24" s="157"/>
      <c r="G24" s="157"/>
      <c r="H24" s="157"/>
      <c r="I24" s="69"/>
      <c r="K24" s="157"/>
      <c r="L24" s="157"/>
      <c r="M24" s="157"/>
      <c r="N24" s="157"/>
      <c r="O24" s="69"/>
    </row>
    <row r="25" spans="2:15" x14ac:dyDescent="0.25">
      <c r="B25" s="16" t="s">
        <v>77</v>
      </c>
      <c r="C25" s="2"/>
      <c r="D25" s="112">
        <v>116292</v>
      </c>
      <c r="E25" s="157"/>
      <c r="F25" s="157"/>
      <c r="G25" s="157"/>
      <c r="H25" s="157"/>
      <c r="I25" s="69"/>
      <c r="K25" s="157"/>
      <c r="L25" s="157"/>
      <c r="M25" s="157"/>
      <c r="N25" s="157"/>
      <c r="O25" s="69"/>
    </row>
    <row r="26" spans="2:15" x14ac:dyDescent="0.25">
      <c r="B26" s="16" t="s">
        <v>80</v>
      </c>
      <c r="C26" s="2"/>
      <c r="D26" s="112">
        <v>70587</v>
      </c>
      <c r="I26" s="69"/>
      <c r="O26" s="69"/>
    </row>
    <row r="27" spans="2:15" x14ac:dyDescent="0.25">
      <c r="B27" s="16" t="s">
        <v>81</v>
      </c>
      <c r="C27" s="2"/>
      <c r="D27" s="112">
        <v>45114</v>
      </c>
    </row>
    <row r="28" spans="2:15" x14ac:dyDescent="0.25">
      <c r="B28" s="16" t="s">
        <v>34</v>
      </c>
      <c r="D28" s="112">
        <v>28206</v>
      </c>
    </row>
    <row r="30" spans="2:15" ht="20" x14ac:dyDescent="0.2">
      <c r="B30" s="1" t="s">
        <v>135</v>
      </c>
      <c r="D30" s="149" t="s">
        <v>34</v>
      </c>
    </row>
    <row r="32" spans="2:15" ht="20" x14ac:dyDescent="0.2">
      <c r="B32" s="1" t="s">
        <v>185</v>
      </c>
      <c r="D32" s="149" t="s">
        <v>34</v>
      </c>
    </row>
    <row r="33" spans="2:4" ht="40" x14ac:dyDescent="0.2">
      <c r="B33" s="1" t="s">
        <v>186</v>
      </c>
      <c r="D33" s="149" t="s">
        <v>34</v>
      </c>
    </row>
  </sheetData>
  <mergeCells count="2">
    <mergeCell ref="D1:I1"/>
    <mergeCell ref="J1:O1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78D63-2353-A14F-A44F-541062431287}">
  <dimension ref="A1:C22"/>
  <sheetViews>
    <sheetView workbookViewId="0">
      <selection activeCell="A17" sqref="A17:A18"/>
    </sheetView>
  </sheetViews>
  <sheetFormatPr baseColWidth="10" defaultColWidth="8.83203125" defaultRowHeight="16" x14ac:dyDescent="0.2"/>
  <cols>
    <col min="1" max="1" width="36" customWidth="1"/>
    <col min="2" max="2" width="34.5" customWidth="1"/>
    <col min="3" max="3" width="77.1640625" customWidth="1"/>
  </cols>
  <sheetData>
    <row r="1" spans="1:3" ht="17" x14ac:dyDescent="0.2">
      <c r="A1" s="175" t="s">
        <v>106</v>
      </c>
      <c r="B1" s="176"/>
    </row>
    <row r="2" spans="1:3" ht="42" customHeight="1" x14ac:dyDescent="0.2">
      <c r="A2" s="177" t="s">
        <v>107</v>
      </c>
      <c r="B2" s="176"/>
    </row>
    <row r="4" spans="1:3" x14ac:dyDescent="0.2">
      <c r="A4" s="53" t="s">
        <v>108</v>
      </c>
      <c r="B4" s="54" t="s">
        <v>109</v>
      </c>
      <c r="C4" s="55"/>
    </row>
    <row r="5" spans="1:3" x14ac:dyDescent="0.2">
      <c r="A5" s="56" t="s">
        <v>110</v>
      </c>
      <c r="B5" s="57" t="s">
        <v>111</v>
      </c>
      <c r="C5" s="58"/>
    </row>
    <row r="6" spans="1:3" x14ac:dyDescent="0.2">
      <c r="A6" s="56" t="s">
        <v>112</v>
      </c>
      <c r="B6" s="57" t="s">
        <v>113</v>
      </c>
      <c r="C6" s="58"/>
    </row>
    <row r="7" spans="1:3" x14ac:dyDescent="0.2">
      <c r="A7" s="56" t="s">
        <v>114</v>
      </c>
      <c r="B7" s="57" t="s">
        <v>115</v>
      </c>
      <c r="C7" s="58"/>
    </row>
    <row r="8" spans="1:3" x14ac:dyDescent="0.2">
      <c r="A8" s="56" t="s">
        <v>116</v>
      </c>
      <c r="B8" s="57" t="s">
        <v>117</v>
      </c>
      <c r="C8" s="58"/>
    </row>
    <row r="9" spans="1:3" x14ac:dyDescent="0.2">
      <c r="A9" s="59" t="s">
        <v>118</v>
      </c>
      <c r="B9" s="60">
        <v>7.0000000000000001E-3</v>
      </c>
      <c r="C9" s="61"/>
    </row>
    <row r="14" spans="1:3" x14ac:dyDescent="0.2">
      <c r="A14" s="53" t="s">
        <v>119</v>
      </c>
      <c r="B14" s="62" t="s">
        <v>120</v>
      </c>
      <c r="C14" s="63"/>
    </row>
    <row r="15" spans="1:3" x14ac:dyDescent="0.2">
      <c r="A15" s="56" t="s">
        <v>110</v>
      </c>
      <c r="B15" s="57" t="s">
        <v>111</v>
      </c>
      <c r="C15" s="58"/>
    </row>
    <row r="16" spans="1:3" x14ac:dyDescent="0.2">
      <c r="A16" s="56" t="s">
        <v>121</v>
      </c>
      <c r="B16" s="57" t="s">
        <v>122</v>
      </c>
      <c r="C16" s="58"/>
    </row>
    <row r="17" spans="1:3" x14ac:dyDescent="0.2">
      <c r="A17" s="64" t="s">
        <v>123</v>
      </c>
      <c r="B17" s="65" t="s">
        <v>124</v>
      </c>
      <c r="C17" s="58"/>
    </row>
    <row r="18" spans="1:3" x14ac:dyDescent="0.2">
      <c r="A18" s="64" t="s">
        <v>125</v>
      </c>
      <c r="B18" s="65" t="s">
        <v>126</v>
      </c>
      <c r="C18" s="58"/>
    </row>
    <row r="19" spans="1:3" x14ac:dyDescent="0.2">
      <c r="A19" s="64" t="s">
        <v>127</v>
      </c>
      <c r="B19" s="65" t="s">
        <v>128</v>
      </c>
      <c r="C19" s="58"/>
    </row>
    <row r="20" spans="1:3" x14ac:dyDescent="0.2">
      <c r="A20" s="64" t="s">
        <v>129</v>
      </c>
      <c r="B20" s="65" t="s">
        <v>130</v>
      </c>
      <c r="C20" s="58"/>
    </row>
    <row r="21" spans="1:3" x14ac:dyDescent="0.2">
      <c r="A21" s="66" t="s">
        <v>131</v>
      </c>
      <c r="B21" s="67" t="s">
        <v>132</v>
      </c>
      <c r="C21" s="61"/>
    </row>
    <row r="22" spans="1:3" x14ac:dyDescent="0.2">
      <c r="A22" s="59" t="s">
        <v>118</v>
      </c>
      <c r="B22" s="68" t="s">
        <v>133</v>
      </c>
      <c r="C22" s="61"/>
    </row>
  </sheetData>
  <mergeCells count="2">
    <mergeCell ref="A1:B1"/>
    <mergeCell ref="A2:B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C0FD-7393-1745-9AF4-81796922DD53}">
  <dimension ref="A1:F33"/>
  <sheetViews>
    <sheetView workbookViewId="0">
      <selection activeCell="D8" sqref="D8"/>
    </sheetView>
  </sheetViews>
  <sheetFormatPr baseColWidth="10" defaultRowHeight="19" x14ac:dyDescent="0.2"/>
  <cols>
    <col min="1" max="1" width="45.33203125" style="1" customWidth="1"/>
    <col min="2" max="2" width="33" style="1" customWidth="1"/>
    <col min="3" max="6" width="21.33203125" style="2" customWidth="1"/>
    <col min="7" max="16384" width="10.83203125" style="2"/>
  </cols>
  <sheetData>
    <row r="1" spans="1:6" ht="60" x14ac:dyDescent="0.2">
      <c r="A1" s="85" t="s">
        <v>42</v>
      </c>
      <c r="B1" s="22" t="s">
        <v>144</v>
      </c>
      <c r="C1" s="86" t="s">
        <v>139</v>
      </c>
      <c r="D1" s="87" t="s">
        <v>154</v>
      </c>
      <c r="E1" s="86" t="s">
        <v>140</v>
      </c>
      <c r="F1" s="87" t="s">
        <v>154</v>
      </c>
    </row>
    <row r="2" spans="1:6" ht="60" x14ac:dyDescent="0.2">
      <c r="A2" s="40" t="s">
        <v>0</v>
      </c>
      <c r="B2" s="27" t="s">
        <v>141</v>
      </c>
      <c r="C2" s="31">
        <v>113252</v>
      </c>
      <c r="D2" s="27"/>
      <c r="E2" s="47"/>
      <c r="F2" s="80"/>
    </row>
    <row r="3" spans="1:6" ht="60" x14ac:dyDescent="0.2">
      <c r="A3" s="40" t="s">
        <v>142</v>
      </c>
      <c r="B3" s="27" t="s">
        <v>143</v>
      </c>
      <c r="C3" s="47">
        <v>1300</v>
      </c>
      <c r="D3" s="75"/>
      <c r="E3" s="47"/>
      <c r="F3" s="80"/>
    </row>
    <row r="4" spans="1:6" ht="80" x14ac:dyDescent="0.2">
      <c r="A4" s="40" t="s">
        <v>1</v>
      </c>
      <c r="B4" s="27" t="s">
        <v>169</v>
      </c>
      <c r="C4" s="76">
        <v>900</v>
      </c>
      <c r="D4" s="77">
        <f>C4/C3</f>
        <v>0.69230769230769229</v>
      </c>
      <c r="E4" s="82"/>
      <c r="F4" s="80"/>
    </row>
    <row r="5" spans="1:6" ht="40" x14ac:dyDescent="0.2">
      <c r="A5" s="40" t="s">
        <v>167</v>
      </c>
      <c r="B5" s="27" t="s">
        <v>168</v>
      </c>
      <c r="C5" s="76"/>
      <c r="D5" s="75"/>
      <c r="E5" s="82"/>
      <c r="F5" s="80"/>
    </row>
    <row r="6" spans="1:6" ht="20" x14ac:dyDescent="0.2">
      <c r="A6" s="40" t="s">
        <v>146</v>
      </c>
      <c r="B6" s="27" t="s">
        <v>145</v>
      </c>
      <c r="C6" s="78" t="s">
        <v>34</v>
      </c>
      <c r="D6" s="79"/>
      <c r="E6" s="47"/>
      <c r="F6" s="80"/>
    </row>
    <row r="7" spans="1:6" ht="20" x14ac:dyDescent="0.2">
      <c r="A7" s="40" t="s">
        <v>2</v>
      </c>
      <c r="B7" s="27"/>
      <c r="C7" s="78" t="s">
        <v>34</v>
      </c>
      <c r="D7" s="79"/>
      <c r="E7" s="47"/>
      <c r="F7" s="80"/>
    </row>
    <row r="8" spans="1:6" ht="58" customHeight="1" x14ac:dyDescent="0.2">
      <c r="A8" s="44" t="s">
        <v>147</v>
      </c>
      <c r="B8" s="27" t="s">
        <v>148</v>
      </c>
      <c r="C8" s="78" t="s">
        <v>34</v>
      </c>
      <c r="D8" s="79"/>
      <c r="E8" s="47"/>
      <c r="F8" s="80"/>
    </row>
    <row r="9" spans="1:6" x14ac:dyDescent="0.2">
      <c r="A9" s="44" t="s">
        <v>60</v>
      </c>
      <c r="B9" s="80"/>
      <c r="C9" s="47" t="s">
        <v>4</v>
      </c>
      <c r="D9" s="80"/>
      <c r="E9" s="47"/>
      <c r="F9" s="80"/>
    </row>
    <row r="10" spans="1:6" ht="20" x14ac:dyDescent="0.2">
      <c r="A10" s="40" t="s">
        <v>61</v>
      </c>
      <c r="B10" s="80"/>
      <c r="C10" s="47" t="s">
        <v>4</v>
      </c>
      <c r="D10" s="80"/>
      <c r="E10" s="47"/>
      <c r="F10" s="80"/>
    </row>
    <row r="11" spans="1:6" x14ac:dyDescent="0.2">
      <c r="A11" s="44" t="s">
        <v>62</v>
      </c>
      <c r="B11" s="80"/>
      <c r="C11" s="47" t="s">
        <v>4</v>
      </c>
      <c r="D11" s="80"/>
      <c r="E11" s="47"/>
      <c r="F11" s="80"/>
    </row>
    <row r="12" spans="1:6" ht="60" x14ac:dyDescent="0.2">
      <c r="A12" s="40" t="s">
        <v>101</v>
      </c>
      <c r="B12" s="27" t="s">
        <v>181</v>
      </c>
      <c r="C12" s="31">
        <v>110</v>
      </c>
      <c r="D12" s="98">
        <f>C12/C3</f>
        <v>8.461538461538462E-2</v>
      </c>
      <c r="E12" s="47"/>
      <c r="F12" s="80"/>
    </row>
    <row r="13" spans="1:6" ht="80" x14ac:dyDescent="0.2">
      <c r="A13" s="40" t="s">
        <v>68</v>
      </c>
      <c r="B13" s="27" t="s">
        <v>182</v>
      </c>
      <c r="C13" s="31">
        <v>100</v>
      </c>
      <c r="D13" s="98">
        <f>C13/C3</f>
        <v>7.6923076923076927E-2</v>
      </c>
      <c r="E13" s="47"/>
      <c r="F13" s="80"/>
    </row>
    <row r="14" spans="1:6" ht="20" x14ac:dyDescent="0.2">
      <c r="A14" s="40" t="s">
        <v>156</v>
      </c>
      <c r="B14" s="27"/>
      <c r="C14" s="31">
        <f>C13+C12</f>
        <v>210</v>
      </c>
      <c r="D14" s="98">
        <f>C14/C3</f>
        <v>0.16153846153846155</v>
      </c>
      <c r="E14" s="47"/>
      <c r="F14" s="80"/>
    </row>
    <row r="15" spans="1:6" ht="40" x14ac:dyDescent="0.2">
      <c r="A15" s="84" t="s">
        <v>155</v>
      </c>
      <c r="B15" s="100" t="s">
        <v>183</v>
      </c>
      <c r="C15" s="99">
        <v>238</v>
      </c>
      <c r="D15" s="81"/>
      <c r="E15" s="50"/>
      <c r="F15" s="83"/>
    </row>
    <row r="17" spans="1:4" ht="20" x14ac:dyDescent="0.2">
      <c r="A17" s="14" t="s">
        <v>105</v>
      </c>
    </row>
    <row r="18" spans="1:4" x14ac:dyDescent="0.2">
      <c r="B18" s="73" t="s">
        <v>149</v>
      </c>
    </row>
    <row r="19" spans="1:4" x14ac:dyDescent="0.2">
      <c r="A19" s="2"/>
      <c r="B19" s="2" t="s">
        <v>150</v>
      </c>
      <c r="C19" s="72">
        <v>0.6</v>
      </c>
      <c r="D19" s="72"/>
    </row>
    <row r="20" spans="1:4" x14ac:dyDescent="0.2">
      <c r="A20" s="2"/>
      <c r="B20" s="2" t="s">
        <v>151</v>
      </c>
      <c r="C20" s="72">
        <v>0.51</v>
      </c>
      <c r="D20" s="72"/>
    </row>
    <row r="21" spans="1:4" ht="40" x14ac:dyDescent="0.2">
      <c r="A21" s="2"/>
      <c r="B21" s="1" t="s">
        <v>152</v>
      </c>
      <c r="C21" s="72">
        <v>0.25</v>
      </c>
      <c r="D21" s="72"/>
    </row>
    <row r="22" spans="1:4" x14ac:dyDescent="0.2">
      <c r="D22" s="72"/>
    </row>
    <row r="23" spans="1:4" ht="20" x14ac:dyDescent="0.2">
      <c r="B23" s="1" t="s">
        <v>78</v>
      </c>
      <c r="C23" s="74" t="s">
        <v>34</v>
      </c>
      <c r="D23" s="72"/>
    </row>
    <row r="24" spans="1:4" ht="40" x14ac:dyDescent="0.2">
      <c r="B24" s="1" t="s">
        <v>153</v>
      </c>
      <c r="C24" s="74" t="s">
        <v>34</v>
      </c>
      <c r="D24" s="72"/>
    </row>
    <row r="26" spans="1:4" x14ac:dyDescent="0.2">
      <c r="B26" s="2"/>
    </row>
    <row r="28" spans="1:4" x14ac:dyDescent="0.2">
      <c r="B28" s="2"/>
    </row>
    <row r="29" spans="1:4" x14ac:dyDescent="0.2">
      <c r="B29" s="2"/>
    </row>
    <row r="30" spans="1:4" x14ac:dyDescent="0.2">
      <c r="B30" s="2"/>
    </row>
    <row r="32" spans="1:4" x14ac:dyDescent="0.2">
      <c r="B32" s="19"/>
    </row>
    <row r="33" spans="2:2" x14ac:dyDescent="0.2">
      <c r="B33" s="19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44B37-2C9E-5048-8903-9883E4216AC5}">
  <dimension ref="A1:N46"/>
  <sheetViews>
    <sheetView topLeftCell="A3" workbookViewId="0">
      <selection activeCell="Q3" sqref="Q1:Q1048576"/>
    </sheetView>
  </sheetViews>
  <sheetFormatPr baseColWidth="10" defaultColWidth="8.83203125" defaultRowHeight="16" x14ac:dyDescent="0.2"/>
  <cols>
    <col min="2" max="2" width="12.5" customWidth="1"/>
    <col min="3" max="3" width="19" customWidth="1"/>
    <col min="4" max="4" width="24.6640625" customWidth="1"/>
    <col min="5" max="5" width="13.5" customWidth="1"/>
    <col min="6" max="6" width="16.33203125" customWidth="1"/>
    <col min="9" max="9" width="15.83203125" customWidth="1"/>
  </cols>
  <sheetData>
    <row r="1" spans="1:14" x14ac:dyDescent="0.2">
      <c r="B1" s="88" t="s">
        <v>157</v>
      </c>
      <c r="C1" s="88" t="s">
        <v>158</v>
      </c>
      <c r="D1" s="88" t="s">
        <v>159</v>
      </c>
      <c r="E1" s="88" t="s">
        <v>160</v>
      </c>
      <c r="F1" s="88" t="s">
        <v>161</v>
      </c>
      <c r="I1" s="88" t="s">
        <v>157</v>
      </c>
      <c r="J1" s="88" t="s">
        <v>162</v>
      </c>
      <c r="K1" s="88" t="s">
        <v>163</v>
      </c>
      <c r="L1" s="88" t="s">
        <v>164</v>
      </c>
      <c r="M1" s="88" t="s">
        <v>165</v>
      </c>
      <c r="N1" s="88" t="s">
        <v>166</v>
      </c>
    </row>
    <row r="2" spans="1:14" x14ac:dyDescent="0.2">
      <c r="A2" s="88">
        <v>0</v>
      </c>
      <c r="B2" s="89">
        <v>44896</v>
      </c>
      <c r="C2">
        <v>0.52317327766179544</v>
      </c>
      <c r="D2">
        <v>0.47494780793319408</v>
      </c>
      <c r="E2">
        <v>0</v>
      </c>
      <c r="F2">
        <v>0</v>
      </c>
      <c r="H2" s="88">
        <v>0</v>
      </c>
      <c r="I2" s="89">
        <v>44896</v>
      </c>
      <c r="J2">
        <v>2506</v>
      </c>
      <c r="K2">
        <v>2275</v>
      </c>
      <c r="L2">
        <v>0</v>
      </c>
      <c r="M2">
        <v>4790</v>
      </c>
      <c r="N2">
        <v>0</v>
      </c>
    </row>
    <row r="3" spans="1:14" x14ac:dyDescent="0.2">
      <c r="A3" s="88">
        <v>1</v>
      </c>
      <c r="B3" s="89">
        <v>44927</v>
      </c>
      <c r="C3">
        <v>0.48473520249221191</v>
      </c>
      <c r="D3">
        <v>0.42866043613707172</v>
      </c>
      <c r="E3">
        <v>0</v>
      </c>
      <c r="F3">
        <v>0</v>
      </c>
      <c r="H3" s="88">
        <v>1</v>
      </c>
      <c r="I3" s="89">
        <v>44927</v>
      </c>
      <c r="J3">
        <v>778</v>
      </c>
      <c r="K3">
        <v>688</v>
      </c>
      <c r="L3">
        <v>0</v>
      </c>
      <c r="M3">
        <v>1605</v>
      </c>
      <c r="N3">
        <v>0</v>
      </c>
    </row>
    <row r="4" spans="1:14" x14ac:dyDescent="0.2">
      <c r="A4" s="88">
        <v>2</v>
      </c>
      <c r="B4" s="89">
        <v>44958</v>
      </c>
      <c r="C4">
        <v>0.49058295964125559</v>
      </c>
      <c r="D4">
        <v>0.4295964125560538</v>
      </c>
      <c r="E4">
        <v>0</v>
      </c>
      <c r="F4">
        <v>0</v>
      </c>
      <c r="H4" s="88">
        <v>2</v>
      </c>
      <c r="I4" s="89">
        <v>44958</v>
      </c>
      <c r="J4">
        <v>547</v>
      </c>
      <c r="K4">
        <v>479</v>
      </c>
      <c r="L4">
        <v>0</v>
      </c>
      <c r="M4">
        <v>1115</v>
      </c>
      <c r="N4">
        <v>0</v>
      </c>
    </row>
    <row r="5" spans="1:14" x14ac:dyDescent="0.2">
      <c r="A5" s="88">
        <v>3</v>
      </c>
      <c r="B5" s="89">
        <v>44986</v>
      </c>
      <c r="C5">
        <v>0.40740740740740738</v>
      </c>
      <c r="D5">
        <v>0.27805417357656159</v>
      </c>
      <c r="E5">
        <v>0</v>
      </c>
      <c r="F5">
        <v>0</v>
      </c>
      <c r="H5" s="88">
        <v>3</v>
      </c>
      <c r="I5" s="89">
        <v>44986</v>
      </c>
      <c r="J5">
        <v>737</v>
      </c>
      <c r="K5">
        <v>503</v>
      </c>
      <c r="L5">
        <v>0</v>
      </c>
      <c r="M5">
        <v>1809</v>
      </c>
      <c r="N5">
        <v>0</v>
      </c>
    </row>
    <row r="6" spans="1:14" x14ac:dyDescent="0.2">
      <c r="A6" s="88">
        <v>4</v>
      </c>
      <c r="B6" s="89">
        <v>45017</v>
      </c>
      <c r="C6">
        <v>0.34640810929925081</v>
      </c>
      <c r="D6">
        <v>0.21507271925958571</v>
      </c>
      <c r="E6">
        <v>0</v>
      </c>
      <c r="F6">
        <v>0</v>
      </c>
      <c r="H6" s="88">
        <v>4</v>
      </c>
      <c r="I6" s="89">
        <v>45017</v>
      </c>
      <c r="J6">
        <v>786</v>
      </c>
      <c r="K6">
        <v>488</v>
      </c>
      <c r="L6">
        <v>0</v>
      </c>
      <c r="M6">
        <v>2269</v>
      </c>
      <c r="N6">
        <v>0</v>
      </c>
    </row>
    <row r="7" spans="1:14" x14ac:dyDescent="0.2">
      <c r="A7" s="88">
        <v>5</v>
      </c>
      <c r="B7" s="89">
        <v>45047</v>
      </c>
      <c r="C7">
        <v>0.29070691024622719</v>
      </c>
      <c r="D7">
        <v>0.1850675138999206</v>
      </c>
      <c r="E7">
        <v>0</v>
      </c>
      <c r="F7">
        <v>0</v>
      </c>
      <c r="H7" s="88">
        <v>5</v>
      </c>
      <c r="I7" s="89">
        <v>45047</v>
      </c>
      <c r="J7">
        <v>366</v>
      </c>
      <c r="K7">
        <v>233</v>
      </c>
      <c r="L7">
        <v>0</v>
      </c>
      <c r="M7">
        <v>1259</v>
      </c>
      <c r="N7">
        <v>0</v>
      </c>
    </row>
    <row r="8" spans="1:14" x14ac:dyDescent="0.2">
      <c r="A8" s="88">
        <v>6</v>
      </c>
      <c r="B8" s="89">
        <v>45078</v>
      </c>
      <c r="C8">
        <v>0.3112208892025406</v>
      </c>
      <c r="D8">
        <v>0.24841213832039519</v>
      </c>
      <c r="E8">
        <v>0</v>
      </c>
      <c r="F8">
        <v>0</v>
      </c>
      <c r="H8" s="88">
        <v>6</v>
      </c>
      <c r="I8" s="89">
        <v>45078</v>
      </c>
      <c r="J8">
        <v>441</v>
      </c>
      <c r="K8">
        <v>352</v>
      </c>
      <c r="L8">
        <v>0</v>
      </c>
      <c r="M8">
        <v>1417</v>
      </c>
      <c r="N8">
        <v>0</v>
      </c>
    </row>
    <row r="9" spans="1:14" x14ac:dyDescent="0.2">
      <c r="A9" s="88">
        <v>7</v>
      </c>
      <c r="B9" s="89">
        <v>45108</v>
      </c>
      <c r="C9">
        <v>0.31468531468531469</v>
      </c>
      <c r="D9">
        <v>0.39429800968262507</v>
      </c>
      <c r="E9">
        <v>0</v>
      </c>
      <c r="F9">
        <v>0</v>
      </c>
      <c r="H9" s="88">
        <v>7</v>
      </c>
      <c r="I9" s="89">
        <v>45108</v>
      </c>
      <c r="J9">
        <v>585</v>
      </c>
      <c r="K9">
        <v>733</v>
      </c>
      <c r="L9">
        <v>0</v>
      </c>
      <c r="M9">
        <v>1859</v>
      </c>
      <c r="N9">
        <v>0</v>
      </c>
    </row>
    <row r="10" spans="1:14" x14ac:dyDescent="0.2">
      <c r="A10" s="88">
        <v>8</v>
      </c>
      <c r="B10" s="89">
        <v>45139</v>
      </c>
      <c r="C10">
        <v>0.27371273712737132</v>
      </c>
      <c r="D10">
        <v>0.36720867208672092</v>
      </c>
      <c r="E10">
        <v>0</v>
      </c>
      <c r="F10">
        <v>1.309846431797651E-2</v>
      </c>
      <c r="H10" s="88">
        <v>8</v>
      </c>
      <c r="I10" s="89">
        <v>45139</v>
      </c>
      <c r="J10">
        <v>606</v>
      </c>
      <c r="K10">
        <v>813</v>
      </c>
      <c r="L10">
        <v>0</v>
      </c>
      <c r="M10">
        <v>2214</v>
      </c>
      <c r="N10">
        <v>29</v>
      </c>
    </row>
    <row r="11" spans="1:14" x14ac:dyDescent="0.2">
      <c r="A11" s="88">
        <v>9</v>
      </c>
      <c r="B11" s="89">
        <v>45170</v>
      </c>
      <c r="C11">
        <v>0.24294960702727689</v>
      </c>
      <c r="D11">
        <v>0.2387887193712436</v>
      </c>
      <c r="E11">
        <v>0</v>
      </c>
      <c r="F11">
        <v>5.1317614424410539E-2</v>
      </c>
      <c r="H11" s="88">
        <v>9</v>
      </c>
      <c r="I11" s="89">
        <v>45170</v>
      </c>
      <c r="J11">
        <v>1051</v>
      </c>
      <c r="K11">
        <v>1033</v>
      </c>
      <c r="L11">
        <v>0</v>
      </c>
      <c r="M11">
        <v>4326</v>
      </c>
      <c r="N11">
        <v>222</v>
      </c>
    </row>
    <row r="12" spans="1:14" x14ac:dyDescent="0.2">
      <c r="A12" s="88">
        <v>10</v>
      </c>
      <c r="B12" s="89">
        <v>45200</v>
      </c>
      <c r="C12">
        <v>0.38375314861460957</v>
      </c>
      <c r="D12">
        <v>0.2306045340050378</v>
      </c>
      <c r="E12">
        <v>0</v>
      </c>
      <c r="F12">
        <v>4.2191435768261967E-2</v>
      </c>
      <c r="H12" s="88">
        <v>10</v>
      </c>
      <c r="I12" s="89">
        <v>45200</v>
      </c>
      <c r="J12">
        <v>3047</v>
      </c>
      <c r="K12">
        <v>1831</v>
      </c>
      <c r="L12">
        <v>0</v>
      </c>
      <c r="M12">
        <v>7940</v>
      </c>
      <c r="N12">
        <v>335</v>
      </c>
    </row>
    <row r="13" spans="1:14" x14ac:dyDescent="0.2">
      <c r="A13" s="88">
        <v>11</v>
      </c>
      <c r="B13" s="89">
        <v>45231</v>
      </c>
      <c r="C13">
        <v>0.3466644261468661</v>
      </c>
      <c r="D13">
        <v>0.2239959670643589</v>
      </c>
      <c r="E13">
        <v>0</v>
      </c>
      <c r="F13">
        <v>3.461603091917325E-2</v>
      </c>
      <c r="H13" s="88">
        <v>11</v>
      </c>
      <c r="I13" s="89">
        <v>45231</v>
      </c>
      <c r="J13">
        <v>2063</v>
      </c>
      <c r="K13">
        <v>1333</v>
      </c>
      <c r="L13">
        <v>0</v>
      </c>
      <c r="M13">
        <v>5951</v>
      </c>
      <c r="N13">
        <v>206</v>
      </c>
    </row>
    <row r="14" spans="1:14" x14ac:dyDescent="0.2">
      <c r="A14" s="88">
        <v>12</v>
      </c>
      <c r="B14" s="89">
        <v>45261</v>
      </c>
      <c r="C14">
        <v>0.39618609238862401</v>
      </c>
      <c r="D14">
        <v>0.2064770672365609</v>
      </c>
      <c r="E14">
        <v>0</v>
      </c>
      <c r="F14">
        <v>2.663159625184942E-2</v>
      </c>
      <c r="H14" s="88">
        <v>12</v>
      </c>
      <c r="I14" s="89">
        <v>45261</v>
      </c>
      <c r="J14">
        <v>2410</v>
      </c>
      <c r="K14">
        <v>1256</v>
      </c>
      <c r="L14">
        <v>0</v>
      </c>
      <c r="M14">
        <v>6083</v>
      </c>
      <c r="N14">
        <v>162</v>
      </c>
    </row>
    <row r="15" spans="1:14" x14ac:dyDescent="0.2">
      <c r="A15" s="88">
        <v>13</v>
      </c>
      <c r="B15" s="89">
        <v>45292</v>
      </c>
      <c r="C15">
        <v>0.38477431659249839</v>
      </c>
      <c r="D15">
        <v>0.23219961856325491</v>
      </c>
      <c r="E15">
        <v>0</v>
      </c>
      <c r="F15">
        <v>3.5600762873490149E-2</v>
      </c>
      <c r="H15" s="88">
        <v>13</v>
      </c>
      <c r="I15" s="89">
        <v>45292</v>
      </c>
      <c r="J15">
        <v>2421</v>
      </c>
      <c r="K15">
        <v>1461</v>
      </c>
      <c r="L15">
        <v>0</v>
      </c>
      <c r="M15">
        <v>6292</v>
      </c>
      <c r="N15">
        <v>224</v>
      </c>
    </row>
    <row r="16" spans="1:14" x14ac:dyDescent="0.2">
      <c r="A16" s="88">
        <v>14</v>
      </c>
      <c r="B16" s="89">
        <v>45323</v>
      </c>
      <c r="C16">
        <v>0.35522151898734178</v>
      </c>
      <c r="D16">
        <v>0.24541139240506329</v>
      </c>
      <c r="E16">
        <v>0</v>
      </c>
      <c r="F16">
        <v>3.212025316455696E-2</v>
      </c>
      <c r="H16" s="88">
        <v>14</v>
      </c>
      <c r="I16" s="89">
        <v>45323</v>
      </c>
      <c r="J16">
        <v>2245</v>
      </c>
      <c r="K16">
        <v>1551</v>
      </c>
      <c r="L16">
        <v>0</v>
      </c>
      <c r="M16">
        <v>6320</v>
      </c>
      <c r="N16">
        <v>203</v>
      </c>
    </row>
    <row r="17" spans="1:14" x14ac:dyDescent="0.2">
      <c r="A17" s="88">
        <v>15</v>
      </c>
      <c r="B17" s="89">
        <v>45352</v>
      </c>
      <c r="C17">
        <v>0.39979641175722103</v>
      </c>
      <c r="D17">
        <v>0.2245832803155618</v>
      </c>
      <c r="E17">
        <v>0</v>
      </c>
      <c r="F17">
        <v>2.4557831785214399E-2</v>
      </c>
      <c r="H17" s="88">
        <v>15</v>
      </c>
      <c r="I17" s="89">
        <v>45352</v>
      </c>
      <c r="J17">
        <v>3142</v>
      </c>
      <c r="K17">
        <v>1765</v>
      </c>
      <c r="L17">
        <v>0</v>
      </c>
      <c r="M17">
        <v>7859</v>
      </c>
      <c r="N17">
        <v>193</v>
      </c>
    </row>
    <row r="18" spans="1:14" x14ac:dyDescent="0.2">
      <c r="A18" s="88">
        <v>16</v>
      </c>
      <c r="B18" s="89">
        <v>45383</v>
      </c>
      <c r="C18">
        <v>0.39657585872725309</v>
      </c>
      <c r="D18">
        <v>0.16033164638742331</v>
      </c>
      <c r="E18">
        <v>0</v>
      </c>
      <c r="F18">
        <v>1.690535156670615E-2</v>
      </c>
      <c r="H18" s="88">
        <v>16</v>
      </c>
      <c r="I18" s="89">
        <v>45383</v>
      </c>
      <c r="J18">
        <v>3683</v>
      </c>
      <c r="K18">
        <v>1489</v>
      </c>
      <c r="L18">
        <v>0</v>
      </c>
      <c r="M18">
        <v>9287</v>
      </c>
      <c r="N18">
        <v>157</v>
      </c>
    </row>
    <row r="19" spans="1:14" x14ac:dyDescent="0.2">
      <c r="A19" s="88">
        <v>17</v>
      </c>
      <c r="B19" s="89">
        <v>45413</v>
      </c>
      <c r="C19">
        <v>0.29031085257225958</v>
      </c>
      <c r="D19">
        <v>0.1577894928194874</v>
      </c>
      <c r="E19">
        <v>0</v>
      </c>
      <c r="F19">
        <v>2.3995637156880571E-2</v>
      </c>
      <c r="H19" s="88">
        <v>17</v>
      </c>
      <c r="I19" s="89">
        <v>45413</v>
      </c>
      <c r="J19">
        <v>1597</v>
      </c>
      <c r="K19">
        <v>868</v>
      </c>
      <c r="L19">
        <v>0</v>
      </c>
      <c r="M19">
        <v>5501</v>
      </c>
      <c r="N19">
        <v>132</v>
      </c>
    </row>
    <row r="20" spans="1:14" x14ac:dyDescent="0.2">
      <c r="A20" s="88">
        <v>18</v>
      </c>
      <c r="B20" s="89">
        <v>45444</v>
      </c>
      <c r="C20">
        <v>0.26909722222222221</v>
      </c>
      <c r="D20">
        <v>0.16631944444444441</v>
      </c>
      <c r="E20">
        <v>0</v>
      </c>
      <c r="F20">
        <v>1.7013888888888891E-2</v>
      </c>
      <c r="H20" s="88">
        <v>18</v>
      </c>
      <c r="I20" s="89">
        <v>45444</v>
      </c>
      <c r="J20">
        <v>1550</v>
      </c>
      <c r="K20">
        <v>958</v>
      </c>
      <c r="L20">
        <v>0</v>
      </c>
      <c r="M20">
        <v>5760</v>
      </c>
      <c r="N20">
        <v>98</v>
      </c>
    </row>
    <row r="21" spans="1:14" x14ac:dyDescent="0.2">
      <c r="A21" s="88">
        <v>19</v>
      </c>
      <c r="B21" s="89">
        <v>45474</v>
      </c>
      <c r="C21">
        <v>0.37830006439150032</v>
      </c>
      <c r="D21">
        <v>0.216677398583387</v>
      </c>
      <c r="E21">
        <v>0</v>
      </c>
      <c r="F21">
        <v>1.835157759175789E-2</v>
      </c>
      <c r="H21" s="88">
        <v>19</v>
      </c>
      <c r="I21" s="89">
        <v>45474</v>
      </c>
      <c r="J21">
        <v>2350</v>
      </c>
      <c r="K21">
        <v>1346</v>
      </c>
      <c r="L21">
        <v>0</v>
      </c>
      <c r="M21">
        <v>6212</v>
      </c>
      <c r="N21">
        <v>114</v>
      </c>
    </row>
    <row r="22" spans="1:14" x14ac:dyDescent="0.2">
      <c r="A22" s="88">
        <v>20</v>
      </c>
      <c r="B22" s="89">
        <v>45505</v>
      </c>
      <c r="C22">
        <v>0.29905098212315162</v>
      </c>
      <c r="D22">
        <v>0.2015007724564114</v>
      </c>
      <c r="E22">
        <v>0</v>
      </c>
      <c r="F22">
        <v>2.2511586846170821E-2</v>
      </c>
      <c r="H22" s="88">
        <v>20</v>
      </c>
      <c r="I22" s="89">
        <v>45505</v>
      </c>
      <c r="J22">
        <v>1355</v>
      </c>
      <c r="K22">
        <v>913</v>
      </c>
      <c r="L22">
        <v>0</v>
      </c>
      <c r="M22">
        <v>4531</v>
      </c>
      <c r="N22">
        <v>102</v>
      </c>
    </row>
    <row r="23" spans="1:14" x14ac:dyDescent="0.2">
      <c r="A23" s="88">
        <v>21</v>
      </c>
      <c r="B23" s="89">
        <v>45536</v>
      </c>
      <c r="C23">
        <v>0.25826598089639968</v>
      </c>
      <c r="D23">
        <v>0.16972814107274059</v>
      </c>
      <c r="E23">
        <v>0</v>
      </c>
      <c r="F23">
        <v>2.4981631153563551E-2</v>
      </c>
      <c r="H23" s="88">
        <v>21</v>
      </c>
      <c r="I23" s="89">
        <v>45536</v>
      </c>
      <c r="J23">
        <v>1406</v>
      </c>
      <c r="K23">
        <v>924</v>
      </c>
      <c r="L23">
        <v>0</v>
      </c>
      <c r="M23">
        <v>5444</v>
      </c>
      <c r="N23">
        <v>136</v>
      </c>
    </row>
    <row r="24" spans="1:14" x14ac:dyDescent="0.2">
      <c r="A24" s="88">
        <v>22</v>
      </c>
      <c r="B24" s="89">
        <v>45566</v>
      </c>
      <c r="C24">
        <v>0.30654761904761912</v>
      </c>
      <c r="D24">
        <v>0.18347338935574231</v>
      </c>
      <c r="E24">
        <v>0</v>
      </c>
      <c r="F24">
        <v>2.5210084033613449E-2</v>
      </c>
      <c r="H24" s="88">
        <v>22</v>
      </c>
      <c r="I24" s="89">
        <v>45566</v>
      </c>
      <c r="J24">
        <v>1751</v>
      </c>
      <c r="K24">
        <v>1048</v>
      </c>
      <c r="L24">
        <v>0</v>
      </c>
      <c r="M24">
        <v>5712</v>
      </c>
      <c r="N24">
        <v>144</v>
      </c>
    </row>
    <row r="25" spans="1:14" x14ac:dyDescent="0.2">
      <c r="A25" s="88">
        <v>23</v>
      </c>
      <c r="B25" s="89">
        <v>45597</v>
      </c>
      <c r="C25">
        <v>0.24273902904388381</v>
      </c>
      <c r="D25">
        <v>0.16005935976256089</v>
      </c>
      <c r="E25">
        <v>0</v>
      </c>
      <c r="F25">
        <v>2.310790756836973E-2</v>
      </c>
      <c r="H25" s="88">
        <v>23</v>
      </c>
      <c r="I25" s="89">
        <v>45597</v>
      </c>
      <c r="J25">
        <v>1145</v>
      </c>
      <c r="K25">
        <v>755</v>
      </c>
      <c r="L25">
        <v>0</v>
      </c>
      <c r="M25">
        <v>4717</v>
      </c>
      <c r="N25">
        <v>109</v>
      </c>
    </row>
    <row r="26" spans="1:14" x14ac:dyDescent="0.2">
      <c r="A26" s="88">
        <v>24</v>
      </c>
      <c r="B26" s="89">
        <v>45627</v>
      </c>
      <c r="C26">
        <v>0.26682224815246991</v>
      </c>
      <c r="D26">
        <v>0.16705562038117461</v>
      </c>
      <c r="E26">
        <v>0</v>
      </c>
      <c r="F26">
        <v>2.6059898872034231E-2</v>
      </c>
      <c r="H26" s="88">
        <v>24</v>
      </c>
      <c r="I26" s="89">
        <v>45627</v>
      </c>
      <c r="J26">
        <v>1372</v>
      </c>
      <c r="K26">
        <v>859</v>
      </c>
      <c r="L26">
        <v>0</v>
      </c>
      <c r="M26">
        <v>5142</v>
      </c>
      <c r="N26">
        <v>134</v>
      </c>
    </row>
    <row r="27" spans="1:14" x14ac:dyDescent="0.2">
      <c r="A27" s="88">
        <v>25</v>
      </c>
      <c r="B27" s="89">
        <v>45658</v>
      </c>
      <c r="C27">
        <v>0.24859287054408999</v>
      </c>
      <c r="D27">
        <v>0.1532833020637899</v>
      </c>
      <c r="E27">
        <v>0</v>
      </c>
      <c r="F27">
        <v>2.1763602251407131E-2</v>
      </c>
      <c r="H27" s="88">
        <v>25</v>
      </c>
      <c r="I27" s="89">
        <v>45658</v>
      </c>
      <c r="J27">
        <v>1325</v>
      </c>
      <c r="K27">
        <v>817</v>
      </c>
      <c r="L27">
        <v>0</v>
      </c>
      <c r="M27">
        <v>5330</v>
      </c>
      <c r="N27">
        <v>116</v>
      </c>
    </row>
    <row r="28" spans="1:14" x14ac:dyDescent="0.2">
      <c r="A28" s="88">
        <v>26</v>
      </c>
      <c r="B28" s="89">
        <v>45689</v>
      </c>
      <c r="C28">
        <v>0.25638210266264072</v>
      </c>
      <c r="D28">
        <v>0.15536645621740319</v>
      </c>
      <c r="E28">
        <v>0</v>
      </c>
      <c r="F28">
        <v>2.7998902003842991E-2</v>
      </c>
      <c r="H28" s="88">
        <v>26</v>
      </c>
      <c r="I28" s="89">
        <v>45689</v>
      </c>
      <c r="J28">
        <v>934</v>
      </c>
      <c r="K28">
        <v>566</v>
      </c>
      <c r="L28">
        <v>0</v>
      </c>
      <c r="M28">
        <v>3643</v>
      </c>
      <c r="N28">
        <v>102</v>
      </c>
    </row>
    <row r="29" spans="1:14" x14ac:dyDescent="0.2">
      <c r="A29" s="88">
        <v>27</v>
      </c>
      <c r="B29" s="89">
        <v>45717</v>
      </c>
      <c r="C29">
        <v>0.25739089629282019</v>
      </c>
      <c r="D29">
        <v>0.1264664476771469</v>
      </c>
      <c r="E29">
        <v>0</v>
      </c>
      <c r="F29">
        <v>2.6278742374472079E-2</v>
      </c>
      <c r="H29" s="88">
        <v>27</v>
      </c>
      <c r="I29" s="89">
        <v>45717</v>
      </c>
      <c r="J29">
        <v>1097</v>
      </c>
      <c r="K29">
        <v>539</v>
      </c>
      <c r="L29">
        <v>0</v>
      </c>
      <c r="M29">
        <v>4262</v>
      </c>
      <c r="N29">
        <v>112</v>
      </c>
    </row>
    <row r="30" spans="1:14" x14ac:dyDescent="0.2">
      <c r="A30" s="88">
        <v>28</v>
      </c>
      <c r="B30" s="89">
        <v>45748</v>
      </c>
      <c r="C30">
        <v>0.31634485855410871</v>
      </c>
      <c r="D30">
        <v>0.1084418500224517</v>
      </c>
      <c r="E30">
        <v>0</v>
      </c>
      <c r="F30">
        <v>1.6614279299506061E-2</v>
      </c>
      <c r="H30" s="88">
        <v>28</v>
      </c>
      <c r="I30" s="89">
        <v>45748</v>
      </c>
      <c r="J30">
        <v>1409</v>
      </c>
      <c r="K30">
        <v>483</v>
      </c>
      <c r="L30">
        <v>0</v>
      </c>
      <c r="M30">
        <v>4454</v>
      </c>
      <c r="N30">
        <v>74</v>
      </c>
    </row>
    <row r="31" spans="1:14" x14ac:dyDescent="0.2">
      <c r="A31" s="88">
        <v>29</v>
      </c>
      <c r="B31" s="89">
        <v>45778</v>
      </c>
      <c r="C31">
        <v>0.19230769230769229</v>
      </c>
      <c r="D31">
        <v>9.0365944734876774E-2</v>
      </c>
      <c r="E31">
        <v>0</v>
      </c>
      <c r="F31">
        <v>1.568334578043316E-2</v>
      </c>
      <c r="H31" s="88">
        <v>29</v>
      </c>
      <c r="I31" s="89">
        <v>45778</v>
      </c>
      <c r="J31">
        <v>515</v>
      </c>
      <c r="K31">
        <v>242</v>
      </c>
      <c r="L31">
        <v>0</v>
      </c>
      <c r="M31">
        <v>2678</v>
      </c>
      <c r="N31">
        <v>42</v>
      </c>
    </row>
    <row r="32" spans="1:14" x14ac:dyDescent="0.2">
      <c r="A32" s="88">
        <v>30</v>
      </c>
      <c r="B32" s="89">
        <v>45809</v>
      </c>
      <c r="C32">
        <v>0.19392123287671231</v>
      </c>
      <c r="D32">
        <v>8.3476027397260275E-2</v>
      </c>
      <c r="E32">
        <v>0</v>
      </c>
      <c r="F32">
        <v>1.7123287671232879E-2</v>
      </c>
      <c r="H32" s="88">
        <v>30</v>
      </c>
      <c r="I32" s="89">
        <v>45809</v>
      </c>
      <c r="J32">
        <v>453</v>
      </c>
      <c r="K32">
        <v>195</v>
      </c>
      <c r="L32">
        <v>0</v>
      </c>
      <c r="M32">
        <v>2336</v>
      </c>
      <c r="N32">
        <v>40</v>
      </c>
    </row>
    <row r="33" spans="1:14" x14ac:dyDescent="0.2">
      <c r="A33" s="88">
        <v>31</v>
      </c>
      <c r="B33" s="89">
        <v>45839</v>
      </c>
      <c r="C33">
        <v>0.26991317478293703</v>
      </c>
      <c r="D33">
        <v>9.6262740656851642E-2</v>
      </c>
      <c r="E33">
        <v>7.5500188750471874E-4</v>
      </c>
      <c r="F33">
        <v>1.9630049075122689E-2</v>
      </c>
      <c r="H33" s="88">
        <v>31</v>
      </c>
      <c r="I33" s="89">
        <v>45839</v>
      </c>
      <c r="J33">
        <v>715</v>
      </c>
      <c r="K33">
        <v>255</v>
      </c>
      <c r="L33">
        <v>2</v>
      </c>
      <c r="M33">
        <v>2649</v>
      </c>
      <c r="N33">
        <v>52</v>
      </c>
    </row>
    <row r="34" spans="1:14" x14ac:dyDescent="0.2">
      <c r="A34" s="88">
        <v>32</v>
      </c>
      <c r="B34" s="89">
        <v>45870</v>
      </c>
      <c r="C34">
        <v>0.19503722084367239</v>
      </c>
      <c r="D34">
        <v>8.2878411910669969E-2</v>
      </c>
      <c r="E34">
        <v>1.786600496277916E-2</v>
      </c>
      <c r="F34">
        <v>2.0347394540942931E-2</v>
      </c>
      <c r="H34" s="88">
        <v>32</v>
      </c>
      <c r="I34" s="89">
        <v>45870</v>
      </c>
      <c r="J34">
        <v>393</v>
      </c>
      <c r="K34">
        <v>167</v>
      </c>
      <c r="L34">
        <v>36</v>
      </c>
      <c r="M34">
        <v>2015</v>
      </c>
      <c r="N34">
        <v>41</v>
      </c>
    </row>
    <row r="35" spans="1:14" x14ac:dyDescent="0.2">
      <c r="A35" s="88">
        <v>33</v>
      </c>
      <c r="B35" s="89">
        <v>45901</v>
      </c>
      <c r="C35">
        <v>0.1248741188318228</v>
      </c>
      <c r="D35">
        <v>7.3514602215508554E-2</v>
      </c>
      <c r="E35">
        <v>1.1581067472306141E-2</v>
      </c>
      <c r="F35">
        <v>1.7875125881168179E-2</v>
      </c>
      <c r="H35" s="88">
        <v>33</v>
      </c>
      <c r="I35" s="89">
        <v>45901</v>
      </c>
      <c r="J35">
        <v>496</v>
      </c>
      <c r="K35">
        <v>292</v>
      </c>
      <c r="L35">
        <v>46</v>
      </c>
      <c r="M35">
        <v>3972</v>
      </c>
      <c r="N35">
        <v>71</v>
      </c>
    </row>
    <row r="36" spans="1:14" x14ac:dyDescent="0.2">
      <c r="A36" s="88">
        <v>34</v>
      </c>
      <c r="B36" s="89">
        <v>45931</v>
      </c>
      <c r="C36">
        <v>0.1675353685778109</v>
      </c>
      <c r="D36">
        <v>7.5452965996525193E-2</v>
      </c>
      <c r="E36">
        <v>4.7158103747828254E-3</v>
      </c>
      <c r="F36">
        <v>1.0176222387689249E-2</v>
      </c>
      <c r="H36" s="88">
        <v>34</v>
      </c>
      <c r="I36" s="89">
        <v>45931</v>
      </c>
      <c r="J36">
        <v>675</v>
      </c>
      <c r="K36">
        <v>304</v>
      </c>
      <c r="L36">
        <v>19</v>
      </c>
      <c r="M36">
        <v>4029</v>
      </c>
      <c r="N36">
        <v>41</v>
      </c>
    </row>
    <row r="37" spans="1:14" x14ac:dyDescent="0.2">
      <c r="A37" s="88">
        <v>35</v>
      </c>
      <c r="B37" s="89">
        <v>45962</v>
      </c>
      <c r="C37">
        <v>0.14640883977900551</v>
      </c>
      <c r="D37">
        <v>7.4980268350434101E-2</v>
      </c>
      <c r="E37">
        <v>7.8926598263614842E-3</v>
      </c>
      <c r="F37">
        <v>1.3417521704814519E-2</v>
      </c>
      <c r="H37" s="88">
        <v>35</v>
      </c>
      <c r="I37" s="89">
        <v>45962</v>
      </c>
      <c r="J37">
        <v>371</v>
      </c>
      <c r="K37">
        <v>190</v>
      </c>
      <c r="L37">
        <v>20</v>
      </c>
      <c r="M37">
        <v>2534</v>
      </c>
      <c r="N37">
        <v>34</v>
      </c>
    </row>
    <row r="38" spans="1:14" x14ac:dyDescent="0.2">
      <c r="A38" s="88">
        <v>36</v>
      </c>
      <c r="B38" s="89">
        <v>45992</v>
      </c>
      <c r="C38">
        <v>0.1263440860215054</v>
      </c>
      <c r="D38">
        <v>0.1095430107526882</v>
      </c>
      <c r="E38">
        <v>4.7043010752688174E-3</v>
      </c>
      <c r="F38">
        <v>1.0080645161290321E-2</v>
      </c>
      <c r="H38" s="88">
        <v>36</v>
      </c>
      <c r="I38" s="89">
        <v>45992</v>
      </c>
      <c r="J38">
        <v>376</v>
      </c>
      <c r="K38">
        <v>326</v>
      </c>
      <c r="L38">
        <v>14</v>
      </c>
      <c r="M38">
        <v>2976</v>
      </c>
      <c r="N38">
        <v>30</v>
      </c>
    </row>
    <row r="39" spans="1:14" s="92" customFormat="1" x14ac:dyDescent="0.2">
      <c r="A39" s="90">
        <v>37</v>
      </c>
      <c r="B39" s="91">
        <v>46023</v>
      </c>
      <c r="C39" s="92">
        <v>0.1228457799381352</v>
      </c>
      <c r="D39" s="92">
        <v>0.13698630136986301</v>
      </c>
      <c r="E39" s="92">
        <v>6.1864781263809114E-3</v>
      </c>
      <c r="F39" s="92">
        <v>1.016349977905435E-2</v>
      </c>
      <c r="H39" s="90">
        <v>37</v>
      </c>
      <c r="I39" s="91">
        <v>46023</v>
      </c>
      <c r="J39" s="92">
        <v>278</v>
      </c>
      <c r="K39" s="92">
        <v>310</v>
      </c>
      <c r="L39" s="92">
        <v>14</v>
      </c>
      <c r="M39" s="92">
        <v>2263</v>
      </c>
      <c r="N39" s="92">
        <v>23</v>
      </c>
    </row>
    <row r="40" spans="1:14" s="92" customFormat="1" x14ac:dyDescent="0.2">
      <c r="A40" s="90">
        <v>38</v>
      </c>
      <c r="B40" s="91">
        <v>46054</v>
      </c>
      <c r="C40" s="92">
        <v>0.1255946717411989</v>
      </c>
      <c r="D40" s="92">
        <v>0.13320647002854419</v>
      </c>
      <c r="E40" s="92">
        <v>2.85442435775452E-3</v>
      </c>
      <c r="F40" s="92">
        <v>1.04662226450999E-2</v>
      </c>
      <c r="H40" s="90">
        <v>38</v>
      </c>
      <c r="I40" s="91">
        <v>46054</v>
      </c>
      <c r="J40" s="92">
        <v>264</v>
      </c>
      <c r="K40" s="92">
        <v>280</v>
      </c>
      <c r="L40" s="92">
        <v>6</v>
      </c>
      <c r="M40" s="92">
        <v>2102</v>
      </c>
      <c r="N40" s="92">
        <v>22</v>
      </c>
    </row>
    <row r="41" spans="1:14" s="92" customFormat="1" x14ac:dyDescent="0.2">
      <c r="A41" s="90">
        <v>39</v>
      </c>
      <c r="B41" s="91">
        <v>46082</v>
      </c>
      <c r="C41" s="92">
        <v>0.1342031686859273</v>
      </c>
      <c r="D41" s="92">
        <v>0.15517241379310351</v>
      </c>
      <c r="E41" s="92">
        <v>6.9897483690587138E-3</v>
      </c>
      <c r="F41" s="92">
        <v>1.3047530288909599E-2</v>
      </c>
      <c r="H41" s="90">
        <v>39</v>
      </c>
      <c r="I41" s="91">
        <v>46082</v>
      </c>
      <c r="J41" s="92">
        <v>288</v>
      </c>
      <c r="K41" s="92">
        <v>333</v>
      </c>
      <c r="L41" s="92">
        <v>15</v>
      </c>
      <c r="M41" s="92">
        <v>2146</v>
      </c>
      <c r="N41" s="92">
        <v>28</v>
      </c>
    </row>
    <row r="42" spans="1:14" s="92" customFormat="1" x14ac:dyDescent="0.2">
      <c r="A42" s="90">
        <v>40</v>
      </c>
      <c r="B42" s="91">
        <v>46113</v>
      </c>
      <c r="C42" s="92">
        <v>0.21121416526138281</v>
      </c>
      <c r="D42" s="92">
        <v>0.15851602023608771</v>
      </c>
      <c r="E42" s="92">
        <v>2.951096121416526E-3</v>
      </c>
      <c r="F42" s="92">
        <v>3.7942664418212481E-3</v>
      </c>
      <c r="H42" s="90">
        <v>40</v>
      </c>
      <c r="I42" s="91">
        <v>46113</v>
      </c>
      <c r="J42" s="92">
        <v>501</v>
      </c>
      <c r="K42" s="92">
        <v>376</v>
      </c>
      <c r="L42" s="92">
        <v>7</v>
      </c>
      <c r="M42" s="92">
        <v>2372</v>
      </c>
      <c r="N42" s="92">
        <v>9</v>
      </c>
    </row>
    <row r="43" spans="1:14" s="92" customFormat="1" x14ac:dyDescent="0.2">
      <c r="A43" s="90">
        <v>41</v>
      </c>
      <c r="B43" s="91">
        <v>46143</v>
      </c>
      <c r="C43" s="92">
        <v>0.1087087087087087</v>
      </c>
      <c r="D43" s="92">
        <v>0.1705705705705706</v>
      </c>
      <c r="E43" s="92">
        <v>4.8048048048048048E-2</v>
      </c>
      <c r="F43" s="92">
        <v>9.0090090090090089E-3</v>
      </c>
      <c r="H43" s="90">
        <v>41</v>
      </c>
      <c r="I43" s="91">
        <v>46143</v>
      </c>
      <c r="J43" s="92">
        <v>181</v>
      </c>
      <c r="K43" s="92">
        <v>284</v>
      </c>
      <c r="L43" s="92">
        <v>80</v>
      </c>
      <c r="M43" s="92">
        <v>1665</v>
      </c>
      <c r="N43" s="92">
        <v>15</v>
      </c>
    </row>
    <row r="44" spans="1:14" x14ac:dyDescent="0.2">
      <c r="A44" s="88">
        <v>42</v>
      </c>
      <c r="B44" s="89">
        <v>46174</v>
      </c>
      <c r="C44">
        <v>0.10444444444444451</v>
      </c>
      <c r="D44">
        <v>0.1822222222222222</v>
      </c>
      <c r="E44">
        <v>7.1111111111111111E-2</v>
      </c>
      <c r="F44">
        <v>8.8888888888888889E-3</v>
      </c>
      <c r="H44" s="88">
        <v>42</v>
      </c>
      <c r="I44" s="89">
        <v>46174</v>
      </c>
      <c r="J44">
        <v>47</v>
      </c>
      <c r="K44">
        <v>82</v>
      </c>
      <c r="L44">
        <v>32</v>
      </c>
      <c r="M44">
        <v>450</v>
      </c>
      <c r="N44">
        <v>4</v>
      </c>
    </row>
    <row r="46" spans="1:14" x14ac:dyDescent="0.2">
      <c r="C46" s="93">
        <f>AVERAGE(C39:C43)</f>
        <v>0.14051329886707059</v>
      </c>
      <c r="D46" s="93">
        <f>AVERAGE(D39:D43)</f>
        <v>0.15089035519963379</v>
      </c>
      <c r="J46" s="94">
        <f>AVERAGE(J39:J43)</f>
        <v>302.39999999999998</v>
      </c>
      <c r="K46" s="94">
        <f>AVERAGE(K39:K43)</f>
        <v>316.60000000000002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8B89-CF3D-F64F-A07A-1E59C11791E6}">
  <dimension ref="A1:AR39"/>
  <sheetViews>
    <sheetView topLeftCell="A2" workbookViewId="0">
      <selection activeCell="AH39" sqref="AH39"/>
    </sheetView>
  </sheetViews>
  <sheetFormatPr baseColWidth="10" defaultColWidth="8.83203125" defaultRowHeight="16" x14ac:dyDescent="0.2"/>
  <cols>
    <col min="2" max="2" width="11.1640625" customWidth="1"/>
    <col min="12" max="12" width="8.83203125" style="216"/>
    <col min="24" max="24" width="10.5" customWidth="1"/>
    <col min="34" max="34" width="8.83203125" style="216"/>
  </cols>
  <sheetData>
    <row r="1" spans="1:44" x14ac:dyDescent="0.2">
      <c r="B1" t="s">
        <v>265</v>
      </c>
      <c r="X1" t="s">
        <v>264</v>
      </c>
    </row>
    <row r="2" spans="1:44" s="6" customFormat="1" ht="80" x14ac:dyDescent="0.2">
      <c r="B2" s="229" t="s">
        <v>244</v>
      </c>
      <c r="C2" s="229" t="s">
        <v>245</v>
      </c>
      <c r="D2" s="229" t="s">
        <v>246</v>
      </c>
      <c r="E2" s="229" t="s">
        <v>247</v>
      </c>
      <c r="F2" s="229" t="s">
        <v>248</v>
      </c>
      <c r="G2" s="229" t="s">
        <v>249</v>
      </c>
      <c r="H2" s="229" t="s">
        <v>250</v>
      </c>
      <c r="I2" s="229" t="s">
        <v>251</v>
      </c>
      <c r="J2" s="229" t="s">
        <v>252</v>
      </c>
      <c r="K2" s="229" t="s">
        <v>253</v>
      </c>
      <c r="L2" s="232" t="s">
        <v>254</v>
      </c>
      <c r="M2" s="229" t="s">
        <v>255</v>
      </c>
      <c r="N2" s="229" t="s">
        <v>256</v>
      </c>
      <c r="O2" s="229" t="s">
        <v>257</v>
      </c>
      <c r="P2" s="229" t="s">
        <v>258</v>
      </c>
      <c r="Q2" s="229" t="s">
        <v>259</v>
      </c>
      <c r="R2" s="229" t="s">
        <v>260</v>
      </c>
      <c r="S2" s="229" t="s">
        <v>261</v>
      </c>
      <c r="T2" s="229" t="s">
        <v>262</v>
      </c>
      <c r="U2" s="229" t="s">
        <v>263</v>
      </c>
      <c r="V2" s="6" t="s">
        <v>180</v>
      </c>
      <c r="X2" s="229" t="s">
        <v>244</v>
      </c>
      <c r="Y2" s="229" t="s">
        <v>245</v>
      </c>
      <c r="Z2" s="229" t="s">
        <v>246</v>
      </c>
      <c r="AA2" s="229" t="s">
        <v>247</v>
      </c>
      <c r="AB2" s="229" t="s">
        <v>248</v>
      </c>
      <c r="AC2" s="229" t="s">
        <v>249</v>
      </c>
      <c r="AD2" s="229" t="s">
        <v>250</v>
      </c>
      <c r="AE2" s="229" t="s">
        <v>251</v>
      </c>
      <c r="AF2" s="229" t="s">
        <v>252</v>
      </c>
      <c r="AG2" s="229" t="s">
        <v>253</v>
      </c>
      <c r="AH2" s="232" t="s">
        <v>254</v>
      </c>
      <c r="AI2" s="229" t="s">
        <v>255</v>
      </c>
      <c r="AJ2" s="229" t="s">
        <v>256</v>
      </c>
      <c r="AK2" s="229" t="s">
        <v>257</v>
      </c>
      <c r="AL2" s="229" t="s">
        <v>258</v>
      </c>
      <c r="AM2" s="229" t="s">
        <v>259</v>
      </c>
      <c r="AN2" s="229" t="s">
        <v>260</v>
      </c>
      <c r="AO2" s="229" t="s">
        <v>261</v>
      </c>
      <c r="AP2" s="229" t="s">
        <v>262</v>
      </c>
      <c r="AQ2" s="229" t="s">
        <v>263</v>
      </c>
      <c r="AR2" s="6" t="s">
        <v>180</v>
      </c>
    </row>
    <row r="3" spans="1:44" x14ac:dyDescent="0.2">
      <c r="A3" s="88">
        <v>0</v>
      </c>
      <c r="B3" s="89">
        <v>45139</v>
      </c>
      <c r="J3">
        <v>15000</v>
      </c>
      <c r="W3" s="88">
        <v>0</v>
      </c>
      <c r="X3" s="89">
        <v>45139</v>
      </c>
      <c r="AF3">
        <v>3</v>
      </c>
    </row>
    <row r="4" spans="1:44" x14ac:dyDescent="0.2">
      <c r="A4" s="88">
        <v>1</v>
      </c>
      <c r="B4" s="89">
        <v>45170</v>
      </c>
      <c r="J4">
        <v>335000</v>
      </c>
      <c r="W4" s="88">
        <v>1</v>
      </c>
      <c r="X4" s="89">
        <v>45170</v>
      </c>
      <c r="AF4">
        <v>67</v>
      </c>
    </row>
    <row r="5" spans="1:44" x14ac:dyDescent="0.2">
      <c r="A5" s="88">
        <v>2</v>
      </c>
      <c r="B5" s="89">
        <v>45200</v>
      </c>
      <c r="J5">
        <v>630000</v>
      </c>
      <c r="W5" s="88">
        <v>2</v>
      </c>
      <c r="X5" s="89">
        <v>45200</v>
      </c>
      <c r="AF5">
        <v>126</v>
      </c>
    </row>
    <row r="6" spans="1:44" x14ac:dyDescent="0.2">
      <c r="A6" s="88">
        <v>3</v>
      </c>
      <c r="B6" s="89">
        <v>45231</v>
      </c>
      <c r="J6">
        <v>695000</v>
      </c>
      <c r="W6" s="88">
        <v>3</v>
      </c>
      <c r="X6" s="89">
        <v>45231</v>
      </c>
      <c r="AF6">
        <v>139</v>
      </c>
    </row>
    <row r="7" spans="1:44" x14ac:dyDescent="0.2">
      <c r="A7" s="88">
        <v>4</v>
      </c>
      <c r="B7" s="89">
        <v>45261</v>
      </c>
      <c r="I7">
        <v>48000</v>
      </c>
      <c r="J7">
        <v>720000</v>
      </c>
      <c r="W7" s="88">
        <v>4</v>
      </c>
      <c r="X7" s="89">
        <v>45261</v>
      </c>
      <c r="AE7">
        <v>1</v>
      </c>
      <c r="AF7">
        <v>144</v>
      </c>
    </row>
    <row r="8" spans="1:44" x14ac:dyDescent="0.2">
      <c r="A8" s="88">
        <v>5</v>
      </c>
      <c r="B8" s="89">
        <v>45292</v>
      </c>
      <c r="I8">
        <v>48000</v>
      </c>
      <c r="J8">
        <v>720000</v>
      </c>
      <c r="W8" s="88">
        <v>5</v>
      </c>
      <c r="X8" s="89">
        <v>45292</v>
      </c>
      <c r="AE8">
        <v>1</v>
      </c>
      <c r="AF8">
        <v>144</v>
      </c>
    </row>
    <row r="9" spans="1:44" x14ac:dyDescent="0.2">
      <c r="A9" s="88">
        <v>6</v>
      </c>
      <c r="B9" s="89">
        <v>45323</v>
      </c>
      <c r="I9">
        <v>96000</v>
      </c>
      <c r="J9">
        <v>840000</v>
      </c>
      <c r="W9" s="88">
        <v>6</v>
      </c>
      <c r="X9" s="89">
        <v>45323</v>
      </c>
      <c r="AE9">
        <v>2</v>
      </c>
      <c r="AF9">
        <v>168</v>
      </c>
    </row>
    <row r="10" spans="1:44" x14ac:dyDescent="0.2">
      <c r="A10" s="88">
        <v>7</v>
      </c>
      <c r="B10" s="89">
        <v>45352</v>
      </c>
      <c r="I10">
        <v>48000</v>
      </c>
      <c r="J10">
        <v>940000</v>
      </c>
      <c r="W10" s="88">
        <v>7</v>
      </c>
      <c r="X10" s="89">
        <v>45352</v>
      </c>
      <c r="AE10">
        <v>1</v>
      </c>
      <c r="AF10">
        <v>188</v>
      </c>
    </row>
    <row r="11" spans="1:44" x14ac:dyDescent="0.2">
      <c r="A11" s="88">
        <v>8</v>
      </c>
      <c r="B11" s="89">
        <v>45383</v>
      </c>
      <c r="I11">
        <v>48000</v>
      </c>
      <c r="J11">
        <v>760000</v>
      </c>
      <c r="W11" s="88">
        <v>8</v>
      </c>
      <c r="X11" s="89">
        <v>45383</v>
      </c>
      <c r="AE11">
        <v>1</v>
      </c>
      <c r="AF11">
        <v>152</v>
      </c>
    </row>
    <row r="12" spans="1:44" x14ac:dyDescent="0.2">
      <c r="A12" s="88">
        <v>9</v>
      </c>
      <c r="B12" s="89">
        <v>45413</v>
      </c>
      <c r="I12">
        <v>48000</v>
      </c>
      <c r="J12">
        <v>625000</v>
      </c>
      <c r="W12" s="88">
        <v>9</v>
      </c>
      <c r="X12" s="89">
        <v>45413</v>
      </c>
      <c r="AE12">
        <v>1</v>
      </c>
      <c r="AF12">
        <v>125</v>
      </c>
    </row>
    <row r="13" spans="1:44" x14ac:dyDescent="0.2">
      <c r="A13" s="88">
        <v>10</v>
      </c>
      <c r="B13" s="89">
        <v>45444</v>
      </c>
      <c r="I13">
        <v>48000</v>
      </c>
      <c r="J13">
        <v>550000</v>
      </c>
      <c r="W13" s="88">
        <v>10</v>
      </c>
      <c r="X13" s="89">
        <v>45444</v>
      </c>
      <c r="AE13">
        <v>1</v>
      </c>
      <c r="AF13">
        <v>110</v>
      </c>
    </row>
    <row r="14" spans="1:44" x14ac:dyDescent="0.2">
      <c r="A14" s="88">
        <v>11</v>
      </c>
      <c r="B14" s="89">
        <v>45474</v>
      </c>
      <c r="J14">
        <v>570000</v>
      </c>
      <c r="K14">
        <v>45000</v>
      </c>
      <c r="W14" s="88">
        <v>11</v>
      </c>
      <c r="X14" s="89">
        <v>45474</v>
      </c>
      <c r="AF14">
        <v>114</v>
      </c>
      <c r="AG14">
        <v>6</v>
      </c>
    </row>
    <row r="15" spans="1:44" x14ac:dyDescent="0.2">
      <c r="A15" s="88">
        <v>12</v>
      </c>
      <c r="B15" s="89">
        <v>45505</v>
      </c>
      <c r="I15">
        <v>48000</v>
      </c>
      <c r="J15">
        <v>520000</v>
      </c>
      <c r="K15">
        <v>67500</v>
      </c>
      <c r="W15" s="88">
        <v>12</v>
      </c>
      <c r="X15" s="89">
        <v>45505</v>
      </c>
      <c r="AE15">
        <v>1</v>
      </c>
      <c r="AF15">
        <v>104</v>
      </c>
      <c r="AG15">
        <v>9</v>
      </c>
    </row>
    <row r="16" spans="1:44" x14ac:dyDescent="0.2">
      <c r="A16" s="88">
        <v>13</v>
      </c>
      <c r="B16" s="89">
        <v>45536</v>
      </c>
      <c r="J16">
        <v>525000</v>
      </c>
      <c r="K16">
        <v>45000</v>
      </c>
      <c r="W16" s="88">
        <v>13</v>
      </c>
      <c r="X16" s="89">
        <v>45536</v>
      </c>
      <c r="AF16">
        <v>105</v>
      </c>
      <c r="AG16">
        <v>6</v>
      </c>
    </row>
    <row r="17" spans="1:43" x14ac:dyDescent="0.2">
      <c r="A17" s="88">
        <v>14</v>
      </c>
      <c r="B17" s="89">
        <v>45566</v>
      </c>
      <c r="C17">
        <v>300</v>
      </c>
      <c r="E17">
        <v>30000</v>
      </c>
      <c r="F17">
        <v>1056000</v>
      </c>
      <c r="J17">
        <v>375000</v>
      </c>
      <c r="K17">
        <v>30000</v>
      </c>
      <c r="W17" s="88">
        <v>14</v>
      </c>
      <c r="X17" s="89">
        <v>45566</v>
      </c>
      <c r="Y17">
        <v>3</v>
      </c>
      <c r="AA17">
        <v>1</v>
      </c>
      <c r="AB17">
        <v>22</v>
      </c>
      <c r="AF17">
        <v>75</v>
      </c>
      <c r="AG17">
        <v>4</v>
      </c>
    </row>
    <row r="18" spans="1:43" x14ac:dyDescent="0.2">
      <c r="A18" s="88">
        <v>15</v>
      </c>
      <c r="B18" s="89">
        <v>45597</v>
      </c>
      <c r="D18">
        <v>100500</v>
      </c>
      <c r="F18">
        <v>2016000</v>
      </c>
      <c r="H18">
        <v>160000</v>
      </c>
      <c r="J18">
        <v>185000</v>
      </c>
      <c r="K18">
        <v>30000</v>
      </c>
      <c r="W18" s="88">
        <v>15</v>
      </c>
      <c r="X18" s="89">
        <v>45597</v>
      </c>
      <c r="Z18">
        <v>5</v>
      </c>
      <c r="AB18">
        <v>42</v>
      </c>
      <c r="AD18">
        <v>16</v>
      </c>
      <c r="AF18">
        <v>37</v>
      </c>
      <c r="AG18">
        <v>4</v>
      </c>
    </row>
    <row r="19" spans="1:43" x14ac:dyDescent="0.2">
      <c r="A19" s="88">
        <v>16</v>
      </c>
      <c r="B19" s="89">
        <v>45627</v>
      </c>
      <c r="D19">
        <v>20100</v>
      </c>
      <c r="F19">
        <v>1632000</v>
      </c>
      <c r="G19">
        <v>107997</v>
      </c>
      <c r="H19">
        <v>140000</v>
      </c>
      <c r="J19">
        <v>140000</v>
      </c>
      <c r="W19" s="88">
        <v>16</v>
      </c>
      <c r="X19" s="89">
        <v>45627</v>
      </c>
      <c r="Z19">
        <v>1</v>
      </c>
      <c r="AB19">
        <v>34</v>
      </c>
      <c r="AC19">
        <v>3</v>
      </c>
      <c r="AD19">
        <v>14</v>
      </c>
      <c r="AF19">
        <v>28</v>
      </c>
    </row>
    <row r="20" spans="1:43" x14ac:dyDescent="0.2">
      <c r="A20" s="88">
        <v>17</v>
      </c>
      <c r="B20" s="89">
        <v>45658</v>
      </c>
      <c r="D20">
        <v>20100</v>
      </c>
      <c r="E20">
        <v>30000</v>
      </c>
      <c r="F20">
        <v>1872000</v>
      </c>
      <c r="H20">
        <v>140000</v>
      </c>
      <c r="J20">
        <v>105000</v>
      </c>
      <c r="W20" s="88">
        <v>17</v>
      </c>
      <c r="X20" s="89">
        <v>45658</v>
      </c>
      <c r="Z20">
        <v>1</v>
      </c>
      <c r="AA20">
        <v>1</v>
      </c>
      <c r="AB20">
        <v>39</v>
      </c>
      <c r="AD20">
        <v>14</v>
      </c>
      <c r="AF20">
        <v>21</v>
      </c>
    </row>
    <row r="21" spans="1:43" x14ac:dyDescent="0.2">
      <c r="A21" s="88">
        <v>18</v>
      </c>
      <c r="B21" s="89">
        <v>45689</v>
      </c>
      <c r="D21">
        <v>80400</v>
      </c>
      <c r="E21">
        <v>60000</v>
      </c>
      <c r="F21">
        <v>528000</v>
      </c>
      <c r="G21">
        <v>107997</v>
      </c>
      <c r="H21">
        <v>140000</v>
      </c>
      <c r="J21">
        <v>95000</v>
      </c>
      <c r="W21" s="88">
        <v>18</v>
      </c>
      <c r="X21" s="89">
        <v>45689</v>
      </c>
      <c r="Z21">
        <v>4</v>
      </c>
      <c r="AA21">
        <v>2</v>
      </c>
      <c r="AB21">
        <v>11</v>
      </c>
      <c r="AC21">
        <v>3</v>
      </c>
      <c r="AD21">
        <v>14</v>
      </c>
      <c r="AF21">
        <v>19</v>
      </c>
    </row>
    <row r="22" spans="1:43" x14ac:dyDescent="0.2">
      <c r="A22" s="88">
        <v>19</v>
      </c>
      <c r="B22" s="89">
        <v>45717</v>
      </c>
      <c r="D22">
        <v>80400</v>
      </c>
      <c r="E22">
        <v>60000</v>
      </c>
      <c r="F22">
        <v>192000</v>
      </c>
      <c r="G22">
        <v>251993</v>
      </c>
      <c r="H22">
        <v>270000</v>
      </c>
      <c r="J22">
        <v>65000</v>
      </c>
      <c r="N22">
        <v>125958</v>
      </c>
      <c r="Q22">
        <v>115942</v>
      </c>
      <c r="W22" s="88">
        <v>19</v>
      </c>
      <c r="X22" s="89">
        <v>45717</v>
      </c>
      <c r="Z22">
        <v>4</v>
      </c>
      <c r="AA22">
        <v>2</v>
      </c>
      <c r="AB22">
        <v>4</v>
      </c>
      <c r="AC22">
        <v>7</v>
      </c>
      <c r="AD22">
        <v>27</v>
      </c>
      <c r="AF22">
        <v>13</v>
      </c>
      <c r="AJ22">
        <v>42</v>
      </c>
      <c r="AM22">
        <v>58</v>
      </c>
    </row>
    <row r="23" spans="1:43" x14ac:dyDescent="0.2">
      <c r="A23" s="88">
        <v>20</v>
      </c>
      <c r="B23" s="89">
        <v>45748</v>
      </c>
      <c r="D23">
        <v>40200</v>
      </c>
      <c r="E23">
        <v>60000</v>
      </c>
      <c r="F23">
        <v>96000</v>
      </c>
      <c r="H23">
        <v>190000</v>
      </c>
      <c r="J23">
        <v>50000</v>
      </c>
      <c r="N23">
        <v>212929</v>
      </c>
      <c r="Q23">
        <v>75962</v>
      </c>
      <c r="W23" s="88">
        <v>20</v>
      </c>
      <c r="X23" s="89">
        <v>45748</v>
      </c>
      <c r="Z23">
        <v>2</v>
      </c>
      <c r="AA23">
        <v>2</v>
      </c>
      <c r="AB23">
        <v>2</v>
      </c>
      <c r="AD23">
        <v>19</v>
      </c>
      <c r="AF23">
        <v>10</v>
      </c>
      <c r="AJ23">
        <v>71</v>
      </c>
      <c r="AM23">
        <v>38</v>
      </c>
    </row>
    <row r="24" spans="1:43" x14ac:dyDescent="0.2">
      <c r="A24" s="88">
        <v>21</v>
      </c>
      <c r="B24" s="89">
        <v>45778</v>
      </c>
      <c r="D24">
        <v>40200</v>
      </c>
      <c r="F24">
        <v>96000</v>
      </c>
      <c r="G24">
        <v>35999</v>
      </c>
      <c r="H24">
        <v>190000</v>
      </c>
      <c r="J24">
        <v>50000</v>
      </c>
      <c r="N24">
        <v>203932</v>
      </c>
      <c r="Q24">
        <v>71964</v>
      </c>
      <c r="W24" s="88">
        <v>21</v>
      </c>
      <c r="X24" s="89">
        <v>45778</v>
      </c>
      <c r="Z24">
        <v>2</v>
      </c>
      <c r="AB24">
        <v>2</v>
      </c>
      <c r="AC24">
        <v>1</v>
      </c>
      <c r="AD24">
        <v>19</v>
      </c>
      <c r="AF24">
        <v>10</v>
      </c>
      <c r="AJ24">
        <v>68</v>
      </c>
      <c r="AM24">
        <v>36</v>
      </c>
    </row>
    <row r="25" spans="1:43" x14ac:dyDescent="0.2">
      <c r="A25" s="88">
        <v>22</v>
      </c>
      <c r="B25" s="89">
        <v>45809</v>
      </c>
      <c r="D25">
        <v>80400</v>
      </c>
      <c r="F25">
        <v>48000</v>
      </c>
      <c r="H25">
        <v>160000</v>
      </c>
      <c r="J25">
        <v>40000</v>
      </c>
      <c r="N25">
        <v>143952</v>
      </c>
      <c r="O25">
        <v>29990</v>
      </c>
      <c r="P25">
        <v>9995</v>
      </c>
      <c r="Q25">
        <v>65967</v>
      </c>
      <c r="T25">
        <v>44985</v>
      </c>
      <c r="U25">
        <v>3998</v>
      </c>
      <c r="W25" s="88">
        <v>22</v>
      </c>
      <c r="X25" s="89">
        <v>45809</v>
      </c>
      <c r="Z25">
        <v>4</v>
      </c>
      <c r="AB25">
        <v>1</v>
      </c>
      <c r="AD25">
        <v>16</v>
      </c>
      <c r="AF25">
        <v>8</v>
      </c>
      <c r="AJ25">
        <v>48</v>
      </c>
      <c r="AK25">
        <v>10</v>
      </c>
      <c r="AL25">
        <v>5</v>
      </c>
      <c r="AM25">
        <v>33</v>
      </c>
      <c r="AP25">
        <v>15</v>
      </c>
      <c r="AQ25">
        <v>2</v>
      </c>
    </row>
    <row r="26" spans="1:43" x14ac:dyDescent="0.2">
      <c r="A26" s="88">
        <v>23</v>
      </c>
      <c r="B26" s="89">
        <v>45839</v>
      </c>
      <c r="D26">
        <v>60300</v>
      </c>
      <c r="E26">
        <v>60000</v>
      </c>
      <c r="F26">
        <v>96000</v>
      </c>
      <c r="H26">
        <v>170000</v>
      </c>
      <c r="J26">
        <v>40000</v>
      </c>
      <c r="O26">
        <v>83972</v>
      </c>
      <c r="P26">
        <v>45977</v>
      </c>
      <c r="T26">
        <v>161946</v>
      </c>
      <c r="W26" s="88">
        <v>23</v>
      </c>
      <c r="X26" s="89">
        <v>45839</v>
      </c>
      <c r="Z26">
        <v>3</v>
      </c>
      <c r="AA26">
        <v>2</v>
      </c>
      <c r="AB26">
        <v>2</v>
      </c>
      <c r="AD26">
        <v>17</v>
      </c>
      <c r="AF26">
        <v>8</v>
      </c>
      <c r="AK26">
        <v>28</v>
      </c>
      <c r="AL26">
        <v>23</v>
      </c>
      <c r="AP26">
        <v>54</v>
      </c>
    </row>
    <row r="27" spans="1:43" x14ac:dyDescent="0.2">
      <c r="A27" s="88">
        <v>24</v>
      </c>
      <c r="B27" s="89">
        <v>45870</v>
      </c>
      <c r="E27">
        <v>30000</v>
      </c>
      <c r="H27">
        <v>80000</v>
      </c>
      <c r="J27">
        <v>40000</v>
      </c>
      <c r="O27">
        <v>83972</v>
      </c>
      <c r="P27">
        <v>41979</v>
      </c>
      <c r="T27">
        <v>188937</v>
      </c>
      <c r="W27" s="88">
        <v>24</v>
      </c>
      <c r="X27" s="89">
        <v>45870</v>
      </c>
      <c r="AA27">
        <v>1</v>
      </c>
      <c r="AD27">
        <v>8</v>
      </c>
      <c r="AF27">
        <v>8</v>
      </c>
      <c r="AK27">
        <v>28</v>
      </c>
      <c r="AL27">
        <v>21</v>
      </c>
      <c r="AP27">
        <v>63</v>
      </c>
    </row>
    <row r="28" spans="1:43" x14ac:dyDescent="0.2">
      <c r="A28" s="88">
        <v>25</v>
      </c>
      <c r="B28" s="89">
        <v>45901</v>
      </c>
      <c r="D28">
        <v>20100</v>
      </c>
      <c r="F28">
        <v>48000</v>
      </c>
      <c r="H28">
        <v>80000</v>
      </c>
      <c r="J28">
        <v>30000</v>
      </c>
      <c r="M28">
        <v>162000</v>
      </c>
      <c r="O28">
        <v>86971</v>
      </c>
      <c r="P28">
        <v>39980</v>
      </c>
      <c r="S28">
        <v>5243</v>
      </c>
      <c r="T28">
        <v>191936</v>
      </c>
      <c r="W28" s="88">
        <v>25</v>
      </c>
      <c r="X28" s="89">
        <v>45901</v>
      </c>
      <c r="Z28">
        <v>1</v>
      </c>
      <c r="AB28">
        <v>1</v>
      </c>
      <c r="AD28">
        <v>8</v>
      </c>
      <c r="AF28">
        <v>6</v>
      </c>
      <c r="AI28">
        <v>54</v>
      </c>
      <c r="AK28">
        <v>29</v>
      </c>
      <c r="AL28">
        <v>20</v>
      </c>
      <c r="AO28">
        <v>7</v>
      </c>
      <c r="AP28">
        <v>64</v>
      </c>
    </row>
    <row r="29" spans="1:43" x14ac:dyDescent="0.2">
      <c r="A29" s="88">
        <v>26</v>
      </c>
      <c r="B29" s="89">
        <v>45931</v>
      </c>
      <c r="D29">
        <v>40200</v>
      </c>
      <c r="F29">
        <v>192000</v>
      </c>
      <c r="H29">
        <v>50000</v>
      </c>
      <c r="J29">
        <v>25000</v>
      </c>
      <c r="M29">
        <v>834000</v>
      </c>
      <c r="O29">
        <v>77974</v>
      </c>
      <c r="P29">
        <v>39980</v>
      </c>
      <c r="R29">
        <v>19992</v>
      </c>
      <c r="S29">
        <v>9737</v>
      </c>
      <c r="T29">
        <v>227924</v>
      </c>
      <c r="W29" s="88">
        <v>26</v>
      </c>
      <c r="X29" s="89">
        <v>45931</v>
      </c>
      <c r="Z29">
        <v>2</v>
      </c>
      <c r="AB29">
        <v>4</v>
      </c>
      <c r="AD29">
        <v>5</v>
      </c>
      <c r="AF29">
        <v>5</v>
      </c>
      <c r="AI29">
        <v>278</v>
      </c>
      <c r="AK29">
        <v>26</v>
      </c>
      <c r="AL29">
        <v>20</v>
      </c>
      <c r="AN29">
        <v>8</v>
      </c>
      <c r="AO29">
        <v>13</v>
      </c>
      <c r="AP29">
        <v>76</v>
      </c>
    </row>
    <row r="30" spans="1:43" x14ac:dyDescent="0.2">
      <c r="A30" s="88">
        <v>27</v>
      </c>
      <c r="B30" s="89">
        <v>45962</v>
      </c>
      <c r="D30">
        <v>20100</v>
      </c>
      <c r="F30">
        <v>288000</v>
      </c>
      <c r="H30">
        <v>40000</v>
      </c>
      <c r="J30">
        <v>20000</v>
      </c>
      <c r="M30">
        <v>975000</v>
      </c>
      <c r="O30">
        <v>77974</v>
      </c>
      <c r="P30">
        <v>31984</v>
      </c>
      <c r="R30">
        <v>37485</v>
      </c>
      <c r="T30">
        <v>197934</v>
      </c>
      <c r="W30" s="88">
        <v>27</v>
      </c>
      <c r="X30" s="89">
        <v>45962</v>
      </c>
      <c r="Z30">
        <v>1</v>
      </c>
      <c r="AB30">
        <v>6</v>
      </c>
      <c r="AD30">
        <v>4</v>
      </c>
      <c r="AF30">
        <v>4</v>
      </c>
      <c r="AI30">
        <v>325</v>
      </c>
      <c r="AK30">
        <v>26</v>
      </c>
      <c r="AL30">
        <v>16</v>
      </c>
      <c r="AN30">
        <v>15</v>
      </c>
      <c r="AP30">
        <v>66</v>
      </c>
    </row>
    <row r="31" spans="1:43" x14ac:dyDescent="0.2">
      <c r="A31" s="88">
        <v>28</v>
      </c>
      <c r="B31" s="89">
        <v>45992</v>
      </c>
      <c r="D31">
        <v>20100</v>
      </c>
      <c r="F31">
        <v>184529.96</v>
      </c>
      <c r="H31">
        <v>10000</v>
      </c>
      <c r="J31">
        <v>17024.8</v>
      </c>
      <c r="L31" s="216">
        <v>167844.6</v>
      </c>
      <c r="M31">
        <v>934466.69</v>
      </c>
      <c r="O31">
        <v>70976</v>
      </c>
      <c r="P31">
        <v>25987</v>
      </c>
      <c r="R31">
        <v>24391.119999999999</v>
      </c>
      <c r="T31">
        <v>217456.73</v>
      </c>
      <c r="W31" s="88">
        <v>28</v>
      </c>
      <c r="X31" s="89">
        <v>45992</v>
      </c>
      <c r="Z31">
        <v>1</v>
      </c>
      <c r="AB31">
        <v>6</v>
      </c>
      <c r="AD31">
        <v>1</v>
      </c>
      <c r="AF31">
        <v>4</v>
      </c>
      <c r="AH31" s="216">
        <v>54</v>
      </c>
      <c r="AI31">
        <v>329</v>
      </c>
      <c r="AK31">
        <v>24</v>
      </c>
      <c r="AL31">
        <v>13</v>
      </c>
      <c r="AN31">
        <v>10</v>
      </c>
      <c r="AP31">
        <v>74</v>
      </c>
    </row>
    <row r="32" spans="1:43" s="216" customFormat="1" x14ac:dyDescent="0.2">
      <c r="A32" s="230">
        <v>29</v>
      </c>
      <c r="B32" s="231">
        <v>46023</v>
      </c>
      <c r="D32" s="216">
        <v>20100</v>
      </c>
      <c r="F32" s="216">
        <v>233105.99</v>
      </c>
      <c r="J32" s="216">
        <v>15000</v>
      </c>
      <c r="L32" s="216">
        <v>622092.50000000012</v>
      </c>
      <c r="M32" s="216">
        <v>894472.48999999987</v>
      </c>
      <c r="O32" s="216">
        <v>83089.13</v>
      </c>
      <c r="R32" s="216">
        <v>33194.81</v>
      </c>
      <c r="T32" s="216">
        <v>213944.3</v>
      </c>
      <c r="W32" s="230">
        <v>29</v>
      </c>
      <c r="X32" s="231">
        <v>46023</v>
      </c>
      <c r="Z32" s="216">
        <v>1</v>
      </c>
      <c r="AB32" s="216">
        <v>7</v>
      </c>
      <c r="AF32" s="216">
        <v>3</v>
      </c>
      <c r="AH32" s="216">
        <v>208</v>
      </c>
      <c r="AI32" s="216">
        <v>341</v>
      </c>
      <c r="AK32" s="216">
        <v>33</v>
      </c>
      <c r="AN32" s="216">
        <v>13</v>
      </c>
      <c r="AP32" s="216">
        <v>76</v>
      </c>
    </row>
    <row r="33" spans="1:44" s="216" customFormat="1" x14ac:dyDescent="0.2">
      <c r="A33" s="230">
        <v>30</v>
      </c>
      <c r="B33" s="231">
        <v>46054</v>
      </c>
      <c r="F33" s="216">
        <v>151499.66</v>
      </c>
      <c r="I33" s="216">
        <v>48000</v>
      </c>
      <c r="J33" s="216">
        <v>15000</v>
      </c>
      <c r="L33" s="216">
        <v>583326.00999999989</v>
      </c>
      <c r="M33" s="216">
        <v>852573.53999999992</v>
      </c>
      <c r="O33" s="216">
        <v>84413.87000000001</v>
      </c>
      <c r="R33" s="216">
        <v>19992</v>
      </c>
      <c r="T33" s="216">
        <v>177148.99</v>
      </c>
      <c r="W33" s="230">
        <v>30</v>
      </c>
      <c r="X33" s="231">
        <v>46054</v>
      </c>
      <c r="AB33" s="216">
        <v>5</v>
      </c>
      <c r="AE33" s="216">
        <v>1</v>
      </c>
      <c r="AF33" s="216">
        <v>3</v>
      </c>
      <c r="AH33" s="216">
        <v>202</v>
      </c>
      <c r="AI33" s="216">
        <v>331</v>
      </c>
      <c r="AK33" s="216">
        <v>35</v>
      </c>
      <c r="AN33" s="216">
        <v>8</v>
      </c>
      <c r="AP33" s="216">
        <v>71</v>
      </c>
    </row>
    <row r="34" spans="1:44" s="216" customFormat="1" x14ac:dyDescent="0.2">
      <c r="A34" s="230">
        <v>31</v>
      </c>
      <c r="B34" s="231">
        <v>46082</v>
      </c>
      <c r="F34" s="216">
        <v>26974.68</v>
      </c>
      <c r="J34" s="216">
        <v>10012.75</v>
      </c>
      <c r="L34" s="216">
        <v>669344.91999999993</v>
      </c>
      <c r="M34" s="216">
        <v>842216.02999999991</v>
      </c>
      <c r="O34" s="216">
        <v>71863.89</v>
      </c>
      <c r="R34" s="216">
        <v>22991</v>
      </c>
      <c r="T34" s="216">
        <v>202310.26</v>
      </c>
      <c r="W34" s="230">
        <v>31</v>
      </c>
      <c r="X34" s="231">
        <v>46082</v>
      </c>
      <c r="AB34" s="216">
        <v>2</v>
      </c>
      <c r="AF34" s="216">
        <v>3</v>
      </c>
      <c r="AH34" s="216">
        <v>234</v>
      </c>
      <c r="AI34" s="216">
        <v>324</v>
      </c>
      <c r="AK34" s="216">
        <v>30</v>
      </c>
      <c r="AN34" s="216">
        <v>9</v>
      </c>
      <c r="AP34" s="216">
        <v>76</v>
      </c>
    </row>
    <row r="35" spans="1:44" s="216" customFormat="1" x14ac:dyDescent="0.2">
      <c r="A35" s="230">
        <v>32</v>
      </c>
      <c r="B35" s="231">
        <v>46113</v>
      </c>
      <c r="D35" s="216">
        <v>20100</v>
      </c>
      <c r="J35" s="216">
        <v>6433.75</v>
      </c>
      <c r="L35" s="216">
        <v>655249.57999999973</v>
      </c>
      <c r="M35" s="216">
        <v>911338.04999999993</v>
      </c>
      <c r="O35" s="216">
        <v>96695.4</v>
      </c>
      <c r="R35" s="216">
        <v>15494</v>
      </c>
      <c r="T35" s="216">
        <v>232764.62</v>
      </c>
      <c r="W35" s="230">
        <v>32</v>
      </c>
      <c r="X35" s="231">
        <v>46113</v>
      </c>
      <c r="Z35" s="216">
        <v>1</v>
      </c>
      <c r="AF35" s="216">
        <v>2</v>
      </c>
      <c r="AH35" s="216">
        <v>251</v>
      </c>
      <c r="AI35" s="216">
        <v>346</v>
      </c>
      <c r="AK35" s="216">
        <v>40</v>
      </c>
      <c r="AN35" s="216">
        <v>6</v>
      </c>
      <c r="AP35" s="216">
        <v>84</v>
      </c>
    </row>
    <row r="36" spans="1:44" x14ac:dyDescent="0.2">
      <c r="A36" s="88">
        <v>33</v>
      </c>
      <c r="B36" s="89">
        <v>46143</v>
      </c>
      <c r="L36" s="216">
        <v>45733.16</v>
      </c>
      <c r="M36">
        <v>75328.759999999995</v>
      </c>
      <c r="T36">
        <v>15892.6</v>
      </c>
      <c r="W36" s="88">
        <v>33</v>
      </c>
      <c r="X36" s="89">
        <v>46143</v>
      </c>
      <c r="AH36" s="216">
        <v>17</v>
      </c>
      <c r="AI36">
        <v>31</v>
      </c>
      <c r="AP36">
        <v>6</v>
      </c>
    </row>
    <row r="37" spans="1:44" x14ac:dyDescent="0.2">
      <c r="B37" t="s">
        <v>266</v>
      </c>
      <c r="C37">
        <f>SUM(C32:C35)</f>
        <v>0</v>
      </c>
      <c r="D37">
        <f>SUM(D32:D35)</f>
        <v>40200</v>
      </c>
      <c r="E37">
        <f t="shared" ref="E37:T37" si="0">SUM(E32:E35)</f>
        <v>0</v>
      </c>
      <c r="F37">
        <f t="shared" si="0"/>
        <v>411580.33</v>
      </c>
      <c r="G37">
        <f t="shared" si="0"/>
        <v>0</v>
      </c>
      <c r="H37">
        <f t="shared" si="0"/>
        <v>0</v>
      </c>
      <c r="I37">
        <f t="shared" si="0"/>
        <v>48000</v>
      </c>
      <c r="J37">
        <f t="shared" si="0"/>
        <v>46446.5</v>
      </c>
      <c r="K37">
        <f t="shared" si="0"/>
        <v>0</v>
      </c>
      <c r="L37" s="216">
        <f t="shared" si="0"/>
        <v>2530013.0099999998</v>
      </c>
      <c r="M37">
        <f t="shared" si="0"/>
        <v>3500600.1099999994</v>
      </c>
      <c r="N37">
        <f t="shared" si="0"/>
        <v>0</v>
      </c>
      <c r="O37">
        <f t="shared" si="0"/>
        <v>336062.29000000004</v>
      </c>
      <c r="P37">
        <f t="shared" si="0"/>
        <v>0</v>
      </c>
      <c r="Q37">
        <f t="shared" si="0"/>
        <v>0</v>
      </c>
      <c r="R37">
        <f t="shared" si="0"/>
        <v>91671.81</v>
      </c>
      <c r="S37">
        <f t="shared" si="0"/>
        <v>0</v>
      </c>
      <c r="T37">
        <f t="shared" si="0"/>
        <v>826168.17</v>
      </c>
      <c r="V37">
        <f>SUM(D37:T37)</f>
        <v>7830742.2199999988</v>
      </c>
      <c r="X37" t="s">
        <v>266</v>
      </c>
      <c r="Y37">
        <f>SUM(Y32:Y35)</f>
        <v>0</v>
      </c>
      <c r="Z37">
        <f>SUM(Z32:Z35)</f>
        <v>2</v>
      </c>
      <c r="AA37">
        <f t="shared" ref="AA37:AP37" si="1">SUM(AA32:AA35)</f>
        <v>0</v>
      </c>
      <c r="AB37">
        <f t="shared" si="1"/>
        <v>14</v>
      </c>
      <c r="AC37">
        <f t="shared" si="1"/>
        <v>0</v>
      </c>
      <c r="AD37">
        <f t="shared" si="1"/>
        <v>0</v>
      </c>
      <c r="AE37">
        <f t="shared" si="1"/>
        <v>1</v>
      </c>
      <c r="AF37">
        <f t="shared" si="1"/>
        <v>11</v>
      </c>
      <c r="AG37">
        <f t="shared" si="1"/>
        <v>0</v>
      </c>
      <c r="AH37" s="216">
        <f t="shared" si="1"/>
        <v>895</v>
      </c>
      <c r="AI37">
        <f t="shared" si="1"/>
        <v>1342</v>
      </c>
      <c r="AJ37">
        <f t="shared" si="1"/>
        <v>0</v>
      </c>
      <c r="AK37">
        <f t="shared" si="1"/>
        <v>138</v>
      </c>
      <c r="AL37">
        <f t="shared" si="1"/>
        <v>0</v>
      </c>
      <c r="AM37">
        <f t="shared" si="1"/>
        <v>0</v>
      </c>
      <c r="AN37">
        <f t="shared" si="1"/>
        <v>36</v>
      </c>
      <c r="AO37">
        <f t="shared" si="1"/>
        <v>0</v>
      </c>
      <c r="AP37">
        <f t="shared" si="1"/>
        <v>307</v>
      </c>
      <c r="AR37">
        <f>SUM(Z37:AP37)</f>
        <v>2746</v>
      </c>
    </row>
    <row r="39" spans="1:44" x14ac:dyDescent="0.2">
      <c r="L39" s="233">
        <f>L37/V37</f>
        <v>0.32308725519507653</v>
      </c>
      <c r="AH39" s="233">
        <f>AH37/AR37</f>
        <v>0.32592862345229423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AB3F-4473-104D-9448-0BEBC2F8392D}">
  <dimension ref="A1:E30"/>
  <sheetViews>
    <sheetView workbookViewId="0">
      <selection activeCell="B30" sqref="B30"/>
    </sheetView>
  </sheetViews>
  <sheetFormatPr baseColWidth="10" defaultRowHeight="16" x14ac:dyDescent="0.2"/>
  <cols>
    <col min="1" max="1" width="54.5" customWidth="1"/>
    <col min="2" max="2" width="68.1640625" customWidth="1"/>
    <col min="3" max="3" width="20.6640625" customWidth="1"/>
  </cols>
  <sheetData>
    <row r="1" spans="1:5" ht="34" x14ac:dyDescent="0.2">
      <c r="A1" s="9" t="s">
        <v>18</v>
      </c>
      <c r="B1" t="s">
        <v>17</v>
      </c>
      <c r="C1" s="5"/>
      <c r="E1" t="s">
        <v>19</v>
      </c>
    </row>
    <row r="2" spans="1:5" x14ac:dyDescent="0.2">
      <c r="A2" s="9"/>
      <c r="B2" t="s">
        <v>22</v>
      </c>
      <c r="C2" s="5"/>
    </row>
    <row r="3" spans="1:5" x14ac:dyDescent="0.2">
      <c r="A3" s="9"/>
      <c r="B3" t="s">
        <v>23</v>
      </c>
      <c r="C3" s="5"/>
    </row>
    <row r="4" spans="1:5" x14ac:dyDescent="0.2">
      <c r="A4" s="6"/>
      <c r="B4" t="s">
        <v>8</v>
      </c>
      <c r="C4" s="5"/>
    </row>
    <row r="5" spans="1:5" x14ac:dyDescent="0.2">
      <c r="B5" t="s">
        <v>9</v>
      </c>
    </row>
    <row r="6" spans="1:5" x14ac:dyDescent="0.2">
      <c r="A6" t="s">
        <v>21</v>
      </c>
      <c r="B6" t="s">
        <v>24</v>
      </c>
    </row>
    <row r="8" spans="1:5" x14ac:dyDescent="0.2">
      <c r="A8" s="8" t="s">
        <v>6</v>
      </c>
      <c r="B8" s="7" t="s">
        <v>12</v>
      </c>
      <c r="C8" s="5" t="s">
        <v>11</v>
      </c>
    </row>
    <row r="9" spans="1:5" x14ac:dyDescent="0.2">
      <c r="A9" s="10"/>
      <c r="B9" s="10" t="s">
        <v>16</v>
      </c>
      <c r="C9" s="10" t="s">
        <v>33</v>
      </c>
    </row>
    <row r="10" spans="1:5" x14ac:dyDescent="0.2">
      <c r="A10" s="10" t="s">
        <v>13</v>
      </c>
      <c r="B10" s="10">
        <v>36400</v>
      </c>
      <c r="C10" s="10">
        <v>34500</v>
      </c>
    </row>
    <row r="11" spans="1:5" x14ac:dyDescent="0.2">
      <c r="A11" s="10" t="s">
        <v>14</v>
      </c>
      <c r="B11" s="10">
        <v>36200</v>
      </c>
      <c r="C11" s="10">
        <v>28300</v>
      </c>
    </row>
    <row r="12" spans="1:5" x14ac:dyDescent="0.2">
      <c r="A12" s="10" t="s">
        <v>15</v>
      </c>
      <c r="B12" s="10">
        <v>4880</v>
      </c>
      <c r="C12" s="10">
        <v>4100</v>
      </c>
    </row>
    <row r="13" spans="1:5" x14ac:dyDescent="0.2">
      <c r="A13" s="10" t="s">
        <v>34</v>
      </c>
      <c r="B13" s="10">
        <v>1730</v>
      </c>
      <c r="C13" s="10">
        <v>12400</v>
      </c>
    </row>
    <row r="14" spans="1:5" x14ac:dyDescent="0.2">
      <c r="A14" s="10"/>
      <c r="B14" s="10">
        <f>SUM(B10:B13)</f>
        <v>79210</v>
      </c>
      <c r="C14" s="10">
        <f>SUM(C10:C13)</f>
        <v>79300</v>
      </c>
    </row>
    <row r="15" spans="1:5" x14ac:dyDescent="0.2">
      <c r="A15" s="12" t="s">
        <v>7</v>
      </c>
      <c r="B15" s="13" t="s">
        <v>36</v>
      </c>
    </row>
    <row r="17" spans="1:2" x14ac:dyDescent="0.2">
      <c r="A17" s="12" t="s">
        <v>10</v>
      </c>
      <c r="B17" s="13" t="s">
        <v>35</v>
      </c>
    </row>
    <row r="18" spans="1:2" x14ac:dyDescent="0.2">
      <c r="B18" t="s">
        <v>20</v>
      </c>
    </row>
    <row r="20" spans="1:2" x14ac:dyDescent="0.2">
      <c r="A20" t="s">
        <v>31</v>
      </c>
    </row>
    <row r="21" spans="1:2" x14ac:dyDescent="0.2">
      <c r="A21" s="7" t="s">
        <v>30</v>
      </c>
    </row>
    <row r="23" spans="1:2" ht="19" x14ac:dyDescent="0.2">
      <c r="A23" s="11" t="s">
        <v>25</v>
      </c>
      <c r="B23" t="s">
        <v>26</v>
      </c>
    </row>
    <row r="24" spans="1:2" ht="19" x14ac:dyDescent="0.2">
      <c r="A24" s="11" t="s">
        <v>27</v>
      </c>
      <c r="B24" t="s">
        <v>28</v>
      </c>
    </row>
    <row r="25" spans="1:2" ht="19" x14ac:dyDescent="0.2">
      <c r="A25" s="11" t="s">
        <v>29</v>
      </c>
      <c r="B25" t="s">
        <v>32</v>
      </c>
    </row>
    <row r="30" spans="1:2" x14ac:dyDescent="0.2">
      <c r="A30" s="8" t="s">
        <v>89</v>
      </c>
    </row>
  </sheetData>
  <hyperlinks>
    <hyperlink ref="B8" r:id="rId1" xr:uid="{B1C72D04-7547-6744-A07F-F25F768086EB}"/>
    <hyperlink ref="A21" r:id="rId2" xr:uid="{12C71B04-CEDE-1646-A3CC-D3794ED288A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23D9E-C43D-EF4B-8B64-4612BB09D338}">
  <dimension ref="A1:E29"/>
  <sheetViews>
    <sheetView topLeftCell="A3" zoomScale="110" zoomScaleNormal="110" workbookViewId="0">
      <selection activeCell="F8" sqref="F8"/>
    </sheetView>
  </sheetViews>
  <sheetFormatPr baseColWidth="10" defaultRowHeight="16" x14ac:dyDescent="0.2"/>
  <cols>
    <col min="1" max="1" width="24.5" style="132" customWidth="1"/>
    <col min="2" max="2" width="60.5" style="130" customWidth="1"/>
    <col min="3" max="3" width="23" style="130" customWidth="1"/>
    <col min="4" max="4" width="36.6640625" style="132" customWidth="1"/>
    <col min="5" max="5" width="16" style="132" customWidth="1"/>
    <col min="6" max="16384" width="10.83203125" style="132"/>
  </cols>
  <sheetData>
    <row r="1" spans="1:5" x14ac:dyDescent="0.2">
      <c r="A1" s="131" t="s">
        <v>3</v>
      </c>
    </row>
    <row r="2" spans="1:5" x14ac:dyDescent="0.2">
      <c r="E2" s="132" t="s">
        <v>234</v>
      </c>
    </row>
    <row r="3" spans="1:5" ht="17" x14ac:dyDescent="0.2">
      <c r="A3" s="133" t="s">
        <v>199</v>
      </c>
      <c r="B3" s="130" t="s">
        <v>237</v>
      </c>
      <c r="C3" s="141" t="s">
        <v>211</v>
      </c>
      <c r="D3" s="134" t="s">
        <v>200</v>
      </c>
      <c r="E3" s="132">
        <v>11</v>
      </c>
    </row>
    <row r="4" spans="1:5" ht="17" x14ac:dyDescent="0.2">
      <c r="A4" s="133"/>
      <c r="B4" s="135" t="s">
        <v>238</v>
      </c>
      <c r="C4" s="141" t="s">
        <v>211</v>
      </c>
      <c r="E4" s="132">
        <v>11</v>
      </c>
    </row>
    <row r="5" spans="1:5" ht="51" x14ac:dyDescent="0.2">
      <c r="A5" s="133"/>
      <c r="B5" s="135" t="s">
        <v>216</v>
      </c>
      <c r="C5" s="141"/>
      <c r="E5" s="132">
        <v>11</v>
      </c>
    </row>
    <row r="6" spans="1:5" ht="17" x14ac:dyDescent="0.2">
      <c r="A6" s="136" t="s">
        <v>201</v>
      </c>
      <c r="B6" s="130" t="s">
        <v>202</v>
      </c>
      <c r="C6" s="141" t="s">
        <v>211</v>
      </c>
      <c r="D6" s="134" t="s">
        <v>200</v>
      </c>
      <c r="E6" s="132">
        <v>11</v>
      </c>
    </row>
    <row r="7" spans="1:5" ht="17" x14ac:dyDescent="0.2">
      <c r="A7" s="139" t="s">
        <v>178</v>
      </c>
      <c r="B7" s="130" t="s">
        <v>233</v>
      </c>
      <c r="C7" s="141" t="s">
        <v>211</v>
      </c>
      <c r="D7" s="134"/>
      <c r="E7" s="132">
        <v>11</v>
      </c>
    </row>
    <row r="8" spans="1:5" ht="20" customHeight="1" x14ac:dyDescent="0.2">
      <c r="A8" s="139" t="s">
        <v>178</v>
      </c>
      <c r="B8" s="130" t="s">
        <v>232</v>
      </c>
      <c r="C8" s="141"/>
      <c r="D8" s="134"/>
      <c r="E8" s="132" t="s">
        <v>236</v>
      </c>
    </row>
    <row r="9" spans="1:5" ht="34" x14ac:dyDescent="0.2">
      <c r="A9" s="139" t="s">
        <v>178</v>
      </c>
      <c r="B9" s="130" t="s">
        <v>235</v>
      </c>
      <c r="C9" s="141" t="s">
        <v>218</v>
      </c>
      <c r="D9" s="134"/>
    </row>
    <row r="10" spans="1:5" ht="17" x14ac:dyDescent="0.2">
      <c r="A10" s="137" t="s">
        <v>203</v>
      </c>
      <c r="B10" s="130" t="s">
        <v>204</v>
      </c>
      <c r="C10" s="130" t="s">
        <v>212</v>
      </c>
    </row>
    <row r="11" spans="1:5" ht="17" x14ac:dyDescent="0.2">
      <c r="A11" s="137"/>
      <c r="B11" s="138" t="s">
        <v>205</v>
      </c>
      <c r="C11" s="130" t="s">
        <v>212</v>
      </c>
    </row>
    <row r="12" spans="1:5" ht="34" x14ac:dyDescent="0.2">
      <c r="A12" s="137"/>
      <c r="B12" s="130" t="s">
        <v>206</v>
      </c>
      <c r="C12" s="130" t="s">
        <v>212</v>
      </c>
    </row>
    <row r="13" spans="1:5" ht="17" x14ac:dyDescent="0.2">
      <c r="A13" s="137"/>
      <c r="B13" s="130" t="s">
        <v>207</v>
      </c>
      <c r="C13" s="130" t="s">
        <v>212</v>
      </c>
    </row>
    <row r="14" spans="1:5" ht="17" x14ac:dyDescent="0.2">
      <c r="A14" s="137"/>
      <c r="B14" s="130" t="s">
        <v>208</v>
      </c>
      <c r="C14" s="130" t="s">
        <v>212</v>
      </c>
    </row>
    <row r="15" spans="1:5" ht="17" x14ac:dyDescent="0.2">
      <c r="A15" s="137"/>
      <c r="B15" s="130" t="s">
        <v>209</v>
      </c>
      <c r="C15" s="130" t="s">
        <v>212</v>
      </c>
    </row>
    <row r="16" spans="1:5" ht="51" x14ac:dyDescent="0.2">
      <c r="A16" s="137"/>
      <c r="B16" s="130" t="s">
        <v>210</v>
      </c>
      <c r="C16" s="130" t="s">
        <v>214</v>
      </c>
    </row>
    <row r="17" spans="1:4" ht="17" x14ac:dyDescent="0.2">
      <c r="A17" s="139" t="s">
        <v>178</v>
      </c>
      <c r="B17" s="130" t="s">
        <v>208</v>
      </c>
      <c r="C17" s="130" t="s">
        <v>213</v>
      </c>
    </row>
    <row r="18" spans="1:4" ht="17" x14ac:dyDescent="0.2">
      <c r="A18" s="139" t="s">
        <v>178</v>
      </c>
      <c r="B18" s="130" t="s">
        <v>209</v>
      </c>
      <c r="C18" s="130" t="s">
        <v>213</v>
      </c>
    </row>
    <row r="21" spans="1:4" ht="17" x14ac:dyDescent="0.2">
      <c r="A21" s="132" t="s">
        <v>220</v>
      </c>
      <c r="B21" s="140" t="s">
        <v>215</v>
      </c>
      <c r="C21" s="130" t="s">
        <v>217</v>
      </c>
    </row>
    <row r="22" spans="1:4" ht="51" x14ac:dyDescent="0.2">
      <c r="A22" s="132" t="s">
        <v>220</v>
      </c>
      <c r="B22" s="130" t="s">
        <v>219</v>
      </c>
      <c r="C22" s="130" t="s">
        <v>217</v>
      </c>
    </row>
    <row r="26" spans="1:4" ht="17" x14ac:dyDescent="0.2">
      <c r="B26" s="130" t="s">
        <v>222</v>
      </c>
    </row>
    <row r="27" spans="1:4" ht="34" x14ac:dyDescent="0.2">
      <c r="B27" s="130" t="s">
        <v>223</v>
      </c>
      <c r="C27" s="130" t="s">
        <v>211</v>
      </c>
      <c r="D27" s="142" t="s">
        <v>221</v>
      </c>
    </row>
    <row r="28" spans="1:4" ht="17" x14ac:dyDescent="0.2">
      <c r="B28" s="130" t="s">
        <v>224</v>
      </c>
      <c r="C28" s="130" t="s">
        <v>211</v>
      </c>
    </row>
    <row r="29" spans="1:4" ht="17" x14ac:dyDescent="0.2">
      <c r="B29" s="130" t="s">
        <v>225</v>
      </c>
      <c r="C29" s="130" t="s">
        <v>226</v>
      </c>
    </row>
  </sheetData>
  <hyperlinks>
    <hyperlink ref="D3" r:id="rId1" xr:uid="{6E837917-C714-CD49-ADF6-803F3EA08613}"/>
    <hyperlink ref="D6" r:id="rId2" xr:uid="{A0D7C395-A132-0B45-B84A-3D2E51A0EDCD}"/>
    <hyperlink ref="D27" r:id="rId3" xr:uid="{33644CB1-48EE-BA4B-A5C9-5BAD2F3D4F7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Гипотеза T</vt:lpstr>
      <vt:lpstr>базы</vt:lpstr>
      <vt:lpstr>Переменные</vt:lpstr>
      <vt:lpstr>Воронка MPStats_обработано</vt:lpstr>
      <vt:lpstr>Воронка MPStats_исх</vt:lpstr>
      <vt:lpstr>Воронка Селлер as is</vt:lpstr>
      <vt:lpstr>Селлер апи_исх</vt:lpstr>
      <vt:lpstr>Селлер оплаты_исх</vt:lpstr>
      <vt:lpstr>рабоч</vt:lpstr>
      <vt:lpstr>Вопросы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balabaeva</dc:creator>
  <cp:lastModifiedBy>y balabaeva</cp:lastModifiedBy>
  <dcterms:created xsi:type="dcterms:W3CDTF">2026-05-26T07:29:26Z</dcterms:created>
  <dcterms:modified xsi:type="dcterms:W3CDTF">2026-06-11T05:53:57Z</dcterms:modified>
</cp:coreProperties>
</file>