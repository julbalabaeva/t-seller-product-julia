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.balabaeva/Desktop/Селлер/Метрики/"/>
    </mc:Choice>
  </mc:AlternateContent>
  <xr:revisionPtr revIDLastSave="0" documentId="13_ncr:1_{CA161D59-B7A6-3A43-A6B3-2212AB994E1E}" xr6:coauthVersionLast="47" xr6:coauthVersionMax="47" xr10:uidLastSave="{00000000-0000-0000-0000-000000000000}"/>
  <bookViews>
    <workbookView xWindow="840" yWindow="760" windowWidth="28240" windowHeight="16700" xr2:uid="{F39EBAD0-0EB2-0543-B9DE-CFCAEF12755D}"/>
  </bookViews>
  <sheets>
    <sheet name="Гипотезы" sheetId="2" r:id="rId1"/>
    <sheet name="От Саши+Вопрос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" l="1"/>
  <c r="D42" i="2"/>
  <c r="F62" i="2"/>
  <c r="C50" i="2"/>
  <c r="E50" i="2" s="1"/>
  <c r="E46" i="2" s="1"/>
  <c r="D50" i="2" l="1"/>
  <c r="D46" i="2" s="1"/>
  <c r="C18" i="2" l="1"/>
  <c r="B18" i="2"/>
  <c r="C23" i="2"/>
  <c r="C22" i="2"/>
  <c r="D15" i="2" s="1"/>
  <c r="C7" i="2"/>
  <c r="C8" i="2"/>
  <c r="C9" i="2"/>
  <c r="B6" i="1"/>
  <c r="E15" i="2" l="1"/>
  <c r="D18" i="2"/>
  <c r="F18" i="2" s="1"/>
  <c r="E18" i="2"/>
  <c r="F15" i="2"/>
  <c r="C16" i="2"/>
  <c r="C15" i="2"/>
  <c r="D16" i="2"/>
  <c r="C24" i="2"/>
  <c r="C25" i="2"/>
</calcChain>
</file>

<file path=xl/sharedStrings.xml><?xml version="1.0" encoding="utf-8"?>
<sst xmlns="http://schemas.openxmlformats.org/spreadsheetml/2006/main" count="162" uniqueCount="73">
  <si>
    <t>непротухших API ключей</t>
  </si>
  <si>
    <t>среди них есть одноразовые - для оставления API для ОБ?</t>
  </si>
  <si>
    <t>пересечение клиентов платной ОБ(Бухгалтерия+, только с наличием признака селлера) и аудитории селлера активной по API</t>
  </si>
  <si>
    <t>только Селлер</t>
  </si>
  <si>
    <t>CR в повторное оставление API</t>
  </si>
  <si>
    <t>Очень оценочная цифра по Бухгалтерии+ </t>
  </si>
  <si>
    <t>а что за метрика?</t>
  </si>
  <si>
    <t>с начала апреля /на конец мая 26</t>
  </si>
  <si>
    <t>Вариант 1.  Запрашивать только ключи MPStats</t>
  </si>
  <si>
    <t>Вариант 2. Запрашивать только ключи Т-Банка</t>
  </si>
  <si>
    <t>Вариант 3. Запрашивать ключи MPStats - для Т-Селлер, ключи Т-Банка для работы ОБ</t>
  </si>
  <si>
    <t>ALL</t>
  </si>
  <si>
    <t>?</t>
  </si>
  <si>
    <t>База непротухших ключей</t>
  </si>
  <si>
    <t>это СR из протухших ключей - в успешно оставленные ключи повторно?</t>
  </si>
  <si>
    <t>Повторное оставление API ключа</t>
  </si>
  <si>
    <t>Селлер</t>
  </si>
  <si>
    <t>ОБ</t>
  </si>
  <si>
    <t>CR в оставление API</t>
  </si>
  <si>
    <t>Первичное оставление API ключа</t>
  </si>
  <si>
    <t>посещение страницы API</t>
  </si>
  <si>
    <t>осталвение API</t>
  </si>
  <si>
    <t xml:space="preserve">Метрики для расчета гипотез </t>
  </si>
  <si>
    <t>MAU Селлер</t>
  </si>
  <si>
    <t>1) тек кл - заново для Селлера, ОБ - как есть. 
2) Нов кл - ОБ МПС не оч</t>
  </si>
  <si>
    <t>1) тек кл - заново для Селлера, ОБ - как есть. 
2) Тек и нов - оставлять ключ по 2 раза
3) (+)Нов кл - ОБ меньше прав</t>
  </si>
  <si>
    <t>Селлер MAU</t>
  </si>
  <si>
    <t>Селлер ACT 1+</t>
  </si>
  <si>
    <t>Кажется нужно посомтреть на периоде ранее (когда ключи собирала не только для платного ОБ)?</t>
  </si>
  <si>
    <t xml:space="preserve">https://jira.tcsbank.ru/browse/ECA-2042 </t>
  </si>
  <si>
    <t>Гипотезы по вариантам - влиение на CR API и MAU Селлера</t>
  </si>
  <si>
    <t>а сколько всего из них были пользователеми ОБ (не обязательно платной) и заходили в Селлер после оставления АПИ?</t>
  </si>
  <si>
    <t>ОБ MAU</t>
  </si>
  <si>
    <t>ОБ+Селлер MAU</t>
  </si>
  <si>
    <t>а бесплатная ОБ?</t>
  </si>
  <si>
    <t>Текущее использование сервиса + Реактивация</t>
  </si>
  <si>
    <t>ACT 1+ Селлер</t>
  </si>
  <si>
    <t>Отток Селлер</t>
  </si>
  <si>
    <t>только ОБ платаная</t>
  </si>
  <si>
    <t>Ранее ОБ была бесплатной и требовался API? Какжется неорректно все оносить на Селлер</t>
  </si>
  <si>
    <t xml:space="preserve">тут малые абсолюты 9платная ОБ)? </t>
  </si>
  <si>
    <t>Гипотеза</t>
  </si>
  <si>
    <t>AS IS (апр-май)</t>
  </si>
  <si>
    <t>AS IS (ранее когда для ОБ бесплатной требовался API)</t>
  </si>
  <si>
    <t>-</t>
  </si>
  <si>
    <t>прогноз</t>
  </si>
  <si>
    <t>Доля Act</t>
  </si>
  <si>
    <t>Пронокновение</t>
  </si>
  <si>
    <t>Пересечения по ключам</t>
  </si>
  <si>
    <t>Селлеров в Т</t>
  </si>
  <si>
    <t xml:space="preserve">ключи: ОБ платная </t>
  </si>
  <si>
    <t xml:space="preserve">ключи: ОБ платная + Селлер </t>
  </si>
  <si>
    <t>ОБ платная</t>
  </si>
  <si>
    <t>ключи: ОБ всего</t>
  </si>
  <si>
    <t>Доля ключей - для ОБ всего</t>
  </si>
  <si>
    <t xml:space="preserve">1) тек кл -  не будут заново ключ для Селлера(?), ОБ - как есть
</t>
  </si>
  <si>
    <t>текущие клиенты сервисов с ключами:</t>
  </si>
  <si>
    <t>потенциальные клиенты с ключами - реактивация:</t>
  </si>
  <si>
    <t>База активных API - не смогут использовать продукт без повторного оставления API</t>
  </si>
  <si>
    <t>потенциальная реактиваци клиентов с ключами:</t>
  </si>
  <si>
    <t>Первич АПИ снижение (имя): Селлер - 5%, ОБ - 15%</t>
  </si>
  <si>
    <t>Первич АПИ повышение (имя+права): Селлер - 5%, ОБ - 20%</t>
  </si>
  <si>
    <t>см конверию в повторн апи?/ иначе прикинуть?</t>
  </si>
  <si>
    <t>Првич АПИ снижение (два раза - для ОБ и Селлера): ?</t>
  </si>
  <si>
    <t>ключи: Селлер ??</t>
  </si>
  <si>
    <t>Фактически это же просто остаток от пересечений?</t>
  </si>
  <si>
    <t>Текущий расчет в желтых ячейках кажется некорректный. Надо бы учесть долю ОБ реальную  - срока 11</t>
  </si>
  <si>
    <t>повторн оставление АПИ 22%- от тех кто первично оставлял?</t>
  </si>
  <si>
    <t>в мес (янв-мар 26 ср)</t>
  </si>
  <si>
    <t>Новых клиентов ОБ в мес?</t>
  </si>
  <si>
    <t>как в итоге посчитать сколько отвалятся?из тек MAU отнять (гипотеза сколько не будут оставлять повтрно) из тех кто должен (строка 15) + как-то применить изменение CR API (строки 27-66)</t>
  </si>
  <si>
    <t>как в итоге посчитать сколько отвалятся?отнять (гипотеза сколько не будут оставлять повтрно) из тех кто должен  - из  базы (строка 18)  + как-то применить изменение CR API (строки 27-66)</t>
  </si>
  <si>
    <t>Нужно  бы понять -  сколько реально ключей были даны для ОБ и они не пойдут в Селлер (по историч данным дали АПИ, использовали ОБ, нно не заходили повторно в Селлер)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</si>
</sst>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rgb="FFC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sz val="12"/>
      <color rgb="FFC0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172B4D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24"/>
      <color theme="1"/>
      <name val="Calibri"/>
      <family val="2"/>
      <charset val="204"/>
      <scheme val="minor"/>
    </font>
    <font>
      <sz val="12"/>
      <color theme="5" tint="-0.499984740745262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7" fillId="0" borderId="1" xfId="0" applyFont="1" applyBorder="1"/>
    <xf numFmtId="9" fontId="5" fillId="0" borderId="1" xfId="0" applyNumberFormat="1" applyFont="1" applyBorder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0" fillId="3" borderId="1" xfId="0" applyFill="1" applyBorder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9" fillId="0" borderId="0" xfId="2"/>
    <xf numFmtId="0" fontId="2" fillId="0" borderId="0" xfId="0" applyFont="1" applyAlignment="1">
      <alignment vertical="top"/>
    </xf>
    <xf numFmtId="0" fontId="12" fillId="3" borderId="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8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10" fillId="5" borderId="1" xfId="0" applyFont="1" applyFill="1" applyBorder="1"/>
    <xf numFmtId="0" fontId="5" fillId="5" borderId="1" xfId="0" applyFont="1" applyFill="1" applyBorder="1"/>
    <xf numFmtId="9" fontId="5" fillId="5" borderId="1" xfId="1" applyFont="1" applyFill="1" applyBorder="1" applyAlignment="1">
      <alignment vertical="top"/>
    </xf>
    <xf numFmtId="1" fontId="5" fillId="5" borderId="1" xfId="1" applyNumberFormat="1" applyFont="1" applyFill="1" applyBorder="1" applyAlignment="1">
      <alignment vertical="top"/>
    </xf>
    <xf numFmtId="0" fontId="10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14" fillId="2" borderId="0" xfId="0" applyFont="1" applyFill="1" applyAlignment="1">
      <alignment vertical="top" wrapText="1"/>
    </xf>
    <xf numFmtId="0" fontId="15" fillId="7" borderId="1" xfId="0" applyFont="1" applyFill="1" applyBorder="1" applyAlignment="1">
      <alignment vertical="top"/>
    </xf>
    <xf numFmtId="0" fontId="15" fillId="7" borderId="2" xfId="0" applyFont="1" applyFill="1" applyBorder="1" applyAlignment="1">
      <alignment vertical="top"/>
    </xf>
    <xf numFmtId="0" fontId="15" fillId="8" borderId="2" xfId="0" applyFont="1" applyFill="1" applyBorder="1" applyAlignment="1">
      <alignment vertical="top"/>
    </xf>
    <xf numFmtId="9" fontId="15" fillId="8" borderId="2" xfId="1" applyFont="1" applyFill="1" applyBorder="1" applyAlignment="1">
      <alignment vertical="top"/>
    </xf>
    <xf numFmtId="0" fontId="3" fillId="0" borderId="0" xfId="0" applyFont="1" applyAlignment="1">
      <alignment vertical="top"/>
    </xf>
    <xf numFmtId="9" fontId="0" fillId="3" borderId="1" xfId="0" applyNumberFormat="1" applyFill="1" applyBorder="1" applyAlignment="1">
      <alignment vertical="top"/>
    </xf>
    <xf numFmtId="9" fontId="0" fillId="3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tcsbank.ru/browse/ECA-2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7489-EE41-954A-8C9F-94E434FA8729}">
  <dimension ref="A1:G66"/>
  <sheetViews>
    <sheetView tabSelected="1" topLeftCell="A14" workbookViewId="0">
      <selection activeCell="E10" sqref="E10"/>
    </sheetView>
  </sheetViews>
  <sheetFormatPr baseColWidth="10" defaultRowHeight="16" x14ac:dyDescent="0.2"/>
  <cols>
    <col min="1" max="1" width="55" style="3" customWidth="1"/>
    <col min="2" max="2" width="18.33203125" style="3" customWidth="1"/>
    <col min="3" max="3" width="19.83203125" style="3" customWidth="1"/>
    <col min="4" max="4" width="25.1640625" style="3" customWidth="1"/>
    <col min="5" max="5" width="25" style="15" customWidth="1"/>
    <col min="6" max="6" width="36.83203125" style="3" customWidth="1"/>
    <col min="7" max="7" width="44.33203125" style="3" customWidth="1"/>
    <col min="8" max="9" width="26" style="3" customWidth="1"/>
    <col min="10" max="16384" width="10.83203125" style="3"/>
  </cols>
  <sheetData>
    <row r="1" spans="1:7" ht="31" x14ac:dyDescent="0.2">
      <c r="A1" s="19" t="s">
        <v>30</v>
      </c>
      <c r="B1" s="19"/>
      <c r="C1" s="19"/>
    </row>
    <row r="2" spans="1:7" x14ac:dyDescent="0.2">
      <c r="D2" s="30" t="s">
        <v>41</v>
      </c>
      <c r="E2" s="30" t="s">
        <v>41</v>
      </c>
      <c r="F2" s="30" t="s">
        <v>41</v>
      </c>
    </row>
    <row r="3" spans="1:7" ht="51" x14ac:dyDescent="0.2">
      <c r="B3" s="12" t="s">
        <v>43</v>
      </c>
      <c r="C3" s="13" t="s">
        <v>42</v>
      </c>
      <c r="D3" s="31" t="s">
        <v>8</v>
      </c>
      <c r="E3" s="31" t="s">
        <v>9</v>
      </c>
      <c r="F3" s="31" t="s">
        <v>10</v>
      </c>
    </row>
    <row r="4" spans="1:7" ht="78" customHeight="1" x14ac:dyDescent="0.2">
      <c r="D4" s="16" t="s">
        <v>24</v>
      </c>
      <c r="E4" s="22" t="s">
        <v>55</v>
      </c>
      <c r="F4" s="16" t="s">
        <v>25</v>
      </c>
    </row>
    <row r="5" spans="1:7" x14ac:dyDescent="0.2">
      <c r="A5" s="3" t="s">
        <v>13</v>
      </c>
      <c r="B5" s="29" t="s">
        <v>12</v>
      </c>
      <c r="C5" s="37">
        <v>28600</v>
      </c>
      <c r="D5" s="21" t="s">
        <v>44</v>
      </c>
      <c r="E5" s="21" t="s">
        <v>44</v>
      </c>
      <c r="F5" s="21" t="s">
        <v>44</v>
      </c>
    </row>
    <row r="6" spans="1:7" x14ac:dyDescent="0.2">
      <c r="A6" s="3" t="s">
        <v>48</v>
      </c>
      <c r="D6" s="21" t="s">
        <v>44</v>
      </c>
      <c r="E6" s="21" t="s">
        <v>44</v>
      </c>
      <c r="F6" s="21" t="s">
        <v>44</v>
      </c>
    </row>
    <row r="7" spans="1:7" x14ac:dyDescent="0.2">
      <c r="A7" s="3" t="s">
        <v>50</v>
      </c>
      <c r="B7" s="29" t="s">
        <v>12</v>
      </c>
      <c r="C7" s="38">
        <f>'От Саши+Вопросы'!B11</f>
        <v>419</v>
      </c>
      <c r="D7" s="21" t="s">
        <v>44</v>
      </c>
      <c r="E7" s="21" t="s">
        <v>44</v>
      </c>
      <c r="F7" s="21" t="s">
        <v>44</v>
      </c>
    </row>
    <row r="8" spans="1:7" x14ac:dyDescent="0.2">
      <c r="A8" s="3" t="s">
        <v>51</v>
      </c>
      <c r="B8" s="29" t="s">
        <v>12</v>
      </c>
      <c r="C8" s="38">
        <f>'От Саши+Вопросы'!B10</f>
        <v>864</v>
      </c>
      <c r="D8" s="21" t="s">
        <v>44</v>
      </c>
      <c r="E8" s="21" t="s">
        <v>44</v>
      </c>
      <c r="F8" s="21" t="s">
        <v>44</v>
      </c>
    </row>
    <row r="9" spans="1:7" x14ac:dyDescent="0.2">
      <c r="A9" s="17" t="s">
        <v>64</v>
      </c>
      <c r="B9" s="4" t="s">
        <v>44</v>
      </c>
      <c r="C9" s="39">
        <f>'От Саши+Вопросы'!B12</f>
        <v>26378</v>
      </c>
      <c r="D9" s="21" t="s">
        <v>44</v>
      </c>
      <c r="E9" s="21" t="s">
        <v>44</v>
      </c>
      <c r="F9" s="21" t="s">
        <v>44</v>
      </c>
      <c r="G9" s="17" t="s">
        <v>65</v>
      </c>
    </row>
    <row r="10" spans="1:7" ht="68" x14ac:dyDescent="0.2">
      <c r="A10" s="17" t="s">
        <v>53</v>
      </c>
      <c r="B10" s="29" t="s">
        <v>12</v>
      </c>
      <c r="C10" s="32"/>
      <c r="D10" s="21"/>
      <c r="E10" s="21"/>
      <c r="F10" s="21"/>
      <c r="G10" s="18" t="s">
        <v>72</v>
      </c>
    </row>
    <row r="11" spans="1:7" x14ac:dyDescent="0.2">
      <c r="A11" s="17" t="s">
        <v>54</v>
      </c>
      <c r="B11" s="29" t="s">
        <v>12</v>
      </c>
      <c r="C11" s="29" t="s">
        <v>12</v>
      </c>
      <c r="D11" s="21" t="s">
        <v>44</v>
      </c>
      <c r="E11" s="21" t="s">
        <v>44</v>
      </c>
      <c r="F11" s="21" t="s">
        <v>44</v>
      </c>
    </row>
    <row r="12" spans="1:7" x14ac:dyDescent="0.2">
      <c r="C12" s="21"/>
      <c r="D12" s="21"/>
      <c r="E12" s="21"/>
      <c r="F12" s="21"/>
      <c r="G12" s="17"/>
    </row>
    <row r="13" spans="1:7" ht="44" x14ac:dyDescent="0.2">
      <c r="A13" s="40" t="s">
        <v>58</v>
      </c>
      <c r="C13" s="21"/>
      <c r="D13" s="21"/>
      <c r="E13" s="21"/>
      <c r="F13" s="21"/>
      <c r="G13" s="17"/>
    </row>
    <row r="14" spans="1:7" x14ac:dyDescent="0.2">
      <c r="A14" s="13" t="s">
        <v>56</v>
      </c>
      <c r="B14" s="13"/>
    </row>
    <row r="15" spans="1:7" x14ac:dyDescent="0.2">
      <c r="A15" s="3" t="s">
        <v>16</v>
      </c>
      <c r="B15" s="4" t="s">
        <v>44</v>
      </c>
      <c r="C15" s="4">
        <f>C22</f>
        <v>9319</v>
      </c>
      <c r="D15" s="20">
        <f>C22</f>
        <v>9319</v>
      </c>
      <c r="E15" s="25">
        <f>D15-C7</f>
        <v>8900</v>
      </c>
      <c r="F15" s="20">
        <f>D15</f>
        <v>9319</v>
      </c>
      <c r="G15" s="24"/>
    </row>
    <row r="16" spans="1:7" x14ac:dyDescent="0.2">
      <c r="A16" s="3" t="s">
        <v>52</v>
      </c>
      <c r="B16" s="4" t="s">
        <v>44</v>
      </c>
      <c r="C16" s="4">
        <f>C7+C8</f>
        <v>1283</v>
      </c>
      <c r="D16" s="20">
        <f>C7+C8</f>
        <v>1283</v>
      </c>
      <c r="E16" s="20">
        <v>0</v>
      </c>
      <c r="F16" s="20">
        <v>0</v>
      </c>
    </row>
    <row r="17" spans="1:7" x14ac:dyDescent="0.2">
      <c r="A17" s="13" t="s">
        <v>59</v>
      </c>
      <c r="B17" s="13"/>
    </row>
    <row r="18" spans="1:7" ht="51" x14ac:dyDescent="0.2">
      <c r="A18" s="3" t="s">
        <v>16</v>
      </c>
      <c r="B18" s="29" t="e">
        <f>C5*(100%-100%-B11)</f>
        <v>#VALUE!</v>
      </c>
      <c r="C18" s="29" t="e">
        <f>C5*(100%-100%-C11)</f>
        <v>#VALUE!</v>
      </c>
      <c r="D18" s="20">
        <f>C5-C22</f>
        <v>19281</v>
      </c>
      <c r="E18" s="25">
        <f>C5-C22-(C7+C8)</f>
        <v>17998</v>
      </c>
      <c r="F18" s="20">
        <f>D18</f>
        <v>19281</v>
      </c>
      <c r="G18" s="18" t="s">
        <v>66</v>
      </c>
    </row>
    <row r="20" spans="1:7" ht="21" x14ac:dyDescent="0.2">
      <c r="A20" s="27" t="s">
        <v>35</v>
      </c>
    </row>
    <row r="21" spans="1:7" x14ac:dyDescent="0.2">
      <c r="A21" s="13" t="s">
        <v>56</v>
      </c>
      <c r="B21" s="13"/>
      <c r="D21" s="3" t="s">
        <v>45</v>
      </c>
      <c r="E21" s="3" t="s">
        <v>45</v>
      </c>
      <c r="F21" s="3" t="s">
        <v>45</v>
      </c>
    </row>
    <row r="22" spans="1:7" ht="85" x14ac:dyDescent="0.2">
      <c r="A22" s="3" t="s">
        <v>26</v>
      </c>
      <c r="C22" s="33">
        <f>'От Саши+Вопросы'!B4</f>
        <v>9319</v>
      </c>
      <c r="D22" s="20"/>
      <c r="E22" s="20"/>
      <c r="F22" s="20"/>
      <c r="G22" s="18" t="s">
        <v>70</v>
      </c>
    </row>
    <row r="23" spans="1:7" x14ac:dyDescent="0.2">
      <c r="A23" s="3" t="s">
        <v>27</v>
      </c>
      <c r="C23" s="34">
        <f>'От Саши+Вопросы'!B5</f>
        <v>4300</v>
      </c>
      <c r="D23" s="20"/>
      <c r="E23" s="20"/>
      <c r="F23" s="20"/>
      <c r="G23" s="18"/>
    </row>
    <row r="24" spans="1:7" x14ac:dyDescent="0.2">
      <c r="A24" s="3" t="s">
        <v>46</v>
      </c>
      <c r="C24" s="35">
        <f>C23/C22</f>
        <v>0.46142289945273096</v>
      </c>
      <c r="D24" s="20"/>
      <c r="E24" s="20"/>
      <c r="F24" s="20"/>
      <c r="G24" s="18"/>
    </row>
    <row r="25" spans="1:7" x14ac:dyDescent="0.2">
      <c r="A25" s="3" t="s">
        <v>47</v>
      </c>
      <c r="C25" s="35">
        <f>C23/C26</f>
        <v>5.3749999999999999E-2</v>
      </c>
      <c r="D25" s="20"/>
      <c r="E25" s="20"/>
      <c r="F25" s="20"/>
      <c r="G25" s="18"/>
    </row>
    <row r="26" spans="1:7" x14ac:dyDescent="0.2">
      <c r="A26" s="3" t="s">
        <v>49</v>
      </c>
      <c r="C26" s="36">
        <v>80000</v>
      </c>
      <c r="D26" s="20"/>
      <c r="E26" s="20"/>
      <c r="F26" s="20"/>
      <c r="G26" s="18"/>
    </row>
    <row r="27" spans="1:7" x14ac:dyDescent="0.2">
      <c r="C27" s="35"/>
      <c r="D27" s="20"/>
      <c r="E27" s="20"/>
      <c r="F27" s="20"/>
      <c r="G27" s="18"/>
    </row>
    <row r="29" spans="1:7" x14ac:dyDescent="0.2">
      <c r="A29" s="13" t="s">
        <v>57</v>
      </c>
      <c r="B29" s="13"/>
      <c r="E29" s="3"/>
    </row>
    <row r="30" spans="1:7" ht="68" x14ac:dyDescent="0.2">
      <c r="A30" s="3" t="s">
        <v>26</v>
      </c>
      <c r="C30" s="4"/>
      <c r="D30" s="20"/>
      <c r="E30" s="20"/>
      <c r="F30" s="20"/>
      <c r="G30" s="18" t="s">
        <v>71</v>
      </c>
    </row>
    <row r="31" spans="1:7" x14ac:dyDescent="0.2">
      <c r="A31" s="3" t="s">
        <v>27</v>
      </c>
      <c r="C31" s="4"/>
      <c r="D31" s="20"/>
      <c r="E31" s="20"/>
      <c r="F31" s="20"/>
      <c r="G31" s="18"/>
    </row>
    <row r="32" spans="1:7" x14ac:dyDescent="0.2">
      <c r="A32" s="3" t="s">
        <v>32</v>
      </c>
      <c r="C32" s="4"/>
      <c r="D32" s="20"/>
      <c r="E32" s="20"/>
      <c r="F32" s="20"/>
      <c r="G32" s="18"/>
    </row>
    <row r="33" spans="1:7" x14ac:dyDescent="0.2">
      <c r="A33" s="3" t="s">
        <v>33</v>
      </c>
      <c r="E33" s="3"/>
    </row>
    <row r="34" spans="1:7" x14ac:dyDescent="0.2">
      <c r="E34" s="3"/>
    </row>
    <row r="37" spans="1:7" ht="51" x14ac:dyDescent="0.2">
      <c r="A37" s="26" t="s">
        <v>19</v>
      </c>
      <c r="B37" s="28"/>
      <c r="D37" s="15" t="s">
        <v>60</v>
      </c>
      <c r="E37" s="15" t="s">
        <v>44</v>
      </c>
      <c r="F37" s="15" t="s">
        <v>61</v>
      </c>
    </row>
    <row r="38" spans="1:7" ht="34" x14ac:dyDescent="0.2">
      <c r="A38" s="28"/>
      <c r="B38" s="28"/>
      <c r="F38" s="15" t="s">
        <v>63</v>
      </c>
      <c r="G38" s="17" t="s">
        <v>62</v>
      </c>
    </row>
    <row r="39" spans="1:7" x14ac:dyDescent="0.2">
      <c r="A39" s="13" t="s">
        <v>20</v>
      </c>
      <c r="B39" s="13"/>
      <c r="C39" s="45" t="s">
        <v>68</v>
      </c>
      <c r="E39" s="3"/>
    </row>
    <row r="40" spans="1:7" x14ac:dyDescent="0.2">
      <c r="A40" s="3" t="s">
        <v>16</v>
      </c>
      <c r="C40" s="29" t="s">
        <v>12</v>
      </c>
      <c r="D40" s="29" t="s">
        <v>12</v>
      </c>
      <c r="E40" s="29" t="s">
        <v>12</v>
      </c>
      <c r="F40" s="29" t="s">
        <v>12</v>
      </c>
    </row>
    <row r="41" spans="1:7" x14ac:dyDescent="0.2">
      <c r="A41" s="3" t="s">
        <v>17</v>
      </c>
      <c r="C41" s="29" t="s">
        <v>12</v>
      </c>
      <c r="D41" s="29" t="s">
        <v>12</v>
      </c>
      <c r="E41" s="29" t="s">
        <v>12</v>
      </c>
      <c r="F41" s="29" t="s">
        <v>12</v>
      </c>
      <c r="G41" s="17" t="s">
        <v>69</v>
      </c>
    </row>
    <row r="42" spans="1:7" x14ac:dyDescent="0.2">
      <c r="A42" s="21" t="s">
        <v>11</v>
      </c>
      <c r="B42" s="21"/>
      <c r="C42" s="43">
        <v>1948</v>
      </c>
      <c r="D42" s="20">
        <f>C42</f>
        <v>1948</v>
      </c>
      <c r="E42" s="49">
        <f>C42</f>
        <v>1948</v>
      </c>
      <c r="F42" s="29" t="s">
        <v>12</v>
      </c>
    </row>
    <row r="43" spans="1:7" x14ac:dyDescent="0.2">
      <c r="A43" s="13" t="s">
        <v>21</v>
      </c>
      <c r="B43" s="13"/>
    </row>
    <row r="44" spans="1:7" x14ac:dyDescent="0.2">
      <c r="A44" s="3" t="s">
        <v>16</v>
      </c>
      <c r="C44" s="29" t="s">
        <v>12</v>
      </c>
      <c r="D44" s="29" t="s">
        <v>12</v>
      </c>
      <c r="E44" s="41" t="s">
        <v>12</v>
      </c>
      <c r="F44" s="29" t="s">
        <v>12</v>
      </c>
    </row>
    <row r="45" spans="1:7" x14ac:dyDescent="0.2">
      <c r="A45" s="3" t="s">
        <v>17</v>
      </c>
      <c r="C45" s="29" t="s">
        <v>12</v>
      </c>
      <c r="D45" s="29" t="s">
        <v>12</v>
      </c>
      <c r="E45" s="42" t="s">
        <v>12</v>
      </c>
      <c r="F45" s="29" t="s">
        <v>12</v>
      </c>
    </row>
    <row r="46" spans="1:7" x14ac:dyDescent="0.2">
      <c r="A46" s="21" t="s">
        <v>11</v>
      </c>
      <c r="B46" s="21"/>
      <c r="C46" s="43">
        <v>725</v>
      </c>
      <c r="D46" s="48">
        <f>D50*C42</f>
        <v>688.75</v>
      </c>
      <c r="E46" s="49">
        <f>E50*E42</f>
        <v>725</v>
      </c>
      <c r="F46" s="4"/>
    </row>
    <row r="47" spans="1:7" x14ac:dyDescent="0.2">
      <c r="A47" s="13" t="s">
        <v>18</v>
      </c>
      <c r="B47" s="13"/>
    </row>
    <row r="48" spans="1:7" x14ac:dyDescent="0.2">
      <c r="A48" s="3" t="s">
        <v>16</v>
      </c>
      <c r="C48" s="29" t="s">
        <v>12</v>
      </c>
      <c r="D48" s="29" t="s">
        <v>12</v>
      </c>
      <c r="E48" s="29" t="s">
        <v>12</v>
      </c>
      <c r="F48" s="29" t="s">
        <v>12</v>
      </c>
    </row>
    <row r="49" spans="1:7" x14ac:dyDescent="0.2">
      <c r="A49" s="3" t="s">
        <v>17</v>
      </c>
      <c r="C49" s="29" t="s">
        <v>12</v>
      </c>
      <c r="D49" s="29" t="s">
        <v>12</v>
      </c>
      <c r="E49" s="29" t="s">
        <v>12</v>
      </c>
      <c r="F49" s="29" t="s">
        <v>12</v>
      </c>
    </row>
    <row r="50" spans="1:7" x14ac:dyDescent="0.2">
      <c r="A50" s="21" t="s">
        <v>11</v>
      </c>
      <c r="B50" s="21"/>
      <c r="C50" s="44">
        <f>C46/C42</f>
        <v>0.37217659137577003</v>
      </c>
      <c r="D50" s="46">
        <f>$C$50-($C$50*5%)</f>
        <v>0.35356776180698152</v>
      </c>
      <c r="E50" s="47">
        <f>C50</f>
        <v>0.37217659137577003</v>
      </c>
      <c r="F50" s="29" t="s">
        <v>12</v>
      </c>
    </row>
    <row r="51" spans="1:7" x14ac:dyDescent="0.2">
      <c r="A51" s="21"/>
      <c r="B51" s="21"/>
      <c r="C51" s="21"/>
      <c r="D51" s="21"/>
      <c r="E51" s="21"/>
      <c r="F51" s="21"/>
    </row>
    <row r="54" spans="1:7" ht="24" x14ac:dyDescent="0.2">
      <c r="A54" s="26" t="s">
        <v>15</v>
      </c>
      <c r="B54" s="28"/>
    </row>
    <row r="55" spans="1:7" x14ac:dyDescent="0.2">
      <c r="A55" s="13" t="s">
        <v>20</v>
      </c>
      <c r="B55" s="13"/>
      <c r="C55" s="45" t="s">
        <v>68</v>
      </c>
    </row>
    <row r="56" spans="1:7" x14ac:dyDescent="0.2">
      <c r="A56" s="3" t="s">
        <v>16</v>
      </c>
      <c r="C56" s="41" t="s">
        <v>12</v>
      </c>
      <c r="D56" s="20"/>
      <c r="E56" s="14"/>
      <c r="F56" s="20"/>
    </row>
    <row r="57" spans="1:7" x14ac:dyDescent="0.2">
      <c r="A57" s="3" t="s">
        <v>17</v>
      </c>
      <c r="C57" s="42" t="s">
        <v>12</v>
      </c>
      <c r="D57" s="20"/>
      <c r="E57" s="14"/>
      <c r="F57" s="20"/>
    </row>
    <row r="58" spans="1:7" x14ac:dyDescent="0.2">
      <c r="A58" s="21" t="s">
        <v>11</v>
      </c>
      <c r="B58" s="21"/>
      <c r="C58" s="42" t="s">
        <v>12</v>
      </c>
      <c r="D58" s="20"/>
      <c r="E58" s="14"/>
      <c r="F58" s="4"/>
    </row>
    <row r="59" spans="1:7" x14ac:dyDescent="0.2">
      <c r="A59" s="13" t="s">
        <v>21</v>
      </c>
      <c r="B59" s="13"/>
    </row>
    <row r="60" spans="1:7" x14ac:dyDescent="0.2">
      <c r="A60" s="3" t="s">
        <v>16</v>
      </c>
      <c r="C60" s="41" t="s">
        <v>12</v>
      </c>
      <c r="D60" s="20"/>
      <c r="E60" s="14"/>
      <c r="F60" s="20"/>
    </row>
    <row r="61" spans="1:7" x14ac:dyDescent="0.2">
      <c r="A61" s="3" t="s">
        <v>17</v>
      </c>
      <c r="C61" s="42" t="s">
        <v>12</v>
      </c>
      <c r="D61" s="20"/>
      <c r="E61" s="14"/>
      <c r="F61" s="20"/>
    </row>
    <row r="62" spans="1:7" ht="34" x14ac:dyDescent="0.2">
      <c r="A62" s="21" t="s">
        <v>11</v>
      </c>
      <c r="B62" s="21"/>
      <c r="C62" s="41" t="s">
        <v>12</v>
      </c>
      <c r="D62" s="20"/>
      <c r="E62" s="14"/>
      <c r="F62" s="48">
        <f>0.22*C46</f>
        <v>159.5</v>
      </c>
      <c r="G62" s="18" t="s">
        <v>67</v>
      </c>
    </row>
    <row r="63" spans="1:7" x14ac:dyDescent="0.2">
      <c r="A63" s="13" t="s">
        <v>18</v>
      </c>
      <c r="B63" s="13"/>
    </row>
    <row r="64" spans="1:7" x14ac:dyDescent="0.2">
      <c r="A64" s="3" t="s">
        <v>16</v>
      </c>
      <c r="C64" s="41" t="s">
        <v>12</v>
      </c>
      <c r="D64" s="20"/>
      <c r="E64" s="14"/>
      <c r="F64" s="20"/>
    </row>
    <row r="65" spans="1:6" x14ac:dyDescent="0.2">
      <c r="A65" s="3" t="s">
        <v>17</v>
      </c>
      <c r="C65" s="42" t="s">
        <v>12</v>
      </c>
      <c r="D65" s="20"/>
      <c r="E65" s="14"/>
      <c r="F65" s="20"/>
    </row>
    <row r="66" spans="1:6" x14ac:dyDescent="0.2">
      <c r="A66" s="21" t="s">
        <v>11</v>
      </c>
      <c r="B66" s="21"/>
      <c r="C66" s="41" t="s">
        <v>12</v>
      </c>
      <c r="D66" s="20"/>
      <c r="E66" s="14"/>
      <c r="F6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1F76-2F69-564F-BBF9-695A52E452F3}">
  <dimension ref="A1:C20"/>
  <sheetViews>
    <sheetView workbookViewId="0">
      <selection activeCell="C10" sqref="C10"/>
    </sheetView>
  </sheetViews>
  <sheetFormatPr baseColWidth="10" defaultRowHeight="16" x14ac:dyDescent="0.2"/>
  <cols>
    <col min="1" max="1" width="49.33203125" style="5" customWidth="1"/>
    <col min="2" max="2" width="37.6640625" style="5" customWidth="1"/>
    <col min="3" max="3" width="15" style="5" customWidth="1"/>
    <col min="4" max="16384" width="10.83203125" style="5"/>
  </cols>
  <sheetData>
    <row r="1" spans="1:3" ht="31" x14ac:dyDescent="0.2">
      <c r="A1" s="19" t="s">
        <v>22</v>
      </c>
    </row>
    <row r="2" spans="1:3" x14ac:dyDescent="0.2">
      <c r="A2" s="23" t="s">
        <v>29</v>
      </c>
      <c r="B2" s="2" t="s">
        <v>7</v>
      </c>
    </row>
    <row r="3" spans="1:3" x14ac:dyDescent="0.2">
      <c r="A3" s="6" t="s">
        <v>0</v>
      </c>
      <c r="B3" s="6">
        <v>28600</v>
      </c>
      <c r="C3" s="7" t="s">
        <v>31</v>
      </c>
    </row>
    <row r="4" spans="1:3" x14ac:dyDescent="0.2">
      <c r="A4" s="6" t="s">
        <v>23</v>
      </c>
      <c r="B4" s="6">
        <v>9319</v>
      </c>
      <c r="C4" s="7" t="s">
        <v>1</v>
      </c>
    </row>
    <row r="5" spans="1:3" x14ac:dyDescent="0.2">
      <c r="A5" s="6" t="s">
        <v>36</v>
      </c>
      <c r="B5" s="6">
        <v>4300</v>
      </c>
    </row>
    <row r="6" spans="1:3" x14ac:dyDescent="0.2">
      <c r="A6" s="4" t="s">
        <v>37</v>
      </c>
      <c r="B6" s="6">
        <f>B3-B4</f>
        <v>19281</v>
      </c>
      <c r="C6" s="1" t="s">
        <v>34</v>
      </c>
    </row>
    <row r="9" spans="1:3" x14ac:dyDescent="0.2">
      <c r="C9" s="7"/>
    </row>
    <row r="10" spans="1:3" ht="54" customHeight="1" x14ac:dyDescent="0.2">
      <c r="A10" s="8" t="s">
        <v>2</v>
      </c>
      <c r="B10" s="9">
        <v>864</v>
      </c>
      <c r="C10" s="7"/>
    </row>
    <row r="11" spans="1:3" ht="28" customHeight="1" x14ac:dyDescent="0.2">
      <c r="A11" s="8" t="s">
        <v>38</v>
      </c>
      <c r="B11" s="9">
        <v>419</v>
      </c>
    </row>
    <row r="12" spans="1:3" x14ac:dyDescent="0.2">
      <c r="A12" s="6" t="s">
        <v>3</v>
      </c>
      <c r="B12" s="6">
        <v>26378</v>
      </c>
      <c r="C12" s="7" t="s">
        <v>39</v>
      </c>
    </row>
    <row r="15" spans="1:3" x14ac:dyDescent="0.2">
      <c r="A15" s="10" t="s">
        <v>5</v>
      </c>
      <c r="B15" s="6">
        <v>2500</v>
      </c>
      <c r="C15" s="7" t="s">
        <v>6</v>
      </c>
    </row>
    <row r="18" spans="1:3" x14ac:dyDescent="0.2">
      <c r="A18" s="6" t="s">
        <v>4</v>
      </c>
      <c r="B18" s="11">
        <v>0.22</v>
      </c>
      <c r="C18" s="7" t="s">
        <v>14</v>
      </c>
    </row>
    <row r="19" spans="1:3" x14ac:dyDescent="0.2">
      <c r="C19" s="17" t="s">
        <v>40</v>
      </c>
    </row>
    <row r="20" spans="1:3" x14ac:dyDescent="0.2">
      <c r="C20" s="7" t="s">
        <v>28</v>
      </c>
    </row>
  </sheetData>
  <hyperlinks>
    <hyperlink ref="A2" r:id="rId1" xr:uid="{78E80D9C-1A48-6341-A23C-720EE7344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Гипотезы</vt:lpstr>
      <vt:lpstr>От Саши+Вопросы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balabaeva</dc:creator>
  <cp:lastModifiedBy>y balabaeva</cp:lastModifiedBy>
  <dcterms:created xsi:type="dcterms:W3CDTF">2026-05-25T08:45:50Z</dcterms:created>
  <dcterms:modified xsi:type="dcterms:W3CDTF">2026-05-25T14:06:53Z</dcterms:modified>
</cp:coreProperties>
</file>